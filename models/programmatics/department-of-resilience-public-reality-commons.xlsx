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2f2f15a80c429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" sheetId="1" r:id="Ra84aac74584842d8"/>
    <x:sheet xmlns:r="http://schemas.openxmlformats.org/officeDocument/2006/relationships" name="Controls" sheetId="2" r:id="R1c06527e47b64501"/>
    <x:sheet xmlns:r="http://schemas.openxmlformats.org/officeDocument/2006/relationships" name="Knowledge Planes" sheetId="3" r:id="Rc5c93f687c17430f"/>
    <x:sheet xmlns:r="http://schemas.openxmlformats.org/officeDocument/2006/relationships" name="Constitutional Roles" sheetId="4" r:id="Ra82b37e853ce4115"/>
    <x:sheet xmlns:r="http://schemas.openxmlformats.org/officeDocument/2006/relationships" name="Warrant Chain" sheetId="5" r:id="R7e98eabbfad64950"/>
    <x:sheet xmlns:r="http://schemas.openxmlformats.org/officeDocument/2006/relationships" name="Civil Data Rights" sheetId="6" r:id="R343fa0e5660a46d6"/>
    <x:sheet xmlns:r="http://schemas.openxmlformats.org/officeDocument/2006/relationships" name="Nonconversions" sheetId="7" r:id="R882e53e838504f4b"/>
    <x:sheet xmlns:r="http://schemas.openxmlformats.org/officeDocument/2006/relationships" name="Forecast Contract" sheetId="8" r:id="R58ccf531acbe47aa"/>
    <x:sheet xmlns:r="http://schemas.openxmlformats.org/officeDocument/2006/relationships" name="Purpose &amp; Retention" sheetId="9" r:id="R6371a3f0d6364dc3"/>
    <x:sheet xmlns:r="http://schemas.openxmlformats.org/officeDocument/2006/relationships" name="Observation Ledger" sheetId="10" r:id="R157d194abc414103"/>
    <x:sheet xmlns:r="http://schemas.openxmlformats.org/officeDocument/2006/relationships" name="Knowledge Topology" sheetId="11" r:id="Rfb1b34772d044598"/>
    <x:sheet xmlns:r="http://schemas.openxmlformats.org/officeDocument/2006/relationships" name="Model Root Ledger" sheetId="12" r:id="R9992c88eb81a46b9"/>
    <x:sheet xmlns:r="http://schemas.openxmlformats.org/officeDocument/2006/relationships" name="Receiver Query Matrix" sheetId="13" r:id="R1ad17626a30d4039"/>
    <x:sheet xmlns:r="http://schemas.openxmlformats.org/officeDocument/2006/relationships" name="Formation Nodes" sheetId="14" r:id="R728f0a42323a415b"/>
    <x:sheet xmlns:r="http://schemas.openxmlformats.org/officeDocument/2006/relationships" name="Workforce" sheetId="15" r:id="R812ef373e52640ce"/>
    <x:sheet xmlns:r="http://schemas.openxmlformats.org/officeDocument/2006/relationships" name="Technology" sheetId="16" r:id="R8483737619ae4ae9"/>
    <x:sheet xmlns:r="http://schemas.openxmlformats.org/officeDocument/2006/relationships" name="Capital" sheetId="17" r:id="Re857129a591b403d"/>
    <x:sheet xmlns:r="http://schemas.openxmlformats.org/officeDocument/2006/relationships" name="Mature Operations" sheetId="18" r:id="R3d064a19139648b9"/>
    <x:sheet xmlns:r="http://schemas.openxmlformats.org/officeDocument/2006/relationships" name="25-Year Economy" sheetId="19" r:id="Ra15511c3db57418d"/>
    <x:sheet xmlns:r="http://schemas.openxmlformats.org/officeDocument/2006/relationships" name="Stress Cases" sheetId="20" r:id="R174804e4b4854005"/>
    <x:sheet xmlns:r="http://schemas.openxmlformats.org/officeDocument/2006/relationships" name="Audit" sheetId="21" r:id="R1ffa07773f944686"/>
    <x:sheet xmlns:r="http://schemas.openxmlformats.org/officeDocument/2006/relationships" name="Mutation Tests" sheetId="22" r:id="Re1f82c0f0176445e"/>
    <x:sheet xmlns:r="http://schemas.openxmlformats.org/officeDocument/2006/relationships" name="Sources" sheetId="23" r:id="R859eeadcc6934fb5"/>
    <x:sheet xmlns:r="http://schemas.openxmlformats.org/officeDocument/2006/relationships" name="Read Me" sheetId="24" r:id="R0aef99cf130c4bb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"/>
    <x:numFmt numFmtId="201" formatCode="$#,##0.0&quot;B&quot;"/>
    <x:numFmt numFmtId="202" formatCode="$0.00&quot;T&quot;"/>
    <x:numFmt numFmtId="203" formatCode="$0.00"/>
    <x:numFmt numFmtId="204" formatCode="#,##0.00"/>
    <x:numFmt numFmtId="205" formatCode="$0"/>
    <x:numFmt numFmtId="206" formatCode="0.00x"/>
    <x:numFmt numFmtId="207" formatCode="0.0%"/>
    <x:numFmt numFmtId="208" formatCode="$#,##0.0"/>
    <x:numFmt numFmtId="209" formatCode="$#,##0.000"/>
    <x:numFmt numFmtId="210" formatCode="#,##0.000000"/>
  </x:numFmts>
  <x:fonts count="8">
    <x:font>
      <x:sz val="11"/>
      <x:name val="Carlito"/>
    </x:font>
    <x:font>
      <x:b/>
      <x:sz val="15"/>
      <x:color rgb="FF17324D"/>
      <x:name val="Arial"/>
    </x:font>
    <x:font>
      <x:i/>
      <x:sz val="10"/>
      <x:color rgb="FF5F6B76"/>
      <x:name val="Arial"/>
    </x:font>
    <x:font>
      <x:b/>
      <x:sz val="10"/>
      <x:color rgb="FFFFFFFF"/>
      <x:name val="Arial"/>
    </x:font>
    <x:font>
      <x:b/>
      <x:sz val="11"/>
      <x:color rgb="FF1F2933"/>
      <x:name val="Arial"/>
    </x:font>
    <x:font>
      <x:sz val="10"/>
      <x:color rgb="FF1F2933"/>
      <x:name val="Arial"/>
    </x:font>
    <x:font>
      <x:b/>
      <x:sz val="10"/>
      <x:color rgb="FF0000FF"/>
      <x:name val="Arial"/>
    </x:font>
    <x:font>
      <x:b/>
      <x:sz val="10"/>
      <x:color rgb="FF1F2933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FFF2CC"/>
      </x:patternFill>
    </x:fill>
  </x:fills>
  <x:borders count="7">
    <x:border/>
    <x:border>
      <x:bottom style="thin">
        <x:color rgb="FF2F6690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  <x:border>
      <x:bottom style="thin">
        <x:color rgb="FFCBD5DF"/>
      </x:bottom>
    </x:border>
    <x:border>
      <x:top style="thin">
        <x:color rgb="FFCBD5DF"/>
      </x:top>
      <x:bottom style="thin">
        <x:color rgb="FFCBD5DF"/>
      </x:bottom>
    </x:border>
  </x:borders>
  <x:cellStyleXfs count="1">
    <x:xf numFmtId="0" fontId="0" fillId="0" borderId="0"/>
  </x:cellStyleXfs>
  <x:cellXfs count="130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0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3" fontId="0" fillId="0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4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4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4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3" fillId="2" borderId="4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vertical="top"/>
    </x:xf>
    <x:xf numFmtId="0" fontId="5" fillId="0" borderId="6" xfId="0" applyNumberFormat="1" applyFont="1" applyFill="1" applyBorder="1" applyAlignment="1">
      <x:alignment vertical="top"/>
    </x:xf>
    <x:xf numFmtId="204" fontId="5" fillId="0" borderId="5" xfId="0" applyNumberFormat="1" applyFont="1" applyFill="1" applyBorder="1" applyAlignment="1">
      <x:alignment vertical="top"/>
    </x:xf>
    <x:xf numFmtId="204" fontId="5" fillId="0" borderId="6" xfId="0" applyNumberFormat="1" applyFont="1" applyFill="1" applyBorder="1" applyAlignment="1">
      <x:alignment vertical="top"/>
    </x:xf>
    <x:xf numFmtId="0" fontId="5" fillId="0" borderId="5" xfId="0" applyNumberFormat="1" applyFont="1" applyFill="1" applyBorder="1" applyAlignment="1">
      <x:alignment vertical="top" wrapText="1"/>
    </x:xf>
    <x:xf numFmtId="0" fontId="5" fillId="0" borderId="6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6" fillId="3" borderId="0" xfId="0" applyNumberFormat="1" applyFont="1" applyFill="1" applyBorder="1"/>
    <x:xf numFmtId="205" fontId="5" fillId="0" borderId="5" xfId="0" applyNumberFormat="1" applyFont="1" applyFill="1" applyBorder="1" applyAlignment="1">
      <x:alignment vertical="top"/>
    </x:xf>
    <x:xf numFmtId="205" fontId="5" fillId="0" borderId="6" xfId="0" applyNumberFormat="1" applyFont="1" applyFill="1" applyBorder="1" applyAlignment="1">
      <x:alignment vertical="top"/>
    </x:xf>
    <x:xf numFmtId="206" fontId="5" fillId="0" borderId="5" xfId="0" applyNumberFormat="1" applyFont="1" applyFill="1" applyBorder="1" applyAlignment="1">
      <x:alignment vertical="top"/>
    </x:xf>
    <x:xf numFmtId="206" fontId="5" fillId="0" borderId="6" xfId="0" applyNumberFormat="1" applyFont="1" applyFill="1" applyBorder="1" applyAlignment="1">
      <x:alignment vertical="top"/>
    </x:xf>
    <x:xf numFmtId="206" fontId="0" fillId="0" borderId="0" xfId="0" applyNumberFormat="1" applyFont="1" applyFill="1" applyBorder="1"/>
    <x:xf numFmtId="207" fontId="0" fillId="0" borderId="0" xfId="0" applyNumberFormat="1" applyFont="1" applyFill="1" applyBorder="1"/>
    <x:xf numFmtId="200" fontId="5" fillId="0" borderId="5" xfId="0" applyNumberFormat="1" applyFont="1" applyFill="1" applyBorder="1" applyAlignment="1">
      <x:alignment vertical="top"/>
    </x:xf>
    <x:xf numFmtId="200" fontId="5" fillId="0" borderId="6" xfId="0" applyNumberFormat="1" applyFont="1" applyFill="1" applyBorder="1" applyAlignment="1">
      <x:alignment vertical="top"/>
    </x:xf>
    <x:xf numFmtId="0" fontId="7" fillId="0" borderId="6" xfId="0" applyNumberFormat="1" applyFont="1" applyFill="1" applyBorder="1" applyAlignment="1">
      <x:alignment vertical="top"/>
    </x:xf>
    <x:xf numFmtId="200" fontId="7" fillId="0" borderId="6" xfId="0" applyNumberFormat="1" applyFont="1" applyFill="1" applyBorder="1" applyAlignment="1">
      <x:alignment vertical="top"/>
    </x:xf>
    <x:xf numFmtId="207" fontId="5" fillId="0" borderId="6" xfId="0" applyNumberFormat="1" applyFont="1" applyFill="1" applyBorder="1" applyAlignment="1">
      <x:alignment vertical="top"/>
    </x:xf>
    <x:xf numFmtId="207" fontId="7" fillId="0" borderId="6" xfId="0" applyNumberFormat="1" applyFont="1" applyFill="1" applyBorder="1" applyAlignment="1">
      <x:alignment vertical="top"/>
    </x:xf>
    <x:xf numFmtId="208" fontId="5" fillId="0" borderId="5" xfId="0" applyNumberFormat="1" applyFont="1" applyFill="1" applyBorder="1" applyAlignment="1">
      <x:alignment vertical="top"/>
    </x:xf>
    <x:xf numFmtId="208" fontId="5" fillId="0" borderId="6" xfId="0" applyNumberFormat="1" applyFont="1" applyFill="1" applyBorder="1" applyAlignment="1">
      <x:alignment vertical="top"/>
    </x:xf>
    <x:xf numFmtId="208" fontId="7" fillId="0" borderId="6" xfId="0" applyNumberFormat="1" applyFont="1" applyFill="1" applyBorder="1" applyAlignment="1">
      <x:alignment vertical="top"/>
    </x:xf>
    <x:xf numFmtId="209" fontId="5" fillId="0" borderId="5" xfId="0" applyNumberFormat="1" applyFont="1" applyFill="1" applyBorder="1" applyAlignment="1">
      <x:alignment vertical="top"/>
    </x:xf>
    <x:xf numFmtId="209" fontId="5" fillId="0" borderId="6" xfId="0" applyNumberFormat="1" applyFont="1" applyFill="1" applyBorder="1" applyAlignment="1">
      <x:alignment vertical="top"/>
    </x:xf>
    <x:xf numFmtId="209" fontId="7" fillId="0" borderId="6" xfId="0" applyNumberFormat="1" applyFont="1" applyFill="1" applyBorder="1" applyAlignment="1">
      <x:alignment vertical="top"/>
    </x:xf>
    <x:xf numFmtId="208" fontId="0" fillId="0" borderId="0" xfId="0" applyNumberFormat="1" applyFont="1" applyFill="1" applyBorder="1"/>
    <x:xf numFmtId="0" fontId="7" fillId="0" borderId="0" xfId="0" applyNumberFormat="1" applyFont="1" applyFill="1" applyBorder="1"/>
    <x:xf numFmtId="206" fontId="7" fillId="0" borderId="0" xfId="0" applyNumberFormat="1" applyFont="1" applyFill="1" applyBorder="1"/>
    <x:xf numFmtId="207" fontId="7" fillId="0" borderId="0" xfId="0" applyNumberFormat="1" applyFont="1" applyFill="1" applyBorder="1"/>
    <x:xf numFmtId="208" fontId="7" fillId="0" borderId="0" xfId="0" applyNumberFormat="1" applyFont="1" applyFill="1" applyBorder="1"/>
    <x:xf numFmtId="202" fontId="7" fillId="0" borderId="0" xfId="0" applyNumberFormat="1" applyFont="1" applyFill="1" applyBorder="1"/>
    <x:xf numFmtId="205" fontId="0" fillId="0" borderId="0" xfId="0" applyNumberFormat="1" applyFont="1" applyFill="1" applyBorder="1"/>
    <x:xf numFmtId="210" fontId="5" fillId="0" borderId="5" xfId="0" applyNumberFormat="1" applyFont="1" applyFill="1" applyBorder="1" applyAlignment="1">
      <x:alignment vertical="top"/>
    </x:xf>
    <x:xf numFmtId="210" fontId="5" fillId="0" borderId="6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2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3" fillId="2" borderId="0" xfId="0" applyNumberFormat="1" applyFont="1" applyFill="1" applyBorder="1" applyAlignment="1">
      <x:alignment horizontal="center" vertical="top"/>
    </x:xf>
    <x:xf numFmtId="0" fontId="4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201" fontId="0" fillId="0" borderId="0" xfId="0" applyNumberFormat="1" applyFont="1" applyFill="1" applyBorder="1" applyAlignment="1">
      <x:alignment vertical="top"/>
    </x:xf>
    <x:xf numFmtId="202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203" fontId="0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0"/>
    </x:xf>
    <x:xf numFmtId="0" fontId="0" fillId="0" borderId="0" xfId="0" applyNumberFormat="1" applyFont="1" applyFill="1" applyBorder="1" applyAlignment="1">
      <x:alignment vertical="top" wrapText="0"/>
    </x:xf>
    <x:xf numFmtId="0" fontId="2" fillId="0" borderId="0" xfId="0" applyNumberFormat="1" applyFont="1" applyFill="1" applyBorder="1" applyAlignment="1">
      <x:alignment vertical="top" wrapText="0"/>
    </x:xf>
    <x:xf numFmtId="0" fontId="0" fillId="0" borderId="1" xfId="0" applyNumberFormat="1" applyFont="1" applyFill="1" applyBorder="1" applyAlignment="1">
      <x:alignment vertical="top" wrapText="0"/>
    </x:xf>
    <x:xf numFmtId="0" fontId="3" fillId="2" borderId="0" xfId="0" applyNumberFormat="1" applyFont="1" applyFill="1" applyBorder="1" applyAlignment="1">
      <x:alignment horizontal="center" vertical="top" wrapText="0"/>
    </x:xf>
    <x:xf numFmtId="0" fontId="4" fillId="0" borderId="0" xfId="0" applyNumberFormat="1" applyFont="1" applyFill="1" applyBorder="1" applyAlignment="1">
      <x:alignment vertical="top" wrapText="0"/>
    </x:xf>
    <x:xf numFmtId="200" fontId="0" fillId="0" borderId="0" xfId="0" applyNumberFormat="1" applyFont="1" applyFill="1" applyBorder="1" applyAlignment="1">
      <x:alignment vertical="top" wrapText="0"/>
    </x:xf>
    <x:xf numFmtId="201" fontId="0" fillId="0" borderId="0" xfId="0" applyNumberFormat="1" applyFont="1" applyFill="1" applyBorder="1" applyAlignment="1">
      <x:alignment vertical="top" wrapText="0"/>
    </x:xf>
    <x:xf numFmtId="202" fontId="0" fillId="0" borderId="0" xfId="0" applyNumberFormat="1" applyFont="1" applyFill="1" applyBorder="1" applyAlignment="1">
      <x:alignment vertical="top" wrapText="0"/>
    </x:xf>
    <x:xf numFmtId="203" fontId="0" fillId="0" borderId="0" xfId="0" applyNumberFormat="1" applyFont="1" applyFill="1" applyBorder="1" applyAlignment="1">
      <x:alignment vertical="top" wrapText="0"/>
    </x:xf>
    <x:xf numFmtId="0" fontId="3" fillId="2" borderId="2" xfId="0" applyNumberFormat="1" applyFont="1" applyFill="1" applyBorder="1" applyAlignment="1">
      <x:alignment horizontal="center" vertical="top" wrapText="1"/>
    </x:xf>
    <x:xf numFmtId="0" fontId="3" fillId="2" borderId="3" xfId="0" applyNumberFormat="1" applyFont="1" applyFill="1" applyBorder="1" applyAlignment="1">
      <x:alignment horizontal="center" vertical="top" wrapText="1"/>
    </x:xf>
    <x:xf numFmtId="0" fontId="3" fillId="2" borderId="4" xfId="0" applyNumberFormat="1" applyFont="1" applyFill="1" applyBorder="1" applyAlignment="1">
      <x:alignment horizontal="center" vertical="top" wrapText="1"/>
    </x:xf>
    <x:xf numFmtId="0" fontId="6" fillId="3" borderId="0" xfId="0" applyNumberFormat="1" applyFont="1" applyFill="1" applyBorder="1" applyAlignment="1">
      <x:alignment vertical="top"/>
    </x:xf>
    <x:xf numFmtId="206" fontId="0" fillId="0" borderId="0" xfId="0" applyNumberFormat="1" applyFont="1" applyFill="1" applyBorder="1" applyAlignment="1">
      <x:alignment vertical="top"/>
    </x:xf>
    <x:xf numFmtId="207" fontId="0" fillId="0" borderId="0" xfId="0" applyNumberFormat="1" applyFont="1" applyFill="1" applyBorder="1" applyAlignment="1">
      <x:alignment vertical="top"/>
    </x:xf>
    <x:xf numFmtId="0" fontId="3" fillId="2" borderId="2" xfId="0" applyNumberFormat="1" applyFont="1" applyFill="1" applyBorder="1" applyAlignment="1">
      <x:alignment horizontal="center" vertical="top" wrapText="0"/>
    </x:xf>
    <x:xf numFmtId="0" fontId="3" fillId="2" borderId="3" xfId="0" applyNumberFormat="1" applyFont="1" applyFill="1" applyBorder="1" applyAlignment="1">
      <x:alignment horizontal="center" vertical="top" wrapText="0"/>
    </x:xf>
    <x:xf numFmtId="0" fontId="3" fillId="2" borderId="4" xfId="0" applyNumberFormat="1" applyFont="1" applyFill="1" applyBorder="1" applyAlignment="1">
      <x:alignment horizontal="center" vertical="top" wrapText="0"/>
    </x:xf>
    <x:xf numFmtId="0" fontId="5" fillId="0" borderId="5" xfId="0" applyNumberFormat="1" applyFont="1" applyFill="1" applyBorder="1" applyAlignment="1">
      <x:alignment vertical="top" wrapText="0"/>
    </x:xf>
    <x:xf numFmtId="204" fontId="5" fillId="0" borderId="5" xfId="0" applyNumberFormat="1" applyFont="1" applyFill="1" applyBorder="1" applyAlignment="1">
      <x:alignment vertical="top" wrapText="0"/>
    </x:xf>
    <x:xf numFmtId="0" fontId="5" fillId="0" borderId="6" xfId="0" applyNumberFormat="1" applyFont="1" applyFill="1" applyBorder="1" applyAlignment="1">
      <x:alignment vertical="top" wrapText="0"/>
    </x:xf>
    <x:xf numFmtId="204" fontId="5" fillId="0" borderId="6" xfId="0" applyNumberFormat="1" applyFont="1" applyFill="1" applyBorder="1" applyAlignment="1">
      <x:alignment vertical="top" wrapText="0"/>
    </x:xf>
    <x:xf numFmtId="0" fontId="6" fillId="3" borderId="0" xfId="0" applyNumberFormat="1" applyFont="1" applyFill="1" applyBorder="1" applyAlignment="1">
      <x:alignment vertical="top" wrapText="0"/>
    </x:xf>
    <x:xf numFmtId="205" fontId="5" fillId="0" borderId="5" xfId="0" applyNumberFormat="1" applyFont="1" applyFill="1" applyBorder="1" applyAlignment="1">
      <x:alignment vertical="top" wrapText="0"/>
    </x:xf>
    <x:xf numFmtId="206" fontId="5" fillId="0" borderId="5" xfId="0" applyNumberFormat="1" applyFont="1" applyFill="1" applyBorder="1" applyAlignment="1">
      <x:alignment vertical="top" wrapText="0"/>
    </x:xf>
    <x:xf numFmtId="205" fontId="5" fillId="0" borderId="6" xfId="0" applyNumberFormat="1" applyFont="1" applyFill="1" applyBorder="1" applyAlignment="1">
      <x:alignment vertical="top" wrapText="0"/>
    </x:xf>
    <x:xf numFmtId="206" fontId="5" fillId="0" borderId="6" xfId="0" applyNumberFormat="1" applyFont="1" applyFill="1" applyBorder="1" applyAlignment="1">
      <x:alignment vertical="top" wrapText="0"/>
    </x:xf>
    <x:xf numFmtId="206" fontId="0" fillId="0" borderId="0" xfId="0" applyNumberFormat="1" applyFont="1" applyFill="1" applyBorder="1" applyAlignment="1">
      <x:alignment vertical="top" wrapText="0"/>
    </x:xf>
    <x:xf numFmtId="207" fontId="0" fillId="0" borderId="0" xfId="0" applyNumberFormat="1" applyFont="1" applyFill="1" applyBorder="1" applyAlignment="1">
      <x:alignment vertical="top" wrapText="0"/>
    </x:xf>
    <x:xf numFmtId="200" fontId="5" fillId="0" borderId="5" xfId="0" applyNumberFormat="1" applyFont="1" applyFill="1" applyBorder="1" applyAlignment="1">
      <x:alignment vertical="top" wrapText="0"/>
    </x:xf>
    <x:xf numFmtId="200" fontId="5" fillId="0" borderId="6" xfId="0" applyNumberFormat="1" applyFont="1" applyFill="1" applyBorder="1" applyAlignment="1">
      <x:alignment vertical="top" wrapText="0"/>
    </x:xf>
    <x:xf numFmtId="0" fontId="7" fillId="0" borderId="6" xfId="0" applyNumberFormat="1" applyFont="1" applyFill="1" applyBorder="1" applyAlignment="1">
      <x:alignment vertical="top" wrapText="0"/>
    </x:xf>
    <x:xf numFmtId="200" fontId="7" fillId="0" borderId="6" xfId="0" applyNumberFormat="1" applyFont="1" applyFill="1" applyBorder="1" applyAlignment="1">
      <x:alignment vertical="top" wrapText="0"/>
    </x:xf>
    <x:xf numFmtId="207" fontId="7" fillId="0" borderId="6" xfId="0" applyNumberFormat="1" applyFont="1" applyFill="1" applyBorder="1" applyAlignment="1">
      <x:alignment vertical="top" wrapText="0"/>
    </x:xf>
    <x:xf numFmtId="208" fontId="5" fillId="0" borderId="5" xfId="0" applyNumberFormat="1" applyFont="1" applyFill="1" applyBorder="1" applyAlignment="1">
      <x:alignment vertical="top" wrapText="0"/>
    </x:xf>
    <x:xf numFmtId="208" fontId="5" fillId="0" borderId="6" xfId="0" applyNumberFormat="1" applyFont="1" applyFill="1" applyBorder="1" applyAlignment="1">
      <x:alignment vertical="top" wrapText="0"/>
    </x:xf>
    <x:xf numFmtId="208" fontId="7" fillId="0" borderId="6" xfId="0" applyNumberFormat="1" applyFont="1" applyFill="1" applyBorder="1" applyAlignment="1">
      <x:alignment vertical="top" wrapText="0"/>
    </x:xf>
    <x:xf numFmtId="209" fontId="5" fillId="0" borderId="5" xfId="0" applyNumberFormat="1" applyFont="1" applyFill="1" applyBorder="1" applyAlignment="1">
      <x:alignment vertical="top" wrapText="0"/>
    </x:xf>
    <x:xf numFmtId="209" fontId="5" fillId="0" borderId="6" xfId="0" applyNumberFormat="1" applyFont="1" applyFill="1" applyBorder="1" applyAlignment="1">
      <x:alignment vertical="top" wrapText="0"/>
    </x:xf>
    <x:xf numFmtId="209" fontId="7" fillId="0" borderId="6" xfId="0" applyNumberFormat="1" applyFont="1" applyFill="1" applyBorder="1" applyAlignment="1">
      <x:alignment vertical="top" wrapText="0"/>
    </x:xf>
    <x:xf numFmtId="208" fontId="0" fillId="0" borderId="0" xfId="0" applyNumberFormat="1" applyFont="1" applyFill="1" applyBorder="1" applyAlignment="1">
      <x:alignment vertical="top"/>
    </x:xf>
    <x:xf numFmtId="205" fontId="0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/>
    </x:xf>
    <x:xf numFmtId="206" fontId="7" fillId="0" borderId="0" xfId="0" applyNumberFormat="1" applyFont="1" applyFill="1" applyBorder="1" applyAlignment="1">
      <x:alignment vertical="top"/>
    </x:xf>
    <x:xf numFmtId="207" fontId="7" fillId="0" borderId="0" xfId="0" applyNumberFormat="1" applyFont="1" applyFill="1" applyBorder="1" applyAlignment="1">
      <x:alignment vertical="top"/>
    </x:xf>
    <x:xf numFmtId="208" fontId="7" fillId="0" borderId="0" xfId="0" applyNumberFormat="1" applyFont="1" applyFill="1" applyBorder="1" applyAlignment="1">
      <x:alignment vertical="top"/>
    </x:xf>
    <x:xf numFmtId="202" fontId="7" fillId="0" borderId="0" xfId="0" applyNumberFormat="1" applyFont="1" applyFill="1" applyBorder="1" applyAlignment="1">
      <x:alignment vertical="top"/>
    </x:xf>
    <x:xf numFmtId="208" fontId="0" fillId="0" borderId="0" xfId="0" applyNumberFormat="1" applyFont="1" applyFill="1" applyBorder="1" applyAlignment="1">
      <x:alignment vertical="top" wrapText="0"/>
    </x:xf>
    <x:xf numFmtId="205" fontId="0" fillId="0" borderId="0" xfId="0" applyNumberFormat="1" applyFont="1" applyFill="1" applyBorder="1" applyAlignment="1">
      <x:alignment vertical="top" wrapText="0"/>
    </x:xf>
    <x:xf numFmtId="0" fontId="7" fillId="0" borderId="0" xfId="0" applyNumberFormat="1" applyFont="1" applyFill="1" applyBorder="1" applyAlignment="1">
      <x:alignment vertical="top" wrapText="0"/>
    </x:xf>
    <x:xf numFmtId="206" fontId="7" fillId="0" borderId="0" xfId="0" applyNumberFormat="1" applyFont="1" applyFill="1" applyBorder="1" applyAlignment="1">
      <x:alignment vertical="top" wrapText="0"/>
    </x:xf>
    <x:xf numFmtId="207" fontId="7" fillId="0" borderId="0" xfId="0" applyNumberFormat="1" applyFont="1" applyFill="1" applyBorder="1" applyAlignment="1">
      <x:alignment vertical="top" wrapText="0"/>
    </x:xf>
    <x:xf numFmtId="208" fontId="7" fillId="0" borderId="0" xfId="0" applyNumberFormat="1" applyFont="1" applyFill="1" applyBorder="1" applyAlignment="1">
      <x:alignment vertical="top" wrapText="0"/>
    </x:xf>
    <x:xf numFmtId="202" fontId="7" fillId="0" borderId="0" xfId="0" applyNumberFormat="1" applyFont="1" applyFill="1" applyBorder="1" applyAlignment="1">
      <x:alignment vertical="top" wrapText="0"/>
    </x:xf>
    <x:xf numFmtId="210" fontId="5" fillId="0" borderId="5" xfId="0" applyNumberFormat="1" applyFont="1" applyFill="1" applyBorder="1" applyAlignment="1">
      <x:alignment vertical="top" wrapText="0"/>
    </x:xf>
    <x:xf numFmtId="210" fontId="5" fillId="0" borderId="6" xfId="0" applyNumberFormat="1" applyFont="1" applyFill="1" applyBorder="1" applyAlignment="1">
      <x:alignment vertical="top" wrapText="0"/>
    </x:xf>
  </x:cellXfs>
  <x:cellStyles count="1">
    <x:cellStyle name="Normal" xfId="0"/>
  </x:cellStyles>
  <x:dxfs count="18"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9A6700"/>
      </x:font>
      <x:fill>
        <x:patternFill patternType="solid">
          <x:bgColor rgb="FFFFF4C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9A6700"/>
      </x:font>
      <x:fill>
        <x:patternFill patternType="solid">
          <x:bgColor rgb="FFFFF4C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9A6700"/>
      </x:font>
      <x:fill>
        <x:patternFill patternType="solid">
          <x:bgColor rgb="FFFFF4C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9A6700"/>
      </x:font>
      <x:fill>
        <x:patternFill patternType="solid">
          <x:bgColor rgb="FFFFF4C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9A6700"/>
      </x:font>
      <x:fill>
        <x:patternFill patternType="solid">
          <x:bgColor rgb="FFFFF4C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9A6700"/>
      </x:font>
      <x:fill>
        <x:patternFill patternType="solid">
          <x:bgColor rgb="FFFFF4C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9A6700"/>
      </x:font>
      <x:fill>
        <x:patternFill patternType="solid">
          <x:bgColor rgb="FFFFF4C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9A6700"/>
      </x:font>
      <x:fill>
        <x:patternFill patternType="solid">
          <x:bgColor rgb="FFFFF4CE"/>
        </x:patternFill>
      </x:fill>
    </x:dxf>
    <x:dxf>
      <x:font>
        <x:b/>
        <x:color rgb="FFB42318"/>
      </x:font>
      <x:fill>
        <x:patternFill patternType="solid">
          <x:bgColor rgb="FFFDECEC"/>
        </x:patternFill>
      </x:fill>
    </x:dxf>
    <x:dxf>
      <x:font>
        <x:color rgb="FF9A6700"/>
      </x:font>
      <x:fill>
        <x:patternFill patternType="solid">
          <x:bgColor rgb="FFFFF4CE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a46a03d876f4f6c" /><Relationship Type="http://schemas.openxmlformats.org/officeDocument/2006/relationships/theme" Target="/xl/theme/theme1.xml" Id="R589d810584a84ce5" /><Relationship Type="http://schemas.openxmlformats.org/officeDocument/2006/relationships/sharedStrings" Target="/xl/sharedStrings.xml" Id="R660a045697bc4b27" /><Relationship Type="http://schemas.openxmlformats.org/officeDocument/2006/relationships/worksheet" Target="/xl/worksheets/sheet1.xml" Id="Ra84aac74584842d8" /><Relationship Type="http://schemas.openxmlformats.org/officeDocument/2006/relationships/worksheet" Target="/xl/worksheets/sheet2.xml" Id="R1c06527e47b64501" /><Relationship Type="http://schemas.openxmlformats.org/officeDocument/2006/relationships/worksheet" Target="/xl/worksheets/sheet3.xml" Id="Rc5c93f687c17430f" /><Relationship Type="http://schemas.openxmlformats.org/officeDocument/2006/relationships/worksheet" Target="/xl/worksheets/sheet4.xml" Id="Ra82b37e853ce4115" /><Relationship Type="http://schemas.openxmlformats.org/officeDocument/2006/relationships/worksheet" Target="/xl/worksheets/sheet5.xml" Id="R7e98eabbfad64950" /><Relationship Type="http://schemas.openxmlformats.org/officeDocument/2006/relationships/worksheet" Target="/xl/worksheets/sheet6.xml" Id="R343fa0e5660a46d6" /><Relationship Type="http://schemas.openxmlformats.org/officeDocument/2006/relationships/worksheet" Target="/xl/worksheets/sheet7.xml" Id="R882e53e838504f4b" /><Relationship Type="http://schemas.openxmlformats.org/officeDocument/2006/relationships/worksheet" Target="/xl/worksheets/sheet8.xml" Id="R58ccf531acbe47aa" /><Relationship Type="http://schemas.openxmlformats.org/officeDocument/2006/relationships/worksheet" Target="/xl/worksheets/sheet9.xml" Id="R6371a3f0d6364dc3" /><Relationship Type="http://schemas.openxmlformats.org/officeDocument/2006/relationships/worksheet" Target="/xl/worksheets/sheet10.xml" Id="R157d194abc414103" /><Relationship Type="http://schemas.openxmlformats.org/officeDocument/2006/relationships/worksheet" Target="/xl/worksheets/sheet11.xml" Id="Rfb1b34772d044598" /><Relationship Type="http://schemas.openxmlformats.org/officeDocument/2006/relationships/worksheet" Target="/xl/worksheets/sheet12.xml" Id="R9992c88eb81a46b9" /><Relationship Type="http://schemas.openxmlformats.org/officeDocument/2006/relationships/worksheet" Target="/xl/worksheets/sheet13.xml" Id="R1ad17626a30d4039" /><Relationship Type="http://schemas.openxmlformats.org/officeDocument/2006/relationships/worksheet" Target="/xl/worksheets/sheet14.xml" Id="R728f0a42323a415b" /><Relationship Type="http://schemas.openxmlformats.org/officeDocument/2006/relationships/worksheet" Target="/xl/worksheets/sheet15.xml" Id="R812ef373e52640ce" /><Relationship Type="http://schemas.openxmlformats.org/officeDocument/2006/relationships/worksheet" Target="/xl/worksheets/sheet16.xml" Id="R8483737619ae4ae9" /><Relationship Type="http://schemas.openxmlformats.org/officeDocument/2006/relationships/worksheet" Target="/xl/worksheets/sheet17.xml" Id="Re857129a591b403d" /><Relationship Type="http://schemas.openxmlformats.org/officeDocument/2006/relationships/worksheet" Target="/xl/worksheets/sheet18.xml" Id="R3d064a19139648b9" /><Relationship Type="http://schemas.openxmlformats.org/officeDocument/2006/relationships/worksheet" Target="/xl/worksheets/sheet19.xml" Id="Ra15511c3db57418d" /><Relationship Type="http://schemas.openxmlformats.org/officeDocument/2006/relationships/worksheet" Target="/xl/worksheets/sheet20.xml" Id="R174804e4b4854005" /><Relationship Type="http://schemas.openxmlformats.org/officeDocument/2006/relationships/worksheet" Target="/xl/worksheets/sheet21.xml" Id="R1ffa07773f944686" /><Relationship Type="http://schemas.openxmlformats.org/officeDocument/2006/relationships/worksheet" Target="/xl/worksheets/sheet22.xml" Id="Re1f82c0f0176445e" /><Relationship Type="http://schemas.openxmlformats.org/officeDocument/2006/relationships/worksheet" Target="/xl/worksheets/sheet23.xml" Id="R859eeadcc6934fb5" /><Relationship Type="http://schemas.openxmlformats.org/officeDocument/2006/relationships/worksheet" Target="/xl/worksheets/sheet24.xml" Id="R0aef99cf130c4bb0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dd1297047ef490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Knowledge jurisdiction by account (USD T)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USD T</c:v>
          </c:tx>
          <c:cat>
            <c:strRef>
              <c:f>'Decision'!$A$21:$A$23</c:f>
              <c:strCache>
                <c:ptCount val="0"/>
              </c:strCache>
            </c:strRef>
          </c:cat>
          <c:val>
            <c:numRef>
              <c:f>'Decision'!$B$21:$B$23</c:f>
              <c:numCache>
                <c:formatCode>$0.00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0.0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5</xdr:row>
      <xdr:rowOff>0</xdr:rowOff>
    </xdr:from>
    <xdr:to>
      <xdr:col>12</xdr:col>
      <xdr:colOff>0</xdr:colOff>
      <xdr:row>19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dd1297047ef490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c1875bce07543f5" /></Relationships>
</file>

<file path=xl/worksheets/sheet1.xml><?xml version="1.0" encoding="utf-8"?>
<x:worksheet xmlns:x="http://schemas.openxmlformats.org/spreadsheetml/2006/main">
  <x:sheetPr>
    <x:tabColor rgb="FF17324D"/>
  </x:sheetPr>
  <x:sheetViews>
    <x:sheetView showGridLines="0" workbookViewId="0"/>
  </x:sheetViews>
  <x:sheetFormatPr defaultRowHeight="15"/>
  <x:cols>
    <x:col min="1" max="1" width="31" hidden="0" customWidth="1"/>
    <x:col min="2" max="2" width="29" hidden="0" customWidth="1"/>
    <x:col min="3" max="3" width="24" hidden="0" customWidth="1"/>
  </x:cols>
  <x:sheetData>
    <x:row r="2">
      <x:c r="A2" s="73" t="str">
        <x:v>Public Reality Commons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Pass 204 decision, constitutional boundary and nested twenty-five-year jurisdiction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77" t="str">
        <x:v>Decision</x:v>
      </x:c>
      <x:c r="B6" s="77" t="str">
        <x:v>Selected architecture</x:v>
      </x:c>
      <x:c r="C6" s="77" t="str">
        <x:v>Verdict</x:v>
      </x:c>
      <x:c r="D6" s="74"/>
      <x:c r="E6" s="74"/>
      <x:c r="F6" s="74"/>
      <x:c r="G6" s="74"/>
      <x:c r="H6" s="74"/>
      <x:c r="I6" s="74"/>
      <x:c r="J6" s="74"/>
      <x:c r="K6" s="74"/>
      <x:c r="L6" s="74"/>
      <x:c r="M6" s="74"/>
      <x:c r="N6" s="74"/>
    </x:row>
    <x:row r="7">
      <x:c r="A7" s="78" t="str">
        <x:v>Department knowledge constitution</x:v>
      </x:c>
      <x:c r="B7" s="78" t="str">
        <x:v>Public Reality Commons</x:v>
      </x:c>
      <x:c r="C7" s="78" t="str">
        <x:v>CLOSE</x:v>
      </x:c>
      <x:c r="D7" s="74"/>
      <x:c r="E7" s="74"/>
      <x:c r="F7" s="74"/>
      <x:c r="G7" s="74"/>
      <x:c r="H7" s="74"/>
      <x:c r="I7" s="74"/>
      <x:c r="J7" s="74"/>
      <x:c r="K7" s="74"/>
      <x:c r="L7" s="74"/>
      <x:c r="M7" s="74"/>
      <x:c r="N7" s="74"/>
    </x:row>
    <x:row r="8">
      <x:c r="A8" s="74"/>
      <x:c r="B8" s="74"/>
      <x:c r="C8" s="74"/>
      <x:c r="D8" s="74"/>
      <x:c r="E8" s="74"/>
      <x:c r="F8" s="74"/>
      <x:c r="G8" s="74"/>
      <x:c r="H8" s="74"/>
      <x:c r="I8" s="74"/>
      <x:c r="J8" s="74"/>
      <x:c r="K8" s="74"/>
      <x:c r="L8" s="74"/>
      <x:c r="M8" s="74"/>
      <x:c r="N8" s="74"/>
    </x:row>
    <x:row r="9">
      <x:c r="A9" s="77" t="str">
        <x:v>Measure</x:v>
      </x:c>
      <x:c r="B9" s="77" t="str">
        <x:v>Selected case</x:v>
      </x:c>
      <x:c r="C9" s="77" t="str">
        <x:v>Value</x:v>
      </x:c>
      <x:c r="D9" s="74"/>
      <x:c r="E9" s="74"/>
      <x:c r="F9" s="74"/>
      <x:c r="G9" s="74"/>
      <x:c r="H9" s="74"/>
      <x:c r="I9" s="74"/>
      <x:c r="J9" s="74"/>
      <x:c r="K9" s="74"/>
      <x:c r="L9" s="74"/>
      <x:c r="M9" s="74"/>
      <x:c r="N9" s="74"/>
    </x:row>
    <x:row r="10">
      <x:c r="A10" s="74" t="str">
        <x:v>Knowledge workforce</x:v>
      </x:c>
      <x:c r="B10" s="74" t="str">
        <x:f>Controls!$C$24</x:f>
        <x:v>Base</x:v>
      </x:c>
      <x:c r="C10" s="79" t="n">
        <x:f>Workforce!D14</x:f>
        <x:v>599544</x:v>
      </x:c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</x:row>
    <x:row r="11">
      <x:c r="A11" s="74" t="str">
        <x:v>Mature operations</x:v>
      </x:c>
      <x:c r="B11" s="74" t="str">
        <x:f>Controls!$C$24</x:f>
        <x:v>Base</x:v>
      </x:c>
      <x:c r="C11" s="80" t="n">
        <x:f>'Mature Operations'!D17</x:f>
        <x:v>279.91336</x:v>
      </x:c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</x:row>
    <x:row r="12">
      <x:c r="A12" s="74" t="str">
        <x:v>Technology jurisdiction</x:v>
      </x:c>
      <x:c r="B12" s="74" t="str">
        <x:f>Controls!$C$24</x:f>
        <x:v>Base</x:v>
      </x:c>
      <x:c r="C12" s="80" t="n">
        <x:f>Technology!D14</x:f>
        <x:v>175</x:v>
      </x:c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</x:row>
    <x:row r="13">
      <x:c r="A13" s="74" t="str">
        <x:v>Capital jurisdiction</x:v>
      </x:c>
      <x:c r="B13" s="74" t="str">
        <x:f>Controls!$C$24</x:f>
        <x:v>Base</x:v>
      </x:c>
      <x:c r="C13" s="80" t="n">
        <x:f>Capital!F17</x:f>
        <x:v>680.0000000000001</x:v>
      </x:c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  <x:c r="N13" s="74"/>
    </x:row>
    <x:row r="14">
      <x:c r="A14" s="74" t="str">
        <x:v>Twenty-five-year jurisdiction</x:v>
      </x:c>
      <x:c r="B14" s="74" t="str">
        <x:f>Controls!$C$24</x:f>
        <x:v>Base</x:v>
      </x:c>
      <x:c r="C14" s="81" t="n">
        <x:f>'25-Year Economy'!H33</x:f>
        <x:v>6.187349508000003</x:v>
      </x:c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</x:row>
    <x:row r="15">
      <x:c r="A15" s="74"/>
      <x:c r="B15" s="74"/>
      <x:c r="C15" s="74"/>
      <x:c r="D15" s="74"/>
      <x:c r="E15" s="74"/>
      <x:c r="F15" s="74"/>
      <x:c r="G15" s="74"/>
      <x:c r="H15" s="74"/>
      <x:c r="I15" s="74"/>
      <x:c r="J15" s="74"/>
      <x:c r="K15" s="74"/>
      <x:c r="L15" s="74"/>
      <x:c r="M15" s="74"/>
      <x:c r="N15" s="74"/>
    </x:row>
    <x:row r="16">
      <x:c r="A16" s="77" t="str">
        <x:v>Constitutional result</x:v>
      </x:c>
      <x:c r="B16" s="77" t="str">
        <x:v>Why it matters</x:v>
      </x:c>
      <x:c r="C16" s="77" t="str">
        <x:v>Authority state</x:v>
      </x:c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</x:row>
    <x:row r="17" ht="65" customHeight="1">
      <x:c r="A17" s="71" t="str">
        <x:v>Four knowledge planes; three unlike forecast roots; twelve subordinate warrants; fourteen rights; fifteen nonconversions</x:v>
      </x:c>
      <x:c r="B17" s="71" t="str">
        <x:v>Knowledge may inform action but cannot manufacture warning, activation, eligibility or command.</x:v>
      </x:c>
      <x:c r="C17" s="71" t="str">
        <x:v>ZERO / SOURCE-EMPTY</x:v>
      </x:c>
      <x:c r="D17" s="74"/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</x:row>
    <x:row r="18">
      <x:c r="A18" s="74"/>
      <x:c r="B18" s="74"/>
      <x:c r="C18" s="74"/>
      <x:c r="D18" s="74"/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</x:row>
    <x:row r="19">
      <x:c r="A19" s="74"/>
      <x:c r="B19" s="74"/>
      <x:c r="C19" s="74"/>
      <x:c r="D19" s="74"/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</x:row>
    <x:row r="20">
      <x:c r="A20" s="77" t="str">
        <x:v>Twenty-five-year account</x:v>
      </x:c>
      <x:c r="B20" s="77" t="str">
        <x:v>USD T</x:v>
      </x:c>
      <x:c r="C20" s="74"/>
      <x:c r="D20" s="74"/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</x:row>
    <x:row r="21">
      <x:c r="A21" s="74" t="str">
        <x:v>Technology</x:v>
      </x:c>
      <x:c r="B21" s="82" t="n">
        <x:f>Technology!D14/1000</x:f>
        <x:v>0.175</x:v>
      </x:c>
      <x:c r="C21" s="74"/>
      <x:c r="D21" s="74"/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</x:row>
    <x:row r="22">
      <x:c r="A22" s="74" t="str">
        <x:v>Capital</x:v>
      </x:c>
      <x:c r="B22" s="82" t="n">
        <x:f>Capital!F17/1000</x:f>
        <x:v>0.6800000000000002</x:v>
      </x:c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</x:row>
    <x:row r="23">
      <x:c r="A23" s="74" t="str">
        <x:v>Ramped operations</x:v>
      </x:c>
      <x:c r="B23" s="82" t="n">
        <x:f>'25-Year Economy'!G33/1000</x:f>
        <x:v>5.332349508000001</x:v>
      </x:c>
      <x:c r="C23" s="74"/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</x:row>
  </x:sheetData>
  <x:pageMargins left="0.7" right="0.7" top="0.75" bottom="0.75" header="0.3" footer="0.3"/>
  <x:drawing xmlns:r="http://schemas.openxmlformats.org/officeDocument/2006/relationships" r:id="R0c1875bce07543f5"/>
</x:worksheet>
</file>

<file path=xl/worksheets/sheet2.xml><?xml version="1.0" encoding="utf-8"?>
<x:worksheet xmlns:x="http://schemas.openxmlformats.org/spreadsheetml/2006/main">
  <x:sheetPr>
    <x:tabColor rgb="FF2F669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2" hidden="0" customWidth="1"/>
    <x:col min="2" max="2" width="58" hidden="0" customWidth="1"/>
    <x:col min="3" max="3" width="23" hidden="0" customWidth="1"/>
    <x:col min="4" max="4" width="21" hidden="0" customWidth="1"/>
    <x:col min="5" max="5" width="20" hidden="0" customWidth="1"/>
  </x:cols>
  <x:sheetData>
    <x:row r="2">
      <x:c r="A2" s="73" t="str">
        <x:v>Controls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Editable case selector and inherited Department-scale constraints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Control</x:v>
      </x:c>
      <x:c r="B6" s="90" t="str">
        <x:v>Description</x:v>
      </x:c>
      <x:c r="C6" s="90" t="str">
        <x:v>Value</x:v>
      </x:c>
      <x:c r="D6" s="90" t="str">
        <x:v>Unit</x:v>
      </x:c>
      <x:c r="E6" s="91" t="str">
        <x:v>Basis</x:v>
      </x:c>
      <x:c r="F6" s="74"/>
      <x:c r="G6" s="74"/>
      <x:c r="H6" s="74"/>
      <x:c r="I6" s="74"/>
      <x:c r="J6" s="74"/>
      <x:c r="K6" s="74"/>
      <x:c r="L6" s="74"/>
      <x:c r="M6" s="74"/>
      <x:c r="N6" s="74"/>
    </x:row>
    <x:row r="7">
      <x:c r="A7" s="92" t="str">
        <x:v>PPL</x:v>
      </x:c>
      <x:c r="B7" s="31" t="str">
        <x:v>Department affiliated establishment</x:v>
      </x:c>
      <x:c r="C7" s="93" t="n">
        <x:v>13000000</x:v>
      </x:c>
      <x:c r="D7" s="92" t="str">
        <x:v>positions</x:v>
      </x:c>
      <x:c r="E7" s="92" t="str">
        <x:v>Pass 203</x:v>
      </x:c>
      <x:c r="F7" s="74"/>
      <x:c r="G7" s="74"/>
      <x:c r="H7" s="74"/>
      <x:c r="I7" s="74"/>
      <x:c r="J7" s="74"/>
      <x:c r="K7" s="74"/>
      <x:c r="L7" s="74"/>
      <x:c r="M7" s="74"/>
      <x:c r="N7" s="74"/>
    </x:row>
    <x:row r="8">
      <x:c r="A8" s="94" t="str">
        <x:v>OPS</x:v>
      </x:c>
      <x:c r="B8" s="32" t="str">
        <x:v>Mature Department operations</x:v>
      </x:c>
      <x:c r="C8" s="95" t="n">
        <x:v>2630</x:v>
      </x:c>
      <x:c r="D8" s="94" t="str">
        <x:v>USD B/year</x:v>
      </x:c>
      <x:c r="E8" s="94" t="str">
        <x:v>Pass 203</x:v>
      </x:c>
      <x:c r="F8" s="74"/>
      <x:c r="G8" s="74"/>
      <x:c r="H8" s="74"/>
      <x:c r="I8" s="74"/>
      <x:c r="J8" s="74"/>
      <x:c r="K8" s="74"/>
      <x:c r="L8" s="74"/>
      <x:c r="M8" s="74"/>
      <x:c r="N8" s="74"/>
    </x:row>
    <x:row r="9">
      <x:c r="A9" s="94" t="str">
        <x:v>TECH</x:v>
      </x:c>
      <x:c r="B9" s="32" t="str">
        <x:v>Department technology account</x:v>
      </x:c>
      <x:c r="C9" s="95" t="n">
        <x:v>1000</x:v>
      </x:c>
      <x:c r="D9" s="94" t="str">
        <x:v>USD B</x:v>
      </x:c>
      <x:c r="E9" s="94" t="str">
        <x:v>Pass 201</x:v>
      </x:c>
      <x:c r="F9" s="74"/>
      <x:c r="G9" s="74"/>
      <x:c r="H9" s="74"/>
      <x:c r="I9" s="74"/>
      <x:c r="J9" s="74"/>
      <x:c r="K9" s="74"/>
      <x:c r="L9" s="74"/>
      <x:c r="M9" s="74"/>
      <x:c r="N9" s="74"/>
    </x:row>
    <x:row r="10">
      <x:c r="A10" s="94" t="str">
        <x:v>CAP</x:v>
      </x:c>
      <x:c r="B10" s="32" t="str">
        <x:v>Department capital account</x:v>
      </x:c>
      <x:c r="C10" s="95" t="n">
        <x:v>17400</x:v>
      </x:c>
      <x:c r="D10" s="94" t="str">
        <x:v>USD B</x:v>
      </x:c>
      <x:c r="E10" s="94" t="str">
        <x:v>Pass 201</x:v>
      </x:c>
      <x:c r="F10" s="74"/>
      <x:c r="G10" s="74"/>
      <x:c r="H10" s="74"/>
      <x:c r="I10" s="74"/>
      <x:c r="J10" s="74"/>
      <x:c r="K10" s="74"/>
      <x:c r="L10" s="74"/>
      <x:c r="M10" s="74"/>
      <x:c r="N10" s="74"/>
    </x:row>
    <x:row r="11">
      <x:c r="A11" s="94" t="str">
        <x:v>OUTLAY</x:v>
      </x:c>
      <x:c r="B11" s="32" t="str">
        <x:v>Department twenty-five-year public outlay</x:v>
      </x:c>
      <x:c r="C11" s="95" t="n">
        <x:v>68400</x:v>
      </x:c>
      <x:c r="D11" s="94" t="str">
        <x:v>USD B</x:v>
      </x:c>
      <x:c r="E11" s="94" t="str">
        <x:v>Pass 203</x:v>
      </x:c>
      <x:c r="F11" s="74"/>
      <x:c r="G11" s="74"/>
      <x:c r="H11" s="74"/>
      <x:c r="I11" s="74"/>
      <x:c r="J11" s="74"/>
      <x:c r="K11" s="74"/>
      <x:c r="L11" s="74"/>
      <x:c r="M11" s="74"/>
      <x:c r="N11" s="74"/>
    </x:row>
    <x:row r="12">
      <x:c r="A12" s="94" t="str">
        <x:v>RAMP</x:v>
      </x:c>
      <x:c r="B12" s="32" t="str">
        <x:v>Mature-year equivalent across twenty-five years</x:v>
      </x:c>
      <x:c r="C12" s="95" t="n">
        <x:v>19.05</x:v>
      </x:c>
      <x:c r="D12" s="94" t="str">
        <x:v>years</x:v>
      </x:c>
      <x:c r="E12" s="94" t="str">
        <x:v>Pass 203</x:v>
      </x:c>
      <x:c r="F12" s="74"/>
      <x:c r="G12" s="74"/>
      <x:c r="H12" s="74"/>
      <x:c r="I12" s="74"/>
      <x:c r="J12" s="74"/>
      <x:c r="K12" s="74"/>
      <x:c r="L12" s="74"/>
      <x:c r="M12" s="74"/>
      <x:c r="N12" s="74"/>
    </x:row>
    <x:row r="13">
      <x:c r="A13" s="94" t="str">
        <x:v>DIST</x:v>
      </x:c>
      <x:c r="B13" s="32" t="str">
        <x:v>Readiness districts</x:v>
      </x:c>
      <x:c r="C13" s="95" t="n">
        <x:v>7</x:v>
      </x:c>
      <x:c r="D13" s="94" t="str">
        <x:v>count</x:v>
      </x:c>
      <x:c r="E13" s="94" t="str">
        <x:v>Pass 167</x:v>
      </x:c>
      <x:c r="F13" s="74"/>
      <x:c r="G13" s="74"/>
      <x:c r="H13" s="74"/>
      <x:c r="I13" s="74"/>
      <x:c r="J13" s="74"/>
      <x:c r="K13" s="74"/>
      <x:c r="L13" s="74"/>
      <x:c r="M13" s="74"/>
      <x:c r="N13" s="74"/>
    </x:row>
    <x:row r="14">
      <x:c r="A14" s="94" t="str">
        <x:v>CAMP</x:v>
      </x:c>
      <x:c r="B14" s="32" t="str">
        <x:v>Domestic campaigns</x:v>
      </x:c>
      <x:c r="C14" s="95" t="n">
        <x:v>8</x:v>
      </x:c>
      <x:c r="D14" s="94" t="str">
        <x:v>count</x:v>
      </x:c>
      <x:c r="E14" s="94" t="str">
        <x:v>Pass 202</x:v>
      </x:c>
      <x:c r="F14" s="74"/>
      <x:c r="G14" s="74"/>
      <x:c r="H14" s="74"/>
      <x:c r="I14" s="74"/>
      <x:c r="J14" s="74"/>
      <x:c r="K14" s="74"/>
      <x:c r="L14" s="74"/>
      <x:c r="M14" s="74"/>
      <x:c r="N14" s="74"/>
    </x:row>
    <x:row r="15">
      <x:c r="A15" s="94" t="str">
        <x:v>EFFECT</x:v>
      </x:c>
      <x:c r="B15" s="32" t="str">
        <x:v>Nonfungible public effects</x:v>
      </x:c>
      <x:c r="C15" s="95" t="n">
        <x:v>9</x:v>
      </x:c>
      <x:c r="D15" s="94" t="str">
        <x:v>count</x:v>
      </x:c>
      <x:c r="E15" s="94" t="str">
        <x:v>Pass 201</x:v>
      </x:c>
      <x:c r="F15" s="74"/>
      <x:c r="G15" s="74"/>
      <x:c r="H15" s="74"/>
      <x:c r="I15" s="74"/>
      <x:c r="J15" s="74"/>
      <x:c r="K15" s="74"/>
      <x:c r="L15" s="74"/>
      <x:c r="M15" s="74"/>
      <x:c r="N15" s="74"/>
    </x:row>
    <x:row r="16">
      <x:c r="A16" s="94" t="str">
        <x:v>ROOTS</x:v>
      </x:c>
      <x:c r="B16" s="32" t="str">
        <x:v>Unlike decision-grade forecast roots</x:v>
      </x:c>
      <x:c r="C16" s="95" t="n">
        <x:v>3</x:v>
      </x:c>
      <x:c r="D16" s="94" t="str">
        <x:v>per cell</x:v>
      </x:c>
      <x:c r="E16" s="94" t="str">
        <x:v>Pass 204 decision</x:v>
      </x:c>
      <x:c r="F16" s="74"/>
      <x:c r="G16" s="74"/>
      <x:c r="H16" s="74"/>
      <x:c r="I16" s="74"/>
      <x:c r="J16" s="74"/>
      <x:c r="K16" s="74"/>
      <x:c r="L16" s="74"/>
      <x:c r="M16" s="74"/>
      <x:c r="N16" s="74"/>
    </x:row>
    <x:row r="17">
      <x:c r="A17" s="94" t="str">
        <x:v>RECV</x:v>
      </x:c>
      <x:c r="B17" s="32" t="str">
        <x:v>Primary and alternate receiver routes</x:v>
      </x:c>
      <x:c r="C17" s="95" t="n">
        <x:v>1008</x:v>
      </x:c>
      <x:c r="D17" s="94" t="str">
        <x:v>routes</x:v>
      </x:c>
      <x:c r="E17" s="94" t="str">
        <x:v>Pass 202</x:v>
      </x:c>
      <x:c r="F17" s="74"/>
      <x:c r="G17" s="74"/>
      <x:c r="H17" s="74"/>
      <x:c r="I17" s="74"/>
      <x:c r="J17" s="74"/>
      <x:c r="K17" s="74"/>
      <x:c r="L17" s="74"/>
      <x:c r="M17" s="74"/>
      <x:c r="N17" s="74"/>
    </x:row>
    <x:row r="18">
      <x:c r="A18" s="94" t="str">
        <x:v>FDI</x:v>
      </x:c>
      <x:c r="B18" s="32" t="str">
        <x:v>Family-district interfaces</x:v>
      </x:c>
      <x:c r="C18" s="95" t="n">
        <x:v>336</x:v>
      </x:c>
      <x:c r="D18" s="94" t="str">
        <x:v>interfaces</x:v>
      </x:c>
      <x:c r="E18" s="94" t="str">
        <x:v>Pass 202</x:v>
      </x:c>
      <x:c r="F18" s="74"/>
      <x:c r="G18" s="74"/>
      <x:c r="H18" s="74"/>
      <x:c r="I18" s="74"/>
      <x:c r="J18" s="74"/>
      <x:c r="K18" s="74"/>
      <x:c r="L18" s="74"/>
      <x:c r="M18" s="74"/>
      <x:c r="N18" s="74"/>
    </x:row>
    <x:row r="19">
      <x:c r="A19" s="94" t="str">
        <x:v>FORM</x:v>
      </x:c>
      <x:c r="B19" s="32" t="str">
        <x:v>Owned formations</x:v>
      </x:c>
      <x:c r="C19" s="95" t="n">
        <x:v>5251</x:v>
      </x:c>
      <x:c r="D19" s="94" t="str">
        <x:v>formations</x:v>
      </x:c>
      <x:c r="E19" s="94" t="str">
        <x:v>Pass 167</x:v>
      </x:c>
      <x:c r="F19" s="74"/>
      <x:c r="G19" s="74"/>
      <x:c r="H19" s="74"/>
      <x:c r="I19" s="74"/>
      <x:c r="J19" s="74"/>
      <x:c r="K19" s="74"/>
      <x:c r="L19" s="74"/>
      <x:c r="M19" s="74"/>
      <x:c r="N19" s="74"/>
    </x:row>
    <x:row r="20">
      <x:c r="A20" s="94" t="str">
        <x:v>RH</x:v>
      </x:c>
      <x:c r="B20" s="32" t="str">
        <x:v>Independent Root Houses</x:v>
      </x:c>
      <x:c r="C20" s="95" t="n">
        <x:v>24</x:v>
      </x:c>
      <x:c r="D20" s="94" t="str">
        <x:v>houses</x:v>
      </x:c>
      <x:c r="E20" s="94" t="str">
        <x:v>Pass 175</x:v>
      </x:c>
      <x:c r="F20" s="74"/>
      <x:c r="G20" s="74"/>
      <x:c r="H20" s="74"/>
      <x:c r="I20" s="74"/>
      <x:c r="J20" s="74"/>
      <x:c r="K20" s="74"/>
      <x:c r="L20" s="74"/>
      <x:c r="M20" s="74"/>
      <x:c r="N20" s="74"/>
    </x:row>
    <x:row r="21">
      <x:c r="A21" s="94" t="str">
        <x:v>YEARS</x:v>
      </x:c>
      <x:c r="B21" s="32" t="str">
        <x:v>Planning horizon</x:v>
      </x:c>
      <x:c r="C21" s="95" t="n">
        <x:v>25</x:v>
      </x:c>
      <x:c r="D21" s="94" t="str">
        <x:v>years</x:v>
      </x:c>
      <x:c r="E21" s="94" t="str">
        <x:v>Pass 204</x:v>
      </x:c>
      <x:c r="F21" s="74"/>
      <x:c r="G21" s="74"/>
      <x:c r="H21" s="74"/>
      <x:c r="I21" s="74"/>
      <x:c r="J21" s="74"/>
      <x:c r="K21" s="74"/>
      <x:c r="L21" s="74"/>
      <x:c r="M21" s="74"/>
      <x:c r="N21" s="74"/>
    </x:row>
    <x:row r="22">
      <x:c r="A22" s="74"/>
      <x:c r="B22" s="74"/>
      <x:c r="C22" s="74"/>
      <x:c r="D22" s="74"/>
      <x:c r="E22" s="74"/>
      <x:c r="F22" s="74"/>
      <x:c r="G22" s="74"/>
      <x:c r="H22" s="74"/>
      <x:c r="I22" s="74"/>
      <x:c r="J22" s="74"/>
      <x:c r="K22" s="74"/>
      <x:c r="L22" s="74"/>
      <x:c r="M22" s="74"/>
      <x:c r="N22" s="74"/>
    </x:row>
    <x:row r="23">
      <x:c r="A23" s="74"/>
      <x:c r="B23" s="74" t="str">
        <x:v>Case selector</x:v>
      </x:c>
      <x:c r="C23" s="96" t="n">
        <x:v>2</x:v>
      </x:c>
      <x:c r="D23" s="74"/>
      <x:c r="E23" s="74"/>
      <x:c r="F23" s="74"/>
      <x:c r="G23" s="74"/>
      <x:c r="H23" s="74"/>
      <x:c r="I23" s="74"/>
      <x:c r="J23" s="74"/>
      <x:c r="K23" s="74"/>
      <x:c r="L23" s="74"/>
      <x:c r="M23" s="74"/>
      <x:c r="N23" s="74"/>
    </x:row>
    <x:row r="24">
      <x:c r="A24" s="74"/>
      <x:c r="B24" s="74" t="str">
        <x:v>Selected case</x:v>
      </x:c>
      <x:c r="C24" s="74" t="str">
        <x:f>CHOOSE(C23,A27,A28,A29)</x:f>
        <x:v>Base</x:v>
      </x:c>
      <x:c r="D24" s="74"/>
      <x:c r="E24" s="74"/>
      <x:c r="F24" s="74"/>
      <x:c r="G24" s="74"/>
      <x:c r="H24" s="74"/>
      <x:c r="I24" s="74"/>
      <x:c r="J24" s="74"/>
      <x:c r="K24" s="74"/>
      <x:c r="L24" s="74"/>
      <x:c r="M24" s="74"/>
      <x:c r="N24" s="74"/>
    </x:row>
    <x:row r="25">
      <x:c r="A25" s="74"/>
      <x:c r="B25" s="74"/>
      <x:c r="C25" s="74"/>
      <x:c r="D25" s="74"/>
      <x:c r="E25" s="74"/>
      <x:c r="F25" s="74"/>
      <x:c r="G25" s="74"/>
      <x:c r="H25" s="74"/>
      <x:c r="I25" s="74"/>
      <x:c r="J25" s="74"/>
      <x:c r="K25" s="74"/>
      <x:c r="L25" s="74"/>
      <x:c r="M25" s="74"/>
      <x:c r="N25" s="74"/>
    </x:row>
    <x:row r="26">
      <x:c r="A26" s="89" t="str">
        <x:v>Case</x:v>
      </x:c>
      <x:c r="B26" s="90" t="str">
        <x:v>Loaded rate (USD k/position)</x:v>
      </x:c>
      <x:c r="C26" s="90" t="str">
        <x:v>Nonpeople O&amp;M multiplier</x:v>
      </x:c>
      <x:c r="D26" s="90" t="str">
        <x:v>Technology multiplier</x:v>
      </x:c>
      <x:c r="E26" s="91" t="str">
        <x:v>Capital multiplier</x:v>
      </x:c>
      <x:c r="F26" s="74"/>
      <x:c r="G26" s="74"/>
      <x:c r="H26" s="74"/>
      <x:c r="I26" s="74"/>
      <x:c r="J26" s="74"/>
      <x:c r="K26" s="74"/>
      <x:c r="L26" s="74"/>
      <x:c r="M26" s="74"/>
      <x:c r="N26" s="74"/>
    </x:row>
    <x:row r="27">
      <x:c r="A27" s="92" t="str">
        <x:v>Low</x:v>
      </x:c>
      <x:c r="B27" s="97" t="n">
        <x:v>160</x:v>
      </x:c>
      <x:c r="C27" s="98" t="n">
        <x:v>0.85</x:v>
      </x:c>
      <x:c r="D27" s="98" t="n">
        <x:v>0.8</x:v>
      </x:c>
      <x:c r="E27" s="98" t="n">
        <x:v>0.8</x:v>
      </x:c>
      <x:c r="F27" s="74"/>
      <x:c r="G27" s="74"/>
      <x:c r="H27" s="74"/>
      <x:c r="I27" s="74"/>
      <x:c r="J27" s="74"/>
      <x:c r="K27" s="74"/>
      <x:c r="L27" s="74"/>
      <x:c r="M27" s="74"/>
      <x:c r="N27" s="74"/>
    </x:row>
    <x:row r="28">
      <x:c r="A28" s="94" t="str">
        <x:v>Base</x:v>
      </x:c>
      <x:c r="B28" s="99" t="n">
        <x:v>190</x:v>
      </x:c>
      <x:c r="C28" s="100" t="n">
        <x:v>1</x:v>
      </x:c>
      <x:c r="D28" s="100" t="n">
        <x:v>1</x:v>
      </x:c>
      <x:c r="E28" s="100" t="n">
        <x:v>1</x:v>
      </x:c>
      <x:c r="F28" s="74"/>
      <x:c r="G28" s="74"/>
      <x:c r="H28" s="74"/>
      <x:c r="I28" s="74"/>
      <x:c r="J28" s="74"/>
      <x:c r="K28" s="74"/>
      <x:c r="L28" s="74"/>
      <x:c r="M28" s="74"/>
      <x:c r="N28" s="74"/>
    </x:row>
    <x:row r="29">
      <x:c r="A29" s="94" t="str">
        <x:v>High</x:v>
      </x:c>
      <x:c r="B29" s="99" t="n">
        <x:v>230</x:v>
      </x:c>
      <x:c r="C29" s="100" t="n">
        <x:v>1.25</x:v>
      </x:c>
      <x:c r="D29" s="100" t="n">
        <x:v>1.3</x:v>
      </x:c>
      <x:c r="E29" s="100" t="n">
        <x:v>1.3</x:v>
      </x:c>
      <x:c r="F29" s="74"/>
      <x:c r="G29" s="74"/>
      <x:c r="H29" s="74"/>
      <x:c r="I29" s="74"/>
      <x:c r="J29" s="74"/>
      <x:c r="K29" s="74"/>
      <x:c r="L29" s="74"/>
      <x:c r="M29" s="74"/>
      <x:c r="N29" s="74"/>
    </x:row>
    <x:row r="30">
      <x:c r="A30" s="74"/>
      <x:c r="B30" s="74"/>
      <x:c r="C30" s="74"/>
      <x:c r="D30" s="74"/>
      <x:c r="E30" s="74"/>
      <x:c r="F30" s="74"/>
      <x:c r="G30" s="74"/>
      <x:c r="H30" s="74"/>
      <x:c r="I30" s="74"/>
      <x:c r="J30" s="74"/>
      <x:c r="K30" s="74"/>
      <x:c r="L30" s="74"/>
      <x:c r="M30" s="74"/>
      <x:c r="N30" s="74"/>
    </x:row>
    <x:row r="31">
      <x:c r="A31" s="74"/>
      <x:c r="B31" s="74"/>
      <x:c r="C31" s="74"/>
      <x:c r="D31" s="74"/>
      <x:c r="E31" s="74"/>
      <x:c r="F31" s="74"/>
      <x:c r="G31" s="74"/>
      <x:c r="H31" s="74"/>
      <x:c r="I31" s="74"/>
      <x:c r="J31" s="74"/>
      <x:c r="K31" s="74"/>
      <x:c r="L31" s="74"/>
      <x:c r="M31" s="74"/>
      <x:c r="N31" s="74"/>
    </x:row>
    <x:row r="32">
      <x:c r="A32" s="89" t="str">
        <x:v>Year</x:v>
      </x:c>
      <x:c r="B32" s="90" t="str">
        <x:v>Operations ramp</x:v>
      </x:c>
      <x:c r="C32" s="90" t="str">
        <x:v>Technology spend share</x:v>
      </x:c>
      <x:c r="D32" s="91" t="str">
        <x:v>Capital spend share</x:v>
      </x:c>
      <x:c r="E32" s="74"/>
      <x:c r="F32" s="74"/>
      <x:c r="G32" s="74"/>
      <x:c r="H32" s="74"/>
      <x:c r="I32" s="74"/>
      <x:c r="J32" s="74"/>
      <x:c r="K32" s="74"/>
      <x:c r="L32" s="74"/>
      <x:c r="M32" s="74"/>
      <x:c r="N32" s="74"/>
    </x:row>
    <x:row r="33">
      <x:c r="A33" s="74" t="n">
        <x:v>1</x:v>
      </x:c>
      <x:c r="B33" s="101" t="n">
        <x:v>0.1</x:v>
      </x:c>
      <x:c r="C33" s="102" t="n">
        <x:v>0.05</x:v>
      </x:c>
      <x:c r="D33" s="102" t="n">
        <x:v>0.02</x:v>
      </x:c>
      <x:c r="E33" s="74"/>
      <x:c r="F33" s="74"/>
      <x:c r="G33" s="74"/>
      <x:c r="H33" s="74"/>
      <x:c r="I33" s="74"/>
      <x:c r="J33" s="74"/>
      <x:c r="K33" s="74"/>
      <x:c r="L33" s="74"/>
      <x:c r="M33" s="74"/>
      <x:c r="N33" s="74"/>
    </x:row>
    <x:row r="34">
      <x:c r="A34" s="74" t="n">
        <x:v>2</x:v>
      </x:c>
      <x:c r="B34" s="101" t="n">
        <x:v>0.15</x:v>
      </x:c>
      <x:c r="C34" s="102" t="n">
        <x:v>0.08</x:v>
      </x:c>
      <x:c r="D34" s="102" t="n">
        <x:v>0.03</x:v>
      </x:c>
      <x:c r="E34" s="74"/>
      <x:c r="F34" s="74"/>
      <x:c r="G34" s="74"/>
      <x:c r="H34" s="74"/>
      <x:c r="I34" s="74"/>
      <x:c r="J34" s="74"/>
      <x:c r="K34" s="74"/>
      <x:c r="L34" s="74"/>
      <x:c r="M34" s="74"/>
      <x:c r="N34" s="74"/>
    </x:row>
    <x:row r="35">
      <x:c r="A35" s="74" t="n">
        <x:v>3</x:v>
      </x:c>
      <x:c r="B35" s="101" t="n">
        <x:v>0.2</x:v>
      </x:c>
      <x:c r="C35" s="102" t="n">
        <x:v>0.12</x:v>
      </x:c>
      <x:c r="D35" s="102" t="n">
        <x:v>0.05</x:v>
      </x:c>
      <x:c r="E35" s="74"/>
      <x:c r="F35" s="74"/>
      <x:c r="G35" s="74"/>
      <x:c r="H35" s="74"/>
      <x:c r="I35" s="74"/>
      <x:c r="J35" s="74"/>
      <x:c r="K35" s="74"/>
      <x:c r="L35" s="74"/>
      <x:c r="M35" s="74"/>
      <x:c r="N35" s="74"/>
    </x:row>
    <x:row r="36">
      <x:c r="A36" s="74" t="n">
        <x:v>4</x:v>
      </x:c>
      <x:c r="B36" s="101" t="n">
        <x:v>0.25</x:v>
      </x:c>
      <x:c r="C36" s="102" t="n">
        <x:v>0.15</x:v>
      </x:c>
      <x:c r="D36" s="102" t="n">
        <x:v>0.07</x:v>
      </x:c>
      <x:c r="E36" s="74"/>
      <x:c r="F36" s="74"/>
      <x:c r="G36" s="74"/>
      <x:c r="H36" s="74"/>
      <x:c r="I36" s="74"/>
      <x:c r="J36" s="74"/>
      <x:c r="K36" s="74"/>
      <x:c r="L36" s="74"/>
      <x:c r="M36" s="74"/>
      <x:c r="N36" s="74"/>
    </x:row>
    <x:row r="37">
      <x:c r="A37" s="74" t="n">
        <x:v>5</x:v>
      </x:c>
      <x:c r="B37" s="101" t="n">
        <x:v>0.3</x:v>
      </x:c>
      <x:c r="C37" s="102" t="n">
        <x:v>0.16</x:v>
      </x:c>
      <x:c r="D37" s="102" t="n">
        <x:v>0.09</x:v>
      </x:c>
      <x:c r="E37" s="74"/>
      <x:c r="F37" s="74"/>
      <x:c r="G37" s="74"/>
      <x:c r="H37" s="74"/>
      <x:c r="I37" s="74"/>
      <x:c r="J37" s="74"/>
      <x:c r="K37" s="74"/>
      <x:c r="L37" s="74"/>
      <x:c r="M37" s="74"/>
      <x:c r="N37" s="74"/>
    </x:row>
    <x:row r="38">
      <x:c r="A38" s="74" t="n">
        <x:v>6</x:v>
      </x:c>
      <x:c r="B38" s="101" t="n">
        <x:v>0.35</x:v>
      </x:c>
      <x:c r="C38" s="102" t="n">
        <x:v>0.14</x:v>
      </x:c>
      <x:c r="D38" s="102" t="n">
        <x:v>0.1</x:v>
      </x:c>
      <x:c r="E38" s="74"/>
      <x:c r="F38" s="74"/>
      <x:c r="G38" s="74"/>
      <x:c r="H38" s="74"/>
      <x:c r="I38" s="74"/>
      <x:c r="J38" s="74"/>
      <x:c r="K38" s="74"/>
      <x:c r="L38" s="74"/>
      <x:c r="M38" s="74"/>
      <x:c r="N38" s="74"/>
    </x:row>
    <x:row r="39">
      <x:c r="A39" s="74" t="n">
        <x:v>7</x:v>
      </x:c>
      <x:c r="B39" s="101" t="n">
        <x:v>0.45</x:v>
      </x:c>
      <x:c r="C39" s="102" t="n">
        <x:v>0.1</x:v>
      </x:c>
      <x:c r="D39" s="102" t="n">
        <x:v>0.11</x:v>
      </x:c>
      <x:c r="E39" s="74"/>
      <x:c r="F39" s="74"/>
      <x:c r="G39" s="74"/>
      <x:c r="H39" s="74"/>
      <x:c r="I39" s="74"/>
      <x:c r="J39" s="74"/>
      <x:c r="K39" s="74"/>
      <x:c r="L39" s="74"/>
      <x:c r="M39" s="74"/>
      <x:c r="N39" s="74"/>
    </x:row>
    <x:row r="40">
      <x:c r="A40" s="74" t="n">
        <x:v>8</x:v>
      </x:c>
      <x:c r="B40" s="101" t="n">
        <x:v>0.55</x:v>
      </x:c>
      <x:c r="C40" s="102" t="n">
        <x:v>0.08</x:v>
      </x:c>
      <x:c r="D40" s="102" t="n">
        <x:v>0.11</x:v>
      </x:c>
      <x:c r="E40" s="74"/>
      <x:c r="F40" s="74"/>
      <x:c r="G40" s="74"/>
      <x:c r="H40" s="74"/>
      <x:c r="I40" s="74"/>
      <x:c r="J40" s="74"/>
      <x:c r="K40" s="74"/>
      <x:c r="L40" s="74"/>
      <x:c r="M40" s="74"/>
      <x:c r="N40" s="74"/>
    </x:row>
    <x:row r="41">
      <x:c r="A41" s="74" t="n">
        <x:v>9</x:v>
      </x:c>
      <x:c r="B41" s="101" t="n">
        <x:v>0.75</x:v>
      </x:c>
      <x:c r="C41" s="102" t="n">
        <x:v>0.07</x:v>
      </x:c>
      <x:c r="D41" s="102" t="n">
        <x:v>0.1</x:v>
      </x:c>
      <x:c r="E41" s="74"/>
      <x:c r="F41" s="74"/>
      <x:c r="G41" s="74"/>
      <x:c r="H41" s="74"/>
      <x:c r="I41" s="74"/>
      <x:c r="J41" s="74"/>
      <x:c r="K41" s="74"/>
      <x:c r="L41" s="74"/>
      <x:c r="M41" s="74"/>
      <x:c r="N41" s="74"/>
    </x:row>
    <x:row r="42">
      <x:c r="A42" s="74" t="n">
        <x:v>10</x:v>
      </x:c>
      <x:c r="B42" s="101" t="n">
        <x:v>0.95</x:v>
      </x:c>
      <x:c r="C42" s="102" t="n">
        <x:v>0.05</x:v>
      </x:c>
      <x:c r="D42" s="102" t="n">
        <x:v>0.09</x:v>
      </x:c>
      <x:c r="E42" s="74"/>
      <x:c r="F42" s="74"/>
      <x:c r="G42" s="74"/>
      <x:c r="H42" s="74"/>
      <x:c r="I42" s="74"/>
      <x:c r="J42" s="74"/>
      <x:c r="K42" s="74"/>
      <x:c r="L42" s="74"/>
      <x:c r="M42" s="74"/>
      <x:c r="N42" s="74"/>
    </x:row>
    <x:row r="43">
      <x:c r="A43" s="74" t="n">
        <x:v>11</x:v>
      </x:c>
      <x:c r="B43" s="101" t="n">
        <x:v>1</x:v>
      </x:c>
      <x:c r="C43" s="102" t="n">
        <x:v>0</x:v>
      </x:c>
      <x:c r="D43" s="102" t="n">
        <x:v>0.07</x:v>
      </x:c>
      <x:c r="E43" s="74"/>
      <x:c r="F43" s="74"/>
      <x:c r="G43" s="74"/>
      <x:c r="H43" s="74"/>
      <x:c r="I43" s="74"/>
      <x:c r="J43" s="74"/>
      <x:c r="K43" s="74"/>
      <x:c r="L43" s="74"/>
      <x:c r="M43" s="74"/>
      <x:c r="N43" s="74"/>
    </x:row>
    <x:row r="44">
      <x:c r="A44" s="74" t="n">
        <x:v>12</x:v>
      </x:c>
      <x:c r="B44" s="101" t="n">
        <x:v>1</x:v>
      </x:c>
      <x:c r="C44" s="102" t="n">
        <x:v>0</x:v>
      </x:c>
      <x:c r="D44" s="102" t="n">
        <x:v>0.05</x:v>
      </x:c>
      <x:c r="E44" s="74"/>
      <x:c r="F44" s="74"/>
      <x:c r="G44" s="74"/>
      <x:c r="H44" s="74"/>
      <x:c r="I44" s="74"/>
      <x:c r="J44" s="74"/>
      <x:c r="K44" s="74"/>
      <x:c r="L44" s="74"/>
      <x:c r="M44" s="74"/>
      <x:c r="N44" s="74"/>
    </x:row>
    <x:row r="45">
      <x:c r="A45" s="74" t="n">
        <x:v>13</x:v>
      </x:c>
      <x:c r="B45" s="101" t="n">
        <x:v>1</x:v>
      </x:c>
      <x:c r="C45" s="102" t="n">
        <x:v>0</x:v>
      </x:c>
      <x:c r="D45" s="102" t="n">
        <x:v>0.04</x:v>
      </x:c>
      <x:c r="E45" s="74"/>
      <x:c r="F45" s="74"/>
      <x:c r="G45" s="74"/>
      <x:c r="H45" s="74"/>
      <x:c r="I45" s="74"/>
      <x:c r="J45" s="74"/>
      <x:c r="K45" s="74"/>
      <x:c r="L45" s="74"/>
      <x:c r="M45" s="74"/>
      <x:c r="N45" s="74"/>
    </x:row>
    <x:row r="46">
      <x:c r="A46" s="74" t="n">
        <x:v>14</x:v>
      </x:c>
      <x:c r="B46" s="101" t="n">
        <x:v>1</x:v>
      </x:c>
      <x:c r="C46" s="102" t="n">
        <x:v>0</x:v>
      </x:c>
      <x:c r="D46" s="102" t="n">
        <x:v>0.04</x:v>
      </x:c>
      <x:c r="E46" s="74"/>
      <x:c r="F46" s="74"/>
      <x:c r="G46" s="74"/>
      <x:c r="H46" s="74"/>
      <x:c r="I46" s="74"/>
      <x:c r="J46" s="74"/>
      <x:c r="K46" s="74"/>
      <x:c r="L46" s="74"/>
      <x:c r="M46" s="74"/>
      <x:c r="N46" s="74"/>
    </x:row>
    <x:row r="47">
      <x:c r="A47" s="74" t="n">
        <x:v>15</x:v>
      </x:c>
      <x:c r="B47" s="101" t="n">
        <x:v>1</x:v>
      </x:c>
      <x:c r="C47" s="102" t="n">
        <x:v>0</x:v>
      </x:c>
      <x:c r="D47" s="102" t="n">
        <x:v>0.03</x:v>
      </x:c>
      <x:c r="E47" s="74"/>
      <x:c r="F47" s="74"/>
      <x:c r="G47" s="74"/>
      <x:c r="H47" s="74"/>
      <x:c r="I47" s="74"/>
      <x:c r="J47" s="74"/>
      <x:c r="K47" s="74"/>
      <x:c r="L47" s="74"/>
      <x:c r="M47" s="74"/>
      <x:c r="N47" s="74"/>
    </x:row>
    <x:row r="48">
      <x:c r="A48" s="74" t="n">
        <x:v>16</x:v>
      </x:c>
      <x:c r="B48" s="101" t="n">
        <x:v>1</x:v>
      </x:c>
      <x:c r="C48" s="102" t="n">
        <x:v>0</x:v>
      </x:c>
      <x:c r="D48" s="102" t="n">
        <x:v>0</x:v>
      </x:c>
      <x:c r="E48" s="74"/>
      <x:c r="F48" s="74"/>
      <x:c r="G48" s="74"/>
      <x:c r="H48" s="74"/>
      <x:c r="I48" s="74"/>
      <x:c r="J48" s="74"/>
      <x:c r="K48" s="74"/>
      <x:c r="L48" s="74"/>
      <x:c r="M48" s="74"/>
      <x:c r="N48" s="74"/>
    </x:row>
    <x:row r="49">
      <x:c r="A49" s="74" t="n">
        <x:v>17</x:v>
      </x:c>
      <x:c r="B49" s="101" t="n">
        <x:v>1</x:v>
      </x:c>
      <x:c r="C49" s="102" t="n">
        <x:v>0</x:v>
      </x:c>
      <x:c r="D49" s="102" t="n">
        <x:v>0</x:v>
      </x:c>
      <x:c r="E49" s="74"/>
      <x:c r="F49" s="74"/>
      <x:c r="G49" s="74"/>
      <x:c r="H49" s="74"/>
      <x:c r="I49" s="74"/>
      <x:c r="J49" s="74"/>
      <x:c r="K49" s="74"/>
      <x:c r="L49" s="74"/>
      <x:c r="M49" s="74"/>
      <x:c r="N49" s="74"/>
    </x:row>
    <x:row r="50">
      <x:c r="A50" s="74" t="n">
        <x:v>18</x:v>
      </x:c>
      <x:c r="B50" s="101" t="n">
        <x:v>1</x:v>
      </x:c>
      <x:c r="C50" s="102" t="n">
        <x:v>0</x:v>
      </x:c>
      <x:c r="D50" s="102" t="n">
        <x:v>0</x:v>
      </x:c>
      <x:c r="E50" s="74"/>
      <x:c r="F50" s="74"/>
      <x:c r="G50" s="74"/>
      <x:c r="H50" s="74"/>
      <x:c r="I50" s="74"/>
      <x:c r="J50" s="74"/>
      <x:c r="K50" s="74"/>
      <x:c r="L50" s="74"/>
      <x:c r="M50" s="74"/>
      <x:c r="N50" s="74"/>
    </x:row>
    <x:row r="51">
      <x:c r="A51" s="74" t="n">
        <x:v>19</x:v>
      </x:c>
      <x:c r="B51" s="101" t="n">
        <x:v>1</x:v>
      </x:c>
      <x:c r="C51" s="102" t="n">
        <x:v>0</x:v>
      </x:c>
      <x:c r="D51" s="102" t="n">
        <x:v>0</x:v>
      </x:c>
      <x:c r="E51" s="74"/>
      <x:c r="F51" s="74"/>
      <x:c r="G51" s="74"/>
      <x:c r="H51" s="74"/>
      <x:c r="I51" s="74"/>
      <x:c r="J51" s="74"/>
      <x:c r="K51" s="74"/>
      <x:c r="L51" s="74"/>
      <x:c r="M51" s="74"/>
      <x:c r="N51" s="74"/>
    </x:row>
    <x:row r="52">
      <x:c r="A52" s="74" t="n">
        <x:v>20</x:v>
      </x:c>
      <x:c r="B52" s="101" t="n">
        <x:v>1</x:v>
      </x:c>
      <x:c r="C52" s="102" t="n">
        <x:v>0</x:v>
      </x:c>
      <x:c r="D52" s="102" t="n">
        <x:v>0</x:v>
      </x:c>
      <x:c r="E52" s="74"/>
      <x:c r="F52" s="74"/>
      <x:c r="G52" s="74"/>
      <x:c r="H52" s="74"/>
      <x:c r="I52" s="74"/>
      <x:c r="J52" s="74"/>
      <x:c r="K52" s="74"/>
      <x:c r="L52" s="74"/>
      <x:c r="M52" s="74"/>
      <x:c r="N52" s="74"/>
    </x:row>
    <x:row r="53">
      <x:c r="A53" s="74" t="n">
        <x:v>21</x:v>
      </x:c>
      <x:c r="B53" s="101" t="n">
        <x:v>1</x:v>
      </x:c>
      <x:c r="C53" s="102" t="n">
        <x:v>0</x:v>
      </x:c>
      <x:c r="D53" s="102" t="n">
        <x:v>0</x:v>
      </x:c>
      <x:c r="E53" s="74"/>
      <x:c r="F53" s="74"/>
      <x:c r="G53" s="74"/>
      <x:c r="H53" s="74"/>
      <x:c r="I53" s="74"/>
      <x:c r="J53" s="74"/>
      <x:c r="K53" s="74"/>
      <x:c r="L53" s="74"/>
      <x:c r="M53" s="74"/>
      <x:c r="N53" s="74"/>
    </x:row>
    <x:row r="54">
      <x:c r="A54" s="74" t="n">
        <x:v>22</x:v>
      </x:c>
      <x:c r="B54" s="101" t="n">
        <x:v>1</x:v>
      </x:c>
      <x:c r="C54" s="102" t="n">
        <x:v>0</x:v>
      </x:c>
      <x:c r="D54" s="102" t="n">
        <x:v>0</x:v>
      </x:c>
      <x:c r="E54" s="74"/>
      <x:c r="F54" s="74"/>
      <x:c r="G54" s="74"/>
      <x:c r="H54" s="74"/>
      <x:c r="I54" s="74"/>
      <x:c r="J54" s="74"/>
      <x:c r="K54" s="74"/>
      <x:c r="L54" s="74"/>
      <x:c r="M54" s="74"/>
      <x:c r="N54" s="74"/>
    </x:row>
    <x:row r="55">
      <x:c r="A55" s="74" t="n">
        <x:v>23</x:v>
      </x:c>
      <x:c r="B55" s="101" t="n">
        <x:v>1</x:v>
      </x:c>
      <x:c r="C55" s="102" t="n">
        <x:v>0</x:v>
      </x:c>
      <x:c r="D55" s="102" t="n">
        <x:v>0</x:v>
      </x:c>
      <x:c r="E55" s="74"/>
      <x:c r="F55" s="74"/>
      <x:c r="G55" s="74"/>
      <x:c r="H55" s="74"/>
      <x:c r="I55" s="74"/>
      <x:c r="J55" s="74"/>
      <x:c r="K55" s="74"/>
      <x:c r="L55" s="74"/>
      <x:c r="M55" s="74"/>
      <x:c r="N55" s="74"/>
    </x:row>
    <x:row r="56">
      <x:c r="A56" s="74" t="n">
        <x:v>24</x:v>
      </x:c>
      <x:c r="B56" s="101" t="n">
        <x:v>1</x:v>
      </x:c>
      <x:c r="C56" s="102" t="n">
        <x:v>0</x:v>
      </x:c>
      <x:c r="D56" s="102" t="n">
        <x:v>0</x:v>
      </x:c>
      <x:c r="E56" s="74"/>
      <x:c r="F56" s="74"/>
      <x:c r="G56" s="74"/>
      <x:c r="H56" s="74"/>
      <x:c r="I56" s="74"/>
      <x:c r="J56" s="74"/>
      <x:c r="K56" s="74"/>
      <x:c r="L56" s="74"/>
      <x:c r="M56" s="74"/>
      <x:c r="N56" s="74"/>
    </x:row>
    <x:row r="57">
      <x:c r="A57" s="74" t="n">
        <x:v>25</x:v>
      </x:c>
      <x:c r="B57" s="101" t="n">
        <x:v>1</x:v>
      </x:c>
      <x:c r="C57" s="102" t="n">
        <x:v>0</x:v>
      </x:c>
      <x:c r="D57" s="102" t="n">
        <x:v>0</x:v>
      </x:c>
      <x:c r="E57" s="74"/>
      <x:c r="F57" s="74"/>
      <x:c r="G57" s="74"/>
      <x:c r="H57" s="74"/>
      <x:c r="I57" s="74"/>
      <x:c r="J57" s="74"/>
      <x:c r="K57" s="74"/>
      <x:c r="L57" s="74"/>
      <x:c r="M57" s="74"/>
      <x:c r="N57" s="74"/>
    </x:row>
  </x:sheetData>
  <x:dataValidations count="1">
    <x:dataValidation type="whole" operator="between" sqref="C23">
      <x:formula1>1</x:formula1>
      <x:formula2>3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48" hidden="0" customWidth="1"/>
    <x:col min="3" max="3" width="34" hidden="0" customWidth="1"/>
    <x:col min="4" max="4" width="35" hidden="0" customWidth="1"/>
    <x:col min="5" max="5" width="43" hidden="0" customWidth="1"/>
  </x:cols>
  <x:sheetData>
    <x:row r="2">
      <x:c r="A2" s="73" t="str">
        <x:v>Knowledge planes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Nonfungible custody and use states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Plane</x:v>
      </x:c>
      <x:c r="B6" s="90" t="str">
        <x:v>Content</x:v>
      </x:c>
      <x:c r="C6" s="90" t="str">
        <x:v>Default custody</x:v>
      </x:c>
      <x:c r="D6" s="90" t="str">
        <x:v>Release rule</x:v>
      </x:c>
      <x:c r="E6" s="91" t="str">
        <x:v>Prohibited conversion</x:v>
      </x:c>
      <x:c r="F6" s="74"/>
      <x:c r="G6" s="74"/>
      <x:c r="H6" s="74"/>
      <x:c r="I6" s="74"/>
      <x:c r="J6" s="74"/>
      <x:c r="K6" s="74"/>
      <x:c r="L6" s="74"/>
      <x:c r="M6" s="74"/>
      <x:c r="N6" s="74"/>
    </x:row>
    <x:row r="7">
      <x:c r="A7" s="31" t="str">
        <x:v>K0 Open reality</x:v>
      </x:c>
      <x:c r="B7" s="31" t="str">
        <x:v>Environmental, infrastructure, capacity and public-effect observations; methods; coverage; uncertainty</x:v>
      </x:c>
      <x:c r="C7" s="31" t="str">
        <x:v>Public observatory</x:v>
      </x:c>
      <x:c r="D7" s="31" t="str">
        <x:v>Public by default; bounded delay for direct safety exposure</x:v>
      </x:c>
      <x:c r="E7" s="31" t="str">
        <x:v>Open physical data cannot be joined to identity by convenience</x:v>
      </x:c>
      <x:c r="F7" s="74"/>
      <x:c r="G7" s="74"/>
      <x:c r="H7" s="74"/>
      <x:c r="I7" s="74"/>
      <x:c r="J7" s="74"/>
      <x:c r="K7" s="74"/>
      <x:c r="L7" s="74"/>
      <x:c r="M7" s="74"/>
      <x:c r="N7" s="74"/>
    </x:row>
    <x:row r="8">
      <x:c r="A8" s="32" t="str">
        <x:v>K1 Protected civil state</x:v>
      </x:c>
      <x:c r="B8" s="32" t="str">
        <x:v>Person, household, relationship, health, disability, property and community records</x:v>
      </x:c>
      <x:c r="C8" s="32" t="str">
        <x:v>Originating sovereign trust or person-authorized custodian</x:v>
      </x:c>
      <x:c r="D8" s="32" t="str">
        <x:v>Approved query returns minimum sufficient result</x:v>
      </x:c>
      <x:c r="E8" s="32" t="str">
        <x:v>Custody never migrates to a national data lake</x:v>
      </x:c>
      <x:c r="F8" s="74"/>
      <x:c r="G8" s="74"/>
      <x:c r="H8" s="74"/>
      <x:c r="I8" s="74"/>
      <x:c r="J8" s="74"/>
      <x:c r="K8" s="74"/>
      <x:c r="L8" s="74"/>
      <x:c r="M8" s="74"/>
      <x:c r="N8" s="74"/>
    </x:row>
    <x:row r="9">
      <x:c r="A9" s="32" t="str">
        <x:v>K2 Ephemeral service state</x:v>
      </x:c>
      <x:c r="B9" s="32" t="str">
        <x:v>Minimum token to find, admit, serve, reunify or transfer</x:v>
      </x:c>
      <x:c r="C9" s="32" t="str">
        <x:v>Named incident receiver</x:v>
      </x:c>
      <x:c r="D9" s="32" t="str">
        <x:v>One easement, one purpose, one clock</x:v>
      </x:c>
      <x:c r="E9" s="32" t="str">
        <x:v>Service token cannot become permanent identity or eligibility record</x:v>
      </x:c>
      <x:c r="F9" s="74"/>
      <x:c r="G9" s="74"/>
      <x:c r="H9" s="74"/>
      <x:c r="I9" s="74"/>
      <x:c r="J9" s="74"/>
      <x:c r="K9" s="74"/>
      <x:c r="L9" s="74"/>
      <x:c r="M9" s="74"/>
      <x:c r="N9" s="74"/>
    </x:row>
    <x:row r="10">
      <x:c r="A10" s="32" t="str">
        <x:v>K3 Sealed evidence</x:v>
      </x:c>
      <x:c r="B10" s="32" t="str">
        <x:v>Methods, warrants, versions, decisions, uncertainty and minimized proof</x:v>
      </x:c>
      <x:c r="C10" s="32" t="str">
        <x:v>Evidence Court custody</x:v>
      </x:c>
      <x:c r="D10" s="32" t="str">
        <x:v>Independent replay, appeal and public accountability</x:v>
      </x:c>
      <x:c r="E10" s="32" t="str">
        <x:v>Evidence cannot be searched as an operational population file</x:v>
      </x:c>
      <x:c r="F10" s="74"/>
      <x:c r="G10" s="74"/>
      <x:c r="H10" s="74"/>
      <x:c r="I10" s="74"/>
      <x:c r="J10" s="74"/>
      <x:c r="K10" s="74"/>
      <x:c r="L10" s="74"/>
      <x:c r="M10" s="74"/>
      <x:c r="N10" s="74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29" hidden="0" customWidth="1"/>
    <x:col min="3" max="3" width="42" hidden="0" customWidth="1"/>
    <x:col min="4" max="4" width="40" hidden="0" customWidth="1"/>
    <x:col min="5" max="5" width="43" hidden="0" customWidth="1"/>
  </x:cols>
  <x:sheetData>
    <x:row r="2">
      <x:c r="A2" s="73" t="str">
        <x:v>Constitutional roles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No actor may collect, model, warn and activate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Role</x:v>
      </x:c>
      <x:c r="B6" s="90" t="str">
        <x:v>Affiliation</x:v>
      </x:c>
      <x:c r="C6" s="90" t="str">
        <x:v>Positive authority</x:v>
      </x:c>
      <x:c r="D6" s="90" t="str">
        <x:v>Negative authority</x:v>
      </x:c>
      <x:c r="E6" s="91" t="str">
        <x:v>Forbidden accumulation</x:v>
      </x:c>
      <x:c r="F6" s="74"/>
      <x:c r="G6" s="74"/>
      <x:c r="H6" s="74"/>
      <x:c r="I6" s="74"/>
      <x:c r="J6" s="74"/>
      <x:c r="K6" s="74"/>
      <x:c r="L6" s="74"/>
      <x:c r="M6" s="74"/>
      <x:c r="N6" s="74"/>
    </x:row>
    <x:row r="7">
      <x:c r="A7" s="31" t="str">
        <x:v>Source custodian</x:v>
      </x:c>
      <x:c r="B7" s="31" t="str">
        <x:v>Originating public or sovereign holder</x:v>
      </x:c>
      <x:c r="C7" s="31" t="str">
        <x:v>Attest source, method, clock and lawful scope</x:v>
      </x:c>
      <x:c r="D7" s="31" t="str">
        <x:v>Deny unchartered collection or transfer</x:v>
      </x:c>
      <x:c r="E7" s="31" t="str">
        <x:v>Cannot infer, warn or activate from custody alone</x:v>
      </x:c>
      <x:c r="F7" s="74"/>
      <x:c r="G7" s="74"/>
      <x:c r="H7" s="74"/>
      <x:c r="I7" s="74"/>
      <x:c r="J7" s="74"/>
      <x:c r="K7" s="74"/>
      <x:c r="L7" s="74"/>
      <x:c r="M7" s="74"/>
      <x:c r="N7" s="74"/>
    </x:row>
    <x:row r="8">
      <x:c r="A8" s="32" t="str">
        <x:v>Public observatory</x:v>
      </x:c>
      <x:c r="B8" s="32" t="str">
        <x:v>Distributed Commons function</x:v>
      </x:c>
      <x:c r="C8" s="32" t="str">
        <x:v>Maintain K0 fields and coverage</x:v>
      </x:c>
      <x:c r="D8" s="32" t="str">
        <x:v>Reject identity-bearing collection absent warrant</x:v>
      </x:c>
      <x:c r="E8" s="32" t="str">
        <x:v>Cannot own protected civil state</x:v>
      </x:c>
      <x:c r="F8" s="74"/>
      <x:c r="G8" s="74"/>
      <x:c r="H8" s="74"/>
      <x:c r="I8" s="74"/>
      <x:c r="J8" s="74"/>
      <x:c r="K8" s="74"/>
      <x:c r="L8" s="74"/>
      <x:c r="M8" s="74"/>
      <x:c r="N8" s="74"/>
    </x:row>
    <x:row r="9">
      <x:c r="A9" s="32" t="str">
        <x:v>Sovereign civil-data trust</x:v>
      </x:c>
      <x:c r="B9" s="32" t="str">
        <x:v>Tribal, territorial, state, local or person-authorized</x:v>
      </x:c>
      <x:c r="C9" s="32" t="str">
        <x:v>Execute approved computation against K1</x:v>
      </x:c>
      <x:c r="D9" s="32" t="str">
        <x:v>Refuse raw export and unrelated query</x:v>
      </x:c>
      <x:c r="E9" s="32" t="str">
        <x:v>Cannot suppress objective K0 breach</x:v>
      </x:c>
      <x:c r="F9" s="74"/>
      <x:c r="G9" s="74"/>
      <x:c r="H9" s="74"/>
      <x:c r="I9" s="74"/>
      <x:c r="J9" s="74"/>
      <x:c r="K9" s="74"/>
      <x:c r="L9" s="74"/>
      <x:c r="M9" s="74"/>
      <x:c r="N9" s="74"/>
    </x:row>
    <x:row r="10">
      <x:c r="A10" s="32" t="str">
        <x:v>Public model foundry</x:v>
      </x:c>
      <x:c r="B10" s="32" t="str">
        <x:v>Three unlike roots per decision cell</x:v>
      </x:c>
      <x:c r="C10" s="32" t="str">
        <x:v>Issue qualified forecast with dissent intact</x:v>
      </x:c>
      <x:c r="D10" s="32" t="str">
        <x:v>Reject out-of-domain use</x:v>
      </x:c>
      <x:c r="E10" s="32" t="str">
        <x:v>Cannot set action thresholds</x:v>
      </x:c>
      <x:c r="F10" s="74"/>
      <x:c r="G10" s="74"/>
      <x:c r="H10" s="74"/>
      <x:c r="I10" s="74"/>
      <x:c r="J10" s="74"/>
      <x:c r="K10" s="74"/>
      <x:c r="L10" s="74"/>
      <x:c r="M10" s="74"/>
      <x:c r="N10" s="74"/>
    </x:row>
    <x:row r="11">
      <x:c r="A11" s="32" t="str">
        <x:v>Civilian Effect Trustees</x:v>
      </x:c>
      <x:c r="B11" s="32" t="str">
        <x:v>Civic Covenant</x:v>
      </x:c>
      <x:c r="C11" s="32" t="str">
        <x:v>Judge effect deficit and objective breach</x:v>
      </x:c>
      <x:c r="D11" s="32" t="str">
        <x:v>Reject activity as effect</x:v>
      </x:c>
      <x:c r="E11" s="32" t="str">
        <x:v>Cannot command operations</x:v>
      </x:c>
      <x:c r="F11" s="74"/>
      <x:c r="G11" s="74"/>
      <x:c r="H11" s="74"/>
      <x:c r="I11" s="74"/>
      <x:c r="J11" s="74"/>
      <x:c r="K11" s="74"/>
      <x:c r="L11" s="74"/>
      <x:c r="M11" s="74"/>
      <x:c r="N11" s="74"/>
    </x:row>
    <x:row r="12">
      <x:c r="A12" s="32" t="str">
        <x:v>Warning authority</x:v>
      </x:c>
      <x:c r="B12" s="32" t="str">
        <x:v>Constituted civil office</x:v>
      </x:c>
      <x:c r="C12" s="32" t="str">
        <x:v>Issue accessible warning</x:v>
      </x:c>
      <x:c r="D12" s="32" t="str">
        <x:v>Reject forecast lacking contract</x:v>
      </x:c>
      <x:c r="E12" s="32" t="str">
        <x:v>Cannot activate formations</x:v>
      </x:c>
      <x:c r="F12" s="74"/>
      <x:c r="G12" s="74"/>
      <x:c r="H12" s="74"/>
      <x:c r="I12" s="74"/>
      <x:c r="J12" s="74"/>
      <x:c r="K12" s="74"/>
      <x:c r="L12" s="74"/>
      <x:c r="M12" s="74"/>
      <x:c r="N12" s="74"/>
    </x:row>
    <x:row r="13">
      <x:c r="A13" s="32" t="str">
        <x:v>Resilience Proving Service</x:v>
      </x:c>
      <x:c r="B13" s="32" t="str">
        <x:v>Evidence Court</x:v>
      </x:c>
      <x:c r="C13" s="32" t="str">
        <x:v>Reproduce and attack methods</x:v>
      </x:c>
      <x:c r="D13" s="32" t="str">
        <x:v>Suspend failed model qualification</x:v>
      </x:c>
      <x:c r="E13" s="32" t="str">
        <x:v>Cannot operate the model it judges</x:v>
      </x:c>
      <x:c r="F13" s="74"/>
      <x:c r="G13" s="74"/>
      <x:c r="H13" s="74"/>
      <x:c r="I13" s="74"/>
      <x:c r="J13" s="74"/>
      <x:c r="K13" s="74"/>
      <x:c r="L13" s="74"/>
      <x:c r="M13" s="74"/>
      <x:c r="N13" s="74"/>
    </x:row>
    <x:row r="14">
      <x:c r="A14" s="32" t="str">
        <x:v>Rights and Scarcity Tribunal</x:v>
      </x:c>
      <x:c r="B14" s="32" t="str">
        <x:v>Evidence Court</x:v>
      </x:c>
      <x:c r="C14" s="32" t="str">
        <x:v>Authorize protected use and remedy</x:v>
      </x:c>
      <x:c r="D14" s="32" t="str">
        <x:v>Stop unlawful collection, query or reuse</x:v>
      </x:c>
      <x:c r="E14" s="32" t="str">
        <x:v>Cannot select operational method</x:v>
      </x:c>
      <x:c r="F14" s="74"/>
      <x:c r="G14" s="74"/>
      <x:c r="H14" s="74"/>
      <x:c r="I14" s="74"/>
      <x:c r="J14" s="74"/>
      <x:c r="K14" s="74"/>
      <x:c r="L14" s="74"/>
      <x:c r="M14" s="74"/>
      <x:c r="N14" s="74"/>
    </x:row>
    <x:row r="15">
      <x:c r="A15" s="32" t="str">
        <x:v>NMAC / campaign command</x:v>
      </x:c>
      <x:c r="B15" s="32" t="str">
        <x:v>Force Estate / Employment Federation</x:v>
      </x:c>
      <x:c r="C15" s="32" t="str">
        <x:v>Consume released products for lawful schedules and tasks</x:v>
      </x:c>
      <x:c r="D15" s="32" t="str">
        <x:v>Reject expired or unqualified products</x:v>
      </x:c>
      <x:c r="E15" s="32" t="str">
        <x:v>Cannot collect or retune truth to manufacture authority</x:v>
      </x:c>
      <x:c r="F15" s="74"/>
      <x:c r="G15" s="74"/>
      <x:c r="H15" s="74"/>
      <x:c r="I15" s="74"/>
      <x:c r="J15" s="74"/>
      <x:c r="K15" s="74"/>
      <x:c r="L15" s="74"/>
      <x:c r="M15" s="74"/>
      <x:c r="N15" s="74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7" hidden="0" customWidth="1"/>
    <x:col min="2" max="2" width="29" hidden="0" customWidth="1"/>
    <x:col min="3" max="3" width="34" hidden="0" customWidth="1"/>
    <x:col min="4" max="4" width="53" hidden="0" customWidth="1"/>
    <x:col min="5" max="5" width="39" hidden="0" customWidth="1"/>
    <x:col min="6" max="6" width="31" hidden="0" customWidth="1"/>
  </x:cols>
  <x:sheetData>
    <x:row r="2">
      <x:c r="A2" s="73" t="str">
        <x:v>Knowledge warrant chain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Twelve subordinate transitions mapped into the inherited Department state machine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#</x:v>
      </x:c>
      <x:c r="B6" s="90" t="str">
        <x:v>Warrant</x:v>
      </x:c>
      <x:c r="C6" s="90" t="str">
        <x:v>Issuer</x:v>
      </x:c>
      <x:c r="D6" s="90" t="str">
        <x:v>Sufficient claim</x:v>
      </x:c>
      <x:c r="E6" s="90" t="str">
        <x:v>Expiry / rollback</x:v>
      </x:c>
      <x:c r="F6" s="91" t="str">
        <x:v>Does not confer</x:v>
      </x:c>
      <x:c r="G6" s="74"/>
      <x:c r="H6" s="74"/>
      <x:c r="I6" s="74"/>
      <x:c r="J6" s="74"/>
      <x:c r="K6" s="74"/>
      <x:c r="L6" s="74"/>
      <x:c r="M6" s="74"/>
      <x:c r="N6" s="74"/>
    </x:row>
    <x:row r="7">
      <x:c r="A7" s="31" t="n">
        <x:v>1</x:v>
      </x:c>
      <x:c r="B7" s="31" t="str">
        <x:v>Source charter</x:v>
      </x:c>
      <x:c r="C7" s="31" t="str">
        <x:v>Source custodian + rights authority</x:v>
      </x:c>
      <x:c r="D7" s="31" t="str">
        <x:v>Named variable, method, purpose and population</x:v>
      </x:c>
      <x:c r="E7" s="31" t="str">
        <x:v>Ends at charter clock or scope breach</x:v>
      </x:c>
      <x:c r="F7" s="31" t="str">
        <x:v>Collection</x:v>
      </x:c>
      <x:c r="G7" s="74"/>
      <x:c r="H7" s="74"/>
      <x:c r="I7" s="74"/>
      <x:c r="J7" s="74"/>
      <x:c r="K7" s="74"/>
      <x:c r="L7" s="74"/>
      <x:c r="M7" s="74"/>
      <x:c r="N7" s="74"/>
    </x:row>
    <x:row r="8">
      <x:c r="A8" s="32" t="n">
        <x:v>2</x:v>
      </x:c>
      <x:c r="B8" s="32" t="str">
        <x:v>Observation</x:v>
      </x:c>
      <x:c r="C8" s="32" t="str">
        <x:v>Qualified observing body</x:v>
      </x:c>
      <x:c r="D8" s="32" t="str">
        <x:v>Measured K0 datum with provenance and coverage</x:v>
      </x:c>
      <x:c r="E8" s="32" t="str">
        <x:v>Superseded by version; history retained</x:v>
      </x:c>
      <x:c r="F8" s="32" t="str">
        <x:v>Identity or forecast</x:v>
      </x:c>
      <x:c r="G8" s="74"/>
      <x:c r="H8" s="74"/>
      <x:c r="I8" s="74"/>
      <x:c r="J8" s="74"/>
      <x:c r="K8" s="74"/>
      <x:c r="L8" s="74"/>
      <x:c r="M8" s="74"/>
      <x:c r="N8" s="74"/>
    </x:row>
    <x:row r="9">
      <x:c r="A9" s="32" t="n">
        <x:v>3</x:v>
      </x:c>
      <x:c r="B9" s="32" t="str">
        <x:v>Protected collection</x:v>
      </x:c>
      <x:c r="C9" s="32" t="str">
        <x:v>Sovereign trust / person authority</x:v>
      </x:c>
      <x:c r="D9" s="32" t="str">
        <x:v>Necessary K1 field and lawful basis</x:v>
      </x:c>
      <x:c r="E9" s="32" t="str">
        <x:v>Purpose expiry; operative copy deleted</x:v>
      </x:c>
      <x:c r="F9" s="32" t="str">
        <x:v>Linkage</x:v>
      </x:c>
      <x:c r="G9" s="74"/>
      <x:c r="H9" s="74"/>
      <x:c r="I9" s="74"/>
      <x:c r="J9" s="74"/>
      <x:c r="K9" s="74"/>
      <x:c r="L9" s="74"/>
      <x:c r="M9" s="74"/>
      <x:c r="N9" s="74"/>
    </x:row>
    <x:row r="10">
      <x:c r="A10" s="32" t="n">
        <x:v>4</x:v>
      </x:c>
      <x:c r="B10" s="32" t="str">
        <x:v>Linkage</x:v>
      </x:c>
      <x:c r="C10" s="32" t="str">
        <x:v>Rights Tribunal</x:v>
      </x:c>
      <x:c r="D10" s="32" t="str">
        <x:v>Minimum relation required for named service</x:v>
      </x:c>
      <x:c r="E10" s="32" t="str">
        <x:v>One purpose and one clock</x:v>
      </x:c>
      <x:c r="F10" s="32" t="str">
        <x:v>Model qualification</x:v>
      </x:c>
      <x:c r="G10" s="74"/>
      <x:c r="H10" s="74"/>
      <x:c r="I10" s="74"/>
      <x:c r="J10" s="74"/>
      <x:c r="K10" s="74"/>
      <x:c r="L10" s="74"/>
      <x:c r="M10" s="74"/>
      <x:c r="N10" s="74"/>
    </x:row>
    <x:row r="11">
      <x:c r="A11" s="32" t="n">
        <x:v>5</x:v>
      </x:c>
      <x:c r="B11" s="32" t="str">
        <x:v>Model qualification</x:v>
      </x:c>
      <x:c r="C11" s="32" t="str">
        <x:v>Proving Service</x:v>
      </x:c>
      <x:c r="D11" s="32" t="str">
        <x:v>Three-root, domain and failure evidence complete</x:v>
      </x:c>
      <x:c r="E11" s="32" t="str">
        <x:v>Fails on drift, domain exit or reproduction loss</x:v>
      </x:c>
      <x:c r="F11" s="32" t="str">
        <x:v>Forecast issue</x:v>
      </x:c>
      <x:c r="G11" s="74"/>
      <x:c r="H11" s="74"/>
      <x:c r="I11" s="74"/>
      <x:c r="J11" s="74"/>
      <x:c r="K11" s="74"/>
      <x:c r="L11" s="74"/>
      <x:c r="M11" s="74"/>
      <x:c r="N11" s="74"/>
    </x:row>
    <x:row r="12">
      <x:c r="A12" s="32" t="n">
        <x:v>6</x:v>
      </x:c>
      <x:c r="B12" s="32" t="str">
        <x:v>Forecast issue</x:v>
      </x:c>
      <x:c r="C12" s="32" t="str">
        <x:v>Qualified model foundry</x:v>
      </x:c>
      <x:c r="D12" s="32" t="str">
        <x:v>Versioned distribution with full contract</x:v>
      </x:c>
      <x:c r="E12" s="32" t="str">
        <x:v>Horizon or input state expires</x:v>
      </x:c>
      <x:c r="F12" s="32" t="str">
        <x:v>Warning</x:v>
      </x:c>
      <x:c r="G12" s="74"/>
      <x:c r="H12" s="74"/>
      <x:c r="I12" s="74"/>
      <x:c r="J12" s="74"/>
      <x:c r="K12" s="74"/>
      <x:c r="L12" s="74"/>
      <x:c r="M12" s="74"/>
      <x:c r="N12" s="74"/>
    </x:row>
    <x:row r="13">
      <x:c r="A13" s="32" t="n">
        <x:v>7</x:v>
      </x:c>
      <x:c r="B13" s="32" t="str">
        <x:v>Public warning</x:v>
      </x:c>
      <x:c r="C13" s="32" t="str">
        <x:v>Warning authority</x:v>
      </x:c>
      <x:c r="D13" s="32" t="str">
        <x:v>Threshold and accessible communication basis</x:v>
      </x:c>
      <x:c r="E13" s="32" t="str">
        <x:v>Withdrawn or replaced with public reason</x:v>
      </x:c>
      <x:c r="F13" s="32" t="str">
        <x:v>Activation</x:v>
      </x:c>
      <x:c r="G13" s="74"/>
      <x:c r="H13" s="74"/>
      <x:c r="I13" s="74"/>
      <x:c r="J13" s="74"/>
      <x:c r="K13" s="74"/>
      <x:c r="L13" s="74"/>
      <x:c r="M13" s="74"/>
      <x:c r="N13" s="74"/>
    </x:row>
    <x:row r="14">
      <x:c r="A14" s="32" t="n">
        <x:v>8</x:v>
      </x:c>
      <x:c r="B14" s="32" t="str">
        <x:v>Protected query</x:v>
      </x:c>
      <x:c r="C14" s="32" t="str">
        <x:v>Sovereign trust</x:v>
      </x:c>
      <x:c r="D14" s="32" t="str">
        <x:v>Authorized computation and minimum output</x:v>
      </x:c>
      <x:c r="E14" s="32" t="str">
        <x:v>Query-specific; raw export prohibited</x:v>
      </x:c>
      <x:c r="F14" s="32" t="str">
        <x:v>Service eligibility</x:v>
      </x:c>
      <x:c r="G14" s="74"/>
      <x:c r="H14" s="74"/>
      <x:c r="I14" s="74"/>
      <x:c r="J14" s="74"/>
      <x:c r="K14" s="74"/>
      <x:c r="L14" s="74"/>
      <x:c r="M14" s="74"/>
      <x:c r="N14" s="74"/>
    </x:row>
    <x:row r="15">
      <x:c r="A15" s="32" t="n">
        <x:v>9</x:v>
      </x:c>
      <x:c r="B15" s="32" t="str">
        <x:v>Service token</x:v>
      </x:c>
      <x:c r="C15" s="32" t="str">
        <x:v>Lawful receiver</x:v>
      </x:c>
      <x:c r="D15" s="32" t="str">
        <x:v>Minimum operational claim for admitted service</x:v>
      </x:c>
      <x:c r="E15" s="32" t="str">
        <x:v>Expires with easement and purpose</x:v>
      </x:c>
      <x:c r="F15" s="32" t="str">
        <x:v>Permanent identity</x:v>
      </x:c>
      <x:c r="G15" s="74"/>
      <x:c r="H15" s="74"/>
      <x:c r="I15" s="74"/>
      <x:c r="J15" s="74"/>
      <x:c r="K15" s="74"/>
      <x:c r="L15" s="74"/>
      <x:c r="M15" s="74"/>
      <x:c r="N15" s="74"/>
    </x:row>
    <x:row r="16">
      <x:c r="A16" s="32" t="n">
        <x:v>10</x:v>
      </x:c>
      <x:c r="B16" s="32" t="str">
        <x:v>Mobilization recommendation</x:v>
      </x:c>
      <x:c r="C16" s="32" t="str">
        <x:v>Mission system / district planner</x:v>
      </x:c>
      <x:c r="D16" s="32" t="str">
        <x:v>Released forecast plus deficit and alternatives</x:v>
      </x:c>
      <x:c r="E16" s="32" t="str">
        <x:v>Expires with forecast or changed state</x:v>
      </x:c>
      <x:c r="F16" s="32" t="str">
        <x:v>Allocation</x:v>
      </x:c>
      <x:c r="G16" s="74"/>
      <x:c r="H16" s="74"/>
      <x:c r="I16" s="74"/>
      <x:c r="J16" s="74"/>
      <x:c r="K16" s="74"/>
      <x:c r="L16" s="74"/>
      <x:c r="M16" s="74"/>
      <x:c r="N16" s="74"/>
    </x:row>
    <x:row r="17">
      <x:c r="A17" s="32" t="n">
        <x:v>11</x:v>
      </x:c>
      <x:c r="B17" s="32" t="str">
        <x:v>Operational use</x:v>
      </x:c>
      <x:c r="C17" s="32" t="str">
        <x:v>NMAC / campaign authority</x:v>
      </x:c>
      <x:c r="D17" s="32" t="str">
        <x:v>Valid upstream warrants and lawful activation</x:v>
      </x:c>
      <x:c r="E17" s="32" t="str">
        <x:v>Rolls back on any upstream loss</x:v>
      </x:c>
      <x:c r="F17" s="32" t="str">
        <x:v>Effect credit</x:v>
      </x:c>
      <x:c r="G17" s="74"/>
      <x:c r="H17" s="74"/>
      <x:c r="I17" s="74"/>
      <x:c r="J17" s="74"/>
      <x:c r="K17" s="74"/>
      <x:c r="L17" s="74"/>
      <x:c r="M17" s="74"/>
      <x:c r="N17" s="74"/>
    </x:row>
    <x:row r="18">
      <x:c r="A18" s="32" t="n">
        <x:v>12</x:v>
      </x:c>
      <x:c r="B18" s="32" t="str">
        <x:v>Retention / destruction receipt</x:v>
      </x:c>
      <x:c r="C18" s="32" t="str">
        <x:v>Evidence custodian + rights authority</x:v>
      </x:c>
      <x:c r="D18" s="32" t="str">
        <x:v>Purpose ended; minimized proof sealed</x:v>
      </x:c>
      <x:c r="E18" s="32" t="str">
        <x:v>Content cannot be reconstructed or reused</x:v>
      </x:c>
      <x:c r="F18" s="32" t="str">
        <x:v>Operative search</x:v>
      </x:c>
      <x:c r="G18" s="74"/>
      <x:c r="H18" s="74"/>
      <x:c r="I18" s="74"/>
      <x:c r="J18" s="74"/>
      <x:c r="K18" s="74"/>
      <x:c r="L18" s="74"/>
      <x:c r="M18" s="74"/>
      <x:c r="N18" s="74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35" hidden="0" customWidth="1"/>
    <x:col min="3" max="3" width="65" hidden="0" customWidth="1"/>
    <x:col min="4" max="4" width="29" hidden="0" customWidth="1"/>
  </x:cols>
  <x:sheetData>
    <x:row r="2">
      <x:c r="A2" s="73" t="str">
        <x:v>Civil data rights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Rights are service constraints, not policy preferences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ID</x:v>
      </x:c>
      <x:c r="B6" s="90" t="str">
        <x:v>Right</x:v>
      </x:c>
      <x:c r="C6" s="90" t="str">
        <x:v>Operational test</x:v>
      </x:c>
      <x:c r="D6" s="91" t="str">
        <x:v>Enforcer</x:v>
      </x:c>
      <x:c r="E6" s="74"/>
      <x:c r="F6" s="74"/>
      <x:c r="G6" s="74"/>
      <x:c r="H6" s="74"/>
      <x:c r="I6" s="74"/>
      <x:c r="J6" s="74"/>
      <x:c r="K6" s="74"/>
      <x:c r="L6" s="74"/>
      <x:c r="M6" s="74"/>
      <x:c r="N6" s="74"/>
    </x:row>
    <x:row r="7">
      <x:c r="A7" s="31" t="str">
        <x:v>R01</x:v>
      </x:c>
      <x:c r="B7" s="31" t="str">
        <x:v>Warning without compulsory identification</x:v>
      </x:c>
      <x:c r="C7" s="31" t="str">
        <x:v>Public warning cannot require enrollment, device identity or dossier creation</x:v>
      </x:c>
      <x:c r="D7" s="31" t="str">
        <x:v>Warning authority</x:v>
      </x:c>
      <x:c r="E7" s="74"/>
      <x:c r="F7" s="74"/>
      <x:c r="G7" s="74"/>
      <x:c r="H7" s="74"/>
      <x:c r="I7" s="74"/>
      <x:c r="J7" s="74"/>
      <x:c r="K7" s="74"/>
      <x:c r="L7" s="74"/>
      <x:c r="M7" s="74"/>
      <x:c r="N7" s="74"/>
    </x:row>
    <x:row r="8">
      <x:c r="A8" s="32" t="str">
        <x:v>R02</x:v>
      </x:c>
      <x:c r="B8" s="32" t="str">
        <x:v>Service without permanent dossier</x:v>
      </x:c>
      <x:c r="C8" s="32" t="str">
        <x:v>Necessary incident identity expires with the service purpose</x:v>
      </x:c>
      <x:c r="D8" s="32" t="str">
        <x:v>Receiver + rights authority</x:v>
      </x:c>
      <x:c r="E8" s="74"/>
      <x:c r="F8" s="74"/>
      <x:c r="G8" s="74"/>
      <x:c r="H8" s="74"/>
      <x:c r="I8" s="74"/>
      <x:c r="J8" s="74"/>
      <x:c r="K8" s="74"/>
      <x:c r="L8" s="74"/>
      <x:c r="M8" s="74"/>
      <x:c r="N8" s="74"/>
    </x:row>
    <x:row r="9">
      <x:c r="A9" s="32" t="str">
        <x:v>R03</x:v>
      </x:c>
      <x:c r="B9" s="32" t="str">
        <x:v>Minimum necessary collection</x:v>
      </x:c>
      <x:c r="C9" s="32" t="str">
        <x:v>Every field must be necessary to a named public duty</x:v>
      </x:c>
      <x:c r="D9" s="32" t="str">
        <x:v>Source custodian</x:v>
      </x:c>
      <x:c r="E9" s="74"/>
      <x:c r="F9" s="74"/>
      <x:c r="G9" s="74"/>
      <x:c r="H9" s="74"/>
      <x:c r="I9" s="74"/>
      <x:c r="J9" s="74"/>
      <x:c r="K9" s="74"/>
      <x:c r="L9" s="74"/>
      <x:c r="M9" s="74"/>
      <x:c r="N9" s="74"/>
    </x:row>
    <x:row r="10">
      <x:c r="A10" s="32" t="str">
        <x:v>R04</x:v>
      </x:c>
      <x:c r="B10" s="32" t="str">
        <x:v>Source and inference visibility</x:v>
      </x:c>
      <x:c r="C10" s="32" t="str">
        <x:v>Person may distinguish observed record from model inference</x:v>
      </x:c>
      <x:c r="D10" s="32" t="str">
        <x:v>Model foundry</x:v>
      </x:c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</x:row>
    <x:row r="11">
      <x:c r="A11" s="32" t="str">
        <x:v>R05</x:v>
      </x:c>
      <x:c r="B11" s="32" t="str">
        <x:v>Correction</x:v>
      </x:c>
      <x:c r="C11" s="32" t="str">
        <x:v>Material source error receives a timed correction path</x:v>
      </x:c>
      <x:c r="D11" s="32" t="str">
        <x:v>Custodian</x:v>
      </x:c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</x:row>
    <x:row r="12">
      <x:c r="A12" s="32" t="str">
        <x:v>R06</x:v>
      </x:c>
      <x:c r="B12" s="32" t="str">
        <x:v>Contest and human review</x:v>
      </x:c>
      <x:c r="C12" s="32" t="str">
        <x:v>Adverse inference cannot be final without review</x:v>
      </x:c>
      <x:c r="D12" s="32" t="str">
        <x:v>Rights Tribunal</x:v>
      </x:c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</x:row>
    <x:row r="13">
      <x:c r="A13" s="32" t="str">
        <x:v>R07</x:v>
      </x:c>
      <x:c r="B13" s="32" t="str">
        <x:v>Uncertainty disclosure</x:v>
      </x:c>
      <x:c r="C13" s="32" t="str">
        <x:v>Coverage, missingness and dissent travel with the claim</x:v>
      </x:c>
      <x:c r="D13" s="32" t="str">
        <x:v>Forecast issuer</x:v>
      </x:c>
      <x:c r="E13" s="74"/>
      <x:c r="F13" s="74"/>
      <x:c r="G13" s="74"/>
      <x:c r="H13" s="74"/>
      <x:c r="I13" s="74"/>
      <x:c r="J13" s="74"/>
      <x:c r="K13" s="74"/>
      <x:c r="L13" s="74"/>
      <x:c r="M13" s="74"/>
      <x:c r="N13" s="74"/>
    </x:row>
    <x:row r="14">
      <x:c r="A14" s="32" t="str">
        <x:v>R08</x:v>
      </x:c>
      <x:c r="B14" s="32" t="str">
        <x:v>Purpose and time limits</x:v>
      </x:c>
      <x:c r="C14" s="32" t="str">
        <x:v>Use outside the named purpose or clock is prohibited</x:v>
      </x:c>
      <x:c r="D14" s="32" t="str">
        <x:v>All holders</x:v>
      </x:c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</x:row>
    <x:row r="15">
      <x:c r="A15" s="32" t="str">
        <x:v>R09</x:v>
      </x:c>
      <x:c r="B15" s="32" t="str">
        <x:v>Direct tribal and territorial custody</x:v>
      </x:c>
      <x:c r="C15" s="32" t="str">
        <x:v>No state intermediary is required</x:v>
      </x:c>
      <x:c r="D15" s="32" t="str">
        <x:v>Sovereign trust</x:v>
      </x:c>
      <x:c r="E15" s="74"/>
      <x:c r="F15" s="74"/>
      <x:c r="G15" s="74"/>
      <x:c r="H15" s="74"/>
      <x:c r="I15" s="74"/>
      <x:c r="J15" s="74"/>
      <x:c r="K15" s="74"/>
      <x:c r="L15" s="74"/>
      <x:c r="M15" s="74"/>
      <x:c r="N15" s="74"/>
    </x:row>
    <x:row r="16">
      <x:c r="A16" s="32" t="str">
        <x:v>R10</x:v>
      </x:c>
      <x:c r="B16" s="32" t="str">
        <x:v>Voluntary consent outside public duty</x:v>
      </x:c>
      <x:c r="C16" s="32" t="str">
        <x:v>Convenience does not create compelled collection</x:v>
      </x:c>
      <x:c r="D16" s="32" t="str">
        <x:v>Source custodian</x:v>
      </x:c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</x:row>
    <x:row r="17">
      <x:c r="A17" s="32" t="str">
        <x:v>R11</x:v>
      </x:c>
      <x:c r="B17" s="32" t="str">
        <x:v>Protected relationships</x:v>
      </x:c>
      <x:c r="C17" s="32" t="str">
        <x:v>Household, care and reunification links remain intact but bounded</x:v>
      </x:c>
      <x:c r="D17" s="32" t="str">
        <x:v>Civil-data trust</x:v>
      </x:c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</x:row>
    <x:row r="18">
      <x:c r="A18" s="32" t="str">
        <x:v>R12</x:v>
      </x:c>
      <x:c r="B18" s="32" t="str">
        <x:v>No penalty for data absence</x:v>
      </x:c>
      <x:c r="C18" s="32" t="str">
        <x:v>Unknown need cannot be scored as low need or ineligibility</x:v>
      </x:c>
      <x:c r="D18" s="32" t="str">
        <x:v>Effect Trustee</x:v>
      </x:c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</x:row>
    <x:row r="19">
      <x:c r="A19" s="32" t="str">
        <x:v>R13</x:v>
      </x:c>
      <x:c r="B19" s="32" t="str">
        <x:v>Deletion of operative copies</x:v>
      </x:c>
      <x:c r="C19" s="32" t="str">
        <x:v>Expired K1/K2 content is removed; minimized receipt remains</x:v>
      </x:c>
      <x:c r="D19" s="32" t="str">
        <x:v>Evidence custodian</x:v>
      </x:c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</x:row>
    <x:row r="20">
      <x:c r="A20" s="32" t="str">
        <x:v>R14</x:v>
      </x:c>
      <x:c r="B20" s="32" t="str">
        <x:v>Remedy</x:v>
      </x:c>
      <x:c r="C20" s="32" t="str">
        <x:v>Audit, appeal, restitution and sanctions remain available after deletion</x:v>
      </x:c>
      <x:c r="D20" s="32" t="str">
        <x:v>Rights Tribunal</x:v>
      </x:c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1" hidden="0" customWidth="1"/>
    <x:col min="3" max="3" width="34" hidden="0" customWidth="1"/>
    <x:col min="4" max="4" width="52" hidden="0" customWidth="1"/>
  </x:cols>
  <x:sheetData>
    <x:row r="2">
      <x:c r="A2" s="73" t="str">
        <x:v>Nonconversion laws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Information value cannot silently become sovereign power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ID</x:v>
      </x:c>
      <x:c r="B6" s="90" t="str">
        <x:v>Source state</x:v>
      </x:c>
      <x:c r="C6" s="90" t="str">
        <x:v>Cannot become</x:v>
      </x:c>
      <x:c r="D6" s="91" t="str">
        <x:v>Required intervening authority</x:v>
      </x:c>
      <x:c r="E6" s="74"/>
      <x:c r="F6" s="74"/>
      <x:c r="G6" s="74"/>
      <x:c r="H6" s="74"/>
      <x:c r="I6" s="74"/>
      <x:c r="J6" s="74"/>
      <x:c r="K6" s="74"/>
      <x:c r="L6" s="74"/>
      <x:c r="M6" s="74"/>
      <x:c r="N6" s="74"/>
    </x:row>
    <x:row r="7">
      <x:c r="A7" s="92" t="str">
        <x:v>N01</x:v>
      </x:c>
      <x:c r="B7" s="92" t="str">
        <x:v>Observation</x:v>
      </x:c>
      <x:c r="C7" s="92" t="str">
        <x:v>Identity</x:v>
      </x:c>
      <x:c r="D7" s="92" t="str">
        <x:v>Independent named warrant and issuer</x:v>
      </x:c>
      <x:c r="E7" s="74"/>
      <x:c r="F7" s="74"/>
      <x:c r="G7" s="74"/>
      <x:c r="H7" s="74"/>
      <x:c r="I7" s="74"/>
      <x:c r="J7" s="74"/>
      <x:c r="K7" s="74"/>
      <x:c r="L7" s="74"/>
      <x:c r="M7" s="74"/>
      <x:c r="N7" s="74"/>
    </x:row>
    <x:row r="8">
      <x:c r="A8" s="94" t="str">
        <x:v>N02</x:v>
      </x:c>
      <x:c r="B8" s="94" t="str">
        <x:v>Location</x:v>
      </x:c>
      <x:c r="C8" s="94" t="str">
        <x:v>Personhood</x:v>
      </x:c>
      <x:c r="D8" s="94" t="str">
        <x:v>Independent named warrant and issuer</x:v>
      </x:c>
      <x:c r="E8" s="74"/>
      <x:c r="F8" s="74"/>
      <x:c r="G8" s="74"/>
      <x:c r="H8" s="74"/>
      <x:c r="I8" s="74"/>
      <x:c r="J8" s="74"/>
      <x:c r="K8" s="74"/>
      <x:c r="L8" s="74"/>
      <x:c r="M8" s="74"/>
      <x:c r="N8" s="74"/>
    </x:row>
    <x:row r="9">
      <x:c r="A9" s="94" t="str">
        <x:v>N03</x:v>
      </x:c>
      <x:c r="B9" s="94" t="str">
        <x:v>Association</x:v>
      </x:c>
      <x:c r="C9" s="94" t="str">
        <x:v>Consent</x:v>
      </x:c>
      <x:c r="D9" s="94" t="str">
        <x:v>Independent named warrant and issuer</x:v>
      </x:c>
      <x:c r="E9" s="74"/>
      <x:c r="F9" s="74"/>
      <x:c r="G9" s="74"/>
      <x:c r="H9" s="74"/>
      <x:c r="I9" s="74"/>
      <x:c r="J9" s="74"/>
      <x:c r="K9" s="74"/>
      <x:c r="L9" s="74"/>
      <x:c r="M9" s="74"/>
      <x:c r="N9" s="74"/>
    </x:row>
    <x:row r="10">
      <x:c r="A10" s="94" t="str">
        <x:v>N04</x:v>
      </x:c>
      <x:c r="B10" s="94" t="str">
        <x:v>Missing data</x:v>
      </x:c>
      <x:c r="C10" s="94" t="str">
        <x:v>Low need</x:v>
      </x:c>
      <x:c r="D10" s="94" t="str">
        <x:v>Independent named warrant and issuer</x:v>
      </x:c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</x:row>
    <x:row r="11">
      <x:c r="A11" s="94" t="str">
        <x:v>N05</x:v>
      </x:c>
      <x:c r="B11" s="94" t="str">
        <x:v>Model fit</x:v>
      </x:c>
      <x:c r="C11" s="94" t="str">
        <x:v>Legitimacy</x:v>
      </x:c>
      <x:c r="D11" s="94" t="str">
        <x:v>Independent named warrant and issuer</x:v>
      </x:c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</x:row>
    <x:row r="12">
      <x:c r="A12" s="94" t="str">
        <x:v>N06</x:v>
      </x:c>
      <x:c r="B12" s="94" t="str">
        <x:v>Forecast</x:v>
      </x:c>
      <x:c r="C12" s="94" t="str">
        <x:v>Fact</x:v>
      </x:c>
      <x:c r="D12" s="94" t="str">
        <x:v>Independent named warrant and issuer</x:v>
      </x:c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</x:row>
    <x:row r="13">
      <x:c r="A13" s="94" t="str">
        <x:v>N07</x:v>
      </x:c>
      <x:c r="B13" s="94" t="str">
        <x:v>Warning</x:v>
      </x:c>
      <x:c r="C13" s="94" t="str">
        <x:v>Command</x:v>
      </x:c>
      <x:c r="D13" s="94" t="str">
        <x:v>Independent named warrant and issuer</x:v>
      </x:c>
      <x:c r="E13" s="74"/>
      <x:c r="F13" s="74"/>
      <x:c r="G13" s="74"/>
      <x:c r="H13" s="74"/>
      <x:c r="I13" s="74"/>
      <x:c r="J13" s="74"/>
      <x:c r="K13" s="74"/>
      <x:c r="L13" s="74"/>
      <x:c r="M13" s="74"/>
      <x:c r="N13" s="74"/>
    </x:row>
    <x:row r="14">
      <x:c r="A14" s="94" t="str">
        <x:v>N08</x:v>
      </x:c>
      <x:c r="B14" s="94" t="str">
        <x:v>Need score</x:v>
      </x:c>
      <x:c r="C14" s="94" t="str">
        <x:v>Eligibility</x:v>
      </x:c>
      <x:c r="D14" s="94" t="str">
        <x:v>Independent named warrant and issuer</x:v>
      </x:c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</x:row>
    <x:row r="15">
      <x:c r="A15" s="94" t="str">
        <x:v>N09</x:v>
      </x:c>
      <x:c r="B15" s="94" t="str">
        <x:v>Service token</x:v>
      </x:c>
      <x:c r="C15" s="94" t="str">
        <x:v>Identity credential</x:v>
      </x:c>
      <x:c r="D15" s="94" t="str">
        <x:v>Independent named warrant and issuer</x:v>
      </x:c>
      <x:c r="E15" s="74"/>
      <x:c r="F15" s="74"/>
      <x:c r="G15" s="74"/>
      <x:c r="H15" s="74"/>
      <x:c r="I15" s="74"/>
      <x:c r="J15" s="74"/>
      <x:c r="K15" s="74"/>
      <x:c r="L15" s="74"/>
      <x:c r="M15" s="74"/>
      <x:c r="N15" s="74"/>
    </x:row>
    <x:row r="16">
      <x:c r="A16" s="94" t="str">
        <x:v>N10</x:v>
      </x:c>
      <x:c r="B16" s="94" t="str">
        <x:v>Emergency</x:v>
      </x:c>
      <x:c r="C16" s="94" t="str">
        <x:v>Secondary-use permission</x:v>
      </x:c>
      <x:c r="D16" s="94" t="str">
        <x:v>Independent named warrant and issuer</x:v>
      </x:c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</x:row>
    <x:row r="17">
      <x:c r="A17" s="94" t="str">
        <x:v>N11</x:v>
      </x:c>
      <x:c r="B17" s="94" t="str">
        <x:v>Openness</x:v>
      </x:c>
      <x:c r="C17" s="94" t="str">
        <x:v>Protected-data release</x:v>
      </x:c>
      <x:c r="D17" s="94" t="str">
        <x:v>Independent named warrant and issuer</x:v>
      </x:c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</x:row>
    <x:row r="18">
      <x:c r="A18" s="94" t="str">
        <x:v>N12</x:v>
      </x:c>
      <x:c r="B18" s="94" t="str">
        <x:v>Commercial access</x:v>
      </x:c>
      <x:c r="C18" s="94" t="str">
        <x:v>Title</x:v>
      </x:c>
      <x:c r="D18" s="94" t="str">
        <x:v>Independent named warrant and issuer</x:v>
      </x:c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</x:row>
    <x:row r="19">
      <x:c r="A19" s="94" t="str">
        <x:v>N13</x:v>
      </x:c>
      <x:c r="B19" s="94" t="str">
        <x:v>Security restriction</x:v>
      </x:c>
      <x:c r="C19" s="94" t="str">
        <x:v>Adverse-evidence suppression</x:v>
      </x:c>
      <x:c r="D19" s="94" t="str">
        <x:v>Independent named warrant and issuer</x:v>
      </x:c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</x:row>
    <x:row r="20">
      <x:c r="A20" s="94" t="str">
        <x:v>N14</x:v>
      </x:c>
      <x:c r="B20" s="94" t="str">
        <x:v>Retained evidence</x:v>
      </x:c>
      <x:c r="C20" s="94" t="str">
        <x:v>Operative reuse</x:v>
      </x:c>
      <x:c r="D20" s="94" t="str">
        <x:v>Independent named warrant and issuer</x:v>
      </x:c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</x:row>
    <x:row r="21">
      <x:c r="A21" s="94" t="str">
        <x:v>N15</x:v>
      </x:c>
      <x:c r="B21" s="94" t="str">
        <x:v>Accuracy</x:v>
      </x:c>
      <x:c r="C21" s="94" t="str">
        <x:v>Authority</x:v>
      </x:c>
      <x:c r="D21" s="94" t="str">
        <x:v>Independent named warrant and issuer</x:v>
      </x:c>
      <x:c r="E21" s="74"/>
      <x:c r="F21" s="74"/>
      <x:c r="G21" s="74"/>
      <x:c r="H21" s="74"/>
      <x:c r="I21" s="74"/>
      <x:c r="J21" s="74"/>
      <x:c r="K21" s="74"/>
      <x:c r="L21" s="74"/>
      <x:c r="M21" s="74"/>
      <x:c r="N21" s="74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34" hidden="0" customWidth="1"/>
    <x:col min="3" max="3" width="63" hidden="0" customWidth="1"/>
    <x:col min="4" max="4" width="18" hidden="0" customWidth="1"/>
  </x:cols>
  <x:sheetData>
    <x:row r="2">
      <x:c r="A2" s="73" t="str">
        <x:v>Forecast contract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Every decision-grade forecast carries fourteen fields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ID</x:v>
      </x:c>
      <x:c r="B6" s="90" t="str">
        <x:v>Required field</x:v>
      </x:c>
      <x:c r="C6" s="90" t="str">
        <x:v>Why it is nonoptional</x:v>
      </x:c>
      <x:c r="D6" s="91" t="str">
        <x:v>Release state</x:v>
      </x:c>
      <x:c r="E6" s="74"/>
      <x:c r="F6" s="74"/>
      <x:c r="G6" s="74"/>
      <x:c r="H6" s="74"/>
      <x:c r="I6" s="74"/>
      <x:c r="J6" s="74"/>
      <x:c r="K6" s="74"/>
      <x:c r="L6" s="74"/>
      <x:c r="M6" s="74"/>
      <x:c r="N6" s="74"/>
    </x:row>
    <x:row r="7">
      <x:c r="A7" s="92" t="str">
        <x:v>F01</x:v>
      </x:c>
      <x:c r="B7" s="92" t="str">
        <x:v>Target variable</x:v>
      </x:c>
      <x:c r="C7" s="92" t="str">
        <x:v>Defines what is predicted, rather than a proxy</x:v>
      </x:c>
      <x:c r="D7" s="92" t="str">
        <x:v>SOURCE-EMPTY</x:v>
      </x:c>
      <x:c r="E7" s="74"/>
      <x:c r="F7" s="74"/>
      <x:c r="G7" s="74"/>
      <x:c r="H7" s="74"/>
      <x:c r="I7" s="74"/>
      <x:c r="J7" s="74"/>
      <x:c r="K7" s="74"/>
      <x:c r="L7" s="74"/>
      <x:c r="M7" s="74"/>
      <x:c r="N7" s="74"/>
    </x:row>
    <x:row r="8">
      <x:c r="A8" s="94" t="str">
        <x:v>F02</x:v>
      </x:c>
      <x:c r="B8" s="94" t="str">
        <x:v>Population and geography</x:v>
      </x:c>
      <x:c r="C8" s="94" t="str">
        <x:v>Prevents geographic or population drift</x:v>
      </x:c>
      <x:c r="D8" s="94" t="str">
        <x:v>SOURCE-EMPTY</x:v>
      </x:c>
      <x:c r="E8" s="74"/>
      <x:c r="F8" s="74"/>
      <x:c r="G8" s="74"/>
      <x:c r="H8" s="74"/>
      <x:c r="I8" s="74"/>
      <x:c r="J8" s="74"/>
      <x:c r="K8" s="74"/>
      <x:c r="L8" s="74"/>
      <x:c r="M8" s="74"/>
      <x:c r="N8" s="74"/>
    </x:row>
    <x:row r="9">
      <x:c r="A9" s="94" t="str">
        <x:v>F03</x:v>
      </x:c>
      <x:c r="B9" s="94" t="str">
        <x:v>Issue time and horizon</x:v>
      </x:c>
      <x:c r="C9" s="94" t="str">
        <x:v>Prevents stale probability from surviving its horizon</x:v>
      </x:c>
      <x:c r="D9" s="94" t="str">
        <x:v>SOURCE-EMPTY</x:v>
      </x:c>
      <x:c r="E9" s="74"/>
      <x:c r="F9" s="74"/>
      <x:c r="G9" s="74"/>
      <x:c r="H9" s="74"/>
      <x:c r="I9" s="74"/>
      <x:c r="J9" s="74"/>
      <x:c r="K9" s="74"/>
      <x:c r="L9" s="74"/>
      <x:c r="M9" s="74"/>
      <x:c r="N9" s="74"/>
    </x:row>
    <x:row r="10">
      <x:c r="A10" s="94" t="str">
        <x:v>F04</x:v>
      </x:c>
      <x:c r="B10" s="94" t="str">
        <x:v>Source ancestry</x:v>
      </x:c>
      <x:c r="C10" s="94" t="str">
        <x:v>Makes every input and transformation traceable</x:v>
      </x:c>
      <x:c r="D10" s="94" t="str">
        <x:v>SOURCE-EMPTY</x:v>
      </x:c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</x:row>
    <x:row r="11">
      <x:c r="A11" s="94" t="str">
        <x:v>F05</x:v>
      </x:c>
      <x:c r="B11" s="94" t="str">
        <x:v>Model and code version</x:v>
      </x:c>
      <x:c r="C11" s="94" t="str">
        <x:v>Makes the exact executable object reproducible</x:v>
      </x:c>
      <x:c r="D11" s="94" t="str">
        <x:v>SOURCE-EMPTY</x:v>
      </x:c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</x:row>
    <x:row r="12">
      <x:c r="A12" s="94" t="str">
        <x:v>F06</x:v>
      </x:c>
      <x:c r="B12" s="94" t="str">
        <x:v>Training / calibration vintage</x:v>
      </x:c>
      <x:c r="C12" s="94" t="str">
        <x:v>Exposes age and domain mismatch</x:v>
      </x:c>
      <x:c r="D12" s="94" t="str">
        <x:v>SOURCE-EMPTY</x:v>
      </x:c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</x:row>
    <x:row r="13">
      <x:c r="A13" s="94" t="str">
        <x:v>F07</x:v>
      </x:c>
      <x:c r="B13" s="94" t="str">
        <x:v>Probability distribution</x:v>
      </x:c>
      <x:c r="C13" s="94" t="str">
        <x:v>Preserves tails rather than a point estimate</x:v>
      </x:c>
      <x:c r="D13" s="94" t="str">
        <x:v>SOURCE-EMPTY</x:v>
      </x:c>
      <x:c r="E13" s="74"/>
      <x:c r="F13" s="74"/>
      <x:c r="G13" s="74"/>
      <x:c r="H13" s="74"/>
      <x:c r="I13" s="74"/>
      <x:c r="J13" s="74"/>
      <x:c r="K13" s="74"/>
      <x:c r="L13" s="74"/>
      <x:c r="M13" s="74"/>
      <x:c r="N13" s="74"/>
    </x:row>
    <x:row r="14">
      <x:c r="A14" s="94" t="str">
        <x:v>F08</x:v>
      </x:c>
      <x:c r="B14" s="94" t="str">
        <x:v>Coverage and missingness</x:v>
      </x:c>
      <x:c r="C14" s="94" t="str">
        <x:v>Makes ignorance visible</x:v>
      </x:c>
      <x:c r="D14" s="94" t="str">
        <x:v>SOURCE-EMPTY</x:v>
      </x:c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</x:row>
    <x:row r="15">
      <x:c r="A15" s="94" t="str">
        <x:v>F09</x:v>
      </x:c>
      <x:c r="B15" s="94" t="str">
        <x:v>Known failure domains</x:v>
      </x:c>
      <x:c r="C15" s="94" t="str">
        <x:v>Stops out-of-domain operation</x:v>
      </x:c>
      <x:c r="D15" s="94" t="str">
        <x:v>SOURCE-EMPTY</x:v>
      </x:c>
      <x:c r="E15" s="74"/>
      <x:c r="F15" s="74"/>
      <x:c r="G15" s="74"/>
      <x:c r="H15" s="74"/>
      <x:c r="I15" s="74"/>
      <x:c r="J15" s="74"/>
      <x:c r="K15" s="74"/>
      <x:c r="L15" s="74"/>
      <x:c r="M15" s="74"/>
      <x:c r="N15" s="74"/>
    </x:row>
    <x:row r="16">
      <x:c r="A16" s="94" t="str">
        <x:v>F10</x:v>
      </x:c>
      <x:c r="B16" s="94" t="str">
        <x:v>Subgroup error</x:v>
      </x:c>
      <x:c r="C16" s="94" t="str">
        <x:v>Exposes unequal warning and miss performance</x:v>
      </x:c>
      <x:c r="D16" s="94" t="str">
        <x:v>SOURCE-EMPTY</x:v>
      </x:c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</x:row>
    <x:row r="17">
      <x:c r="A17" s="94" t="str">
        <x:v>F11</x:v>
      </x:c>
      <x:c r="B17" s="94" t="str">
        <x:v>Unlike-root disagreement</x:v>
      </x:c>
      <x:c r="C17" s="94" t="str">
        <x:v>Prevents averaging away a dissenting tail</x:v>
      </x:c>
      <x:c r="D17" s="94" t="str">
        <x:v>SOURCE-EMPTY</x:v>
      </x:c>
      <x:c r="E17" s="74"/>
      <x:c r="F17" s="74"/>
      <x:c r="G17" s="74"/>
      <x:c r="H17" s="74"/>
      <x:c r="I17" s="74"/>
      <x:c r="J17" s="74"/>
      <x:c r="K17" s="74"/>
      <x:c r="L17" s="74"/>
      <x:c r="M17" s="74"/>
      <x:c r="N17" s="74"/>
    </x:row>
    <x:row r="18">
      <x:c r="A18" s="94" t="str">
        <x:v>F12</x:v>
      </x:c>
      <x:c r="B18" s="94" t="str">
        <x:v>Permitted receivers</x:v>
      </x:c>
      <x:c r="C18" s="94" t="str">
        <x:v>Constrains who can act on the product</x:v>
      </x:c>
      <x:c r="D18" s="94" t="str">
        <x:v>SOURCE-EMPTY</x:v>
      </x:c>
      <x:c r="E18" s="74"/>
      <x:c r="F18" s="74"/>
      <x:c r="G18" s="74"/>
      <x:c r="H18" s="74"/>
      <x:c r="I18" s="74"/>
      <x:c r="J18" s="74"/>
      <x:c r="K18" s="74"/>
      <x:c r="L18" s="74"/>
      <x:c r="M18" s="74"/>
      <x:c r="N18" s="74"/>
    </x:row>
    <x:row r="19">
      <x:c r="A19" s="94" t="str">
        <x:v>F13</x:v>
      </x:c>
      <x:c r="B19" s="94" t="str">
        <x:v>Expiry and rollback</x:v>
      </x:c>
      <x:c r="C19" s="94" t="str">
        <x:v>Removes present authority without erasing history</x:v>
      </x:c>
      <x:c r="D19" s="94" t="str">
        <x:v>SOURCE-EMPTY</x:v>
      </x:c>
      <x:c r="E19" s="74"/>
      <x:c r="F19" s="74"/>
      <x:c r="G19" s="74"/>
      <x:c r="H19" s="74"/>
      <x:c r="I19" s="74"/>
      <x:c r="J19" s="74"/>
      <x:c r="K19" s="74"/>
      <x:c r="L19" s="74"/>
      <x:c r="M19" s="74"/>
      <x:c r="N19" s="74"/>
    </x:row>
    <x:row r="20">
      <x:c r="A20" s="94" t="str">
        <x:v>F14</x:v>
      </x:c>
      <x:c r="B20" s="94" t="str">
        <x:v>Challenge and after-score path</x:v>
      </x:c>
      <x:c r="C20" s="94" t="str">
        <x:v>Makes correction and public scoring mandatory</x:v>
      </x:c>
      <x:c r="D20" s="94" t="str">
        <x:v>SOURCE-EMPTY</x:v>
      </x:c>
      <x:c r="E20" s="74"/>
      <x:c r="F20" s="74"/>
      <x:c r="G20" s="74"/>
      <x:c r="H20" s="74"/>
      <x:c r="I20" s="74"/>
      <x:c r="J20" s="74"/>
      <x:c r="K20" s="74"/>
      <x:c r="L20" s="74"/>
      <x:c r="M20" s="74"/>
      <x:c r="N20" s="74"/>
    </x:row>
  </x:sheetData>
  <x:conditionalFormatting sqref="D7:D20">
    <x:cfRule type="containsText" dxfId="0" priority="1" operator="containsText" text="FAIL"/>
    <x:cfRule type="containsText" dxfId="1" priority="2" operator="containsText" text="HOLD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23" hidden="0" customWidth="1"/>
    <x:col min="4" max="4" width="31" hidden="0" customWidth="1"/>
    <x:col min="5" max="5" width="38" hidden="0" customWidth="1"/>
    <x:col min="6" max="6" width="43" hidden="0" customWidth="1"/>
  </x:cols>
  <x:sheetData>
    <x:row r="2">
      <x:c r="A2" s="73" t="str">
        <x:v>Purpose and retention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Default data behavior by class; a live warrant may only narrow it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Class</x:v>
      </x:c>
      <x:c r="B6" s="90" t="str">
        <x:v>Plane</x:v>
      </x:c>
      <x:c r="C6" s="90" t="str">
        <x:v>Identity</x:v>
      </x:c>
      <x:c r="D6" s="90" t="str">
        <x:v>Default retention</x:v>
      </x:c>
      <x:c r="E6" s="90" t="str">
        <x:v>Allowed output</x:v>
      </x:c>
      <x:c r="F6" s="91" t="str">
        <x:v>Forbidden reuse</x:v>
      </x:c>
      <x:c r="G6" s="74"/>
      <x:c r="H6" s="74"/>
      <x:c r="I6" s="74"/>
      <x:c r="J6" s="74"/>
      <x:c r="K6" s="74"/>
      <x:c r="L6" s="74"/>
      <x:c r="M6" s="74"/>
      <x:c r="N6" s="74"/>
    </x:row>
    <x:row r="7">
      <x:c r="A7" s="31" t="str">
        <x:v>Environmental field</x:v>
      </x:c>
      <x:c r="B7" s="31" t="str">
        <x:v>K0</x:v>
      </x:c>
      <x:c r="C7" s="31" t="str">
        <x:v>None</x:v>
      </x:c>
      <x:c r="D7" s="31" t="str">
        <x:v>Persistent version history</x:v>
      </x:c>
      <x:c r="E7" s="31" t="str">
        <x:v>Open observation + uncertainty</x:v>
      </x:c>
      <x:c r="F7" s="31" t="str">
        <x:v>Identity enrichment</x:v>
      </x:c>
      <x:c r="G7" s="74"/>
      <x:c r="H7" s="74"/>
      <x:c r="I7" s="74"/>
      <x:c r="J7" s="74"/>
      <x:c r="K7" s="74"/>
      <x:c r="L7" s="74"/>
      <x:c r="M7" s="74"/>
      <x:c r="N7" s="74"/>
    </x:row>
    <x:row r="8">
      <x:c r="A8" s="32" t="str">
        <x:v>Infrastructure state</x:v>
      </x:c>
      <x:c r="B8" s="32" t="str">
        <x:v>K0 / safety-bounded</x:v>
      </x:c>
      <x:c r="C8" s="32" t="str">
        <x:v>Asset, not person</x:v>
      </x:c>
      <x:c r="D8" s="32" t="str">
        <x:v>Persistent; exact vulnerability may be delayed</x:v>
      </x:c>
      <x:c r="E8" s="32" t="str">
        <x:v>Capacity / operability field</x:v>
      </x:c>
      <x:c r="F8" s="32" t="str">
        <x:v>Targeting or commercial control</x:v>
      </x:c>
      <x:c r="G8" s="74"/>
      <x:c r="H8" s="74"/>
      <x:c r="I8" s="74"/>
      <x:c r="J8" s="74"/>
      <x:c r="K8" s="74"/>
      <x:c r="L8" s="74"/>
      <x:c r="M8" s="74"/>
      <x:c r="N8" s="74"/>
    </x:row>
    <x:row r="9">
      <x:c r="A9" s="32" t="str">
        <x:v>Public capacity</x:v>
      </x:c>
      <x:c r="B9" s="32" t="str">
        <x:v>K0</x:v>
      </x:c>
      <x:c r="C9" s="32" t="str">
        <x:v>Institutional</x:v>
      </x:c>
      <x:c r="D9" s="32" t="str">
        <x:v>Persistent</x:v>
      </x:c>
      <x:c r="E9" s="32" t="str">
        <x:v>Available service and constraint</x:v>
      </x:c>
      <x:c r="F9" s="32" t="str">
        <x:v>Provider preference or readiness credit</x:v>
      </x:c>
      <x:c r="G9" s="74"/>
      <x:c r="H9" s="74"/>
      <x:c r="I9" s="74"/>
      <x:c r="J9" s="74"/>
      <x:c r="K9" s="74"/>
      <x:c r="L9" s="74"/>
      <x:c r="M9" s="74"/>
      <x:c r="N9" s="74"/>
    </x:row>
    <x:row r="10">
      <x:c r="A10" s="32" t="str">
        <x:v>Protected aggregate civil state</x:v>
      </x:c>
      <x:c r="B10" s="32" t="str">
        <x:v>K1</x:v>
      </x:c>
      <x:c r="C10" s="32" t="str">
        <x:v>Threshold-protected</x:v>
      </x:c>
      <x:c r="D10" s="32" t="str">
        <x:v>Purpose clock</x:v>
      </x:c>
      <x:c r="E10" s="32" t="str">
        <x:v>Minimum sufficient aggregate</x:v>
      </x:c>
      <x:c r="F10" s="32" t="str">
        <x:v>Small-cell reconstruction</x:v>
      </x:c>
      <x:c r="G10" s="74"/>
      <x:c r="H10" s="74"/>
      <x:c r="I10" s="74"/>
      <x:c r="J10" s="74"/>
      <x:c r="K10" s="74"/>
      <x:c r="L10" s="74"/>
      <x:c r="M10" s="74"/>
      <x:c r="N10" s="74"/>
    </x:row>
    <x:row r="11">
      <x:c r="A11" s="32" t="str">
        <x:v>Identifiable civil state</x:v>
      </x:c>
      <x:c r="B11" s="32" t="str">
        <x:v>K1</x:v>
      </x:c>
      <x:c r="C11" s="32" t="str">
        <x:v>Necessary and explicit</x:v>
      </x:c>
      <x:c r="D11" s="32" t="str">
        <x:v>Purpose clock</x:v>
      </x:c>
      <x:c r="E11" s="32" t="str">
        <x:v>Approved query result only</x:v>
      </x:c>
      <x:c r="F11" s="32" t="str">
        <x:v>Raw national export</x:v>
      </x:c>
      <x:c r="G11" s="74"/>
      <x:c r="H11" s="74"/>
      <x:c r="I11" s="74"/>
      <x:c r="J11" s="74"/>
      <x:c r="K11" s="74"/>
      <x:c r="L11" s="74"/>
      <x:c r="M11" s="74"/>
      <x:c r="N11" s="74"/>
    </x:row>
    <x:row r="12">
      <x:c r="A12" s="32" t="str">
        <x:v>Incident service token</x:v>
      </x:c>
      <x:c r="B12" s="32" t="str">
        <x:v>K2</x:v>
      </x:c>
      <x:c r="C12" s="32" t="str">
        <x:v>Pseudonymous unless identity is necessary</x:v>
      </x:c>
      <x:c r="D12" s="32" t="str">
        <x:v>Easement expiry; maximum 30 days without renewal</x:v>
      </x:c>
      <x:c r="E12" s="32" t="str">
        <x:v>One service transaction</x:v>
      </x:c>
      <x:c r="F12" s="32" t="str">
        <x:v>Permanent profile or unrelated eligibility</x:v>
      </x:c>
      <x:c r="G12" s="74"/>
      <x:c r="H12" s="74"/>
      <x:c r="I12" s="74"/>
      <x:c r="J12" s="74"/>
      <x:c r="K12" s="74"/>
      <x:c r="L12" s="74"/>
      <x:c r="M12" s="74"/>
      <x:c r="N12" s="74"/>
    </x:row>
    <x:row r="13">
      <x:c r="A13" s="32" t="str">
        <x:v>Sensitive system detail</x:v>
      </x:c>
      <x:c r="B13" s="32" t="str">
        <x:v>K0 / K3</x:v>
      </x:c>
      <x:c r="C13" s="32" t="str">
        <x:v>Asset / operator as required</x:v>
      </x:c>
      <x:c r="D13" s="32" t="str">
        <x:v>Threat-bounded with review</x:v>
      </x:c>
      <x:c r="E13" s="32" t="str">
        <x:v>Minimum safe operational interface</x:v>
      </x:c>
      <x:c r="F13" s="32" t="str">
        <x:v>Indefinite secrecy or evidence suppression</x:v>
      </x:c>
      <x:c r="G13" s="74"/>
      <x:c r="H13" s="74"/>
      <x:c r="I13" s="74"/>
      <x:c r="J13" s="74"/>
      <x:c r="K13" s="74"/>
      <x:c r="L13" s="74"/>
      <x:c r="M13" s="74"/>
      <x:c r="N13" s="74"/>
    </x:row>
    <x:row r="14">
      <x:c r="A14" s="32" t="str">
        <x:v>Evidence receipt</x:v>
      </x:c>
      <x:c r="B14" s="32" t="str">
        <x:v>K3</x:v>
      </x:c>
      <x:c r="C14" s="32" t="str">
        <x:v>Content-minimized</x:v>
      </x:c>
      <x:c r="D14" s="32" t="str">
        <x:v>Persistent audit history</x:v>
      </x:c>
      <x:c r="E14" s="32" t="str">
        <x:v>Existence, warrant, method, disposition</x:v>
      </x:c>
      <x:c r="F14" s="32" t="str">
        <x:v>Reconstruction or operational search</x:v>
      </x:c>
      <x:c r="G14" s="74"/>
      <x:c r="H14" s="74"/>
      <x:c r="I14" s="74"/>
      <x:c r="J14" s="74"/>
      <x:c r="K14" s="74"/>
      <x:c r="L14" s="74"/>
      <x:c r="M14" s="74"/>
      <x:c r="N14" s="74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52" hidden="0" customWidth="1"/>
    <x:col min="3" max="3" width="34" hidden="0" customWidth="1"/>
    <x:col min="4" max="4" width="19" hidden="0" customWidth="1"/>
    <x:col min="5" max="5" width="20" hidden="0" customWidth="1"/>
    <x:col min="6" max="6" width="18" hidden="0" customWidth="1"/>
  </x:cols>
  <x:sheetData>
    <x:row r="2">
      <x:c r="A2" s="73" t="str">
        <x:v>Observation ledger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Physics-first domains and source-empty release states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Domain</x:v>
      </x:c>
      <x:c r="B6" s="90" t="str">
        <x:v>Examples</x:v>
      </x:c>
      <x:c r="C6" s="90" t="str">
        <x:v>Identity posture</x:v>
      </x:c>
      <x:c r="D6" s="90" t="str">
        <x:v>Primary plane</x:v>
      </x:c>
      <x:c r="E6" s="90" t="str">
        <x:v>Coverage field</x:v>
      </x:c>
      <x:c r="F6" s="91" t="str">
        <x:v>Release state</x:v>
      </x:c>
      <x:c r="G6" s="74"/>
      <x:c r="H6" s="74"/>
      <x:c r="I6" s="74"/>
      <x:c r="J6" s="74"/>
      <x:c r="K6" s="74"/>
      <x:c r="L6" s="74"/>
      <x:c r="M6" s="74"/>
      <x:c r="N6" s="74"/>
    </x:row>
    <x:row r="7">
      <x:c r="A7" s="31" t="str">
        <x:v>Earth and atmosphere</x:v>
      </x:c>
      <x:c r="B7" s="31" t="str">
        <x:v>Weather, smoke, heat, ground motion, subsidence</x:v>
      </x:c>
      <x:c r="C7" s="31" t="str">
        <x:v>Identity-avoiding</x:v>
      </x:c>
      <x:c r="D7" s="31" t="str">
        <x:v>K0</x:v>
      </x:c>
      <x:c r="E7" s="31" t="str">
        <x:v>Required</x:v>
      </x:c>
      <x:c r="F7" s="31" t="str">
        <x:v>HOLD</x:v>
      </x:c>
      <x:c r="G7" s="74"/>
      <x:c r="H7" s="74"/>
      <x:c r="I7" s="74"/>
      <x:c r="J7" s="74"/>
      <x:c r="K7" s="74"/>
      <x:c r="L7" s="74"/>
      <x:c r="M7" s="74"/>
      <x:c r="N7" s="74"/>
    </x:row>
    <x:row r="8">
      <x:c r="A8" s="32" t="str">
        <x:v>Water and coast</x:v>
      </x:c>
      <x:c r="B8" s="32" t="str">
        <x:v>Rainfall, stage, flow, wave, surge, water quality</x:v>
      </x:c>
      <x:c r="C8" s="32" t="str">
        <x:v>Identity-avoiding</x:v>
      </x:c>
      <x:c r="D8" s="32" t="str">
        <x:v>K0</x:v>
      </x:c>
      <x:c r="E8" s="32" t="str">
        <x:v>Required</x:v>
      </x:c>
      <x:c r="F8" s="32" t="str">
        <x:v>HOLD</x:v>
      </x:c>
      <x:c r="G8" s="74"/>
      <x:c r="H8" s="74"/>
      <x:c r="I8" s="74"/>
      <x:c r="J8" s="74"/>
      <x:c r="K8" s="74"/>
      <x:c r="L8" s="74"/>
      <x:c r="M8" s="74"/>
      <x:c r="N8" s="74"/>
    </x:row>
    <x:row r="9">
      <x:c r="A9" s="32" t="str">
        <x:v>Fire and hazardous media</x:v>
      </x:c>
      <x:c r="B9" s="32" t="str">
        <x:v>Heat, flame, plume, agent and contamination</x:v>
      </x:c>
      <x:c r="C9" s="32" t="str">
        <x:v>Identity-avoiding</x:v>
      </x:c>
      <x:c r="D9" s="32" t="str">
        <x:v>K0</x:v>
      </x:c>
      <x:c r="E9" s="32" t="str">
        <x:v>Required</x:v>
      </x:c>
      <x:c r="F9" s="32" t="str">
        <x:v>HOLD</x:v>
      </x:c>
      <x:c r="G9" s="74"/>
      <x:c r="H9" s="74"/>
      <x:c r="I9" s="74"/>
      <x:c r="J9" s="74"/>
      <x:c r="K9" s="74"/>
      <x:c r="L9" s="74"/>
      <x:c r="M9" s="74"/>
      <x:c r="N9" s="74"/>
    </x:row>
    <x:row r="10">
      <x:c r="A10" s="32" t="str">
        <x:v>Built environment</x:v>
      </x:c>
      <x:c r="B10" s="32" t="str">
        <x:v>Operability, damage, occupancy class and access</x:v>
      </x:c>
      <x:c r="C10" s="32" t="str">
        <x:v>Asset-first; persons protected</x:v>
      </x:c>
      <x:c r="D10" s="32" t="str">
        <x:v>K0/K1</x:v>
      </x:c>
      <x:c r="E10" s="32" t="str">
        <x:v>Required</x:v>
      </x:c>
      <x:c r="F10" s="32" t="str">
        <x:v>HOLD</x:v>
      </x:c>
      <x:c r="G10" s="74"/>
      <x:c r="H10" s="74"/>
      <x:c r="I10" s="74"/>
      <x:c r="J10" s="74"/>
      <x:c r="K10" s="74"/>
      <x:c r="L10" s="74"/>
      <x:c r="M10" s="74"/>
      <x:c r="N10" s="74"/>
    </x:row>
    <x:row r="11">
      <x:c r="A11" s="32" t="str">
        <x:v>Lifelines and supply</x:v>
      </x:c>
      <x:c r="B11" s="32" t="str">
        <x:v>Power, water, sanitation, communications, food and fuel</x:v>
      </x:c>
      <x:c r="C11" s="32" t="str">
        <x:v>Asset / institutional</x:v>
      </x:c>
      <x:c r="D11" s="32" t="str">
        <x:v>K0/K3</x:v>
      </x:c>
      <x:c r="E11" s="32" t="str">
        <x:v>Required</x:v>
      </x:c>
      <x:c r="F11" s="32" t="str">
        <x:v>HOLD</x:v>
      </x:c>
      <x:c r="G11" s="74"/>
      <x:c r="H11" s="74"/>
      <x:c r="I11" s="74"/>
      <x:c r="J11" s="74"/>
      <x:c r="K11" s="74"/>
      <x:c r="L11" s="74"/>
      <x:c r="M11" s="74"/>
      <x:c r="N11" s="74"/>
    </x:row>
    <x:row r="12">
      <x:c r="A12" s="32" t="str">
        <x:v>Mobility and routes</x:v>
      </x:c>
      <x:c r="B12" s="32" t="str">
        <x:v>Capacity, blockage, travel state and accessible movement</x:v>
      </x:c>
      <x:c r="C12" s="32" t="str">
        <x:v>Aggregate by default</x:v>
      </x:c>
      <x:c r="D12" s="32" t="str">
        <x:v>K0/K1</x:v>
      </x:c>
      <x:c r="E12" s="32" t="str">
        <x:v>Required</x:v>
      </x:c>
      <x:c r="F12" s="32" t="str">
        <x:v>HOLD</x:v>
      </x:c>
      <x:c r="G12" s="74"/>
      <x:c r="H12" s="74"/>
      <x:c r="I12" s="74"/>
      <x:c r="J12" s="74"/>
      <x:c r="K12" s="74"/>
      <x:c r="L12" s="74"/>
      <x:c r="M12" s="74"/>
      <x:c r="N12" s="74"/>
    </x:row>
    <x:row r="13">
      <x:c r="A13" s="32" t="str">
        <x:v>Civil continuity</x:v>
      </x:c>
      <x:c r="B13" s="32" t="str">
        <x:v>Need, household relation, health, disability and destination acceptance</x:v>
      </x:c>
      <x:c r="C13" s="32" t="str">
        <x:v>Protected and query-bound</x:v>
      </x:c>
      <x:c r="D13" s="32" t="str">
        <x:v>K1/K2</x:v>
      </x:c>
      <x:c r="E13" s="32" t="str">
        <x:v>Required</x:v>
      </x:c>
      <x:c r="F13" s="32" t="str">
        <x:v>HOLD</x:v>
      </x:c>
      <x:c r="G13" s="74"/>
      <x:c r="H13" s="74"/>
      <x:c r="I13" s="74"/>
      <x:c r="J13" s="74"/>
      <x:c r="K13" s="74"/>
      <x:c r="L13" s="74"/>
      <x:c r="M13" s="74"/>
      <x:c r="N13" s="74"/>
    </x:row>
    <x:row r="14">
      <x:c r="A14" s="32" t="str">
        <x:v>Service and effect</x:v>
      </x:c>
      <x:c r="B14" s="32" t="str">
        <x:v>Delivered service, acceptance, residual, renewal and harm</x:v>
      </x:c>
      <x:c r="C14" s="32" t="str">
        <x:v>Transaction-bound</x:v>
      </x:c>
      <x:c r="D14" s="32" t="str">
        <x:v>K2/K3</x:v>
      </x:c>
      <x:c r="E14" s="32" t="str">
        <x:v>Required</x:v>
      </x:c>
      <x:c r="F14" s="32" t="str">
        <x:v>HOLD</x:v>
      </x:c>
      <x:c r="G14" s="74"/>
      <x:c r="H14" s="74"/>
      <x:c r="I14" s="74"/>
      <x:c r="J14" s="74"/>
      <x:c r="K14" s="74"/>
      <x:c r="L14" s="74"/>
      <x:c r="M14" s="74"/>
      <x:c r="N14" s="74"/>
    </x:row>
  </x:sheetData>
  <x:conditionalFormatting sqref="F7:F14">
    <x:cfRule type="containsText" dxfId="2" priority="1" operator="containsText" text="FAIL"/>
    <x:cfRule type="containsText" dxfId="3" priority="2" operator="containsText" text="HOLD"/>
  </x:conditionalFormatting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46" hidden="0" customWidth="1"/>
    <x:col min="3" max="3" width="18" hidden="0" customWidth="1"/>
    <x:col min="4" max="4" width="19" hidden="0" customWidth="1"/>
    <x:col min="5" max="5" width="19" hidden="0" customWidth="1"/>
  </x:cols>
  <x:sheetData>
    <x:row r="2">
      <x:c r="A2" s="73" t="str">
        <x:v>Knowledge topology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Inherited force and receiver counts translated into explicit knowledge obligations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Obligation</x:v>
      </x:c>
      <x:c r="B6" s="90" t="str">
        <x:v>Formula</x:v>
      </x:c>
      <x:c r="C6" s="90" t="str">
        <x:v>Quantity</x:v>
      </x:c>
      <x:c r="D6" s="90" t="str">
        <x:v>Unit</x:v>
      </x:c>
      <x:c r="E6" s="91" t="str">
        <x:v>Authority state</x:v>
      </x:c>
      <x:c r="F6" s="74"/>
      <x:c r="G6" s="74"/>
      <x:c r="H6" s="74"/>
      <x:c r="I6" s="74"/>
      <x:c r="J6" s="74"/>
      <x:c r="K6" s="74"/>
      <x:c r="L6" s="74"/>
      <x:c r="M6" s="74"/>
      <x:c r="N6" s="74"/>
    </x:row>
    <x:row r="7">
      <x:c r="A7" s="92" t="str">
        <x:v>District-campaign-effect forecast cells</x:v>
      </x:c>
      <x:c r="B7" s="92" t="str">
        <x:v>districts × domestic campaigns × effects</x:v>
      </x:c>
      <x:c r="C7" s="103" t="n">
        <x:f>Controls!C13*Controls!C14*Controls!C15</x:f>
        <x:v>504</x:v>
      </x:c>
      <x:c r="D7" s="92" t="str">
        <x:v>cells</x:v>
      </x:c>
      <x:c r="E7" s="92" t="str">
        <x:v>HOLD</x:v>
      </x:c>
      <x:c r="F7" s="74"/>
      <x:c r="G7" s="74"/>
      <x:c r="H7" s="74"/>
      <x:c r="I7" s="74"/>
      <x:c r="J7" s="74"/>
      <x:c r="K7" s="74"/>
      <x:c r="L7" s="74"/>
      <x:c r="M7" s="74"/>
      <x:c r="N7" s="74"/>
    </x:row>
    <x:row r="8">
      <x:c r="A8" s="94" t="str">
        <x:v>Unlike decision-grade forecast paths</x:v>
      </x:c>
      <x:c r="B8" s="94" t="str">
        <x:v>forecast cells × roots</x:v>
      </x:c>
      <x:c r="C8" s="104" t="n">
        <x:f>C7*Controls!C16</x:f>
        <x:v>1512</x:v>
      </x:c>
      <x:c r="D8" s="94" t="str">
        <x:v>paths</x:v>
      </x:c>
      <x:c r="E8" s="94" t="str">
        <x:v>HOLD</x:v>
      </x:c>
      <x:c r="F8" s="74"/>
      <x:c r="G8" s="74"/>
      <x:c r="H8" s="74"/>
      <x:c r="I8" s="74"/>
      <x:c r="J8" s="74"/>
      <x:c r="K8" s="74"/>
      <x:c r="L8" s="74"/>
      <x:c r="M8" s="74"/>
      <x:c r="N8" s="74"/>
    </x:row>
    <x:row r="9">
      <x:c r="A9" s="94" t="str">
        <x:v>Primary / alternate receiver query routes</x:v>
      </x:c>
      <x:c r="B9" s="94" t="str">
        <x:v>inherited receiver routes</x:v>
      </x:c>
      <x:c r="C9" s="104" t="n">
        <x:f>Controls!C17</x:f>
        <x:v>1008</x:v>
      </x:c>
      <x:c r="D9" s="94" t="str">
        <x:v>routes</x:v>
      </x:c>
      <x:c r="E9" s="94" t="str">
        <x:v>HOLD</x:v>
      </x:c>
      <x:c r="F9" s="74"/>
      <x:c r="G9" s="74"/>
      <x:c r="H9" s="74"/>
      <x:c r="I9" s="74"/>
      <x:c r="J9" s="74"/>
      <x:c r="K9" s="74"/>
      <x:c r="L9" s="74"/>
      <x:c r="M9" s="74"/>
      <x:c r="N9" s="74"/>
    </x:row>
    <x:row r="10">
      <x:c r="A10" s="94" t="str">
        <x:v>Family-district semantic interfaces</x:v>
      </x:c>
      <x:c r="B10" s="94" t="str">
        <x:v>inherited family-district interfaces</x:v>
      </x:c>
      <x:c r="C10" s="104" t="n">
        <x:f>Controls!C18</x:f>
        <x:v>336</x:v>
      </x:c>
      <x:c r="D10" s="94" t="str">
        <x:v>interfaces</x:v>
      </x:c>
      <x:c r="E10" s="94" t="str">
        <x:v>HOLD</x:v>
      </x:c>
      <x:c r="F10" s="74"/>
      <x:c r="G10" s="74"/>
      <x:c r="H10" s="74"/>
      <x:c r="I10" s="74"/>
      <x:c r="J10" s="74"/>
      <x:c r="K10" s="74"/>
      <x:c r="L10" s="74"/>
      <x:c r="M10" s="74"/>
      <x:c r="N10" s="74"/>
    </x:row>
    <x:row r="11">
      <x:c r="A11" s="94" t="str">
        <x:v>Disconnected formation mission-state nodes</x:v>
      </x:c>
      <x:c r="B11" s="94" t="str">
        <x:v>owned formations</x:v>
      </x:c>
      <x:c r="C11" s="104" t="n">
        <x:f>Controls!C19</x:f>
        <x:v>5251</x:v>
      </x:c>
      <x:c r="D11" s="94" t="str">
        <x:v>nodes</x:v>
      </x:c>
      <x:c r="E11" s="94" t="str">
        <x:v>HOLD</x:v>
      </x:c>
      <x:c r="F11" s="74"/>
      <x:c r="G11" s="74"/>
      <x:c r="H11" s="74"/>
      <x:c r="I11" s="74"/>
      <x:c r="J11" s="74"/>
      <x:c r="K11" s="74"/>
      <x:c r="L11" s="74"/>
      <x:c r="M11" s="74"/>
      <x:c r="N11" s="74"/>
    </x:row>
    <x:row r="12">
      <x:c r="A12" s="94" t="str">
        <x:v>District observatories</x:v>
      </x:c>
      <x:c r="B12" s="94" t="str">
        <x:v>readiness districts</x:v>
      </x:c>
      <x:c r="C12" s="104" t="n">
        <x:f>Controls!C13</x:f>
        <x:v>7</x:v>
      </x:c>
      <x:c r="D12" s="94" t="str">
        <x:v>observatories</x:v>
      </x:c>
      <x:c r="E12" s="94" t="str">
        <x:v>HOLD</x:v>
      </x:c>
      <x:c r="F12" s="74"/>
      <x:c r="G12" s="74"/>
      <x:c r="H12" s="74"/>
      <x:c r="I12" s="74"/>
      <x:c r="J12" s="74"/>
      <x:c r="K12" s="74"/>
      <x:c r="L12" s="74"/>
      <x:c r="M12" s="74"/>
      <x:c r="N12" s="74"/>
    </x:row>
    <x:row r="13">
      <x:c r="A13" s="94" t="str">
        <x:v>Industrial lineage houses</x:v>
      </x:c>
      <x:c r="B13" s="94" t="str">
        <x:v>independent Root Houses</x:v>
      </x:c>
      <x:c r="C13" s="104" t="n">
        <x:f>Controls!C20</x:f>
        <x:v>24</x:v>
      </x:c>
      <x:c r="D13" s="94" t="str">
        <x:v>houses</x:v>
      </x:c>
      <x:c r="E13" s="94" t="str">
        <x:v>HOLD</x:v>
      </x:c>
      <x:c r="F13" s="74"/>
      <x:c r="G13" s="74"/>
      <x:c r="H13" s="74"/>
      <x:c r="I13" s="74"/>
      <x:c r="J13" s="74"/>
      <x:c r="K13" s="74"/>
      <x:c r="L13" s="74"/>
      <x:c r="M13" s="74"/>
      <x:c r="N13" s="74"/>
    </x:row>
  </x:sheetData>
  <x:conditionalFormatting sqref="E7:E13">
    <x:cfRule type="containsText" dxfId="4" priority="1" operator="containsText" text="FAIL"/>
    <x:cfRule type="containsText" dxfId="5" priority="2" operator="containsText" text="HOLD"/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5" hidden="0" customWidth="1"/>
    <x:col min="2" max="2" width="11" hidden="0" customWidth="1"/>
    <x:col min="3" max="3" width="13" hidden="0" customWidth="1"/>
    <x:col min="4" max="4" width="11" hidden="0" customWidth="1"/>
    <x:col min="5" max="5" width="16" hidden="0" customWidth="1"/>
    <x:col min="6" max="6" width="17" hidden="0" customWidth="1"/>
    <x:col min="7" max="7" width="19" hidden="0" customWidth="1"/>
    <x:col min="8" max="8" width="19" hidden="0" customWidth="1"/>
    <x:col min="9" max="9" width="19" hidden="0" customWidth="1"/>
    <x:col min="10" max="10" width="15" hidden="0" customWidth="1"/>
  </x:cols>
  <x:sheetData>
    <x:row r="2">
      <x:c r="A2" s="73" t="str">
        <x:v>Model root ledger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Every district-campaign cell carries nine effects and three unlike forecast roots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Cell ID</x:v>
      </x:c>
      <x:c r="B6" s="90" t="str">
        <x:v>District</x:v>
      </x:c>
      <x:c r="C6" s="90" t="str">
        <x:v>Campaign</x:v>
      </x:c>
      <x:c r="D6" s="90" t="str">
        <x:v>Effects</x:v>
      </x:c>
      <x:c r="E6" s="90" t="str">
        <x:v>Roots / effect</x:v>
      </x:c>
      <x:c r="F6" s="90" t="str">
        <x:v>Forecast paths</x:v>
      </x:c>
      <x:c r="G6" s="90" t="str">
        <x:v>Root A identity</x:v>
      </x:c>
      <x:c r="H6" s="90" t="str">
        <x:v>Root B identity</x:v>
      </x:c>
      <x:c r="I6" s="90" t="str">
        <x:v>Root C identity</x:v>
      </x:c>
      <x:c r="J6" s="91" t="str">
        <x:v>Release</x:v>
      </x:c>
      <x:c r="K6" s="74"/>
      <x:c r="L6" s="74"/>
      <x:c r="M6" s="74"/>
      <x:c r="N6" s="74"/>
    </x:row>
    <x:row r="7">
      <x:c r="A7" s="92" t="str">
        <x:v>D1-C1</x:v>
      </x:c>
      <x:c r="B7" s="103" t="n">
        <x:v>1</x:v>
      </x:c>
      <x:c r="C7" s="103" t="n">
        <x:v>1</x:v>
      </x:c>
      <x:c r="D7" s="103" t="n">
        <x:v>9</x:v>
      </x:c>
      <x:c r="E7" s="103" t="n">
        <x:v>3</x:v>
      </x:c>
      <x:c r="F7" s="103" t="n">
        <x:v>27</x:v>
      </x:c>
      <x:c r="G7" s="92" t="str">
        <x:v>UNASSIGNED</x:v>
      </x:c>
      <x:c r="H7" s="92" t="str">
        <x:v>UNASSIGNED</x:v>
      </x:c>
      <x:c r="I7" s="92" t="str">
        <x:v>UNASSIGNED</x:v>
      </x:c>
      <x:c r="J7" s="92" t="str">
        <x:v>HOLD</x:v>
      </x:c>
      <x:c r="K7" s="74"/>
      <x:c r="L7" s="74"/>
      <x:c r="M7" s="74"/>
      <x:c r="N7" s="74"/>
    </x:row>
    <x:row r="8">
      <x:c r="A8" s="94" t="str">
        <x:v>D1-C2</x:v>
      </x:c>
      <x:c r="B8" s="104" t="n">
        <x:v>1</x:v>
      </x:c>
      <x:c r="C8" s="104" t="n">
        <x:v>2</x:v>
      </x:c>
      <x:c r="D8" s="104" t="n">
        <x:v>9</x:v>
      </x:c>
      <x:c r="E8" s="104" t="n">
        <x:v>3</x:v>
      </x:c>
      <x:c r="F8" s="104" t="n">
        <x:v>27</x:v>
      </x:c>
      <x:c r="G8" s="94" t="str">
        <x:v>UNASSIGNED</x:v>
      </x:c>
      <x:c r="H8" s="94" t="str">
        <x:v>UNASSIGNED</x:v>
      </x:c>
      <x:c r="I8" s="94" t="str">
        <x:v>UNASSIGNED</x:v>
      </x:c>
      <x:c r="J8" s="94" t="str">
        <x:v>HOLD</x:v>
      </x:c>
      <x:c r="K8" s="74"/>
      <x:c r="L8" s="74"/>
      <x:c r="M8" s="74"/>
      <x:c r="N8" s="74"/>
    </x:row>
    <x:row r="9">
      <x:c r="A9" s="94" t="str">
        <x:v>D1-C3</x:v>
      </x:c>
      <x:c r="B9" s="104" t="n">
        <x:v>1</x:v>
      </x:c>
      <x:c r="C9" s="104" t="n">
        <x:v>3</x:v>
      </x:c>
      <x:c r="D9" s="104" t="n">
        <x:v>9</x:v>
      </x:c>
      <x:c r="E9" s="104" t="n">
        <x:v>3</x:v>
      </x:c>
      <x:c r="F9" s="104" t="n">
        <x:v>27</x:v>
      </x:c>
      <x:c r="G9" s="94" t="str">
        <x:v>UNASSIGNED</x:v>
      </x:c>
      <x:c r="H9" s="94" t="str">
        <x:v>UNASSIGNED</x:v>
      </x:c>
      <x:c r="I9" s="94" t="str">
        <x:v>UNASSIGNED</x:v>
      </x:c>
      <x:c r="J9" s="94" t="str">
        <x:v>HOLD</x:v>
      </x:c>
      <x:c r="K9" s="74"/>
      <x:c r="L9" s="74"/>
      <x:c r="M9" s="74"/>
      <x:c r="N9" s="74"/>
    </x:row>
    <x:row r="10">
      <x:c r="A10" s="94" t="str">
        <x:v>D1-C4</x:v>
      </x:c>
      <x:c r="B10" s="104" t="n">
        <x:v>1</x:v>
      </x:c>
      <x:c r="C10" s="104" t="n">
        <x:v>4</x:v>
      </x:c>
      <x:c r="D10" s="104" t="n">
        <x:v>9</x:v>
      </x:c>
      <x:c r="E10" s="104" t="n">
        <x:v>3</x:v>
      </x:c>
      <x:c r="F10" s="104" t="n">
        <x:v>27</x:v>
      </x:c>
      <x:c r="G10" s="94" t="str">
        <x:v>UNASSIGNED</x:v>
      </x:c>
      <x:c r="H10" s="94" t="str">
        <x:v>UNASSIGNED</x:v>
      </x:c>
      <x:c r="I10" s="94" t="str">
        <x:v>UNASSIGNED</x:v>
      </x:c>
      <x:c r="J10" s="94" t="str">
        <x:v>HOLD</x:v>
      </x:c>
      <x:c r="K10" s="74"/>
      <x:c r="L10" s="74"/>
      <x:c r="M10" s="74"/>
      <x:c r="N10" s="74"/>
    </x:row>
    <x:row r="11">
      <x:c r="A11" s="94" t="str">
        <x:v>D1-C5</x:v>
      </x:c>
      <x:c r="B11" s="104" t="n">
        <x:v>1</x:v>
      </x:c>
      <x:c r="C11" s="104" t="n">
        <x:v>5</x:v>
      </x:c>
      <x:c r="D11" s="104" t="n">
        <x:v>9</x:v>
      </x:c>
      <x:c r="E11" s="104" t="n">
        <x:v>3</x:v>
      </x:c>
      <x:c r="F11" s="104" t="n">
        <x:v>27</x:v>
      </x:c>
      <x:c r="G11" s="94" t="str">
        <x:v>UNASSIGNED</x:v>
      </x:c>
      <x:c r="H11" s="94" t="str">
        <x:v>UNASSIGNED</x:v>
      </x:c>
      <x:c r="I11" s="94" t="str">
        <x:v>UNASSIGNED</x:v>
      </x:c>
      <x:c r="J11" s="94" t="str">
        <x:v>HOLD</x:v>
      </x:c>
      <x:c r="K11" s="74"/>
      <x:c r="L11" s="74"/>
      <x:c r="M11" s="74"/>
      <x:c r="N11" s="74"/>
    </x:row>
    <x:row r="12">
      <x:c r="A12" s="94" t="str">
        <x:v>D1-C6</x:v>
      </x:c>
      <x:c r="B12" s="104" t="n">
        <x:v>1</x:v>
      </x:c>
      <x:c r="C12" s="104" t="n">
        <x:v>6</x:v>
      </x:c>
      <x:c r="D12" s="104" t="n">
        <x:v>9</x:v>
      </x:c>
      <x:c r="E12" s="104" t="n">
        <x:v>3</x:v>
      </x:c>
      <x:c r="F12" s="104" t="n">
        <x:v>27</x:v>
      </x:c>
      <x:c r="G12" s="94" t="str">
        <x:v>UNASSIGNED</x:v>
      </x:c>
      <x:c r="H12" s="94" t="str">
        <x:v>UNASSIGNED</x:v>
      </x:c>
      <x:c r="I12" s="94" t="str">
        <x:v>UNASSIGNED</x:v>
      </x:c>
      <x:c r="J12" s="94" t="str">
        <x:v>HOLD</x:v>
      </x:c>
      <x:c r="K12" s="74"/>
      <x:c r="L12" s="74"/>
      <x:c r="M12" s="74"/>
      <x:c r="N12" s="74"/>
    </x:row>
    <x:row r="13">
      <x:c r="A13" s="94" t="str">
        <x:v>D1-C7</x:v>
      </x:c>
      <x:c r="B13" s="104" t="n">
        <x:v>1</x:v>
      </x:c>
      <x:c r="C13" s="104" t="n">
        <x:v>7</x:v>
      </x:c>
      <x:c r="D13" s="104" t="n">
        <x:v>9</x:v>
      </x:c>
      <x:c r="E13" s="104" t="n">
        <x:v>3</x:v>
      </x:c>
      <x:c r="F13" s="104" t="n">
        <x:v>27</x:v>
      </x:c>
      <x:c r="G13" s="94" t="str">
        <x:v>UNASSIGNED</x:v>
      </x:c>
      <x:c r="H13" s="94" t="str">
        <x:v>UNASSIGNED</x:v>
      </x:c>
      <x:c r="I13" s="94" t="str">
        <x:v>UNASSIGNED</x:v>
      </x:c>
      <x:c r="J13" s="94" t="str">
        <x:v>HOLD</x:v>
      </x:c>
      <x:c r="K13" s="74"/>
      <x:c r="L13" s="74"/>
      <x:c r="M13" s="74"/>
      <x:c r="N13" s="74"/>
    </x:row>
    <x:row r="14">
      <x:c r="A14" s="94" t="str">
        <x:v>D1-C8</x:v>
      </x:c>
      <x:c r="B14" s="104" t="n">
        <x:v>1</x:v>
      </x:c>
      <x:c r="C14" s="104" t="n">
        <x:v>8</x:v>
      </x:c>
      <x:c r="D14" s="104" t="n">
        <x:v>9</x:v>
      </x:c>
      <x:c r="E14" s="104" t="n">
        <x:v>3</x:v>
      </x:c>
      <x:c r="F14" s="104" t="n">
        <x:v>27</x:v>
      </x:c>
      <x:c r="G14" s="94" t="str">
        <x:v>UNASSIGNED</x:v>
      </x:c>
      <x:c r="H14" s="94" t="str">
        <x:v>UNASSIGNED</x:v>
      </x:c>
      <x:c r="I14" s="94" t="str">
        <x:v>UNASSIGNED</x:v>
      </x:c>
      <x:c r="J14" s="94" t="str">
        <x:v>HOLD</x:v>
      </x:c>
      <x:c r="K14" s="74"/>
      <x:c r="L14" s="74"/>
      <x:c r="M14" s="74"/>
      <x:c r="N14" s="74"/>
    </x:row>
    <x:row r="15">
      <x:c r="A15" s="94" t="str">
        <x:v>D2-C1</x:v>
      </x:c>
      <x:c r="B15" s="104" t="n">
        <x:v>2</x:v>
      </x:c>
      <x:c r="C15" s="104" t="n">
        <x:v>1</x:v>
      </x:c>
      <x:c r="D15" s="104" t="n">
        <x:v>9</x:v>
      </x:c>
      <x:c r="E15" s="104" t="n">
        <x:v>3</x:v>
      </x:c>
      <x:c r="F15" s="104" t="n">
        <x:v>27</x:v>
      </x:c>
      <x:c r="G15" s="94" t="str">
        <x:v>UNASSIGNED</x:v>
      </x:c>
      <x:c r="H15" s="94" t="str">
        <x:v>UNASSIGNED</x:v>
      </x:c>
      <x:c r="I15" s="94" t="str">
        <x:v>UNASSIGNED</x:v>
      </x:c>
      <x:c r="J15" s="94" t="str">
        <x:v>HOLD</x:v>
      </x:c>
      <x:c r="K15" s="74"/>
      <x:c r="L15" s="74"/>
      <x:c r="M15" s="74"/>
      <x:c r="N15" s="74"/>
    </x:row>
    <x:row r="16">
      <x:c r="A16" s="94" t="str">
        <x:v>D2-C2</x:v>
      </x:c>
      <x:c r="B16" s="104" t="n">
        <x:v>2</x:v>
      </x:c>
      <x:c r="C16" s="104" t="n">
        <x:v>2</x:v>
      </x:c>
      <x:c r="D16" s="104" t="n">
        <x:v>9</x:v>
      </x:c>
      <x:c r="E16" s="104" t="n">
        <x:v>3</x:v>
      </x:c>
      <x:c r="F16" s="104" t="n">
        <x:v>27</x:v>
      </x:c>
      <x:c r="G16" s="94" t="str">
        <x:v>UNASSIGNED</x:v>
      </x:c>
      <x:c r="H16" s="94" t="str">
        <x:v>UNASSIGNED</x:v>
      </x:c>
      <x:c r="I16" s="94" t="str">
        <x:v>UNASSIGNED</x:v>
      </x:c>
      <x:c r="J16" s="94" t="str">
        <x:v>HOLD</x:v>
      </x:c>
      <x:c r="K16" s="74"/>
      <x:c r="L16" s="74"/>
      <x:c r="M16" s="74"/>
      <x:c r="N16" s="74"/>
    </x:row>
    <x:row r="17">
      <x:c r="A17" s="94" t="str">
        <x:v>D2-C3</x:v>
      </x:c>
      <x:c r="B17" s="104" t="n">
        <x:v>2</x:v>
      </x:c>
      <x:c r="C17" s="104" t="n">
        <x:v>3</x:v>
      </x:c>
      <x:c r="D17" s="104" t="n">
        <x:v>9</x:v>
      </x:c>
      <x:c r="E17" s="104" t="n">
        <x:v>3</x:v>
      </x:c>
      <x:c r="F17" s="104" t="n">
        <x:v>27</x:v>
      </x:c>
      <x:c r="G17" s="94" t="str">
        <x:v>UNASSIGNED</x:v>
      </x:c>
      <x:c r="H17" s="94" t="str">
        <x:v>UNASSIGNED</x:v>
      </x:c>
      <x:c r="I17" s="94" t="str">
        <x:v>UNASSIGNED</x:v>
      </x:c>
      <x:c r="J17" s="94" t="str">
        <x:v>HOLD</x:v>
      </x:c>
      <x:c r="K17" s="74"/>
      <x:c r="L17" s="74"/>
      <x:c r="M17" s="74"/>
      <x:c r="N17" s="74"/>
    </x:row>
    <x:row r="18">
      <x:c r="A18" s="94" t="str">
        <x:v>D2-C4</x:v>
      </x:c>
      <x:c r="B18" s="104" t="n">
        <x:v>2</x:v>
      </x:c>
      <x:c r="C18" s="104" t="n">
        <x:v>4</x:v>
      </x:c>
      <x:c r="D18" s="104" t="n">
        <x:v>9</x:v>
      </x:c>
      <x:c r="E18" s="104" t="n">
        <x:v>3</x:v>
      </x:c>
      <x:c r="F18" s="104" t="n">
        <x:v>27</x:v>
      </x:c>
      <x:c r="G18" s="94" t="str">
        <x:v>UNASSIGNED</x:v>
      </x:c>
      <x:c r="H18" s="94" t="str">
        <x:v>UNASSIGNED</x:v>
      </x:c>
      <x:c r="I18" s="94" t="str">
        <x:v>UNASSIGNED</x:v>
      </x:c>
      <x:c r="J18" s="94" t="str">
        <x:v>HOLD</x:v>
      </x:c>
      <x:c r="K18" s="74"/>
      <x:c r="L18" s="74"/>
      <x:c r="M18" s="74"/>
      <x:c r="N18" s="74"/>
    </x:row>
    <x:row r="19">
      <x:c r="A19" s="94" t="str">
        <x:v>D2-C5</x:v>
      </x:c>
      <x:c r="B19" s="104" t="n">
        <x:v>2</x:v>
      </x:c>
      <x:c r="C19" s="104" t="n">
        <x:v>5</x:v>
      </x:c>
      <x:c r="D19" s="104" t="n">
        <x:v>9</x:v>
      </x:c>
      <x:c r="E19" s="104" t="n">
        <x:v>3</x:v>
      </x:c>
      <x:c r="F19" s="104" t="n">
        <x:v>27</x:v>
      </x:c>
      <x:c r="G19" s="94" t="str">
        <x:v>UNASSIGNED</x:v>
      </x:c>
      <x:c r="H19" s="94" t="str">
        <x:v>UNASSIGNED</x:v>
      </x:c>
      <x:c r="I19" s="94" t="str">
        <x:v>UNASSIGNED</x:v>
      </x:c>
      <x:c r="J19" s="94" t="str">
        <x:v>HOLD</x:v>
      </x:c>
      <x:c r="K19" s="74"/>
      <x:c r="L19" s="74"/>
      <x:c r="M19" s="74"/>
      <x:c r="N19" s="74"/>
    </x:row>
    <x:row r="20">
      <x:c r="A20" s="94" t="str">
        <x:v>D2-C6</x:v>
      </x:c>
      <x:c r="B20" s="104" t="n">
        <x:v>2</x:v>
      </x:c>
      <x:c r="C20" s="104" t="n">
        <x:v>6</x:v>
      </x:c>
      <x:c r="D20" s="104" t="n">
        <x:v>9</x:v>
      </x:c>
      <x:c r="E20" s="104" t="n">
        <x:v>3</x:v>
      </x:c>
      <x:c r="F20" s="104" t="n">
        <x:v>27</x:v>
      </x:c>
      <x:c r="G20" s="94" t="str">
        <x:v>UNASSIGNED</x:v>
      </x:c>
      <x:c r="H20" s="94" t="str">
        <x:v>UNASSIGNED</x:v>
      </x:c>
      <x:c r="I20" s="94" t="str">
        <x:v>UNASSIGNED</x:v>
      </x:c>
      <x:c r="J20" s="94" t="str">
        <x:v>HOLD</x:v>
      </x:c>
      <x:c r="K20" s="74"/>
      <x:c r="L20" s="74"/>
      <x:c r="M20" s="74"/>
      <x:c r="N20" s="74"/>
    </x:row>
    <x:row r="21">
      <x:c r="A21" s="94" t="str">
        <x:v>D2-C7</x:v>
      </x:c>
      <x:c r="B21" s="104" t="n">
        <x:v>2</x:v>
      </x:c>
      <x:c r="C21" s="104" t="n">
        <x:v>7</x:v>
      </x:c>
      <x:c r="D21" s="104" t="n">
        <x:v>9</x:v>
      </x:c>
      <x:c r="E21" s="104" t="n">
        <x:v>3</x:v>
      </x:c>
      <x:c r="F21" s="104" t="n">
        <x:v>27</x:v>
      </x:c>
      <x:c r="G21" s="94" t="str">
        <x:v>UNASSIGNED</x:v>
      </x:c>
      <x:c r="H21" s="94" t="str">
        <x:v>UNASSIGNED</x:v>
      </x:c>
      <x:c r="I21" s="94" t="str">
        <x:v>UNASSIGNED</x:v>
      </x:c>
      <x:c r="J21" s="94" t="str">
        <x:v>HOLD</x:v>
      </x:c>
      <x:c r="K21" s="74"/>
      <x:c r="L21" s="74"/>
      <x:c r="M21" s="74"/>
      <x:c r="N21" s="74"/>
    </x:row>
    <x:row r="22">
      <x:c r="A22" s="94" t="str">
        <x:v>D2-C8</x:v>
      </x:c>
      <x:c r="B22" s="104" t="n">
        <x:v>2</x:v>
      </x:c>
      <x:c r="C22" s="104" t="n">
        <x:v>8</x:v>
      </x:c>
      <x:c r="D22" s="104" t="n">
        <x:v>9</x:v>
      </x:c>
      <x:c r="E22" s="104" t="n">
        <x:v>3</x:v>
      </x:c>
      <x:c r="F22" s="104" t="n">
        <x:v>27</x:v>
      </x:c>
      <x:c r="G22" s="94" t="str">
        <x:v>UNASSIGNED</x:v>
      </x:c>
      <x:c r="H22" s="94" t="str">
        <x:v>UNASSIGNED</x:v>
      </x:c>
      <x:c r="I22" s="94" t="str">
        <x:v>UNASSIGNED</x:v>
      </x:c>
      <x:c r="J22" s="94" t="str">
        <x:v>HOLD</x:v>
      </x:c>
      <x:c r="K22" s="74"/>
      <x:c r="L22" s="74"/>
      <x:c r="M22" s="74"/>
      <x:c r="N22" s="74"/>
    </x:row>
    <x:row r="23">
      <x:c r="A23" s="94" t="str">
        <x:v>D3-C1</x:v>
      </x:c>
      <x:c r="B23" s="104" t="n">
        <x:v>3</x:v>
      </x:c>
      <x:c r="C23" s="104" t="n">
        <x:v>1</x:v>
      </x:c>
      <x:c r="D23" s="104" t="n">
        <x:v>9</x:v>
      </x:c>
      <x:c r="E23" s="104" t="n">
        <x:v>3</x:v>
      </x:c>
      <x:c r="F23" s="104" t="n">
        <x:v>27</x:v>
      </x:c>
      <x:c r="G23" s="94" t="str">
        <x:v>UNASSIGNED</x:v>
      </x:c>
      <x:c r="H23" s="94" t="str">
        <x:v>UNASSIGNED</x:v>
      </x:c>
      <x:c r="I23" s="94" t="str">
        <x:v>UNASSIGNED</x:v>
      </x:c>
      <x:c r="J23" s="94" t="str">
        <x:v>HOLD</x:v>
      </x:c>
      <x:c r="K23" s="74"/>
      <x:c r="L23" s="74"/>
      <x:c r="M23" s="74"/>
      <x:c r="N23" s="74"/>
    </x:row>
    <x:row r="24">
      <x:c r="A24" s="94" t="str">
        <x:v>D3-C2</x:v>
      </x:c>
      <x:c r="B24" s="104" t="n">
        <x:v>3</x:v>
      </x:c>
      <x:c r="C24" s="104" t="n">
        <x:v>2</x:v>
      </x:c>
      <x:c r="D24" s="104" t="n">
        <x:v>9</x:v>
      </x:c>
      <x:c r="E24" s="104" t="n">
        <x:v>3</x:v>
      </x:c>
      <x:c r="F24" s="104" t="n">
        <x:v>27</x:v>
      </x:c>
      <x:c r="G24" s="94" t="str">
        <x:v>UNASSIGNED</x:v>
      </x:c>
      <x:c r="H24" s="94" t="str">
        <x:v>UNASSIGNED</x:v>
      </x:c>
      <x:c r="I24" s="94" t="str">
        <x:v>UNASSIGNED</x:v>
      </x:c>
      <x:c r="J24" s="94" t="str">
        <x:v>HOLD</x:v>
      </x:c>
      <x:c r="K24" s="74"/>
      <x:c r="L24" s="74"/>
      <x:c r="M24" s="74"/>
      <x:c r="N24" s="74"/>
    </x:row>
    <x:row r="25">
      <x:c r="A25" s="94" t="str">
        <x:v>D3-C3</x:v>
      </x:c>
      <x:c r="B25" s="104" t="n">
        <x:v>3</x:v>
      </x:c>
      <x:c r="C25" s="104" t="n">
        <x:v>3</x:v>
      </x:c>
      <x:c r="D25" s="104" t="n">
        <x:v>9</x:v>
      </x:c>
      <x:c r="E25" s="104" t="n">
        <x:v>3</x:v>
      </x:c>
      <x:c r="F25" s="104" t="n">
        <x:v>27</x:v>
      </x:c>
      <x:c r="G25" s="94" t="str">
        <x:v>UNASSIGNED</x:v>
      </x:c>
      <x:c r="H25" s="94" t="str">
        <x:v>UNASSIGNED</x:v>
      </x:c>
      <x:c r="I25" s="94" t="str">
        <x:v>UNASSIGNED</x:v>
      </x:c>
      <x:c r="J25" s="94" t="str">
        <x:v>HOLD</x:v>
      </x:c>
      <x:c r="K25" s="74"/>
      <x:c r="L25" s="74"/>
      <x:c r="M25" s="74"/>
      <x:c r="N25" s="74"/>
    </x:row>
    <x:row r="26">
      <x:c r="A26" s="94" t="str">
        <x:v>D3-C4</x:v>
      </x:c>
      <x:c r="B26" s="104" t="n">
        <x:v>3</x:v>
      </x:c>
      <x:c r="C26" s="104" t="n">
        <x:v>4</x:v>
      </x:c>
      <x:c r="D26" s="104" t="n">
        <x:v>9</x:v>
      </x:c>
      <x:c r="E26" s="104" t="n">
        <x:v>3</x:v>
      </x:c>
      <x:c r="F26" s="104" t="n">
        <x:v>27</x:v>
      </x:c>
      <x:c r="G26" s="94" t="str">
        <x:v>UNASSIGNED</x:v>
      </x:c>
      <x:c r="H26" s="94" t="str">
        <x:v>UNASSIGNED</x:v>
      </x:c>
      <x:c r="I26" s="94" t="str">
        <x:v>UNASSIGNED</x:v>
      </x:c>
      <x:c r="J26" s="94" t="str">
        <x:v>HOLD</x:v>
      </x:c>
      <x:c r="K26" s="74"/>
      <x:c r="L26" s="74"/>
      <x:c r="M26" s="74"/>
      <x:c r="N26" s="74"/>
    </x:row>
    <x:row r="27">
      <x:c r="A27" s="94" t="str">
        <x:v>D3-C5</x:v>
      </x:c>
      <x:c r="B27" s="104" t="n">
        <x:v>3</x:v>
      </x:c>
      <x:c r="C27" s="104" t="n">
        <x:v>5</x:v>
      </x:c>
      <x:c r="D27" s="104" t="n">
        <x:v>9</x:v>
      </x:c>
      <x:c r="E27" s="104" t="n">
        <x:v>3</x:v>
      </x:c>
      <x:c r="F27" s="104" t="n">
        <x:v>27</x:v>
      </x:c>
      <x:c r="G27" s="94" t="str">
        <x:v>UNASSIGNED</x:v>
      </x:c>
      <x:c r="H27" s="94" t="str">
        <x:v>UNASSIGNED</x:v>
      </x:c>
      <x:c r="I27" s="94" t="str">
        <x:v>UNASSIGNED</x:v>
      </x:c>
      <x:c r="J27" s="94" t="str">
        <x:v>HOLD</x:v>
      </x:c>
      <x:c r="K27" s="74"/>
      <x:c r="L27" s="74"/>
      <x:c r="M27" s="74"/>
      <x:c r="N27" s="74"/>
    </x:row>
    <x:row r="28">
      <x:c r="A28" s="94" t="str">
        <x:v>D3-C6</x:v>
      </x:c>
      <x:c r="B28" s="104" t="n">
        <x:v>3</x:v>
      </x:c>
      <x:c r="C28" s="104" t="n">
        <x:v>6</x:v>
      </x:c>
      <x:c r="D28" s="104" t="n">
        <x:v>9</x:v>
      </x:c>
      <x:c r="E28" s="104" t="n">
        <x:v>3</x:v>
      </x:c>
      <x:c r="F28" s="104" t="n">
        <x:v>27</x:v>
      </x:c>
      <x:c r="G28" s="94" t="str">
        <x:v>UNASSIGNED</x:v>
      </x:c>
      <x:c r="H28" s="94" t="str">
        <x:v>UNASSIGNED</x:v>
      </x:c>
      <x:c r="I28" s="94" t="str">
        <x:v>UNASSIGNED</x:v>
      </x:c>
      <x:c r="J28" s="94" t="str">
        <x:v>HOLD</x:v>
      </x:c>
      <x:c r="K28" s="74"/>
      <x:c r="L28" s="74"/>
      <x:c r="M28" s="74"/>
      <x:c r="N28" s="74"/>
    </x:row>
    <x:row r="29">
      <x:c r="A29" s="94" t="str">
        <x:v>D3-C7</x:v>
      </x:c>
      <x:c r="B29" s="104" t="n">
        <x:v>3</x:v>
      </x:c>
      <x:c r="C29" s="104" t="n">
        <x:v>7</x:v>
      </x:c>
      <x:c r="D29" s="104" t="n">
        <x:v>9</x:v>
      </x:c>
      <x:c r="E29" s="104" t="n">
        <x:v>3</x:v>
      </x:c>
      <x:c r="F29" s="104" t="n">
        <x:v>27</x:v>
      </x:c>
      <x:c r="G29" s="94" t="str">
        <x:v>UNASSIGNED</x:v>
      </x:c>
      <x:c r="H29" s="94" t="str">
        <x:v>UNASSIGNED</x:v>
      </x:c>
      <x:c r="I29" s="94" t="str">
        <x:v>UNASSIGNED</x:v>
      </x:c>
      <x:c r="J29" s="94" t="str">
        <x:v>HOLD</x:v>
      </x:c>
      <x:c r="K29" s="74"/>
      <x:c r="L29" s="74"/>
      <x:c r="M29" s="74"/>
      <x:c r="N29" s="74"/>
    </x:row>
    <x:row r="30">
      <x:c r="A30" s="94" t="str">
        <x:v>D3-C8</x:v>
      </x:c>
      <x:c r="B30" s="104" t="n">
        <x:v>3</x:v>
      </x:c>
      <x:c r="C30" s="104" t="n">
        <x:v>8</x:v>
      </x:c>
      <x:c r="D30" s="104" t="n">
        <x:v>9</x:v>
      </x:c>
      <x:c r="E30" s="104" t="n">
        <x:v>3</x:v>
      </x:c>
      <x:c r="F30" s="104" t="n">
        <x:v>27</x:v>
      </x:c>
      <x:c r="G30" s="94" t="str">
        <x:v>UNASSIGNED</x:v>
      </x:c>
      <x:c r="H30" s="94" t="str">
        <x:v>UNASSIGNED</x:v>
      </x:c>
      <x:c r="I30" s="94" t="str">
        <x:v>UNASSIGNED</x:v>
      </x:c>
      <x:c r="J30" s="94" t="str">
        <x:v>HOLD</x:v>
      </x:c>
      <x:c r="K30" s="74"/>
      <x:c r="L30" s="74"/>
      <x:c r="M30" s="74"/>
      <x:c r="N30" s="74"/>
    </x:row>
    <x:row r="31">
      <x:c r="A31" s="94" t="str">
        <x:v>D4-C1</x:v>
      </x:c>
      <x:c r="B31" s="104" t="n">
        <x:v>4</x:v>
      </x:c>
      <x:c r="C31" s="104" t="n">
        <x:v>1</x:v>
      </x:c>
      <x:c r="D31" s="104" t="n">
        <x:v>9</x:v>
      </x:c>
      <x:c r="E31" s="104" t="n">
        <x:v>3</x:v>
      </x:c>
      <x:c r="F31" s="104" t="n">
        <x:v>27</x:v>
      </x:c>
      <x:c r="G31" s="94" t="str">
        <x:v>UNASSIGNED</x:v>
      </x:c>
      <x:c r="H31" s="94" t="str">
        <x:v>UNASSIGNED</x:v>
      </x:c>
      <x:c r="I31" s="94" t="str">
        <x:v>UNASSIGNED</x:v>
      </x:c>
      <x:c r="J31" s="94" t="str">
        <x:v>HOLD</x:v>
      </x:c>
      <x:c r="K31" s="74"/>
      <x:c r="L31" s="74"/>
      <x:c r="M31" s="74"/>
      <x:c r="N31" s="74"/>
    </x:row>
    <x:row r="32">
      <x:c r="A32" s="94" t="str">
        <x:v>D4-C2</x:v>
      </x:c>
      <x:c r="B32" s="104" t="n">
        <x:v>4</x:v>
      </x:c>
      <x:c r="C32" s="104" t="n">
        <x:v>2</x:v>
      </x:c>
      <x:c r="D32" s="104" t="n">
        <x:v>9</x:v>
      </x:c>
      <x:c r="E32" s="104" t="n">
        <x:v>3</x:v>
      </x:c>
      <x:c r="F32" s="104" t="n">
        <x:v>27</x:v>
      </x:c>
      <x:c r="G32" s="94" t="str">
        <x:v>UNASSIGNED</x:v>
      </x:c>
      <x:c r="H32" s="94" t="str">
        <x:v>UNASSIGNED</x:v>
      </x:c>
      <x:c r="I32" s="94" t="str">
        <x:v>UNASSIGNED</x:v>
      </x:c>
      <x:c r="J32" s="94" t="str">
        <x:v>HOLD</x:v>
      </x:c>
      <x:c r="K32" s="74"/>
      <x:c r="L32" s="74"/>
      <x:c r="M32" s="74"/>
      <x:c r="N32" s="74"/>
    </x:row>
    <x:row r="33">
      <x:c r="A33" s="94" t="str">
        <x:v>D4-C3</x:v>
      </x:c>
      <x:c r="B33" s="104" t="n">
        <x:v>4</x:v>
      </x:c>
      <x:c r="C33" s="104" t="n">
        <x:v>3</x:v>
      </x:c>
      <x:c r="D33" s="104" t="n">
        <x:v>9</x:v>
      </x:c>
      <x:c r="E33" s="104" t="n">
        <x:v>3</x:v>
      </x:c>
      <x:c r="F33" s="104" t="n">
        <x:v>27</x:v>
      </x:c>
      <x:c r="G33" s="94" t="str">
        <x:v>UNASSIGNED</x:v>
      </x:c>
      <x:c r="H33" s="94" t="str">
        <x:v>UNASSIGNED</x:v>
      </x:c>
      <x:c r="I33" s="94" t="str">
        <x:v>UNASSIGNED</x:v>
      </x:c>
      <x:c r="J33" s="94" t="str">
        <x:v>HOLD</x:v>
      </x:c>
      <x:c r="K33" s="74"/>
      <x:c r="L33" s="74"/>
      <x:c r="M33" s="74"/>
      <x:c r="N33" s="74"/>
    </x:row>
    <x:row r="34">
      <x:c r="A34" s="94" t="str">
        <x:v>D4-C4</x:v>
      </x:c>
      <x:c r="B34" s="104" t="n">
        <x:v>4</x:v>
      </x:c>
      <x:c r="C34" s="104" t="n">
        <x:v>4</x:v>
      </x:c>
      <x:c r="D34" s="104" t="n">
        <x:v>9</x:v>
      </x:c>
      <x:c r="E34" s="104" t="n">
        <x:v>3</x:v>
      </x:c>
      <x:c r="F34" s="104" t="n">
        <x:v>27</x:v>
      </x:c>
      <x:c r="G34" s="94" t="str">
        <x:v>UNASSIGNED</x:v>
      </x:c>
      <x:c r="H34" s="94" t="str">
        <x:v>UNASSIGNED</x:v>
      </x:c>
      <x:c r="I34" s="94" t="str">
        <x:v>UNASSIGNED</x:v>
      </x:c>
      <x:c r="J34" s="94" t="str">
        <x:v>HOLD</x:v>
      </x:c>
      <x:c r="K34" s="74"/>
      <x:c r="L34" s="74"/>
      <x:c r="M34" s="74"/>
      <x:c r="N34" s="74"/>
    </x:row>
    <x:row r="35">
      <x:c r="A35" s="94" t="str">
        <x:v>D4-C5</x:v>
      </x:c>
      <x:c r="B35" s="104" t="n">
        <x:v>4</x:v>
      </x:c>
      <x:c r="C35" s="104" t="n">
        <x:v>5</x:v>
      </x:c>
      <x:c r="D35" s="104" t="n">
        <x:v>9</x:v>
      </x:c>
      <x:c r="E35" s="104" t="n">
        <x:v>3</x:v>
      </x:c>
      <x:c r="F35" s="104" t="n">
        <x:v>27</x:v>
      </x:c>
      <x:c r="G35" s="94" t="str">
        <x:v>UNASSIGNED</x:v>
      </x:c>
      <x:c r="H35" s="94" t="str">
        <x:v>UNASSIGNED</x:v>
      </x:c>
      <x:c r="I35" s="94" t="str">
        <x:v>UNASSIGNED</x:v>
      </x:c>
      <x:c r="J35" s="94" t="str">
        <x:v>HOLD</x:v>
      </x:c>
      <x:c r="K35" s="74"/>
      <x:c r="L35" s="74"/>
      <x:c r="M35" s="74"/>
      <x:c r="N35" s="74"/>
    </x:row>
    <x:row r="36">
      <x:c r="A36" s="94" t="str">
        <x:v>D4-C6</x:v>
      </x:c>
      <x:c r="B36" s="104" t="n">
        <x:v>4</x:v>
      </x:c>
      <x:c r="C36" s="104" t="n">
        <x:v>6</x:v>
      </x:c>
      <x:c r="D36" s="104" t="n">
        <x:v>9</x:v>
      </x:c>
      <x:c r="E36" s="104" t="n">
        <x:v>3</x:v>
      </x:c>
      <x:c r="F36" s="104" t="n">
        <x:v>27</x:v>
      </x:c>
      <x:c r="G36" s="94" t="str">
        <x:v>UNASSIGNED</x:v>
      </x:c>
      <x:c r="H36" s="94" t="str">
        <x:v>UNASSIGNED</x:v>
      </x:c>
      <x:c r="I36" s="94" t="str">
        <x:v>UNASSIGNED</x:v>
      </x:c>
      <x:c r="J36" s="94" t="str">
        <x:v>HOLD</x:v>
      </x:c>
      <x:c r="K36" s="74"/>
      <x:c r="L36" s="74"/>
      <x:c r="M36" s="74"/>
      <x:c r="N36" s="74"/>
    </x:row>
    <x:row r="37">
      <x:c r="A37" s="94" t="str">
        <x:v>D4-C7</x:v>
      </x:c>
      <x:c r="B37" s="104" t="n">
        <x:v>4</x:v>
      </x:c>
      <x:c r="C37" s="104" t="n">
        <x:v>7</x:v>
      </x:c>
      <x:c r="D37" s="104" t="n">
        <x:v>9</x:v>
      </x:c>
      <x:c r="E37" s="104" t="n">
        <x:v>3</x:v>
      </x:c>
      <x:c r="F37" s="104" t="n">
        <x:v>27</x:v>
      </x:c>
      <x:c r="G37" s="94" t="str">
        <x:v>UNASSIGNED</x:v>
      </x:c>
      <x:c r="H37" s="94" t="str">
        <x:v>UNASSIGNED</x:v>
      </x:c>
      <x:c r="I37" s="94" t="str">
        <x:v>UNASSIGNED</x:v>
      </x:c>
      <x:c r="J37" s="94" t="str">
        <x:v>HOLD</x:v>
      </x:c>
      <x:c r="K37" s="74"/>
      <x:c r="L37" s="74"/>
      <x:c r="M37" s="74"/>
      <x:c r="N37" s="74"/>
    </x:row>
    <x:row r="38">
      <x:c r="A38" s="94" t="str">
        <x:v>D4-C8</x:v>
      </x:c>
      <x:c r="B38" s="104" t="n">
        <x:v>4</x:v>
      </x:c>
      <x:c r="C38" s="104" t="n">
        <x:v>8</x:v>
      </x:c>
      <x:c r="D38" s="104" t="n">
        <x:v>9</x:v>
      </x:c>
      <x:c r="E38" s="104" t="n">
        <x:v>3</x:v>
      </x:c>
      <x:c r="F38" s="104" t="n">
        <x:v>27</x:v>
      </x:c>
      <x:c r="G38" s="94" t="str">
        <x:v>UNASSIGNED</x:v>
      </x:c>
      <x:c r="H38" s="94" t="str">
        <x:v>UNASSIGNED</x:v>
      </x:c>
      <x:c r="I38" s="94" t="str">
        <x:v>UNASSIGNED</x:v>
      </x:c>
      <x:c r="J38" s="94" t="str">
        <x:v>HOLD</x:v>
      </x:c>
      <x:c r="K38" s="74"/>
      <x:c r="L38" s="74"/>
      <x:c r="M38" s="74"/>
      <x:c r="N38" s="74"/>
    </x:row>
    <x:row r="39">
      <x:c r="A39" s="94" t="str">
        <x:v>D5-C1</x:v>
      </x:c>
      <x:c r="B39" s="104" t="n">
        <x:v>5</x:v>
      </x:c>
      <x:c r="C39" s="104" t="n">
        <x:v>1</x:v>
      </x:c>
      <x:c r="D39" s="104" t="n">
        <x:v>9</x:v>
      </x:c>
      <x:c r="E39" s="104" t="n">
        <x:v>3</x:v>
      </x:c>
      <x:c r="F39" s="104" t="n">
        <x:v>27</x:v>
      </x:c>
      <x:c r="G39" s="94" t="str">
        <x:v>UNASSIGNED</x:v>
      </x:c>
      <x:c r="H39" s="94" t="str">
        <x:v>UNASSIGNED</x:v>
      </x:c>
      <x:c r="I39" s="94" t="str">
        <x:v>UNASSIGNED</x:v>
      </x:c>
      <x:c r="J39" s="94" t="str">
        <x:v>HOLD</x:v>
      </x:c>
      <x:c r="K39" s="74"/>
      <x:c r="L39" s="74"/>
      <x:c r="M39" s="74"/>
      <x:c r="N39" s="74"/>
    </x:row>
    <x:row r="40">
      <x:c r="A40" s="94" t="str">
        <x:v>D5-C2</x:v>
      </x:c>
      <x:c r="B40" s="104" t="n">
        <x:v>5</x:v>
      </x:c>
      <x:c r="C40" s="104" t="n">
        <x:v>2</x:v>
      </x:c>
      <x:c r="D40" s="104" t="n">
        <x:v>9</x:v>
      </x:c>
      <x:c r="E40" s="104" t="n">
        <x:v>3</x:v>
      </x:c>
      <x:c r="F40" s="104" t="n">
        <x:v>27</x:v>
      </x:c>
      <x:c r="G40" s="94" t="str">
        <x:v>UNASSIGNED</x:v>
      </x:c>
      <x:c r="H40" s="94" t="str">
        <x:v>UNASSIGNED</x:v>
      </x:c>
      <x:c r="I40" s="94" t="str">
        <x:v>UNASSIGNED</x:v>
      </x:c>
      <x:c r="J40" s="94" t="str">
        <x:v>HOLD</x:v>
      </x:c>
      <x:c r="K40" s="74"/>
      <x:c r="L40" s="74"/>
      <x:c r="M40" s="74"/>
      <x:c r="N40" s="74"/>
    </x:row>
    <x:row r="41">
      <x:c r="A41" s="94" t="str">
        <x:v>D5-C3</x:v>
      </x:c>
      <x:c r="B41" s="104" t="n">
        <x:v>5</x:v>
      </x:c>
      <x:c r="C41" s="104" t="n">
        <x:v>3</x:v>
      </x:c>
      <x:c r="D41" s="104" t="n">
        <x:v>9</x:v>
      </x:c>
      <x:c r="E41" s="104" t="n">
        <x:v>3</x:v>
      </x:c>
      <x:c r="F41" s="104" t="n">
        <x:v>27</x:v>
      </x:c>
      <x:c r="G41" s="94" t="str">
        <x:v>UNASSIGNED</x:v>
      </x:c>
      <x:c r="H41" s="94" t="str">
        <x:v>UNASSIGNED</x:v>
      </x:c>
      <x:c r="I41" s="94" t="str">
        <x:v>UNASSIGNED</x:v>
      </x:c>
      <x:c r="J41" s="94" t="str">
        <x:v>HOLD</x:v>
      </x:c>
      <x:c r="K41" s="74"/>
      <x:c r="L41" s="74"/>
      <x:c r="M41" s="74"/>
      <x:c r="N41" s="74"/>
    </x:row>
    <x:row r="42">
      <x:c r="A42" s="94" t="str">
        <x:v>D5-C4</x:v>
      </x:c>
      <x:c r="B42" s="104" t="n">
        <x:v>5</x:v>
      </x:c>
      <x:c r="C42" s="104" t="n">
        <x:v>4</x:v>
      </x:c>
      <x:c r="D42" s="104" t="n">
        <x:v>9</x:v>
      </x:c>
      <x:c r="E42" s="104" t="n">
        <x:v>3</x:v>
      </x:c>
      <x:c r="F42" s="104" t="n">
        <x:v>27</x:v>
      </x:c>
      <x:c r="G42" s="94" t="str">
        <x:v>UNASSIGNED</x:v>
      </x:c>
      <x:c r="H42" s="94" t="str">
        <x:v>UNASSIGNED</x:v>
      </x:c>
      <x:c r="I42" s="94" t="str">
        <x:v>UNASSIGNED</x:v>
      </x:c>
      <x:c r="J42" s="94" t="str">
        <x:v>HOLD</x:v>
      </x:c>
      <x:c r="K42" s="74"/>
      <x:c r="L42" s="74"/>
      <x:c r="M42" s="74"/>
      <x:c r="N42" s="74"/>
    </x:row>
    <x:row r="43">
      <x:c r="A43" s="94" t="str">
        <x:v>D5-C5</x:v>
      </x:c>
      <x:c r="B43" s="104" t="n">
        <x:v>5</x:v>
      </x:c>
      <x:c r="C43" s="104" t="n">
        <x:v>5</x:v>
      </x:c>
      <x:c r="D43" s="104" t="n">
        <x:v>9</x:v>
      </x:c>
      <x:c r="E43" s="104" t="n">
        <x:v>3</x:v>
      </x:c>
      <x:c r="F43" s="104" t="n">
        <x:v>27</x:v>
      </x:c>
      <x:c r="G43" s="94" t="str">
        <x:v>UNASSIGNED</x:v>
      </x:c>
      <x:c r="H43" s="94" t="str">
        <x:v>UNASSIGNED</x:v>
      </x:c>
      <x:c r="I43" s="94" t="str">
        <x:v>UNASSIGNED</x:v>
      </x:c>
      <x:c r="J43" s="94" t="str">
        <x:v>HOLD</x:v>
      </x:c>
      <x:c r="K43" s="74"/>
      <x:c r="L43" s="74"/>
      <x:c r="M43" s="74"/>
      <x:c r="N43" s="74"/>
    </x:row>
    <x:row r="44">
      <x:c r="A44" s="94" t="str">
        <x:v>D5-C6</x:v>
      </x:c>
      <x:c r="B44" s="104" t="n">
        <x:v>5</x:v>
      </x:c>
      <x:c r="C44" s="104" t="n">
        <x:v>6</x:v>
      </x:c>
      <x:c r="D44" s="104" t="n">
        <x:v>9</x:v>
      </x:c>
      <x:c r="E44" s="104" t="n">
        <x:v>3</x:v>
      </x:c>
      <x:c r="F44" s="104" t="n">
        <x:v>27</x:v>
      </x:c>
      <x:c r="G44" s="94" t="str">
        <x:v>UNASSIGNED</x:v>
      </x:c>
      <x:c r="H44" s="94" t="str">
        <x:v>UNASSIGNED</x:v>
      </x:c>
      <x:c r="I44" s="94" t="str">
        <x:v>UNASSIGNED</x:v>
      </x:c>
      <x:c r="J44" s="94" t="str">
        <x:v>HOLD</x:v>
      </x:c>
      <x:c r="K44" s="74"/>
      <x:c r="L44" s="74"/>
      <x:c r="M44" s="74"/>
      <x:c r="N44" s="74"/>
    </x:row>
    <x:row r="45">
      <x:c r="A45" s="94" t="str">
        <x:v>D5-C7</x:v>
      </x:c>
      <x:c r="B45" s="104" t="n">
        <x:v>5</x:v>
      </x:c>
      <x:c r="C45" s="104" t="n">
        <x:v>7</x:v>
      </x:c>
      <x:c r="D45" s="104" t="n">
        <x:v>9</x:v>
      </x:c>
      <x:c r="E45" s="104" t="n">
        <x:v>3</x:v>
      </x:c>
      <x:c r="F45" s="104" t="n">
        <x:v>27</x:v>
      </x:c>
      <x:c r="G45" s="94" t="str">
        <x:v>UNASSIGNED</x:v>
      </x:c>
      <x:c r="H45" s="94" t="str">
        <x:v>UNASSIGNED</x:v>
      </x:c>
      <x:c r="I45" s="94" t="str">
        <x:v>UNASSIGNED</x:v>
      </x:c>
      <x:c r="J45" s="94" t="str">
        <x:v>HOLD</x:v>
      </x:c>
      <x:c r="K45" s="74"/>
      <x:c r="L45" s="74"/>
      <x:c r="M45" s="74"/>
      <x:c r="N45" s="74"/>
    </x:row>
    <x:row r="46">
      <x:c r="A46" s="94" t="str">
        <x:v>D5-C8</x:v>
      </x:c>
      <x:c r="B46" s="104" t="n">
        <x:v>5</x:v>
      </x:c>
      <x:c r="C46" s="104" t="n">
        <x:v>8</x:v>
      </x:c>
      <x:c r="D46" s="104" t="n">
        <x:v>9</x:v>
      </x:c>
      <x:c r="E46" s="104" t="n">
        <x:v>3</x:v>
      </x:c>
      <x:c r="F46" s="104" t="n">
        <x:v>27</x:v>
      </x:c>
      <x:c r="G46" s="94" t="str">
        <x:v>UNASSIGNED</x:v>
      </x:c>
      <x:c r="H46" s="94" t="str">
        <x:v>UNASSIGNED</x:v>
      </x:c>
      <x:c r="I46" s="94" t="str">
        <x:v>UNASSIGNED</x:v>
      </x:c>
      <x:c r="J46" s="94" t="str">
        <x:v>HOLD</x:v>
      </x:c>
      <x:c r="K46" s="74"/>
      <x:c r="L46" s="74"/>
      <x:c r="M46" s="74"/>
      <x:c r="N46" s="74"/>
    </x:row>
    <x:row r="47">
      <x:c r="A47" s="94" t="str">
        <x:v>D6-C1</x:v>
      </x:c>
      <x:c r="B47" s="104" t="n">
        <x:v>6</x:v>
      </x:c>
      <x:c r="C47" s="104" t="n">
        <x:v>1</x:v>
      </x:c>
      <x:c r="D47" s="104" t="n">
        <x:v>9</x:v>
      </x:c>
      <x:c r="E47" s="104" t="n">
        <x:v>3</x:v>
      </x:c>
      <x:c r="F47" s="104" t="n">
        <x:v>27</x:v>
      </x:c>
      <x:c r="G47" s="94" t="str">
        <x:v>UNASSIGNED</x:v>
      </x:c>
      <x:c r="H47" s="94" t="str">
        <x:v>UNASSIGNED</x:v>
      </x:c>
      <x:c r="I47" s="94" t="str">
        <x:v>UNASSIGNED</x:v>
      </x:c>
      <x:c r="J47" s="94" t="str">
        <x:v>HOLD</x:v>
      </x:c>
      <x:c r="K47" s="74"/>
      <x:c r="L47" s="74"/>
      <x:c r="M47" s="74"/>
      <x:c r="N47" s="74"/>
    </x:row>
    <x:row r="48">
      <x:c r="A48" s="94" t="str">
        <x:v>D6-C2</x:v>
      </x:c>
      <x:c r="B48" s="104" t="n">
        <x:v>6</x:v>
      </x:c>
      <x:c r="C48" s="104" t="n">
        <x:v>2</x:v>
      </x:c>
      <x:c r="D48" s="104" t="n">
        <x:v>9</x:v>
      </x:c>
      <x:c r="E48" s="104" t="n">
        <x:v>3</x:v>
      </x:c>
      <x:c r="F48" s="104" t="n">
        <x:v>27</x:v>
      </x:c>
      <x:c r="G48" s="94" t="str">
        <x:v>UNASSIGNED</x:v>
      </x:c>
      <x:c r="H48" s="94" t="str">
        <x:v>UNASSIGNED</x:v>
      </x:c>
      <x:c r="I48" s="94" t="str">
        <x:v>UNASSIGNED</x:v>
      </x:c>
      <x:c r="J48" s="94" t="str">
        <x:v>HOLD</x:v>
      </x:c>
      <x:c r="K48" s="74"/>
      <x:c r="L48" s="74"/>
      <x:c r="M48" s="74"/>
      <x:c r="N48" s="74"/>
    </x:row>
    <x:row r="49">
      <x:c r="A49" s="94" t="str">
        <x:v>D6-C3</x:v>
      </x:c>
      <x:c r="B49" s="104" t="n">
        <x:v>6</x:v>
      </x:c>
      <x:c r="C49" s="104" t="n">
        <x:v>3</x:v>
      </x:c>
      <x:c r="D49" s="104" t="n">
        <x:v>9</x:v>
      </x:c>
      <x:c r="E49" s="104" t="n">
        <x:v>3</x:v>
      </x:c>
      <x:c r="F49" s="104" t="n">
        <x:v>27</x:v>
      </x:c>
      <x:c r="G49" s="94" t="str">
        <x:v>UNASSIGNED</x:v>
      </x:c>
      <x:c r="H49" s="94" t="str">
        <x:v>UNASSIGNED</x:v>
      </x:c>
      <x:c r="I49" s="94" t="str">
        <x:v>UNASSIGNED</x:v>
      </x:c>
      <x:c r="J49" s="94" t="str">
        <x:v>HOLD</x:v>
      </x:c>
      <x:c r="K49" s="74"/>
      <x:c r="L49" s="74"/>
      <x:c r="M49" s="74"/>
      <x:c r="N49" s="74"/>
    </x:row>
    <x:row r="50">
      <x:c r="A50" s="94" t="str">
        <x:v>D6-C4</x:v>
      </x:c>
      <x:c r="B50" s="104" t="n">
        <x:v>6</x:v>
      </x:c>
      <x:c r="C50" s="104" t="n">
        <x:v>4</x:v>
      </x:c>
      <x:c r="D50" s="104" t="n">
        <x:v>9</x:v>
      </x:c>
      <x:c r="E50" s="104" t="n">
        <x:v>3</x:v>
      </x:c>
      <x:c r="F50" s="104" t="n">
        <x:v>27</x:v>
      </x:c>
      <x:c r="G50" s="94" t="str">
        <x:v>UNASSIGNED</x:v>
      </x:c>
      <x:c r="H50" s="94" t="str">
        <x:v>UNASSIGNED</x:v>
      </x:c>
      <x:c r="I50" s="94" t="str">
        <x:v>UNASSIGNED</x:v>
      </x:c>
      <x:c r="J50" s="94" t="str">
        <x:v>HOLD</x:v>
      </x:c>
      <x:c r="K50" s="74"/>
      <x:c r="L50" s="74"/>
      <x:c r="M50" s="74"/>
      <x:c r="N50" s="74"/>
    </x:row>
    <x:row r="51">
      <x:c r="A51" s="94" t="str">
        <x:v>D6-C5</x:v>
      </x:c>
      <x:c r="B51" s="104" t="n">
        <x:v>6</x:v>
      </x:c>
      <x:c r="C51" s="104" t="n">
        <x:v>5</x:v>
      </x:c>
      <x:c r="D51" s="104" t="n">
        <x:v>9</x:v>
      </x:c>
      <x:c r="E51" s="104" t="n">
        <x:v>3</x:v>
      </x:c>
      <x:c r="F51" s="104" t="n">
        <x:v>27</x:v>
      </x:c>
      <x:c r="G51" s="94" t="str">
        <x:v>UNASSIGNED</x:v>
      </x:c>
      <x:c r="H51" s="94" t="str">
        <x:v>UNASSIGNED</x:v>
      </x:c>
      <x:c r="I51" s="94" t="str">
        <x:v>UNASSIGNED</x:v>
      </x:c>
      <x:c r="J51" s="94" t="str">
        <x:v>HOLD</x:v>
      </x:c>
      <x:c r="K51" s="74"/>
      <x:c r="L51" s="74"/>
      <x:c r="M51" s="74"/>
      <x:c r="N51" s="74"/>
    </x:row>
    <x:row r="52">
      <x:c r="A52" s="94" t="str">
        <x:v>D6-C6</x:v>
      </x:c>
      <x:c r="B52" s="104" t="n">
        <x:v>6</x:v>
      </x:c>
      <x:c r="C52" s="104" t="n">
        <x:v>6</x:v>
      </x:c>
      <x:c r="D52" s="104" t="n">
        <x:v>9</x:v>
      </x:c>
      <x:c r="E52" s="104" t="n">
        <x:v>3</x:v>
      </x:c>
      <x:c r="F52" s="104" t="n">
        <x:v>27</x:v>
      </x:c>
      <x:c r="G52" s="94" t="str">
        <x:v>UNASSIGNED</x:v>
      </x:c>
      <x:c r="H52" s="94" t="str">
        <x:v>UNASSIGNED</x:v>
      </x:c>
      <x:c r="I52" s="94" t="str">
        <x:v>UNASSIGNED</x:v>
      </x:c>
      <x:c r="J52" s="94" t="str">
        <x:v>HOLD</x:v>
      </x:c>
      <x:c r="K52" s="74"/>
      <x:c r="L52" s="74"/>
      <x:c r="M52" s="74"/>
      <x:c r="N52" s="74"/>
    </x:row>
    <x:row r="53">
      <x:c r="A53" s="94" t="str">
        <x:v>D6-C7</x:v>
      </x:c>
      <x:c r="B53" s="104" t="n">
        <x:v>6</x:v>
      </x:c>
      <x:c r="C53" s="104" t="n">
        <x:v>7</x:v>
      </x:c>
      <x:c r="D53" s="104" t="n">
        <x:v>9</x:v>
      </x:c>
      <x:c r="E53" s="104" t="n">
        <x:v>3</x:v>
      </x:c>
      <x:c r="F53" s="104" t="n">
        <x:v>27</x:v>
      </x:c>
      <x:c r="G53" s="94" t="str">
        <x:v>UNASSIGNED</x:v>
      </x:c>
      <x:c r="H53" s="94" t="str">
        <x:v>UNASSIGNED</x:v>
      </x:c>
      <x:c r="I53" s="94" t="str">
        <x:v>UNASSIGNED</x:v>
      </x:c>
      <x:c r="J53" s="94" t="str">
        <x:v>HOLD</x:v>
      </x:c>
      <x:c r="K53" s="74"/>
      <x:c r="L53" s="74"/>
      <x:c r="M53" s="74"/>
      <x:c r="N53" s="74"/>
    </x:row>
    <x:row r="54">
      <x:c r="A54" s="94" t="str">
        <x:v>D6-C8</x:v>
      </x:c>
      <x:c r="B54" s="104" t="n">
        <x:v>6</x:v>
      </x:c>
      <x:c r="C54" s="104" t="n">
        <x:v>8</x:v>
      </x:c>
      <x:c r="D54" s="104" t="n">
        <x:v>9</x:v>
      </x:c>
      <x:c r="E54" s="104" t="n">
        <x:v>3</x:v>
      </x:c>
      <x:c r="F54" s="104" t="n">
        <x:v>27</x:v>
      </x:c>
      <x:c r="G54" s="94" t="str">
        <x:v>UNASSIGNED</x:v>
      </x:c>
      <x:c r="H54" s="94" t="str">
        <x:v>UNASSIGNED</x:v>
      </x:c>
      <x:c r="I54" s="94" t="str">
        <x:v>UNASSIGNED</x:v>
      </x:c>
      <x:c r="J54" s="94" t="str">
        <x:v>HOLD</x:v>
      </x:c>
      <x:c r="K54" s="74"/>
      <x:c r="L54" s="74"/>
      <x:c r="M54" s="74"/>
      <x:c r="N54" s="74"/>
    </x:row>
    <x:row r="55">
      <x:c r="A55" s="94" t="str">
        <x:v>D7-C1</x:v>
      </x:c>
      <x:c r="B55" s="104" t="n">
        <x:v>7</x:v>
      </x:c>
      <x:c r="C55" s="104" t="n">
        <x:v>1</x:v>
      </x:c>
      <x:c r="D55" s="104" t="n">
        <x:v>9</x:v>
      </x:c>
      <x:c r="E55" s="104" t="n">
        <x:v>3</x:v>
      </x:c>
      <x:c r="F55" s="104" t="n">
        <x:v>27</x:v>
      </x:c>
      <x:c r="G55" s="94" t="str">
        <x:v>UNASSIGNED</x:v>
      </x:c>
      <x:c r="H55" s="94" t="str">
        <x:v>UNASSIGNED</x:v>
      </x:c>
      <x:c r="I55" s="94" t="str">
        <x:v>UNASSIGNED</x:v>
      </x:c>
      <x:c r="J55" s="94" t="str">
        <x:v>HOLD</x:v>
      </x:c>
      <x:c r="K55" s="74"/>
      <x:c r="L55" s="74"/>
      <x:c r="M55" s="74"/>
      <x:c r="N55" s="74"/>
    </x:row>
    <x:row r="56">
      <x:c r="A56" s="94" t="str">
        <x:v>D7-C2</x:v>
      </x:c>
      <x:c r="B56" s="104" t="n">
        <x:v>7</x:v>
      </x:c>
      <x:c r="C56" s="104" t="n">
        <x:v>2</x:v>
      </x:c>
      <x:c r="D56" s="104" t="n">
        <x:v>9</x:v>
      </x:c>
      <x:c r="E56" s="104" t="n">
        <x:v>3</x:v>
      </x:c>
      <x:c r="F56" s="104" t="n">
        <x:v>27</x:v>
      </x:c>
      <x:c r="G56" s="94" t="str">
        <x:v>UNASSIGNED</x:v>
      </x:c>
      <x:c r="H56" s="94" t="str">
        <x:v>UNASSIGNED</x:v>
      </x:c>
      <x:c r="I56" s="94" t="str">
        <x:v>UNASSIGNED</x:v>
      </x:c>
      <x:c r="J56" s="94" t="str">
        <x:v>HOLD</x:v>
      </x:c>
      <x:c r="K56" s="74"/>
      <x:c r="L56" s="74"/>
      <x:c r="M56" s="74"/>
      <x:c r="N56" s="74"/>
    </x:row>
    <x:row r="57">
      <x:c r="A57" s="94" t="str">
        <x:v>D7-C3</x:v>
      </x:c>
      <x:c r="B57" s="104" t="n">
        <x:v>7</x:v>
      </x:c>
      <x:c r="C57" s="104" t="n">
        <x:v>3</x:v>
      </x:c>
      <x:c r="D57" s="104" t="n">
        <x:v>9</x:v>
      </x:c>
      <x:c r="E57" s="104" t="n">
        <x:v>3</x:v>
      </x:c>
      <x:c r="F57" s="104" t="n">
        <x:v>27</x:v>
      </x:c>
      <x:c r="G57" s="94" t="str">
        <x:v>UNASSIGNED</x:v>
      </x:c>
      <x:c r="H57" s="94" t="str">
        <x:v>UNASSIGNED</x:v>
      </x:c>
      <x:c r="I57" s="94" t="str">
        <x:v>UNASSIGNED</x:v>
      </x:c>
      <x:c r="J57" s="94" t="str">
        <x:v>HOLD</x:v>
      </x:c>
      <x:c r="K57" s="74"/>
      <x:c r="L57" s="74"/>
      <x:c r="M57" s="74"/>
      <x:c r="N57" s="74"/>
    </x:row>
    <x:row r="58">
      <x:c r="A58" s="94" t="str">
        <x:v>D7-C4</x:v>
      </x:c>
      <x:c r="B58" s="104" t="n">
        <x:v>7</x:v>
      </x:c>
      <x:c r="C58" s="104" t="n">
        <x:v>4</x:v>
      </x:c>
      <x:c r="D58" s="104" t="n">
        <x:v>9</x:v>
      </x:c>
      <x:c r="E58" s="104" t="n">
        <x:v>3</x:v>
      </x:c>
      <x:c r="F58" s="104" t="n">
        <x:v>27</x:v>
      </x:c>
      <x:c r="G58" s="94" t="str">
        <x:v>UNASSIGNED</x:v>
      </x:c>
      <x:c r="H58" s="94" t="str">
        <x:v>UNASSIGNED</x:v>
      </x:c>
      <x:c r="I58" s="94" t="str">
        <x:v>UNASSIGNED</x:v>
      </x:c>
      <x:c r="J58" s="94" t="str">
        <x:v>HOLD</x:v>
      </x:c>
      <x:c r="K58" s="74"/>
      <x:c r="L58" s="74"/>
      <x:c r="M58" s="74"/>
      <x:c r="N58" s="74"/>
    </x:row>
    <x:row r="59">
      <x:c r="A59" s="94" t="str">
        <x:v>D7-C5</x:v>
      </x:c>
      <x:c r="B59" s="104" t="n">
        <x:v>7</x:v>
      </x:c>
      <x:c r="C59" s="104" t="n">
        <x:v>5</x:v>
      </x:c>
      <x:c r="D59" s="104" t="n">
        <x:v>9</x:v>
      </x:c>
      <x:c r="E59" s="104" t="n">
        <x:v>3</x:v>
      </x:c>
      <x:c r="F59" s="104" t="n">
        <x:v>27</x:v>
      </x:c>
      <x:c r="G59" s="94" t="str">
        <x:v>UNASSIGNED</x:v>
      </x:c>
      <x:c r="H59" s="94" t="str">
        <x:v>UNASSIGNED</x:v>
      </x:c>
      <x:c r="I59" s="94" t="str">
        <x:v>UNASSIGNED</x:v>
      </x:c>
      <x:c r="J59" s="94" t="str">
        <x:v>HOLD</x:v>
      </x:c>
      <x:c r="K59" s="74"/>
      <x:c r="L59" s="74"/>
      <x:c r="M59" s="74"/>
      <x:c r="N59" s="74"/>
    </x:row>
    <x:row r="60">
      <x:c r="A60" s="94" t="str">
        <x:v>D7-C6</x:v>
      </x:c>
      <x:c r="B60" s="104" t="n">
        <x:v>7</x:v>
      </x:c>
      <x:c r="C60" s="104" t="n">
        <x:v>6</x:v>
      </x:c>
      <x:c r="D60" s="104" t="n">
        <x:v>9</x:v>
      </x:c>
      <x:c r="E60" s="104" t="n">
        <x:v>3</x:v>
      </x:c>
      <x:c r="F60" s="104" t="n">
        <x:v>27</x:v>
      </x:c>
      <x:c r="G60" s="94" t="str">
        <x:v>UNASSIGNED</x:v>
      </x:c>
      <x:c r="H60" s="94" t="str">
        <x:v>UNASSIGNED</x:v>
      </x:c>
      <x:c r="I60" s="94" t="str">
        <x:v>UNASSIGNED</x:v>
      </x:c>
      <x:c r="J60" s="94" t="str">
        <x:v>HOLD</x:v>
      </x:c>
      <x:c r="K60" s="74"/>
      <x:c r="L60" s="74"/>
      <x:c r="M60" s="74"/>
      <x:c r="N60" s="74"/>
    </x:row>
    <x:row r="61">
      <x:c r="A61" s="94" t="str">
        <x:v>D7-C7</x:v>
      </x:c>
      <x:c r="B61" s="104" t="n">
        <x:v>7</x:v>
      </x:c>
      <x:c r="C61" s="104" t="n">
        <x:v>7</x:v>
      </x:c>
      <x:c r="D61" s="104" t="n">
        <x:v>9</x:v>
      </x:c>
      <x:c r="E61" s="104" t="n">
        <x:v>3</x:v>
      </x:c>
      <x:c r="F61" s="104" t="n">
        <x:v>27</x:v>
      </x:c>
      <x:c r="G61" s="94" t="str">
        <x:v>UNASSIGNED</x:v>
      </x:c>
      <x:c r="H61" s="94" t="str">
        <x:v>UNASSIGNED</x:v>
      </x:c>
      <x:c r="I61" s="94" t="str">
        <x:v>UNASSIGNED</x:v>
      </x:c>
      <x:c r="J61" s="94" t="str">
        <x:v>HOLD</x:v>
      </x:c>
      <x:c r="K61" s="74"/>
      <x:c r="L61" s="74"/>
      <x:c r="M61" s="74"/>
      <x:c r="N61" s="74"/>
    </x:row>
    <x:row r="62">
      <x:c r="A62" s="94" t="str">
        <x:v>D7-C8</x:v>
      </x:c>
      <x:c r="B62" s="104" t="n">
        <x:v>7</x:v>
      </x:c>
      <x:c r="C62" s="104" t="n">
        <x:v>8</x:v>
      </x:c>
      <x:c r="D62" s="104" t="n">
        <x:v>9</x:v>
      </x:c>
      <x:c r="E62" s="104" t="n">
        <x:v>3</x:v>
      </x:c>
      <x:c r="F62" s="104" t="n">
        <x:v>27</x:v>
      </x:c>
      <x:c r="G62" s="94" t="str">
        <x:v>UNASSIGNED</x:v>
      </x:c>
      <x:c r="H62" s="94" t="str">
        <x:v>UNASSIGNED</x:v>
      </x:c>
      <x:c r="I62" s="94" t="str">
        <x:v>UNASSIGNED</x:v>
      </x:c>
      <x:c r="J62" s="94" t="str">
        <x:v>HOLD</x:v>
      </x:c>
      <x:c r="K62" s="74"/>
      <x:c r="L62" s="74"/>
      <x:c r="M62" s="74"/>
      <x:c r="N62" s="74"/>
    </x:row>
  </x:sheetData>
  <x:conditionalFormatting sqref="J7:J62">
    <x:cfRule type="containsText" dxfId="6" priority="1" operator="containsText" text="FAIL"/>
    <x:cfRule type="containsText" dxfId="7" priority="2" operator="containsText" text="HOLD"/>
  </x:conditionalFormatting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5" hidden="0" customWidth="1"/>
    <x:col min="2" max="2" width="11" hidden="0" customWidth="1"/>
    <x:col min="3" max="3" width="13" hidden="0" customWidth="1"/>
    <x:col min="4" max="4" width="11" hidden="0" customWidth="1"/>
    <x:col min="5" max="5" width="18" hidden="0" customWidth="1"/>
    <x:col min="6" max="6" width="25" hidden="0" customWidth="1"/>
    <x:col min="7" max="7" width="21" hidden="0" customWidth="1"/>
    <x:col min="8" max="8" width="15" hidden="0" customWidth="1"/>
  </x:cols>
  <x:sheetData>
    <x:row r="2">
      <x:c r="A2" s="73" t="str">
        <x:v>Receiver query matrix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Primary and alternate paths retain local protected-data custody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Cell ID</x:v>
      </x:c>
      <x:c r="B6" s="90" t="str">
        <x:v>District</x:v>
      </x:c>
      <x:c r="C6" s="90" t="str">
        <x:v>Campaign</x:v>
      </x:c>
      <x:c r="D6" s="90" t="str">
        <x:v>Effects</x:v>
      </x:c>
      <x:c r="E6" s="90" t="str">
        <x:v>Receiver paths</x:v>
      </x:c>
      <x:c r="F6" s="90" t="str">
        <x:v>Query enclave</x:v>
      </x:c>
      <x:c r="G6" s="90" t="str">
        <x:v>Raw K1 export</x:v>
      </x:c>
      <x:c r="H6" s="91" t="str">
        <x:v>Release</x:v>
      </x:c>
      <x:c r="I6" s="74"/>
      <x:c r="J6" s="74"/>
      <x:c r="K6" s="74"/>
      <x:c r="L6" s="74"/>
      <x:c r="M6" s="74"/>
      <x:c r="N6" s="74"/>
    </x:row>
    <x:row r="7">
      <x:c r="A7" s="92" t="str">
        <x:v>D1-C1</x:v>
      </x:c>
      <x:c r="B7" s="103" t="n">
        <x:v>1</x:v>
      </x:c>
      <x:c r="C7" s="103" t="n">
        <x:v>1</x:v>
      </x:c>
      <x:c r="D7" s="103" t="n">
        <x:v>9</x:v>
      </x:c>
      <x:c r="E7" s="103" t="n">
        <x:v>18</x:v>
      </x:c>
      <x:c r="F7" s="92" t="str">
        <x:v>UNASSIGNED</x:v>
      </x:c>
      <x:c r="G7" s="92" t="str">
        <x:v>PROHIBITED</x:v>
      </x:c>
      <x:c r="H7" s="92" t="str">
        <x:v>HOLD</x:v>
      </x:c>
      <x:c r="I7" s="74"/>
      <x:c r="J7" s="74"/>
      <x:c r="K7" s="74"/>
      <x:c r="L7" s="74"/>
      <x:c r="M7" s="74"/>
      <x:c r="N7" s="74"/>
    </x:row>
    <x:row r="8">
      <x:c r="A8" s="94" t="str">
        <x:v>D1-C2</x:v>
      </x:c>
      <x:c r="B8" s="104" t="n">
        <x:v>1</x:v>
      </x:c>
      <x:c r="C8" s="104" t="n">
        <x:v>2</x:v>
      </x:c>
      <x:c r="D8" s="104" t="n">
        <x:v>9</x:v>
      </x:c>
      <x:c r="E8" s="104" t="n">
        <x:v>18</x:v>
      </x:c>
      <x:c r="F8" s="94" t="str">
        <x:v>UNASSIGNED</x:v>
      </x:c>
      <x:c r="G8" s="94" t="str">
        <x:v>PROHIBITED</x:v>
      </x:c>
      <x:c r="H8" s="94" t="str">
        <x:v>HOLD</x:v>
      </x:c>
      <x:c r="I8" s="74"/>
      <x:c r="J8" s="74"/>
      <x:c r="K8" s="74"/>
      <x:c r="L8" s="74"/>
      <x:c r="M8" s="74"/>
      <x:c r="N8" s="74"/>
    </x:row>
    <x:row r="9">
      <x:c r="A9" s="94" t="str">
        <x:v>D1-C3</x:v>
      </x:c>
      <x:c r="B9" s="104" t="n">
        <x:v>1</x:v>
      </x:c>
      <x:c r="C9" s="104" t="n">
        <x:v>3</x:v>
      </x:c>
      <x:c r="D9" s="104" t="n">
        <x:v>9</x:v>
      </x:c>
      <x:c r="E9" s="104" t="n">
        <x:v>18</x:v>
      </x:c>
      <x:c r="F9" s="94" t="str">
        <x:v>UNASSIGNED</x:v>
      </x:c>
      <x:c r="G9" s="94" t="str">
        <x:v>PROHIBITED</x:v>
      </x:c>
      <x:c r="H9" s="94" t="str">
        <x:v>HOLD</x:v>
      </x:c>
      <x:c r="I9" s="74"/>
      <x:c r="J9" s="74"/>
      <x:c r="K9" s="74"/>
      <x:c r="L9" s="74"/>
      <x:c r="M9" s="74"/>
      <x:c r="N9" s="74"/>
    </x:row>
    <x:row r="10">
      <x:c r="A10" s="94" t="str">
        <x:v>D1-C4</x:v>
      </x:c>
      <x:c r="B10" s="104" t="n">
        <x:v>1</x:v>
      </x:c>
      <x:c r="C10" s="104" t="n">
        <x:v>4</x:v>
      </x:c>
      <x:c r="D10" s="104" t="n">
        <x:v>9</x:v>
      </x:c>
      <x:c r="E10" s="104" t="n">
        <x:v>18</x:v>
      </x:c>
      <x:c r="F10" s="94" t="str">
        <x:v>UNASSIGNED</x:v>
      </x:c>
      <x:c r="G10" s="94" t="str">
        <x:v>PROHIBITED</x:v>
      </x:c>
      <x:c r="H10" s="94" t="str">
        <x:v>HOLD</x:v>
      </x:c>
      <x:c r="I10" s="74"/>
      <x:c r="J10" s="74"/>
      <x:c r="K10" s="74"/>
      <x:c r="L10" s="74"/>
      <x:c r="M10" s="74"/>
      <x:c r="N10" s="74"/>
    </x:row>
    <x:row r="11">
      <x:c r="A11" s="94" t="str">
        <x:v>D1-C5</x:v>
      </x:c>
      <x:c r="B11" s="104" t="n">
        <x:v>1</x:v>
      </x:c>
      <x:c r="C11" s="104" t="n">
        <x:v>5</x:v>
      </x:c>
      <x:c r="D11" s="104" t="n">
        <x:v>9</x:v>
      </x:c>
      <x:c r="E11" s="104" t="n">
        <x:v>18</x:v>
      </x:c>
      <x:c r="F11" s="94" t="str">
        <x:v>UNASSIGNED</x:v>
      </x:c>
      <x:c r="G11" s="94" t="str">
        <x:v>PROHIBITED</x:v>
      </x:c>
      <x:c r="H11" s="94" t="str">
        <x:v>HOLD</x:v>
      </x:c>
      <x:c r="I11" s="74"/>
      <x:c r="J11" s="74"/>
      <x:c r="K11" s="74"/>
      <x:c r="L11" s="74"/>
      <x:c r="M11" s="74"/>
      <x:c r="N11" s="74"/>
    </x:row>
    <x:row r="12">
      <x:c r="A12" s="94" t="str">
        <x:v>D1-C6</x:v>
      </x:c>
      <x:c r="B12" s="104" t="n">
        <x:v>1</x:v>
      </x:c>
      <x:c r="C12" s="104" t="n">
        <x:v>6</x:v>
      </x:c>
      <x:c r="D12" s="104" t="n">
        <x:v>9</x:v>
      </x:c>
      <x:c r="E12" s="104" t="n">
        <x:v>18</x:v>
      </x:c>
      <x:c r="F12" s="94" t="str">
        <x:v>UNASSIGNED</x:v>
      </x:c>
      <x:c r="G12" s="94" t="str">
        <x:v>PROHIBITED</x:v>
      </x:c>
      <x:c r="H12" s="94" t="str">
        <x:v>HOLD</x:v>
      </x:c>
      <x:c r="I12" s="74"/>
      <x:c r="J12" s="74"/>
      <x:c r="K12" s="74"/>
      <x:c r="L12" s="74"/>
      <x:c r="M12" s="74"/>
      <x:c r="N12" s="74"/>
    </x:row>
    <x:row r="13">
      <x:c r="A13" s="94" t="str">
        <x:v>D1-C7</x:v>
      </x:c>
      <x:c r="B13" s="104" t="n">
        <x:v>1</x:v>
      </x:c>
      <x:c r="C13" s="104" t="n">
        <x:v>7</x:v>
      </x:c>
      <x:c r="D13" s="104" t="n">
        <x:v>9</x:v>
      </x:c>
      <x:c r="E13" s="104" t="n">
        <x:v>18</x:v>
      </x:c>
      <x:c r="F13" s="94" t="str">
        <x:v>UNASSIGNED</x:v>
      </x:c>
      <x:c r="G13" s="94" t="str">
        <x:v>PROHIBITED</x:v>
      </x:c>
      <x:c r="H13" s="94" t="str">
        <x:v>HOLD</x:v>
      </x:c>
      <x:c r="I13" s="74"/>
      <x:c r="J13" s="74"/>
      <x:c r="K13" s="74"/>
      <x:c r="L13" s="74"/>
      <x:c r="M13" s="74"/>
      <x:c r="N13" s="74"/>
    </x:row>
    <x:row r="14">
      <x:c r="A14" s="94" t="str">
        <x:v>D1-C8</x:v>
      </x:c>
      <x:c r="B14" s="104" t="n">
        <x:v>1</x:v>
      </x:c>
      <x:c r="C14" s="104" t="n">
        <x:v>8</x:v>
      </x:c>
      <x:c r="D14" s="104" t="n">
        <x:v>9</x:v>
      </x:c>
      <x:c r="E14" s="104" t="n">
        <x:v>18</x:v>
      </x:c>
      <x:c r="F14" s="94" t="str">
        <x:v>UNASSIGNED</x:v>
      </x:c>
      <x:c r="G14" s="94" t="str">
        <x:v>PROHIBITED</x:v>
      </x:c>
      <x:c r="H14" s="94" t="str">
        <x:v>HOLD</x:v>
      </x:c>
      <x:c r="I14" s="74"/>
      <x:c r="J14" s="74"/>
      <x:c r="K14" s="74"/>
      <x:c r="L14" s="74"/>
      <x:c r="M14" s="74"/>
      <x:c r="N14" s="74"/>
    </x:row>
    <x:row r="15">
      <x:c r="A15" s="94" t="str">
        <x:v>D2-C1</x:v>
      </x:c>
      <x:c r="B15" s="104" t="n">
        <x:v>2</x:v>
      </x:c>
      <x:c r="C15" s="104" t="n">
        <x:v>1</x:v>
      </x:c>
      <x:c r="D15" s="104" t="n">
        <x:v>9</x:v>
      </x:c>
      <x:c r="E15" s="104" t="n">
        <x:v>18</x:v>
      </x:c>
      <x:c r="F15" s="94" t="str">
        <x:v>UNASSIGNED</x:v>
      </x:c>
      <x:c r="G15" s="94" t="str">
        <x:v>PROHIBITED</x:v>
      </x:c>
      <x:c r="H15" s="94" t="str">
        <x:v>HOLD</x:v>
      </x:c>
      <x:c r="I15" s="74"/>
      <x:c r="J15" s="74"/>
      <x:c r="K15" s="74"/>
      <x:c r="L15" s="74"/>
      <x:c r="M15" s="74"/>
      <x:c r="N15" s="74"/>
    </x:row>
    <x:row r="16">
      <x:c r="A16" s="94" t="str">
        <x:v>D2-C2</x:v>
      </x:c>
      <x:c r="B16" s="104" t="n">
        <x:v>2</x:v>
      </x:c>
      <x:c r="C16" s="104" t="n">
        <x:v>2</x:v>
      </x:c>
      <x:c r="D16" s="104" t="n">
        <x:v>9</x:v>
      </x:c>
      <x:c r="E16" s="104" t="n">
        <x:v>18</x:v>
      </x:c>
      <x:c r="F16" s="94" t="str">
        <x:v>UNASSIGNED</x:v>
      </x:c>
      <x:c r="G16" s="94" t="str">
        <x:v>PROHIBITED</x:v>
      </x:c>
      <x:c r="H16" s="94" t="str">
        <x:v>HOLD</x:v>
      </x:c>
      <x:c r="I16" s="74"/>
      <x:c r="J16" s="74"/>
      <x:c r="K16" s="74"/>
      <x:c r="L16" s="74"/>
      <x:c r="M16" s="74"/>
      <x:c r="N16" s="74"/>
    </x:row>
    <x:row r="17">
      <x:c r="A17" s="94" t="str">
        <x:v>D2-C3</x:v>
      </x:c>
      <x:c r="B17" s="104" t="n">
        <x:v>2</x:v>
      </x:c>
      <x:c r="C17" s="104" t="n">
        <x:v>3</x:v>
      </x:c>
      <x:c r="D17" s="104" t="n">
        <x:v>9</x:v>
      </x:c>
      <x:c r="E17" s="104" t="n">
        <x:v>18</x:v>
      </x:c>
      <x:c r="F17" s="94" t="str">
        <x:v>UNASSIGNED</x:v>
      </x:c>
      <x:c r="G17" s="94" t="str">
        <x:v>PROHIBITED</x:v>
      </x:c>
      <x:c r="H17" s="94" t="str">
        <x:v>HOLD</x:v>
      </x:c>
      <x:c r="I17" s="74"/>
      <x:c r="J17" s="74"/>
      <x:c r="K17" s="74"/>
      <x:c r="L17" s="74"/>
      <x:c r="M17" s="74"/>
      <x:c r="N17" s="74"/>
    </x:row>
    <x:row r="18">
      <x:c r="A18" s="94" t="str">
        <x:v>D2-C4</x:v>
      </x:c>
      <x:c r="B18" s="104" t="n">
        <x:v>2</x:v>
      </x:c>
      <x:c r="C18" s="104" t="n">
        <x:v>4</x:v>
      </x:c>
      <x:c r="D18" s="104" t="n">
        <x:v>9</x:v>
      </x:c>
      <x:c r="E18" s="104" t="n">
        <x:v>18</x:v>
      </x:c>
      <x:c r="F18" s="94" t="str">
        <x:v>UNASSIGNED</x:v>
      </x:c>
      <x:c r="G18" s="94" t="str">
        <x:v>PROHIBITED</x:v>
      </x:c>
      <x:c r="H18" s="94" t="str">
        <x:v>HOLD</x:v>
      </x:c>
      <x:c r="I18" s="74"/>
      <x:c r="J18" s="74"/>
      <x:c r="K18" s="74"/>
      <x:c r="L18" s="74"/>
      <x:c r="M18" s="74"/>
      <x:c r="N18" s="74"/>
    </x:row>
    <x:row r="19">
      <x:c r="A19" s="94" t="str">
        <x:v>D2-C5</x:v>
      </x:c>
      <x:c r="B19" s="104" t="n">
        <x:v>2</x:v>
      </x:c>
      <x:c r="C19" s="104" t="n">
        <x:v>5</x:v>
      </x:c>
      <x:c r="D19" s="104" t="n">
        <x:v>9</x:v>
      </x:c>
      <x:c r="E19" s="104" t="n">
        <x:v>18</x:v>
      </x:c>
      <x:c r="F19" s="94" t="str">
        <x:v>UNASSIGNED</x:v>
      </x:c>
      <x:c r="G19" s="94" t="str">
        <x:v>PROHIBITED</x:v>
      </x:c>
      <x:c r="H19" s="94" t="str">
        <x:v>HOLD</x:v>
      </x:c>
      <x:c r="I19" s="74"/>
      <x:c r="J19" s="74"/>
      <x:c r="K19" s="74"/>
      <x:c r="L19" s="74"/>
      <x:c r="M19" s="74"/>
      <x:c r="N19" s="74"/>
    </x:row>
    <x:row r="20">
      <x:c r="A20" s="94" t="str">
        <x:v>D2-C6</x:v>
      </x:c>
      <x:c r="B20" s="104" t="n">
        <x:v>2</x:v>
      </x:c>
      <x:c r="C20" s="104" t="n">
        <x:v>6</x:v>
      </x:c>
      <x:c r="D20" s="104" t="n">
        <x:v>9</x:v>
      </x:c>
      <x:c r="E20" s="104" t="n">
        <x:v>18</x:v>
      </x:c>
      <x:c r="F20" s="94" t="str">
        <x:v>UNASSIGNED</x:v>
      </x:c>
      <x:c r="G20" s="94" t="str">
        <x:v>PROHIBITED</x:v>
      </x:c>
      <x:c r="H20" s="94" t="str">
        <x:v>HOLD</x:v>
      </x:c>
      <x:c r="I20" s="74"/>
      <x:c r="J20" s="74"/>
      <x:c r="K20" s="74"/>
      <x:c r="L20" s="74"/>
      <x:c r="M20" s="74"/>
      <x:c r="N20" s="74"/>
    </x:row>
    <x:row r="21">
      <x:c r="A21" s="94" t="str">
        <x:v>D2-C7</x:v>
      </x:c>
      <x:c r="B21" s="104" t="n">
        <x:v>2</x:v>
      </x:c>
      <x:c r="C21" s="104" t="n">
        <x:v>7</x:v>
      </x:c>
      <x:c r="D21" s="104" t="n">
        <x:v>9</x:v>
      </x:c>
      <x:c r="E21" s="104" t="n">
        <x:v>18</x:v>
      </x:c>
      <x:c r="F21" s="94" t="str">
        <x:v>UNASSIGNED</x:v>
      </x:c>
      <x:c r="G21" s="94" t="str">
        <x:v>PROHIBITED</x:v>
      </x:c>
      <x:c r="H21" s="94" t="str">
        <x:v>HOLD</x:v>
      </x:c>
      <x:c r="I21" s="74"/>
      <x:c r="J21" s="74"/>
      <x:c r="K21" s="74"/>
      <x:c r="L21" s="74"/>
      <x:c r="M21" s="74"/>
      <x:c r="N21" s="74"/>
    </x:row>
    <x:row r="22">
      <x:c r="A22" s="94" t="str">
        <x:v>D2-C8</x:v>
      </x:c>
      <x:c r="B22" s="104" t="n">
        <x:v>2</x:v>
      </x:c>
      <x:c r="C22" s="104" t="n">
        <x:v>8</x:v>
      </x:c>
      <x:c r="D22" s="104" t="n">
        <x:v>9</x:v>
      </x:c>
      <x:c r="E22" s="104" t="n">
        <x:v>18</x:v>
      </x:c>
      <x:c r="F22" s="94" t="str">
        <x:v>UNASSIGNED</x:v>
      </x:c>
      <x:c r="G22" s="94" t="str">
        <x:v>PROHIBITED</x:v>
      </x:c>
      <x:c r="H22" s="94" t="str">
        <x:v>HOLD</x:v>
      </x:c>
      <x:c r="I22" s="74"/>
      <x:c r="J22" s="74"/>
      <x:c r="K22" s="74"/>
      <x:c r="L22" s="74"/>
      <x:c r="M22" s="74"/>
      <x:c r="N22" s="74"/>
    </x:row>
    <x:row r="23">
      <x:c r="A23" s="94" t="str">
        <x:v>D3-C1</x:v>
      </x:c>
      <x:c r="B23" s="104" t="n">
        <x:v>3</x:v>
      </x:c>
      <x:c r="C23" s="104" t="n">
        <x:v>1</x:v>
      </x:c>
      <x:c r="D23" s="104" t="n">
        <x:v>9</x:v>
      </x:c>
      <x:c r="E23" s="104" t="n">
        <x:v>18</x:v>
      </x:c>
      <x:c r="F23" s="94" t="str">
        <x:v>UNASSIGNED</x:v>
      </x:c>
      <x:c r="G23" s="94" t="str">
        <x:v>PROHIBITED</x:v>
      </x:c>
      <x:c r="H23" s="94" t="str">
        <x:v>HOLD</x:v>
      </x:c>
      <x:c r="I23" s="74"/>
      <x:c r="J23" s="74"/>
      <x:c r="K23" s="74"/>
      <x:c r="L23" s="74"/>
      <x:c r="M23" s="74"/>
      <x:c r="N23" s="74"/>
    </x:row>
    <x:row r="24">
      <x:c r="A24" s="94" t="str">
        <x:v>D3-C2</x:v>
      </x:c>
      <x:c r="B24" s="104" t="n">
        <x:v>3</x:v>
      </x:c>
      <x:c r="C24" s="104" t="n">
        <x:v>2</x:v>
      </x:c>
      <x:c r="D24" s="104" t="n">
        <x:v>9</x:v>
      </x:c>
      <x:c r="E24" s="104" t="n">
        <x:v>18</x:v>
      </x:c>
      <x:c r="F24" s="94" t="str">
        <x:v>UNASSIGNED</x:v>
      </x:c>
      <x:c r="G24" s="94" t="str">
        <x:v>PROHIBITED</x:v>
      </x:c>
      <x:c r="H24" s="94" t="str">
        <x:v>HOLD</x:v>
      </x:c>
      <x:c r="I24" s="74"/>
      <x:c r="J24" s="74"/>
      <x:c r="K24" s="74"/>
      <x:c r="L24" s="74"/>
      <x:c r="M24" s="74"/>
      <x:c r="N24" s="74"/>
    </x:row>
    <x:row r="25">
      <x:c r="A25" s="94" t="str">
        <x:v>D3-C3</x:v>
      </x:c>
      <x:c r="B25" s="104" t="n">
        <x:v>3</x:v>
      </x:c>
      <x:c r="C25" s="104" t="n">
        <x:v>3</x:v>
      </x:c>
      <x:c r="D25" s="104" t="n">
        <x:v>9</x:v>
      </x:c>
      <x:c r="E25" s="104" t="n">
        <x:v>18</x:v>
      </x:c>
      <x:c r="F25" s="94" t="str">
        <x:v>UNASSIGNED</x:v>
      </x:c>
      <x:c r="G25" s="94" t="str">
        <x:v>PROHIBITED</x:v>
      </x:c>
      <x:c r="H25" s="94" t="str">
        <x:v>HOLD</x:v>
      </x:c>
      <x:c r="I25" s="74"/>
      <x:c r="J25" s="74"/>
      <x:c r="K25" s="74"/>
      <x:c r="L25" s="74"/>
      <x:c r="M25" s="74"/>
      <x:c r="N25" s="74"/>
    </x:row>
    <x:row r="26">
      <x:c r="A26" s="94" t="str">
        <x:v>D3-C4</x:v>
      </x:c>
      <x:c r="B26" s="104" t="n">
        <x:v>3</x:v>
      </x:c>
      <x:c r="C26" s="104" t="n">
        <x:v>4</x:v>
      </x:c>
      <x:c r="D26" s="104" t="n">
        <x:v>9</x:v>
      </x:c>
      <x:c r="E26" s="104" t="n">
        <x:v>18</x:v>
      </x:c>
      <x:c r="F26" s="94" t="str">
        <x:v>UNASSIGNED</x:v>
      </x:c>
      <x:c r="G26" s="94" t="str">
        <x:v>PROHIBITED</x:v>
      </x:c>
      <x:c r="H26" s="94" t="str">
        <x:v>HOLD</x:v>
      </x:c>
      <x:c r="I26" s="74"/>
      <x:c r="J26" s="74"/>
      <x:c r="K26" s="74"/>
      <x:c r="L26" s="74"/>
      <x:c r="M26" s="74"/>
      <x:c r="N26" s="74"/>
    </x:row>
    <x:row r="27">
      <x:c r="A27" s="94" t="str">
        <x:v>D3-C5</x:v>
      </x:c>
      <x:c r="B27" s="104" t="n">
        <x:v>3</x:v>
      </x:c>
      <x:c r="C27" s="104" t="n">
        <x:v>5</x:v>
      </x:c>
      <x:c r="D27" s="104" t="n">
        <x:v>9</x:v>
      </x:c>
      <x:c r="E27" s="104" t="n">
        <x:v>18</x:v>
      </x:c>
      <x:c r="F27" s="94" t="str">
        <x:v>UNASSIGNED</x:v>
      </x:c>
      <x:c r="G27" s="94" t="str">
        <x:v>PROHIBITED</x:v>
      </x:c>
      <x:c r="H27" s="94" t="str">
        <x:v>HOLD</x:v>
      </x:c>
      <x:c r="I27" s="74"/>
      <x:c r="J27" s="74"/>
      <x:c r="K27" s="74"/>
      <x:c r="L27" s="74"/>
      <x:c r="M27" s="74"/>
      <x:c r="N27" s="74"/>
    </x:row>
    <x:row r="28">
      <x:c r="A28" s="94" t="str">
        <x:v>D3-C6</x:v>
      </x:c>
      <x:c r="B28" s="104" t="n">
        <x:v>3</x:v>
      </x:c>
      <x:c r="C28" s="104" t="n">
        <x:v>6</x:v>
      </x:c>
      <x:c r="D28" s="104" t="n">
        <x:v>9</x:v>
      </x:c>
      <x:c r="E28" s="104" t="n">
        <x:v>18</x:v>
      </x:c>
      <x:c r="F28" s="94" t="str">
        <x:v>UNASSIGNED</x:v>
      </x:c>
      <x:c r="G28" s="94" t="str">
        <x:v>PROHIBITED</x:v>
      </x:c>
      <x:c r="H28" s="94" t="str">
        <x:v>HOLD</x:v>
      </x:c>
      <x:c r="I28" s="74"/>
      <x:c r="J28" s="74"/>
      <x:c r="K28" s="74"/>
      <x:c r="L28" s="74"/>
      <x:c r="M28" s="74"/>
      <x:c r="N28" s="74"/>
    </x:row>
    <x:row r="29">
      <x:c r="A29" s="94" t="str">
        <x:v>D3-C7</x:v>
      </x:c>
      <x:c r="B29" s="104" t="n">
        <x:v>3</x:v>
      </x:c>
      <x:c r="C29" s="104" t="n">
        <x:v>7</x:v>
      </x:c>
      <x:c r="D29" s="104" t="n">
        <x:v>9</x:v>
      </x:c>
      <x:c r="E29" s="104" t="n">
        <x:v>18</x:v>
      </x:c>
      <x:c r="F29" s="94" t="str">
        <x:v>UNASSIGNED</x:v>
      </x:c>
      <x:c r="G29" s="94" t="str">
        <x:v>PROHIBITED</x:v>
      </x:c>
      <x:c r="H29" s="94" t="str">
        <x:v>HOLD</x:v>
      </x:c>
      <x:c r="I29" s="74"/>
      <x:c r="J29" s="74"/>
      <x:c r="K29" s="74"/>
      <x:c r="L29" s="74"/>
      <x:c r="M29" s="74"/>
      <x:c r="N29" s="74"/>
    </x:row>
    <x:row r="30">
      <x:c r="A30" s="94" t="str">
        <x:v>D3-C8</x:v>
      </x:c>
      <x:c r="B30" s="104" t="n">
        <x:v>3</x:v>
      </x:c>
      <x:c r="C30" s="104" t="n">
        <x:v>8</x:v>
      </x:c>
      <x:c r="D30" s="104" t="n">
        <x:v>9</x:v>
      </x:c>
      <x:c r="E30" s="104" t="n">
        <x:v>18</x:v>
      </x:c>
      <x:c r="F30" s="94" t="str">
        <x:v>UNASSIGNED</x:v>
      </x:c>
      <x:c r="G30" s="94" t="str">
        <x:v>PROHIBITED</x:v>
      </x:c>
      <x:c r="H30" s="94" t="str">
        <x:v>HOLD</x:v>
      </x:c>
      <x:c r="I30" s="74"/>
      <x:c r="J30" s="74"/>
      <x:c r="K30" s="74"/>
      <x:c r="L30" s="74"/>
      <x:c r="M30" s="74"/>
      <x:c r="N30" s="74"/>
    </x:row>
    <x:row r="31">
      <x:c r="A31" s="94" t="str">
        <x:v>D4-C1</x:v>
      </x:c>
      <x:c r="B31" s="104" t="n">
        <x:v>4</x:v>
      </x:c>
      <x:c r="C31" s="104" t="n">
        <x:v>1</x:v>
      </x:c>
      <x:c r="D31" s="104" t="n">
        <x:v>9</x:v>
      </x:c>
      <x:c r="E31" s="104" t="n">
        <x:v>18</x:v>
      </x:c>
      <x:c r="F31" s="94" t="str">
        <x:v>UNASSIGNED</x:v>
      </x:c>
      <x:c r="G31" s="94" t="str">
        <x:v>PROHIBITED</x:v>
      </x:c>
      <x:c r="H31" s="94" t="str">
        <x:v>HOLD</x:v>
      </x:c>
      <x:c r="I31" s="74"/>
      <x:c r="J31" s="74"/>
      <x:c r="K31" s="74"/>
      <x:c r="L31" s="74"/>
      <x:c r="M31" s="74"/>
      <x:c r="N31" s="74"/>
    </x:row>
    <x:row r="32">
      <x:c r="A32" s="94" t="str">
        <x:v>D4-C2</x:v>
      </x:c>
      <x:c r="B32" s="104" t="n">
        <x:v>4</x:v>
      </x:c>
      <x:c r="C32" s="104" t="n">
        <x:v>2</x:v>
      </x:c>
      <x:c r="D32" s="104" t="n">
        <x:v>9</x:v>
      </x:c>
      <x:c r="E32" s="104" t="n">
        <x:v>18</x:v>
      </x:c>
      <x:c r="F32" s="94" t="str">
        <x:v>UNASSIGNED</x:v>
      </x:c>
      <x:c r="G32" s="94" t="str">
        <x:v>PROHIBITED</x:v>
      </x:c>
      <x:c r="H32" s="94" t="str">
        <x:v>HOLD</x:v>
      </x:c>
      <x:c r="I32" s="74"/>
      <x:c r="J32" s="74"/>
      <x:c r="K32" s="74"/>
      <x:c r="L32" s="74"/>
      <x:c r="M32" s="74"/>
      <x:c r="N32" s="74"/>
    </x:row>
    <x:row r="33">
      <x:c r="A33" s="94" t="str">
        <x:v>D4-C3</x:v>
      </x:c>
      <x:c r="B33" s="104" t="n">
        <x:v>4</x:v>
      </x:c>
      <x:c r="C33" s="104" t="n">
        <x:v>3</x:v>
      </x:c>
      <x:c r="D33" s="104" t="n">
        <x:v>9</x:v>
      </x:c>
      <x:c r="E33" s="104" t="n">
        <x:v>18</x:v>
      </x:c>
      <x:c r="F33" s="94" t="str">
        <x:v>UNASSIGNED</x:v>
      </x:c>
      <x:c r="G33" s="94" t="str">
        <x:v>PROHIBITED</x:v>
      </x:c>
      <x:c r="H33" s="94" t="str">
        <x:v>HOLD</x:v>
      </x:c>
      <x:c r="I33" s="74"/>
      <x:c r="J33" s="74"/>
      <x:c r="K33" s="74"/>
      <x:c r="L33" s="74"/>
      <x:c r="M33" s="74"/>
      <x:c r="N33" s="74"/>
    </x:row>
    <x:row r="34">
      <x:c r="A34" s="94" t="str">
        <x:v>D4-C4</x:v>
      </x:c>
      <x:c r="B34" s="104" t="n">
        <x:v>4</x:v>
      </x:c>
      <x:c r="C34" s="104" t="n">
        <x:v>4</x:v>
      </x:c>
      <x:c r="D34" s="104" t="n">
        <x:v>9</x:v>
      </x:c>
      <x:c r="E34" s="104" t="n">
        <x:v>18</x:v>
      </x:c>
      <x:c r="F34" s="94" t="str">
        <x:v>UNASSIGNED</x:v>
      </x:c>
      <x:c r="G34" s="94" t="str">
        <x:v>PROHIBITED</x:v>
      </x:c>
      <x:c r="H34" s="94" t="str">
        <x:v>HOLD</x:v>
      </x:c>
      <x:c r="I34" s="74"/>
      <x:c r="J34" s="74"/>
      <x:c r="K34" s="74"/>
      <x:c r="L34" s="74"/>
      <x:c r="M34" s="74"/>
      <x:c r="N34" s="74"/>
    </x:row>
    <x:row r="35">
      <x:c r="A35" s="94" t="str">
        <x:v>D4-C5</x:v>
      </x:c>
      <x:c r="B35" s="104" t="n">
        <x:v>4</x:v>
      </x:c>
      <x:c r="C35" s="104" t="n">
        <x:v>5</x:v>
      </x:c>
      <x:c r="D35" s="104" t="n">
        <x:v>9</x:v>
      </x:c>
      <x:c r="E35" s="104" t="n">
        <x:v>18</x:v>
      </x:c>
      <x:c r="F35" s="94" t="str">
        <x:v>UNASSIGNED</x:v>
      </x:c>
      <x:c r="G35" s="94" t="str">
        <x:v>PROHIBITED</x:v>
      </x:c>
      <x:c r="H35" s="94" t="str">
        <x:v>HOLD</x:v>
      </x:c>
      <x:c r="I35" s="74"/>
      <x:c r="J35" s="74"/>
      <x:c r="K35" s="74"/>
      <x:c r="L35" s="74"/>
      <x:c r="M35" s="74"/>
      <x:c r="N35" s="74"/>
    </x:row>
    <x:row r="36">
      <x:c r="A36" s="94" t="str">
        <x:v>D4-C6</x:v>
      </x:c>
      <x:c r="B36" s="104" t="n">
        <x:v>4</x:v>
      </x:c>
      <x:c r="C36" s="104" t="n">
        <x:v>6</x:v>
      </x:c>
      <x:c r="D36" s="104" t="n">
        <x:v>9</x:v>
      </x:c>
      <x:c r="E36" s="104" t="n">
        <x:v>18</x:v>
      </x:c>
      <x:c r="F36" s="94" t="str">
        <x:v>UNASSIGNED</x:v>
      </x:c>
      <x:c r="G36" s="94" t="str">
        <x:v>PROHIBITED</x:v>
      </x:c>
      <x:c r="H36" s="94" t="str">
        <x:v>HOLD</x:v>
      </x:c>
      <x:c r="I36" s="74"/>
      <x:c r="J36" s="74"/>
      <x:c r="K36" s="74"/>
      <x:c r="L36" s="74"/>
      <x:c r="M36" s="74"/>
      <x:c r="N36" s="74"/>
    </x:row>
    <x:row r="37">
      <x:c r="A37" s="94" t="str">
        <x:v>D4-C7</x:v>
      </x:c>
      <x:c r="B37" s="104" t="n">
        <x:v>4</x:v>
      </x:c>
      <x:c r="C37" s="104" t="n">
        <x:v>7</x:v>
      </x:c>
      <x:c r="D37" s="104" t="n">
        <x:v>9</x:v>
      </x:c>
      <x:c r="E37" s="104" t="n">
        <x:v>18</x:v>
      </x:c>
      <x:c r="F37" s="94" t="str">
        <x:v>UNASSIGNED</x:v>
      </x:c>
      <x:c r="G37" s="94" t="str">
        <x:v>PROHIBITED</x:v>
      </x:c>
      <x:c r="H37" s="94" t="str">
        <x:v>HOLD</x:v>
      </x:c>
      <x:c r="I37" s="74"/>
      <x:c r="J37" s="74"/>
      <x:c r="K37" s="74"/>
      <x:c r="L37" s="74"/>
      <x:c r="M37" s="74"/>
      <x:c r="N37" s="74"/>
    </x:row>
    <x:row r="38">
      <x:c r="A38" s="94" t="str">
        <x:v>D4-C8</x:v>
      </x:c>
      <x:c r="B38" s="104" t="n">
        <x:v>4</x:v>
      </x:c>
      <x:c r="C38" s="104" t="n">
        <x:v>8</x:v>
      </x:c>
      <x:c r="D38" s="104" t="n">
        <x:v>9</x:v>
      </x:c>
      <x:c r="E38" s="104" t="n">
        <x:v>18</x:v>
      </x:c>
      <x:c r="F38" s="94" t="str">
        <x:v>UNASSIGNED</x:v>
      </x:c>
      <x:c r="G38" s="94" t="str">
        <x:v>PROHIBITED</x:v>
      </x:c>
      <x:c r="H38" s="94" t="str">
        <x:v>HOLD</x:v>
      </x:c>
      <x:c r="I38" s="74"/>
      <x:c r="J38" s="74"/>
      <x:c r="K38" s="74"/>
      <x:c r="L38" s="74"/>
      <x:c r="M38" s="74"/>
      <x:c r="N38" s="74"/>
    </x:row>
    <x:row r="39">
      <x:c r="A39" s="94" t="str">
        <x:v>D5-C1</x:v>
      </x:c>
      <x:c r="B39" s="104" t="n">
        <x:v>5</x:v>
      </x:c>
      <x:c r="C39" s="104" t="n">
        <x:v>1</x:v>
      </x:c>
      <x:c r="D39" s="104" t="n">
        <x:v>9</x:v>
      </x:c>
      <x:c r="E39" s="104" t="n">
        <x:v>18</x:v>
      </x:c>
      <x:c r="F39" s="94" t="str">
        <x:v>UNASSIGNED</x:v>
      </x:c>
      <x:c r="G39" s="94" t="str">
        <x:v>PROHIBITED</x:v>
      </x:c>
      <x:c r="H39" s="94" t="str">
        <x:v>HOLD</x:v>
      </x:c>
      <x:c r="I39" s="74"/>
      <x:c r="J39" s="74"/>
      <x:c r="K39" s="74"/>
      <x:c r="L39" s="74"/>
      <x:c r="M39" s="74"/>
      <x:c r="N39" s="74"/>
    </x:row>
    <x:row r="40">
      <x:c r="A40" s="94" t="str">
        <x:v>D5-C2</x:v>
      </x:c>
      <x:c r="B40" s="104" t="n">
        <x:v>5</x:v>
      </x:c>
      <x:c r="C40" s="104" t="n">
        <x:v>2</x:v>
      </x:c>
      <x:c r="D40" s="104" t="n">
        <x:v>9</x:v>
      </x:c>
      <x:c r="E40" s="104" t="n">
        <x:v>18</x:v>
      </x:c>
      <x:c r="F40" s="94" t="str">
        <x:v>UNASSIGNED</x:v>
      </x:c>
      <x:c r="G40" s="94" t="str">
        <x:v>PROHIBITED</x:v>
      </x:c>
      <x:c r="H40" s="94" t="str">
        <x:v>HOLD</x:v>
      </x:c>
      <x:c r="I40" s="74"/>
      <x:c r="J40" s="74"/>
      <x:c r="K40" s="74"/>
      <x:c r="L40" s="74"/>
      <x:c r="M40" s="74"/>
      <x:c r="N40" s="74"/>
    </x:row>
    <x:row r="41">
      <x:c r="A41" s="94" t="str">
        <x:v>D5-C3</x:v>
      </x:c>
      <x:c r="B41" s="104" t="n">
        <x:v>5</x:v>
      </x:c>
      <x:c r="C41" s="104" t="n">
        <x:v>3</x:v>
      </x:c>
      <x:c r="D41" s="104" t="n">
        <x:v>9</x:v>
      </x:c>
      <x:c r="E41" s="104" t="n">
        <x:v>18</x:v>
      </x:c>
      <x:c r="F41" s="94" t="str">
        <x:v>UNASSIGNED</x:v>
      </x:c>
      <x:c r="G41" s="94" t="str">
        <x:v>PROHIBITED</x:v>
      </x:c>
      <x:c r="H41" s="94" t="str">
        <x:v>HOLD</x:v>
      </x:c>
      <x:c r="I41" s="74"/>
      <x:c r="J41" s="74"/>
      <x:c r="K41" s="74"/>
      <x:c r="L41" s="74"/>
      <x:c r="M41" s="74"/>
      <x:c r="N41" s="74"/>
    </x:row>
    <x:row r="42">
      <x:c r="A42" s="94" t="str">
        <x:v>D5-C4</x:v>
      </x:c>
      <x:c r="B42" s="104" t="n">
        <x:v>5</x:v>
      </x:c>
      <x:c r="C42" s="104" t="n">
        <x:v>4</x:v>
      </x:c>
      <x:c r="D42" s="104" t="n">
        <x:v>9</x:v>
      </x:c>
      <x:c r="E42" s="104" t="n">
        <x:v>18</x:v>
      </x:c>
      <x:c r="F42" s="94" t="str">
        <x:v>UNASSIGNED</x:v>
      </x:c>
      <x:c r="G42" s="94" t="str">
        <x:v>PROHIBITED</x:v>
      </x:c>
      <x:c r="H42" s="94" t="str">
        <x:v>HOLD</x:v>
      </x:c>
      <x:c r="I42" s="74"/>
      <x:c r="J42" s="74"/>
      <x:c r="K42" s="74"/>
      <x:c r="L42" s="74"/>
      <x:c r="M42" s="74"/>
      <x:c r="N42" s="74"/>
    </x:row>
    <x:row r="43">
      <x:c r="A43" s="94" t="str">
        <x:v>D5-C5</x:v>
      </x:c>
      <x:c r="B43" s="104" t="n">
        <x:v>5</x:v>
      </x:c>
      <x:c r="C43" s="104" t="n">
        <x:v>5</x:v>
      </x:c>
      <x:c r="D43" s="104" t="n">
        <x:v>9</x:v>
      </x:c>
      <x:c r="E43" s="104" t="n">
        <x:v>18</x:v>
      </x:c>
      <x:c r="F43" s="94" t="str">
        <x:v>UNASSIGNED</x:v>
      </x:c>
      <x:c r="G43" s="94" t="str">
        <x:v>PROHIBITED</x:v>
      </x:c>
      <x:c r="H43" s="94" t="str">
        <x:v>HOLD</x:v>
      </x:c>
      <x:c r="I43" s="74"/>
      <x:c r="J43" s="74"/>
      <x:c r="K43" s="74"/>
      <x:c r="L43" s="74"/>
      <x:c r="M43" s="74"/>
      <x:c r="N43" s="74"/>
    </x:row>
    <x:row r="44">
      <x:c r="A44" s="94" t="str">
        <x:v>D5-C6</x:v>
      </x:c>
      <x:c r="B44" s="104" t="n">
        <x:v>5</x:v>
      </x:c>
      <x:c r="C44" s="104" t="n">
        <x:v>6</x:v>
      </x:c>
      <x:c r="D44" s="104" t="n">
        <x:v>9</x:v>
      </x:c>
      <x:c r="E44" s="104" t="n">
        <x:v>18</x:v>
      </x:c>
      <x:c r="F44" s="94" t="str">
        <x:v>UNASSIGNED</x:v>
      </x:c>
      <x:c r="G44" s="94" t="str">
        <x:v>PROHIBITED</x:v>
      </x:c>
      <x:c r="H44" s="94" t="str">
        <x:v>HOLD</x:v>
      </x:c>
      <x:c r="I44" s="74"/>
      <x:c r="J44" s="74"/>
      <x:c r="K44" s="74"/>
      <x:c r="L44" s="74"/>
      <x:c r="M44" s="74"/>
      <x:c r="N44" s="74"/>
    </x:row>
    <x:row r="45">
      <x:c r="A45" s="94" t="str">
        <x:v>D5-C7</x:v>
      </x:c>
      <x:c r="B45" s="104" t="n">
        <x:v>5</x:v>
      </x:c>
      <x:c r="C45" s="104" t="n">
        <x:v>7</x:v>
      </x:c>
      <x:c r="D45" s="104" t="n">
        <x:v>9</x:v>
      </x:c>
      <x:c r="E45" s="104" t="n">
        <x:v>18</x:v>
      </x:c>
      <x:c r="F45" s="94" t="str">
        <x:v>UNASSIGNED</x:v>
      </x:c>
      <x:c r="G45" s="94" t="str">
        <x:v>PROHIBITED</x:v>
      </x:c>
      <x:c r="H45" s="94" t="str">
        <x:v>HOLD</x:v>
      </x:c>
      <x:c r="I45" s="74"/>
      <x:c r="J45" s="74"/>
      <x:c r="K45" s="74"/>
      <x:c r="L45" s="74"/>
      <x:c r="M45" s="74"/>
      <x:c r="N45" s="74"/>
    </x:row>
    <x:row r="46">
      <x:c r="A46" s="94" t="str">
        <x:v>D5-C8</x:v>
      </x:c>
      <x:c r="B46" s="104" t="n">
        <x:v>5</x:v>
      </x:c>
      <x:c r="C46" s="104" t="n">
        <x:v>8</x:v>
      </x:c>
      <x:c r="D46" s="104" t="n">
        <x:v>9</x:v>
      </x:c>
      <x:c r="E46" s="104" t="n">
        <x:v>18</x:v>
      </x:c>
      <x:c r="F46" s="94" t="str">
        <x:v>UNASSIGNED</x:v>
      </x:c>
      <x:c r="G46" s="94" t="str">
        <x:v>PROHIBITED</x:v>
      </x:c>
      <x:c r="H46" s="94" t="str">
        <x:v>HOLD</x:v>
      </x:c>
      <x:c r="I46" s="74"/>
      <x:c r="J46" s="74"/>
      <x:c r="K46" s="74"/>
      <x:c r="L46" s="74"/>
      <x:c r="M46" s="74"/>
      <x:c r="N46" s="74"/>
    </x:row>
    <x:row r="47">
      <x:c r="A47" s="94" t="str">
        <x:v>D6-C1</x:v>
      </x:c>
      <x:c r="B47" s="104" t="n">
        <x:v>6</x:v>
      </x:c>
      <x:c r="C47" s="104" t="n">
        <x:v>1</x:v>
      </x:c>
      <x:c r="D47" s="104" t="n">
        <x:v>9</x:v>
      </x:c>
      <x:c r="E47" s="104" t="n">
        <x:v>18</x:v>
      </x:c>
      <x:c r="F47" s="94" t="str">
        <x:v>UNASSIGNED</x:v>
      </x:c>
      <x:c r="G47" s="94" t="str">
        <x:v>PROHIBITED</x:v>
      </x:c>
      <x:c r="H47" s="94" t="str">
        <x:v>HOLD</x:v>
      </x:c>
      <x:c r="I47" s="74"/>
      <x:c r="J47" s="74"/>
      <x:c r="K47" s="74"/>
      <x:c r="L47" s="74"/>
      <x:c r="M47" s="74"/>
      <x:c r="N47" s="74"/>
    </x:row>
    <x:row r="48">
      <x:c r="A48" s="94" t="str">
        <x:v>D6-C2</x:v>
      </x:c>
      <x:c r="B48" s="104" t="n">
        <x:v>6</x:v>
      </x:c>
      <x:c r="C48" s="104" t="n">
        <x:v>2</x:v>
      </x:c>
      <x:c r="D48" s="104" t="n">
        <x:v>9</x:v>
      </x:c>
      <x:c r="E48" s="104" t="n">
        <x:v>18</x:v>
      </x:c>
      <x:c r="F48" s="94" t="str">
        <x:v>UNASSIGNED</x:v>
      </x:c>
      <x:c r="G48" s="94" t="str">
        <x:v>PROHIBITED</x:v>
      </x:c>
      <x:c r="H48" s="94" t="str">
        <x:v>HOLD</x:v>
      </x:c>
      <x:c r="I48" s="74"/>
      <x:c r="J48" s="74"/>
      <x:c r="K48" s="74"/>
      <x:c r="L48" s="74"/>
      <x:c r="M48" s="74"/>
      <x:c r="N48" s="74"/>
    </x:row>
    <x:row r="49">
      <x:c r="A49" s="94" t="str">
        <x:v>D6-C3</x:v>
      </x:c>
      <x:c r="B49" s="104" t="n">
        <x:v>6</x:v>
      </x:c>
      <x:c r="C49" s="104" t="n">
        <x:v>3</x:v>
      </x:c>
      <x:c r="D49" s="104" t="n">
        <x:v>9</x:v>
      </x:c>
      <x:c r="E49" s="104" t="n">
        <x:v>18</x:v>
      </x:c>
      <x:c r="F49" s="94" t="str">
        <x:v>UNASSIGNED</x:v>
      </x:c>
      <x:c r="G49" s="94" t="str">
        <x:v>PROHIBITED</x:v>
      </x:c>
      <x:c r="H49" s="94" t="str">
        <x:v>HOLD</x:v>
      </x:c>
      <x:c r="I49" s="74"/>
      <x:c r="J49" s="74"/>
      <x:c r="K49" s="74"/>
      <x:c r="L49" s="74"/>
      <x:c r="M49" s="74"/>
      <x:c r="N49" s="74"/>
    </x:row>
    <x:row r="50">
      <x:c r="A50" s="94" t="str">
        <x:v>D6-C4</x:v>
      </x:c>
      <x:c r="B50" s="104" t="n">
        <x:v>6</x:v>
      </x:c>
      <x:c r="C50" s="104" t="n">
        <x:v>4</x:v>
      </x:c>
      <x:c r="D50" s="104" t="n">
        <x:v>9</x:v>
      </x:c>
      <x:c r="E50" s="104" t="n">
        <x:v>18</x:v>
      </x:c>
      <x:c r="F50" s="94" t="str">
        <x:v>UNASSIGNED</x:v>
      </x:c>
      <x:c r="G50" s="94" t="str">
        <x:v>PROHIBITED</x:v>
      </x:c>
      <x:c r="H50" s="94" t="str">
        <x:v>HOLD</x:v>
      </x:c>
      <x:c r="I50" s="74"/>
      <x:c r="J50" s="74"/>
      <x:c r="K50" s="74"/>
      <x:c r="L50" s="74"/>
      <x:c r="M50" s="74"/>
      <x:c r="N50" s="74"/>
    </x:row>
    <x:row r="51">
      <x:c r="A51" s="94" t="str">
        <x:v>D6-C5</x:v>
      </x:c>
      <x:c r="B51" s="104" t="n">
        <x:v>6</x:v>
      </x:c>
      <x:c r="C51" s="104" t="n">
        <x:v>5</x:v>
      </x:c>
      <x:c r="D51" s="104" t="n">
        <x:v>9</x:v>
      </x:c>
      <x:c r="E51" s="104" t="n">
        <x:v>18</x:v>
      </x:c>
      <x:c r="F51" s="94" t="str">
        <x:v>UNASSIGNED</x:v>
      </x:c>
      <x:c r="G51" s="94" t="str">
        <x:v>PROHIBITED</x:v>
      </x:c>
      <x:c r="H51" s="94" t="str">
        <x:v>HOLD</x:v>
      </x:c>
      <x:c r="I51" s="74"/>
      <x:c r="J51" s="74"/>
      <x:c r="K51" s="74"/>
      <x:c r="L51" s="74"/>
      <x:c r="M51" s="74"/>
      <x:c r="N51" s="74"/>
    </x:row>
    <x:row r="52">
      <x:c r="A52" s="94" t="str">
        <x:v>D6-C6</x:v>
      </x:c>
      <x:c r="B52" s="104" t="n">
        <x:v>6</x:v>
      </x:c>
      <x:c r="C52" s="104" t="n">
        <x:v>6</x:v>
      </x:c>
      <x:c r="D52" s="104" t="n">
        <x:v>9</x:v>
      </x:c>
      <x:c r="E52" s="104" t="n">
        <x:v>18</x:v>
      </x:c>
      <x:c r="F52" s="94" t="str">
        <x:v>UNASSIGNED</x:v>
      </x:c>
      <x:c r="G52" s="94" t="str">
        <x:v>PROHIBITED</x:v>
      </x:c>
      <x:c r="H52" s="94" t="str">
        <x:v>HOLD</x:v>
      </x:c>
      <x:c r="I52" s="74"/>
      <x:c r="J52" s="74"/>
      <x:c r="K52" s="74"/>
      <x:c r="L52" s="74"/>
      <x:c r="M52" s="74"/>
      <x:c r="N52" s="74"/>
    </x:row>
    <x:row r="53">
      <x:c r="A53" s="94" t="str">
        <x:v>D6-C7</x:v>
      </x:c>
      <x:c r="B53" s="104" t="n">
        <x:v>6</x:v>
      </x:c>
      <x:c r="C53" s="104" t="n">
        <x:v>7</x:v>
      </x:c>
      <x:c r="D53" s="104" t="n">
        <x:v>9</x:v>
      </x:c>
      <x:c r="E53" s="104" t="n">
        <x:v>18</x:v>
      </x:c>
      <x:c r="F53" s="94" t="str">
        <x:v>UNASSIGNED</x:v>
      </x:c>
      <x:c r="G53" s="94" t="str">
        <x:v>PROHIBITED</x:v>
      </x:c>
      <x:c r="H53" s="94" t="str">
        <x:v>HOLD</x:v>
      </x:c>
      <x:c r="I53" s="74"/>
      <x:c r="J53" s="74"/>
      <x:c r="K53" s="74"/>
      <x:c r="L53" s="74"/>
      <x:c r="M53" s="74"/>
      <x:c r="N53" s="74"/>
    </x:row>
    <x:row r="54">
      <x:c r="A54" s="94" t="str">
        <x:v>D6-C8</x:v>
      </x:c>
      <x:c r="B54" s="104" t="n">
        <x:v>6</x:v>
      </x:c>
      <x:c r="C54" s="104" t="n">
        <x:v>8</x:v>
      </x:c>
      <x:c r="D54" s="104" t="n">
        <x:v>9</x:v>
      </x:c>
      <x:c r="E54" s="104" t="n">
        <x:v>18</x:v>
      </x:c>
      <x:c r="F54" s="94" t="str">
        <x:v>UNASSIGNED</x:v>
      </x:c>
      <x:c r="G54" s="94" t="str">
        <x:v>PROHIBITED</x:v>
      </x:c>
      <x:c r="H54" s="94" t="str">
        <x:v>HOLD</x:v>
      </x:c>
      <x:c r="I54" s="74"/>
      <x:c r="J54" s="74"/>
      <x:c r="K54" s="74"/>
      <x:c r="L54" s="74"/>
      <x:c r="M54" s="74"/>
      <x:c r="N54" s="74"/>
    </x:row>
    <x:row r="55">
      <x:c r="A55" s="94" t="str">
        <x:v>D7-C1</x:v>
      </x:c>
      <x:c r="B55" s="104" t="n">
        <x:v>7</x:v>
      </x:c>
      <x:c r="C55" s="104" t="n">
        <x:v>1</x:v>
      </x:c>
      <x:c r="D55" s="104" t="n">
        <x:v>9</x:v>
      </x:c>
      <x:c r="E55" s="104" t="n">
        <x:v>18</x:v>
      </x:c>
      <x:c r="F55" s="94" t="str">
        <x:v>UNASSIGNED</x:v>
      </x:c>
      <x:c r="G55" s="94" t="str">
        <x:v>PROHIBITED</x:v>
      </x:c>
      <x:c r="H55" s="94" t="str">
        <x:v>HOLD</x:v>
      </x:c>
      <x:c r="I55" s="74"/>
      <x:c r="J55" s="74"/>
      <x:c r="K55" s="74"/>
      <x:c r="L55" s="74"/>
      <x:c r="M55" s="74"/>
      <x:c r="N55" s="74"/>
    </x:row>
    <x:row r="56">
      <x:c r="A56" s="94" t="str">
        <x:v>D7-C2</x:v>
      </x:c>
      <x:c r="B56" s="104" t="n">
        <x:v>7</x:v>
      </x:c>
      <x:c r="C56" s="104" t="n">
        <x:v>2</x:v>
      </x:c>
      <x:c r="D56" s="104" t="n">
        <x:v>9</x:v>
      </x:c>
      <x:c r="E56" s="104" t="n">
        <x:v>18</x:v>
      </x:c>
      <x:c r="F56" s="94" t="str">
        <x:v>UNASSIGNED</x:v>
      </x:c>
      <x:c r="G56" s="94" t="str">
        <x:v>PROHIBITED</x:v>
      </x:c>
      <x:c r="H56" s="94" t="str">
        <x:v>HOLD</x:v>
      </x:c>
      <x:c r="I56" s="74"/>
      <x:c r="J56" s="74"/>
      <x:c r="K56" s="74"/>
      <x:c r="L56" s="74"/>
      <x:c r="M56" s="74"/>
      <x:c r="N56" s="74"/>
    </x:row>
    <x:row r="57">
      <x:c r="A57" s="94" t="str">
        <x:v>D7-C3</x:v>
      </x:c>
      <x:c r="B57" s="104" t="n">
        <x:v>7</x:v>
      </x:c>
      <x:c r="C57" s="104" t="n">
        <x:v>3</x:v>
      </x:c>
      <x:c r="D57" s="104" t="n">
        <x:v>9</x:v>
      </x:c>
      <x:c r="E57" s="104" t="n">
        <x:v>18</x:v>
      </x:c>
      <x:c r="F57" s="94" t="str">
        <x:v>UNASSIGNED</x:v>
      </x:c>
      <x:c r="G57" s="94" t="str">
        <x:v>PROHIBITED</x:v>
      </x:c>
      <x:c r="H57" s="94" t="str">
        <x:v>HOLD</x:v>
      </x:c>
      <x:c r="I57" s="74"/>
      <x:c r="J57" s="74"/>
      <x:c r="K57" s="74"/>
      <x:c r="L57" s="74"/>
      <x:c r="M57" s="74"/>
      <x:c r="N57" s="74"/>
    </x:row>
    <x:row r="58">
      <x:c r="A58" s="94" t="str">
        <x:v>D7-C4</x:v>
      </x:c>
      <x:c r="B58" s="104" t="n">
        <x:v>7</x:v>
      </x:c>
      <x:c r="C58" s="104" t="n">
        <x:v>4</x:v>
      </x:c>
      <x:c r="D58" s="104" t="n">
        <x:v>9</x:v>
      </x:c>
      <x:c r="E58" s="104" t="n">
        <x:v>18</x:v>
      </x:c>
      <x:c r="F58" s="94" t="str">
        <x:v>UNASSIGNED</x:v>
      </x:c>
      <x:c r="G58" s="94" t="str">
        <x:v>PROHIBITED</x:v>
      </x:c>
      <x:c r="H58" s="94" t="str">
        <x:v>HOLD</x:v>
      </x:c>
      <x:c r="I58" s="74"/>
      <x:c r="J58" s="74"/>
      <x:c r="K58" s="74"/>
      <x:c r="L58" s="74"/>
      <x:c r="M58" s="74"/>
      <x:c r="N58" s="74"/>
    </x:row>
    <x:row r="59">
      <x:c r="A59" s="94" t="str">
        <x:v>D7-C5</x:v>
      </x:c>
      <x:c r="B59" s="104" t="n">
        <x:v>7</x:v>
      </x:c>
      <x:c r="C59" s="104" t="n">
        <x:v>5</x:v>
      </x:c>
      <x:c r="D59" s="104" t="n">
        <x:v>9</x:v>
      </x:c>
      <x:c r="E59" s="104" t="n">
        <x:v>18</x:v>
      </x:c>
      <x:c r="F59" s="94" t="str">
        <x:v>UNASSIGNED</x:v>
      </x:c>
      <x:c r="G59" s="94" t="str">
        <x:v>PROHIBITED</x:v>
      </x:c>
      <x:c r="H59" s="94" t="str">
        <x:v>HOLD</x:v>
      </x:c>
      <x:c r="I59" s="74"/>
      <x:c r="J59" s="74"/>
      <x:c r="K59" s="74"/>
      <x:c r="L59" s="74"/>
      <x:c r="M59" s="74"/>
      <x:c r="N59" s="74"/>
    </x:row>
    <x:row r="60">
      <x:c r="A60" s="94" t="str">
        <x:v>D7-C6</x:v>
      </x:c>
      <x:c r="B60" s="104" t="n">
        <x:v>7</x:v>
      </x:c>
      <x:c r="C60" s="104" t="n">
        <x:v>6</x:v>
      </x:c>
      <x:c r="D60" s="104" t="n">
        <x:v>9</x:v>
      </x:c>
      <x:c r="E60" s="104" t="n">
        <x:v>18</x:v>
      </x:c>
      <x:c r="F60" s="94" t="str">
        <x:v>UNASSIGNED</x:v>
      </x:c>
      <x:c r="G60" s="94" t="str">
        <x:v>PROHIBITED</x:v>
      </x:c>
      <x:c r="H60" s="94" t="str">
        <x:v>HOLD</x:v>
      </x:c>
      <x:c r="I60" s="74"/>
      <x:c r="J60" s="74"/>
      <x:c r="K60" s="74"/>
      <x:c r="L60" s="74"/>
      <x:c r="M60" s="74"/>
      <x:c r="N60" s="74"/>
    </x:row>
    <x:row r="61">
      <x:c r="A61" s="94" t="str">
        <x:v>D7-C7</x:v>
      </x:c>
      <x:c r="B61" s="104" t="n">
        <x:v>7</x:v>
      </x:c>
      <x:c r="C61" s="104" t="n">
        <x:v>7</x:v>
      </x:c>
      <x:c r="D61" s="104" t="n">
        <x:v>9</x:v>
      </x:c>
      <x:c r="E61" s="104" t="n">
        <x:v>18</x:v>
      </x:c>
      <x:c r="F61" s="94" t="str">
        <x:v>UNASSIGNED</x:v>
      </x:c>
      <x:c r="G61" s="94" t="str">
        <x:v>PROHIBITED</x:v>
      </x:c>
      <x:c r="H61" s="94" t="str">
        <x:v>HOLD</x:v>
      </x:c>
      <x:c r="I61" s="74"/>
      <x:c r="J61" s="74"/>
      <x:c r="K61" s="74"/>
      <x:c r="L61" s="74"/>
      <x:c r="M61" s="74"/>
      <x:c r="N61" s="74"/>
    </x:row>
    <x:row r="62">
      <x:c r="A62" s="94" t="str">
        <x:v>D7-C8</x:v>
      </x:c>
      <x:c r="B62" s="104" t="n">
        <x:v>7</x:v>
      </x:c>
      <x:c r="C62" s="104" t="n">
        <x:v>8</x:v>
      </x:c>
      <x:c r="D62" s="104" t="n">
        <x:v>9</x:v>
      </x:c>
      <x:c r="E62" s="104" t="n">
        <x:v>18</x:v>
      </x:c>
      <x:c r="F62" s="94" t="str">
        <x:v>UNASSIGNED</x:v>
      </x:c>
      <x:c r="G62" s="94" t="str">
        <x:v>PROHIBITED</x:v>
      </x:c>
      <x:c r="H62" s="94" t="str">
        <x:v>HOLD</x:v>
      </x:c>
      <x:c r="I62" s="74"/>
      <x:c r="J62" s="74"/>
      <x:c r="K62" s="74"/>
      <x:c r="L62" s="74"/>
      <x:c r="M62" s="74"/>
      <x:c r="N62" s="74"/>
    </x:row>
  </x:sheetData>
  <x:conditionalFormatting sqref="H7:H62">
    <x:cfRule type="containsText" dxfId="8" priority="1" operator="containsText" text="FAIL"/>
    <x:cfRule type="containsText" dxfId="9" priority="2" operator="containsText" text="HOLD"/>
  </x:conditionalFormatting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0" hidden="0" customWidth="1"/>
    <x:col min="3" max="3" width="68" hidden="0" customWidth="1"/>
    <x:col min="4" max="4" width="19" hidden="0" customWidth="1"/>
    <x:col min="5" max="5" width="28" hidden="0" customWidth="1"/>
    <x:col min="6" max="6" width="15" hidden="0" customWidth="1"/>
  </x:cols>
  <x:sheetData>
    <x:row r="2">
      <x:c r="A2" s="73" t="str">
        <x:v>Formation mission-state nodes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Disconnected local operation without a central live broker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District</x:v>
      </x:c>
      <x:c r="B6" s="90" t="str">
        <x:v>Formation nodes</x:v>
      </x:c>
      <x:c r="C6" s="90" t="str">
        <x:v>Per-node minimum</x:v>
      </x:c>
      <x:c r="D6" s="90" t="str">
        <x:v>Identity state</x:v>
      </x:c>
      <x:c r="E6" s="90" t="str">
        <x:v>Connectivity loss state</x:v>
      </x:c>
      <x:c r="F6" s="91" t="str">
        <x:v>Release</x:v>
      </x:c>
      <x:c r="G6" s="74"/>
      <x:c r="H6" s="74"/>
      <x:c r="I6" s="74"/>
      <x:c r="J6" s="74"/>
      <x:c r="K6" s="74"/>
      <x:c r="L6" s="74"/>
      <x:c r="M6" s="74"/>
      <x:c r="N6" s="74"/>
    </x:row>
    <x:row r="7">
      <x:c r="A7" s="92" t="n">
        <x:v>1</x:v>
      </x:c>
      <x:c r="B7" s="103" t="n">
        <x:v>751</x:v>
      </x:c>
      <x:c r="C7" s="31" t="str">
        <x:v>Local K0 cache; current warrants; signed model; service-token resolver</x:v>
      </x:c>
      <x:c r="D7" s="31" t="str">
        <x:v>UNASSIGNED</x:v>
      </x:c>
      <x:c r="E7" s="31" t="str">
        <x:v>Offline operation required</x:v>
      </x:c>
      <x:c r="F7" s="31" t="str">
        <x:v>HOLD</x:v>
      </x:c>
      <x:c r="G7" s="74"/>
      <x:c r="H7" s="74"/>
      <x:c r="I7" s="74"/>
      <x:c r="J7" s="74"/>
      <x:c r="K7" s="74"/>
      <x:c r="L7" s="74"/>
      <x:c r="M7" s="74"/>
      <x:c r="N7" s="74"/>
    </x:row>
    <x:row r="8">
      <x:c r="A8" s="94" t="n">
        <x:v>2</x:v>
      </x:c>
      <x:c r="B8" s="104" t="n">
        <x:v>751</x:v>
      </x:c>
      <x:c r="C8" s="32" t="str">
        <x:v>Local K0 cache; current warrants; signed model; service-token resolver</x:v>
      </x:c>
      <x:c r="D8" s="32" t="str">
        <x:v>UNASSIGNED</x:v>
      </x:c>
      <x:c r="E8" s="32" t="str">
        <x:v>Offline operation required</x:v>
      </x:c>
      <x:c r="F8" s="32" t="str">
        <x:v>HOLD</x:v>
      </x:c>
      <x:c r="G8" s="74"/>
      <x:c r="H8" s="74"/>
      <x:c r="I8" s="74"/>
      <x:c r="J8" s="74"/>
      <x:c r="K8" s="74"/>
      <x:c r="L8" s="74"/>
      <x:c r="M8" s="74"/>
      <x:c r="N8" s="74"/>
    </x:row>
    <x:row r="9">
      <x:c r="A9" s="94" t="n">
        <x:v>3</x:v>
      </x:c>
      <x:c r="B9" s="104" t="n">
        <x:v>751</x:v>
      </x:c>
      <x:c r="C9" s="32" t="str">
        <x:v>Local K0 cache; current warrants; signed model; service-token resolver</x:v>
      </x:c>
      <x:c r="D9" s="32" t="str">
        <x:v>UNASSIGNED</x:v>
      </x:c>
      <x:c r="E9" s="32" t="str">
        <x:v>Offline operation required</x:v>
      </x:c>
      <x:c r="F9" s="32" t="str">
        <x:v>HOLD</x:v>
      </x:c>
      <x:c r="G9" s="74"/>
      <x:c r="H9" s="74"/>
      <x:c r="I9" s="74"/>
      <x:c r="J9" s="74"/>
      <x:c r="K9" s="74"/>
      <x:c r="L9" s="74"/>
      <x:c r="M9" s="74"/>
      <x:c r="N9" s="74"/>
    </x:row>
    <x:row r="10">
      <x:c r="A10" s="94" t="n">
        <x:v>4</x:v>
      </x:c>
      <x:c r="B10" s="104" t="n">
        <x:v>751</x:v>
      </x:c>
      <x:c r="C10" s="32" t="str">
        <x:v>Local K0 cache; current warrants; signed model; service-token resolver</x:v>
      </x:c>
      <x:c r="D10" s="32" t="str">
        <x:v>UNASSIGNED</x:v>
      </x:c>
      <x:c r="E10" s="32" t="str">
        <x:v>Offline operation required</x:v>
      </x:c>
      <x:c r="F10" s="32" t="str">
        <x:v>HOLD</x:v>
      </x:c>
      <x:c r="G10" s="74"/>
      <x:c r="H10" s="74"/>
      <x:c r="I10" s="74"/>
      <x:c r="J10" s="74"/>
      <x:c r="K10" s="74"/>
      <x:c r="L10" s="74"/>
      <x:c r="M10" s="74"/>
      <x:c r="N10" s="74"/>
    </x:row>
    <x:row r="11">
      <x:c r="A11" s="94" t="n">
        <x:v>5</x:v>
      </x:c>
      <x:c r="B11" s="104" t="n">
        <x:v>751</x:v>
      </x:c>
      <x:c r="C11" s="32" t="str">
        <x:v>Local K0 cache; current warrants; signed model; service-token resolver</x:v>
      </x:c>
      <x:c r="D11" s="32" t="str">
        <x:v>UNASSIGNED</x:v>
      </x:c>
      <x:c r="E11" s="32" t="str">
        <x:v>Offline operation required</x:v>
      </x:c>
      <x:c r="F11" s="32" t="str">
        <x:v>HOLD</x:v>
      </x:c>
      <x:c r="G11" s="74"/>
      <x:c r="H11" s="74"/>
      <x:c r="I11" s="74"/>
      <x:c r="J11" s="74"/>
      <x:c r="K11" s="74"/>
      <x:c r="L11" s="74"/>
      <x:c r="M11" s="74"/>
      <x:c r="N11" s="74"/>
    </x:row>
    <x:row r="12">
      <x:c r="A12" s="94" t="n">
        <x:v>6</x:v>
      </x:c>
      <x:c r="B12" s="104" t="n">
        <x:v>751</x:v>
      </x:c>
      <x:c r="C12" s="32" t="str">
        <x:v>Local K0 cache; current warrants; signed model; service-token resolver</x:v>
      </x:c>
      <x:c r="D12" s="32" t="str">
        <x:v>UNASSIGNED</x:v>
      </x:c>
      <x:c r="E12" s="32" t="str">
        <x:v>Offline operation required</x:v>
      </x:c>
      <x:c r="F12" s="32" t="str">
        <x:v>HOLD</x:v>
      </x:c>
      <x:c r="G12" s="74"/>
      <x:c r="H12" s="74"/>
      <x:c r="I12" s="74"/>
      <x:c r="J12" s="74"/>
      <x:c r="K12" s="74"/>
      <x:c r="L12" s="74"/>
      <x:c r="M12" s="74"/>
      <x:c r="N12" s="74"/>
    </x:row>
    <x:row r="13">
      <x:c r="A13" s="94" t="n">
        <x:v>7</x:v>
      </x:c>
      <x:c r="B13" s="104" t="n">
        <x:v>745</x:v>
      </x:c>
      <x:c r="C13" s="32" t="str">
        <x:v>Local K0 cache; current warrants; signed model; service-token resolver</x:v>
      </x:c>
      <x:c r="D13" s="32" t="str">
        <x:v>UNASSIGNED</x:v>
      </x:c>
      <x:c r="E13" s="32" t="str">
        <x:v>Offline operation required</x:v>
      </x:c>
      <x:c r="F13" s="32" t="str">
        <x:v>HOLD</x:v>
      </x:c>
      <x:c r="G13" s="74"/>
      <x:c r="H13" s="74"/>
      <x:c r="I13" s="74"/>
      <x:c r="J13" s="74"/>
      <x:c r="K13" s="74"/>
      <x:c r="L13" s="74"/>
      <x:c r="M13" s="74"/>
      <x:c r="N13" s="74"/>
    </x:row>
    <x:row r="14">
      <x:c r="A14" s="105" t="str">
        <x:v>Total</x:v>
      </x:c>
      <x:c r="B14" s="106" t="n">
        <x:f>SUM(B7:B13)</x:f>
        <x:v>5251</x:v>
      </x:c>
      <x:c r="C14" s="94" t="str"/>
      <x:c r="D14" s="94" t="str"/>
      <x:c r="E14" s="94" t="str"/>
      <x:c r="F14" s="94" t="str"/>
      <x:c r="G14" s="74"/>
      <x:c r="H14" s="74"/>
      <x:c r="I14" s="74"/>
      <x:c r="J14" s="74"/>
      <x:c r="K14" s="74"/>
      <x:c r="L14" s="74"/>
      <x:c r="M14" s="74"/>
      <x:c r="N14" s="74"/>
    </x:row>
  </x:sheetData>
  <x:conditionalFormatting sqref="F7:F13">
    <x:cfRule type="containsText" dxfId="10" priority="1" operator="containsText" text="FAIL"/>
    <x:cfRule type="containsText" dxfId="11" priority="2" operator="containsText" text="HOLD"/>
  </x:conditionalFormatting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16" hidden="0" customWidth="1"/>
    <x:col min="3" max="3" width="23" hidden="0" customWidth="1"/>
    <x:col min="4" max="4" width="18" hidden="0" customWidth="1"/>
    <x:col min="5" max="5" width="68" hidden="0" customWidth="1"/>
  </x:cols>
  <x:sheetData>
    <x:row r="2">
      <x:c r="A2" s="73" t="str">
        <x:v>Knowledge workforce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Base positions are cross-classified inside the 13.0M Civil Service Commonwealth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Workforce block</x:v>
      </x:c>
      <x:c r="B6" s="90" t="str">
        <x:v>Instances</x:v>
      </x:c>
      <x:c r="C6" s="90" t="str">
        <x:v>Positions / instance</x:v>
      </x:c>
      <x:c r="D6" s="90" t="str">
        <x:v>Positions</x:v>
      </x:c>
      <x:c r="E6" s="91" t="str">
        <x:v>Purpose</x:v>
      </x:c>
      <x:c r="F6" s="74"/>
      <x:c r="G6" s="74"/>
      <x:c r="H6" s="74"/>
      <x:c r="I6" s="74"/>
      <x:c r="J6" s="74"/>
      <x:c r="K6" s="74"/>
      <x:c r="L6" s="74"/>
      <x:c r="M6" s="74"/>
      <x:c r="N6" s="74"/>
    </x:row>
    <x:row r="7">
      <x:c r="A7" s="92" t="str">
        <x:v>Formation mission-state detachments</x:v>
      </x:c>
      <x:c r="B7" s="103" t="n">
        <x:v>5251</x:v>
      </x:c>
      <x:c r="C7" s="103" t="n">
        <x:v>24</x:v>
      </x:c>
      <x:c r="D7" s="103" t="n">
        <x:f>B7*C7</x:f>
        <x:v>126024</x:v>
      </x:c>
      <x:c r="E7" s="31" t="str">
        <x:v>Operate disconnected state, provenance and service-token resolution</x:v>
      </x:c>
      <x:c r="F7" s="74"/>
      <x:c r="G7" s="74"/>
      <x:c r="H7" s="74"/>
      <x:c r="I7" s="74"/>
      <x:c r="J7" s="74"/>
      <x:c r="K7" s="74"/>
      <x:c r="L7" s="74"/>
      <x:c r="M7" s="74"/>
      <x:c r="N7" s="74"/>
    </x:row>
    <x:row r="8">
      <x:c r="A8" s="94" t="str">
        <x:v>Receiver and sovereign-trust seams</x:v>
      </x:c>
      <x:c r="B8" s="104" t="n">
        <x:v>1008</x:v>
      </x:c>
      <x:c r="C8" s="104" t="n">
        <x:v>120</x:v>
      </x:c>
      <x:c r="D8" s="104" t="n">
        <x:f>B8*C8</x:f>
        <x:v>120960</x:v>
      </x:c>
      <x:c r="E8" s="32" t="str">
        <x:v>Custody, query, correction, accessible issue and local continuity</x:v>
      </x:c>
      <x:c r="F8" s="74"/>
      <x:c r="G8" s="74"/>
      <x:c r="H8" s="74"/>
      <x:c r="I8" s="74"/>
      <x:c r="J8" s="74"/>
      <x:c r="K8" s="74"/>
      <x:c r="L8" s="74"/>
      <x:c r="M8" s="74"/>
      <x:c r="N8" s="74"/>
    </x:row>
    <x:row r="9">
      <x:c r="A9" s="94" t="str">
        <x:v>Effect-forecast teams</x:v>
      </x:c>
      <x:c r="B9" s="104" t="n">
        <x:v>504</x:v>
      </x:c>
      <x:c r="C9" s="104" t="n">
        <x:v>240</x:v>
      </x:c>
      <x:c r="D9" s="104" t="n">
        <x:f>B9*C9</x:f>
        <x:v>120960</x:v>
      </x:c>
      <x:c r="E9" s="32" t="str">
        <x:v>Three-root forecast production, field validation and warning support</x:v>
      </x:c>
      <x:c r="F9" s="74"/>
      <x:c r="G9" s="74"/>
      <x:c r="H9" s="74"/>
      <x:c r="I9" s="74"/>
      <x:c r="J9" s="74"/>
      <x:c r="K9" s="74"/>
      <x:c r="L9" s="74"/>
      <x:c r="M9" s="74"/>
      <x:c r="N9" s="74"/>
    </x:row>
    <x:row r="10">
      <x:c r="A10" s="94" t="str">
        <x:v>Family-district knowledge integration</x:v>
      </x:c>
      <x:c r="B10" s="104" t="n">
        <x:v>336</x:v>
      </x:c>
      <x:c r="C10" s="104" t="n">
        <x:v>100</x:v>
      </x:c>
      <x:c r="D10" s="104" t="n">
        <x:f>B10*C10</x:f>
        <x:v>33600</x:v>
      </x:c>
      <x:c r="E10" s="32" t="str">
        <x:v>Service semantics, interfaces and field-method integration</x:v>
      </x:c>
      <x:c r="F10" s="74"/>
      <x:c r="G10" s="74"/>
      <x:c r="H10" s="74"/>
      <x:c r="I10" s="74"/>
      <x:c r="J10" s="74"/>
      <x:c r="K10" s="74"/>
      <x:c r="L10" s="74"/>
      <x:c r="M10" s="74"/>
      <x:c r="N10" s="74"/>
    </x:row>
    <x:row r="11">
      <x:c r="A11" s="94" t="str">
        <x:v>Root lineage and reproducibility</x:v>
      </x:c>
      <x:c r="B11" s="104" t="n">
        <x:v>24</x:v>
      </x:c>
      <x:c r="C11" s="104" t="n">
        <x:v>2000</x:v>
      </x:c>
      <x:c r="D11" s="104" t="n">
        <x:f>B11*C11</x:f>
        <x:v>48000</x:v>
      </x:c>
      <x:c r="E11" s="32" t="str">
        <x:v>Independent implementation, source ancestry and cold reproduction</x:v>
      </x:c>
      <x:c r="F11" s="74"/>
      <x:c r="G11" s="74"/>
      <x:c r="H11" s="74"/>
      <x:c r="I11" s="74"/>
      <x:c r="J11" s="74"/>
      <x:c r="K11" s="74"/>
      <x:c r="L11" s="74"/>
      <x:c r="M11" s="74"/>
      <x:c r="N11" s="74"/>
    </x:row>
    <x:row r="12">
      <x:c r="A12" s="94" t="str">
        <x:v>District observatories</x:v>
      </x:c>
      <x:c r="B12" s="104" t="n">
        <x:v>7</x:v>
      </x:c>
      <x:c r="C12" s="104" t="n">
        <x:v>10000</x:v>
      </x:c>
      <x:c r="D12" s="104" t="n">
        <x:f>B12*C12</x:f>
        <x:v>70000</x:v>
      </x:c>
      <x:c r="E12" s="32" t="str">
        <x:v>Multi-domain observation, survey, field maintenance and public access</x:v>
      </x:c>
      <x:c r="F12" s="74"/>
      <x:c r="G12" s="74"/>
      <x:c r="H12" s="74"/>
      <x:c r="I12" s="74"/>
      <x:c r="J12" s="74"/>
      <x:c r="K12" s="74"/>
      <x:c r="L12" s="74"/>
      <x:c r="M12" s="74"/>
      <x:c r="N12" s="74"/>
    </x:row>
    <x:row r="13">
      <x:c r="A13" s="94" t="str">
        <x:v>Common rights, proving and transport</x:v>
      </x:c>
      <x:c r="B13" s="104" t="n">
        <x:v>1</x:v>
      </x:c>
      <x:c r="C13" s="104" t="n">
        <x:v>80000</x:v>
      </x:c>
      <x:c r="D13" s="104" t="n">
        <x:f>B13*C13</x:f>
        <x:v>80000</x:v>
      </x:c>
      <x:c r="E13" s="32" t="str">
        <x:v>Rights adjudication, adversarial test, national transport and coordination</x:v>
      </x:c>
      <x:c r="F13" s="74"/>
      <x:c r="G13" s="74"/>
      <x:c r="H13" s="74"/>
      <x:c r="I13" s="74"/>
      <x:c r="J13" s="74"/>
      <x:c r="K13" s="74"/>
      <x:c r="L13" s="74"/>
      <x:c r="M13" s="74"/>
      <x:c r="N13" s="74"/>
    </x:row>
    <x:row r="14">
      <x:c r="A14" s="105" t="str">
        <x:v>Total</x:v>
      </x:c>
      <x:c r="B14" s="106" t="str"/>
      <x:c r="C14" s="106" t="str"/>
      <x:c r="D14" s="106" t="n">
        <x:f>SUM(D7:D13)</x:f>
        <x:v>599544</x:v>
      </x:c>
      <x:c r="E14" s="94" t="str"/>
      <x:c r="F14" s="74"/>
      <x:c r="G14" s="74"/>
      <x:c r="H14" s="74"/>
      <x:c r="I14" s="74"/>
      <x:c r="J14" s="74"/>
      <x:c r="K14" s="74"/>
      <x:c r="L14" s="74"/>
      <x:c r="M14" s="74"/>
      <x:c r="N14" s="74"/>
    </x:row>
    <x:row r="15">
      <x:c r="A15" s="105" t="str">
        <x:v>Share of Department</x:v>
      </x:c>
      <x:c r="B15" s="105" t="str"/>
      <x:c r="C15" s="105" t="str"/>
      <x:c r="D15" s="107" t="n">
        <x:f>D14/Controls!C7</x:f>
        <x:v>0.046118769230769234</x:v>
      </x:c>
      <x:c r="E15" s="94" t="str"/>
      <x:c r="F15" s="74"/>
      <x:c r="G15" s="74"/>
      <x:c r="H15" s="74"/>
      <x:c r="I15" s="74"/>
      <x:c r="J15" s="74"/>
      <x:c r="K15" s="74"/>
      <x:c r="L15" s="74"/>
      <x:c r="M15" s="74"/>
      <x:c r="N15" s="74"/>
    </x:row>
  </x:sheetData>
  <x:pageMargins left="0.7" right="0.7" top="0.75" bottom="0.75" header="0.3" footer="0.3"/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6" hidden="0" customWidth="1"/>
    <x:col min="3" max="3" width="20" hidden="0" customWidth="1"/>
    <x:col min="4" max="4" width="17" hidden="0" customWidth="1"/>
    <x:col min="5" max="5" width="73" hidden="0" customWidth="1"/>
  </x:cols>
  <x:sheetData>
    <x:row r="2">
      <x:c r="A2" s="73" t="str">
        <x:v>Technology jurisdiction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Transformational research allocation nested inside the Department technology account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Technology mission</x:v>
      </x:c>
      <x:c r="B6" s="90" t="str">
        <x:v>Base USD B</x:v>
      </x:c>
      <x:c r="C6" s="90" t="str">
        <x:v>Active multiplier</x:v>
      </x:c>
      <x:c r="D6" s="90" t="str">
        <x:v>Active USD B</x:v>
      </x:c>
      <x:c r="E6" s="91" t="str">
        <x:v>Release criterion</x:v>
      </x:c>
      <x:c r="F6" s="74"/>
      <x:c r="G6" s="74"/>
      <x:c r="H6" s="74"/>
      <x:c r="I6" s="74"/>
      <x:c r="J6" s="74"/>
      <x:c r="K6" s="74"/>
      <x:c r="L6" s="74"/>
      <x:c r="M6" s="74"/>
      <x:c r="N6" s="74"/>
    </x:row>
    <x:row r="7">
      <x:c r="A7" s="92" t="str">
        <x:v>Identity-avoiding sensing</x:v>
      </x:c>
      <x:c r="B7" s="108" t="n">
        <x:v>35</x:v>
      </x:c>
      <x:c r="C7" s="98" t="n">
        <x:f>CHOOSE(Controls!$C$23,Controls!$D$27,Controls!$D$28,Controls!$D$29)</x:f>
        <x:v>1</x:v>
      </x:c>
      <x:c r="D7" s="108" t="n">
        <x:f>B7*C7</x:f>
        <x:v>35</x:v>
      </x:c>
      <x:c r="E7" s="31" t="str">
        <x:v>Representative sensor cannot reconstruct a person beyond its charter</x:v>
      </x:c>
      <x:c r="F7" s="74"/>
      <x:c r="G7" s="74"/>
      <x:c r="H7" s="74"/>
      <x:c r="I7" s="74"/>
      <x:c r="J7" s="74"/>
      <x:c r="K7" s="74"/>
      <x:c r="L7" s="74"/>
      <x:c r="M7" s="74"/>
      <x:c r="N7" s="74"/>
    </x:row>
    <x:row r="8">
      <x:c r="A8" s="94" t="str">
        <x:v>Query-to-data computation</x:v>
      </x:c>
      <x:c r="B8" s="109" t="n">
        <x:v>25</x:v>
      </x:c>
      <x:c r="C8" s="100" t="n">
        <x:f>CHOOSE(Controls!$C$23,Controls!$D$27,Controls!$D$28,Controls!$D$29)</x:f>
        <x:v>1</x:v>
      </x:c>
      <x:c r="D8" s="109" t="n">
        <x:f>B8*C8</x:f>
        <x:v>25</x:v>
      </x:c>
      <x:c r="E8" s="32" t="str">
        <x:v>Independent execution proves raw K1 never exits custody</x:v>
      </x:c>
      <x:c r="F8" s="74"/>
      <x:c r="G8" s="74"/>
      <x:c r="H8" s="74"/>
      <x:c r="I8" s="74"/>
      <x:c r="J8" s="74"/>
      <x:c r="K8" s="74"/>
      <x:c r="L8" s="74"/>
      <x:c r="M8" s="74"/>
      <x:c r="N8" s="74"/>
    </x:row>
    <x:row r="9">
      <x:c r="A9" s="94" t="str">
        <x:v>Probabilistic civil-state compilation</x:v>
      </x:c>
      <x:c r="B9" s="109" t="n">
        <x:v>30</x:v>
      </x:c>
      <x:c r="C9" s="100" t="n">
        <x:f>CHOOSE(Controls!$C$23,Controls!$D$27,Controls!$D$28,Controls!$D$29)</x:f>
        <x:v>1</x:v>
      </x:c>
      <x:c r="D9" s="109" t="n">
        <x:f>B9*C9</x:f>
        <x:v>30</x:v>
      </x:c>
      <x:c r="E9" s="32" t="str">
        <x:v>Lawful support, uncertainty and missing state survive disconnected update</x:v>
      </x:c>
      <x:c r="F9" s="74"/>
      <x:c r="G9" s="74"/>
      <x:c r="H9" s="74"/>
      <x:c r="I9" s="74"/>
      <x:c r="J9" s="74"/>
      <x:c r="K9" s="74"/>
      <x:c r="L9" s="74"/>
      <x:c r="M9" s="74"/>
      <x:c r="N9" s="74"/>
    </x:row>
    <x:row r="10">
      <x:c r="A10" s="94" t="str">
        <x:v>Offline causal forecast</x:v>
      </x:c>
      <x:c r="B10" s="109" t="n">
        <x:v>25</x:v>
      </x:c>
      <x:c r="C10" s="100" t="n">
        <x:f>CHOOSE(Controls!$C$23,Controls!$D$27,Controls!$D$28,Controls!$D$29)</x:f>
        <x:v>1</x:v>
      </x:c>
      <x:c r="D10" s="109" t="n">
        <x:f>B10*C10</x:f>
        <x:v>25</x:v>
      </x:c>
      <x:c r="E10" s="32" t="str">
        <x:v>Three unlike roots retain calibrated disagreement after network loss</x:v>
      </x:c>
      <x:c r="F10" s="74"/>
      <x:c r="G10" s="74"/>
      <x:c r="H10" s="74"/>
      <x:c r="I10" s="74"/>
      <x:c r="J10" s="74"/>
      <x:c r="K10" s="74"/>
      <x:c r="L10" s="74"/>
      <x:c r="M10" s="74"/>
      <x:c r="N10" s="74"/>
    </x:row>
    <x:row r="11">
      <x:c r="A11" s="94" t="str">
        <x:v>Recipient-held tokens and beacons</x:v>
      </x:c>
      <x:c r="B11" s="109" t="n">
        <x:v>15</x:v>
      </x:c>
      <x:c r="C11" s="100" t="n">
        <x:f>CHOOSE(Controls!$C$23,Controls!$D$27,Controls!$D$28,Controls!$D$29)</x:f>
        <x:v>1</x:v>
      </x:c>
      <x:c r="D11" s="109" t="n">
        <x:f>B11*C11</x:f>
        <x:v>15</x:v>
      </x:c>
      <x:c r="E11" s="32" t="str">
        <x:v>Person can request/find service without permanent central identity</x:v>
      </x:c>
      <x:c r="F11" s="74"/>
      <x:c r="G11" s="74"/>
      <x:c r="H11" s="74"/>
      <x:c r="I11" s="74"/>
      <x:c r="J11" s="74"/>
      <x:c r="K11" s="74"/>
      <x:c r="L11" s="74"/>
      <x:c r="M11" s="74"/>
      <x:c r="N11" s="74"/>
    </x:row>
    <x:row r="12">
      <x:c r="A12" s="94" t="str">
        <x:v>Verifiable purpose expiry</x:v>
      </x:c>
      <x:c r="B12" s="109" t="n">
        <x:v>20</x:v>
      </x:c>
      <x:c r="C12" s="100" t="n">
        <x:f>CHOOSE(Controls!$C$23,Controls!$D$27,Controls!$D$28,Controls!$D$29)</x:f>
        <x:v>1</x:v>
      </x:c>
      <x:c r="D12" s="109" t="n">
        <x:f>B12*C12</x:f>
        <x:v>20</x:v>
      </x:c>
      <x:c r="E12" s="32" t="str">
        <x:v>Operative content is unrecoverable while a minimized receipt remains</x:v>
      </x:c>
      <x:c r="F12" s="74"/>
      <x:c r="G12" s="74"/>
      <x:c r="H12" s="74"/>
      <x:c r="I12" s="74"/>
      <x:c r="J12" s="74"/>
      <x:c r="K12" s="74"/>
      <x:c r="L12" s="74"/>
      <x:c r="M12" s="74"/>
      <x:c r="N12" s="74"/>
    </x:row>
    <x:row r="13">
      <x:c r="A13" s="94" t="str">
        <x:v>Adversarial knowledge range</x:v>
      </x:c>
      <x:c r="B13" s="109" t="n">
        <x:v>25</x:v>
      </x:c>
      <x:c r="C13" s="100" t="n">
        <x:f>CHOOSE(Controls!$C$23,Controls!$D$27,Controls!$D$28,Controls!$D$29)</x:f>
        <x:v>1</x:v>
      </x:c>
      <x:c r="D13" s="109" t="n">
        <x:f>B13*C13</x:f>
        <x:v>25</x:v>
      </x:c>
      <x:c r="E13" s="32" t="str">
        <x:v>Spoofing, missing communities, unlawful queries and model compromise are detected</x:v>
      </x:c>
      <x:c r="F13" s="74"/>
      <x:c r="G13" s="74"/>
      <x:c r="H13" s="74"/>
      <x:c r="I13" s="74"/>
      <x:c r="J13" s="74"/>
      <x:c r="K13" s="74"/>
      <x:c r="L13" s="74"/>
      <x:c r="M13" s="74"/>
      <x:c r="N13" s="74"/>
    </x:row>
    <x:row r="14">
      <x:c r="A14" s="105" t="str">
        <x:v>Portfolio total</x:v>
      </x:c>
      <x:c r="B14" s="110" t="n">
        <x:f>SUM(B7:B13)</x:f>
        <x:v>175</x:v>
      </x:c>
      <x:c r="C14" s="105" t="str"/>
      <x:c r="D14" s="110" t="n">
        <x:f>SUM(D7:D13)</x:f>
        <x:v>175</x:v>
      </x:c>
      <x:c r="E14" s="94" t="str"/>
      <x:c r="F14" s="74"/>
      <x:c r="G14" s="74"/>
      <x:c r="H14" s="74"/>
      <x:c r="I14" s="74"/>
      <x:c r="J14" s="74"/>
      <x:c r="K14" s="74"/>
      <x:c r="L14" s="74"/>
      <x:c r="M14" s="74"/>
      <x:c r="N14" s="74"/>
    </x:row>
    <x:row r="15">
      <x:c r="A15" s="105" t="str">
        <x:v>Share of Department technology</x:v>
      </x:c>
      <x:c r="B15" s="105"/>
      <x:c r="C15" s="105" t="str"/>
      <x:c r="D15" s="107" t="n">
        <x:f>D14/Controls!C9</x:f>
        <x:v>0.175</x:v>
      </x:c>
      <x:c r="E15" s="94" t="str"/>
      <x:c r="F15" s="74"/>
      <x:c r="G15" s="74"/>
      <x:c r="H15" s="74"/>
      <x:c r="I15" s="74"/>
      <x:c r="J15" s="74"/>
      <x:c r="K15" s="74"/>
      <x:c r="L15" s="74"/>
      <x:c r="M15" s="74"/>
      <x:c r="N15" s="74"/>
    </x:row>
  </x:sheetData>
  <x:pageMargins left="0.7" right="0.7" top="0.75" bottom="0.75" header="0.3" footer="0.3"/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16" hidden="0" customWidth="1"/>
    <x:col min="3" max="3" width="20" hidden="0" customWidth="1"/>
    <x:col min="4" max="4" width="17" hidden="0" customWidth="1"/>
    <x:col min="5" max="5" width="19" hidden="0" customWidth="1"/>
    <x:col min="6" max="6" width="18" hidden="0" customWidth="1"/>
  </x:cols>
  <x:sheetData>
    <x:row r="2">
      <x:c r="A2" s="73" t="str">
        <x:v>Capital jurisdiction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Reference estate; values are design allocations, not estimates or appropriations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Capital block</x:v>
      </x:c>
      <x:c r="B6" s="90" t="str">
        <x:v>Quantity</x:v>
      </x:c>
      <x:c r="C6" s="90" t="str">
        <x:v>Unit cost USD B</x:v>
      </x:c>
      <x:c r="D6" s="90" t="str">
        <x:v>Base USD B</x:v>
      </x:c>
      <x:c r="E6" s="90" t="str">
        <x:v>Active multiplier</x:v>
      </x:c>
      <x:c r="F6" s="91" t="str">
        <x:v>Active USD B</x:v>
      </x:c>
      <x:c r="G6" s="74"/>
      <x:c r="H6" s="74"/>
      <x:c r="I6" s="74"/>
      <x:c r="J6" s="74"/>
      <x:c r="K6" s="74"/>
      <x:c r="L6" s="74"/>
      <x:c r="M6" s="74"/>
      <x:c r="N6" s="74"/>
    </x:row>
    <x:row r="7">
      <x:c r="A7" s="92" t="str">
        <x:v>Multi-domain observatory hardware</x:v>
      </x:c>
      <x:c r="B7" s="103" t="n">
        <x:v>1</x:v>
      </x:c>
      <x:c r="C7" s="111" t="n">
        <x:v>170</x:v>
      </x:c>
      <x:c r="D7" s="111" t="n">
        <x:f>B7*C7</x:f>
        <x:v>170</x:v>
      </x:c>
      <x:c r="E7" s="98" t="n">
        <x:f>CHOOSE(Controls!$C$23,Controls!$E$27,Controls!$E$28,Controls!$E$29)</x:f>
        <x:v>1</x:v>
      </x:c>
      <x:c r="F7" s="108" t="n">
        <x:f>D7*E7</x:f>
        <x:v>170</x:v>
      </x:c>
      <x:c r="G7" s="74"/>
      <x:c r="H7" s="74"/>
      <x:c r="I7" s="74"/>
      <x:c r="J7" s="74"/>
      <x:c r="K7" s="74"/>
      <x:c r="L7" s="74"/>
      <x:c r="M7" s="74"/>
      <x:c r="N7" s="74"/>
    </x:row>
    <x:row r="8">
      <x:c r="A8" s="94" t="str">
        <x:v>Receiver query enclaves</x:v>
      </x:c>
      <x:c r="B8" s="104" t="n">
        <x:v>1008</x:v>
      </x:c>
      <x:c r="C8" s="112" t="n">
        <x:v>0.04</x:v>
      </x:c>
      <x:c r="D8" s="112" t="n">
        <x:f>B8*C8</x:f>
        <x:v>40.32</x:v>
      </x:c>
      <x:c r="E8" s="100" t="n">
        <x:f>CHOOSE(Controls!$C$23,Controls!$E$27,Controls!$E$28,Controls!$E$29)</x:f>
        <x:v>1</x:v>
      </x:c>
      <x:c r="F8" s="109" t="n">
        <x:f>D8*E8</x:f>
        <x:v>40.32</x:v>
      </x:c>
      <x:c r="G8" s="74"/>
      <x:c r="H8" s="74"/>
      <x:c r="I8" s="74"/>
      <x:c r="J8" s="74"/>
      <x:c r="K8" s="74"/>
      <x:c r="L8" s="74"/>
      <x:c r="M8" s="74"/>
      <x:c r="N8" s="74"/>
    </x:row>
    <x:row r="9">
      <x:c r="A9" s="94" t="str">
        <x:v>Formation edge nodes</x:v>
      </x:c>
      <x:c r="B9" s="104" t="n">
        <x:v>5251</x:v>
      </x:c>
      <x:c r="C9" s="112" t="n">
        <x:v>0.008</x:v>
      </x:c>
      <x:c r="D9" s="112" t="n">
        <x:f>B9*C9</x:f>
        <x:v>42.008</x:v>
      </x:c>
      <x:c r="E9" s="100" t="n">
        <x:f>CHOOSE(Controls!$C$23,Controls!$E$27,Controls!$E$28,Controls!$E$29)</x:f>
        <x:v>1</x:v>
      </x:c>
      <x:c r="F9" s="109" t="n">
        <x:f>D9*E9</x:f>
        <x:v>42.008</x:v>
      </x:c>
      <x:c r="G9" s="74"/>
      <x:c r="H9" s="74"/>
      <x:c r="I9" s="74"/>
      <x:c r="J9" s="74"/>
      <x:c r="K9" s="74"/>
      <x:c r="L9" s="74"/>
      <x:c r="M9" s="74"/>
      <x:c r="N9" s="74"/>
    </x:row>
    <x:row r="10">
      <x:c r="A10" s="94" t="str">
        <x:v>Effect forecast-cell infrastructure</x:v>
      </x:c>
      <x:c r="B10" s="104" t="n">
        <x:v>504</x:v>
      </x:c>
      <x:c r="C10" s="112" t="n">
        <x:v>0.2</x:v>
      </x:c>
      <x:c r="D10" s="112" t="n">
        <x:f>B10*C10</x:f>
        <x:v>100.80000000000001</x:v>
      </x:c>
      <x:c r="E10" s="100" t="n">
        <x:f>CHOOSE(Controls!$C$23,Controls!$E$27,Controls!$E$28,Controls!$E$29)</x:f>
        <x:v>1</x:v>
      </x:c>
      <x:c r="F10" s="109" t="n">
        <x:f>D10*E10</x:f>
        <x:v>100.80000000000001</x:v>
      </x:c>
      <x:c r="G10" s="74"/>
      <x:c r="H10" s="74"/>
      <x:c r="I10" s="74"/>
      <x:c r="J10" s="74"/>
      <x:c r="K10" s="74"/>
      <x:c r="L10" s="74"/>
      <x:c r="M10" s="74"/>
      <x:c r="N10" s="74"/>
    </x:row>
    <x:row r="11">
      <x:c r="A11" s="94" t="str">
        <x:v>Family-district integration ranges</x:v>
      </x:c>
      <x:c r="B11" s="104" t="n">
        <x:v>336</x:v>
      </x:c>
      <x:c r="C11" s="112" t="n">
        <x:v>0.1</x:v>
      </x:c>
      <x:c r="D11" s="112" t="n">
        <x:f>B11*C11</x:f>
        <x:v>33.6</x:v>
      </x:c>
      <x:c r="E11" s="100" t="n">
        <x:f>CHOOSE(Controls!$C$23,Controls!$E$27,Controls!$E$28,Controls!$E$29)</x:f>
        <x:v>1</x:v>
      </x:c>
      <x:c r="F11" s="109" t="n">
        <x:f>D11*E11</x:f>
        <x:v>33.6</x:v>
      </x:c>
      <x:c r="G11" s="74"/>
      <x:c r="H11" s="74"/>
      <x:c r="I11" s="74"/>
      <x:c r="J11" s="74"/>
      <x:c r="K11" s="74"/>
      <x:c r="L11" s="74"/>
      <x:c r="M11" s="74"/>
      <x:c r="N11" s="74"/>
    </x:row>
    <x:row r="12">
      <x:c r="A12" s="94" t="str">
        <x:v>National compute and resilient transport</x:v>
      </x:c>
      <x:c r="B12" s="104" t="n">
        <x:v>1</x:v>
      </x:c>
      <x:c r="C12" s="112" t="n">
        <x:v>90</x:v>
      </x:c>
      <x:c r="D12" s="112" t="n">
        <x:f>B12*C12</x:f>
        <x:v>90</x:v>
      </x:c>
      <x:c r="E12" s="100" t="n">
        <x:f>CHOOSE(Controls!$C$23,Controls!$E$27,Controls!$E$28,Controls!$E$29)</x:f>
        <x:v>1</x:v>
      </x:c>
      <x:c r="F12" s="109" t="n">
        <x:f>D12*E12</x:f>
        <x:v>90</x:v>
      </x:c>
      <x:c r="G12" s="74"/>
      <x:c r="H12" s="74"/>
      <x:c r="I12" s="74"/>
      <x:c r="J12" s="74"/>
      <x:c r="K12" s="74"/>
      <x:c r="L12" s="74"/>
      <x:c r="M12" s="74"/>
      <x:c r="N12" s="74"/>
    </x:row>
    <x:row r="13">
      <x:c r="A13" s="94" t="str">
        <x:v>Public model foundries</x:v>
      </x:c>
      <x:c r="B13" s="104" t="n">
        <x:v>1</x:v>
      </x:c>
      <x:c r="C13" s="112" t="n">
        <x:v>72</x:v>
      </x:c>
      <x:c r="D13" s="112" t="n">
        <x:f>B13*C13</x:f>
        <x:v>72</x:v>
      </x:c>
      <x:c r="E13" s="100" t="n">
        <x:f>CHOOSE(Controls!$C$23,Controls!$E$27,Controls!$E$28,Controls!$E$29)</x:f>
        <x:v>1</x:v>
      </x:c>
      <x:c r="F13" s="109" t="n">
        <x:f>D13*E13</x:f>
        <x:v>72</x:v>
      </x:c>
      <x:c r="G13" s="74"/>
      <x:c r="H13" s="74"/>
      <x:c r="I13" s="74"/>
      <x:c r="J13" s="74"/>
      <x:c r="K13" s="74"/>
      <x:c r="L13" s="74"/>
      <x:c r="M13" s="74"/>
      <x:c r="N13" s="74"/>
    </x:row>
    <x:row r="14">
      <x:c r="A14" s="94" t="str">
        <x:v>Privacy, security and identity technology</x:v>
      </x:c>
      <x:c r="B14" s="104" t="n">
        <x:v>1</x:v>
      </x:c>
      <x:c r="C14" s="112" t="n">
        <x:v>45</x:v>
      </x:c>
      <x:c r="D14" s="112" t="n">
        <x:f>B14*C14</x:f>
        <x:v>45</x:v>
      </x:c>
      <x:c r="E14" s="100" t="n">
        <x:f>CHOOSE(Controls!$C$23,Controls!$E$27,Controls!$E$28,Controls!$E$29)</x:f>
        <x:v>1</x:v>
      </x:c>
      <x:c r="F14" s="109" t="n">
        <x:f>D14*E14</x:f>
        <x:v>45</x:v>
      </x:c>
      <x:c r="G14" s="74"/>
      <x:c r="H14" s="74"/>
      <x:c r="I14" s="74"/>
      <x:c r="J14" s="74"/>
      <x:c r="K14" s="74"/>
      <x:c r="L14" s="74"/>
      <x:c r="M14" s="74"/>
      <x:c r="N14" s="74"/>
    </x:row>
    <x:row r="15">
      <x:c r="A15" s="94" t="str">
        <x:v>Independent proving and adversarial ranges</x:v>
      </x:c>
      <x:c r="B15" s="104" t="n">
        <x:v>1</x:v>
      </x:c>
      <x:c r="C15" s="112" t="n">
        <x:v>55</x:v>
      </x:c>
      <x:c r="D15" s="112" t="n">
        <x:f>B15*C15</x:f>
        <x:v>55</x:v>
      </x:c>
      <x:c r="E15" s="100" t="n">
        <x:f>CHOOSE(Controls!$C$23,Controls!$E$27,Controls!$E$28,Controls!$E$29)</x:f>
        <x:v>1</x:v>
      </x:c>
      <x:c r="F15" s="109" t="n">
        <x:f>D15*E15</x:f>
        <x:v>55</x:v>
      </x:c>
      <x:c r="G15" s="74"/>
      <x:c r="H15" s="74"/>
      <x:c r="I15" s="74"/>
      <x:c r="J15" s="74"/>
      <x:c r="K15" s="74"/>
      <x:c r="L15" s="74"/>
      <x:c r="M15" s="74"/>
      <x:c r="N15" s="74"/>
    </x:row>
    <x:row r="16">
      <x:c r="A16" s="94" t="str">
        <x:v>Portfolio reserve</x:v>
      </x:c>
      <x:c r="B16" s="104" t="n">
        <x:v>1</x:v>
      </x:c>
      <x:c r="C16" s="112" t="n">
        <x:v>31.272</x:v>
      </x:c>
      <x:c r="D16" s="112" t="n">
        <x:f>B16*C16</x:f>
        <x:v>31.272</x:v>
      </x:c>
      <x:c r="E16" s="100" t="n">
        <x:f>CHOOSE(Controls!$C$23,Controls!$E$27,Controls!$E$28,Controls!$E$29)</x:f>
        <x:v>1</x:v>
      </x:c>
      <x:c r="F16" s="109" t="n">
        <x:f>D16*E16</x:f>
        <x:v>31.272</x:v>
      </x:c>
      <x:c r="G16" s="74"/>
      <x:c r="H16" s="74"/>
      <x:c r="I16" s="74"/>
      <x:c r="J16" s="74"/>
      <x:c r="K16" s="74"/>
      <x:c r="L16" s="74"/>
      <x:c r="M16" s="74"/>
      <x:c r="N16" s="74"/>
    </x:row>
    <x:row r="17">
      <x:c r="A17" s="105" t="str">
        <x:v>Portfolio total</x:v>
      </x:c>
      <x:c r="B17" s="105" t="str"/>
      <x:c r="C17" s="113" t="str"/>
      <x:c r="D17" s="113" t="n">
        <x:f>SUM(D7:D16)</x:f>
        <x:v>680.0000000000001</x:v>
      </x:c>
      <x:c r="E17" s="105" t="str"/>
      <x:c r="F17" s="110" t="n">
        <x:f>SUM(F7:F16)</x:f>
        <x:v>680.0000000000001</x:v>
      </x:c>
      <x:c r="G17" s="74"/>
      <x:c r="H17" s="74"/>
      <x:c r="I17" s="74"/>
      <x:c r="J17" s="74"/>
      <x:c r="K17" s="74"/>
      <x:c r="L17" s="74"/>
      <x:c r="M17" s="74"/>
      <x:c r="N17" s="74"/>
    </x:row>
    <x:row r="18">
      <x:c r="A18" s="105" t="str">
        <x:v>Share of Department capital</x:v>
      </x:c>
      <x:c r="B18" s="105" t="str"/>
      <x:c r="C18" s="105" t="str"/>
      <x:c r="D18" s="105" t="str"/>
      <x:c r="E18" s="105" t="str"/>
      <x:c r="F18" s="107" t="n">
        <x:f>F17/Controls!C10</x:f>
        <x:v>0.03908045977011495</x:v>
      </x:c>
      <x:c r="G18" s="74"/>
      <x:c r="H18" s="74"/>
      <x:c r="I18" s="74"/>
      <x:c r="J18" s="74"/>
      <x:c r="K18" s="74"/>
      <x:c r="L18" s="74"/>
      <x:c r="M18" s="74"/>
      <x:c r="N18" s="74"/>
    </x:row>
  </x:sheetData>
  <x:pageMargins left="0.7" right="0.7" top="0.75" bottom="0.75" header="0.3" footer="0.3"/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3" hidden="0" customWidth="1"/>
    <x:col min="2" max="2" width="34" hidden="0" customWidth="1"/>
    <x:col min="3" max="3" width="20" hidden="0" customWidth="1"/>
    <x:col min="4" max="4" width="22" hidden="0" customWidth="1"/>
    <x:col min="5" max="5" width="67" hidden="0" customWidth="1"/>
  </x:cols>
  <x:sheetData>
    <x:row r="2">
      <x:c r="A2" s="73" t="str">
        <x:v>Mature operations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Annual operating jurisdiction; workforce and nonpeople inputs remain separable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Operating block</x:v>
      </x:c>
      <x:c r="B6" s="90" t="str">
        <x:v>Base driver</x:v>
      </x:c>
      <x:c r="C6" s="90" t="str">
        <x:v>Base USD B/year</x:v>
      </x:c>
      <x:c r="D6" s="90" t="str">
        <x:v>Active USD B/year</x:v>
      </x:c>
      <x:c r="E6" s="91" t="str">
        <x:v>Basis</x:v>
      </x:c>
      <x:c r="F6" s="74"/>
      <x:c r="G6" s="74"/>
      <x:c r="H6" s="74"/>
      <x:c r="I6" s="74"/>
      <x:c r="J6" s="74"/>
      <x:c r="K6" s="74"/>
      <x:c r="L6" s="74"/>
      <x:c r="M6" s="74"/>
      <x:c r="N6" s="74"/>
    </x:row>
    <x:row r="7">
      <x:c r="A7" s="92" t="str">
        <x:v>Knowledge workforce</x:v>
      </x:c>
      <x:c r="B7" s="92" t="str">
        <x:v>599,544 positions × loaded rate</x:v>
      </x:c>
      <x:c r="C7" s="108" t="n">
        <x:f>Workforce!D14*Controls!B28/1000000</x:f>
        <x:v>113.91336</x:v>
      </x:c>
      <x:c r="D7" s="108" t="n">
        <x:f>Workforce!D14*CHOOSE(Controls!$C$23,Controls!$B$27,Controls!$B$28,Controls!$B$29)/1000000</x:f>
        <x:v>113.91336</x:v>
      </x:c>
      <x:c r="E7" s="31" t="str">
        <x:v>Workforce schedule × selected loaded rate</x:v>
      </x:c>
      <x:c r="F7" s="74"/>
      <x:c r="G7" s="74"/>
      <x:c r="H7" s="74"/>
      <x:c r="I7" s="74"/>
      <x:c r="J7" s="74"/>
      <x:c r="K7" s="74"/>
      <x:c r="L7" s="74"/>
      <x:c r="M7" s="74"/>
      <x:c r="N7" s="74"/>
    </x:row>
    <x:row r="8">
      <x:c r="A8" s="94" t="str">
        <x:v>Multi-domain sensing and field operations</x:v>
      </x:c>
      <x:c r="B8" s="94" t="str">
        <x:v>Fixed design allocation</x:v>
      </x:c>
      <x:c r="C8" s="109" t="n">
        <x:v>38</x:v>
      </x:c>
      <x:c r="D8" s="109" t="n">
        <x:f>C8*CHOOSE(Controls!$C$23,Controls!$C$27,Controls!$C$28,Controls!$C$29)</x:f>
        <x:v>38</x:v>
      </x:c>
      <x:c r="E8" s="32" t="str">
        <x:v>Aircraft, space, marine, terrestrial and robotic observation</x:v>
      </x:c>
      <x:c r="F8" s="74"/>
      <x:c r="G8" s="74"/>
      <x:c r="H8" s="74"/>
      <x:c r="I8" s="74"/>
      <x:c r="J8" s="74"/>
      <x:c r="K8" s="74"/>
      <x:c r="L8" s="74"/>
      <x:c r="M8" s="74"/>
      <x:c r="N8" s="74"/>
    </x:row>
    <x:row r="9">
      <x:c r="A9" s="94" t="str">
        <x:v>Resilient compute and communications</x:v>
      </x:c>
      <x:c r="B9" s="94" t="str">
        <x:v>Fixed design allocation</x:v>
      </x:c>
      <x:c r="C9" s="109" t="n">
        <x:v>25</x:v>
      </x:c>
      <x:c r="D9" s="109" t="n">
        <x:f>C9*CHOOSE(Controls!$C$23,Controls!$C$27,Controls!$C$28,Controls!$C$29)</x:f>
        <x:v>25</x:v>
      </x:c>
      <x:c r="E9" s="32" t="str">
        <x:v>Disconnected compute, transport and key service</x:v>
      </x:c>
      <x:c r="F9" s="74"/>
      <x:c r="G9" s="74"/>
      <x:c r="H9" s="74"/>
      <x:c r="I9" s="74"/>
      <x:c r="J9" s="74"/>
      <x:c r="K9" s="74"/>
      <x:c r="L9" s="74"/>
      <x:c r="M9" s="74"/>
      <x:c r="N9" s="74"/>
    </x:row>
    <x:row r="10">
      <x:c r="A10" s="94" t="str">
        <x:v>Field hardware maintenance and refresh</x:v>
      </x:c>
      <x:c r="B10" s="94" t="str">
        <x:v>Fixed design allocation</x:v>
      </x:c>
      <x:c r="C10" s="109" t="n">
        <x:v>28</x:v>
      </x:c>
      <x:c r="D10" s="109" t="n">
        <x:f>C10*CHOOSE(Controls!$C$23,Controls!$C$27,Controls!$C$28,Controls!$C$29)</x:f>
        <x:v>28</x:v>
      </x:c>
      <x:c r="E10" s="32" t="str">
        <x:v>Calibration, repair, replacement and deployment</x:v>
      </x:c>
      <x:c r="F10" s="74"/>
      <x:c r="G10" s="74"/>
      <x:c r="H10" s="74"/>
      <x:c r="I10" s="74"/>
      <x:c r="J10" s="74"/>
      <x:c r="K10" s="74"/>
      <x:c r="L10" s="74"/>
      <x:c r="M10" s="74"/>
      <x:c r="N10" s="74"/>
    </x:row>
    <x:row r="11">
      <x:c r="A11" s="94" t="str">
        <x:v>Sovereign trust and receiver grants</x:v>
      </x:c>
      <x:c r="B11" s="94" t="str">
        <x:v>Fixed design allocation</x:v>
      </x:c>
      <x:c r="C11" s="109" t="n">
        <x:v>20</x:v>
      </x:c>
      <x:c r="D11" s="109" t="n">
        <x:f>C11*CHOOSE(Controls!$C$23,Controls!$C$27,Controls!$C$28,Controls!$C$29)</x:f>
        <x:v>20</x:v>
      </x:c>
      <x:c r="E11" s="32" t="str">
        <x:v>Direct tribal, territorial, state and local capacity</x:v>
      </x:c>
      <x:c r="F11" s="74"/>
      <x:c r="G11" s="74"/>
      <x:c r="H11" s="74"/>
      <x:c r="I11" s="74"/>
      <x:c r="J11" s="74"/>
      <x:c r="K11" s="74"/>
      <x:c r="L11" s="74"/>
      <x:c r="M11" s="74"/>
      <x:c r="N11" s="74"/>
    </x:row>
    <x:row r="12">
      <x:c r="A12" s="94" t="str">
        <x:v>Models, surveys and open publication</x:v>
      </x:c>
      <x:c r="B12" s="94" t="str">
        <x:v>Fixed design allocation</x:v>
      </x:c>
      <x:c r="C12" s="109" t="n">
        <x:v>16</x:v>
      </x:c>
      <x:c r="D12" s="109" t="n">
        <x:f>C12*CHOOSE(Controls!$C$23,Controls!$C$27,Controls!$C$28,Controls!$C$29)</x:f>
        <x:v>16</x:v>
      </x:c>
      <x:c r="E12" s="32" t="str">
        <x:v>Model roots, survey programs and public releases</x:v>
      </x:c>
      <x:c r="F12" s="74"/>
      <x:c r="G12" s="74"/>
      <x:c r="H12" s="74"/>
      <x:c r="I12" s="74"/>
      <x:c r="J12" s="74"/>
      <x:c r="K12" s="74"/>
      <x:c r="L12" s="74"/>
      <x:c r="M12" s="74"/>
      <x:c r="N12" s="74"/>
    </x:row>
    <x:row r="13">
      <x:c r="A13" s="94" t="str">
        <x:v>Privacy, cyber and independent proving</x:v>
      </x:c>
      <x:c r="B13" s="94" t="str">
        <x:v>Fixed design allocation</x:v>
      </x:c>
      <x:c r="C13" s="109" t="n">
        <x:v>18</x:v>
      </x:c>
      <x:c r="D13" s="109" t="n">
        <x:f>C13*CHOOSE(Controls!$C$23,Controls!$C$27,Controls!$C$28,Controls!$C$29)</x:f>
        <x:v>18</x:v>
      </x:c>
      <x:c r="E13" s="32" t="str">
        <x:v>Rights engineering, red teams and reproduction</x:v>
      </x:c>
      <x:c r="F13" s="74"/>
      <x:c r="G13" s="74"/>
      <x:c r="H13" s="74"/>
      <x:c r="I13" s="74"/>
      <x:c r="J13" s="74"/>
      <x:c r="K13" s="74"/>
      <x:c r="L13" s="74"/>
      <x:c r="M13" s="74"/>
      <x:c r="N13" s="74"/>
    </x:row>
    <x:row r="14">
      <x:c r="A14" s="94" t="str">
        <x:v>Training and professional currency</x:v>
      </x:c>
      <x:c r="B14" s="94" t="str">
        <x:v>Fixed design allocation</x:v>
      </x:c>
      <x:c r="C14" s="109" t="n">
        <x:v>10</x:v>
      </x:c>
      <x:c r="D14" s="109" t="n">
        <x:f>C14*CHOOSE(Controls!$C$23,Controls!$C$27,Controls!$C$28,Controls!$C$29)</x:f>
        <x:v>10</x:v>
      </x:c>
      <x:c r="E14" s="32" t="str">
        <x:v>Knowledge professions and receiver exercises</x:v>
      </x:c>
      <x:c r="F14" s="74"/>
      <x:c r="G14" s="74"/>
      <x:c r="H14" s="74"/>
      <x:c r="I14" s="74"/>
      <x:c r="J14" s="74"/>
      <x:c r="K14" s="74"/>
      <x:c r="L14" s="74"/>
      <x:c r="M14" s="74"/>
      <x:c r="N14" s="74"/>
    </x:row>
    <x:row r="15">
      <x:c r="A15" s="94" t="str">
        <x:v>Operating reserve</x:v>
      </x:c>
      <x:c r="B15" s="94" t="str">
        <x:v>Fixed design allocation</x:v>
      </x:c>
      <x:c r="C15" s="109" t="n">
        <x:v>11</x:v>
      </x:c>
      <x:c r="D15" s="109" t="n">
        <x:f>C15*CHOOSE(Controls!$C$23,Controls!$C$27,Controls!$C$28,Controls!$C$29)</x:f>
        <x:v>11</x:v>
      </x:c>
      <x:c r="E15" s="32" t="str">
        <x:v>Unallocated uncertainty, not automatic spending</x:v>
      </x:c>
      <x:c r="F15" s="74"/>
      <x:c r="G15" s="74"/>
      <x:c r="H15" s="74"/>
      <x:c r="I15" s="74"/>
      <x:c r="J15" s="74"/>
      <x:c r="K15" s="74"/>
      <x:c r="L15" s="74"/>
      <x:c r="M15" s="74"/>
      <x:c r="N15" s="74"/>
    </x:row>
    <x:row r="16">
      <x:c r="A16" s="105" t="str">
        <x:v>Nonpeople subtotal</x:v>
      </x:c>
      <x:c r="B16" s="105" t="str"/>
      <x:c r="C16" s="110" t="n">
        <x:f>SUM(C8:C15)</x:f>
        <x:v>166</x:v>
      </x:c>
      <x:c r="D16" s="110" t="n">
        <x:f>SUM(D8:D15)</x:f>
        <x:v>166</x:v>
      </x:c>
      <x:c r="E16" s="94" t="str"/>
      <x:c r="F16" s="74"/>
      <x:c r="G16" s="74"/>
      <x:c r="H16" s="74"/>
      <x:c r="I16" s="74"/>
      <x:c r="J16" s="74"/>
      <x:c r="K16" s="74"/>
      <x:c r="L16" s="74"/>
      <x:c r="M16" s="74"/>
      <x:c r="N16" s="74"/>
    </x:row>
    <x:row r="17">
      <x:c r="A17" s="105" t="str">
        <x:v>Mature total</x:v>
      </x:c>
      <x:c r="B17" s="105" t="str"/>
      <x:c r="C17" s="110" t="n">
        <x:f>SUM(C7,C16)</x:f>
        <x:v>279.91336</x:v>
      </x:c>
      <x:c r="D17" s="110" t="n">
        <x:f>SUM(D7,D16)</x:f>
        <x:v>279.91336</x:v>
      </x:c>
      <x:c r="E17" s="94" t="str"/>
      <x:c r="F17" s="74"/>
      <x:c r="G17" s="74"/>
      <x:c r="H17" s="74"/>
      <x:c r="I17" s="74"/>
      <x:c r="J17" s="74"/>
      <x:c r="K17" s="74"/>
      <x:c r="L17" s="74"/>
      <x:c r="M17" s="74"/>
      <x:c r="N17" s="74"/>
    </x:row>
    <x:row r="18">
      <x:c r="A18" s="105" t="str">
        <x:v>Share of Department mature operations</x:v>
      </x:c>
      <x:c r="B18" s="105" t="str"/>
      <x:c r="C18" s="105"/>
      <x:c r="D18" s="107" t="n">
        <x:f>D17/Controls!C8</x:f>
        <x:v>0.10643093536121673</x:v>
      </x:c>
      <x:c r="E18" s="94" t="str"/>
      <x:c r="F18" s="74"/>
      <x:c r="G18" s="74"/>
      <x:c r="H18" s="74"/>
      <x:c r="I18" s="74"/>
      <x:c r="J18" s="74"/>
      <x:c r="K18" s="74"/>
      <x:c r="L18" s="74"/>
      <x:c r="M18" s="74"/>
      <x:c r="N18" s="74"/>
    </x:row>
  </x:sheetData>
  <x:pageMargins left="0.7" right="0.7" top="0.75" bottom="0.75" header="0.3" footer="0.3"/>
</x:worksheet>
</file>

<file path=xl/worksheets/sheet19.xml><?xml version="1.0" encoding="utf-8"?>
<x:worksheet xmlns:x="http://schemas.openxmlformats.org/spreadsheetml/2006/main">
  <x:sheetViews>
    <x:sheetView showGridLines="0" workbookViewId="0">
      <x:pane xSplit="1" ySplit="6" topLeftCell="B7" activePane="bottomRight" state="frozen"/>
    </x:sheetView>
  </x:sheetViews>
  <x:sheetFormatPr defaultRowHeight="15"/>
  <x:cols>
    <x:col min="1" max="1" width="19" hidden="0" customWidth="1"/>
    <x:col min="2" max="2" width="20" hidden="0" customWidth="1"/>
    <x:col min="3" max="3" width="20" hidden="0" customWidth="1"/>
    <x:col min="4" max="4" width="17" hidden="0" customWidth="1"/>
    <x:col min="5" max="5" width="20" hidden="0" customWidth="1"/>
    <x:col min="6" max="6" width="18" hidden="0" customWidth="1"/>
    <x:col min="7" max="7" width="20" hidden="0" customWidth="1"/>
    <x:col min="8" max="8" width="18" hidden="0" customWidth="1"/>
    <x:col min="10" max="10" width="16" hidden="0" customWidth="1"/>
    <x:col min="11" max="11" width="18" hidden="0" customWidth="1"/>
    <x:col min="12" max="12" width="19" hidden="0" customWidth="1"/>
    <x:col min="13" max="13" width="16" hidden="0" customWidth="1"/>
    <x:col min="14" max="14" width="21" hidden="0" customWidth="1"/>
  </x:cols>
  <x:sheetData>
    <x:row r="2">
      <x:c r="A2" s="73" t="str">
        <x:v>Twenty-five-year economy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Selected-case schedule in constant 2026 dollars; technology and capital are not repeated after their spend profiles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Year</x:v>
      </x:c>
      <x:c r="B6" s="90" t="str">
        <x:v>Operations ramp</x:v>
      </x:c>
      <x:c r="C6" s="90" t="str">
        <x:v>Technology share</x:v>
      </x:c>
      <x:c r="D6" s="90" t="str">
        <x:v>Capital share</x:v>
      </x:c>
      <x:c r="E6" s="90" t="str">
        <x:v>Technology USD B</x:v>
      </x:c>
      <x:c r="F6" s="90" t="str">
        <x:v>Capital USD B</x:v>
      </x:c>
      <x:c r="G6" s="90" t="str">
        <x:v>Operations USD B</x:v>
      </x:c>
      <x:c r="H6" s="91" t="str">
        <x:v>Total USD B</x:v>
      </x:c>
      <x:c r="I6" s="74"/>
      <x:c r="J6" s="77" t="str">
        <x:v>Case</x:v>
      </x:c>
      <x:c r="K6" s="77" t="str">
        <x:v>Rate USD k</x:v>
      </x:c>
      <x:c r="L6" s="77" t="str">
        <x:v>Nonpeople x</x:v>
      </x:c>
      <x:c r="M6" s="77" t="str">
        <x:v>Capital x</x:v>
      </x:c>
      <x:c r="N6" s="77" t="str">
        <x:v>25-year USD T</x:v>
      </x:c>
    </x:row>
    <x:row r="7">
      <x:c r="A7" s="74" t="n">
        <x:f>Controls!A33</x:f>
        <x:v>1</x:v>
      </x:c>
      <x:c r="B7" s="101" t="n">
        <x:f>Controls!B33</x:f>
        <x:v>0.1</x:v>
      </x:c>
      <x:c r="C7" s="102" t="n">
        <x:f>Controls!C33</x:f>
        <x:v>0.05</x:v>
      </x:c>
      <x:c r="D7" s="102" t="n">
        <x:f>Controls!D33</x:f>
        <x:v>0.02</x:v>
      </x:c>
      <x:c r="E7" s="121" t="n">
        <x:f>Technology!$D$14*C7</x:f>
        <x:v>8.75</x:v>
      </x:c>
      <x:c r="F7" s="121" t="n">
        <x:f>Capital!$F$17*D7</x:f>
        <x:v>13.600000000000003</x:v>
      </x:c>
      <x:c r="G7" s="121" t="n">
        <x:f>'Mature Operations'!$D$17*B7</x:f>
        <x:v>27.991336000000004</x:v>
      </x:c>
      <x:c r="H7" s="121" t="n">
        <x:f>SUM(E7:G7)</x:f>
        <x:v>50.341336000000005</x:v>
      </x:c>
      <x:c r="I7" s="74"/>
      <x:c r="J7" s="74" t="str">
        <x:v>Low</x:v>
      </x:c>
      <x:c r="K7" s="122" t="n">
        <x:v>160</x:v>
      </x:c>
      <x:c r="L7" s="101" t="n">
        <x:v>0.85</x:v>
      </x:c>
      <x:c r="M7" s="101" t="n">
        <x:v>0.8</x:v>
      </x:c>
      <x:c r="N7" s="82" t="n">
        <x:f>(Technology!B14*Controls!D27+Capital!D17*Controls!E27+(Workforce!D14*Controls!B27/1000000+SUM('Mature Operations'!C8:C15)*Controls!C27)*Controls!C12)/1000</x:f>
        <x:v>5.199365112000001</x:v>
      </x:c>
    </x:row>
    <x:row r="8">
      <x:c r="A8" s="74" t="n">
        <x:f>Controls!A34</x:f>
        <x:v>2</x:v>
      </x:c>
      <x:c r="B8" s="101" t="n">
        <x:f>Controls!B34</x:f>
        <x:v>0.15</x:v>
      </x:c>
      <x:c r="C8" s="102" t="n">
        <x:f>Controls!C34</x:f>
        <x:v>0.08</x:v>
      </x:c>
      <x:c r="D8" s="102" t="n">
        <x:f>Controls!D34</x:f>
        <x:v>0.03</x:v>
      </x:c>
      <x:c r="E8" s="121" t="n">
        <x:f>Technology!$D$14*C8</x:f>
        <x:v>14</x:v>
      </x:c>
      <x:c r="F8" s="121" t="n">
        <x:f>Capital!$F$17*D8</x:f>
        <x:v>20.400000000000002</x:v>
      </x:c>
      <x:c r="G8" s="121" t="n">
        <x:f>'Mature Operations'!$D$17*B8</x:f>
        <x:v>41.987004</x:v>
      </x:c>
      <x:c r="H8" s="121" t="n">
        <x:f>SUM(E8:G8)</x:f>
        <x:v>76.387004</x:v>
      </x:c>
      <x:c r="I8" s="74"/>
      <x:c r="J8" s="74" t="str">
        <x:v>Base</x:v>
      </x:c>
      <x:c r="K8" s="122" t="n">
        <x:v>190</x:v>
      </x:c>
      <x:c r="L8" s="101" t="n">
        <x:v>1</x:v>
      </x:c>
      <x:c r="M8" s="101" t="n">
        <x:v>1</x:v>
      </x:c>
      <x:c r="N8" s="82" t="n">
        <x:f>(Technology!B14*Controls!D28+Capital!D17*Controls!E28+(Workforce!D14*Controls!B28/1000000+SUM('Mature Operations'!C8:C15)*Controls!C28)*Controls!C12)/1000</x:f>
        <x:v>6.1873495080000005</x:v>
      </x:c>
    </x:row>
    <x:row r="9">
      <x:c r="A9" s="74" t="n">
        <x:f>Controls!A35</x:f>
        <x:v>3</x:v>
      </x:c>
      <x:c r="B9" s="101" t="n">
        <x:f>Controls!B35</x:f>
        <x:v>0.2</x:v>
      </x:c>
      <x:c r="C9" s="102" t="n">
        <x:f>Controls!C35</x:f>
        <x:v>0.12</x:v>
      </x:c>
      <x:c r="D9" s="102" t="n">
        <x:f>Controls!D35</x:f>
        <x:v>0.05</x:v>
      </x:c>
      <x:c r="E9" s="121" t="n">
        <x:f>Technology!$D$14*C9</x:f>
        <x:v>21</x:v>
      </x:c>
      <x:c r="F9" s="121" t="n">
        <x:f>Capital!$F$17*D9</x:f>
        <x:v>34.00000000000001</x:v>
      </x:c>
      <x:c r="G9" s="121" t="n">
        <x:f>'Mature Operations'!$D$17*B9</x:f>
        <x:v>55.98267200000001</x:v>
      </x:c>
      <x:c r="H9" s="121" t="n">
        <x:f>SUM(E9:G9)</x:f>
        <x:v>110.98267200000001</x:v>
      </x:c>
      <x:c r="I9" s="74"/>
      <x:c r="J9" s="74" t="str">
        <x:v>High</x:v>
      </x:c>
      <x:c r="K9" s="122" t="n">
        <x:v>230</x:v>
      </x:c>
      <x:c r="L9" s="101" t="n">
        <x:v>1.25</x:v>
      </x:c>
      <x:c r="M9" s="101" t="n">
        <x:v>1.3</x:v>
      </x:c>
      <x:c r="N9" s="82" t="n">
        <x:f>(Technology!B14*Controls!D29+Capital!D17*Controls!E29+(Workforce!D14*Controls!B29/1000000+SUM('Mature Operations'!C8:C15)*Controls!C29)*Controls!C12)/1000</x:f>
        <x:v>7.691277036000001</x:v>
      </x:c>
    </x:row>
    <x:row r="10">
      <x:c r="A10" s="74" t="n">
        <x:f>Controls!A36</x:f>
        <x:v>4</x:v>
      </x:c>
      <x:c r="B10" s="101" t="n">
        <x:f>Controls!B36</x:f>
        <x:v>0.25</x:v>
      </x:c>
      <x:c r="C10" s="102" t="n">
        <x:f>Controls!C36</x:f>
        <x:v>0.15</x:v>
      </x:c>
      <x:c r="D10" s="102" t="n">
        <x:f>Controls!D36</x:f>
        <x:v>0.07</x:v>
      </x:c>
      <x:c r="E10" s="121" t="n">
        <x:f>Technology!$D$14*C10</x:f>
        <x:v>26.25</x:v>
      </x:c>
      <x:c r="F10" s="121" t="n">
        <x:f>Capital!$F$17*D10</x:f>
        <x:v>47.600000000000016</x:v>
      </x:c>
      <x:c r="G10" s="121" t="n">
        <x:f>'Mature Operations'!$D$17*B10</x:f>
        <x:v>69.97834</x:v>
      </x:c>
      <x:c r="H10" s="121" t="n">
        <x:f>SUM(E10:G10)</x:f>
        <x:v>143.82834000000003</x:v>
      </x:c>
      <x:c r="I10" s="74"/>
      <x:c r="J10" s="74" t="str">
        <x:v>Department</x:v>
      </x:c>
      <x:c r="K10" s="74" t="str"/>
      <x:c r="L10" s="74" t="str"/>
      <x:c r="M10" s="74" t="str"/>
      <x:c r="N10" s="82" t="n">
        <x:v>68.4</x:v>
      </x:c>
    </x:row>
    <x:row r="11">
      <x:c r="A11" s="74" t="n">
        <x:f>Controls!A37</x:f>
        <x:v>5</x:v>
      </x:c>
      <x:c r="B11" s="101" t="n">
        <x:f>Controls!B37</x:f>
        <x:v>0.3</x:v>
      </x:c>
      <x:c r="C11" s="102" t="n">
        <x:f>Controls!C37</x:f>
        <x:v>0.16</x:v>
      </x:c>
      <x:c r="D11" s="102" t="n">
        <x:f>Controls!D37</x:f>
        <x:v>0.09</x:v>
      </x:c>
      <x:c r="E11" s="121" t="n">
        <x:f>Technology!$D$14*C11</x:f>
        <x:v>28</x:v>
      </x:c>
      <x:c r="F11" s="121" t="n">
        <x:f>Capital!$F$17*D11</x:f>
        <x:v>61.20000000000001</x:v>
      </x:c>
      <x:c r="G11" s="121" t="n">
        <x:f>'Mature Operations'!$D$17*B11</x:f>
        <x:v>83.974008</x:v>
      </x:c>
      <x:c r="H11" s="121" t="n">
        <x:f>SUM(E11:G11)</x:f>
        <x:v>173.17400800000001</x:v>
      </x:c>
      <x:c r="I11" s="74"/>
      <x:c r="J11" s="74"/>
      <x:c r="K11" s="74"/>
      <x:c r="L11" s="74"/>
      <x:c r="M11" s="74"/>
      <x:c r="N11" s="74"/>
    </x:row>
    <x:row r="12">
      <x:c r="A12" s="74" t="n">
        <x:f>Controls!A38</x:f>
        <x:v>6</x:v>
      </x:c>
      <x:c r="B12" s="101" t="n">
        <x:f>Controls!B38</x:f>
        <x:v>0.35</x:v>
      </x:c>
      <x:c r="C12" s="102" t="n">
        <x:f>Controls!C38</x:f>
        <x:v>0.14</x:v>
      </x:c>
      <x:c r="D12" s="102" t="n">
        <x:f>Controls!D38</x:f>
        <x:v>0.1</x:v>
      </x:c>
      <x:c r="E12" s="121" t="n">
        <x:f>Technology!$D$14*C12</x:f>
        <x:v>24.500000000000004</x:v>
      </x:c>
      <x:c r="F12" s="121" t="n">
        <x:f>Capital!$F$17*D12</x:f>
        <x:v>68.00000000000001</x:v>
      </x:c>
      <x:c r="G12" s="121" t="n">
        <x:f>'Mature Operations'!$D$17*B12</x:f>
        <x:v>97.96967599999999</x:v>
      </x:c>
      <x:c r="H12" s="121" t="n">
        <x:f>SUM(E12:G12)</x:f>
        <x:v>190.469676</x:v>
      </x:c>
      <x:c r="I12" s="74"/>
      <x:c r="J12" s="74"/>
      <x:c r="K12" s="74"/>
      <x:c r="L12" s="74"/>
      <x:c r="M12" s="74"/>
      <x:c r="N12" s="74"/>
    </x:row>
    <x:row r="13">
      <x:c r="A13" s="74" t="n">
        <x:f>Controls!A39</x:f>
        <x:v>7</x:v>
      </x:c>
      <x:c r="B13" s="101" t="n">
        <x:f>Controls!B39</x:f>
        <x:v>0.45</x:v>
      </x:c>
      <x:c r="C13" s="102" t="n">
        <x:f>Controls!C39</x:f>
        <x:v>0.1</x:v>
      </x:c>
      <x:c r="D13" s="102" t="n">
        <x:f>Controls!D39</x:f>
        <x:v>0.11</x:v>
      </x:c>
      <x:c r="E13" s="121" t="n">
        <x:f>Technology!$D$14*C13</x:f>
        <x:v>17.5</x:v>
      </x:c>
      <x:c r="F13" s="121" t="n">
        <x:f>Capital!$F$17*D13</x:f>
        <x:v>74.80000000000001</x:v>
      </x:c>
      <x:c r="G13" s="121" t="n">
        <x:f>'Mature Operations'!$D$17*B13</x:f>
        <x:v>125.96101200000001</x:v>
      </x:c>
      <x:c r="H13" s="121" t="n">
        <x:f>SUM(E13:G13)</x:f>
        <x:v>218.26101200000002</x:v>
      </x:c>
      <x:c r="I13" s="74"/>
      <x:c r="J13" s="74"/>
      <x:c r="K13" s="74"/>
      <x:c r="L13" s="74"/>
      <x:c r="M13" s="74"/>
      <x:c r="N13" s="74"/>
    </x:row>
    <x:row r="14">
      <x:c r="A14" s="74" t="n">
        <x:f>Controls!A40</x:f>
        <x:v>8</x:v>
      </x:c>
      <x:c r="B14" s="101" t="n">
        <x:f>Controls!B40</x:f>
        <x:v>0.55</x:v>
      </x:c>
      <x:c r="C14" s="102" t="n">
        <x:f>Controls!C40</x:f>
        <x:v>0.08</x:v>
      </x:c>
      <x:c r="D14" s="102" t="n">
        <x:f>Controls!D40</x:f>
        <x:v>0.11</x:v>
      </x:c>
      <x:c r="E14" s="121" t="n">
        <x:f>Technology!$D$14*C14</x:f>
        <x:v>14</x:v>
      </x:c>
      <x:c r="F14" s="121" t="n">
        <x:f>Capital!$F$17*D14</x:f>
        <x:v>74.80000000000001</x:v>
      </x:c>
      <x:c r="G14" s="121" t="n">
        <x:f>'Mature Operations'!$D$17*B14</x:f>
        <x:v>153.95234800000003</x:v>
      </x:c>
      <x:c r="H14" s="121" t="n">
        <x:f>SUM(E14:G14)</x:f>
        <x:v>242.75234800000004</x:v>
      </x:c>
      <x:c r="I14" s="74"/>
      <x:c r="J14" s="74"/>
      <x:c r="K14" s="74"/>
      <x:c r="L14" s="74"/>
      <x:c r="M14" s="74"/>
      <x:c r="N14" s="74"/>
    </x:row>
    <x:row r="15">
      <x:c r="A15" s="74" t="n">
        <x:f>Controls!A41</x:f>
        <x:v>9</x:v>
      </x:c>
      <x:c r="B15" s="101" t="n">
        <x:f>Controls!B41</x:f>
        <x:v>0.75</x:v>
      </x:c>
      <x:c r="C15" s="102" t="n">
        <x:f>Controls!C41</x:f>
        <x:v>0.07</x:v>
      </x:c>
      <x:c r="D15" s="102" t="n">
        <x:f>Controls!D41</x:f>
        <x:v>0.1</x:v>
      </x:c>
      <x:c r="E15" s="121" t="n">
        <x:f>Technology!$D$14*C15</x:f>
        <x:v>12.250000000000002</x:v>
      </x:c>
      <x:c r="F15" s="121" t="n">
        <x:f>Capital!$F$17*D15</x:f>
        <x:v>68.00000000000001</x:v>
      </x:c>
      <x:c r="G15" s="121" t="n">
        <x:f>'Mature Operations'!$D$17*B15</x:f>
        <x:v>209.93502</x:v>
      </x:c>
      <x:c r="H15" s="121" t="n">
        <x:f>SUM(E15:G15)</x:f>
        <x:v>290.18502</x:v>
      </x:c>
      <x:c r="I15" s="74"/>
      <x:c r="J15" s="74"/>
      <x:c r="K15" s="74"/>
      <x:c r="L15" s="74"/>
      <x:c r="M15" s="74"/>
      <x:c r="N15" s="74"/>
    </x:row>
    <x:row r="16">
      <x:c r="A16" s="74" t="n">
        <x:f>Controls!A42</x:f>
        <x:v>10</x:v>
      </x:c>
      <x:c r="B16" s="101" t="n">
        <x:f>Controls!B42</x:f>
        <x:v>0.95</x:v>
      </x:c>
      <x:c r="C16" s="102" t="n">
        <x:f>Controls!C42</x:f>
        <x:v>0.05</x:v>
      </x:c>
      <x:c r="D16" s="102" t="n">
        <x:f>Controls!D42</x:f>
        <x:v>0.09</x:v>
      </x:c>
      <x:c r="E16" s="121" t="n">
        <x:f>Technology!$D$14*C16</x:f>
        <x:v>8.75</x:v>
      </x:c>
      <x:c r="F16" s="121" t="n">
        <x:f>Capital!$F$17*D16</x:f>
        <x:v>61.20000000000001</x:v>
      </x:c>
      <x:c r="G16" s="121" t="n">
        <x:f>'Mature Operations'!$D$17*B16</x:f>
        <x:v>265.917692</x:v>
      </x:c>
      <x:c r="H16" s="121" t="n">
        <x:f>SUM(E16:G16)</x:f>
        <x:v>335.86769200000003</x:v>
      </x:c>
      <x:c r="I16" s="74"/>
      <x:c r="J16" s="74"/>
      <x:c r="K16" s="74"/>
      <x:c r="L16" s="74"/>
      <x:c r="M16" s="74"/>
      <x:c r="N16" s="74"/>
    </x:row>
    <x:row r="17">
      <x:c r="A17" s="74" t="n">
        <x:f>Controls!A43</x:f>
        <x:v>11</x:v>
      </x:c>
      <x:c r="B17" s="101" t="n">
        <x:f>Controls!B43</x:f>
        <x:v>1</x:v>
      </x:c>
      <x:c r="C17" s="102" t="n">
        <x:f>Controls!C43</x:f>
        <x:v>0</x:v>
      </x:c>
      <x:c r="D17" s="102" t="n">
        <x:f>Controls!D43</x:f>
        <x:v>0.07</x:v>
      </x:c>
      <x:c r="E17" s="121" t="n">
        <x:f>Technology!$D$14*C17</x:f>
        <x:v>0</x:v>
      </x:c>
      <x:c r="F17" s="121" t="n">
        <x:f>Capital!$F$17*D17</x:f>
        <x:v>47.600000000000016</x:v>
      </x:c>
      <x:c r="G17" s="121" t="n">
        <x:f>'Mature Operations'!$D$17*B17</x:f>
        <x:v>279.91336</x:v>
      </x:c>
      <x:c r="H17" s="121" t="n">
        <x:f>SUM(E17:G17)</x:f>
        <x:v>327.51336000000003</x:v>
      </x:c>
      <x:c r="I17" s="74"/>
      <x:c r="J17" s="74"/>
      <x:c r="K17" s="74"/>
      <x:c r="L17" s="74"/>
      <x:c r="M17" s="74"/>
      <x:c r="N17" s="74"/>
    </x:row>
    <x:row r="18">
      <x:c r="A18" s="74" t="n">
        <x:f>Controls!A44</x:f>
        <x:v>12</x:v>
      </x:c>
      <x:c r="B18" s="101" t="n">
        <x:f>Controls!B44</x:f>
        <x:v>1</x:v>
      </x:c>
      <x:c r="C18" s="102" t="n">
        <x:f>Controls!C44</x:f>
        <x:v>0</x:v>
      </x:c>
      <x:c r="D18" s="102" t="n">
        <x:f>Controls!D44</x:f>
        <x:v>0.05</x:v>
      </x:c>
      <x:c r="E18" s="121" t="n">
        <x:f>Technology!$D$14*C18</x:f>
        <x:v>0</x:v>
      </x:c>
      <x:c r="F18" s="121" t="n">
        <x:f>Capital!$F$17*D18</x:f>
        <x:v>34.00000000000001</x:v>
      </x:c>
      <x:c r="G18" s="121" t="n">
        <x:f>'Mature Operations'!$D$17*B18</x:f>
        <x:v>279.91336</x:v>
      </x:c>
      <x:c r="H18" s="121" t="n">
        <x:f>SUM(E18:G18)</x:f>
        <x:v>313.91336</x:v>
      </x:c>
      <x:c r="I18" s="74"/>
      <x:c r="J18" s="74"/>
      <x:c r="K18" s="74"/>
      <x:c r="L18" s="74"/>
      <x:c r="M18" s="74"/>
      <x:c r="N18" s="74"/>
    </x:row>
    <x:row r="19">
      <x:c r="A19" s="74" t="n">
        <x:f>Controls!A45</x:f>
        <x:v>13</x:v>
      </x:c>
      <x:c r="B19" s="101" t="n">
        <x:f>Controls!B45</x:f>
        <x:v>1</x:v>
      </x:c>
      <x:c r="C19" s="102" t="n">
        <x:f>Controls!C45</x:f>
        <x:v>0</x:v>
      </x:c>
      <x:c r="D19" s="102" t="n">
        <x:f>Controls!D45</x:f>
        <x:v>0.04</x:v>
      </x:c>
      <x:c r="E19" s="121" t="n">
        <x:f>Technology!$D$14*C19</x:f>
        <x:v>0</x:v>
      </x:c>
      <x:c r="F19" s="121" t="n">
        <x:f>Capital!$F$17*D19</x:f>
        <x:v>27.200000000000006</x:v>
      </x:c>
      <x:c r="G19" s="121" t="n">
        <x:f>'Mature Operations'!$D$17*B19</x:f>
        <x:v>279.91336</x:v>
      </x:c>
      <x:c r="H19" s="121" t="n">
        <x:f>SUM(E19:G19)</x:f>
        <x:v>307.11336</x:v>
      </x:c>
      <x:c r="I19" s="74"/>
      <x:c r="J19" s="74"/>
      <x:c r="K19" s="74"/>
      <x:c r="L19" s="74"/>
      <x:c r="M19" s="74"/>
      <x:c r="N19" s="74"/>
    </x:row>
    <x:row r="20">
      <x:c r="A20" s="74" t="n">
        <x:f>Controls!A46</x:f>
        <x:v>14</x:v>
      </x:c>
      <x:c r="B20" s="101" t="n">
        <x:f>Controls!B46</x:f>
        <x:v>1</x:v>
      </x:c>
      <x:c r="C20" s="102" t="n">
        <x:f>Controls!C46</x:f>
        <x:v>0</x:v>
      </x:c>
      <x:c r="D20" s="102" t="n">
        <x:f>Controls!D46</x:f>
        <x:v>0.04</x:v>
      </x:c>
      <x:c r="E20" s="121" t="n">
        <x:f>Technology!$D$14*C20</x:f>
        <x:v>0</x:v>
      </x:c>
      <x:c r="F20" s="121" t="n">
        <x:f>Capital!$F$17*D20</x:f>
        <x:v>27.200000000000006</x:v>
      </x:c>
      <x:c r="G20" s="121" t="n">
        <x:f>'Mature Operations'!$D$17*B20</x:f>
        <x:v>279.91336</x:v>
      </x:c>
      <x:c r="H20" s="121" t="n">
        <x:f>SUM(E20:G20)</x:f>
        <x:v>307.11336</x:v>
      </x:c>
      <x:c r="I20" s="74"/>
      <x:c r="J20" s="74"/>
      <x:c r="K20" s="74"/>
      <x:c r="L20" s="74"/>
      <x:c r="M20" s="74"/>
      <x:c r="N20" s="74"/>
    </x:row>
    <x:row r="21">
      <x:c r="A21" s="74" t="n">
        <x:f>Controls!A47</x:f>
        <x:v>15</x:v>
      </x:c>
      <x:c r="B21" s="101" t="n">
        <x:f>Controls!B47</x:f>
        <x:v>1</x:v>
      </x:c>
      <x:c r="C21" s="102" t="n">
        <x:f>Controls!C47</x:f>
        <x:v>0</x:v>
      </x:c>
      <x:c r="D21" s="102" t="n">
        <x:f>Controls!D47</x:f>
        <x:v>0.03</x:v>
      </x:c>
      <x:c r="E21" s="121" t="n">
        <x:f>Technology!$D$14*C21</x:f>
        <x:v>0</x:v>
      </x:c>
      <x:c r="F21" s="121" t="n">
        <x:f>Capital!$F$17*D21</x:f>
        <x:v>20.400000000000002</x:v>
      </x:c>
      <x:c r="G21" s="121" t="n">
        <x:f>'Mature Operations'!$D$17*B21</x:f>
        <x:v>279.91336</x:v>
      </x:c>
      <x:c r="H21" s="121" t="n">
        <x:f>SUM(E21:G21)</x:f>
        <x:v>300.31336</x:v>
      </x:c>
      <x:c r="I21" s="74"/>
      <x:c r="J21" s="74"/>
      <x:c r="K21" s="74"/>
      <x:c r="L21" s="74"/>
      <x:c r="M21" s="74"/>
      <x:c r="N21" s="74"/>
    </x:row>
    <x:row r="22">
      <x:c r="A22" s="74" t="n">
        <x:f>Controls!A48</x:f>
        <x:v>16</x:v>
      </x:c>
      <x:c r="B22" s="101" t="n">
        <x:f>Controls!B48</x:f>
        <x:v>1</x:v>
      </x:c>
      <x:c r="C22" s="102" t="n">
        <x:f>Controls!C48</x:f>
        <x:v>0</x:v>
      </x:c>
      <x:c r="D22" s="102" t="n">
        <x:f>Controls!D48</x:f>
        <x:v>0</x:v>
      </x:c>
      <x:c r="E22" s="121" t="n">
        <x:f>Technology!$D$14*C22</x:f>
        <x:v>0</x:v>
      </x:c>
      <x:c r="F22" s="121" t="n">
        <x:f>Capital!$F$17*D22</x:f>
        <x:v>0</x:v>
      </x:c>
      <x:c r="G22" s="121" t="n">
        <x:f>'Mature Operations'!$D$17*B22</x:f>
        <x:v>279.91336</x:v>
      </x:c>
      <x:c r="H22" s="121" t="n">
        <x:f>SUM(E22:G22)</x:f>
        <x:v>279.91336</x:v>
      </x:c>
      <x:c r="I22" s="74"/>
      <x:c r="J22" s="74"/>
      <x:c r="K22" s="74"/>
      <x:c r="L22" s="74"/>
      <x:c r="M22" s="74"/>
      <x:c r="N22" s="74"/>
    </x:row>
    <x:row r="23">
      <x:c r="A23" s="74" t="n">
        <x:f>Controls!A49</x:f>
        <x:v>17</x:v>
      </x:c>
      <x:c r="B23" s="101" t="n">
        <x:f>Controls!B49</x:f>
        <x:v>1</x:v>
      </x:c>
      <x:c r="C23" s="102" t="n">
        <x:f>Controls!C49</x:f>
        <x:v>0</x:v>
      </x:c>
      <x:c r="D23" s="102" t="n">
        <x:f>Controls!D49</x:f>
        <x:v>0</x:v>
      </x:c>
      <x:c r="E23" s="121" t="n">
        <x:f>Technology!$D$14*C23</x:f>
        <x:v>0</x:v>
      </x:c>
      <x:c r="F23" s="121" t="n">
        <x:f>Capital!$F$17*D23</x:f>
        <x:v>0</x:v>
      </x:c>
      <x:c r="G23" s="121" t="n">
        <x:f>'Mature Operations'!$D$17*B23</x:f>
        <x:v>279.91336</x:v>
      </x:c>
      <x:c r="H23" s="121" t="n">
        <x:f>SUM(E23:G23)</x:f>
        <x:v>279.91336</x:v>
      </x:c>
      <x:c r="I23" s="74"/>
      <x:c r="J23" s="74"/>
      <x:c r="K23" s="74"/>
      <x:c r="L23" s="74"/>
      <x:c r="M23" s="74"/>
      <x:c r="N23" s="74"/>
    </x:row>
    <x:row r="24">
      <x:c r="A24" s="74" t="n">
        <x:f>Controls!A50</x:f>
        <x:v>18</x:v>
      </x:c>
      <x:c r="B24" s="101" t="n">
        <x:f>Controls!B50</x:f>
        <x:v>1</x:v>
      </x:c>
      <x:c r="C24" s="102" t="n">
        <x:f>Controls!C50</x:f>
        <x:v>0</x:v>
      </x:c>
      <x:c r="D24" s="102" t="n">
        <x:f>Controls!D50</x:f>
        <x:v>0</x:v>
      </x:c>
      <x:c r="E24" s="121" t="n">
        <x:f>Technology!$D$14*C24</x:f>
        <x:v>0</x:v>
      </x:c>
      <x:c r="F24" s="121" t="n">
        <x:f>Capital!$F$17*D24</x:f>
        <x:v>0</x:v>
      </x:c>
      <x:c r="G24" s="121" t="n">
        <x:f>'Mature Operations'!$D$17*B24</x:f>
        <x:v>279.91336</x:v>
      </x:c>
      <x:c r="H24" s="121" t="n">
        <x:f>SUM(E24:G24)</x:f>
        <x:v>279.91336</x:v>
      </x:c>
      <x:c r="I24" s="74"/>
      <x:c r="J24" s="74"/>
      <x:c r="K24" s="74"/>
      <x:c r="L24" s="74"/>
      <x:c r="M24" s="74"/>
      <x:c r="N24" s="74"/>
    </x:row>
    <x:row r="25">
      <x:c r="A25" s="74" t="n">
        <x:f>Controls!A51</x:f>
        <x:v>19</x:v>
      </x:c>
      <x:c r="B25" s="101" t="n">
        <x:f>Controls!B51</x:f>
        <x:v>1</x:v>
      </x:c>
      <x:c r="C25" s="102" t="n">
        <x:f>Controls!C51</x:f>
        <x:v>0</x:v>
      </x:c>
      <x:c r="D25" s="102" t="n">
        <x:f>Controls!D51</x:f>
        <x:v>0</x:v>
      </x:c>
      <x:c r="E25" s="121" t="n">
        <x:f>Technology!$D$14*C25</x:f>
        <x:v>0</x:v>
      </x:c>
      <x:c r="F25" s="121" t="n">
        <x:f>Capital!$F$17*D25</x:f>
        <x:v>0</x:v>
      </x:c>
      <x:c r="G25" s="121" t="n">
        <x:f>'Mature Operations'!$D$17*B25</x:f>
        <x:v>279.91336</x:v>
      </x:c>
      <x:c r="H25" s="121" t="n">
        <x:f>SUM(E25:G25)</x:f>
        <x:v>279.91336</x:v>
      </x:c>
      <x:c r="I25" s="74"/>
      <x:c r="J25" s="74"/>
      <x:c r="K25" s="74"/>
      <x:c r="L25" s="74"/>
      <x:c r="M25" s="74"/>
      <x:c r="N25" s="74"/>
    </x:row>
    <x:row r="26">
      <x:c r="A26" s="74" t="n">
        <x:f>Controls!A52</x:f>
        <x:v>20</x:v>
      </x:c>
      <x:c r="B26" s="101" t="n">
        <x:f>Controls!B52</x:f>
        <x:v>1</x:v>
      </x:c>
      <x:c r="C26" s="102" t="n">
        <x:f>Controls!C52</x:f>
        <x:v>0</x:v>
      </x:c>
      <x:c r="D26" s="102" t="n">
        <x:f>Controls!D52</x:f>
        <x:v>0</x:v>
      </x:c>
      <x:c r="E26" s="121" t="n">
        <x:f>Technology!$D$14*C26</x:f>
        <x:v>0</x:v>
      </x:c>
      <x:c r="F26" s="121" t="n">
        <x:f>Capital!$F$17*D26</x:f>
        <x:v>0</x:v>
      </x:c>
      <x:c r="G26" s="121" t="n">
        <x:f>'Mature Operations'!$D$17*B26</x:f>
        <x:v>279.91336</x:v>
      </x:c>
      <x:c r="H26" s="121" t="n">
        <x:f>SUM(E26:G26)</x:f>
        <x:v>279.91336</x:v>
      </x:c>
      <x:c r="I26" s="74"/>
      <x:c r="J26" s="74"/>
      <x:c r="K26" s="74"/>
      <x:c r="L26" s="74"/>
      <x:c r="M26" s="74"/>
      <x:c r="N26" s="74"/>
    </x:row>
    <x:row r="27">
      <x:c r="A27" s="74" t="n">
        <x:f>Controls!A53</x:f>
        <x:v>21</x:v>
      </x:c>
      <x:c r="B27" s="101" t="n">
        <x:f>Controls!B53</x:f>
        <x:v>1</x:v>
      </x:c>
      <x:c r="C27" s="102" t="n">
        <x:f>Controls!C53</x:f>
        <x:v>0</x:v>
      </x:c>
      <x:c r="D27" s="102" t="n">
        <x:f>Controls!D53</x:f>
        <x:v>0</x:v>
      </x:c>
      <x:c r="E27" s="121" t="n">
        <x:f>Technology!$D$14*C27</x:f>
        <x:v>0</x:v>
      </x:c>
      <x:c r="F27" s="121" t="n">
        <x:f>Capital!$F$17*D27</x:f>
        <x:v>0</x:v>
      </x:c>
      <x:c r="G27" s="121" t="n">
        <x:f>'Mature Operations'!$D$17*B27</x:f>
        <x:v>279.91336</x:v>
      </x:c>
      <x:c r="H27" s="121" t="n">
        <x:f>SUM(E27:G27)</x:f>
        <x:v>279.91336</x:v>
      </x:c>
      <x:c r="I27" s="74"/>
      <x:c r="J27" s="74"/>
      <x:c r="K27" s="74"/>
      <x:c r="L27" s="74"/>
      <x:c r="M27" s="74"/>
      <x:c r="N27" s="74"/>
    </x:row>
    <x:row r="28">
      <x:c r="A28" s="74" t="n">
        <x:f>Controls!A54</x:f>
        <x:v>22</x:v>
      </x:c>
      <x:c r="B28" s="101" t="n">
        <x:f>Controls!B54</x:f>
        <x:v>1</x:v>
      </x:c>
      <x:c r="C28" s="102" t="n">
        <x:f>Controls!C54</x:f>
        <x:v>0</x:v>
      </x:c>
      <x:c r="D28" s="102" t="n">
        <x:f>Controls!D54</x:f>
        <x:v>0</x:v>
      </x:c>
      <x:c r="E28" s="121" t="n">
        <x:f>Technology!$D$14*C28</x:f>
        <x:v>0</x:v>
      </x:c>
      <x:c r="F28" s="121" t="n">
        <x:f>Capital!$F$17*D28</x:f>
        <x:v>0</x:v>
      </x:c>
      <x:c r="G28" s="121" t="n">
        <x:f>'Mature Operations'!$D$17*B28</x:f>
        <x:v>279.91336</x:v>
      </x:c>
      <x:c r="H28" s="121" t="n">
        <x:f>SUM(E28:G28)</x:f>
        <x:v>279.91336</x:v>
      </x:c>
      <x:c r="I28" s="74"/>
      <x:c r="J28" s="74"/>
      <x:c r="K28" s="74"/>
      <x:c r="L28" s="74"/>
      <x:c r="M28" s="74"/>
      <x:c r="N28" s="74"/>
    </x:row>
    <x:row r="29">
      <x:c r="A29" s="74" t="n">
        <x:f>Controls!A55</x:f>
        <x:v>23</x:v>
      </x:c>
      <x:c r="B29" s="101" t="n">
        <x:f>Controls!B55</x:f>
        <x:v>1</x:v>
      </x:c>
      <x:c r="C29" s="102" t="n">
        <x:f>Controls!C55</x:f>
        <x:v>0</x:v>
      </x:c>
      <x:c r="D29" s="102" t="n">
        <x:f>Controls!D55</x:f>
        <x:v>0</x:v>
      </x:c>
      <x:c r="E29" s="121" t="n">
        <x:f>Technology!$D$14*C29</x:f>
        <x:v>0</x:v>
      </x:c>
      <x:c r="F29" s="121" t="n">
        <x:f>Capital!$F$17*D29</x:f>
        <x:v>0</x:v>
      </x:c>
      <x:c r="G29" s="121" t="n">
        <x:f>'Mature Operations'!$D$17*B29</x:f>
        <x:v>279.91336</x:v>
      </x:c>
      <x:c r="H29" s="121" t="n">
        <x:f>SUM(E29:G29)</x:f>
        <x:v>279.91336</x:v>
      </x:c>
      <x:c r="I29" s="74"/>
      <x:c r="J29" s="74"/>
      <x:c r="K29" s="74"/>
      <x:c r="L29" s="74"/>
      <x:c r="M29" s="74"/>
      <x:c r="N29" s="74"/>
    </x:row>
    <x:row r="30">
      <x:c r="A30" s="74" t="n">
        <x:f>Controls!A56</x:f>
        <x:v>24</x:v>
      </x:c>
      <x:c r="B30" s="101" t="n">
        <x:f>Controls!B56</x:f>
        <x:v>1</x:v>
      </x:c>
      <x:c r="C30" s="102" t="n">
        <x:f>Controls!C56</x:f>
        <x:v>0</x:v>
      </x:c>
      <x:c r="D30" s="102" t="n">
        <x:f>Controls!D56</x:f>
        <x:v>0</x:v>
      </x:c>
      <x:c r="E30" s="121" t="n">
        <x:f>Technology!$D$14*C30</x:f>
        <x:v>0</x:v>
      </x:c>
      <x:c r="F30" s="121" t="n">
        <x:f>Capital!$F$17*D30</x:f>
        <x:v>0</x:v>
      </x:c>
      <x:c r="G30" s="121" t="n">
        <x:f>'Mature Operations'!$D$17*B30</x:f>
        <x:v>279.91336</x:v>
      </x:c>
      <x:c r="H30" s="121" t="n">
        <x:f>SUM(E30:G30)</x:f>
        <x:v>279.91336</x:v>
      </x:c>
      <x:c r="I30" s="74"/>
      <x:c r="J30" s="74"/>
      <x:c r="K30" s="74"/>
      <x:c r="L30" s="74"/>
      <x:c r="M30" s="74"/>
      <x:c r="N30" s="74"/>
    </x:row>
    <x:row r="31">
      <x:c r="A31" s="74" t="n">
        <x:f>Controls!A57</x:f>
        <x:v>25</x:v>
      </x:c>
      <x:c r="B31" s="101" t="n">
        <x:f>Controls!B57</x:f>
        <x:v>1</x:v>
      </x:c>
      <x:c r="C31" s="102" t="n">
        <x:f>Controls!C57</x:f>
        <x:v>0</x:v>
      </x:c>
      <x:c r="D31" s="102" t="n">
        <x:f>Controls!D57</x:f>
        <x:v>0</x:v>
      </x:c>
      <x:c r="E31" s="121" t="n">
        <x:f>Technology!$D$14*C31</x:f>
        <x:v>0</x:v>
      </x:c>
      <x:c r="F31" s="121" t="n">
        <x:f>Capital!$F$17*D31</x:f>
        <x:v>0</x:v>
      </x:c>
      <x:c r="G31" s="121" t="n">
        <x:f>'Mature Operations'!$D$17*B31</x:f>
        <x:v>279.91336</x:v>
      </x:c>
      <x:c r="H31" s="121" t="n">
        <x:f>SUM(E31:G31)</x:f>
        <x:v>279.91336</x:v>
      </x:c>
      <x:c r="I31" s="74"/>
      <x:c r="J31" s="74"/>
      <x:c r="K31" s="74"/>
      <x:c r="L31" s="74"/>
      <x:c r="M31" s="74"/>
      <x:c r="N31" s="74"/>
    </x:row>
    <x:row r="32">
      <x:c r="A32" s="74"/>
      <x:c r="B32" s="101"/>
      <x:c r="C32" s="102"/>
      <x:c r="D32" s="102"/>
      <x:c r="E32" s="121"/>
      <x:c r="F32" s="121"/>
      <x:c r="G32" s="121"/>
      <x:c r="H32" s="74"/>
      <x:c r="I32" s="74"/>
      <x:c r="J32" s="74"/>
      <x:c r="K32" s="74"/>
      <x:c r="L32" s="74"/>
      <x:c r="M32" s="74"/>
      <x:c r="N32" s="74"/>
    </x:row>
    <x:row r="33">
      <x:c r="A33" s="123" t="str">
        <x:v>Total / equivalent years</x:v>
      </x:c>
      <x:c r="B33" s="124" t="n">
        <x:f>SUM(B7:B31)</x:f>
        <x:v>19.05</x:v>
      </x:c>
      <x:c r="C33" s="125" t="n">
        <x:f>SUM(C7:C31)</x:f>
        <x:v>1</x:v>
      </x:c>
      <x:c r="D33" s="125" t="n">
        <x:f>SUM(D7:D31)</x:f>
        <x:v>1</x:v>
      </x:c>
      <x:c r="E33" s="126" t="n">
        <x:f>SUM(E7:E31)</x:f>
        <x:v>175</x:v>
      </x:c>
      <x:c r="F33" s="126" t="n">
        <x:f>SUM(F7:F31)</x:f>
        <x:v>680.0000000000002</x:v>
      </x:c>
      <x:c r="G33" s="126" t="n">
        <x:f>SUM(G7:G31)</x:f>
        <x:v>5332.349508000001</x:v>
      </x:c>
      <x:c r="H33" s="127" t="n">
        <x:f>SUM(H7:H31)/1000</x:f>
        <x:v>6.187349508000003</x:v>
      </x:c>
      <x:c r="I33" s="74"/>
      <x:c r="J33" s="74"/>
      <x:c r="K33" s="74"/>
      <x:c r="L33" s="74"/>
      <x:c r="M33" s="74"/>
      <x:c r="N33" s="74"/>
    </x:row>
  </x:sheetData>
  <x:pageMargins left="0.7" right="0.7" top="0.75" bottom="0.75" header="0.3" footer="0.3"/>
</x:worksheet>
</file>

<file path=xl/worksheets/sheet20.xml><?xml version="1.0" encoding="utf-8"?>
<x:worksheet xmlns:x="http://schemas.openxmlformats.org/spreadsheetml/2006/main"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39" hidden="0" customWidth="1"/>
    <x:col min="3" max="3" width="73" hidden="0" customWidth="1"/>
    <x:col min="4" max="4" width="18" hidden="0" customWidth="1"/>
    <x:col min="5" max="5" width="21" hidden="0" customWidth="1"/>
    <x:col min="6" max="6" width="22" hidden="0" customWidth="1"/>
    <x:col min="7" max="7" width="18" hidden="0" customWidth="1"/>
  </x:cols>
  <x:sheetData>
    <x:row r="2">
      <x:c r="A2" s="73" t="str">
        <x:v>Constitutional stress cases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A safe result preserves rights and blocks automatic operational authority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ID</x:v>
      </x:c>
      <x:c r="B6" s="90" t="str">
        <x:v>Stress world</x:v>
      </x:c>
      <x:c r="C6" s="90" t="str">
        <x:v>Required system response</x:v>
      </x:c>
      <x:c r="D6" s="90" t="str">
        <x:v>Rights preserved</x:v>
      </x:c>
      <x:c r="E6" s="90" t="str">
        <x:v>Automatic activation</x:v>
      </x:c>
      <x:c r="F6" s="90" t="str">
        <x:v>Knowledge credit</x:v>
      </x:c>
      <x:c r="G6" s="91" t="str">
        <x:v>Status</x:v>
      </x:c>
      <x:c r="H6" s="74"/>
      <x:c r="I6" s="74"/>
      <x:c r="J6" s="74"/>
      <x:c r="K6" s="74"/>
      <x:c r="L6" s="74"/>
      <x:c r="M6" s="74"/>
      <x:c r="N6" s="74"/>
    </x:row>
    <x:row r="7">
      <x:c r="A7" s="92" t="str">
        <x:v>S01</x:v>
      </x:c>
      <x:c r="B7" s="31" t="str">
        <x:v>National network partition</x:v>
      </x:c>
      <x:c r="C7" s="31" t="str">
        <x:v>Use signed local cache; record coverage loss and reconcile later</x:v>
      </x:c>
      <x:c r="D7" s="92" t="str">
        <x:v>YES</x:v>
      </x:c>
      <x:c r="E7" s="92" t="str">
        <x:v>NO</x:v>
      </x:c>
      <x:c r="F7" s="92" t="n">
        <x:v>0</x:v>
      </x:c>
      <x:c r="G7" s="92" t="str">
        <x:f>IF(AND(D7="YES",E7="NO",F7=0),"PASS","FAIL")</x:f>
        <x:v>PASS</x:v>
      </x:c>
      <x:c r="H7" s="74"/>
      <x:c r="I7" s="74"/>
      <x:c r="J7" s="74"/>
      <x:c r="K7" s="74"/>
      <x:c r="L7" s="74"/>
      <x:c r="M7" s="74"/>
      <x:c r="N7" s="74"/>
    </x:row>
    <x:row r="8">
      <x:c r="A8" s="94" t="str">
        <x:v>S02</x:v>
      </x:c>
      <x:c r="B8" s="32" t="str">
        <x:v>Sovereign trust refuses raw export</x:v>
      </x:c>
      <x:c r="C8" s="32" t="str">
        <x:v>Run approved query locally; objective K0 warning remains available</x:v>
      </x:c>
      <x:c r="D8" s="94" t="str">
        <x:v>YES</x:v>
      </x:c>
      <x:c r="E8" s="94" t="str">
        <x:v>NO</x:v>
      </x:c>
      <x:c r="F8" s="94" t="n">
        <x:v>0</x:v>
      </x:c>
      <x:c r="G8" s="94" t="str">
        <x:f>IF(AND(D8="YES",E8="NO",F8=0),"PASS","FAIL")</x:f>
        <x:v>PASS</x:v>
      </x:c>
      <x:c r="H8" s="74"/>
      <x:c r="I8" s="74"/>
      <x:c r="J8" s="74"/>
      <x:c r="K8" s="74"/>
      <x:c r="L8" s="74"/>
      <x:c r="M8" s="74"/>
      <x:c r="N8" s="74"/>
    </x:row>
    <x:row r="9">
      <x:c r="A9" s="94" t="str">
        <x:v>S03</x:v>
      </x:c>
      <x:c r="B9" s="32" t="str">
        <x:v>High-consequence false positive</x:v>
      </x:c>
      <x:c r="C9" s="32" t="str">
        <x:v>Warn under published threshold; activation remains separately warranted</x:v>
      </x:c>
      <x:c r="D9" s="94" t="str">
        <x:v>YES</x:v>
      </x:c>
      <x:c r="E9" s="94" t="str">
        <x:v>NO</x:v>
      </x:c>
      <x:c r="F9" s="94" t="n">
        <x:v>0</x:v>
      </x:c>
      <x:c r="G9" s="94" t="str">
        <x:f>IF(AND(D9="YES",E9="NO",F9=0),"PASS","FAIL")</x:f>
        <x:v>PASS</x:v>
      </x:c>
      <x:c r="H9" s="74"/>
      <x:c r="I9" s="74"/>
      <x:c r="J9" s="74"/>
      <x:c r="K9" s="74"/>
      <x:c r="L9" s="74"/>
      <x:c r="M9" s="74"/>
      <x:c r="N9" s="74"/>
    </x:row>
    <x:row r="10">
      <x:c r="A10" s="94" t="str">
        <x:v>S04</x:v>
      </x:c>
      <x:c r="B10" s="32" t="str">
        <x:v>Missing marginalized community</x:v>
      </x:c>
      <x:c r="C10" s="32" t="str">
        <x:v>Mark UNKNOWN; initiate field reach; never infer low need</x:v>
      </x:c>
      <x:c r="D10" s="94" t="str">
        <x:v>YES</x:v>
      </x:c>
      <x:c r="E10" s="94" t="str">
        <x:v>NO</x:v>
      </x:c>
      <x:c r="F10" s="94" t="n">
        <x:v>0</x:v>
      </x:c>
      <x:c r="G10" s="94" t="str">
        <x:f>IF(AND(D10="YES",E10="NO",F10=0),"PASS","FAIL")</x:f>
        <x:v>PASS</x:v>
      </x:c>
      <x:c r="H10" s="74"/>
      <x:c r="I10" s="74"/>
      <x:c r="J10" s="74"/>
      <x:c r="K10" s="74"/>
      <x:c r="L10" s="74"/>
      <x:c r="M10" s="74"/>
      <x:c r="N10" s="74"/>
    </x:row>
    <x:row r="11">
      <x:c r="A11" s="94" t="str">
        <x:v>S05</x:v>
      </x:c>
      <x:c r="B11" s="32" t="str">
        <x:v>Commercial provider exits</x:v>
      </x:c>
      <x:c r="C11" s="32" t="str">
        <x:v>Exercise public custody, escrow and unlike replacement root</x:v>
      </x:c>
      <x:c r="D11" s="94" t="str">
        <x:v>YES</x:v>
      </x:c>
      <x:c r="E11" s="94" t="str">
        <x:v>NO</x:v>
      </x:c>
      <x:c r="F11" s="94" t="n">
        <x:v>0</x:v>
      </x:c>
      <x:c r="G11" s="94" t="str">
        <x:f>IF(AND(D11="YES",E11="NO",F11=0),"PASS","FAIL")</x:f>
        <x:v>PASS</x:v>
      </x:c>
      <x:c r="H11" s="74"/>
      <x:c r="I11" s="74"/>
      <x:c r="J11" s="74"/>
      <x:c r="K11" s="74"/>
      <x:c r="L11" s="74"/>
      <x:c r="M11" s="74"/>
      <x:c r="N11" s="74"/>
    </x:row>
    <x:row r="12">
      <x:c r="A12" s="94" t="str">
        <x:v>S06</x:v>
      </x:c>
      <x:c r="B12" s="32" t="str">
        <x:v>Privileged insider makes unlawful query</x:v>
      </x:c>
      <x:c r="C12" s="32" t="str">
        <x:v>Deny, preserve minimized evidence, revoke authority and open remedy</x:v>
      </x:c>
      <x:c r="D12" s="94" t="str">
        <x:v>YES</x:v>
      </x:c>
      <x:c r="E12" s="94" t="str">
        <x:v>NO</x:v>
      </x:c>
      <x:c r="F12" s="94" t="n">
        <x:v>0</x:v>
      </x:c>
      <x:c r="G12" s="94" t="str">
        <x:f>IF(AND(D12="YES",E12="NO",F12=0),"PASS","FAIL")</x:f>
        <x:v>PASS</x:v>
      </x:c>
      <x:c r="H12" s="74"/>
      <x:c r="I12" s="74"/>
      <x:c r="J12" s="74"/>
      <x:c r="K12" s="74"/>
      <x:c r="L12" s="74"/>
      <x:c r="M12" s="74"/>
      <x:c r="N12" s="74"/>
    </x:row>
    <x:row r="13">
      <x:c r="A13" s="94" t="str">
        <x:v>S07</x:v>
      </x:c>
      <x:c r="B13" s="32" t="str">
        <x:v>Three model roots disagree</x:v>
      </x:c>
      <x:c r="C13" s="32" t="str">
        <x:v>Publish dissent and prevent averaged release</x:v>
      </x:c>
      <x:c r="D13" s="94" t="str">
        <x:v>YES</x:v>
      </x:c>
      <x:c r="E13" s="94" t="str">
        <x:v>NO</x:v>
      </x:c>
      <x:c r="F13" s="94" t="n">
        <x:v>0</x:v>
      </x:c>
      <x:c r="G13" s="94" t="str">
        <x:f>IF(AND(D13="YES",E13="NO",F13=0),"PASS","FAIL")</x:f>
        <x:v>PASS</x:v>
      </x:c>
      <x:c r="H13" s="74"/>
      <x:c r="I13" s="74"/>
      <x:c r="J13" s="74"/>
      <x:c r="K13" s="74"/>
      <x:c r="L13" s="74"/>
      <x:c r="M13" s="74"/>
      <x:c r="N13" s="74"/>
    </x:row>
    <x:row r="14">
      <x:c r="A14" s="94" t="str">
        <x:v>S08</x:v>
      </x:c>
      <x:c r="B14" s="32" t="str">
        <x:v>Sensor source is spoofed</x:v>
      </x:c>
      <x:c r="C14" s="32" t="str">
        <x:v>Quarantine lineage; downgrade coverage; require independent source</x:v>
      </x:c>
      <x:c r="D14" s="94" t="str">
        <x:v>YES</x:v>
      </x:c>
      <x:c r="E14" s="94" t="str">
        <x:v>NO</x:v>
      </x:c>
      <x:c r="F14" s="94" t="n">
        <x:v>0</x:v>
      </x:c>
      <x:c r="G14" s="94" t="str">
        <x:f>IF(AND(D14="YES",E14="NO",F14=0),"PASS","FAIL")</x:f>
        <x:v>PASS</x:v>
      </x:c>
      <x:c r="H14" s="74"/>
      <x:c r="I14" s="74"/>
      <x:c r="J14" s="74"/>
      <x:c r="K14" s="74"/>
      <x:c r="L14" s="74"/>
      <x:c r="M14" s="74"/>
      <x:c r="N14" s="74"/>
    </x:row>
    <x:row r="15">
      <x:c r="A15" s="94" t="str">
        <x:v>S09</x:v>
      </x:c>
      <x:c r="B15" s="32" t="str">
        <x:v>Law-enforcement reuse demand</x:v>
      </x:c>
      <x:c r="C15" s="32" t="str">
        <x:v>Deny as prohibited secondary use</x:v>
      </x:c>
      <x:c r="D15" s="94" t="str">
        <x:v>YES</x:v>
      </x:c>
      <x:c r="E15" s="94" t="str">
        <x:v>NO</x:v>
      </x:c>
      <x:c r="F15" s="94" t="n">
        <x:v>0</x:v>
      </x:c>
      <x:c r="G15" s="94" t="str">
        <x:f>IF(AND(D15="YES",E15="NO",F15=0),"PASS","FAIL")</x:f>
        <x:v>PASS</x:v>
      </x:c>
      <x:c r="H15" s="74"/>
      <x:c r="I15" s="74"/>
      <x:c r="J15" s="74"/>
      <x:c r="K15" s="74"/>
      <x:c r="L15" s="74"/>
      <x:c r="M15" s="74"/>
      <x:c r="N15" s="74"/>
    </x:row>
    <x:row r="16">
      <x:c r="A16" s="94" t="str">
        <x:v>S10</x:v>
      </x:c>
      <x:c r="B16" s="32" t="str">
        <x:v>Protected enclave is breached</x:v>
      </x:c>
      <x:c r="C16" s="32" t="str">
        <x:v>Revoke keys, compartment, notify, restore and issue remedy</x:v>
      </x:c>
      <x:c r="D16" s="94" t="str">
        <x:v>YES</x:v>
      </x:c>
      <x:c r="E16" s="94" t="str">
        <x:v>NO</x:v>
      </x:c>
      <x:c r="F16" s="94" t="n">
        <x:v>0</x:v>
      </x:c>
      <x:c r="G16" s="94" t="str">
        <x:f>IF(AND(D16="YES",E16="NO",F16=0),"PASS","FAIL")</x:f>
        <x:v>PASS</x:v>
      </x:c>
      <x:c r="H16" s="74"/>
      <x:c r="I16" s="74"/>
      <x:c r="J16" s="74"/>
      <x:c r="K16" s="74"/>
      <x:c r="L16" s="74"/>
      <x:c r="M16" s="74"/>
      <x:c r="N16" s="74"/>
    </x:row>
    <x:row r="17">
      <x:c r="A17" s="94" t="str">
        <x:v>S11</x:v>
      </x:c>
      <x:c r="B17" s="32" t="str">
        <x:v>Emergency exceeds thirty days</x:v>
      </x:c>
      <x:c r="C17" s="32" t="str">
        <x:v>Expire operative state absent fresh easement renewal</x:v>
      </x:c>
      <x:c r="D17" s="94" t="str">
        <x:v>YES</x:v>
      </x:c>
      <x:c r="E17" s="94" t="str">
        <x:v>NO</x:v>
      </x:c>
      <x:c r="F17" s="94" t="n">
        <x:v>0</x:v>
      </x:c>
      <x:c r="G17" s="94" t="str">
        <x:f>IF(AND(D17="YES",E17="NO",F17=0),"PASS","FAIL")</x:f>
        <x:v>PASS</x:v>
      </x:c>
      <x:c r="H17" s="74"/>
      <x:c r="I17" s="74"/>
      <x:c r="J17" s="74"/>
      <x:c r="K17" s="74"/>
      <x:c r="L17" s="74"/>
      <x:c r="M17" s="74"/>
      <x:c r="N17" s="74"/>
    </x:row>
    <x:row r="18">
      <x:c r="A18" s="94" t="str">
        <x:v>S12</x:v>
      </x:c>
      <x:c r="B18" s="32" t="str">
        <x:v>Direct tribal path conflicts with state request</x:v>
      </x:c>
      <x:c r="C18" s="32" t="str">
        <x:v>Honor direct custody and service path; do not subordinate it to state</x:v>
      </x:c>
      <x:c r="D18" s="94" t="str">
        <x:v>YES</x:v>
      </x:c>
      <x:c r="E18" s="94" t="str">
        <x:v>NO</x:v>
      </x:c>
      <x:c r="F18" s="94" t="n">
        <x:v>0</x:v>
      </x:c>
      <x:c r="G18" s="94" t="str">
        <x:f>IF(AND(D18="YES",E18="NO",F18=0),"PASS","FAIL")</x:f>
        <x:v>PASS</x:v>
      </x:c>
      <x:c r="H18" s="74"/>
      <x:c r="I18" s="74"/>
      <x:c r="J18" s="74"/>
      <x:c r="K18" s="74"/>
      <x:c r="L18" s="74"/>
      <x:c r="M18" s="74"/>
      <x:c r="N18" s="74"/>
    </x:row>
  </x:sheetData>
  <x:conditionalFormatting sqref="G7:G18">
    <x:cfRule type="containsText" dxfId="12" priority="1" operator="containsText" text="FAIL"/>
    <x:cfRule type="containsText" dxfId="13" priority="2" operator="containsText" text="HOLD"/>
  </x:conditionalFormatting>
  <x:pageMargins left="0.7" right="0.7" top="0.75" bottom="0.75" header="0.3" footer="0.3"/>
</x:worksheet>
</file>

<file path=xl/worksheets/sheet21.xml><?xml version="1.0" encoding="utf-8"?>
<x:worksheet xmlns:x="http://schemas.openxmlformats.org/spreadsheetml/2006/main">
  <x:sheetPr>
    <x:tabColor rgb="FF9A6700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10" hidden="0" customWidth="1"/>
    <x:col min="2" max="2" width="49" hidden="0" customWidth="1"/>
    <x:col min="3" max="3" width="21" hidden="0" customWidth="1"/>
    <x:col min="4" max="4" width="17" hidden="0" customWidth="1"/>
    <x:col min="5" max="5" width="18" hidden="0" customWidth="1"/>
    <x:col min="6" max="6" width="15" hidden="0" customWidth="1"/>
  </x:cols>
  <x:sheetData>
    <x:row r="2">
      <x:c r="A2" s="73" t="str">
        <x:v>Audit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Independent terminal checks; no model output depends on this sheet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ID</x:v>
      </x:c>
      <x:c r="B6" s="90" t="str">
        <x:v>Check</x:v>
      </x:c>
      <x:c r="C6" s="90" t="str">
        <x:v>Calculated</x:v>
      </x:c>
      <x:c r="D6" s="90" t="str">
        <x:v>Expected</x:v>
      </x:c>
      <x:c r="E6" s="90" t="str">
        <x:v>Difference</x:v>
      </x:c>
      <x:c r="F6" s="91" t="str">
        <x:v>Status</x:v>
      </x:c>
      <x:c r="G6" s="74"/>
      <x:c r="H6" s="74"/>
      <x:c r="I6" s="74"/>
      <x:c r="J6" s="74"/>
      <x:c r="K6" s="74"/>
      <x:c r="L6" s="74"/>
      <x:c r="M6" s="74"/>
      <x:c r="N6" s="74"/>
    </x:row>
    <x:row r="7">
      <x:c r="A7" s="92" t="str">
        <x:v>A01</x:v>
      </x:c>
      <x:c r="B7" s="92" t="str">
        <x:v>Knowledge planes</x:v>
      </x:c>
      <x:c r="C7" s="128" t="n">
        <x:f>COUNTA('Knowledge Planes'!A7:A10)</x:f>
        <x:v>4</x:v>
      </x:c>
      <x:c r="D7" s="128" t="n">
        <x:v>4</x:v>
      </x:c>
      <x:c r="E7" s="128" t="n">
        <x:f>C7-D7</x:f>
        <x:v>0</x:v>
      </x:c>
      <x:c r="F7" s="92" t="str">
        <x:f>IF(ABS(E7)&lt;0.000001,"PASS","FAIL")</x:f>
        <x:v>PASS</x:v>
      </x:c>
      <x:c r="G7" s="74"/>
      <x:c r="H7" s="74"/>
      <x:c r="I7" s="74"/>
      <x:c r="J7" s="74"/>
      <x:c r="K7" s="74"/>
      <x:c r="L7" s="74"/>
      <x:c r="M7" s="74"/>
      <x:c r="N7" s="74"/>
    </x:row>
    <x:row r="8">
      <x:c r="A8" s="94" t="str">
        <x:v>A02</x:v>
      </x:c>
      <x:c r="B8" s="94" t="str">
        <x:v>Constitutional roles</x:v>
      </x:c>
      <x:c r="C8" s="129" t="n">
        <x:f>COUNTA('Constitutional Roles'!A7:A15)</x:f>
        <x:v>9</x:v>
      </x:c>
      <x:c r="D8" s="129" t="n">
        <x:v>9</x:v>
      </x:c>
      <x:c r="E8" s="129" t="n">
        <x:f>C8-D8</x:f>
        <x:v>0</x:v>
      </x:c>
      <x:c r="F8" s="94" t="str">
        <x:f>IF(ABS(E8)&lt;0.000001,"PASS","FAIL")</x:f>
        <x:v>PASS</x:v>
      </x:c>
      <x:c r="G8" s="74"/>
      <x:c r="H8" s="74"/>
      <x:c r="I8" s="74"/>
      <x:c r="J8" s="74"/>
      <x:c r="K8" s="74"/>
      <x:c r="L8" s="74"/>
      <x:c r="M8" s="74"/>
      <x:c r="N8" s="74"/>
    </x:row>
    <x:row r="9">
      <x:c r="A9" s="94" t="str">
        <x:v>A03</x:v>
      </x:c>
      <x:c r="B9" s="94" t="str">
        <x:v>Subordinate knowledge warrants</x:v>
      </x:c>
      <x:c r="C9" s="129" t="n">
        <x:f>COUNTA('Warrant Chain'!B7:B18)</x:f>
        <x:v>12</x:v>
      </x:c>
      <x:c r="D9" s="129" t="n">
        <x:v>12</x:v>
      </x:c>
      <x:c r="E9" s="129" t="n">
        <x:f>C9-D9</x:f>
        <x:v>0</x:v>
      </x:c>
      <x:c r="F9" s="94" t="str">
        <x:f>IF(ABS(E9)&lt;0.000001,"PASS","FAIL")</x:f>
        <x:v>PASS</x:v>
      </x:c>
      <x:c r="G9" s="74"/>
      <x:c r="H9" s="74"/>
      <x:c r="I9" s="74"/>
      <x:c r="J9" s="74"/>
      <x:c r="K9" s="74"/>
      <x:c r="L9" s="74"/>
      <x:c r="M9" s="74"/>
      <x:c r="N9" s="74"/>
    </x:row>
    <x:row r="10">
      <x:c r="A10" s="94" t="str">
        <x:v>A04</x:v>
      </x:c>
      <x:c r="B10" s="94" t="str">
        <x:v>Civil data rights</x:v>
      </x:c>
      <x:c r="C10" s="129" t="n">
        <x:f>COUNTA('Civil Data Rights'!A7:A20)</x:f>
        <x:v>14</x:v>
      </x:c>
      <x:c r="D10" s="129" t="n">
        <x:v>14</x:v>
      </x:c>
      <x:c r="E10" s="129" t="n">
        <x:f>C10-D10</x:f>
        <x:v>0</x:v>
      </x:c>
      <x:c r="F10" s="94" t="str">
        <x:f>IF(ABS(E10)&lt;0.000001,"PASS","FAIL")</x:f>
        <x:v>PASS</x:v>
      </x:c>
      <x:c r="G10" s="74"/>
      <x:c r="H10" s="74"/>
      <x:c r="I10" s="74"/>
      <x:c r="J10" s="74"/>
      <x:c r="K10" s="74"/>
      <x:c r="L10" s="74"/>
      <x:c r="M10" s="74"/>
      <x:c r="N10" s="74"/>
    </x:row>
    <x:row r="11">
      <x:c r="A11" s="94" t="str">
        <x:v>A05</x:v>
      </x:c>
      <x:c r="B11" s="94" t="str">
        <x:v>Nonconversion laws</x:v>
      </x:c>
      <x:c r="C11" s="129" t="n">
        <x:f>COUNTA(Nonconversions!A7:A21)</x:f>
        <x:v>15</x:v>
      </x:c>
      <x:c r="D11" s="129" t="n">
        <x:v>15</x:v>
      </x:c>
      <x:c r="E11" s="129" t="n">
        <x:f>C11-D11</x:f>
        <x:v>0</x:v>
      </x:c>
      <x:c r="F11" s="94" t="str">
        <x:f>IF(ABS(E11)&lt;0.000001,"PASS","FAIL")</x:f>
        <x:v>PASS</x:v>
      </x:c>
      <x:c r="G11" s="74"/>
      <x:c r="H11" s="74"/>
      <x:c r="I11" s="74"/>
      <x:c r="J11" s="74"/>
      <x:c r="K11" s="74"/>
      <x:c r="L11" s="74"/>
      <x:c r="M11" s="74"/>
      <x:c r="N11" s="74"/>
    </x:row>
    <x:row r="12">
      <x:c r="A12" s="94" t="str">
        <x:v>A06</x:v>
      </x:c>
      <x:c r="B12" s="94" t="str">
        <x:v>Forecast contract fields</x:v>
      </x:c>
      <x:c r="C12" s="129" t="n">
        <x:f>COUNTA('Forecast Contract'!A7:A20)</x:f>
        <x:v>14</x:v>
      </x:c>
      <x:c r="D12" s="129" t="n">
        <x:v>14</x:v>
      </x:c>
      <x:c r="E12" s="129" t="n">
        <x:f>C12-D12</x:f>
        <x:v>0</x:v>
      </x:c>
      <x:c r="F12" s="94" t="str">
        <x:f>IF(ABS(E12)&lt;0.000001,"PASS","FAIL")</x:f>
        <x:v>PASS</x:v>
      </x:c>
      <x:c r="G12" s="74"/>
      <x:c r="H12" s="74"/>
      <x:c r="I12" s="74"/>
      <x:c r="J12" s="74"/>
      <x:c r="K12" s="74"/>
      <x:c r="L12" s="74"/>
      <x:c r="M12" s="74"/>
      <x:c r="N12" s="74"/>
    </x:row>
    <x:row r="13">
      <x:c r="A13" s="94" t="str">
        <x:v>A07</x:v>
      </x:c>
      <x:c r="B13" s="94" t="str">
        <x:v>Observation domains</x:v>
      </x:c>
      <x:c r="C13" s="129" t="n">
        <x:f>COUNTA('Observation Ledger'!A7:A14)</x:f>
        <x:v>8</x:v>
      </x:c>
      <x:c r="D13" s="129" t="n">
        <x:v>8</x:v>
      </x:c>
      <x:c r="E13" s="129" t="n">
        <x:f>C13-D13</x:f>
        <x:v>0</x:v>
      </x:c>
      <x:c r="F13" s="94" t="str">
        <x:f>IF(ABS(E13)&lt;0.000001,"PASS","FAIL")</x:f>
        <x:v>PASS</x:v>
      </x:c>
      <x:c r="G13" s="74"/>
      <x:c r="H13" s="74"/>
      <x:c r="I13" s="74"/>
      <x:c r="J13" s="74"/>
      <x:c r="K13" s="74"/>
      <x:c r="L13" s="74"/>
      <x:c r="M13" s="74"/>
      <x:c r="N13" s="74"/>
    </x:row>
    <x:row r="14">
      <x:c r="A14" s="94" t="str">
        <x:v>A08</x:v>
      </x:c>
      <x:c r="B14" s="94" t="str">
        <x:v>Forecast cells</x:v>
      </x:c>
      <x:c r="C14" s="129" t="n">
        <x:f>'Knowledge Topology'!C7</x:f>
        <x:v>504</x:v>
      </x:c>
      <x:c r="D14" s="129" t="n">
        <x:v>504</x:v>
      </x:c>
      <x:c r="E14" s="129" t="n">
        <x:f>C14-D14</x:f>
        <x:v>0</x:v>
      </x:c>
      <x:c r="F14" s="94" t="str">
        <x:f>IF(ABS(E14)&lt;0.000001,"PASS","FAIL")</x:f>
        <x:v>PASS</x:v>
      </x:c>
      <x:c r="G14" s="74"/>
      <x:c r="H14" s="74"/>
      <x:c r="I14" s="74"/>
      <x:c r="J14" s="74"/>
      <x:c r="K14" s="74"/>
      <x:c r="L14" s="74"/>
      <x:c r="M14" s="74"/>
      <x:c r="N14" s="74"/>
    </x:row>
    <x:row r="15">
      <x:c r="A15" s="94" t="str">
        <x:v>A09</x:v>
      </x:c>
      <x:c r="B15" s="94" t="str">
        <x:v>Forecast paths</x:v>
      </x:c>
      <x:c r="C15" s="129" t="n">
        <x:f>'Knowledge Topology'!C8</x:f>
        <x:v>1512</x:v>
      </x:c>
      <x:c r="D15" s="129" t="n">
        <x:v>1512</x:v>
      </x:c>
      <x:c r="E15" s="129" t="n">
        <x:f>C15-D15</x:f>
        <x:v>0</x:v>
      </x:c>
      <x:c r="F15" s="94" t="str">
        <x:f>IF(ABS(E15)&lt;0.000001,"PASS","FAIL")</x:f>
        <x:v>PASS</x:v>
      </x:c>
      <x:c r="G15" s="74"/>
      <x:c r="H15" s="74"/>
      <x:c r="I15" s="74"/>
      <x:c r="J15" s="74"/>
      <x:c r="K15" s="74"/>
      <x:c r="L15" s="74"/>
      <x:c r="M15" s="74"/>
      <x:c r="N15" s="74"/>
    </x:row>
    <x:row r="16">
      <x:c r="A16" s="94" t="str">
        <x:v>A10</x:v>
      </x:c>
      <x:c r="B16" s="94" t="str">
        <x:v>Receiver paths</x:v>
      </x:c>
      <x:c r="C16" s="129" t="n">
        <x:f>SUM('Receiver Query Matrix'!E7:E62)</x:f>
        <x:v>1008</x:v>
      </x:c>
      <x:c r="D16" s="129" t="n">
        <x:v>1008</x:v>
      </x:c>
      <x:c r="E16" s="129" t="n">
        <x:f>C16-D16</x:f>
        <x:v>0</x:v>
      </x:c>
      <x:c r="F16" s="94" t="str">
        <x:f>IF(ABS(E16)&lt;0.000001,"PASS","FAIL")</x:f>
        <x:v>PASS</x:v>
      </x:c>
      <x:c r="G16" s="74"/>
      <x:c r="H16" s="74"/>
      <x:c r="I16" s="74"/>
      <x:c r="J16" s="74"/>
      <x:c r="K16" s="74"/>
      <x:c r="L16" s="74"/>
      <x:c r="M16" s="74"/>
      <x:c r="N16" s="74"/>
    </x:row>
    <x:row r="17">
      <x:c r="A17" s="94" t="str">
        <x:v>A11</x:v>
      </x:c>
      <x:c r="B17" s="94" t="str">
        <x:v>Family-district interfaces</x:v>
      </x:c>
      <x:c r="C17" s="129" t="n">
        <x:f>'Knowledge Topology'!C10</x:f>
        <x:v>336</x:v>
      </x:c>
      <x:c r="D17" s="129" t="n">
        <x:v>336</x:v>
      </x:c>
      <x:c r="E17" s="129" t="n">
        <x:f>C17-D17</x:f>
        <x:v>0</x:v>
      </x:c>
      <x:c r="F17" s="94" t="str">
        <x:f>IF(ABS(E17)&lt;0.000001,"PASS","FAIL")</x:f>
        <x:v>PASS</x:v>
      </x:c>
      <x:c r="G17" s="74"/>
      <x:c r="H17" s="74"/>
      <x:c r="I17" s="74"/>
      <x:c r="J17" s="74"/>
      <x:c r="K17" s="74"/>
      <x:c r="L17" s="74"/>
      <x:c r="M17" s="74"/>
      <x:c r="N17" s="74"/>
    </x:row>
    <x:row r="18">
      <x:c r="A18" s="94" t="str">
        <x:v>A12</x:v>
      </x:c>
      <x:c r="B18" s="94" t="str">
        <x:v>Formation nodes</x:v>
      </x:c>
      <x:c r="C18" s="129" t="n">
        <x:f>SUM('Formation Nodes'!B7:B13)</x:f>
        <x:v>5251</x:v>
      </x:c>
      <x:c r="D18" s="129" t="n">
        <x:v>5251</x:v>
      </x:c>
      <x:c r="E18" s="129" t="n">
        <x:f>C18-D18</x:f>
        <x:v>0</x:v>
      </x:c>
      <x:c r="F18" s="94" t="str">
        <x:f>IF(ABS(E18)&lt;0.000001,"PASS","FAIL")</x:f>
        <x:v>PASS</x:v>
      </x:c>
      <x:c r="G18" s="74"/>
      <x:c r="H18" s="74"/>
      <x:c r="I18" s="74"/>
      <x:c r="J18" s="74"/>
      <x:c r="K18" s="74"/>
      <x:c r="L18" s="74"/>
      <x:c r="M18" s="74"/>
      <x:c r="N18" s="74"/>
    </x:row>
    <x:row r="19">
      <x:c r="A19" s="94" t="str">
        <x:v>A13</x:v>
      </x:c>
      <x:c r="B19" s="94" t="str">
        <x:v>Workforce total</x:v>
      </x:c>
      <x:c r="C19" s="129" t="n">
        <x:f>Workforce!D14</x:f>
        <x:v>599544</x:v>
      </x:c>
      <x:c r="D19" s="129" t="n">
        <x:v>599544</x:v>
      </x:c>
      <x:c r="E19" s="129" t="n">
        <x:f>C19-D19</x:f>
        <x:v>0</x:v>
      </x:c>
      <x:c r="F19" s="94" t="str">
        <x:f>IF(ABS(E19)&lt;0.000001,"PASS","FAIL")</x:f>
        <x:v>PASS</x:v>
      </x:c>
      <x:c r="G19" s="74"/>
      <x:c r="H19" s="74"/>
      <x:c r="I19" s="74"/>
      <x:c r="J19" s="74"/>
      <x:c r="K19" s="74"/>
      <x:c r="L19" s="74"/>
      <x:c r="M19" s="74"/>
      <x:c r="N19" s="74"/>
    </x:row>
    <x:row r="20">
      <x:c r="A20" s="94" t="str">
        <x:v>A14</x:v>
      </x:c>
      <x:c r="B20" s="94" t="str">
        <x:v>Workforce below Department account</x:v>
      </x:c>
      <x:c r="C20" s="129" t="n">
        <x:f>IF(Workforce!D14&lt;=Controls!C7,1,0)</x:f>
        <x:v>1</x:v>
      </x:c>
      <x:c r="D20" s="129" t="n">
        <x:v>1</x:v>
      </x:c>
      <x:c r="E20" s="129" t="n">
        <x:f>C20-D20</x:f>
        <x:v>0</x:v>
      </x:c>
      <x:c r="F20" s="94" t="str">
        <x:f>IF(ABS(E20)&lt;0.000001,"PASS","FAIL")</x:f>
        <x:v>PASS</x:v>
      </x:c>
      <x:c r="G20" s="74"/>
      <x:c r="H20" s="74"/>
      <x:c r="I20" s="74"/>
      <x:c r="J20" s="74"/>
      <x:c r="K20" s="74"/>
      <x:c r="L20" s="74"/>
      <x:c r="M20" s="74"/>
      <x:c r="N20" s="74"/>
    </x:row>
    <x:row r="21">
      <x:c r="A21" s="94" t="str">
        <x:v>A15</x:v>
      </x:c>
      <x:c r="B21" s="94" t="str">
        <x:v>Base technology total</x:v>
      </x:c>
      <x:c r="C21" s="129" t="n">
        <x:f>Technology!B14</x:f>
        <x:v>175</x:v>
      </x:c>
      <x:c r="D21" s="129" t="n">
        <x:v>175</x:v>
      </x:c>
      <x:c r="E21" s="129" t="n">
        <x:f>C21-D21</x:f>
        <x:v>0</x:v>
      </x:c>
      <x:c r="F21" s="94" t="str">
        <x:f>IF(ABS(E21)&lt;0.000001,"PASS","FAIL")</x:f>
        <x:v>PASS</x:v>
      </x:c>
      <x:c r="G21" s="74"/>
      <x:c r="H21" s="74"/>
      <x:c r="I21" s="74"/>
      <x:c r="J21" s="74"/>
      <x:c r="K21" s="74"/>
      <x:c r="L21" s="74"/>
      <x:c r="M21" s="74"/>
      <x:c r="N21" s="74"/>
    </x:row>
    <x:row r="22">
      <x:c r="A22" s="94" t="str">
        <x:v>A16</x:v>
      </x:c>
      <x:c r="B22" s="94" t="str">
        <x:v>Technology inside Department account</x:v>
      </x:c>
      <x:c r="C22" s="129" t="n">
        <x:f>IF(Technology!D14&lt;=Controls!C9,1,0)</x:f>
        <x:v>1</x:v>
      </x:c>
      <x:c r="D22" s="129" t="n">
        <x:v>1</x:v>
      </x:c>
      <x:c r="E22" s="129" t="n">
        <x:f>C22-D22</x:f>
        <x:v>0</x:v>
      </x:c>
      <x:c r="F22" s="94" t="str">
        <x:f>IF(ABS(E22)&lt;0.000001,"PASS","FAIL")</x:f>
        <x:v>PASS</x:v>
      </x:c>
      <x:c r="G22" s="74"/>
      <x:c r="H22" s="74"/>
      <x:c r="I22" s="74"/>
      <x:c r="J22" s="74"/>
      <x:c r="K22" s="74"/>
      <x:c r="L22" s="74"/>
      <x:c r="M22" s="74"/>
      <x:c r="N22" s="74"/>
    </x:row>
    <x:row r="23">
      <x:c r="A23" s="94" t="str">
        <x:v>A17</x:v>
      </x:c>
      <x:c r="B23" s="94" t="str">
        <x:v>Base capital total</x:v>
      </x:c>
      <x:c r="C23" s="129" t="n">
        <x:f>Capital!D17</x:f>
        <x:v>680.0000000000001</x:v>
      </x:c>
      <x:c r="D23" s="129" t="n">
        <x:v>680</x:v>
      </x:c>
      <x:c r="E23" s="129" t="n">
        <x:f>C23-D23</x:f>
        <x:v>1.1368683772161603e-13</x:v>
      </x:c>
      <x:c r="F23" s="94" t="str">
        <x:f>IF(ABS(E23)&lt;0.000001,"PASS","FAIL")</x:f>
        <x:v>PASS</x:v>
      </x:c>
      <x:c r="G23" s="74"/>
      <x:c r="H23" s="74"/>
      <x:c r="I23" s="74"/>
      <x:c r="J23" s="74"/>
      <x:c r="K23" s="74"/>
      <x:c r="L23" s="74"/>
      <x:c r="M23" s="74"/>
      <x:c r="N23" s="74"/>
    </x:row>
    <x:row r="24">
      <x:c r="A24" s="94" t="str">
        <x:v>A18</x:v>
      </x:c>
      <x:c r="B24" s="94" t="str">
        <x:v>Capital inside Department account</x:v>
      </x:c>
      <x:c r="C24" s="129" t="n">
        <x:f>IF(Capital!F17&lt;=Controls!C10,1,0)</x:f>
        <x:v>1</x:v>
      </x:c>
      <x:c r="D24" s="129" t="n">
        <x:v>1</x:v>
      </x:c>
      <x:c r="E24" s="129" t="n">
        <x:f>C24-D24</x:f>
        <x:v>0</x:v>
      </x:c>
      <x:c r="F24" s="94" t="str">
        <x:f>IF(ABS(E24)&lt;0.000001,"PASS","FAIL")</x:f>
        <x:v>PASS</x:v>
      </x:c>
      <x:c r="G24" s="74"/>
      <x:c r="H24" s="74"/>
      <x:c r="I24" s="74"/>
      <x:c r="J24" s="74"/>
      <x:c r="K24" s="74"/>
      <x:c r="L24" s="74"/>
      <x:c r="M24" s="74"/>
      <x:c r="N24" s="74"/>
    </x:row>
    <x:row r="25">
      <x:c r="A25" s="94" t="str">
        <x:v>A19</x:v>
      </x:c>
      <x:c r="B25" s="94" t="str">
        <x:v>Base mature operations</x:v>
      </x:c>
      <x:c r="C25" s="129" t="n">
        <x:f>'Mature Operations'!C17</x:f>
        <x:v>279.91336</x:v>
      </x:c>
      <x:c r="D25" s="129" t="n">
        <x:v>279.91336</x:v>
      </x:c>
      <x:c r="E25" s="129" t="n">
        <x:f>C25-D25</x:f>
        <x:v>0</x:v>
      </x:c>
      <x:c r="F25" s="94" t="str">
        <x:f>IF(ABS(E25)&lt;0.000001,"PASS","FAIL")</x:f>
        <x:v>PASS</x:v>
      </x:c>
      <x:c r="G25" s="74"/>
      <x:c r="H25" s="74"/>
      <x:c r="I25" s="74"/>
      <x:c r="J25" s="74"/>
      <x:c r="K25" s="74"/>
      <x:c r="L25" s="74"/>
      <x:c r="M25" s="74"/>
      <x:c r="N25" s="74"/>
    </x:row>
    <x:row r="26">
      <x:c r="A26" s="94" t="str">
        <x:v>A20</x:v>
      </x:c>
      <x:c r="B26" s="94" t="str">
        <x:v>Operations inside Department account</x:v>
      </x:c>
      <x:c r="C26" s="129" t="n">
        <x:f>IF('Mature Operations'!D17&lt;=Controls!C8,1,0)</x:f>
        <x:v>1</x:v>
      </x:c>
      <x:c r="D26" s="129" t="n">
        <x:v>1</x:v>
      </x:c>
      <x:c r="E26" s="129" t="n">
        <x:f>C26-D26</x:f>
        <x:v>0</x:v>
      </x:c>
      <x:c r="F26" s="94" t="str">
        <x:f>IF(ABS(E26)&lt;0.000001,"PASS","FAIL")</x:f>
        <x:v>PASS</x:v>
      </x:c>
      <x:c r="G26" s="74"/>
      <x:c r="H26" s="74"/>
      <x:c r="I26" s="74"/>
      <x:c r="J26" s="74"/>
      <x:c r="K26" s="74"/>
      <x:c r="L26" s="74"/>
      <x:c r="M26" s="74"/>
      <x:c r="N26" s="74"/>
    </x:row>
    <x:row r="27">
      <x:c r="A27" s="94" t="str">
        <x:v>A21</x:v>
      </x:c>
      <x:c r="B27" s="94" t="str">
        <x:v>Operations ramp</x:v>
      </x:c>
      <x:c r="C27" s="129" t="n">
        <x:f>SUM(Controls!B33:B57)</x:f>
        <x:v>19.05</x:v>
      </x:c>
      <x:c r="D27" s="129" t="n">
        <x:v>19.05</x:v>
      </x:c>
      <x:c r="E27" s="129" t="n">
        <x:f>C27-D27</x:f>
        <x:v>0</x:v>
      </x:c>
      <x:c r="F27" s="94" t="str">
        <x:f>IF(ABS(E27)&lt;0.000001,"PASS","FAIL")</x:f>
        <x:v>PASS</x:v>
      </x:c>
      <x:c r="G27" s="74"/>
      <x:c r="H27" s="74"/>
      <x:c r="I27" s="74"/>
      <x:c r="J27" s="74"/>
      <x:c r="K27" s="74"/>
      <x:c r="L27" s="74"/>
      <x:c r="M27" s="74"/>
      <x:c r="N27" s="74"/>
    </x:row>
    <x:row r="28">
      <x:c r="A28" s="94" t="str">
        <x:v>A22</x:v>
      </x:c>
      <x:c r="B28" s="94" t="str">
        <x:v>Technology profile conserved</x:v>
      </x:c>
      <x:c r="C28" s="129" t="n">
        <x:f>SUM(Controls!C33:C57)</x:f>
        <x:v>1</x:v>
      </x:c>
      <x:c r="D28" s="129" t="n">
        <x:v>1</x:v>
      </x:c>
      <x:c r="E28" s="129" t="n">
        <x:f>C28-D28</x:f>
        <x:v>0</x:v>
      </x:c>
      <x:c r="F28" s="94" t="str">
        <x:f>IF(ABS(E28)&lt;0.000001,"PASS","FAIL")</x:f>
        <x:v>PASS</x:v>
      </x:c>
      <x:c r="G28" s="74"/>
      <x:c r="H28" s="74"/>
      <x:c r="I28" s="74"/>
      <x:c r="J28" s="74"/>
      <x:c r="K28" s="74"/>
      <x:c r="L28" s="74"/>
      <x:c r="M28" s="74"/>
      <x:c r="N28" s="74"/>
    </x:row>
    <x:row r="29">
      <x:c r="A29" s="94" t="str">
        <x:v>A23</x:v>
      </x:c>
      <x:c r="B29" s="94" t="str">
        <x:v>Capital profile conserved</x:v>
      </x:c>
      <x:c r="C29" s="129" t="n">
        <x:f>SUM(Controls!D33:D57)</x:f>
        <x:v>1</x:v>
      </x:c>
      <x:c r="D29" s="129" t="n">
        <x:v>1</x:v>
      </x:c>
      <x:c r="E29" s="129" t="n">
        <x:f>C29-D29</x:f>
        <x:v>0</x:v>
      </x:c>
      <x:c r="F29" s="94" t="str">
        <x:f>IF(ABS(E29)&lt;0.000001,"PASS","FAIL")</x:f>
        <x:v>PASS</x:v>
      </x:c>
      <x:c r="G29" s="74"/>
      <x:c r="H29" s="74"/>
      <x:c r="I29" s="74"/>
      <x:c r="J29" s="74"/>
      <x:c r="K29" s="74"/>
      <x:c r="L29" s="74"/>
      <x:c r="M29" s="74"/>
      <x:c r="N29" s="74"/>
    </x:row>
    <x:row r="30">
      <x:c r="A30" s="94" t="str">
        <x:v>A24</x:v>
      </x:c>
      <x:c r="B30" s="94" t="str">
        <x:v>Schedule technology reconciles</x:v>
      </x:c>
      <x:c r="C30" s="129" t="n">
        <x:f>SUM('25-Year Economy'!E7:E31)-Technology!D14</x:f>
        <x:v>0</x:v>
      </x:c>
      <x:c r="D30" s="129" t="n">
        <x:v>0</x:v>
      </x:c>
      <x:c r="E30" s="129" t="n">
        <x:f>C30-D30</x:f>
        <x:v>0</x:v>
      </x:c>
      <x:c r="F30" s="94" t="str">
        <x:f>IF(ABS(E30)&lt;0.000001,"PASS","FAIL")</x:f>
        <x:v>PASS</x:v>
      </x:c>
      <x:c r="G30" s="74"/>
      <x:c r="H30" s="74"/>
      <x:c r="I30" s="74"/>
      <x:c r="J30" s="74"/>
      <x:c r="K30" s="74"/>
      <x:c r="L30" s="74"/>
      <x:c r="M30" s="74"/>
      <x:c r="N30" s="74"/>
    </x:row>
    <x:row r="31">
      <x:c r="A31" s="94" t="str">
        <x:v>A25</x:v>
      </x:c>
      <x:c r="B31" s="94" t="str">
        <x:v>Schedule capital reconciles</x:v>
      </x:c>
      <x:c r="C31" s="129" t="n">
        <x:f>SUM('25-Year Economy'!F7:F31)-Capital!F17</x:f>
        <x:v>1.1368683772161603e-13</x:v>
      </x:c>
      <x:c r="D31" s="129" t="n">
        <x:v>0</x:v>
      </x:c>
      <x:c r="E31" s="129" t="n">
        <x:f>C31-D31</x:f>
        <x:v>1.1368683772161603e-13</x:v>
      </x:c>
      <x:c r="F31" s="94" t="str">
        <x:f>IF(ABS(E31)&lt;0.000001,"PASS","FAIL")</x:f>
        <x:v>PASS</x:v>
      </x:c>
      <x:c r="G31" s="74"/>
      <x:c r="H31" s="74"/>
      <x:c r="I31" s="74"/>
      <x:c r="J31" s="74"/>
      <x:c r="K31" s="74"/>
      <x:c r="L31" s="74"/>
      <x:c r="M31" s="74"/>
      <x:c r="N31" s="74"/>
    </x:row>
    <x:row r="32">
      <x:c r="A32" s="94" t="str">
        <x:v>A26</x:v>
      </x:c>
      <x:c r="B32" s="94" t="str">
        <x:v>Schedule operations reconciles</x:v>
      </x:c>
      <x:c r="C32" s="129" t="n">
        <x:f>SUM('25-Year Economy'!G7:G31)-'Mature Operations'!D17*Controls!C12</x:f>
        <x:v>9.094947017729282e-13</x:v>
      </x:c>
      <x:c r="D32" s="129" t="n">
        <x:v>0</x:v>
      </x:c>
      <x:c r="E32" s="129" t="n">
        <x:f>C32-D32</x:f>
        <x:v>9.094947017729282e-13</x:v>
      </x:c>
      <x:c r="F32" s="94" t="str">
        <x:f>IF(ABS(E32)&lt;0.000001,"PASS","FAIL")</x:f>
        <x:v>PASS</x:v>
      </x:c>
      <x:c r="G32" s="74"/>
      <x:c r="H32" s="74"/>
      <x:c r="I32" s="74"/>
      <x:c r="J32" s="74"/>
      <x:c r="K32" s="74"/>
      <x:c r="L32" s="74"/>
      <x:c r="M32" s="74"/>
      <x:c r="N32" s="74"/>
    </x:row>
    <x:row r="33">
      <x:c r="A33" s="94" t="str">
        <x:v>A27</x:v>
      </x:c>
      <x:c r="B33" s="94" t="str">
        <x:v>Twenty-five-year jurisdiction inside Department</x:v>
      </x:c>
      <x:c r="C33" s="129" t="n">
        <x:f>IF('25-Year Economy'!H33&lt;=Controls!C11/1000,1,0)</x:f>
        <x:v>1</x:v>
      </x:c>
      <x:c r="D33" s="129" t="n">
        <x:v>1</x:v>
      </x:c>
      <x:c r="E33" s="129" t="n">
        <x:f>C33-D33</x:f>
        <x:v>0</x:v>
      </x:c>
      <x:c r="F33" s="94" t="str">
        <x:f>IF(ABS(E33)&lt;0.000001,"PASS","FAIL")</x:f>
        <x:v>PASS</x:v>
      </x:c>
      <x:c r="G33" s="74"/>
      <x:c r="H33" s="74"/>
      <x:c r="I33" s="74"/>
      <x:c r="J33" s="74"/>
      <x:c r="K33" s="74"/>
      <x:c r="L33" s="74"/>
      <x:c r="M33" s="74"/>
      <x:c r="N33" s="74"/>
    </x:row>
    <x:row r="34">
      <x:c r="A34" s="94" t="str">
        <x:v>A28</x:v>
      </x:c>
      <x:c r="B34" s="94" t="str">
        <x:v>Stress worlds pass</x:v>
      </x:c>
      <x:c r="C34" s="129" t="n">
        <x:f>COUNTIF('Stress Cases'!G7:G18,"PASS")</x:f>
        <x:v>12</x:v>
      </x:c>
      <x:c r="D34" s="129" t="n">
        <x:v>12</x:v>
      </x:c>
      <x:c r="E34" s="129" t="n">
        <x:f>C34-D34</x:f>
        <x:v>0</x:v>
      </x:c>
      <x:c r="F34" s="94" t="str">
        <x:f>IF(ABS(E34)&lt;0.000001,"PASS","FAIL")</x:f>
        <x:v>PASS</x:v>
      </x:c>
      <x:c r="G34" s="74"/>
      <x:c r="H34" s="74"/>
      <x:c r="I34" s="74"/>
      <x:c r="J34" s="74"/>
      <x:c r="K34" s="74"/>
      <x:c r="L34" s="74"/>
      <x:c r="M34" s="74"/>
      <x:c r="N34" s="74"/>
    </x:row>
    <x:row r="35">
      <x:c r="A35" s="94" t="str">
        <x:v>A29</x:v>
      </x:c>
      <x:c r="B35" s="94" t="str">
        <x:v>Source-empty model roots</x:v>
      </x:c>
      <x:c r="C35" s="129" t="n">
        <x:f>COUNTIF('Model Root Ledger'!J7:J62,"HOLD")</x:f>
        <x:v>56</x:v>
      </x:c>
      <x:c r="D35" s="129" t="n">
        <x:v>56</x:v>
      </x:c>
      <x:c r="E35" s="129" t="n">
        <x:f>C35-D35</x:f>
        <x:v>0</x:v>
      </x:c>
      <x:c r="F35" s="94" t="str">
        <x:f>IF(ABS(E35)&lt;0.000001,"PASS","FAIL")</x:f>
        <x:v>PASS</x:v>
      </x:c>
      <x:c r="G35" s="74"/>
      <x:c r="H35" s="74"/>
      <x:c r="I35" s="74"/>
      <x:c r="J35" s="74"/>
      <x:c r="K35" s="74"/>
      <x:c r="L35" s="74"/>
      <x:c r="M35" s="74"/>
      <x:c r="N35" s="74"/>
    </x:row>
    <x:row r="36">
      <x:c r="A36" s="94" t="str">
        <x:v>A30</x:v>
      </x:c>
      <x:c r="B36" s="94" t="str">
        <x:v>Source-empty receiver paths</x:v>
      </x:c>
      <x:c r="C36" s="129" t="n">
        <x:f>COUNTIF('Receiver Query Matrix'!H7:H62,"HOLD")</x:f>
        <x:v>56</x:v>
      </x:c>
      <x:c r="D36" s="129" t="n">
        <x:v>56</x:v>
      </x:c>
      <x:c r="E36" s="129" t="n">
        <x:f>C36-D36</x:f>
        <x:v>0</x:v>
      </x:c>
      <x:c r="F36" s="94" t="str">
        <x:f>IF(ABS(E36)&lt;0.000001,"PASS","FAIL")</x:f>
        <x:v>PASS</x:v>
      </x:c>
      <x:c r="G36" s="74"/>
      <x:c r="H36" s="74"/>
      <x:c r="I36" s="74"/>
      <x:c r="J36" s="74"/>
      <x:c r="K36" s="74"/>
      <x:c r="L36" s="74"/>
      <x:c r="M36" s="74"/>
      <x:c r="N36" s="74"/>
    </x:row>
    <x:row r="37">
      <x:c r="A37" s="94" t="str">
        <x:v>A31</x:v>
      </x:c>
      <x:c r="B37" s="94" t="str">
        <x:v>Mutation tests fail when mutated</x:v>
      </x:c>
      <x:c r="C37" s="129" t="n">
        <x:f>COUNTIF('Mutation Tests'!F7:F12,"FAIL")</x:f>
        <x:v>6</x:v>
      </x:c>
      <x:c r="D37" s="129" t="n">
        <x:v>6</x:v>
      </x:c>
      <x:c r="E37" s="129" t="n">
        <x:f>C37-D37</x:f>
        <x:v>0</x:v>
      </x:c>
      <x:c r="F37" s="94" t="str">
        <x:f>IF(ABS(E37)&lt;0.000001,"PASS","FAIL")</x:f>
        <x:v>PASS</x:v>
      </x:c>
      <x:c r="G37" s="74"/>
      <x:c r="H37" s="74"/>
      <x:c r="I37" s="74"/>
      <x:c r="J37" s="74"/>
      <x:c r="K37" s="74"/>
      <x:c r="L37" s="74"/>
      <x:c r="M37" s="74"/>
      <x:c r="N37" s="74"/>
    </x:row>
    <x:row r="38">
      <x:c r="A38" s="94" t="str">
        <x:v>A32</x:v>
      </x:c>
      <x:c r="B38" s="94" t="str">
        <x:v>Mutation tests pass when restored</x:v>
      </x:c>
      <x:c r="C38" s="129" t="n">
        <x:f>COUNTIF('Mutation Tests'!G7:G12,"PASS")</x:f>
        <x:v>6</x:v>
      </x:c>
      <x:c r="D38" s="129" t="n">
        <x:v>6</x:v>
      </x:c>
      <x:c r="E38" s="129" t="n">
        <x:f>C38-D38</x:f>
        <x:v>0</x:v>
      </x:c>
      <x:c r="F38" s="94" t="str">
        <x:f>IF(ABS(E38)&lt;0.000001,"PASS","FAIL")</x:f>
        <x:v>PASS</x:v>
      </x:c>
      <x:c r="G38" s="74"/>
      <x:c r="H38" s="74"/>
      <x:c r="I38" s="74"/>
      <x:c r="J38" s="74"/>
      <x:c r="K38" s="74"/>
      <x:c r="L38" s="74"/>
      <x:c r="M38" s="74"/>
      <x:c r="N38" s="74"/>
    </x:row>
  </x:sheetData>
  <x:conditionalFormatting sqref="F7:F38">
    <x:cfRule type="containsText" dxfId="14" priority="1" operator="containsText" text="FAIL"/>
    <x:cfRule type="containsText" dxfId="15" priority="2" operator="containsText" text="HOLD"/>
  </x:conditionalFormatting>
  <x:pageMargins left="0.7" right="0.7" top="0.75" bottom="0.75" header="0.3" footer="0.3"/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50" hidden="0" customWidth="1"/>
    <x:col min="3" max="3" width="16" hidden="0" customWidth="1"/>
    <x:col min="4" max="4" width="18" hidden="0" customWidth="1"/>
    <x:col min="5" max="5" width="20" hidden="0" customWidth="1"/>
    <x:col min="6" max="6" width="19" hidden="0" customWidth="1"/>
    <x:col min="7" max="7" width="19" hidden="0" customWidth="1"/>
  </x:cols>
  <x:sheetData>
    <x:row r="2">
      <x:c r="A2" s="73" t="str">
        <x:v>Mutation tests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Each deliberate constitutional defect must fail; restored state must pass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ID</x:v>
      </x:c>
      <x:c r="B6" s="90" t="str">
        <x:v>Invariant</x:v>
      </x:c>
      <x:c r="C6" s="90" t="str">
        <x:v>Safe value</x:v>
      </x:c>
      <x:c r="D6" s="90" t="str">
        <x:v>Mutated value</x:v>
      </x:c>
      <x:c r="E6" s="90" t="str">
        <x:v>Failure rule</x:v>
      </x:c>
      <x:c r="F6" s="90" t="str">
        <x:v>Mutated result</x:v>
      </x:c>
      <x:c r="G6" s="91" t="str">
        <x:v>Restored result</x:v>
      </x:c>
      <x:c r="H6" s="74"/>
      <x:c r="I6" s="74"/>
      <x:c r="J6" s="74"/>
      <x:c r="K6" s="74"/>
      <x:c r="L6" s="74"/>
      <x:c r="M6" s="74"/>
      <x:c r="N6" s="74"/>
    </x:row>
    <x:row r="7">
      <x:c r="A7" s="92" t="str">
        <x:v>M01</x:v>
      </x:c>
      <x:c r="B7" s="92" t="str">
        <x:v>At least three unlike forecast roots</x:v>
      </x:c>
      <x:c r="C7" s="92" t="n">
        <x:v>3</x:v>
      </x:c>
      <x:c r="D7" s="92" t="n">
        <x:v>1</x:v>
      </x:c>
      <x:c r="E7" s="92" t="str">
        <x:v>Value &gt;= 3</x:v>
      </x:c>
      <x:c r="F7" s="92" t="str">
        <x:f>IF(D7&gt;=3,"PASS","FAIL")</x:f>
        <x:v>FAIL</x:v>
      </x:c>
      <x:c r="G7" s="92" t="str">
        <x:f>IF(C7&gt;=3,"PASS","FAIL")</x:f>
        <x:v>PASS</x:v>
      </x:c>
      <x:c r="H7" s="74"/>
      <x:c r="I7" s="74"/>
      <x:c r="J7" s="74"/>
      <x:c r="K7" s="74"/>
      <x:c r="L7" s="74"/>
      <x:c r="M7" s="74"/>
      <x:c r="N7" s="74"/>
    </x:row>
    <x:row r="8">
      <x:c r="A8" s="94" t="str">
        <x:v>M02</x:v>
      </x:c>
      <x:c r="B8" s="94" t="str">
        <x:v>Forecast cannot auto-activate</x:v>
      </x:c>
      <x:c r="C8" s="94" t="n">
        <x:v>0</x:v>
      </x:c>
      <x:c r="D8" s="94" t="n">
        <x:v>1</x:v>
      </x:c>
      <x:c r="E8" s="94" t="str">
        <x:v>Value = 0</x:v>
      </x:c>
      <x:c r="F8" s="94" t="str">
        <x:f>IF(D8=0,"PASS","FAIL")</x:f>
        <x:v>FAIL</x:v>
      </x:c>
      <x:c r="G8" s="94" t="str">
        <x:f>IF(C8=0,"PASS","FAIL")</x:f>
        <x:v>PASS</x:v>
      </x:c>
      <x:c r="H8" s="74"/>
      <x:c r="I8" s="74"/>
      <x:c r="J8" s="74"/>
      <x:c r="K8" s="74"/>
      <x:c r="L8" s="74"/>
      <x:c r="M8" s="74"/>
      <x:c r="N8" s="74"/>
    </x:row>
    <x:row r="9">
      <x:c r="A9" s="94" t="str">
        <x:v>M03</x:v>
      </x:c>
      <x:c r="B9" s="94" t="str">
        <x:v>Protected raw records cannot enter national lake</x:v>
      </x:c>
      <x:c r="C9" s="94" t="n">
        <x:v>0</x:v>
      </x:c>
      <x:c r="D9" s="94" t="n">
        <x:v>1</x:v>
      </x:c>
      <x:c r="E9" s="94" t="str">
        <x:v>Value = 0</x:v>
      </x:c>
      <x:c r="F9" s="94" t="str">
        <x:f>IF(D9=0,"PASS","FAIL")</x:f>
        <x:v>FAIL</x:v>
      </x:c>
      <x:c r="G9" s="94" t="str">
        <x:f>IF(C9=0,"PASS","FAIL")</x:f>
        <x:v>PASS</x:v>
      </x:c>
      <x:c r="H9" s="74"/>
      <x:c r="I9" s="74"/>
      <x:c r="J9" s="74"/>
      <x:c r="K9" s="74"/>
      <x:c r="L9" s="74"/>
      <x:c r="M9" s="74"/>
      <x:c r="N9" s="74"/>
    </x:row>
    <x:row r="10">
      <x:c r="A10" s="94" t="str">
        <x:v>M04</x:v>
      </x:c>
      <x:c r="B10" s="94" t="str">
        <x:v>Missing data cannot become low need</x:v>
      </x:c>
      <x:c r="C10" s="94" t="n">
        <x:v>0</x:v>
      </x:c>
      <x:c r="D10" s="94" t="n">
        <x:v>1</x:v>
      </x:c>
      <x:c r="E10" s="94" t="str">
        <x:v>Value = 0</x:v>
      </x:c>
      <x:c r="F10" s="94" t="str">
        <x:f>IF(D10=0,"PASS","FAIL")</x:f>
        <x:v>FAIL</x:v>
      </x:c>
      <x:c r="G10" s="94" t="str">
        <x:f>IF(C10=0,"PASS","FAIL")</x:f>
        <x:v>PASS</x:v>
      </x:c>
      <x:c r="H10" s="74"/>
      <x:c r="I10" s="74"/>
      <x:c r="J10" s="74"/>
      <x:c r="K10" s="74"/>
      <x:c r="L10" s="74"/>
      <x:c r="M10" s="74"/>
      <x:c r="N10" s="74"/>
    </x:row>
    <x:row r="11">
      <x:c r="A11" s="94" t="str">
        <x:v>M05</x:v>
      </x:c>
      <x:c r="B11" s="94" t="str">
        <x:v>Commercial access cannot become title</x:v>
      </x:c>
      <x:c r="C11" s="94" t="n">
        <x:v>0</x:v>
      </x:c>
      <x:c r="D11" s="94" t="n">
        <x:v>1</x:v>
      </x:c>
      <x:c r="E11" s="94" t="str">
        <x:v>Value = 0</x:v>
      </x:c>
      <x:c r="F11" s="94" t="str">
        <x:f>IF(D11=0,"PASS","FAIL")</x:f>
        <x:v>FAIL</x:v>
      </x:c>
      <x:c r="G11" s="94" t="str">
        <x:f>IF(C11=0,"PASS","FAIL")</x:f>
        <x:v>PASS</x:v>
      </x:c>
      <x:c r="H11" s="74"/>
      <x:c r="I11" s="74"/>
      <x:c r="J11" s="74"/>
      <x:c r="K11" s="74"/>
      <x:c r="L11" s="74"/>
      <x:c r="M11" s="74"/>
      <x:c r="N11" s="74"/>
    </x:row>
    <x:row r="12">
      <x:c r="A12" s="94" t="str">
        <x:v>M06</x:v>
      </x:c>
      <x:c r="B12" s="94" t="str">
        <x:v>Expired evidence cannot become operative reuse</x:v>
      </x:c>
      <x:c r="C12" s="94" t="n">
        <x:v>0</x:v>
      </x:c>
      <x:c r="D12" s="94" t="n">
        <x:v>1</x:v>
      </x:c>
      <x:c r="E12" s="94" t="str">
        <x:v>Value = 0</x:v>
      </x:c>
      <x:c r="F12" s="94" t="str">
        <x:f>IF(D12=0,"PASS","FAIL")</x:f>
        <x:v>FAIL</x:v>
      </x:c>
      <x:c r="G12" s="94" t="str">
        <x:f>IF(C12=0,"PASS","FAIL")</x:f>
        <x:v>PASS</x:v>
      </x:c>
      <x:c r="H12" s="74"/>
      <x:c r="I12" s="74"/>
      <x:c r="J12" s="74"/>
      <x:c r="K12" s="74"/>
      <x:c r="L12" s="74"/>
      <x:c r="M12" s="74"/>
      <x:c r="N12" s="74"/>
    </x:row>
  </x:sheetData>
  <x:conditionalFormatting sqref="F7:G12">
    <x:cfRule type="containsText" dxfId="16" priority="1" operator="containsText" text="FAIL"/>
    <x:cfRule type="containsText" dxfId="17" priority="2" operator="containsText" text="HOLD"/>
  </x:conditionalFormatting>
  <x:pageMargins left="0.7" right="0.7" top="0.75" bottom="0.75" header="0.3" footer="0.3"/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98" hidden="0" customWidth="1"/>
    <x:col min="3" max="3" width="74" hidden="0" customWidth="1"/>
  </x:cols>
  <x:sheetData>
    <x:row r="2">
      <x:c r="A2" s="73" t="str">
        <x:v>Internal sources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No external sites were used in Pass 204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Source</x:v>
      </x:c>
      <x:c r="B6" s="90" t="str">
        <x:v>Repository path</x:v>
      </x:c>
      <x:c r="C6" s="91" t="str">
        <x:v>Claims carried forward</x:v>
      </x:c>
      <x:c r="D6" s="74"/>
      <x:c r="E6" s="74"/>
      <x:c r="F6" s="74"/>
      <x:c r="G6" s="74"/>
      <x:c r="H6" s="74"/>
      <x:c r="I6" s="74"/>
      <x:c r="J6" s="74"/>
      <x:c r="K6" s="74"/>
      <x:c r="L6" s="74"/>
      <x:c r="M6" s="74"/>
      <x:c r="N6" s="74"/>
    </x:row>
    <x:row r="7">
      <x:c r="A7" s="31" t="str">
        <x:v>Department constitutional order</x:v>
      </x:c>
      <x:c r="B7" s="31" t="str">
        <x:v>research/mandate/department-of-resilience-constitutional-order-and-national-power-state-machine.md</x:v>
      </x:c>
      <x:c r="C7" s="31" t="str">
        <x:v>Five houses, seventeen institution classes, typed warrants and nondelegation law</x:v>
      </x:c>
      <x:c r="D7" s="74"/>
      <x:c r="E7" s="74"/>
      <x:c r="F7" s="74"/>
      <x:c r="G7" s="74"/>
      <x:c r="H7" s="74"/>
      <x:c r="I7" s="74"/>
      <x:c r="J7" s="74"/>
      <x:c r="K7" s="74"/>
      <x:c r="L7" s="74"/>
      <x:c r="M7" s="74"/>
      <x:c r="N7" s="74"/>
    </x:row>
    <x:row r="8">
      <x:c r="A8" s="32" t="str">
        <x:v>Domestic public-service covenant</x:v>
      </x:c>
      <x:c r="B8" s="32" t="str">
        <x:v>research/mandate/department-of-resilience-domestic-public-service-sovereignty-and-activation-compact.md</x:v>
      </x:c>
      <x:c r="C8" s="32" t="str">
        <x:v>Seven districts, eight domestic campaigns, nine effects, 1,008 receiver routes and 336 family-district interfaces</x:v>
      </x:c>
      <x:c r="D8" s="74"/>
      <x:c r="E8" s="74"/>
      <x:c r="F8" s="74"/>
      <x:c r="G8" s="74"/>
      <x:c r="H8" s="74"/>
      <x:c r="I8" s="74"/>
      <x:c r="J8" s="74"/>
      <x:c r="K8" s="74"/>
      <x:c r="L8" s="74"/>
      <x:c r="M8" s="74"/>
      <x:c r="N8" s="74"/>
    </x:row>
    <x:row r="9">
      <x:c r="A9" s="32" t="str">
        <x:v>Civil Service Commonwealth</x:v>
      </x:c>
      <x:c r="B9" s="32" t="str">
        <x:v>research/mandate/department-of-resilience-workforce-service-citizenship-and-reserve-compact.md</x:v>
      </x:c>
      <x:c r="C9" s="32" t="str">
        <x:v>13.0M positions, USD 2.63T mature operations, 19.05 mature-year ramp and USD 68.4T outlay</x:v>
      </x:c>
      <x:c r="D9" s="74"/>
      <x:c r="E9" s="74"/>
      <x:c r="F9" s="74"/>
      <x:c r="G9" s="74"/>
      <x:c r="H9" s="74"/>
      <x:c r="I9" s="74"/>
      <x:c r="J9" s="74"/>
      <x:c r="K9" s="74"/>
      <x:c r="L9" s="74"/>
      <x:c r="M9" s="74"/>
      <x:c r="N9" s="74"/>
    </x:row>
    <x:row r="10">
      <x:c r="A10" s="32" t="str">
        <x:v>National force sizing</x:v>
      </x:c>
      <x:c r="B10" s="32" t="str">
        <x:v>research/force/generation/department-of-resilience-national-and-invited-international-concurrency-geography-and-force-sizing-constitution.md</x:v>
      </x:c>
      <x:c r="C10" s="32" t="str">
        <x:v>5,251 formations and seven readiness districts</x:v>
      </x:c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</x:row>
    <x:row r="11">
      <x:c r="A11" s="32" t="str">
        <x:v>Civil-state compiler registration</x:v>
      </x:c>
      <x:c r="B11" s="32" t="str">
        <x:v>research/proving/campaigns/new-york/l0-civil-state-compiler-registration.md</x:v>
      </x:c>
      <x:c r="C11" s="32" t="str">
        <x:v>Separate custody, estimator, privacy, reproduction and operational authorities</x:v>
      </x:c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</x:row>
    <x:row r="12">
      <x:c r="A12" s="32" t="str">
        <x:v>Productive Commonwealth root constitution</x:v>
      </x:c>
      <x:c r="B12" s="32" t="str">
        <x:v>research/force/generation/department-of-resilience-chartered-root-house-market-production-and-export-constitution.md</x:v>
      </x:c>
      <x:c r="C12" s="32" t="str">
        <x:v>Twenty-four independent Root Houses and nonconcentrated technical ancestry</x:v>
      </x:c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</x:row>
  </x:sheetData>
  <x:pageMargins left="0.7" right="0.7" top="0.75" bottom="0.75" header="0.3" footer="0.3"/>
</x:worksheet>
</file>

<file path=xl/worksheets/sheet24.xml><?xml version="1.0" encoding="utf-8"?>
<x:worksheet xmlns:x="http://schemas.openxmlformats.org/spreadsheetml/2006/main">
  <x:sheetPr>
    <x:tabColor rgb="FF5F6B76"/>
  </x:sheetPr>
  <x:sheetViews>
    <x:sheetView showGridLines="0" workbookViewId="0"/>
  </x:sheetViews>
  <x:sheetFormatPr defaultRowHeight="15"/>
  <x:cols>
    <x:col min="1" max="1" width="28" hidden="0" customWidth="1"/>
    <x:col min="2" max="2" width="115" hidden="0" customWidth="1"/>
  </x:cols>
  <x:sheetData>
    <x:row r="2">
      <x:c r="A2" s="73" t="str">
        <x:v>Read me</x:v>
      </x:c>
      <x:c r="B2" s="74"/>
      <x:c r="C2" s="74"/>
      <x:c r="D2" s="74"/>
      <x:c r="E2" s="74"/>
      <x:c r="F2" s="74"/>
      <x:c r="G2" s="74"/>
      <x:c r="H2" s="74"/>
      <x:c r="I2" s="74"/>
      <x:c r="J2" s="74"/>
      <x:c r="K2" s="74"/>
      <x:c r="L2" s="74"/>
      <x:c r="M2" s="74"/>
      <x:c r="N2" s="74"/>
    </x:row>
    <x:row r="3">
      <x:c r="A3" s="75" t="str">
        <x:v>Scope, interpretation and controlled update path</x:v>
      </x:c>
      <x:c r="B3" s="74"/>
      <x:c r="C3" s="74"/>
      <x:c r="D3" s="74"/>
      <x:c r="E3" s="74"/>
      <x:c r="F3" s="74"/>
      <x:c r="G3" s="74"/>
      <x:c r="H3" s="74"/>
      <x:c r="I3" s="74"/>
      <x:c r="J3" s="74"/>
      <x:c r="K3" s="74"/>
      <x:c r="L3" s="74"/>
      <x:c r="M3" s="74"/>
      <x:c r="N3" s="74"/>
    </x:row>
    <x:row r="4">
      <x:c r="A4" s="76"/>
      <x:c r="B4" s="76"/>
      <x:c r="C4" s="76"/>
      <x:c r="D4" s="76"/>
      <x:c r="E4" s="76"/>
      <x:c r="F4" s="76"/>
      <x:c r="G4" s="76"/>
      <x:c r="H4" s="76"/>
      <x:c r="I4" s="76"/>
      <x:c r="J4" s="76"/>
      <x:c r="K4" s="76"/>
      <x:c r="L4" s="76"/>
      <x:c r="M4" s="76"/>
      <x:c r="N4" s="76"/>
    </x:row>
    <x:row r="5">
      <x:c r="A5" s="74"/>
      <x:c r="B5" s="74"/>
      <x:c r="C5" s="74"/>
      <x:c r="D5" s="74"/>
      <x:c r="E5" s="74"/>
      <x:c r="F5" s="74"/>
      <x:c r="G5" s="74"/>
      <x:c r="H5" s="74"/>
      <x:c r="I5" s="74"/>
      <x:c r="J5" s="74"/>
      <x:c r="K5" s="74"/>
      <x:c r="L5" s="74"/>
      <x:c r="M5" s="74"/>
      <x:c r="N5" s="74"/>
    </x:row>
    <x:row r="6">
      <x:c r="A6" s="89" t="str">
        <x:v>Topic</x:v>
      </x:c>
      <x:c r="B6" s="91" t="str">
        <x:v>Guidance</x:v>
      </x:c>
      <x:c r="C6" s="74"/>
      <x:c r="D6" s="74"/>
      <x:c r="E6" s="74"/>
      <x:c r="F6" s="74"/>
      <x:c r="G6" s="74"/>
      <x:c r="H6" s="74"/>
      <x:c r="I6" s="74"/>
      <x:c r="J6" s="74"/>
      <x:c r="K6" s="74"/>
      <x:c r="L6" s="74"/>
      <x:c r="M6" s="74"/>
      <x:c r="N6" s="74"/>
    </x:row>
    <x:row r="7">
      <x:c r="A7" s="31" t="str">
        <x:v>Purpose</x:v>
      </x:c>
      <x:c r="B7" s="31" t="str">
        <x:v>This workbook tests the constitutional and fiscal coherence of Pass 204. It is not a cost estimate, appropriation, forecast of disasters or operational system.</x:v>
      </x:c>
      <x:c r="C7" s="74"/>
      <x:c r="D7" s="74"/>
      <x:c r="E7" s="74"/>
      <x:c r="F7" s="74"/>
      <x:c r="G7" s="74"/>
      <x:c r="H7" s="74"/>
      <x:c r="I7" s="74"/>
      <x:c r="J7" s="74"/>
      <x:c r="K7" s="74"/>
      <x:c r="L7" s="74"/>
      <x:c r="M7" s="74"/>
      <x:c r="N7" s="74"/>
    </x:row>
    <x:row r="8">
      <x:c r="A8" s="32" t="str">
        <x:v>Editable input</x:v>
      </x:c>
      <x:c r="B8" s="32" t="str">
        <x:v>Change only the yellow case selector on Controls. Case 1 is Low, 2 Base and 3 High.</x:v>
      </x:c>
      <x:c r="C8" s="74"/>
      <x:c r="D8" s="74"/>
      <x:c r="E8" s="74"/>
      <x:c r="F8" s="74"/>
      <x:c r="G8" s="74"/>
      <x:c r="H8" s="74"/>
      <x:c r="I8" s="74"/>
      <x:c r="J8" s="74"/>
      <x:c r="K8" s="74"/>
      <x:c r="L8" s="74"/>
      <x:c r="M8" s="74"/>
      <x:c r="N8" s="74"/>
    </x:row>
    <x:row r="9">
      <x:c r="A9" s="32" t="str">
        <x:v>Formula flow</x:v>
      </x:c>
      <x:c r="B9" s="32" t="str">
        <x:v>Controls feed topology, workforce, technology, capital and mature operations; those schedules feed the twenty-five-year economy and Decision. Audit is terminal and feeds nothing.</x:v>
      </x:c>
      <x:c r="C9" s="74"/>
      <x:c r="D9" s="74"/>
      <x:c r="E9" s="74"/>
      <x:c r="F9" s="74"/>
      <x:c r="G9" s="74"/>
      <x:c r="H9" s="74"/>
      <x:c r="I9" s="74"/>
      <x:c r="J9" s="74"/>
      <x:c r="K9" s="74"/>
      <x:c r="L9" s="74"/>
      <x:c r="M9" s="74"/>
      <x:c r="N9" s="74"/>
    </x:row>
    <x:row r="10">
      <x:c r="A10" s="32" t="str">
        <x:v>Precision</x:v>
      </x:c>
      <x:c r="B10" s="32" t="str">
        <x:v>Stored arithmetic supports reconciliation. The report presents no more than three significant figures unless directly carrying an exact count.</x:v>
      </x:c>
      <x:c r="C10" s="74"/>
      <x:c r="D10" s="74"/>
      <x:c r="E10" s="74"/>
      <x:c r="F10" s="74"/>
      <x:c r="G10" s="74"/>
      <x:c r="H10" s="74"/>
      <x:c r="I10" s="74"/>
      <x:c r="J10" s="74"/>
      <x:c r="K10" s="74"/>
      <x:c r="L10" s="74"/>
      <x:c r="M10" s="74"/>
      <x:c r="N10" s="74"/>
    </x:row>
    <x:row r="11">
      <x:c r="A11" s="32" t="str">
        <x:v>Source state</x:v>
      </x:c>
      <x:c r="B11" s="32" t="str">
        <x:v>Every identity, observation, model, query, warning and service token is source-empty. HOLD means the jurisdictional slot exists but no authority or capability credit is released.</x:v>
      </x:c>
      <x:c r="C11" s="74"/>
      <x:c r="D11" s="74"/>
      <x:c r="E11" s="74"/>
      <x:c r="F11" s="74"/>
      <x:c r="G11" s="74"/>
      <x:c r="H11" s="74"/>
      <x:c r="I11" s="74"/>
      <x:c r="J11" s="74"/>
      <x:c r="K11" s="74"/>
      <x:c r="L11" s="74"/>
      <x:c r="M11" s="74"/>
      <x:c r="N11" s="74"/>
    </x:row>
    <x:row r="12">
      <x:c r="A12" s="32" t="str">
        <x:v>No double count</x:v>
      </x:c>
      <x:c r="B12" s="32" t="str">
        <x:v>Knowledge technology, capital, operations and workforce are cross-classifications inside the Department accounts, not additions to USD 68.4T or 13.0M positions.</x:v>
      </x:c>
      <x:c r="C12" s="74"/>
      <x:c r="D12" s="74"/>
      <x:c r="E12" s="74"/>
      <x:c r="F12" s="74"/>
      <x:c r="G12" s="74"/>
      <x:c r="H12" s="74"/>
      <x:c r="I12" s="74"/>
      <x:c r="J12" s="74"/>
      <x:c r="K12" s="74"/>
      <x:c r="L12" s="74"/>
      <x:c r="M12" s="74"/>
      <x:c r="N12" s="74"/>
    </x:row>
    <x:row r="13">
      <x:c r="A13" s="32" t="str">
        <x:v>Privacy boundary</x:v>
      </x:c>
      <x:c r="B13" s="32" t="str">
        <x:v>K0 is open reality; K1 is protected civil state; K2 is ephemeral service state; K3 is sealed evidence. Movement among planes requires a typed warrant.</x:v>
      </x:c>
      <x:c r="C13" s="74"/>
      <x:c r="D13" s="74"/>
      <x:c r="E13" s="74"/>
      <x:c r="F13" s="74"/>
      <x:c r="G13" s="74"/>
      <x:c r="H13" s="74"/>
      <x:c r="I13" s="74"/>
      <x:c r="J13" s="74"/>
      <x:c r="K13" s="74"/>
      <x:c r="L13" s="74"/>
      <x:c r="M13" s="74"/>
      <x:c r="N13" s="74"/>
    </x:row>
    <x:row r="14">
      <x:c r="A14" s="32" t="str">
        <x:v>Department warrant map</x:v>
      </x:c>
      <x:c r="B14" s="32" t="str">
        <x:v>The twelve knowledge warrants refine the inherited seventeen Department-level warrants. They add no house, sovereign institution class or independent operational authority.</x:v>
      </x:c>
      <x:c r="C14" s="74"/>
      <x:c r="D14" s="74"/>
      <x:c r="E14" s="74"/>
      <x:c r="F14" s="74"/>
      <x:c r="G14" s="74"/>
      <x:c r="H14" s="74"/>
      <x:c r="I14" s="74"/>
      <x:c r="J14" s="74"/>
      <x:c r="K14" s="74"/>
      <x:c r="L14" s="74"/>
      <x:c r="M14" s="74"/>
      <x:c r="N14" s="74"/>
    </x:row>
    <x:row r="15">
      <x:c r="A15" s="32" t="str">
        <x:v>Rendering</x:v>
      </x:c>
      <x:c r="B15" s="32" t="str">
        <x:v>No vehicle, site or platform exterior is authorized. The workbook contains only analytical tables and one native financial chart.</x:v>
      </x:c>
      <x:c r="C15" s="74"/>
      <x:c r="D15" s="74"/>
      <x:c r="E15" s="74"/>
      <x:c r="F15" s="74"/>
      <x:c r="G15" s="74"/>
      <x:c r="H15" s="74"/>
      <x:c r="I15" s="74"/>
      <x:c r="J15" s="74"/>
      <x:c r="K15" s="74"/>
      <x:c r="L15" s="74"/>
      <x:c r="M15" s="74"/>
      <x:c r="N15" s="74"/>
    </x:row>
    <x:row r="16">
      <x:c r="A16" s="32" t="str">
        <x:v>Verification</x:v>
      </x:c>
      <x:c r="B16" s="32" t="str">
        <x:v>Audit checks formulas, conserved totals and failure behavior. Mutation Tests demonstrates that six prohibited conversions fail and recover when restored.</x:v>
      </x:c>
      <x:c r="C16" s="74"/>
      <x:c r="D16" s="74"/>
      <x:c r="E16" s="74"/>
      <x:c r="F16" s="74"/>
      <x:c r="G16" s="74"/>
      <x:c r="H16" s="74"/>
      <x:c r="I16" s="74"/>
      <x:c r="J16" s="74"/>
      <x:c r="K16" s="74"/>
      <x:c r="L16" s="74"/>
      <x:c r="M16" s="74"/>
      <x:c r="N16" s="74"/>
    </x:row>
  </x:sheetData>
  <x:pageMargins left="0.7" right="0.7" top="0.75" bottom="0.75" header="0.3" footer="0.3"/>
</x:worksheet>
</file>