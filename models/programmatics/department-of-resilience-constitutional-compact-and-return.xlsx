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ision" sheetId="1" state="visible" r:id="rId3"/>
    <sheet name="Five Houses" sheetId="2" state="visible" r:id="rId4"/>
    <sheet name="Warrant Machine" sheetId="3" state="visible" r:id="rId5"/>
    <sheet name="Compact Registry" sheetId="4" state="visible" r:id="rId6"/>
    <sheet name="Authority Matrix" sheetId="5" state="visible" r:id="rId7"/>
    <sheet name="Domestic Covenant" sheetId="6" state="visible" r:id="rId8"/>
    <sheet name="Civil Service" sheetId="7" state="visible" r:id="rId9"/>
    <sheet name="Reality Commons" sheetId="8" state="visible" r:id="rId10"/>
    <sheet name="Force State" sheetId="9" state="visible" r:id="rId11"/>
    <sheet name="Fiscal Accounts" sheetId="10" state="visible" r:id="rId12"/>
    <sheet name="25-Year Path" sheetId="11" state="visible" r:id="rId13"/>
    <sheet name="Stress Tests" sheetId="12" state="visible" r:id="rId14"/>
    <sheet name="Mutations" sheetId="13" state="visible" r:id="rId15"/>
    <sheet name="Audit" sheetId="14" state="visible" r:id="rId16"/>
    <sheet name="Sources &amp; Limits" sheetId="15" state="visible" r:id="rId1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<sst xmlns="http://schemas.openxmlformats.org/spreadsheetml/2006/main" count="1065" uniqueCount="817">
  <si>
    <t xml:space="preserve">Department of Resilience constitutional compact</t>
  </si>
  <si>
    <t xml:space="preserve">Pass 205 | DCA-5 | Fifth and final constitutional-architecture pass | Verdict: RETURN</t>
  </si>
  <si>
    <t xml:space="preserve">Selected constitutional form</t>
  </si>
  <si>
    <t xml:space="preserve">A warranted constitutional compact: five coequal houses exchange seventeen typed public-service warrants. Cross-cutting compacts refine those warrants but never become sovereign organizations. The Secretary directs priority and fiscal proposals but cannot manufacture technical fact, readiness, consent, service acceptance or effect.</t>
  </si>
  <si>
    <t xml:space="preserve">Control</t>
  </si>
  <si>
    <t xml:space="preserve">Count</t>
  </si>
  <si>
    <t xml:space="preserve">Meaning</t>
  </si>
  <si>
    <t xml:space="preserve">Mature reference</t>
  </si>
  <si>
    <t xml:space="preserve">Value</t>
  </si>
  <si>
    <t xml:space="preserve">Unit</t>
  </si>
  <si>
    <t xml:space="preserve">Houses</t>
  </si>
  <si>
    <t xml:space="preserve">Co-equal authority domains</t>
  </si>
  <si>
    <t xml:space="preserve">Affiliated establishment</t>
  </si>
  <si>
    <t xml:space="preserve">million positions</t>
  </si>
  <si>
    <t xml:space="preserve">Institution classes</t>
  </si>
  <si>
    <t xml:space="preserve">Existing constitutional actors</t>
  </si>
  <si>
    <t xml:space="preserve">Owned formations</t>
  </si>
  <si>
    <t xml:space="preserve">formations</t>
  </si>
  <si>
    <t xml:space="preserve">Top-level warrants</t>
  </si>
  <si>
    <t xml:space="preserve">Exclusive state transitions</t>
  </si>
  <si>
    <t xml:space="preserve">Ready formations</t>
  </si>
  <si>
    <t xml:space="preserve">Domestic warrants</t>
  </si>
  <si>
    <t xml:space="preserve">Duty and activation predicates</t>
  </si>
  <si>
    <t xml:space="preserve">Committed formations</t>
  </si>
  <si>
    <t xml:space="preserve">Personnel warrants</t>
  </si>
  <si>
    <t xml:space="preserve">Affiliation-to-release predicates</t>
  </si>
  <si>
    <t xml:space="preserve">Technology account</t>
  </si>
  <si>
    <t xml:space="preserve">USD billions</t>
  </si>
  <si>
    <t xml:space="preserve">Knowledge warrants</t>
  </si>
  <si>
    <t xml:space="preserve">Observation-to-destruction predicates</t>
  </si>
  <si>
    <t xml:space="preserve">Capital account</t>
  </si>
  <si>
    <t xml:space="preserve">Nonconversion laws</t>
  </si>
  <si>
    <t xml:space="preserve">Department-wide firebreaks</t>
  </si>
  <si>
    <t xml:space="preserve">Ramped operations</t>
  </si>
  <si>
    <t xml:space="preserve">Implementation authority</t>
  </si>
  <si>
    <t xml:space="preserve">No commissioned identity or evidence</t>
  </si>
  <si>
    <t xml:space="preserve">Public outlay</t>
  </si>
  <si>
    <t xml:space="preserve">Architecture</t>
  </si>
  <si>
    <t xml:space="preserve">Purpose</t>
  </si>
  <si>
    <t xml:space="preserve">Direction</t>
  </si>
  <si>
    <t xml:space="preserve">Facts</t>
  </si>
  <si>
    <t xml:space="preserve">Readiness</t>
  </si>
  <si>
    <t xml:space="preserve">Consent</t>
  </si>
  <si>
    <t xml:space="preserve">Effect</t>
  </si>
  <si>
    <t xml:space="preserve">Failure mode</t>
  </si>
  <si>
    <t xml:space="preserve">Result</t>
  </si>
  <si>
    <t xml:space="preserve">Reason</t>
  </si>
  <si>
    <t xml:space="preserve">Warranted compact</t>
  </si>
  <si>
    <t xml:space="preserve">Joined</t>
  </si>
  <si>
    <t xml:space="preserve">Secretary</t>
  </si>
  <si>
    <t xml:space="preserve">Separated</t>
  </si>
  <si>
    <t xml:space="preserve">JCA</t>
  </si>
  <si>
    <t xml:space="preserve">Receiver</t>
  </si>
  <si>
    <t xml:space="preserve">Trustees</t>
  </si>
  <si>
    <t xml:space="preserve">Return to exact warrant</t>
  </si>
  <si>
    <t xml:space="preserve">SELECT</t>
  </si>
  <si>
    <t xml:space="preserve">Complete integration without ownership merger</t>
  </si>
  <si>
    <t xml:space="preserve">Unified department</t>
  </si>
  <si>
    <t xml:space="preserve">Secretary chain</t>
  </si>
  <si>
    <t xml:space="preserve">Overridable</t>
  </si>
  <si>
    <t xml:space="preserve">Self-scored</t>
  </si>
  <si>
    <t xml:space="preserve">Direction manufactures state</t>
  </si>
  <si>
    <t xml:space="preserve">FAIL</t>
  </si>
  <si>
    <t xml:space="preserve">Concentrates incompatible powers</t>
  </si>
  <si>
    <t xml:space="preserve">House council</t>
  </si>
  <si>
    <t xml:space="preserve">Negotiated</t>
  </si>
  <si>
    <t xml:space="preserve">Consensus</t>
  </si>
  <si>
    <t xml:space="preserve">Veto-prone</t>
  </si>
  <si>
    <t xml:space="preserve">Silence becomes bargaining</t>
  </si>
  <si>
    <t xml:space="preserve">No executable default or clock</t>
  </si>
  <si>
    <t xml:space="preserve">Automated compiler</t>
  </si>
  <si>
    <t xml:space="preserve">Encoded</t>
  </si>
  <si>
    <t xml:space="preserve">Rules engine</t>
  </si>
  <si>
    <t xml:space="preserve">Model output</t>
  </si>
  <si>
    <t xml:space="preserve">Computed</t>
  </si>
  <si>
    <t xml:space="preserve">Tokenized</t>
  </si>
  <si>
    <t xml:space="preserve">Software manufactures authority</t>
  </si>
  <si>
    <t xml:space="preserve">Representation is not law</t>
  </si>
  <si>
    <t xml:space="preserve">Emergency command</t>
  </si>
  <si>
    <t xml:space="preserve">Exceptional</t>
  </si>
  <si>
    <t xml:space="preserve">Incident commander</t>
  </si>
  <si>
    <t xml:space="preserve">Waivable</t>
  </si>
  <si>
    <t xml:space="preserve">Deferred</t>
  </si>
  <si>
    <t xml:space="preserve">Exception becomes constitution</t>
  </si>
  <si>
    <t xml:space="preserve">Erases rights and adverse truth</t>
  </si>
  <si>
    <t xml:space="preserve">Five Houses</t>
  </si>
  <si>
    <t xml:space="preserve">No house may validate the state it owns. Houses are authority domains, not vertical departments.</t>
  </si>
  <si>
    <t xml:space="preserve">House</t>
  </si>
  <si>
    <t xml:space="preserve">Constitutional object</t>
  </si>
  <si>
    <t xml:space="preserve">Positive authority</t>
  </si>
  <si>
    <t xml:space="preserve">Cannot own</t>
  </si>
  <si>
    <t xml:space="preserve">Public output</t>
  </si>
  <si>
    <t xml:space="preserve">Failure default</t>
  </si>
  <si>
    <t xml:space="preserve">Successor</t>
  </si>
  <si>
    <t xml:space="preserve">Civic Covenant</t>
  </si>
  <si>
    <t xml:space="preserve">Duty and lawful scarcity</t>
  </si>
  <si>
    <t xml:space="preserve">Secretary and Staff; Civil Resilience Authority; Effect Trustees; Capital Board</t>
  </si>
  <si>
    <t xml:space="preserve">Guarantee, deficit, effect and fiscal option</t>
  </si>
  <si>
    <t xml:space="preserve">Technical proof, readiness, consent</t>
  </si>
  <si>
    <t xml:space="preserve">Bounded public obligation</t>
  </si>
  <si>
    <t xml:space="preserve">HOLD exact warrant</t>
  </si>
  <si>
    <t xml:space="preserve">Capability Commonwealth</t>
  </si>
  <si>
    <t xml:space="preserve">Reproducible capability</t>
  </si>
  <si>
    <t xml:space="preserve">Mission System Commands; Generating Services; Root Houses; Industrial Mobilization Administration</t>
  </si>
  <si>
    <t xml:space="preserve">Baseline, root, technical release and availability</t>
  </si>
  <si>
    <t xml:space="preserve">Own evidence, self-readiness, employment</t>
  </si>
  <si>
    <t xml:space="preserve">Produced supportable option</t>
  </si>
  <si>
    <t xml:space="preserve">Return to failed predicate</t>
  </si>
  <si>
    <t xml:space="preserve">Evidence Court</t>
  </si>
  <si>
    <t xml:space="preserve">Adverse truth and remedy</t>
  </si>
  <si>
    <t xml:space="preserve">Resilience Proving Service; Rights and Scarcity Tribunal; Public Allocation Ledger</t>
  </si>
  <si>
    <t xml:space="preserve">Evidence disposition, rights stop and public reason</t>
  </si>
  <si>
    <t xml:space="preserve">Budget, production, force custody</t>
  </si>
  <si>
    <t xml:space="preserve">Replayable disposition</t>
  </si>
  <si>
    <t xml:space="preserve">Preserve evidence and stop</t>
  </si>
  <si>
    <t xml:space="preserve">Force Estate</t>
  </si>
  <si>
    <t xml:space="preserve">Conserved readiness</t>
  </si>
  <si>
    <t xml:space="preserve">Strategic Sustainment; Joint Capacity Authority; NMAC; seven Readiness Districts</t>
  </si>
  <si>
    <t xml:space="preserve">Formation, readiness and allocation</t>
  </si>
  <si>
    <t xml:space="preserve">Activation, effect, partner custody</t>
  </si>
  <si>
    <t xml:space="preserve">Executable collision-free force state</t>
  </si>
  <si>
    <t xml:space="preserve">No silent substitution</t>
  </si>
  <si>
    <t xml:space="preserve">Employment Federation</t>
  </si>
  <si>
    <t xml:space="preserve">Use, acceptance and exit</t>
  </si>
  <si>
    <t xml:space="preserve">Operational Campaign Commands; Sovereign Compact and Custody Chamber</t>
  </si>
  <si>
    <t xml:space="preserve">Activation, service, acceptance, transfer and termination</t>
  </si>
  <si>
    <t xml:space="preserve">Self-measured effect, permanent custody</t>
  </si>
  <si>
    <t xml:space="preserve">Complete service and lawful exit</t>
  </si>
  <si>
    <t xml:space="preserve">Expire or terminate</t>
  </si>
  <si>
    <t xml:space="preserve">Regeneration</t>
  </si>
  <si>
    <t xml:space="preserve">Seventeen-warrant public-service machine</t>
  </si>
  <si>
    <t xml:space="preserve">Each transition has one issuer, one receiver, a negative authority, clock and rollback.</t>
  </si>
  <si>
    <t xml:space="preserve">#</t>
  </si>
  <si>
    <t xml:space="preserve">Warrant</t>
  </si>
  <si>
    <t xml:space="preserve">Issuer</t>
  </si>
  <si>
    <t xml:space="preserve">Positive artifact</t>
  </si>
  <si>
    <t xml:space="preserve">Negative authority</t>
  </si>
  <si>
    <t xml:space="preserve">Expiry / clock</t>
  </si>
  <si>
    <t xml:space="preserve">Rollback</t>
  </si>
  <si>
    <t xml:space="preserve">State</t>
  </si>
  <si>
    <t xml:space="preserve">Enacted guarantee</t>
  </si>
  <si>
    <t xml:space="preserve">Congress / statute</t>
  </si>
  <si>
    <t xml:space="preserve">Civil Resilience Authority</t>
  </si>
  <si>
    <t xml:space="preserve">Public-service floor</t>
  </si>
  <si>
    <t xml:space="preserve">Rights Tribunal</t>
  </si>
  <si>
    <t xml:space="preserve">Statutory review</t>
  </si>
  <si>
    <t xml:space="preserve">Legislative amendment</t>
  </si>
  <si>
    <t xml:space="preserve">Service-deficit order</t>
  </si>
  <si>
    <t xml:space="preserve">Civilian Effect Trustee</t>
  </si>
  <si>
    <t xml:space="preserve">Mission System Command</t>
  </si>
  <si>
    <t xml:space="preserve">Bounded unmet effect</t>
  </si>
  <si>
    <t xml:space="preserve">Receiver challenge</t>
  </si>
  <si>
    <t xml:space="preserve">Condition / clock</t>
  </si>
  <si>
    <t xml:space="preserve">Reobserve deficit</t>
  </si>
  <si>
    <t xml:space="preserve">Effect contract</t>
  </si>
  <si>
    <t xml:space="preserve">Complete service obligation</t>
  </si>
  <si>
    <t xml:space="preserve">Effect Trustee</t>
  </si>
  <si>
    <t xml:space="preserve">Contract term</t>
  </si>
  <si>
    <t xml:space="preserve">Reconstitute scope</t>
  </si>
  <si>
    <t xml:space="preserve">Fiscal option</t>
  </si>
  <si>
    <t xml:space="preserve">Capital Board</t>
  </si>
  <si>
    <t xml:space="preserve">Staged appropriation option</t>
  </si>
  <si>
    <t xml:space="preserve">Congress / audit</t>
  </si>
  <si>
    <t xml:space="preserve">Tranche clock</t>
  </si>
  <si>
    <t xml:space="preserve">Cancel tranche</t>
  </si>
  <si>
    <t xml:space="preserve">Mission baseline</t>
  </si>
  <si>
    <t xml:space="preserve">Root Houses</t>
  </si>
  <si>
    <t xml:space="preserve">Complete configuration baseline</t>
  </si>
  <si>
    <t xml:space="preserve">Generating Service</t>
  </si>
  <si>
    <t xml:space="preserve">Version expiry</t>
  </si>
  <si>
    <t xml:space="preserve">Reopen competition</t>
  </si>
  <si>
    <t xml:space="preserve">Controlled root</t>
  </si>
  <si>
    <t xml:space="preserve">Root House</t>
  </si>
  <si>
    <t xml:space="preserve">Resilience Proving Service</t>
  </si>
  <si>
    <t xml:space="preserve">Reproducible root claim</t>
  </si>
  <si>
    <t xml:space="preserve">Industrial administration</t>
  </si>
  <si>
    <t xml:space="preserve">Evidence clock</t>
  </si>
  <si>
    <t xml:space="preserve">Quarantine root</t>
  </si>
  <si>
    <t xml:space="preserve">Technical release</t>
  </si>
  <si>
    <t xml:space="preserve">Professionally released design</t>
  </si>
  <si>
    <t xml:space="preserve">Proving Service</t>
  </si>
  <si>
    <t xml:space="preserve">Configuration change</t>
  </si>
  <si>
    <t xml:space="preserve">Return to evidence</t>
  </si>
  <si>
    <t xml:space="preserve">Evidence disposition</t>
  </si>
  <si>
    <t xml:space="preserve">Capital Board and Service</t>
  </si>
  <si>
    <t xml:space="preserve">Adverse replayable disposition</t>
  </si>
  <si>
    <t xml:space="preserve">Evidence validity</t>
  </si>
  <si>
    <t xml:space="preserve">Repeat or terminate</t>
  </si>
  <si>
    <t xml:space="preserve">Production availability</t>
  </si>
  <si>
    <t xml:space="preserve">Qualified production lot</t>
  </si>
  <si>
    <t xml:space="preserve">Root House / audit</t>
  </si>
  <si>
    <t xml:space="preserve">Lot clock</t>
  </si>
  <si>
    <t xml:space="preserve">Stop and segregate</t>
  </si>
  <si>
    <t xml:space="preserve">Formation warrant</t>
  </si>
  <si>
    <t xml:space="preserve">Joint Capacity Authority</t>
  </si>
  <si>
    <t xml:space="preserve">Articles, crew, stocks, mobility and receiver</t>
  </si>
  <si>
    <t xml:space="preserve">Strategic Sustainment</t>
  </si>
  <si>
    <t xml:space="preserve">Configuration clock</t>
  </si>
  <si>
    <t xml:space="preserve">Disassemble claim</t>
  </si>
  <si>
    <t xml:space="preserve">Readiness state</t>
  </si>
  <si>
    <t xml:space="preserve">NMAC</t>
  </si>
  <si>
    <t xml:space="preserve">Family-specific ready serial</t>
  </si>
  <si>
    <t xml:space="preserve">Readiness District</t>
  </si>
  <si>
    <t xml:space="preserve">Decay clock</t>
  </si>
  <si>
    <t xml:space="preserve">Requalify</t>
  </si>
  <si>
    <t xml:space="preserve">Allocation order</t>
  </si>
  <si>
    <t xml:space="preserve">Campaign Command</t>
  </si>
  <si>
    <t xml:space="preserve">Collision-free family-complete schedule</t>
  </si>
  <si>
    <t xml:space="preserve">Public Allocation Ledger</t>
  </si>
  <si>
    <t xml:space="preserve">Event clock</t>
  </si>
  <si>
    <t xml:space="preserve">Recompile</t>
  </si>
  <si>
    <t xml:space="preserve">Lawful activation</t>
  </si>
  <si>
    <t xml:space="preserve">Sovereign activation authority</t>
  </si>
  <si>
    <t xml:space="preserve">Bounded domestic or invited easement</t>
  </si>
  <si>
    <t xml:space="preserve">Receiver / host stop</t>
  </si>
  <si>
    <t xml:space="preserve">Thirty days</t>
  </si>
  <si>
    <t xml:space="preserve">Withdraw / alternate</t>
  </si>
  <si>
    <t xml:space="preserve">Campaign service</t>
  </si>
  <si>
    <t xml:space="preserve">Civil or host receiver</t>
  </si>
  <si>
    <t xml:space="preserve">Complete service packet</t>
  </si>
  <si>
    <t xml:space="preserve">Technical and rights stop</t>
  </si>
  <si>
    <t xml:space="preserve">Service clock</t>
  </si>
  <si>
    <t xml:space="preserve">Safe stop</t>
  </si>
  <si>
    <t xml:space="preserve">Civil acceptance and transfer</t>
  </si>
  <si>
    <t xml:space="preserve">Accepted service or transferred serial</t>
  </si>
  <si>
    <t xml:space="preserve">Custody review</t>
  </si>
  <si>
    <t xml:space="preserve">Acceptance scope</t>
  </si>
  <si>
    <t xml:space="preserve">Reject / condition</t>
  </si>
  <si>
    <t xml:space="preserve">Effect disposition</t>
  </si>
  <si>
    <t xml:space="preserve">Congress and public</t>
  </si>
  <si>
    <t xml:space="preserve">Observed, failed or unknown effect</t>
  </si>
  <si>
    <t xml:space="preserve">Evidence review</t>
  </si>
  <si>
    <t xml:space="preserve">Persistence clock</t>
  </si>
  <si>
    <t xml:space="preserve">Retain uncertainty</t>
  </si>
  <si>
    <t xml:space="preserve">Regenerated serial</t>
  </si>
  <si>
    <t xml:space="preserve">Rebuilt exact serial</t>
  </si>
  <si>
    <t xml:space="preserve">Readiness decay</t>
  </si>
  <si>
    <t xml:space="preserve">Return to regeneration</t>
  </si>
  <si>
    <t xml:space="preserve">Compact Registry</t>
  </si>
  <si>
    <t xml:space="preserve">Cross-cutting compacts add predicates and subordinate warrants, not sovereign institution classes.</t>
  </si>
  <si>
    <t xml:space="preserve">Compact</t>
  </si>
  <si>
    <t xml:space="preserve">Inherited decision</t>
  </si>
  <si>
    <t xml:space="preserve">Refines warrants</t>
  </si>
  <si>
    <t xml:space="preserve">Subordinate warrants</t>
  </si>
  <si>
    <t xml:space="preserve">New body?</t>
  </si>
  <si>
    <t xml:space="preserve">Key stop rule</t>
  </si>
  <si>
    <t xml:space="preserve">Fiscal treatment</t>
  </si>
  <si>
    <t xml:space="preserve">Status</t>
  </si>
  <si>
    <t xml:space="preserve">Domestic public-service covenant</t>
  </si>
  <si>
    <t xml:space="preserve">Objective breach opens bounded easement</t>
  </si>
  <si>
    <t xml:space="preserve">1–3 and 13–16</t>
  </si>
  <si>
    <t xml:space="preserve">No</t>
  </si>
  <si>
    <t xml:space="preserve">Receiver method and custody survive</t>
  </si>
  <si>
    <t xml:space="preserve">Nested view</t>
  </si>
  <si>
    <t xml:space="preserve">CLOSED</t>
  </si>
  <si>
    <t xml:space="preserve">Civil Service Commonwealth</t>
  </si>
  <si>
    <t xml:space="preserve">Paid voluntary service citizenship</t>
  </si>
  <si>
    <t xml:space="preserve">7 and 9–14</t>
  </si>
  <si>
    <t xml:space="preserve">Membership, payroll and license are not readiness</t>
  </si>
  <si>
    <t xml:space="preserve">People account</t>
  </si>
  <si>
    <t xml:space="preserve">Public Reality Commons</t>
  </si>
  <si>
    <t xml:space="preserve">Distributed physical truth and protected custody</t>
  </si>
  <si>
    <t xml:space="preserve">2, 5, 7–8, 13 and 16</t>
  </si>
  <si>
    <t xml:space="preserve">Forecast and warning are not command</t>
  </si>
  <si>
    <t xml:space="preserve">Force-generation compact</t>
  </si>
  <si>
    <t xml:space="preserve">Five circuits through regenerated serial</t>
  </si>
  <si>
    <t xml:space="preserve">4–12 and 17</t>
  </si>
  <si>
    <t xml:space="preserve">Factory, article, formation, readiness and campaign differ</t>
  </si>
  <si>
    <t xml:space="preserve">Accounts plus market views</t>
  </si>
  <si>
    <t xml:space="preserve">RETURNED</t>
  </si>
  <si>
    <t xml:space="preserve">Strategic Power Compact</t>
  </si>
  <si>
    <t xml:space="preserve">Four sovereign employment modes</t>
  </si>
  <si>
    <t xml:space="preserve">1 and 4–17</t>
  </si>
  <si>
    <t xml:space="preserve">Invitation, access, output and prestige are not authority</t>
  </si>
  <si>
    <t xml:space="preserve">Authority Matrix</t>
  </si>
  <si>
    <t xml:space="preserve">The Secretary directs. Exclusive validation remains distributed and survives incapacitation without power migration.</t>
  </si>
  <si>
    <t xml:space="preserve">Actor</t>
  </si>
  <si>
    <t xml:space="preserve">May issue</t>
  </si>
  <si>
    <t xml:space="preserve">May stop</t>
  </si>
  <si>
    <t xml:space="preserve">May not infer</t>
  </si>
  <si>
    <t xml:space="preserve">Public reason</t>
  </si>
  <si>
    <t xml:space="preserve">Statutory alternate</t>
  </si>
  <si>
    <t xml:space="preserve">Incapacitation result</t>
  </si>
  <si>
    <t xml:space="preserve">Secretary and Staff</t>
  </si>
  <si>
    <t xml:space="preserve">Priority, proposal, convening</t>
  </si>
  <si>
    <t xml:space="preserve">Unsafe employment</t>
  </si>
  <si>
    <t xml:space="preserve">Direction → fact or effect</t>
  </si>
  <si>
    <t xml:space="preserve">Portfolio conflict</t>
  </si>
  <si>
    <t xml:space="preserve">Same-scope deputy</t>
  </si>
  <si>
    <t xml:space="preserve">Power does not migrate</t>
  </si>
  <si>
    <t xml:space="preserve">Incomplete scope</t>
  </si>
  <si>
    <t xml:space="preserve">Need → readiness</t>
  </si>
  <si>
    <t xml:space="preserve">Duty and scarcity</t>
  </si>
  <si>
    <t xml:space="preserve">Named civil alternate</t>
  </si>
  <si>
    <t xml:space="preserve">Exact warrant continues</t>
  </si>
  <si>
    <t xml:space="preserve">Civilian Effect Trustees</t>
  </si>
  <si>
    <t xml:space="preserve">Deficit and effect disposition</t>
  </si>
  <si>
    <t xml:space="preserve">Unproven effect</t>
  </si>
  <si>
    <t xml:space="preserve">Output → effect</t>
  </si>
  <si>
    <t xml:space="preserve">Adverse finding</t>
  </si>
  <si>
    <t xml:space="preserve">Unlike trustee panel</t>
  </si>
  <si>
    <t xml:space="preserve">Unknown stays unknown</t>
  </si>
  <si>
    <t xml:space="preserve">Unearned tranche</t>
  </si>
  <si>
    <t xml:space="preserve">Appropriation → capability</t>
  </si>
  <si>
    <t xml:space="preserve">Option / cancellation</t>
  </si>
  <si>
    <t xml:space="preserve">Independent fiscal panel</t>
  </si>
  <si>
    <t xml:space="preserve">No automatic funding</t>
  </si>
  <si>
    <t xml:space="preserve">Mission System Commands</t>
  </si>
  <si>
    <t xml:space="preserve">Incomplete chain</t>
  </si>
  <si>
    <t xml:space="preserve">Mission → release</t>
  </si>
  <si>
    <t xml:space="preserve">Service baseline</t>
  </si>
  <si>
    <t xml:space="preserve">Alternate mission office</t>
  </si>
  <si>
    <t xml:space="preserve">Competition reopens</t>
  </si>
  <si>
    <t xml:space="preserve">Generating Services</t>
  </si>
  <si>
    <t xml:space="preserve">Technical and formation warrants</t>
  </si>
  <si>
    <t xml:space="preserve">Unsafe configuration</t>
  </si>
  <si>
    <t xml:space="preserve">Article → formation</t>
  </si>
  <si>
    <t xml:space="preserve">Professional release</t>
  </si>
  <si>
    <t xml:space="preserve">Unlike service authority</t>
  </si>
  <si>
    <t xml:space="preserve">Release held</t>
  </si>
  <si>
    <t xml:space="preserve">Controlled root claim</t>
  </si>
  <si>
    <t xml:space="preserve">Nonreproducible root</t>
  </si>
  <si>
    <t xml:space="preserve">Industry → availability</t>
  </si>
  <si>
    <t xml:space="preserve">Root genealogy</t>
  </si>
  <si>
    <t xml:space="preserve">Unlike root</t>
  </si>
  <si>
    <t xml:space="preserve">Claim quarantined</t>
  </si>
  <si>
    <t xml:space="preserve">Industrial Mobilization Administration</t>
  </si>
  <si>
    <t xml:space="preserve">Unqualified lot</t>
  </si>
  <si>
    <t xml:space="preserve">Factory → formation</t>
  </si>
  <si>
    <t xml:space="preserve">Lot and capacity</t>
  </si>
  <si>
    <t xml:space="preserve">Public production cell</t>
  </si>
  <si>
    <t xml:space="preserve">Lot segregated</t>
  </si>
  <si>
    <t xml:space="preserve">Unreproducible evidence</t>
  </si>
  <si>
    <t xml:space="preserve">Favorable result → authority</t>
  </si>
  <si>
    <t xml:space="preserve">Method and adversity</t>
  </si>
  <si>
    <t xml:space="preserve">Unlike proving root</t>
  </si>
  <si>
    <t xml:space="preserve">Evidence open</t>
  </si>
  <si>
    <t xml:space="preserve">Rights and Scarcity Tribunal</t>
  </si>
  <si>
    <t xml:space="preserve">Rights remedy</t>
  </si>
  <si>
    <t xml:space="preserve">Unlawful use</t>
  </si>
  <si>
    <t xml:space="preserve">Emergency → waiver</t>
  </si>
  <si>
    <t xml:space="preserve">Rights decision</t>
  </si>
  <si>
    <t xml:space="preserve">Emergency civil judge</t>
  </si>
  <si>
    <t xml:space="preserve">Action holds</t>
  </si>
  <si>
    <t xml:space="preserve">Public reason receipt</t>
  </si>
  <si>
    <t xml:space="preserve">Unsealed allocation</t>
  </si>
  <si>
    <t xml:space="preserve">Schedule → legitimacy</t>
  </si>
  <si>
    <t xml:space="preserve">Allocation ancestry</t>
  </si>
  <si>
    <t xml:space="preserve">Independent recorder</t>
  </si>
  <si>
    <t xml:space="preserve">No concealed schedule</t>
  </si>
  <si>
    <t xml:space="preserve">Unsafe regeneration</t>
  </si>
  <si>
    <t xml:space="preserve">Repair → readiness</t>
  </si>
  <si>
    <t xml:space="preserve">Serial ancestry</t>
  </si>
  <si>
    <t xml:space="preserve">Alternate depot</t>
  </si>
  <si>
    <t xml:space="preserve">Serial nonready</t>
  </si>
  <si>
    <t xml:space="preserve">Family-floor breach</t>
  </si>
  <si>
    <t xml:space="preserve">Stock → readiness</t>
  </si>
  <si>
    <t xml:space="preserve">Family state</t>
  </si>
  <si>
    <t xml:space="preserve">Alternate joint board</t>
  </si>
  <si>
    <t xml:space="preserve">State decays</t>
  </si>
  <si>
    <t xml:space="preserve">Collision / missing family</t>
  </si>
  <si>
    <t xml:space="preserve">Reserve → campaign</t>
  </si>
  <si>
    <t xml:space="preserve">Schedule and scarcity</t>
  </si>
  <si>
    <t xml:space="preserve">Certified cell</t>
  </si>
  <si>
    <t xml:space="preserve">Last valid order holds</t>
  </si>
  <si>
    <t xml:space="preserve">Readiness Districts</t>
  </si>
  <si>
    <t xml:space="preserve">District evidence</t>
  </si>
  <si>
    <t xml:space="preserve">Geographic common mode</t>
  </si>
  <si>
    <t xml:space="preserve">Presence → readiness</t>
  </si>
  <si>
    <t xml:space="preserve">District condition</t>
  </si>
  <si>
    <t xml:space="preserve">Sibling district</t>
  </si>
  <si>
    <t xml:space="preserve">No self-certification</t>
  </si>
  <si>
    <t xml:space="preserve">Campaign Commands</t>
  </si>
  <si>
    <t xml:space="preserve">Unsafe operation</t>
  </si>
  <si>
    <t xml:space="preserve">Delivery → effect</t>
  </si>
  <si>
    <t xml:space="preserve">Service record</t>
  </si>
  <si>
    <t xml:space="preserve">Certified alternate</t>
  </si>
  <si>
    <t xml:space="preserve">Sovereign Compact and Custody Chamber</t>
  </si>
  <si>
    <t xml:space="preserve">Activation and custody</t>
  </si>
  <si>
    <t xml:space="preserve">Access → command</t>
  </si>
  <si>
    <t xml:space="preserve">Consent and exit</t>
  </si>
  <si>
    <t xml:space="preserve">Named sovereign alternate</t>
  </si>
  <si>
    <t xml:space="preserve">No presumed consent</t>
  </si>
  <si>
    <t xml:space="preserve">Domestic Covenant</t>
  </si>
  <si>
    <t xml:space="preserve">Equal person-bound floor, receiver-governed method, objective-breach path, bounded easement and extinction.</t>
  </si>
  <si>
    <t xml:space="preserve">Element</t>
  </si>
  <si>
    <t xml:space="preserve">Design</t>
  </si>
  <si>
    <t xml:space="preserve">Count / time</t>
  </si>
  <si>
    <t xml:space="preserve">Authority owner</t>
  </si>
  <si>
    <t xml:space="preserve">Stop</t>
  </si>
  <si>
    <t xml:space="preserve">No conversion</t>
  </si>
  <si>
    <t xml:space="preserve">Department warrant</t>
  </si>
  <si>
    <t xml:space="preserve">District–campaign–effect deficits</t>
  </si>
  <si>
    <t xml:space="preserve">Registered service deficits</t>
  </si>
  <si>
    <t xml:space="preserve">cells</t>
  </si>
  <si>
    <t xml:space="preserve">Effect Trustees</t>
  </si>
  <si>
    <t xml:space="preserve">Unverified condition</t>
  </si>
  <si>
    <t xml:space="preserve">Missing data ≠ low need</t>
  </si>
  <si>
    <t xml:space="preserve">Primary and alternate receivers</t>
  </si>
  <si>
    <t xml:space="preserve">Differently caused routes</t>
  </si>
  <si>
    <t xml:space="preserve">routes</t>
  </si>
  <si>
    <t xml:space="preserve">Sovereign Chamber</t>
  </si>
  <si>
    <t xml:space="preserve">Receiver rights</t>
  </si>
  <si>
    <t xml:space="preserve">Request ≠ command</t>
  </si>
  <si>
    <t xml:space="preserve">Family–district interfaces</t>
  </si>
  <si>
    <t xml:space="preserve">Typed receiver seams</t>
  </si>
  <si>
    <t xml:space="preserve">interfaces</t>
  </si>
  <si>
    <t xml:space="preserve">Services and receiver</t>
  </si>
  <si>
    <t xml:space="preserve">Incompatibility</t>
  </si>
  <si>
    <t xml:space="preserve">Interface ≠ capacity</t>
  </si>
  <si>
    <t xml:space="preserve">Objective-breach ceiling</t>
  </si>
  <si>
    <t xml:space="preserve">Condition-to-path clock</t>
  </si>
  <si>
    <t xml:space="preserve">hours</t>
  </si>
  <si>
    <t xml:space="preserve">Contested evidence</t>
  </si>
  <si>
    <t xml:space="preserve">Forecast ≠ breach</t>
  </si>
  <si>
    <t xml:space="preserve">National arrival gap</t>
  </si>
  <si>
    <t xml:space="preserve">Preparation and transit</t>
  </si>
  <si>
    <t xml:space="preserve">days</t>
  </si>
  <si>
    <t xml:space="preserve">Missing family</t>
  </si>
  <si>
    <t xml:space="preserve">Speed ≠ complete service</t>
  </si>
  <si>
    <t xml:space="preserve">Local continuity bridge</t>
  </si>
  <si>
    <t xml:space="preserve">Receiver survival obligation</t>
  </si>
  <si>
    <t xml:space="preserve">Sovereign receiver</t>
  </si>
  <si>
    <t xml:space="preserve">Rights / feasibility</t>
  </si>
  <si>
    <t xml:space="preserve">Bridge ≠ federal custody</t>
  </si>
  <si>
    <t xml:space="preserve">Initial easement expiry</t>
  </si>
  <si>
    <t xml:space="preserve">Fresh authority required</t>
  </si>
  <si>
    <t xml:space="preserve">Automatic expiry</t>
  </si>
  <si>
    <t xml:space="preserve">Presence ≠ title</t>
  </si>
  <si>
    <t xml:space="preserve">Legislative review</t>
  </si>
  <si>
    <t xml:space="preserve">Fresh authorization</t>
  </si>
  <si>
    <t xml:space="preserve">Congress</t>
  </si>
  <si>
    <t xml:space="preserve">No review</t>
  </si>
  <si>
    <t xml:space="preserve">History ≠ authority</t>
  </si>
  <si>
    <t xml:space="preserve">Voluntary paid public profession at national scale. Membership and labor status remain distinct from release and command.</t>
  </si>
  <si>
    <t xml:space="preserve">Component</t>
  </si>
  <si>
    <t xml:space="preserve">Positions</t>
  </si>
  <si>
    <t xml:space="preserve">Million</t>
  </si>
  <si>
    <t xml:space="preserve">Share</t>
  </si>
  <si>
    <t xml:space="preserve">Employment character</t>
  </si>
  <si>
    <t xml:space="preserve">Readiness treatment</t>
  </si>
  <si>
    <t xml:space="preserve">National career</t>
  </si>
  <si>
    <t xml:space="preserve">Federal civil profession</t>
  </si>
  <si>
    <t xml:space="preserve">Separate formation warrant</t>
  </si>
  <si>
    <t xml:space="preserve">Ready reserve</t>
  </si>
  <si>
    <t xml:space="preserve">Paid bounded reserve duty</t>
  </si>
  <si>
    <t xml:space="preserve">Availability is not readiness</t>
  </si>
  <si>
    <t xml:space="preserve">Sovereign covenant</t>
  </si>
  <si>
    <t xml:space="preserve">State, tribal and territorial covenant</t>
  </si>
  <si>
    <t xml:space="preserve">No federal title conversion</t>
  </si>
  <si>
    <t xml:space="preserve">Productive service</t>
  </si>
  <si>
    <t xml:space="preserve">Public and qualified private production</t>
  </si>
  <si>
    <t xml:space="preserve">Employment is not formation</t>
  </si>
  <si>
    <t xml:space="preserve">Partner fellows</t>
  </si>
  <si>
    <t xml:space="preserve">Partner professional exchange</t>
  </si>
  <si>
    <t xml:space="preserve">No U.S. readiness credit</t>
  </si>
  <si>
    <t xml:space="preserve">Total affiliated establishment</t>
  </si>
  <si>
    <t xml:space="preserve">Affiliation</t>
  </si>
  <si>
    <t xml:space="preserve">Pay</t>
  </si>
  <si>
    <t xml:space="preserve">License</t>
  </si>
  <si>
    <t xml:space="preserve">Availability</t>
  </si>
  <si>
    <t xml:space="preserve">Formation</t>
  </si>
  <si>
    <t xml:space="preserve">Release</t>
  </si>
  <si>
    <t xml:space="preserve">Member</t>
  </si>
  <si>
    <t xml:space="preserve">Yes</t>
  </si>
  <si>
    <t xml:space="preserve">May be</t>
  </si>
  <si>
    <t xml:space="preserve">Qualified professional</t>
  </si>
  <si>
    <t xml:space="preserve">Assigned crew</t>
  </si>
  <si>
    <t xml:space="preserve">Current</t>
  </si>
  <si>
    <t xml:space="preserve">Ready formation</t>
  </si>
  <si>
    <t xml:space="preserve">Released to campaign</t>
  </si>
  <si>
    <t xml:space="preserve">Reality Commons</t>
  </si>
  <si>
    <t xml:space="preserve">Distributed civil measurement and forecast utility. Products inform action but never supply authority.</t>
  </si>
  <si>
    <t xml:space="preserve">Plane</t>
  </si>
  <si>
    <t xml:space="preserve">Contains</t>
  </si>
  <si>
    <t xml:space="preserve">Custodian</t>
  </si>
  <si>
    <t xml:space="preserve">May release</t>
  </si>
  <si>
    <t xml:space="preserve">Cannot become</t>
  </si>
  <si>
    <t xml:space="preserve">Expiry</t>
  </si>
  <si>
    <t xml:space="preserve">Remedy</t>
  </si>
  <si>
    <t xml:space="preserve">Scale</t>
  </si>
  <si>
    <t xml:space="preserve">Open physical reality</t>
  </si>
  <si>
    <t xml:space="preserve">Environment, infrastructure, capacity and effects</t>
  </si>
  <si>
    <t xml:space="preserve">Public observatories</t>
  </si>
  <si>
    <t xml:space="preserve">Physics-first observations</t>
  </si>
  <si>
    <t xml:space="preserve">Identified dossier</t>
  </si>
  <si>
    <t xml:space="preserve">Published validity</t>
  </si>
  <si>
    <t xml:space="preserve">Correction / challenge</t>
  </si>
  <si>
    <t xml:space="preserve">504 cells / 1,512 paths</t>
  </si>
  <si>
    <t xml:space="preserve">Protected civil state</t>
  </si>
  <si>
    <t xml:space="preserve">Person, health, property and community records</t>
  </si>
  <si>
    <t xml:space="preserve">Originating sovereign or authorized trust</t>
  </si>
  <si>
    <t xml:space="preserve">Bounded query result</t>
  </si>
  <si>
    <t xml:space="preserve">National population lake</t>
  </si>
  <si>
    <t xml:space="preserve">Purpose limit</t>
  </si>
  <si>
    <t xml:space="preserve">Human review / deletion</t>
  </si>
  <si>
    <t xml:space="preserve">1,008 query routes</t>
  </si>
  <si>
    <t xml:space="preserve">Ephemeral service state</t>
  </si>
  <si>
    <t xml:space="preserve">Minimum incident token</t>
  </si>
  <si>
    <t xml:space="preserve">One incident easement</t>
  </si>
  <si>
    <t xml:space="preserve">Find, admit, serve or transfer</t>
  </si>
  <si>
    <t xml:space="preserve">Permanent credential</t>
  </si>
  <si>
    <t xml:space="preserve">Purpose extinction</t>
  </si>
  <si>
    <t xml:space="preserve">Deletion with receipt</t>
  </si>
  <si>
    <t xml:space="preserve">5,251 disconnected nodes</t>
  </si>
  <si>
    <t xml:space="preserve">Sealed evidence</t>
  </si>
  <si>
    <t xml:space="preserve">Methods, warrants, versions and minimized proof</t>
  </si>
  <si>
    <t xml:space="preserve">Independent replay</t>
  </si>
  <si>
    <t xml:space="preserve">Operational search file</t>
  </si>
  <si>
    <t xml:space="preserve">Legal retention</t>
  </si>
  <si>
    <t xml:space="preserve">Adverse reproduction</t>
  </si>
  <si>
    <t xml:space="preserve">336 family–district seams</t>
  </si>
  <si>
    <t xml:space="preserve">Nested account</t>
  </si>
  <si>
    <t xml:space="preserve">Amount</t>
  </si>
  <si>
    <t xml:space="preserve">Treatment</t>
  </si>
  <si>
    <t xml:space="preserve">Technology</t>
  </si>
  <si>
    <t xml:space="preserve">Inside technology account</t>
  </si>
  <si>
    <t xml:space="preserve">Capital</t>
  </si>
  <si>
    <t xml:space="preserve">Inside capital account</t>
  </si>
  <si>
    <t xml:space="preserve">Mature operations</t>
  </si>
  <si>
    <t xml:space="preserve">USD billions / year</t>
  </si>
  <si>
    <t xml:space="preserve">Inside operations</t>
  </si>
  <si>
    <t xml:space="preserve">25-year base jurisdiction</t>
  </si>
  <si>
    <t xml:space="preserve">Cross-classified; never added</t>
  </si>
  <si>
    <t xml:space="preserve">Mature force-state conservation</t>
  </si>
  <si>
    <t xml:space="preserve">Formation accounts are exclusive. Aggregates cannot close a missing family or manufacture another campaign.</t>
  </si>
  <si>
    <t xml:space="preserve">Formation state</t>
  </si>
  <si>
    <t xml:space="preserve">Authority meaning</t>
  </si>
  <si>
    <t xml:space="preserve">Forbidden inference</t>
  </si>
  <si>
    <t xml:space="preserve">Committed</t>
  </si>
  <si>
    <t xml:space="preserve">Ten admitted campaigns</t>
  </si>
  <si>
    <t xml:space="preserve">Commitment is not effect</t>
  </si>
  <si>
    <t xml:space="preserve">Protected reserve</t>
  </si>
  <si>
    <t xml:space="preserve">Family-specific demand</t>
  </si>
  <si>
    <t xml:space="preserve">Reserve total is not another campaign</t>
  </si>
  <si>
    <t xml:space="preserve">Geographic buffer</t>
  </si>
  <si>
    <t xml:space="preserve">Spatial assurance</t>
  </si>
  <si>
    <t xml:space="preserve">Buffer is not general reserve</t>
  </si>
  <si>
    <t xml:space="preserve">Requalification</t>
  </si>
  <si>
    <t xml:space="preserve">Evidence renewal</t>
  </si>
  <si>
    <t xml:space="preserve">Past readiness is not current</t>
  </si>
  <si>
    <t xml:space="preserve">Maintenance</t>
  </si>
  <si>
    <t xml:space="preserve">Unavailable</t>
  </si>
  <si>
    <t xml:space="preserve">Repair is not availability</t>
  </si>
  <si>
    <t xml:space="preserve">Deep overhaul</t>
  </si>
  <si>
    <t xml:space="preserve">Regeneration is not formation</t>
  </si>
  <si>
    <t xml:space="preserve">Conserved total</t>
  </si>
  <si>
    <t xml:space="preserve">Must equal 5,251</t>
  </si>
  <si>
    <t xml:space="preserve">Mode</t>
  </si>
  <si>
    <t xml:space="preserve">Formations</t>
  </si>
  <si>
    <t xml:space="preserve">Billets (million)</t>
  </si>
  <si>
    <t xml:space="preserve">Capital (USD B)</t>
  </si>
  <si>
    <t xml:space="preserve">Claim</t>
  </si>
  <si>
    <t xml:space="preserve">Nonconversion</t>
  </si>
  <si>
    <t xml:space="preserve">Guaranteed domestic continuity</t>
  </si>
  <si>
    <t xml:space="preserve">Eight campaigns</t>
  </si>
  <si>
    <t xml:space="preserve">Urgency cannot recall invited serials</t>
  </si>
  <si>
    <t xml:space="preserve">Invited stabilization</t>
  </si>
  <si>
    <t xml:space="preserve">Two campaigns</t>
  </si>
  <si>
    <t xml:space="preserve">Invitation is not activation</t>
  </si>
  <si>
    <t xml:space="preserve">Forward partnership</t>
  </si>
  <si>
    <t xml:space="preserve">Partner reproduction</t>
  </si>
  <si>
    <t xml:space="preserve">Partner capacity is not U.S. readiness</t>
  </si>
  <si>
    <t xml:space="preserve">Productive statecraft</t>
  </si>
  <si>
    <t xml:space="preserve">Useful output</t>
  </si>
  <si>
    <t xml:space="preserve">Revenue is not appropriation</t>
  </si>
  <si>
    <t xml:space="preserve">Public fiscal constitution</t>
  </si>
  <si>
    <t xml:space="preserve">Only three public accounts add to the headline. Program jurisdictions and markets are non-additive views.</t>
  </si>
  <si>
    <t xml:space="preserve">Public account</t>
  </si>
  <si>
    <t xml:space="preserve">Period</t>
  </si>
  <si>
    <t xml:space="preserve">Additive?</t>
  </si>
  <si>
    <t xml:space="preserve">Owner</t>
  </si>
  <si>
    <t xml:space="preserve">25-year program</t>
  </si>
  <si>
    <t xml:space="preserve">Finite option pool</t>
  </si>
  <si>
    <t xml:space="preserve">Estate build</t>
  </si>
  <si>
    <t xml:space="preserve">Exclusive title and reservation</t>
  </si>
  <si>
    <t xml:space="preserve">Operations</t>
  </si>
  <si>
    <t xml:space="preserve">Ramped 25-year path</t>
  </si>
  <si>
    <t xml:space="preserve">Appropriation ledgers</t>
  </si>
  <si>
    <t xml:space="preserve">No revenue netting</t>
  </si>
  <si>
    <t xml:space="preserve">Total public outlay</t>
  </si>
  <si>
    <t xml:space="preserve">25 years</t>
  </si>
  <si>
    <t xml:space="preserve">Headline control</t>
  </si>
  <si>
    <t xml:space="preserve">Operating ramp control</t>
  </si>
  <si>
    <t xml:space="preserve">25-year mature-year equivalents</t>
  </si>
  <si>
    <t xml:space="preserve">Implied mature operations (USD B/year)</t>
  </si>
  <si>
    <t xml:space="preserve">Rounded mature statement (USD T/year)</t>
  </si>
  <si>
    <t xml:space="preserve">Rounded public outlay (USD T)</t>
  </si>
  <si>
    <t xml:space="preserve">Technology / capital (USD B)</t>
  </si>
  <si>
    <t xml:space="preserve">Mature operations (USD B/year)</t>
  </si>
  <si>
    <t xml:space="preserve">25-year view (USD B)</t>
  </si>
  <si>
    <t xml:space="preserve">Overlap</t>
  </si>
  <si>
    <t xml:space="preserve">Rule</t>
  </si>
  <si>
    <t xml:space="preserve">People, sensors, networks and proof</t>
  </si>
  <si>
    <t xml:space="preserve">Cross-classify only</t>
  </si>
  <si>
    <t xml:space="preserve">Domestic covenant</t>
  </si>
  <si>
    <t xml:space="preserve">Receiver, continuity and activation</t>
  </si>
  <si>
    <t xml:space="preserve">Sovereign receiver commons</t>
  </si>
  <si>
    <t xml:space="preserve">Capital, bridge, corridors and operations</t>
  </si>
  <si>
    <t xml:space="preserve">Strategic activation and evidence</t>
  </si>
  <si>
    <t xml:space="preserve">Inside receiver commons</t>
  </si>
  <si>
    <t xml:space="preserve">Never add to parent</t>
  </si>
  <si>
    <t xml:space="preserve">Twenty-five-year public outlay path</t>
  </si>
  <si>
    <t xml:space="preserve">USD billions. Illustrative timing normalized to inherited account controls; not an appropriation request.</t>
  </si>
  <si>
    <t xml:space="preserve">Year</t>
  </si>
  <si>
    <t xml:space="preserve">Technology weight</t>
  </si>
  <si>
    <t xml:space="preserve">Capital weight</t>
  </si>
  <si>
    <t xml:space="preserve">Operating ramp</t>
  </si>
  <si>
    <t xml:space="preserve">Annual outlay</t>
  </si>
  <si>
    <t xml:space="preserve">Cumulative outlay</t>
  </si>
  <si>
    <t xml:space="preserve">Total / control</t>
  </si>
  <si>
    <t xml:space="preserve">Stress Tests</t>
  </si>
  <si>
    <t xml:space="preserve">Service must continue without allowing direction, software, emergency, spending or success to manufacture authority.</t>
  </si>
  <si>
    <t xml:space="preserve">Stress world</t>
  </si>
  <si>
    <t xml:space="preserve">Required response</t>
  </si>
  <si>
    <t xml:space="preserve">Exact warrant</t>
  </si>
  <si>
    <t xml:space="preserve">Default</t>
  </si>
  <si>
    <t xml:space="preserve">Alternate</t>
  </si>
  <si>
    <t xml:space="preserve">Forbidden shortcut</t>
  </si>
  <si>
    <t xml:space="preserve">Outcome</t>
  </si>
  <si>
    <t xml:space="preserve">Secretary orders unproved platform</t>
  </si>
  <si>
    <t xml:space="preserve">Suspend and demand evidence</t>
  </si>
  <si>
    <t xml:space="preserve">HOLD</t>
  </si>
  <si>
    <t xml:space="preserve">Independent proving root</t>
  </si>
  <si>
    <t xml:space="preserve">Direction → fact</t>
  </si>
  <si>
    <t xml:space="preserve">PASS</t>
  </si>
  <si>
    <t xml:space="preserve">No release</t>
  </si>
  <si>
    <t xml:space="preserve">Governor silent during verified breach</t>
  </si>
  <si>
    <t xml:space="preserve">Open objective-breach path</t>
  </si>
  <si>
    <t xml:space="preserve">Silence → veto</t>
  </si>
  <si>
    <t xml:space="preserve">Guarantee survives</t>
  </si>
  <si>
    <t xml:space="preserve">Tribal government invokes direct path</t>
  </si>
  <si>
    <t xml:space="preserve">Use direct receiver route</t>
  </si>
  <si>
    <t xml:space="preserve">Compact chamber</t>
  </si>
  <si>
    <t xml:space="preserve">State intermediation</t>
  </si>
  <si>
    <t xml:space="preserve">Direct sovereignty</t>
  </si>
  <si>
    <t xml:space="preserve">Forecast roots disagree</t>
  </si>
  <si>
    <t xml:space="preserve">Preserve dissent</t>
  </si>
  <si>
    <t xml:space="preserve">Unlike model root</t>
  </si>
  <si>
    <t xml:space="preserve">Average → certainty</t>
  </si>
  <si>
    <t xml:space="preserve">Uncertainty retained</t>
  </si>
  <si>
    <t xml:space="preserve">NMAC lacks six families</t>
  </si>
  <si>
    <t xml:space="preserve">Recompile or publish risk warrant</t>
  </si>
  <si>
    <t xml:space="preserve">Aggregate reserve → campaign</t>
  </si>
  <si>
    <t xml:space="preserve">No substitution</t>
  </si>
  <si>
    <t xml:space="preserve">Invited host withdraws consent</t>
  </si>
  <si>
    <t xml:space="preserve">Stop, transfer or exit</t>
  </si>
  <si>
    <t xml:space="preserve">STOP</t>
  </si>
  <si>
    <t xml:space="preserve">Custody alternate</t>
  </si>
  <si>
    <t xml:space="preserve">Host stop controls</t>
  </si>
  <si>
    <t xml:space="preserve">Invited serial sought domestically</t>
  </si>
  <si>
    <t xml:space="preserve">Require bilateral release</t>
  </si>
  <si>
    <t xml:space="preserve">Other domestic capacity</t>
  </si>
  <si>
    <t xml:space="preserve">Urgency → recall</t>
  </si>
  <si>
    <t xml:space="preserve">Commitment real</t>
  </si>
  <si>
    <t xml:space="preserve">Rights tribunal incapacitated</t>
  </si>
  <si>
    <t xml:space="preserve">Use same-scope alternate</t>
  </si>
  <si>
    <t xml:space="preserve">Protected query / activation</t>
  </si>
  <si>
    <t xml:space="preserve">No migration</t>
  </si>
  <si>
    <t xml:space="preserve">Commercial cloud unavailable</t>
  </si>
  <si>
    <t xml:space="preserve">Use sovereign offline nodes</t>
  </si>
  <si>
    <t xml:space="preserve">Operational use</t>
  </si>
  <si>
    <t xml:space="preserve">Disconnected district node</t>
  </si>
  <si>
    <t xml:space="preserve">Vendor → continuity</t>
  </si>
  <si>
    <t xml:space="preserve">Duty persists</t>
  </si>
  <si>
    <t xml:space="preserve">Producer reports strong sales</t>
  </si>
  <si>
    <t xml:space="preserve">Keep ledgers separate</t>
  </si>
  <si>
    <t xml:space="preserve">Revenue → readiness</t>
  </si>
  <si>
    <t xml:space="preserve">Market separate</t>
  </si>
  <si>
    <t xml:space="preserve">Outputs delivered; effect unknown</t>
  </si>
  <si>
    <t xml:space="preserve">Record UNKNOWN</t>
  </si>
  <si>
    <t xml:space="preserve">UNKNOWN</t>
  </si>
  <si>
    <t xml:space="preserve">Unlike effect trustee</t>
  </si>
  <si>
    <t xml:space="preserve">No credit</t>
  </si>
  <si>
    <t xml:space="preserve">Warrant expires in emergency</t>
  </si>
  <si>
    <t xml:space="preserve">Renew exact warrant or fallback</t>
  </si>
  <si>
    <t xml:space="preserve">Expired warrant</t>
  </si>
  <si>
    <t xml:space="preserve">Same-scope alternate</t>
  </si>
  <si>
    <t xml:space="preserve">Emergency → permanence</t>
  </si>
  <si>
    <t xml:space="preserve">Expiry operates</t>
  </si>
  <si>
    <t xml:space="preserve">Mutations</t>
  </si>
  <si>
    <t xml:space="preserve">Each deliberately invalid mutation must fail before restoration.</t>
  </si>
  <si>
    <t xml:space="preserve">Mutation</t>
  </si>
  <si>
    <t xml:space="preserve">Broken predicate</t>
  </si>
  <si>
    <t xml:space="preserve">Expected</t>
  </si>
  <si>
    <t xml:space="preserve">Observed</t>
  </si>
  <si>
    <t xml:space="preserve">Restoration</t>
  </si>
  <si>
    <t xml:space="preserve">Restored</t>
  </si>
  <si>
    <t xml:space="preserve">Credit</t>
  </si>
  <si>
    <t xml:space="preserve">Secretary self-certifies release</t>
  </si>
  <si>
    <t xml:space="preserve">Separate validation</t>
  </si>
  <si>
    <t xml:space="preserve">Return release to service and proof</t>
  </si>
  <si>
    <t xml:space="preserve">YES</t>
  </si>
  <si>
    <t xml:space="preserve">Forecast activates force</t>
  </si>
  <si>
    <t xml:space="preserve">Forecast is not command</t>
  </si>
  <si>
    <t xml:space="preserve">Restore activation warrant</t>
  </si>
  <si>
    <t xml:space="preserve">Reserve member counted ready</t>
  </si>
  <si>
    <t xml:space="preserve">Personnel is not readiness</t>
  </si>
  <si>
    <t xml:space="preserve">Require formation evidence</t>
  </si>
  <si>
    <t xml:space="preserve">Aggregate reserve closes family gap</t>
  </si>
  <si>
    <t xml:space="preserve">Family completeness</t>
  </si>
  <si>
    <t xml:space="preserve">Recompile exact schedule</t>
  </si>
  <si>
    <t xml:space="preserve">Host access treated as command</t>
  </si>
  <si>
    <t xml:space="preserve">Sovereign consent</t>
  </si>
  <si>
    <t xml:space="preserve">Restore bilateral custody</t>
  </si>
  <si>
    <t xml:space="preserve">Knowledge view added to total</t>
  </si>
  <si>
    <t xml:space="preserve">Fiscal exclusivity</t>
  </si>
  <si>
    <t xml:space="preserve">Missing effect recorded zero</t>
  </si>
  <si>
    <t xml:space="preserve">Unknown is not zero</t>
  </si>
  <si>
    <t xml:space="preserve">Restore UNKNOWN</t>
  </si>
  <si>
    <t xml:space="preserve">Expired warrant stays active</t>
  </si>
  <si>
    <t xml:space="preserve">Expiry removes authority</t>
  </si>
  <si>
    <t xml:space="preserve">Renew or same-scope alternate</t>
  </si>
  <si>
    <t xml:space="preserve">Terminal audit</t>
  </si>
  <si>
    <t xml:space="preserve">Checks observe the model and never feed an assumption, state, authority or output.</t>
  </si>
  <si>
    <t xml:space="preserve">Audit</t>
  </si>
  <si>
    <t xml:space="preserve">Actual</t>
  </si>
  <si>
    <t xml:space="preserve">Required</t>
  </si>
  <si>
    <t xml:space="preserve">Interpretation</t>
  </si>
  <si>
    <t xml:space="preserve">House count</t>
  </si>
  <si>
    <t xml:space="preserve">Five houses</t>
  </si>
  <si>
    <t xml:space="preserve">No new sovereign class</t>
  </si>
  <si>
    <t xml:space="preserve">Warrant count</t>
  </si>
  <si>
    <t xml:space="preserve">Complete chain</t>
  </si>
  <si>
    <t xml:space="preserve">Constituted warrants</t>
  </si>
  <si>
    <t xml:space="preserve">Required fields present</t>
  </si>
  <si>
    <t xml:space="preserve">Compact count</t>
  </si>
  <si>
    <t xml:space="preserve">Inherited compacts integrated</t>
  </si>
  <si>
    <t xml:space="preserve">New compact bodies</t>
  </si>
  <si>
    <t xml:space="preserve">No hidden Department</t>
  </si>
  <si>
    <t xml:space="preserve">Authority actors</t>
  </si>
  <si>
    <t xml:space="preserve">All classes represented</t>
  </si>
  <si>
    <t xml:space="preserve">Workforce</t>
  </si>
  <si>
    <t xml:space="preserve">Affiliation conserved</t>
  </si>
  <si>
    <t xml:space="preserve">Formation total</t>
  </si>
  <si>
    <t xml:space="preserve">Force conserved</t>
  </si>
  <si>
    <t xml:space="preserve">Ready accounts</t>
  </si>
  <si>
    <t xml:space="preserve">Ready identity</t>
  </si>
  <si>
    <t xml:space="preserve">Regeneration accounts</t>
  </si>
  <si>
    <t xml:space="preserve">Nonready identity</t>
  </si>
  <si>
    <t xml:space="preserve">Committed modes</t>
  </si>
  <si>
    <t xml:space="preserve">Domestic + invited</t>
  </si>
  <si>
    <t xml:space="preserve">Technology control</t>
  </si>
  <si>
    <t xml:space="preserve">Capital control</t>
  </si>
  <si>
    <t xml:space="preserve">Operations account</t>
  </si>
  <si>
    <t xml:space="preserve">Operations control</t>
  </si>
  <si>
    <t xml:space="preserve">Three accounts</t>
  </si>
  <si>
    <t xml:space="preserve">Technology schedule</t>
  </si>
  <si>
    <t xml:space="preserve">Path closes</t>
  </si>
  <si>
    <t xml:space="preserve">Capital schedule</t>
  </si>
  <si>
    <t xml:space="preserve">Operations schedule</t>
  </si>
  <si>
    <t xml:space="preserve">Total schedule</t>
  </si>
  <si>
    <t xml:space="preserve">Cumulative close</t>
  </si>
  <si>
    <t xml:space="preserve">Roll-forward closes</t>
  </si>
  <si>
    <t xml:space="preserve">Ramp total</t>
  </si>
  <si>
    <t xml:space="preserve">Inherited ramp</t>
  </si>
  <si>
    <t xml:space="preserve">Knowledge nested base</t>
  </si>
  <si>
    <t xml:space="preserve">Cross-classified</t>
  </si>
  <si>
    <t xml:space="preserve">Stress tests</t>
  </si>
  <si>
    <t xml:space="preserve">All pass</t>
  </si>
  <si>
    <t xml:space="preserve">Invalid mutations</t>
  </si>
  <si>
    <t xml:space="preserve">All detected</t>
  </si>
  <si>
    <t xml:space="preserve">Restored mutations</t>
  </si>
  <si>
    <t xml:space="preserve">Baseline restored</t>
  </si>
  <si>
    <t xml:space="preserve">Source-empty</t>
  </si>
  <si>
    <t xml:space="preserve">Released effect credit</t>
  </si>
  <si>
    <t xml:space="preserve">No synthetic success</t>
  </si>
  <si>
    <t xml:space="preserve">Audit summary</t>
  </si>
  <si>
    <t xml:space="preserve">Pass count</t>
  </si>
  <si>
    <t xml:space="preserve">Terminal passes</t>
  </si>
  <si>
    <t xml:space="preserve">Sources &amp; Limits</t>
  </si>
  <si>
    <t xml:space="preserve">Repository-internal research only. No external evidence, identity, site, exterior or rendering is authorized.</t>
  </si>
  <si>
    <t xml:space="preserve">Source / limit</t>
  </si>
  <si>
    <t xml:space="preserve">Role</t>
  </si>
  <si>
    <t xml:space="preserve">Inherited control</t>
  </si>
  <si>
    <t xml:space="preserve">Pass 201 — constitutional order</t>
  </si>
  <si>
    <t xml:space="preserve">Parent architecture</t>
  </si>
  <si>
    <t xml:space="preserve">Five houses, 17 classes, 17 warrants</t>
  </si>
  <si>
    <t xml:space="preserve">Authoritative</t>
  </si>
  <si>
    <t xml:space="preserve">Pass 202 — domestic covenant</t>
  </si>
  <si>
    <t xml:space="preserve">Domestic duty</t>
  </si>
  <si>
    <t xml:space="preserve">13 warrants, six-day bridge and expiry</t>
  </si>
  <si>
    <t xml:space="preserve">Pass 203 — Civil Service Commonwealth</t>
  </si>
  <si>
    <t xml:space="preserve">People and economy</t>
  </si>
  <si>
    <t xml:space="preserve">13.0307M positions; USD 68.4T</t>
  </si>
  <si>
    <t xml:space="preserve">Pass 204 — Public Reality Commons</t>
  </si>
  <si>
    <t xml:space="preserve">Knowledge and privacy</t>
  </si>
  <si>
    <t xml:space="preserve">Four planes; USD 6.19T nested base</t>
  </si>
  <si>
    <t xml:space="preserve">Pass 195 — force-generation return</t>
  </si>
  <si>
    <t xml:space="preserve">Formation machinery</t>
  </si>
  <si>
    <t xml:space="preserve">5,251 formations; five circuits</t>
  </si>
  <si>
    <t xml:space="preserve">Integrated</t>
  </si>
  <si>
    <t xml:space="preserve">Pass 200 — Strategic Power return</t>
  </si>
  <si>
    <t xml:space="preserve">Employment</t>
  </si>
  <si>
    <t xml:space="preserve">Four modes; sovereign invited use</t>
  </si>
  <si>
    <t xml:space="preserve">Source status</t>
  </si>
  <si>
    <t xml:space="preserve">All identities and evidence</t>
  </si>
  <si>
    <t xml:space="preserve">Zero authority</t>
  </si>
  <si>
    <t xml:space="preserve">Fiscal precision</t>
  </si>
  <si>
    <t xml:space="preserve">Inherited planning controls</t>
  </si>
  <si>
    <t xml:space="preserve">Timing normalized to totals</t>
  </si>
  <si>
    <t xml:space="preserve">Illustrative</t>
  </si>
  <si>
    <t xml:space="preserve">Nested overlap</t>
  </si>
  <si>
    <t xml:space="preserve">People, technology, capital and operations</t>
  </si>
  <si>
    <t xml:space="preserve">Do not add program views</t>
  </si>
  <si>
    <t xml:space="preserve">Cross-classify</t>
  </si>
  <si>
    <t xml:space="preserve">Technology maturity</t>
  </si>
  <si>
    <t xml:space="preserve">Novel capabilities require unlike roots and proof</t>
  </si>
  <si>
    <t xml:space="preserve">No prototype credit</t>
  </si>
  <si>
    <t xml:space="preserve">Held</t>
  </si>
  <si>
    <t xml:space="preserve">Physical design</t>
  </si>
  <si>
    <t xml:space="preserve">No site, serial, exterior or rendering</t>
  </si>
  <si>
    <t xml:space="preserve">Research-first constraint</t>
  </si>
  <si>
    <t xml:space="preserve">Next decision</t>
  </si>
  <si>
    <t xml:space="preserve">First physical build tranche</t>
  </si>
  <si>
    <t xml:space="preserve">Complete service systems and evidence sequencing</t>
  </si>
  <si>
    <t xml:space="preserve">Frontier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</si>
</sst>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#,##0"/>
    <numFmt numFmtId="167" formatCode="0.0000"/>
    <numFmt numFmtId="168" formatCode="0.0%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8"/>
      <color rgb="FFFFFFFF"/>
      <name val="Aptos"/>
      <family val="0"/>
      <charset val="1"/>
    </font>
    <font>
      <i val="true"/>
      <sz val="10"/>
      <color rgb="FF17365D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b val="true"/>
      <sz val="12"/>
      <color rgb="FF17365D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sz val="10"/>
      <color rgb="FF222222"/>
      <name val="Aptos"/>
      <family val="0"/>
      <charset val="1"/>
    </font>
    <font>
      <b val="true"/>
      <sz val="10"/>
      <color rgb="FF548235"/>
      <name val="Aptos"/>
      <family val="0"/>
      <charset val="1"/>
    </font>
    <font>
      <b val="true"/>
      <sz val="10"/>
      <color rgb="FFC00000"/>
      <name val="Aptos"/>
      <family val="0"/>
      <charset val="1"/>
    </font>
    <font>
      <b val="true"/>
      <sz val="10"/>
      <color rgb="FF17365D"/>
      <name val="Aptos"/>
      <family val="0"/>
      <charset val="1"/>
    </font>
    <font>
      <b val="true"/>
      <sz val="9"/>
      <color rgb="FF000000"/>
      <name val="Aptos"/>
      <family val="2"/>
    </font>
    <font>
      <sz val="6.75"/>
      <color rgb="FF000000"/>
      <name val="Aptos"/>
      <family val="2"/>
    </font>
    <font>
      <sz val="10"/>
      <color rgb="FF00000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D9EAF7"/>
        <bgColor rgb="FFE2F0D9"/>
      </patternFill>
    </fill>
    <fill>
      <patternFill patternType="solid">
        <fgColor rgb="FF2F75B5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595959"/>
        <bgColor rgb="FF548235"/>
      </patternFill>
    </fill>
    <fill>
      <patternFill patternType="solid">
        <fgColor rgb="FFE2F0D9"/>
        <bgColor rgb="FFD9EAF7"/>
      </patternFill>
    </fill>
    <fill>
      <patternFill patternType="solid">
        <fgColor rgb="FFFCE4D6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D6B656"/>
      </left>
      <right style="medium">
        <color rgb="FFD6B656"/>
      </right>
      <top style="medium">
        <color rgb="FFD6B656"/>
      </top>
      <bottom style="medium">
        <color rgb="FFD6B656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3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3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3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5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5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5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ont>
        <b val="1"/>
        <color rgb="FF548235"/>
      </font>
      <fill>
        <patternFill>
          <bgColor rgb="FFE2F0D9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F0D9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D6B656"/>
      <rgbColor rgb="FFFF9900"/>
      <rgbColor rgb="FFFF6600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ptos"/>
                <a:ea typeface="Aptos"/>
              </a:rPr>
              <a:t>Annual and cumulative public outlay (USD 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"Annual outlay"</c:f>
              <c:strCache>
                <c:ptCount val="1"/>
                <c:pt idx="0">
                  <c:v>Annual outlay</c:v>
                </c:pt>
              </c:strCache>
            </c:strRef>
          </c:tx>
          <c:spPr>
            <a:solidFill>
              <a:srgbClr val="2F75B5"/>
            </a:solidFill>
            <a:ln w="19080">
              <a:solidFill>
                <a:srgbClr val="2F75B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'25-Year Path'!$A$5:$A$29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'25-Year Path'!$H$5:$H$29</c:f>
              <c:numCache>
                <c:formatCode>#,##0.0</c:formatCode>
                <c:ptCount val="25"/>
                <c:pt idx="0">
                  <c:v>562.613675266876</c:v>
                </c:pt>
                <c:pt idx="1">
                  <c:v>1021.47406969386</c:v>
                </c:pt>
                <c:pt idx="2">
                  <c:v>1684.76466133433</c:v>
                </c:pt>
                <c:pt idx="3">
                  <c:v>2244.85865156184</c:v>
                </c:pt>
                <c:pt idx="4">
                  <c:v>2831.19936094945</c:v>
                </c:pt>
                <c:pt idx="5">
                  <c:v>3417.54007033706</c:v>
                </c:pt>
                <c:pt idx="6">
                  <c:v>3498.07050304483</c:v>
                </c:pt>
                <c:pt idx="7">
                  <c:v>3578.6009357526</c:v>
                </c:pt>
                <c:pt idx="8">
                  <c:v>3608.42820536761</c:v>
                </c:pt>
                <c:pt idx="9">
                  <c:v>3726.99563246294</c:v>
                </c:pt>
                <c:pt idx="10">
                  <c:v>3504.3557104769</c:v>
                </c:pt>
                <c:pt idx="11">
                  <c:v>3155.48219269034</c:v>
                </c:pt>
                <c:pt idx="12">
                  <c:v>2978.54543379706</c:v>
                </c:pt>
                <c:pt idx="13">
                  <c:v>2887.57705435042</c:v>
                </c:pt>
                <c:pt idx="14">
                  <c:v>2801.60867490378</c:v>
                </c:pt>
                <c:pt idx="15">
                  <c:v>2767.22132312512</c:v>
                </c:pt>
                <c:pt idx="16">
                  <c:v>2750.0276472358</c:v>
                </c:pt>
                <c:pt idx="17">
                  <c:v>2732.83397134647</c:v>
                </c:pt>
                <c:pt idx="18">
                  <c:v>2710.64029545714</c:v>
                </c:pt>
                <c:pt idx="19">
                  <c:v>2693.44661956781</c:v>
                </c:pt>
                <c:pt idx="20">
                  <c:v>2676.25294367848</c:v>
                </c:pt>
                <c:pt idx="21">
                  <c:v>2659.05926778915</c:v>
                </c:pt>
                <c:pt idx="22">
                  <c:v>2641.86559189983</c:v>
                </c:pt>
                <c:pt idx="23">
                  <c:v>2633.26875395516</c:v>
                </c:pt>
                <c:pt idx="24">
                  <c:v>2633.26875395516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"Cumulative outlay"</c:f>
              <c:strCache>
                <c:ptCount val="1"/>
                <c:pt idx="0">
                  <c:v>Cumulative outlay</c:v>
                </c:pt>
              </c:strCache>
            </c:strRef>
          </c:tx>
          <c:spPr>
            <a:solidFill>
              <a:srgbClr val="D6B656"/>
            </a:solidFill>
            <a:ln w="19080">
              <a:solidFill>
                <a:srgbClr val="D6B65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'25-Year Path'!$A$5:$A$29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'25-Year Path'!$I$5:$I$29</c:f>
              <c:numCache>
                <c:formatCode>#,##0.0</c:formatCode>
                <c:ptCount val="25"/>
                <c:pt idx="0">
                  <c:v>562.613675266876</c:v>
                </c:pt>
                <c:pt idx="1">
                  <c:v>1584.08774496073</c:v>
                </c:pt>
                <c:pt idx="2">
                  <c:v>3268.85240629506</c:v>
                </c:pt>
                <c:pt idx="3">
                  <c:v>5513.7110578569</c:v>
                </c:pt>
                <c:pt idx="4">
                  <c:v>8344.91041880635</c:v>
                </c:pt>
                <c:pt idx="5">
                  <c:v>11762.4504891434</c:v>
                </c:pt>
                <c:pt idx="6">
                  <c:v>15260.5209921882</c:v>
                </c:pt>
                <c:pt idx="7">
                  <c:v>18839.1219279408</c:v>
                </c:pt>
                <c:pt idx="8">
                  <c:v>22447.5501333084</c:v>
                </c:pt>
                <c:pt idx="9">
                  <c:v>26174.5457657714</c:v>
                </c:pt>
                <c:pt idx="10">
                  <c:v>29678.9014762483</c:v>
                </c:pt>
                <c:pt idx="11">
                  <c:v>32834.3836689386</c:v>
                </c:pt>
                <c:pt idx="12">
                  <c:v>35812.9291027357</c:v>
                </c:pt>
                <c:pt idx="13">
                  <c:v>38700.5061570861</c:v>
                </c:pt>
                <c:pt idx="14">
                  <c:v>41502.1148319899</c:v>
                </c:pt>
                <c:pt idx="15">
                  <c:v>44269.336155115</c:v>
                </c:pt>
                <c:pt idx="16">
                  <c:v>47019.3638023508</c:v>
                </c:pt>
                <c:pt idx="17">
                  <c:v>49752.1977736973</c:v>
                </c:pt>
                <c:pt idx="18">
                  <c:v>52462.8380691544</c:v>
                </c:pt>
                <c:pt idx="19">
                  <c:v>55156.2846887222</c:v>
                </c:pt>
                <c:pt idx="20">
                  <c:v>57832.5376324007</c:v>
                </c:pt>
                <c:pt idx="21">
                  <c:v>60491.5969001898</c:v>
                </c:pt>
                <c:pt idx="22">
                  <c:v>63133.4624920897</c:v>
                </c:pt>
                <c:pt idx="23">
                  <c:v>65766.7312460448</c:v>
                </c:pt>
                <c:pt idx="24">
                  <c:v>68400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403902"/>
        <c:axId val="36343457"/>
      </c:lineChart>
      <c:catAx>
        <c:axId val="8940390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ptos"/>
                <a:ea typeface="Aptos"/>
              </a:defRPr>
            </a:pPr>
          </a:p>
        </c:txPr>
        <c:crossAx val="36343457"/>
        <c:crosses val="autoZero"/>
        <c:auto val="1"/>
        <c:lblAlgn val="ctr"/>
        <c:lblOffset val="100"/>
        <c:noMultiLvlLbl val="0"/>
      </c:catAx>
      <c:valAx>
        <c:axId val="3634345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ptos"/>
                <a:ea typeface="Aptos"/>
              </a:defRPr>
            </a:pPr>
          </a:p>
        </c:txPr>
        <c:crossAx val="89403902"/>
        <c:crosses val="autoZero"/>
        <c:crossBetween val="between"/>
      </c:valAx>
      <c:spPr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"/>
              <a:ea typeface="Aptos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18</xdr:col>
      <xdr:colOff>610920</xdr:colOff>
      <xdr:row>19</xdr:row>
      <xdr:rowOff>190080</xdr:rowOff>
    </xdr:to>
    <xdr:graphicFrame>
      <xdr:nvGraphicFramePr>
        <xdr:cNvPr id="1" name="Chart"/>
        <xdr:cNvGraphicFramePr/>
      </xdr:nvGraphicFramePr>
      <xdr:xfrm>
        <a:off x="11466360" y="977760"/>
        <a:ext cx="550296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7" min="4" style="0" width="15"/>
    <col collapsed="false" customWidth="true" hidden="false" outlineLevel="0" max="8" min="8" style="0" width="27"/>
    <col collapsed="false" customWidth="true" hidden="false" outlineLevel="0" max="9" min="9" style="0" width="11"/>
    <col collapsed="false" customWidth="true" hidden="false" outlineLevel="0" max="10" min="10" style="0" width="3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</row>
    <row r="9" customFormat="false" ht="15" hidden="false" customHeight="false" outlineLevel="0" collapsed="false">
      <c r="A9" s="5" t="s">
        <v>4</v>
      </c>
      <c r="B9" s="5" t="s">
        <v>5</v>
      </c>
      <c r="C9" s="5" t="s">
        <v>6</v>
      </c>
      <c r="E9" s="5" t="s">
        <v>7</v>
      </c>
      <c r="F9" s="5" t="s">
        <v>8</v>
      </c>
      <c r="G9" s="5" t="s">
        <v>9</v>
      </c>
    </row>
    <row r="10" customFormat="false" ht="23.85" hidden="false" customHeight="false" outlineLevel="0" collapsed="false">
      <c r="A10" s="6" t="s">
        <v>10</v>
      </c>
      <c r="B10" s="6" t="n">
        <v>5</v>
      </c>
      <c r="C10" s="6" t="s">
        <v>11</v>
      </c>
      <c r="E10" s="6" t="s">
        <v>12</v>
      </c>
      <c r="F10" s="7" t="n">
        <v>13.0307</v>
      </c>
      <c r="G10" s="6" t="s">
        <v>13</v>
      </c>
    </row>
    <row r="11" customFormat="false" ht="23.85" hidden="false" customHeight="false" outlineLevel="0" collapsed="false">
      <c r="A11" s="6" t="s">
        <v>14</v>
      </c>
      <c r="B11" s="6" t="n">
        <v>17</v>
      </c>
      <c r="C11" s="6" t="s">
        <v>15</v>
      </c>
      <c r="E11" s="6" t="s">
        <v>16</v>
      </c>
      <c r="F11" s="7" t="n">
        <v>5251</v>
      </c>
      <c r="G11" s="6" t="s">
        <v>17</v>
      </c>
    </row>
    <row r="12" customFormat="false" ht="23.85" hidden="false" customHeight="false" outlineLevel="0" collapsed="false">
      <c r="A12" s="6" t="s">
        <v>18</v>
      </c>
      <c r="B12" s="6" t="n">
        <v>17</v>
      </c>
      <c r="C12" s="6" t="s">
        <v>19</v>
      </c>
      <c r="E12" s="6" t="s">
        <v>20</v>
      </c>
      <c r="F12" s="7" t="n">
        <v>3667</v>
      </c>
      <c r="G12" s="6" t="s">
        <v>17</v>
      </c>
    </row>
    <row r="13" customFormat="false" ht="23.85" hidden="false" customHeight="false" outlineLevel="0" collapsed="false">
      <c r="A13" s="6" t="s">
        <v>21</v>
      </c>
      <c r="B13" s="6" t="n">
        <v>13</v>
      </c>
      <c r="C13" s="6" t="s">
        <v>22</v>
      </c>
      <c r="E13" s="6" t="s">
        <v>23</v>
      </c>
      <c r="F13" s="7" t="n">
        <v>2420</v>
      </c>
      <c r="G13" s="6" t="s">
        <v>17</v>
      </c>
    </row>
    <row r="14" customFormat="false" ht="23.85" hidden="false" customHeight="false" outlineLevel="0" collapsed="false">
      <c r="A14" s="6" t="s">
        <v>24</v>
      </c>
      <c r="B14" s="6" t="n">
        <v>11</v>
      </c>
      <c r="C14" s="6" t="s">
        <v>25</v>
      </c>
      <c r="E14" s="6" t="s">
        <v>26</v>
      </c>
      <c r="F14" s="7" t="n">
        <v>1000</v>
      </c>
      <c r="G14" s="6" t="s">
        <v>27</v>
      </c>
    </row>
    <row r="15" customFormat="false" ht="35.05" hidden="false" customHeight="false" outlineLevel="0" collapsed="false">
      <c r="A15" s="6" t="s">
        <v>28</v>
      </c>
      <c r="B15" s="6" t="n">
        <v>12</v>
      </c>
      <c r="C15" s="6" t="s">
        <v>29</v>
      </c>
      <c r="E15" s="6" t="s">
        <v>30</v>
      </c>
      <c r="F15" s="7" t="n">
        <v>17400</v>
      </c>
      <c r="G15" s="6" t="s">
        <v>27</v>
      </c>
    </row>
    <row r="16" customFormat="false" ht="23.85" hidden="false" customHeight="false" outlineLevel="0" collapsed="false">
      <c r="A16" s="6" t="s">
        <v>31</v>
      </c>
      <c r="B16" s="6" t="n">
        <v>18</v>
      </c>
      <c r="C16" s="6" t="s">
        <v>32</v>
      </c>
      <c r="E16" s="6" t="s">
        <v>33</v>
      </c>
      <c r="F16" s="7" t="n">
        <v>50000</v>
      </c>
      <c r="G16" s="6" t="s">
        <v>27</v>
      </c>
    </row>
    <row r="17" customFormat="false" ht="23.85" hidden="false" customHeight="false" outlineLevel="0" collapsed="false">
      <c r="A17" s="6" t="s">
        <v>34</v>
      </c>
      <c r="B17" s="6" t="n">
        <v>0</v>
      </c>
      <c r="C17" s="6" t="s">
        <v>35</v>
      </c>
      <c r="E17" s="6" t="s">
        <v>36</v>
      </c>
      <c r="F17" s="7" t="n">
        <v>68400</v>
      </c>
      <c r="G17" s="6" t="s">
        <v>27</v>
      </c>
    </row>
    <row r="19" customFormat="false" ht="15" hidden="false" customHeight="false" outlineLevel="0" collapsed="false">
      <c r="A19" s="5" t="s">
        <v>37</v>
      </c>
      <c r="B19" s="5" t="s">
        <v>38</v>
      </c>
      <c r="C19" s="5" t="s">
        <v>39</v>
      </c>
      <c r="D19" s="5" t="s">
        <v>40</v>
      </c>
      <c r="E19" s="5" t="s">
        <v>41</v>
      </c>
      <c r="F19" s="5" t="s">
        <v>42</v>
      </c>
      <c r="G19" s="5" t="s">
        <v>43</v>
      </c>
      <c r="H19" s="5" t="s">
        <v>44</v>
      </c>
      <c r="I19" s="5" t="s">
        <v>45</v>
      </c>
      <c r="J19" s="5" t="s">
        <v>46</v>
      </c>
    </row>
    <row r="20" customFormat="false" ht="23.85" hidden="false" customHeight="false" outlineLevel="0" collapsed="false">
      <c r="A20" s="6" t="s">
        <v>47</v>
      </c>
      <c r="B20" s="6" t="s">
        <v>48</v>
      </c>
      <c r="C20" s="6" t="s">
        <v>49</v>
      </c>
      <c r="D20" s="6" t="s">
        <v>50</v>
      </c>
      <c r="E20" s="6" t="s">
        <v>51</v>
      </c>
      <c r="F20" s="6" t="s">
        <v>52</v>
      </c>
      <c r="G20" s="6" t="s">
        <v>53</v>
      </c>
      <c r="H20" s="6" t="s">
        <v>54</v>
      </c>
      <c r="I20" s="8" t="s">
        <v>55</v>
      </c>
      <c r="J20" s="6" t="s">
        <v>56</v>
      </c>
    </row>
    <row r="21" customFormat="false" ht="15" hidden="false" customHeight="false" outlineLevel="0" collapsed="false">
      <c r="A21" s="6" t="s">
        <v>57</v>
      </c>
      <c r="B21" s="6" t="s">
        <v>48</v>
      </c>
      <c r="C21" s="6" t="s">
        <v>49</v>
      </c>
      <c r="D21" s="6" t="s">
        <v>58</v>
      </c>
      <c r="E21" s="6" t="s">
        <v>58</v>
      </c>
      <c r="F21" s="6" t="s">
        <v>59</v>
      </c>
      <c r="G21" s="6" t="s">
        <v>60</v>
      </c>
      <c r="H21" s="6" t="s">
        <v>61</v>
      </c>
      <c r="I21" s="9" t="s">
        <v>62</v>
      </c>
      <c r="J21" s="6" t="s">
        <v>63</v>
      </c>
    </row>
    <row r="22" customFormat="false" ht="15" hidden="false" customHeight="false" outlineLevel="0" collapsed="false">
      <c r="A22" s="6" t="s">
        <v>64</v>
      </c>
      <c r="B22" s="6" t="s">
        <v>65</v>
      </c>
      <c r="C22" s="6" t="s">
        <v>66</v>
      </c>
      <c r="D22" s="6" t="s">
        <v>50</v>
      </c>
      <c r="E22" s="6" t="s">
        <v>50</v>
      </c>
      <c r="F22" s="6" t="s">
        <v>67</v>
      </c>
      <c r="G22" s="6" t="s">
        <v>50</v>
      </c>
      <c r="H22" s="6" t="s">
        <v>68</v>
      </c>
      <c r="I22" s="9" t="s">
        <v>62</v>
      </c>
      <c r="J22" s="6" t="s">
        <v>69</v>
      </c>
    </row>
    <row r="23" customFormat="false" ht="15" hidden="false" customHeight="false" outlineLevel="0" collapsed="false">
      <c r="A23" s="6" t="s">
        <v>70</v>
      </c>
      <c r="B23" s="6" t="s">
        <v>71</v>
      </c>
      <c r="C23" s="6" t="s">
        <v>72</v>
      </c>
      <c r="D23" s="6" t="s">
        <v>73</v>
      </c>
      <c r="E23" s="6" t="s">
        <v>74</v>
      </c>
      <c r="F23" s="6" t="s">
        <v>75</v>
      </c>
      <c r="G23" s="6" t="s">
        <v>74</v>
      </c>
      <c r="H23" s="6" t="s">
        <v>76</v>
      </c>
      <c r="I23" s="9" t="s">
        <v>62</v>
      </c>
      <c r="J23" s="6" t="s">
        <v>77</v>
      </c>
    </row>
    <row r="24" customFormat="false" ht="15" hidden="false" customHeight="false" outlineLevel="0" collapsed="false">
      <c r="A24" s="6" t="s">
        <v>78</v>
      </c>
      <c r="B24" s="6" t="s">
        <v>79</v>
      </c>
      <c r="C24" s="6" t="s">
        <v>80</v>
      </c>
      <c r="D24" s="6" t="s">
        <v>81</v>
      </c>
      <c r="E24" s="6" t="s">
        <v>81</v>
      </c>
      <c r="F24" s="6" t="s">
        <v>81</v>
      </c>
      <c r="G24" s="6" t="s">
        <v>82</v>
      </c>
      <c r="H24" s="6" t="s">
        <v>83</v>
      </c>
      <c r="I24" s="9" t="s">
        <v>62</v>
      </c>
      <c r="J24" s="6" t="s">
        <v>84</v>
      </c>
    </row>
  </sheetData>
  <mergeCells count="4">
    <mergeCell ref="A1:J1"/>
    <mergeCell ref="A2:J2"/>
    <mergeCell ref="A4:J4"/>
    <mergeCell ref="A5:J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5"/>
    <col collapsed="false" customWidth="true" hidden="false" outlineLevel="0" max="3" min="3" style="0" width="44"/>
    <col collapsed="false" customWidth="true" hidden="false" outlineLevel="0" max="4" min="4" style="0" width="36"/>
    <col collapsed="false" customWidth="true" hidden="false" outlineLevel="0" max="5" min="5" style="0" width="34"/>
    <col collapsed="false" customWidth="true" hidden="false" outlineLevel="0" max="6" min="6" style="0" width="29"/>
    <col collapsed="false" customWidth="true" hidden="false" outlineLevel="0" max="8" min="7" style="0" width="24"/>
  </cols>
  <sheetData>
    <row r="1" customFormat="false" ht="30" hidden="false" customHeight="true" outlineLevel="0" collapsed="false">
      <c r="A1" s="1" t="s">
        <v>85</v>
      </c>
      <c r="B1" s="1"/>
      <c r="C1" s="1"/>
      <c r="D1" s="1"/>
      <c r="E1" s="1"/>
      <c r="F1" s="1"/>
      <c r="G1" s="1"/>
      <c r="H1" s="1"/>
    </row>
    <row r="2" customFormat="false" ht="32" hidden="false" customHeight="true" outlineLevel="0" collapsed="false">
      <c r="A2" s="2" t="s">
        <v>86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5" t="s">
        <v>87</v>
      </c>
      <c r="B4" s="5" t="s">
        <v>88</v>
      </c>
      <c r="C4" s="5" t="s">
        <v>14</v>
      </c>
      <c r="D4" s="5" t="s">
        <v>89</v>
      </c>
      <c r="E4" s="5" t="s">
        <v>90</v>
      </c>
      <c r="F4" s="5" t="s">
        <v>91</v>
      </c>
      <c r="G4" s="5" t="s">
        <v>92</v>
      </c>
      <c r="H4" s="5" t="s">
        <v>93</v>
      </c>
    </row>
    <row r="5" customFormat="false" ht="23.85" hidden="false" customHeight="false" outlineLevel="0" collapsed="false">
      <c r="A5" s="6" t="s">
        <v>94</v>
      </c>
      <c r="B5" s="6" t="s">
        <v>95</v>
      </c>
      <c r="C5" s="6" t="s">
        <v>96</v>
      </c>
      <c r="D5" s="6" t="s">
        <v>97</v>
      </c>
      <c r="E5" s="6" t="s">
        <v>98</v>
      </c>
      <c r="F5" s="6" t="s">
        <v>99</v>
      </c>
      <c r="G5" s="6" t="s">
        <v>100</v>
      </c>
      <c r="H5" s="6" t="s">
        <v>101</v>
      </c>
    </row>
    <row r="6" customFormat="false" ht="23.85" hidden="false" customHeight="false" outlineLevel="0" collapsed="false">
      <c r="A6" s="6" t="s">
        <v>101</v>
      </c>
      <c r="B6" s="6" t="s">
        <v>102</v>
      </c>
      <c r="C6" s="6" t="s">
        <v>103</v>
      </c>
      <c r="D6" s="6" t="s">
        <v>104</v>
      </c>
      <c r="E6" s="6" t="s">
        <v>105</v>
      </c>
      <c r="F6" s="6" t="s">
        <v>106</v>
      </c>
      <c r="G6" s="6" t="s">
        <v>107</v>
      </c>
      <c r="H6" s="6" t="s">
        <v>108</v>
      </c>
    </row>
    <row r="7" customFormat="false" ht="23.85" hidden="false" customHeight="false" outlineLevel="0" collapsed="false">
      <c r="A7" s="6" t="s">
        <v>108</v>
      </c>
      <c r="B7" s="6" t="s">
        <v>109</v>
      </c>
      <c r="C7" s="6" t="s">
        <v>110</v>
      </c>
      <c r="D7" s="6" t="s">
        <v>111</v>
      </c>
      <c r="E7" s="6" t="s">
        <v>112</v>
      </c>
      <c r="F7" s="6" t="s">
        <v>113</v>
      </c>
      <c r="G7" s="6" t="s">
        <v>114</v>
      </c>
      <c r="H7" s="6" t="s">
        <v>115</v>
      </c>
    </row>
    <row r="8" customFormat="false" ht="23.85" hidden="false" customHeight="false" outlineLevel="0" collapsed="false">
      <c r="A8" s="6" t="s">
        <v>115</v>
      </c>
      <c r="B8" s="6" t="s">
        <v>116</v>
      </c>
      <c r="C8" s="6" t="s">
        <v>117</v>
      </c>
      <c r="D8" s="6" t="s">
        <v>118</v>
      </c>
      <c r="E8" s="6" t="s">
        <v>119</v>
      </c>
      <c r="F8" s="6" t="s">
        <v>120</v>
      </c>
      <c r="G8" s="6" t="s">
        <v>121</v>
      </c>
      <c r="H8" s="6" t="s">
        <v>122</v>
      </c>
    </row>
    <row r="9" customFormat="false" ht="23.85" hidden="false" customHeight="false" outlineLevel="0" collapsed="false">
      <c r="A9" s="6" t="s">
        <v>122</v>
      </c>
      <c r="B9" s="6" t="s">
        <v>123</v>
      </c>
      <c r="C9" s="6" t="s">
        <v>124</v>
      </c>
      <c r="D9" s="6" t="s">
        <v>125</v>
      </c>
      <c r="E9" s="6" t="s">
        <v>126</v>
      </c>
      <c r="F9" s="6" t="s">
        <v>127</v>
      </c>
      <c r="G9" s="6" t="s">
        <v>128</v>
      </c>
      <c r="H9" s="6" t="s">
        <v>129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28"/>
    <col collapsed="false" customWidth="true" hidden="false" outlineLevel="0" max="5" min="5" style="0" width="39"/>
    <col collapsed="false" customWidth="true" hidden="false" outlineLevel="0" max="6" min="6" style="0" width="27"/>
    <col collapsed="false" customWidth="true" hidden="false" outlineLevel="0" max="8" min="7" style="0" width="23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" t="s">
        <v>130</v>
      </c>
      <c r="B1" s="1"/>
      <c r="C1" s="1"/>
      <c r="D1" s="1"/>
      <c r="E1" s="1"/>
      <c r="F1" s="1"/>
      <c r="G1" s="1"/>
      <c r="H1" s="1"/>
      <c r="I1" s="1"/>
    </row>
    <row r="2" customFormat="false" ht="32" hidden="false" customHeight="true" outlineLevel="0" collapsed="false">
      <c r="A2" s="2" t="s">
        <v>131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5" t="s">
        <v>132</v>
      </c>
      <c r="B4" s="5" t="s">
        <v>133</v>
      </c>
      <c r="C4" s="5" t="s">
        <v>134</v>
      </c>
      <c r="D4" s="5" t="s">
        <v>52</v>
      </c>
      <c r="E4" s="5" t="s">
        <v>135</v>
      </c>
      <c r="F4" s="5" t="s">
        <v>136</v>
      </c>
      <c r="G4" s="5" t="s">
        <v>137</v>
      </c>
      <c r="H4" s="5" t="s">
        <v>138</v>
      </c>
      <c r="I4" s="5" t="s">
        <v>139</v>
      </c>
    </row>
    <row r="5" customFormat="false" ht="15" hidden="false" customHeight="false" outlineLevel="0" collapsed="false">
      <c r="A5" s="6" t="n">
        <v>1</v>
      </c>
      <c r="B5" s="6" t="s">
        <v>140</v>
      </c>
      <c r="C5" s="6" t="s">
        <v>141</v>
      </c>
      <c r="D5" s="6" t="s">
        <v>142</v>
      </c>
      <c r="E5" s="6" t="s">
        <v>143</v>
      </c>
      <c r="F5" s="6" t="s">
        <v>144</v>
      </c>
      <c r="G5" s="6" t="s">
        <v>145</v>
      </c>
      <c r="H5" s="6" t="s">
        <v>146</v>
      </c>
      <c r="I5" s="6" t="str">
        <f aca="false">IF(AND(C5&lt;&gt;"",D5&lt;&gt;"",E5&lt;&gt;"",F5&lt;&gt;"",G5&lt;&gt;"",H5&lt;&gt;""),"CONSTITUTED","HOLD")</f>
        <v>CONSTITUTED</v>
      </c>
    </row>
    <row r="6" customFormat="false" ht="15" hidden="false" customHeight="false" outlineLevel="0" collapsed="false">
      <c r="A6" s="6" t="n">
        <v>2</v>
      </c>
      <c r="B6" s="6" t="s">
        <v>147</v>
      </c>
      <c r="C6" s="6" t="s">
        <v>148</v>
      </c>
      <c r="D6" s="6" t="s">
        <v>149</v>
      </c>
      <c r="E6" s="6" t="s">
        <v>150</v>
      </c>
      <c r="F6" s="6" t="s">
        <v>151</v>
      </c>
      <c r="G6" s="6" t="s">
        <v>152</v>
      </c>
      <c r="H6" s="6" t="s">
        <v>153</v>
      </c>
      <c r="I6" s="6" t="str">
        <f aca="false">IF(AND(C6&lt;&gt;"",D6&lt;&gt;"",E6&lt;&gt;"",F6&lt;&gt;"",G6&lt;&gt;"",H6&lt;&gt;""),"CONSTITUTED","HOLD")</f>
        <v>CONSTITUTED</v>
      </c>
    </row>
    <row r="7" customFormat="false" ht="15" hidden="false" customHeight="false" outlineLevel="0" collapsed="false">
      <c r="A7" s="6" t="n">
        <v>3</v>
      </c>
      <c r="B7" s="6" t="s">
        <v>154</v>
      </c>
      <c r="C7" s="6" t="s">
        <v>142</v>
      </c>
      <c r="D7" s="6" t="s">
        <v>149</v>
      </c>
      <c r="E7" s="6" t="s">
        <v>155</v>
      </c>
      <c r="F7" s="6" t="s">
        <v>156</v>
      </c>
      <c r="G7" s="6" t="s">
        <v>157</v>
      </c>
      <c r="H7" s="6" t="s">
        <v>158</v>
      </c>
      <c r="I7" s="6" t="str">
        <f aca="false">IF(AND(C7&lt;&gt;"",D7&lt;&gt;"",E7&lt;&gt;"",F7&lt;&gt;"",G7&lt;&gt;"",H7&lt;&gt;""),"CONSTITUTED","HOLD")</f>
        <v>CONSTITUTED</v>
      </c>
    </row>
    <row r="8" customFormat="false" ht="15" hidden="false" customHeight="false" outlineLevel="0" collapsed="false">
      <c r="A8" s="6" t="n">
        <v>4</v>
      </c>
      <c r="B8" s="6" t="s">
        <v>159</v>
      </c>
      <c r="C8" s="6" t="s">
        <v>160</v>
      </c>
      <c r="D8" s="6" t="s">
        <v>149</v>
      </c>
      <c r="E8" s="6" t="s">
        <v>161</v>
      </c>
      <c r="F8" s="6" t="s">
        <v>162</v>
      </c>
      <c r="G8" s="6" t="s">
        <v>163</v>
      </c>
      <c r="H8" s="6" t="s">
        <v>164</v>
      </c>
      <c r="I8" s="6" t="str">
        <f aca="false">IF(AND(C8&lt;&gt;"",D8&lt;&gt;"",E8&lt;&gt;"",F8&lt;&gt;"",G8&lt;&gt;"",H8&lt;&gt;""),"CONSTITUTED","HOLD")</f>
        <v>CONSTITUTED</v>
      </c>
    </row>
    <row r="9" customFormat="false" ht="15" hidden="false" customHeight="false" outlineLevel="0" collapsed="false">
      <c r="A9" s="6" t="n">
        <v>5</v>
      </c>
      <c r="B9" s="6" t="s">
        <v>165</v>
      </c>
      <c r="C9" s="6" t="s">
        <v>149</v>
      </c>
      <c r="D9" s="6" t="s">
        <v>166</v>
      </c>
      <c r="E9" s="6" t="s">
        <v>167</v>
      </c>
      <c r="F9" s="6" t="s">
        <v>168</v>
      </c>
      <c r="G9" s="6" t="s">
        <v>169</v>
      </c>
      <c r="H9" s="6" t="s">
        <v>170</v>
      </c>
      <c r="I9" s="6" t="str">
        <f aca="false">IF(AND(C9&lt;&gt;"",D9&lt;&gt;"",E9&lt;&gt;"",F9&lt;&gt;"",G9&lt;&gt;"",H9&lt;&gt;""),"CONSTITUTED","HOLD")</f>
        <v>CONSTITUTED</v>
      </c>
    </row>
    <row r="10" customFormat="false" ht="15" hidden="false" customHeight="false" outlineLevel="0" collapsed="false">
      <c r="A10" s="6" t="n">
        <v>6</v>
      </c>
      <c r="B10" s="6" t="s">
        <v>171</v>
      </c>
      <c r="C10" s="6" t="s">
        <v>172</v>
      </c>
      <c r="D10" s="6" t="s">
        <v>173</v>
      </c>
      <c r="E10" s="6" t="s">
        <v>174</v>
      </c>
      <c r="F10" s="6" t="s">
        <v>175</v>
      </c>
      <c r="G10" s="6" t="s">
        <v>176</v>
      </c>
      <c r="H10" s="6" t="s">
        <v>177</v>
      </c>
      <c r="I10" s="6" t="str">
        <f aca="false">IF(AND(C10&lt;&gt;"",D10&lt;&gt;"",E10&lt;&gt;"",F10&lt;&gt;"",G10&lt;&gt;"",H10&lt;&gt;""),"CONSTITUTED","HOLD")</f>
        <v>CONSTITUTED</v>
      </c>
    </row>
    <row r="11" customFormat="false" ht="15" hidden="false" customHeight="false" outlineLevel="0" collapsed="false">
      <c r="A11" s="6" t="n">
        <v>7</v>
      </c>
      <c r="B11" s="6" t="s">
        <v>178</v>
      </c>
      <c r="C11" s="6" t="s">
        <v>168</v>
      </c>
      <c r="D11" s="6" t="s">
        <v>175</v>
      </c>
      <c r="E11" s="6" t="s">
        <v>179</v>
      </c>
      <c r="F11" s="6" t="s">
        <v>180</v>
      </c>
      <c r="G11" s="6" t="s">
        <v>181</v>
      </c>
      <c r="H11" s="6" t="s">
        <v>182</v>
      </c>
      <c r="I11" s="6" t="str">
        <f aca="false">IF(AND(C11&lt;&gt;"",D11&lt;&gt;"",E11&lt;&gt;"",F11&lt;&gt;"",G11&lt;&gt;"",H11&lt;&gt;""),"CONSTITUTED","HOLD")</f>
        <v>CONSTITUTED</v>
      </c>
    </row>
    <row r="12" customFormat="false" ht="15" hidden="false" customHeight="false" outlineLevel="0" collapsed="false">
      <c r="A12" s="6" t="n">
        <v>8</v>
      </c>
      <c r="B12" s="6" t="s">
        <v>183</v>
      </c>
      <c r="C12" s="6" t="s">
        <v>173</v>
      </c>
      <c r="D12" s="6" t="s">
        <v>184</v>
      </c>
      <c r="E12" s="6" t="s">
        <v>185</v>
      </c>
      <c r="F12" s="6" t="s">
        <v>144</v>
      </c>
      <c r="G12" s="6" t="s">
        <v>186</v>
      </c>
      <c r="H12" s="6" t="s">
        <v>187</v>
      </c>
      <c r="I12" s="6" t="str">
        <f aca="false">IF(AND(C12&lt;&gt;"",D12&lt;&gt;"",E12&lt;&gt;"",F12&lt;&gt;"",G12&lt;&gt;"",H12&lt;&gt;""),"CONSTITUTED","HOLD")</f>
        <v>CONSTITUTED</v>
      </c>
    </row>
    <row r="13" customFormat="false" ht="15" hidden="false" customHeight="false" outlineLevel="0" collapsed="false">
      <c r="A13" s="6" t="n">
        <v>9</v>
      </c>
      <c r="B13" s="6" t="s">
        <v>188</v>
      </c>
      <c r="C13" s="6" t="s">
        <v>175</v>
      </c>
      <c r="D13" s="6" t="s">
        <v>168</v>
      </c>
      <c r="E13" s="6" t="s">
        <v>189</v>
      </c>
      <c r="F13" s="6" t="s">
        <v>190</v>
      </c>
      <c r="G13" s="6" t="s">
        <v>191</v>
      </c>
      <c r="H13" s="6" t="s">
        <v>192</v>
      </c>
      <c r="I13" s="6" t="str">
        <f aca="false">IF(AND(C13&lt;&gt;"",D13&lt;&gt;"",E13&lt;&gt;"",F13&lt;&gt;"",G13&lt;&gt;"",H13&lt;&gt;""),"CONSTITUTED","HOLD")</f>
        <v>CONSTITUTED</v>
      </c>
    </row>
    <row r="14" customFormat="false" ht="15" hidden="false" customHeight="false" outlineLevel="0" collapsed="false">
      <c r="A14" s="6" t="n">
        <v>10</v>
      </c>
      <c r="B14" s="6" t="s">
        <v>193</v>
      </c>
      <c r="C14" s="6" t="s">
        <v>168</v>
      </c>
      <c r="D14" s="6" t="s">
        <v>194</v>
      </c>
      <c r="E14" s="6" t="s">
        <v>195</v>
      </c>
      <c r="F14" s="6" t="s">
        <v>196</v>
      </c>
      <c r="G14" s="6" t="s">
        <v>197</v>
      </c>
      <c r="H14" s="6" t="s">
        <v>198</v>
      </c>
      <c r="I14" s="6" t="str">
        <f aca="false">IF(AND(C14&lt;&gt;"",D14&lt;&gt;"",E14&lt;&gt;"",F14&lt;&gt;"",G14&lt;&gt;"",H14&lt;&gt;""),"CONSTITUTED","HOLD")</f>
        <v>CONSTITUTED</v>
      </c>
    </row>
    <row r="15" customFormat="false" ht="15" hidden="false" customHeight="false" outlineLevel="0" collapsed="false">
      <c r="A15" s="6" t="n">
        <v>11</v>
      </c>
      <c r="B15" s="6" t="s">
        <v>199</v>
      </c>
      <c r="C15" s="6" t="s">
        <v>194</v>
      </c>
      <c r="D15" s="6" t="s">
        <v>200</v>
      </c>
      <c r="E15" s="6" t="s">
        <v>201</v>
      </c>
      <c r="F15" s="6" t="s">
        <v>202</v>
      </c>
      <c r="G15" s="6" t="s">
        <v>203</v>
      </c>
      <c r="H15" s="6" t="s">
        <v>204</v>
      </c>
      <c r="I15" s="6" t="str">
        <f aca="false">IF(AND(C15&lt;&gt;"",D15&lt;&gt;"",E15&lt;&gt;"",F15&lt;&gt;"",G15&lt;&gt;"",H15&lt;&gt;""),"CONSTITUTED","HOLD")</f>
        <v>CONSTITUTED</v>
      </c>
    </row>
    <row r="16" customFormat="false" ht="15" hidden="false" customHeight="false" outlineLevel="0" collapsed="false">
      <c r="A16" s="6" t="n">
        <v>12</v>
      </c>
      <c r="B16" s="6" t="s">
        <v>205</v>
      </c>
      <c r="C16" s="6" t="s">
        <v>200</v>
      </c>
      <c r="D16" s="6" t="s">
        <v>206</v>
      </c>
      <c r="E16" s="6" t="s">
        <v>207</v>
      </c>
      <c r="F16" s="6" t="s">
        <v>208</v>
      </c>
      <c r="G16" s="6" t="s">
        <v>209</v>
      </c>
      <c r="H16" s="6" t="s">
        <v>210</v>
      </c>
      <c r="I16" s="6" t="str">
        <f aca="false">IF(AND(C16&lt;&gt;"",D16&lt;&gt;"",E16&lt;&gt;"",F16&lt;&gt;"",G16&lt;&gt;"",H16&lt;&gt;""),"CONSTITUTED","HOLD")</f>
        <v>CONSTITUTED</v>
      </c>
    </row>
    <row r="17" customFormat="false" ht="15" hidden="false" customHeight="false" outlineLevel="0" collapsed="false">
      <c r="A17" s="6" t="n">
        <v>13</v>
      </c>
      <c r="B17" s="6" t="s">
        <v>211</v>
      </c>
      <c r="C17" s="6" t="s">
        <v>212</v>
      </c>
      <c r="D17" s="6" t="s">
        <v>206</v>
      </c>
      <c r="E17" s="6" t="s">
        <v>213</v>
      </c>
      <c r="F17" s="6" t="s">
        <v>214</v>
      </c>
      <c r="G17" s="6" t="s">
        <v>215</v>
      </c>
      <c r="H17" s="6" t="s">
        <v>216</v>
      </c>
      <c r="I17" s="6" t="str">
        <f aca="false">IF(AND(C17&lt;&gt;"",D17&lt;&gt;"",E17&lt;&gt;"",F17&lt;&gt;"",G17&lt;&gt;"",H17&lt;&gt;""),"CONSTITUTED","HOLD")</f>
        <v>CONSTITUTED</v>
      </c>
    </row>
    <row r="18" customFormat="false" ht="15" hidden="false" customHeight="false" outlineLevel="0" collapsed="false">
      <c r="A18" s="6" t="n">
        <v>14</v>
      </c>
      <c r="B18" s="6" t="s">
        <v>217</v>
      </c>
      <c r="C18" s="6" t="s">
        <v>206</v>
      </c>
      <c r="D18" s="6" t="s">
        <v>218</v>
      </c>
      <c r="E18" s="6" t="s">
        <v>219</v>
      </c>
      <c r="F18" s="6" t="s">
        <v>220</v>
      </c>
      <c r="G18" s="6" t="s">
        <v>221</v>
      </c>
      <c r="H18" s="6" t="s">
        <v>222</v>
      </c>
      <c r="I18" s="6" t="str">
        <f aca="false">IF(AND(C18&lt;&gt;"",D18&lt;&gt;"",E18&lt;&gt;"",F18&lt;&gt;"",G18&lt;&gt;"",H18&lt;&gt;""),"CONSTITUTED","HOLD")</f>
        <v>CONSTITUTED</v>
      </c>
    </row>
    <row r="19" customFormat="false" ht="15" hidden="false" customHeight="false" outlineLevel="0" collapsed="false">
      <c r="A19" s="6" t="n">
        <v>15</v>
      </c>
      <c r="B19" s="6" t="s">
        <v>223</v>
      </c>
      <c r="C19" s="6" t="s">
        <v>218</v>
      </c>
      <c r="D19" s="6" t="s">
        <v>122</v>
      </c>
      <c r="E19" s="6" t="s">
        <v>224</v>
      </c>
      <c r="F19" s="6" t="s">
        <v>225</v>
      </c>
      <c r="G19" s="6" t="s">
        <v>226</v>
      </c>
      <c r="H19" s="6" t="s">
        <v>227</v>
      </c>
      <c r="I19" s="6" t="str">
        <f aca="false">IF(AND(C19&lt;&gt;"",D19&lt;&gt;"",E19&lt;&gt;"",F19&lt;&gt;"",G19&lt;&gt;"",H19&lt;&gt;""),"CONSTITUTED","HOLD")</f>
        <v>CONSTITUTED</v>
      </c>
    </row>
    <row r="20" customFormat="false" ht="15" hidden="false" customHeight="false" outlineLevel="0" collapsed="false">
      <c r="A20" s="6" t="n">
        <v>16</v>
      </c>
      <c r="B20" s="6" t="s">
        <v>228</v>
      </c>
      <c r="C20" s="6" t="s">
        <v>148</v>
      </c>
      <c r="D20" s="6" t="s">
        <v>229</v>
      </c>
      <c r="E20" s="6" t="s">
        <v>230</v>
      </c>
      <c r="F20" s="6" t="s">
        <v>231</v>
      </c>
      <c r="G20" s="6" t="s">
        <v>232</v>
      </c>
      <c r="H20" s="6" t="s">
        <v>233</v>
      </c>
      <c r="I20" s="6" t="str">
        <f aca="false">IF(AND(C20&lt;&gt;"",D20&lt;&gt;"",E20&lt;&gt;"",F20&lt;&gt;"",G20&lt;&gt;"",H20&lt;&gt;""),"CONSTITUTED","HOLD")</f>
        <v>CONSTITUTED</v>
      </c>
    </row>
    <row r="21" customFormat="false" ht="15" hidden="false" customHeight="false" outlineLevel="0" collapsed="false">
      <c r="A21" s="6" t="n">
        <v>17</v>
      </c>
      <c r="B21" s="6" t="s">
        <v>234</v>
      </c>
      <c r="C21" s="6" t="s">
        <v>196</v>
      </c>
      <c r="D21" s="6" t="s">
        <v>194</v>
      </c>
      <c r="E21" s="6" t="s">
        <v>235</v>
      </c>
      <c r="F21" s="6" t="s">
        <v>168</v>
      </c>
      <c r="G21" s="6" t="s">
        <v>236</v>
      </c>
      <c r="H21" s="6" t="s">
        <v>237</v>
      </c>
      <c r="I21" s="6" t="str">
        <f aca="false">IF(AND(C21&lt;&gt;"",D21&lt;&gt;"",E21&lt;&gt;"",F21&lt;&gt;"",G21&lt;&gt;"",H21&lt;&gt;""),"CONSTITUTED","HOLD")</f>
        <v>CONSTITUTED</v>
      </c>
    </row>
  </sheetData>
  <mergeCells count="2">
    <mergeCell ref="A1:I1"/>
    <mergeCell ref="A2:I2"/>
  </mergeCells>
  <conditionalFormatting sqref="I5:I21">
    <cfRule type="containsText" priority="2" operator="containsText" aboveAverage="0" equalAverage="0" bottom="0" percent="0" rank="0" text="CONSTITUTED" dxfId="0">
      <formula>NOT(ISERROR(SEARCH("CONSTITUTED",I5)))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3"/>
    <col collapsed="false" customWidth="true" hidden="false" outlineLevel="0" max="3" min="3" style="0" width="27"/>
    <col collapsed="false" customWidth="true" hidden="false" outlineLevel="0" max="5" min="4" style="0" width="18"/>
    <col collapsed="false" customWidth="true" hidden="false" outlineLevel="0" max="6" min="6" style="0" width="44"/>
    <col collapsed="false" customWidth="true" hidden="false" outlineLevel="0" max="7" min="7" style="0" width="25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238</v>
      </c>
      <c r="B1" s="1"/>
      <c r="C1" s="1"/>
      <c r="D1" s="1"/>
      <c r="E1" s="1"/>
      <c r="F1" s="1"/>
      <c r="G1" s="1"/>
      <c r="H1" s="1"/>
    </row>
    <row r="2" customFormat="false" ht="32" hidden="false" customHeight="true" outlineLevel="0" collapsed="false">
      <c r="A2" s="2" t="s">
        <v>239</v>
      </c>
      <c r="B2" s="2"/>
      <c r="C2" s="2"/>
      <c r="D2" s="2"/>
      <c r="E2" s="2"/>
      <c r="F2" s="2"/>
      <c r="G2" s="2"/>
      <c r="H2" s="2"/>
    </row>
    <row r="4" customFormat="false" ht="25.35" hidden="false" customHeight="false" outlineLevel="0" collapsed="false">
      <c r="A4" s="5" t="s">
        <v>240</v>
      </c>
      <c r="B4" s="5" t="s">
        <v>241</v>
      </c>
      <c r="C4" s="5" t="s">
        <v>242</v>
      </c>
      <c r="D4" s="5" t="s">
        <v>243</v>
      </c>
      <c r="E4" s="5" t="s">
        <v>244</v>
      </c>
      <c r="F4" s="5" t="s">
        <v>245</v>
      </c>
      <c r="G4" s="5" t="s">
        <v>246</v>
      </c>
      <c r="H4" s="5" t="s">
        <v>247</v>
      </c>
    </row>
    <row r="5" customFormat="false" ht="15" hidden="false" customHeight="false" outlineLevel="0" collapsed="false">
      <c r="A5" s="6" t="s">
        <v>248</v>
      </c>
      <c r="B5" s="6" t="s">
        <v>249</v>
      </c>
      <c r="C5" s="6" t="s">
        <v>250</v>
      </c>
      <c r="D5" s="6" t="n">
        <v>13</v>
      </c>
      <c r="E5" s="6" t="s">
        <v>251</v>
      </c>
      <c r="F5" s="6" t="s">
        <v>252</v>
      </c>
      <c r="G5" s="6" t="s">
        <v>253</v>
      </c>
      <c r="H5" s="6" t="s">
        <v>254</v>
      </c>
    </row>
    <row r="6" customFormat="false" ht="15" hidden="false" customHeight="false" outlineLevel="0" collapsed="false">
      <c r="A6" s="6" t="s">
        <v>255</v>
      </c>
      <c r="B6" s="6" t="s">
        <v>256</v>
      </c>
      <c r="C6" s="6" t="s">
        <v>257</v>
      </c>
      <c r="D6" s="6" t="n">
        <v>11</v>
      </c>
      <c r="E6" s="6" t="s">
        <v>251</v>
      </c>
      <c r="F6" s="6" t="s">
        <v>258</v>
      </c>
      <c r="G6" s="6" t="s">
        <v>259</v>
      </c>
      <c r="H6" s="6" t="s">
        <v>254</v>
      </c>
    </row>
    <row r="7" customFormat="false" ht="15" hidden="false" customHeight="false" outlineLevel="0" collapsed="false">
      <c r="A7" s="6" t="s">
        <v>260</v>
      </c>
      <c r="B7" s="6" t="s">
        <v>261</v>
      </c>
      <c r="C7" s="6" t="s">
        <v>262</v>
      </c>
      <c r="D7" s="6" t="n">
        <v>12</v>
      </c>
      <c r="E7" s="6" t="s">
        <v>251</v>
      </c>
      <c r="F7" s="6" t="s">
        <v>263</v>
      </c>
      <c r="G7" s="6" t="s">
        <v>253</v>
      </c>
      <c r="H7" s="6" t="s">
        <v>254</v>
      </c>
    </row>
    <row r="8" customFormat="false" ht="15" hidden="false" customHeight="false" outlineLevel="0" collapsed="false">
      <c r="A8" s="6" t="s">
        <v>264</v>
      </c>
      <c r="B8" s="6" t="s">
        <v>265</v>
      </c>
      <c r="C8" s="6" t="s">
        <v>266</v>
      </c>
      <c r="D8" s="6" t="n">
        <v>10</v>
      </c>
      <c r="E8" s="6" t="s">
        <v>251</v>
      </c>
      <c r="F8" s="6" t="s">
        <v>267</v>
      </c>
      <c r="G8" s="6" t="s">
        <v>268</v>
      </c>
      <c r="H8" s="6" t="s">
        <v>269</v>
      </c>
    </row>
    <row r="9" customFormat="false" ht="15" hidden="false" customHeight="false" outlineLevel="0" collapsed="false">
      <c r="A9" s="6" t="s">
        <v>270</v>
      </c>
      <c r="B9" s="6" t="s">
        <v>271</v>
      </c>
      <c r="C9" s="6" t="s">
        <v>272</v>
      </c>
      <c r="D9" s="6" t="n">
        <v>7</v>
      </c>
      <c r="E9" s="6" t="s">
        <v>251</v>
      </c>
      <c r="F9" s="6" t="s">
        <v>273</v>
      </c>
      <c r="G9" s="6" t="s">
        <v>253</v>
      </c>
      <c r="H9" s="6" t="s">
        <v>269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24"/>
    <col collapsed="false" customWidth="true" hidden="false" outlineLevel="0" max="3" min="3" style="0" width="31"/>
    <col collapsed="false" customWidth="true" hidden="false" outlineLevel="0" max="4" min="4" style="0" width="27"/>
    <col collapsed="false" customWidth="true" hidden="false" outlineLevel="0" max="5" min="5" style="0" width="34"/>
    <col collapsed="false" customWidth="true" hidden="false" outlineLevel="0" max="6" min="6" style="0" width="29"/>
    <col collapsed="false" customWidth="true" hidden="false" outlineLevel="0" max="8" min="7" style="0" width="27"/>
  </cols>
  <sheetData>
    <row r="1" customFormat="false" ht="30" hidden="false" customHeight="true" outlineLevel="0" collapsed="false">
      <c r="A1" s="1" t="s">
        <v>274</v>
      </c>
      <c r="B1" s="1"/>
      <c r="C1" s="1"/>
      <c r="D1" s="1"/>
      <c r="E1" s="1"/>
      <c r="F1" s="1"/>
      <c r="G1" s="1"/>
      <c r="H1" s="1"/>
    </row>
    <row r="2" customFormat="false" ht="32" hidden="false" customHeight="true" outlineLevel="0" collapsed="false">
      <c r="A2" s="2" t="s">
        <v>275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5" t="s">
        <v>276</v>
      </c>
      <c r="B4" s="5" t="s">
        <v>87</v>
      </c>
      <c r="C4" s="5" t="s">
        <v>277</v>
      </c>
      <c r="D4" s="5" t="s">
        <v>278</v>
      </c>
      <c r="E4" s="5" t="s">
        <v>279</v>
      </c>
      <c r="F4" s="5" t="s">
        <v>280</v>
      </c>
      <c r="G4" s="5" t="s">
        <v>281</v>
      </c>
      <c r="H4" s="5" t="s">
        <v>282</v>
      </c>
    </row>
    <row r="5" customFormat="false" ht="15" hidden="false" customHeight="false" outlineLevel="0" collapsed="false">
      <c r="A5" s="6" t="s">
        <v>283</v>
      </c>
      <c r="B5" s="6" t="s">
        <v>94</v>
      </c>
      <c r="C5" s="6" t="s">
        <v>284</v>
      </c>
      <c r="D5" s="6" t="s">
        <v>285</v>
      </c>
      <c r="E5" s="6" t="s">
        <v>286</v>
      </c>
      <c r="F5" s="6" t="s">
        <v>287</v>
      </c>
      <c r="G5" s="6" t="s">
        <v>288</v>
      </c>
      <c r="H5" s="6" t="s">
        <v>289</v>
      </c>
    </row>
    <row r="6" customFormat="false" ht="15" hidden="false" customHeight="false" outlineLevel="0" collapsed="false">
      <c r="A6" s="6" t="s">
        <v>142</v>
      </c>
      <c r="B6" s="6" t="s">
        <v>94</v>
      </c>
      <c r="C6" s="6" t="s">
        <v>154</v>
      </c>
      <c r="D6" s="6" t="s">
        <v>290</v>
      </c>
      <c r="E6" s="6" t="s">
        <v>291</v>
      </c>
      <c r="F6" s="6" t="s">
        <v>292</v>
      </c>
      <c r="G6" s="6" t="s">
        <v>293</v>
      </c>
      <c r="H6" s="6" t="s">
        <v>294</v>
      </c>
    </row>
    <row r="7" customFormat="false" ht="15" hidden="false" customHeight="false" outlineLevel="0" collapsed="false">
      <c r="A7" s="6" t="s">
        <v>295</v>
      </c>
      <c r="B7" s="6" t="s">
        <v>94</v>
      </c>
      <c r="C7" s="6" t="s">
        <v>296</v>
      </c>
      <c r="D7" s="6" t="s">
        <v>297</v>
      </c>
      <c r="E7" s="6" t="s">
        <v>298</v>
      </c>
      <c r="F7" s="6" t="s">
        <v>299</v>
      </c>
      <c r="G7" s="6" t="s">
        <v>300</v>
      </c>
      <c r="H7" s="6" t="s">
        <v>301</v>
      </c>
    </row>
    <row r="8" customFormat="false" ht="15" hidden="false" customHeight="false" outlineLevel="0" collapsed="false">
      <c r="A8" s="6" t="s">
        <v>160</v>
      </c>
      <c r="B8" s="6" t="s">
        <v>94</v>
      </c>
      <c r="C8" s="6" t="s">
        <v>159</v>
      </c>
      <c r="D8" s="6" t="s">
        <v>302</v>
      </c>
      <c r="E8" s="6" t="s">
        <v>303</v>
      </c>
      <c r="F8" s="6" t="s">
        <v>304</v>
      </c>
      <c r="G8" s="6" t="s">
        <v>305</v>
      </c>
      <c r="H8" s="6" t="s">
        <v>306</v>
      </c>
    </row>
    <row r="9" customFormat="false" ht="15" hidden="false" customHeight="false" outlineLevel="0" collapsed="false">
      <c r="A9" s="6" t="s">
        <v>307</v>
      </c>
      <c r="B9" s="6" t="s">
        <v>101</v>
      </c>
      <c r="C9" s="6" t="s">
        <v>165</v>
      </c>
      <c r="D9" s="6" t="s">
        <v>308</v>
      </c>
      <c r="E9" s="6" t="s">
        <v>309</v>
      </c>
      <c r="F9" s="6" t="s">
        <v>310</v>
      </c>
      <c r="G9" s="6" t="s">
        <v>311</v>
      </c>
      <c r="H9" s="6" t="s">
        <v>312</v>
      </c>
    </row>
    <row r="10" customFormat="false" ht="15" hidden="false" customHeight="false" outlineLevel="0" collapsed="false">
      <c r="A10" s="6" t="s">
        <v>313</v>
      </c>
      <c r="B10" s="6" t="s">
        <v>101</v>
      </c>
      <c r="C10" s="6" t="s">
        <v>314</v>
      </c>
      <c r="D10" s="6" t="s">
        <v>315</v>
      </c>
      <c r="E10" s="6" t="s">
        <v>316</v>
      </c>
      <c r="F10" s="6" t="s">
        <v>317</v>
      </c>
      <c r="G10" s="6" t="s">
        <v>318</v>
      </c>
      <c r="H10" s="6" t="s">
        <v>319</v>
      </c>
    </row>
    <row r="11" customFormat="false" ht="15" hidden="false" customHeight="false" outlineLevel="0" collapsed="false">
      <c r="A11" s="6" t="s">
        <v>166</v>
      </c>
      <c r="B11" s="6" t="s">
        <v>101</v>
      </c>
      <c r="C11" s="6" t="s">
        <v>320</v>
      </c>
      <c r="D11" s="6" t="s">
        <v>321</v>
      </c>
      <c r="E11" s="6" t="s">
        <v>322</v>
      </c>
      <c r="F11" s="6" t="s">
        <v>323</v>
      </c>
      <c r="G11" s="6" t="s">
        <v>324</v>
      </c>
      <c r="H11" s="6" t="s">
        <v>325</v>
      </c>
    </row>
    <row r="12" customFormat="false" ht="15" hidden="false" customHeight="false" outlineLevel="0" collapsed="false">
      <c r="A12" s="6" t="s">
        <v>326</v>
      </c>
      <c r="B12" s="6" t="s">
        <v>101</v>
      </c>
      <c r="C12" s="6" t="s">
        <v>188</v>
      </c>
      <c r="D12" s="6" t="s">
        <v>327</v>
      </c>
      <c r="E12" s="6" t="s">
        <v>328</v>
      </c>
      <c r="F12" s="6" t="s">
        <v>329</v>
      </c>
      <c r="G12" s="6" t="s">
        <v>330</v>
      </c>
      <c r="H12" s="6" t="s">
        <v>331</v>
      </c>
    </row>
    <row r="13" customFormat="false" ht="15" hidden="false" customHeight="false" outlineLevel="0" collapsed="false">
      <c r="A13" s="6" t="s">
        <v>173</v>
      </c>
      <c r="B13" s="6" t="s">
        <v>108</v>
      </c>
      <c r="C13" s="6" t="s">
        <v>183</v>
      </c>
      <c r="D13" s="6" t="s">
        <v>332</v>
      </c>
      <c r="E13" s="6" t="s">
        <v>333</v>
      </c>
      <c r="F13" s="6" t="s">
        <v>334</v>
      </c>
      <c r="G13" s="6" t="s">
        <v>335</v>
      </c>
      <c r="H13" s="6" t="s">
        <v>336</v>
      </c>
    </row>
    <row r="14" customFormat="false" ht="15" hidden="false" customHeight="false" outlineLevel="0" collapsed="false">
      <c r="A14" s="6" t="s">
        <v>337</v>
      </c>
      <c r="B14" s="6" t="s">
        <v>108</v>
      </c>
      <c r="C14" s="6" t="s">
        <v>338</v>
      </c>
      <c r="D14" s="6" t="s">
        <v>339</v>
      </c>
      <c r="E14" s="6" t="s">
        <v>340</v>
      </c>
      <c r="F14" s="6" t="s">
        <v>341</v>
      </c>
      <c r="G14" s="6" t="s">
        <v>342</v>
      </c>
      <c r="H14" s="6" t="s">
        <v>343</v>
      </c>
    </row>
    <row r="15" customFormat="false" ht="15" hidden="false" customHeight="false" outlineLevel="0" collapsed="false">
      <c r="A15" s="6" t="s">
        <v>208</v>
      </c>
      <c r="B15" s="6" t="s">
        <v>108</v>
      </c>
      <c r="C15" s="6" t="s">
        <v>344</v>
      </c>
      <c r="D15" s="6" t="s">
        <v>345</v>
      </c>
      <c r="E15" s="6" t="s">
        <v>346</v>
      </c>
      <c r="F15" s="6" t="s">
        <v>347</v>
      </c>
      <c r="G15" s="6" t="s">
        <v>348</v>
      </c>
      <c r="H15" s="6" t="s">
        <v>349</v>
      </c>
    </row>
    <row r="16" customFormat="false" ht="15" hidden="false" customHeight="false" outlineLevel="0" collapsed="false">
      <c r="A16" s="6" t="s">
        <v>196</v>
      </c>
      <c r="B16" s="6" t="s">
        <v>115</v>
      </c>
      <c r="C16" s="6" t="s">
        <v>234</v>
      </c>
      <c r="D16" s="6" t="s">
        <v>350</v>
      </c>
      <c r="E16" s="6" t="s">
        <v>351</v>
      </c>
      <c r="F16" s="6" t="s">
        <v>352</v>
      </c>
      <c r="G16" s="6" t="s">
        <v>353</v>
      </c>
      <c r="H16" s="6" t="s">
        <v>354</v>
      </c>
    </row>
    <row r="17" customFormat="false" ht="15" hidden="false" customHeight="false" outlineLevel="0" collapsed="false">
      <c r="A17" s="6" t="s">
        <v>194</v>
      </c>
      <c r="B17" s="6" t="s">
        <v>115</v>
      </c>
      <c r="C17" s="6" t="s">
        <v>199</v>
      </c>
      <c r="D17" s="6" t="s">
        <v>355</v>
      </c>
      <c r="E17" s="6" t="s">
        <v>356</v>
      </c>
      <c r="F17" s="6" t="s">
        <v>357</v>
      </c>
      <c r="G17" s="6" t="s">
        <v>358</v>
      </c>
      <c r="H17" s="6" t="s">
        <v>359</v>
      </c>
    </row>
    <row r="18" customFormat="false" ht="15" hidden="false" customHeight="false" outlineLevel="0" collapsed="false">
      <c r="A18" s="6" t="s">
        <v>200</v>
      </c>
      <c r="B18" s="6" t="s">
        <v>115</v>
      </c>
      <c r="C18" s="6" t="s">
        <v>205</v>
      </c>
      <c r="D18" s="6" t="s">
        <v>360</v>
      </c>
      <c r="E18" s="6" t="s">
        <v>361</v>
      </c>
      <c r="F18" s="6" t="s">
        <v>362</v>
      </c>
      <c r="G18" s="6" t="s">
        <v>363</v>
      </c>
      <c r="H18" s="6" t="s">
        <v>364</v>
      </c>
    </row>
    <row r="19" customFormat="false" ht="15" hidden="false" customHeight="false" outlineLevel="0" collapsed="false">
      <c r="A19" s="6" t="s">
        <v>365</v>
      </c>
      <c r="B19" s="6" t="s">
        <v>115</v>
      </c>
      <c r="C19" s="6" t="s">
        <v>366</v>
      </c>
      <c r="D19" s="6" t="s">
        <v>367</v>
      </c>
      <c r="E19" s="6" t="s">
        <v>368</v>
      </c>
      <c r="F19" s="6" t="s">
        <v>369</v>
      </c>
      <c r="G19" s="6" t="s">
        <v>370</v>
      </c>
      <c r="H19" s="6" t="s">
        <v>371</v>
      </c>
    </row>
    <row r="20" customFormat="false" ht="15" hidden="false" customHeight="false" outlineLevel="0" collapsed="false">
      <c r="A20" s="6" t="s">
        <v>372</v>
      </c>
      <c r="B20" s="6" t="s">
        <v>122</v>
      </c>
      <c r="C20" s="6" t="s">
        <v>217</v>
      </c>
      <c r="D20" s="6" t="s">
        <v>373</v>
      </c>
      <c r="E20" s="6" t="s">
        <v>374</v>
      </c>
      <c r="F20" s="6" t="s">
        <v>375</v>
      </c>
      <c r="G20" s="6" t="s">
        <v>376</v>
      </c>
      <c r="H20" s="6" t="s">
        <v>222</v>
      </c>
    </row>
    <row r="21" customFormat="false" ht="15" hidden="false" customHeight="false" outlineLevel="0" collapsed="false">
      <c r="A21" s="6" t="s">
        <v>377</v>
      </c>
      <c r="B21" s="6" t="s">
        <v>122</v>
      </c>
      <c r="C21" s="6" t="s">
        <v>378</v>
      </c>
      <c r="D21" s="6" t="s">
        <v>214</v>
      </c>
      <c r="E21" s="6" t="s">
        <v>379</v>
      </c>
      <c r="F21" s="6" t="s">
        <v>380</v>
      </c>
      <c r="G21" s="6" t="s">
        <v>381</v>
      </c>
      <c r="H21" s="6" t="s">
        <v>382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9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7" min="7" style="0" width="30"/>
    <col collapsed="false" customWidth="true" hidden="false" outlineLevel="0" max="8" min="8" style="0" width="25"/>
  </cols>
  <sheetData>
    <row r="1" customFormat="false" ht="30" hidden="false" customHeight="true" outlineLevel="0" collapsed="false">
      <c r="A1" s="1" t="s">
        <v>383</v>
      </c>
      <c r="B1" s="1"/>
      <c r="C1" s="1"/>
      <c r="D1" s="1"/>
      <c r="E1" s="1"/>
      <c r="F1" s="1"/>
      <c r="G1" s="1"/>
      <c r="H1" s="1"/>
    </row>
    <row r="2" customFormat="false" ht="32" hidden="false" customHeight="true" outlineLevel="0" collapsed="false">
      <c r="A2" s="2" t="s">
        <v>384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5" t="s">
        <v>385</v>
      </c>
      <c r="B4" s="5" t="s">
        <v>386</v>
      </c>
      <c r="C4" s="5" t="s">
        <v>387</v>
      </c>
      <c r="D4" s="5" t="s">
        <v>9</v>
      </c>
      <c r="E4" s="5" t="s">
        <v>388</v>
      </c>
      <c r="F4" s="5" t="s">
        <v>389</v>
      </c>
      <c r="G4" s="5" t="s">
        <v>390</v>
      </c>
      <c r="H4" s="5" t="s">
        <v>391</v>
      </c>
    </row>
    <row r="5" customFormat="false" ht="15" hidden="false" customHeight="false" outlineLevel="0" collapsed="false">
      <c r="A5" s="6" t="s">
        <v>392</v>
      </c>
      <c r="B5" s="6" t="s">
        <v>393</v>
      </c>
      <c r="C5" s="6" t="n">
        <v>504</v>
      </c>
      <c r="D5" s="6" t="s">
        <v>394</v>
      </c>
      <c r="E5" s="6" t="s">
        <v>395</v>
      </c>
      <c r="F5" s="6" t="s">
        <v>396</v>
      </c>
      <c r="G5" s="6" t="s">
        <v>397</v>
      </c>
      <c r="H5" s="6" t="s">
        <v>147</v>
      </c>
    </row>
    <row r="6" customFormat="false" ht="15" hidden="false" customHeight="false" outlineLevel="0" collapsed="false">
      <c r="A6" s="6" t="s">
        <v>398</v>
      </c>
      <c r="B6" s="6" t="s">
        <v>399</v>
      </c>
      <c r="C6" s="6" t="n">
        <v>1008</v>
      </c>
      <c r="D6" s="6" t="s">
        <v>400</v>
      </c>
      <c r="E6" s="6" t="s">
        <v>401</v>
      </c>
      <c r="F6" s="6" t="s">
        <v>402</v>
      </c>
      <c r="G6" s="6" t="s">
        <v>403</v>
      </c>
      <c r="H6" s="6" t="s">
        <v>211</v>
      </c>
    </row>
    <row r="7" customFormat="false" ht="15" hidden="false" customHeight="false" outlineLevel="0" collapsed="false">
      <c r="A7" s="6" t="s">
        <v>404</v>
      </c>
      <c r="B7" s="6" t="s">
        <v>405</v>
      </c>
      <c r="C7" s="6" t="n">
        <v>336</v>
      </c>
      <c r="D7" s="6" t="s">
        <v>406</v>
      </c>
      <c r="E7" s="6" t="s">
        <v>407</v>
      </c>
      <c r="F7" s="6" t="s">
        <v>408</v>
      </c>
      <c r="G7" s="6" t="s">
        <v>409</v>
      </c>
      <c r="H7" s="6" t="s">
        <v>217</v>
      </c>
    </row>
    <row r="8" customFormat="false" ht="15" hidden="false" customHeight="false" outlineLevel="0" collapsed="false">
      <c r="A8" s="6" t="s">
        <v>410</v>
      </c>
      <c r="B8" s="6" t="s">
        <v>411</v>
      </c>
      <c r="C8" s="6" t="n">
        <v>12</v>
      </c>
      <c r="D8" s="6" t="s">
        <v>412</v>
      </c>
      <c r="E8" s="6" t="s">
        <v>142</v>
      </c>
      <c r="F8" s="6" t="s">
        <v>413</v>
      </c>
      <c r="G8" s="6" t="s">
        <v>414</v>
      </c>
      <c r="H8" s="6" t="s">
        <v>147</v>
      </c>
    </row>
    <row r="9" customFormat="false" ht="15" hidden="false" customHeight="false" outlineLevel="0" collapsed="false">
      <c r="A9" s="6" t="s">
        <v>415</v>
      </c>
      <c r="B9" s="6" t="s">
        <v>416</v>
      </c>
      <c r="C9" s="6" t="n">
        <v>5.5</v>
      </c>
      <c r="D9" s="6" t="s">
        <v>417</v>
      </c>
      <c r="E9" s="6" t="s">
        <v>200</v>
      </c>
      <c r="F9" s="6" t="s">
        <v>418</v>
      </c>
      <c r="G9" s="6" t="s">
        <v>419</v>
      </c>
      <c r="H9" s="6" t="s">
        <v>205</v>
      </c>
    </row>
    <row r="10" customFormat="false" ht="15" hidden="false" customHeight="false" outlineLevel="0" collapsed="false">
      <c r="A10" s="6" t="s">
        <v>420</v>
      </c>
      <c r="B10" s="6" t="s">
        <v>421</v>
      </c>
      <c r="C10" s="6" t="n">
        <v>6</v>
      </c>
      <c r="D10" s="6" t="s">
        <v>417</v>
      </c>
      <c r="E10" s="6" t="s">
        <v>422</v>
      </c>
      <c r="F10" s="6" t="s">
        <v>423</v>
      </c>
      <c r="G10" s="6" t="s">
        <v>424</v>
      </c>
      <c r="H10" s="6" t="s">
        <v>154</v>
      </c>
    </row>
    <row r="11" customFormat="false" ht="15" hidden="false" customHeight="false" outlineLevel="0" collapsed="false">
      <c r="A11" s="6" t="s">
        <v>425</v>
      </c>
      <c r="B11" s="6" t="s">
        <v>426</v>
      </c>
      <c r="C11" s="6" t="n">
        <v>30</v>
      </c>
      <c r="D11" s="6" t="s">
        <v>417</v>
      </c>
      <c r="E11" s="6" t="s">
        <v>401</v>
      </c>
      <c r="F11" s="6" t="s">
        <v>427</v>
      </c>
      <c r="G11" s="6" t="s">
        <v>428</v>
      </c>
      <c r="H11" s="6" t="s">
        <v>211</v>
      </c>
    </row>
    <row r="12" customFormat="false" ht="15" hidden="false" customHeight="false" outlineLevel="0" collapsed="false">
      <c r="A12" s="6" t="s">
        <v>429</v>
      </c>
      <c r="B12" s="6" t="s">
        <v>430</v>
      </c>
      <c r="C12" s="6" t="n">
        <v>180</v>
      </c>
      <c r="D12" s="6" t="s">
        <v>417</v>
      </c>
      <c r="E12" s="6" t="s">
        <v>431</v>
      </c>
      <c r="F12" s="6" t="s">
        <v>432</v>
      </c>
      <c r="G12" s="6" t="s">
        <v>433</v>
      </c>
      <c r="H12" s="6" t="s">
        <v>140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8" min="5" style="0" width="25"/>
  </cols>
  <sheetData>
    <row r="1" customFormat="false" ht="30" hidden="false" customHeight="true" outlineLevel="0" collapsed="false">
      <c r="A1" s="1" t="s">
        <v>255</v>
      </c>
      <c r="B1" s="1"/>
      <c r="C1" s="1"/>
      <c r="D1" s="1"/>
      <c r="E1" s="1"/>
      <c r="F1" s="1"/>
      <c r="G1" s="1"/>
      <c r="H1" s="1"/>
    </row>
    <row r="2" customFormat="false" ht="32" hidden="false" customHeight="true" outlineLevel="0" collapsed="false">
      <c r="A2" s="2" t="s">
        <v>434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5" t="s">
        <v>435</v>
      </c>
      <c r="B4" s="5" t="s">
        <v>436</v>
      </c>
      <c r="C4" s="5" t="s">
        <v>437</v>
      </c>
      <c r="D4" s="5" t="s">
        <v>438</v>
      </c>
      <c r="E4" s="5" t="s">
        <v>439</v>
      </c>
      <c r="F4" s="5" t="s">
        <v>440</v>
      </c>
    </row>
    <row r="5" customFormat="false" ht="15" hidden="false" customHeight="false" outlineLevel="0" collapsed="false">
      <c r="A5" s="6" t="s">
        <v>441</v>
      </c>
      <c r="B5" s="10" t="n">
        <v>5570000</v>
      </c>
      <c r="C5" s="11" t="n">
        <v>5.57</v>
      </c>
      <c r="D5" s="12" t="n">
        <f aca="false">B5/$B$10</f>
        <v>0.427452093901325</v>
      </c>
      <c r="E5" s="6" t="s">
        <v>442</v>
      </c>
      <c r="F5" s="6" t="s">
        <v>443</v>
      </c>
    </row>
    <row r="6" customFormat="false" ht="15" hidden="false" customHeight="false" outlineLevel="0" collapsed="false">
      <c r="A6" s="6" t="s">
        <v>444</v>
      </c>
      <c r="B6" s="10" t="n">
        <v>2940000</v>
      </c>
      <c r="C6" s="11" t="n">
        <v>2.94</v>
      </c>
      <c r="D6" s="12" t="n">
        <f aca="false">B6/$B$10</f>
        <v>0.225621033405726</v>
      </c>
      <c r="E6" s="6" t="s">
        <v>445</v>
      </c>
      <c r="F6" s="6" t="s">
        <v>446</v>
      </c>
    </row>
    <row r="7" customFormat="false" ht="23.85" hidden="false" customHeight="false" outlineLevel="0" collapsed="false">
      <c r="A7" s="6" t="s">
        <v>447</v>
      </c>
      <c r="B7" s="10" t="n">
        <v>2430000</v>
      </c>
      <c r="C7" s="11" t="n">
        <v>2.43</v>
      </c>
      <c r="D7" s="12" t="n">
        <f aca="false">B7/$B$10</f>
        <v>0.186482690876162</v>
      </c>
      <c r="E7" s="6" t="s">
        <v>448</v>
      </c>
      <c r="F7" s="6" t="s">
        <v>449</v>
      </c>
    </row>
    <row r="8" customFormat="false" ht="23.85" hidden="false" customHeight="false" outlineLevel="0" collapsed="false">
      <c r="A8" s="6" t="s">
        <v>450</v>
      </c>
      <c r="B8" s="10" t="n">
        <v>2070000</v>
      </c>
      <c r="C8" s="11" t="n">
        <v>2.07</v>
      </c>
      <c r="D8" s="12" t="n">
        <f aca="false">B8/$B$10</f>
        <v>0.158855625561175</v>
      </c>
      <c r="E8" s="6" t="s">
        <v>451</v>
      </c>
      <c r="F8" s="6" t="s">
        <v>452</v>
      </c>
    </row>
    <row r="9" customFormat="false" ht="15" hidden="false" customHeight="false" outlineLevel="0" collapsed="false">
      <c r="A9" s="6" t="s">
        <v>453</v>
      </c>
      <c r="B9" s="10" t="n">
        <v>20700</v>
      </c>
      <c r="C9" s="11" t="n">
        <v>0.0207</v>
      </c>
      <c r="D9" s="12" t="n">
        <f aca="false">B9/$B$10</f>
        <v>0.00158855625561175</v>
      </c>
      <c r="E9" s="6" t="s">
        <v>454</v>
      </c>
      <c r="F9" s="6" t="s">
        <v>455</v>
      </c>
    </row>
    <row r="10" customFormat="false" ht="15" hidden="false" customHeight="false" outlineLevel="0" collapsed="false">
      <c r="A10" s="13" t="s">
        <v>456</v>
      </c>
      <c r="B10" s="14" t="n">
        <f aca="false">SUM(B5:B9)</f>
        <v>13030700</v>
      </c>
      <c r="C10" s="15" t="n">
        <f aca="false">SUM(C5:C9)</f>
        <v>13.0307</v>
      </c>
      <c r="D10" s="16" t="n">
        <f aca="false">SUM(D5:D9)</f>
        <v>1</v>
      </c>
      <c r="E10" s="13"/>
      <c r="F10" s="13"/>
    </row>
    <row r="12" customFormat="false" ht="15" hidden="false" customHeight="false" outlineLevel="0" collapsed="false">
      <c r="A12" s="5" t="s">
        <v>139</v>
      </c>
      <c r="B12" s="5" t="s">
        <v>457</v>
      </c>
      <c r="C12" s="5" t="s">
        <v>458</v>
      </c>
      <c r="D12" s="5" t="s">
        <v>459</v>
      </c>
      <c r="E12" s="5" t="s">
        <v>460</v>
      </c>
      <c r="F12" s="5" t="s">
        <v>461</v>
      </c>
      <c r="G12" s="5" t="s">
        <v>41</v>
      </c>
      <c r="H12" s="5" t="s">
        <v>462</v>
      </c>
    </row>
    <row r="13" customFormat="false" ht="15" hidden="false" customHeight="false" outlineLevel="0" collapsed="false">
      <c r="A13" s="6" t="s">
        <v>463</v>
      </c>
      <c r="B13" s="6" t="s">
        <v>464</v>
      </c>
      <c r="C13" s="6" t="s">
        <v>465</v>
      </c>
      <c r="D13" s="6" t="s">
        <v>465</v>
      </c>
      <c r="E13" s="6" t="s">
        <v>251</v>
      </c>
      <c r="F13" s="6" t="s">
        <v>251</v>
      </c>
      <c r="G13" s="6" t="s">
        <v>251</v>
      </c>
      <c r="H13" s="6" t="s">
        <v>251</v>
      </c>
    </row>
    <row r="14" customFormat="false" ht="15" hidden="false" customHeight="false" outlineLevel="0" collapsed="false">
      <c r="A14" s="6" t="s">
        <v>466</v>
      </c>
      <c r="B14" s="6" t="s">
        <v>464</v>
      </c>
      <c r="C14" s="6" t="s">
        <v>464</v>
      </c>
      <c r="D14" s="6" t="s">
        <v>464</v>
      </c>
      <c r="E14" s="6" t="s">
        <v>465</v>
      </c>
      <c r="F14" s="6" t="s">
        <v>251</v>
      </c>
      <c r="G14" s="6" t="s">
        <v>251</v>
      </c>
      <c r="H14" s="6" t="s">
        <v>251</v>
      </c>
    </row>
    <row r="15" customFormat="false" ht="15" hidden="false" customHeight="false" outlineLevel="0" collapsed="false">
      <c r="A15" s="6" t="s">
        <v>467</v>
      </c>
      <c r="B15" s="6" t="s">
        <v>464</v>
      </c>
      <c r="C15" s="6" t="s">
        <v>464</v>
      </c>
      <c r="D15" s="6" t="s">
        <v>468</v>
      </c>
      <c r="E15" s="6" t="s">
        <v>464</v>
      </c>
      <c r="F15" s="6" t="s">
        <v>464</v>
      </c>
      <c r="G15" s="6" t="s">
        <v>251</v>
      </c>
      <c r="H15" s="6" t="s">
        <v>251</v>
      </c>
    </row>
    <row r="16" customFormat="false" ht="15" hidden="false" customHeight="false" outlineLevel="0" collapsed="false">
      <c r="A16" s="6" t="s">
        <v>469</v>
      </c>
      <c r="B16" s="6" t="s">
        <v>464</v>
      </c>
      <c r="C16" s="6" t="s">
        <v>464</v>
      </c>
      <c r="D16" s="6" t="s">
        <v>468</v>
      </c>
      <c r="E16" s="6" t="s">
        <v>464</v>
      </c>
      <c r="F16" s="6" t="s">
        <v>464</v>
      </c>
      <c r="G16" s="6" t="s">
        <v>464</v>
      </c>
      <c r="H16" s="6" t="s">
        <v>251</v>
      </c>
    </row>
    <row r="17" customFormat="false" ht="15" hidden="false" customHeight="false" outlineLevel="0" collapsed="false">
      <c r="A17" s="6" t="s">
        <v>470</v>
      </c>
      <c r="B17" s="6" t="s">
        <v>464</v>
      </c>
      <c r="C17" s="6" t="s">
        <v>464</v>
      </c>
      <c r="D17" s="6" t="s">
        <v>468</v>
      </c>
      <c r="E17" s="6" t="s">
        <v>464</v>
      </c>
      <c r="F17" s="6" t="s">
        <v>464</v>
      </c>
      <c r="G17" s="6" t="s">
        <v>464</v>
      </c>
      <c r="H17" s="6" t="s">
        <v>464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32"/>
    <col collapsed="false" customWidth="true" hidden="false" outlineLevel="0" max="5" min="4" style="0" width="31"/>
    <col collapsed="false" customWidth="true" hidden="false" outlineLevel="0" max="7" min="6" style="0" width="24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471</v>
      </c>
      <c r="B1" s="1"/>
      <c r="C1" s="1"/>
      <c r="D1" s="1"/>
      <c r="E1" s="1"/>
      <c r="F1" s="1"/>
      <c r="G1" s="1"/>
      <c r="H1" s="1"/>
    </row>
    <row r="2" customFormat="false" ht="32" hidden="false" customHeight="true" outlineLevel="0" collapsed="false">
      <c r="A2" s="2" t="s">
        <v>472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5" t="s">
        <v>473</v>
      </c>
      <c r="B4" s="5" t="s">
        <v>474</v>
      </c>
      <c r="C4" s="5" t="s">
        <v>475</v>
      </c>
      <c r="D4" s="5" t="s">
        <v>476</v>
      </c>
      <c r="E4" s="5" t="s">
        <v>477</v>
      </c>
      <c r="F4" s="5" t="s">
        <v>478</v>
      </c>
      <c r="G4" s="5" t="s">
        <v>479</v>
      </c>
      <c r="H4" s="5" t="s">
        <v>480</v>
      </c>
    </row>
    <row r="5" customFormat="false" ht="15" hidden="false" customHeight="false" outlineLevel="0" collapsed="false">
      <c r="A5" s="6" t="s">
        <v>481</v>
      </c>
      <c r="B5" s="6" t="s">
        <v>482</v>
      </c>
      <c r="C5" s="6" t="s">
        <v>483</v>
      </c>
      <c r="D5" s="6" t="s">
        <v>484</v>
      </c>
      <c r="E5" s="6" t="s">
        <v>485</v>
      </c>
      <c r="F5" s="6" t="s">
        <v>486</v>
      </c>
      <c r="G5" s="6" t="s">
        <v>487</v>
      </c>
      <c r="H5" s="6" t="s">
        <v>488</v>
      </c>
    </row>
    <row r="6" customFormat="false" ht="15" hidden="false" customHeight="false" outlineLevel="0" collapsed="false">
      <c r="A6" s="6" t="s">
        <v>489</v>
      </c>
      <c r="B6" s="6" t="s">
        <v>490</v>
      </c>
      <c r="C6" s="6" t="s">
        <v>491</v>
      </c>
      <c r="D6" s="6" t="s">
        <v>492</v>
      </c>
      <c r="E6" s="6" t="s">
        <v>493</v>
      </c>
      <c r="F6" s="6" t="s">
        <v>494</v>
      </c>
      <c r="G6" s="6" t="s">
        <v>495</v>
      </c>
      <c r="H6" s="6" t="s">
        <v>496</v>
      </c>
    </row>
    <row r="7" customFormat="false" ht="15" hidden="false" customHeight="false" outlineLevel="0" collapsed="false">
      <c r="A7" s="6" t="s">
        <v>497</v>
      </c>
      <c r="B7" s="6" t="s">
        <v>498</v>
      </c>
      <c r="C7" s="6" t="s">
        <v>499</v>
      </c>
      <c r="D7" s="6" t="s">
        <v>500</v>
      </c>
      <c r="E7" s="6" t="s">
        <v>501</v>
      </c>
      <c r="F7" s="6" t="s">
        <v>502</v>
      </c>
      <c r="G7" s="6" t="s">
        <v>503</v>
      </c>
      <c r="H7" s="6" t="s">
        <v>504</v>
      </c>
    </row>
    <row r="8" customFormat="false" ht="15" hidden="false" customHeight="false" outlineLevel="0" collapsed="false">
      <c r="A8" s="6" t="s">
        <v>505</v>
      </c>
      <c r="B8" s="6" t="s">
        <v>506</v>
      </c>
      <c r="C8" s="6" t="s">
        <v>108</v>
      </c>
      <c r="D8" s="6" t="s">
        <v>507</v>
      </c>
      <c r="E8" s="6" t="s">
        <v>508</v>
      </c>
      <c r="F8" s="6" t="s">
        <v>509</v>
      </c>
      <c r="G8" s="6" t="s">
        <v>510</v>
      </c>
      <c r="H8" s="6" t="s">
        <v>511</v>
      </c>
    </row>
    <row r="11" customFormat="false" ht="15" hidden="false" customHeight="false" outlineLevel="0" collapsed="false">
      <c r="A11" s="5" t="s">
        <v>512</v>
      </c>
      <c r="B11" s="5" t="s">
        <v>513</v>
      </c>
      <c r="C11" s="5" t="s">
        <v>9</v>
      </c>
      <c r="D11" s="5" t="s">
        <v>514</v>
      </c>
    </row>
    <row r="12" customFormat="false" ht="15" hidden="false" customHeight="false" outlineLevel="0" collapsed="false">
      <c r="A12" s="6" t="s">
        <v>515</v>
      </c>
      <c r="B12" s="7" t="n">
        <v>175</v>
      </c>
      <c r="C12" s="6" t="s">
        <v>27</v>
      </c>
      <c r="D12" s="6" t="s">
        <v>516</v>
      </c>
    </row>
    <row r="13" customFormat="false" ht="15" hidden="false" customHeight="false" outlineLevel="0" collapsed="false">
      <c r="A13" s="6" t="s">
        <v>517</v>
      </c>
      <c r="B13" s="7" t="n">
        <v>680</v>
      </c>
      <c r="C13" s="6" t="s">
        <v>27</v>
      </c>
      <c r="D13" s="6" t="s">
        <v>518</v>
      </c>
    </row>
    <row r="14" customFormat="false" ht="15" hidden="false" customHeight="false" outlineLevel="0" collapsed="false">
      <c r="A14" s="6" t="s">
        <v>519</v>
      </c>
      <c r="B14" s="7" t="n">
        <v>280</v>
      </c>
      <c r="C14" s="6" t="s">
        <v>520</v>
      </c>
      <c r="D14" s="6" t="s">
        <v>521</v>
      </c>
    </row>
    <row r="15" customFormat="false" ht="15" hidden="false" customHeight="false" outlineLevel="0" collapsed="false">
      <c r="A15" s="6" t="s">
        <v>522</v>
      </c>
      <c r="B15" s="7" t="n">
        <f aca="false">B12+B13+B14*'Fiscal Accounts'!$B$11</f>
        <v>6189</v>
      </c>
      <c r="C15" s="6" t="s">
        <v>27</v>
      </c>
      <c r="D15" s="6" t="s">
        <v>523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3" min="2" style="0" width="20"/>
    <col collapsed="false" customWidth="true" hidden="false" outlineLevel="0" max="4" min="4" style="0" width="25"/>
    <col collapsed="false" customWidth="true" hidden="false" outlineLevel="0" max="5" min="5" style="0" width="35"/>
    <col collapsed="false" customWidth="true" hidden="false" outlineLevel="0" max="6" min="6" style="0" width="43"/>
  </cols>
  <sheetData>
    <row r="1" customFormat="false" ht="30" hidden="false" customHeight="true" outlineLevel="0" collapsed="false">
      <c r="A1" s="1" t="s">
        <v>524</v>
      </c>
      <c r="B1" s="1"/>
      <c r="C1" s="1"/>
      <c r="D1" s="1"/>
      <c r="E1" s="1"/>
      <c r="F1" s="1"/>
      <c r="G1" s="1"/>
      <c r="H1" s="1"/>
    </row>
    <row r="2" customFormat="false" ht="32" hidden="false" customHeight="true" outlineLevel="0" collapsed="false">
      <c r="A2" s="2" t="s">
        <v>525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5" t="s">
        <v>526</v>
      </c>
      <c r="B4" s="5" t="s">
        <v>5</v>
      </c>
      <c r="C4" s="5" t="s">
        <v>438</v>
      </c>
      <c r="D4" s="5" t="s">
        <v>527</v>
      </c>
      <c r="E4" s="5" t="s">
        <v>528</v>
      </c>
    </row>
    <row r="5" customFormat="false" ht="15" hidden="false" customHeight="false" outlineLevel="0" collapsed="false">
      <c r="A5" s="6" t="s">
        <v>529</v>
      </c>
      <c r="B5" s="6" t="n">
        <v>2420</v>
      </c>
      <c r="C5" s="12" t="n">
        <f aca="false">B5/$B$11</f>
        <v>0.460864597219577</v>
      </c>
      <c r="D5" s="6" t="s">
        <v>530</v>
      </c>
      <c r="E5" s="6" t="s">
        <v>531</v>
      </c>
    </row>
    <row r="6" customFormat="false" ht="15" hidden="false" customHeight="false" outlineLevel="0" collapsed="false">
      <c r="A6" s="6" t="s">
        <v>532</v>
      </c>
      <c r="B6" s="6" t="n">
        <v>502</v>
      </c>
      <c r="C6" s="12" t="n">
        <f aca="false">B6/$B$11</f>
        <v>0.0956008379356313</v>
      </c>
      <c r="D6" s="6" t="s">
        <v>533</v>
      </c>
      <c r="E6" s="6" t="s">
        <v>534</v>
      </c>
    </row>
    <row r="7" customFormat="false" ht="15" hidden="false" customHeight="false" outlineLevel="0" collapsed="false">
      <c r="A7" s="6" t="s">
        <v>535</v>
      </c>
      <c r="B7" s="6" t="n">
        <v>745</v>
      </c>
      <c r="C7" s="12" t="n">
        <f aca="false">B7/$B$11</f>
        <v>0.141877737573795</v>
      </c>
      <c r="D7" s="6" t="s">
        <v>536</v>
      </c>
      <c r="E7" s="6" t="s">
        <v>537</v>
      </c>
    </row>
    <row r="8" customFormat="false" ht="15" hidden="false" customHeight="false" outlineLevel="0" collapsed="false">
      <c r="A8" s="6" t="s">
        <v>538</v>
      </c>
      <c r="B8" s="6" t="n">
        <v>514</v>
      </c>
      <c r="C8" s="12" t="n">
        <f aca="false">B8/$B$11</f>
        <v>0.0978861169301086</v>
      </c>
      <c r="D8" s="6" t="s">
        <v>539</v>
      </c>
      <c r="E8" s="6" t="s">
        <v>540</v>
      </c>
    </row>
    <row r="9" customFormat="false" ht="15" hidden="false" customHeight="false" outlineLevel="0" collapsed="false">
      <c r="A9" s="6" t="s">
        <v>541</v>
      </c>
      <c r="B9" s="6" t="n">
        <v>527</v>
      </c>
      <c r="C9" s="12" t="n">
        <f aca="false">B9/$B$11</f>
        <v>0.100361835840792</v>
      </c>
      <c r="D9" s="6" t="s">
        <v>542</v>
      </c>
      <c r="E9" s="6" t="s">
        <v>543</v>
      </c>
    </row>
    <row r="10" customFormat="false" ht="15" hidden="false" customHeight="false" outlineLevel="0" collapsed="false">
      <c r="A10" s="6" t="s">
        <v>544</v>
      </c>
      <c r="B10" s="6" t="n">
        <v>543</v>
      </c>
      <c r="C10" s="12" t="n">
        <f aca="false">B10/$B$11</f>
        <v>0.103408874500095</v>
      </c>
      <c r="D10" s="6" t="s">
        <v>542</v>
      </c>
      <c r="E10" s="6" t="s">
        <v>545</v>
      </c>
    </row>
    <row r="11" customFormat="false" ht="15" hidden="false" customHeight="false" outlineLevel="0" collapsed="false">
      <c r="A11" s="13" t="s">
        <v>16</v>
      </c>
      <c r="B11" s="13" t="n">
        <f aca="false">SUM(B5:B10)</f>
        <v>5251</v>
      </c>
      <c r="C11" s="16" t="n">
        <f aca="false">SUM(C5:C10)</f>
        <v>1</v>
      </c>
      <c r="D11" s="13" t="s">
        <v>546</v>
      </c>
      <c r="E11" s="13" t="s">
        <v>547</v>
      </c>
    </row>
    <row r="13" customFormat="false" ht="15" hidden="false" customHeight="false" outlineLevel="0" collapsed="false">
      <c r="A13" s="5" t="s">
        <v>548</v>
      </c>
      <c r="B13" s="5" t="s">
        <v>549</v>
      </c>
      <c r="C13" s="5" t="s">
        <v>550</v>
      </c>
      <c r="D13" s="5" t="s">
        <v>551</v>
      </c>
      <c r="E13" s="5" t="s">
        <v>552</v>
      </c>
      <c r="F13" s="5" t="s">
        <v>553</v>
      </c>
    </row>
    <row r="14" customFormat="false" ht="15" hidden="false" customHeight="false" outlineLevel="0" collapsed="false">
      <c r="A14" s="6" t="s">
        <v>554</v>
      </c>
      <c r="B14" s="6" t="n">
        <v>1745</v>
      </c>
      <c r="C14" s="6" t="n">
        <v>3.7</v>
      </c>
      <c r="D14" s="6" t="n">
        <v>2930</v>
      </c>
      <c r="E14" s="6" t="s">
        <v>555</v>
      </c>
      <c r="F14" s="6" t="s">
        <v>556</v>
      </c>
    </row>
    <row r="15" customFormat="false" ht="15" hidden="false" customHeight="false" outlineLevel="0" collapsed="false">
      <c r="A15" s="6" t="s">
        <v>557</v>
      </c>
      <c r="B15" s="6" t="n">
        <v>675</v>
      </c>
      <c r="C15" s="6" t="n">
        <v>1.45</v>
      </c>
      <c r="D15" s="6" t="n">
        <v>1250</v>
      </c>
      <c r="E15" s="6" t="s">
        <v>558</v>
      </c>
      <c r="F15" s="6" t="s">
        <v>559</v>
      </c>
    </row>
    <row r="16" customFormat="false" ht="15" hidden="false" customHeight="false" outlineLevel="0" collapsed="false">
      <c r="A16" s="6" t="s">
        <v>560</v>
      </c>
      <c r="B16" s="6" t="n">
        <v>0</v>
      </c>
      <c r="C16" s="6" t="n">
        <v>0</v>
      </c>
      <c r="D16" s="6" t="n">
        <v>0</v>
      </c>
      <c r="E16" s="6" t="s">
        <v>561</v>
      </c>
      <c r="F16" s="6" t="s">
        <v>562</v>
      </c>
    </row>
    <row r="17" customFormat="false" ht="15" hidden="false" customHeight="false" outlineLevel="0" collapsed="false">
      <c r="A17" s="6" t="s">
        <v>563</v>
      </c>
      <c r="B17" s="6" t="n">
        <v>0</v>
      </c>
      <c r="C17" s="6" t="n">
        <v>0</v>
      </c>
      <c r="D17" s="6" t="n">
        <v>0</v>
      </c>
      <c r="E17" s="6" t="s">
        <v>564</v>
      </c>
      <c r="F17" s="6" t="s">
        <v>565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25"/>
    <col collapsed="false" customWidth="true" hidden="false" outlineLevel="0" max="5" min="5" style="0" width="40"/>
    <col collapsed="false" customWidth="true" hidden="false" outlineLevel="0" max="6" min="6" style="0" width="28"/>
  </cols>
  <sheetData>
    <row r="1" customFormat="false" ht="30" hidden="false" customHeight="true" outlineLevel="0" collapsed="false">
      <c r="A1" s="1" t="s">
        <v>566</v>
      </c>
      <c r="B1" s="1"/>
      <c r="C1" s="1"/>
      <c r="D1" s="1"/>
      <c r="E1" s="1"/>
      <c r="F1" s="1"/>
      <c r="G1" s="1"/>
      <c r="H1" s="1"/>
    </row>
    <row r="2" customFormat="false" ht="32" hidden="false" customHeight="true" outlineLevel="0" collapsed="false">
      <c r="A2" s="2" t="s">
        <v>567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5" t="s">
        <v>568</v>
      </c>
      <c r="B4" s="5" t="s">
        <v>27</v>
      </c>
      <c r="C4" s="5" t="s">
        <v>569</v>
      </c>
      <c r="D4" s="5" t="s">
        <v>570</v>
      </c>
      <c r="E4" s="5" t="s">
        <v>571</v>
      </c>
      <c r="F4" s="5" t="s">
        <v>4</v>
      </c>
    </row>
    <row r="5" customFormat="false" ht="15" hidden="false" customHeight="false" outlineLevel="0" collapsed="false">
      <c r="A5" s="6" t="s">
        <v>515</v>
      </c>
      <c r="B5" s="10" t="n">
        <v>1000</v>
      </c>
      <c r="C5" s="6" t="s">
        <v>572</v>
      </c>
      <c r="D5" s="6" t="s">
        <v>464</v>
      </c>
      <c r="E5" s="6" t="s">
        <v>160</v>
      </c>
      <c r="F5" s="6" t="s">
        <v>573</v>
      </c>
    </row>
    <row r="6" customFormat="false" ht="15" hidden="false" customHeight="false" outlineLevel="0" collapsed="false">
      <c r="A6" s="6" t="s">
        <v>517</v>
      </c>
      <c r="B6" s="10" t="n">
        <v>17400</v>
      </c>
      <c r="C6" s="6" t="s">
        <v>574</v>
      </c>
      <c r="D6" s="6" t="s">
        <v>464</v>
      </c>
      <c r="E6" s="6" t="s">
        <v>160</v>
      </c>
      <c r="F6" s="6" t="s">
        <v>575</v>
      </c>
    </row>
    <row r="7" customFormat="false" ht="15" hidden="false" customHeight="false" outlineLevel="0" collapsed="false">
      <c r="A7" s="6" t="s">
        <v>576</v>
      </c>
      <c r="B7" s="10" t="n">
        <v>50000</v>
      </c>
      <c r="C7" s="6" t="s">
        <v>577</v>
      </c>
      <c r="D7" s="6" t="s">
        <v>464</v>
      </c>
      <c r="E7" s="6" t="s">
        <v>578</v>
      </c>
      <c r="F7" s="6" t="s">
        <v>579</v>
      </c>
    </row>
    <row r="8" customFormat="false" ht="15" hidden="false" customHeight="false" outlineLevel="0" collapsed="false">
      <c r="A8" s="17" t="s">
        <v>580</v>
      </c>
      <c r="B8" s="18" t="n">
        <f aca="false">SUM(B5:B7)</f>
        <v>68400</v>
      </c>
      <c r="C8" s="17" t="s">
        <v>581</v>
      </c>
      <c r="D8" s="17" t="s">
        <v>464</v>
      </c>
      <c r="E8" s="17" t="s">
        <v>431</v>
      </c>
      <c r="F8" s="17" t="s">
        <v>582</v>
      </c>
    </row>
    <row r="10" customFormat="false" ht="15" hidden="false" customHeight="false" outlineLevel="0" collapsed="false">
      <c r="A10" s="5" t="s">
        <v>583</v>
      </c>
      <c r="B10" s="5" t="s">
        <v>8</v>
      </c>
    </row>
    <row r="11" customFormat="false" ht="15" hidden="false" customHeight="false" outlineLevel="0" collapsed="false">
      <c r="A11" s="6" t="s">
        <v>584</v>
      </c>
      <c r="B11" s="6" t="n">
        <v>19.05</v>
      </c>
    </row>
    <row r="12" customFormat="false" ht="15" hidden="false" customHeight="false" outlineLevel="0" collapsed="false">
      <c r="A12" s="6" t="s">
        <v>585</v>
      </c>
      <c r="B12" s="6" t="n">
        <f aca="false">B7/B11</f>
        <v>2624.6719160105</v>
      </c>
    </row>
    <row r="13" customFormat="false" ht="15" hidden="false" customHeight="false" outlineLevel="0" collapsed="false">
      <c r="A13" s="6" t="s">
        <v>586</v>
      </c>
      <c r="B13" s="6" t="n">
        <v>2.63</v>
      </c>
    </row>
    <row r="14" customFormat="false" ht="15" hidden="false" customHeight="false" outlineLevel="0" collapsed="false">
      <c r="A14" s="6" t="s">
        <v>587</v>
      </c>
      <c r="B14" s="6" t="n">
        <v>68.4</v>
      </c>
    </row>
    <row r="16" customFormat="false" ht="15" hidden="false" customHeight="false" outlineLevel="0" collapsed="false">
      <c r="A16" s="5" t="s">
        <v>253</v>
      </c>
      <c r="B16" s="5" t="s">
        <v>588</v>
      </c>
      <c r="C16" s="5" t="s">
        <v>589</v>
      </c>
      <c r="D16" s="5" t="s">
        <v>590</v>
      </c>
      <c r="E16" s="5" t="s">
        <v>591</v>
      </c>
      <c r="F16" s="5" t="s">
        <v>592</v>
      </c>
    </row>
    <row r="17" customFormat="false" ht="15" hidden="false" customHeight="false" outlineLevel="0" collapsed="false">
      <c r="A17" s="6" t="s">
        <v>260</v>
      </c>
      <c r="B17" s="7" t="n">
        <v>855</v>
      </c>
      <c r="C17" s="7" t="n">
        <v>280</v>
      </c>
      <c r="D17" s="7" t="n">
        <f aca="false">B17+C17*$B$11</f>
        <v>6189</v>
      </c>
      <c r="E17" s="6" t="s">
        <v>593</v>
      </c>
      <c r="F17" s="6" t="s">
        <v>594</v>
      </c>
    </row>
    <row r="18" customFormat="false" ht="15" hidden="false" customHeight="false" outlineLevel="0" collapsed="false">
      <c r="A18" s="6" t="s">
        <v>595</v>
      </c>
      <c r="B18" s="7" t="n">
        <v>160</v>
      </c>
      <c r="C18" s="7" t="n">
        <v>22.7</v>
      </c>
      <c r="D18" s="7" t="n">
        <f aca="false">B18+C18*$B$11</f>
        <v>592.435</v>
      </c>
      <c r="E18" s="6" t="s">
        <v>596</v>
      </c>
      <c r="F18" s="6" t="s">
        <v>594</v>
      </c>
    </row>
    <row r="19" customFormat="false" ht="15" hidden="false" customHeight="false" outlineLevel="0" collapsed="false">
      <c r="A19" s="6" t="s">
        <v>597</v>
      </c>
      <c r="B19" s="7" t="n">
        <v>1280</v>
      </c>
      <c r="C19" s="7" t="n">
        <v>102</v>
      </c>
      <c r="D19" s="7" t="n">
        <f aca="false">B19+C19*$B$11</f>
        <v>3223.1</v>
      </c>
      <c r="E19" s="6" t="s">
        <v>598</v>
      </c>
      <c r="F19" s="6" t="s">
        <v>594</v>
      </c>
    </row>
    <row r="20" customFormat="false" ht="15" hidden="false" customHeight="false" outlineLevel="0" collapsed="false">
      <c r="A20" s="6" t="s">
        <v>599</v>
      </c>
      <c r="B20" s="7" t="n">
        <v>67.5</v>
      </c>
      <c r="C20" s="7" t="n">
        <v>12.2</v>
      </c>
      <c r="D20" s="7" t="n">
        <f aca="false">B20+C20*$B$11</f>
        <v>299.91</v>
      </c>
      <c r="E20" s="6" t="s">
        <v>600</v>
      </c>
      <c r="F20" s="6" t="s">
        <v>601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8"/>
  </cols>
  <sheetData>
    <row r="1" customFormat="false" ht="30" hidden="false" customHeight="true" outlineLevel="0" collapsed="false">
      <c r="A1" s="1" t="s">
        <v>602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2" hidden="false" customHeight="true" outlineLevel="0" collapsed="false">
      <c r="A2" s="2" t="s">
        <v>603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5" t="s">
        <v>604</v>
      </c>
      <c r="B4" s="5" t="s">
        <v>605</v>
      </c>
      <c r="C4" s="5" t="s">
        <v>515</v>
      </c>
      <c r="D4" s="5" t="s">
        <v>606</v>
      </c>
      <c r="E4" s="5" t="s">
        <v>517</v>
      </c>
      <c r="F4" s="5" t="s">
        <v>607</v>
      </c>
      <c r="G4" s="5" t="s">
        <v>576</v>
      </c>
      <c r="H4" s="5" t="s">
        <v>608</v>
      </c>
      <c r="I4" s="5" t="s">
        <v>609</v>
      </c>
    </row>
    <row r="5" customFormat="false" ht="15" hidden="false" customHeight="false" outlineLevel="0" collapsed="false">
      <c r="A5" s="6" t="n">
        <v>1</v>
      </c>
      <c r="B5" s="12" t="n">
        <v>0.14</v>
      </c>
      <c r="C5" s="7" t="n">
        <f aca="false">B5/SUM($B$5:$B$29)*'Fiscal Accounts'!$B$5</f>
        <v>140</v>
      </c>
      <c r="D5" s="7" t="n">
        <v>2</v>
      </c>
      <c r="E5" s="7" t="n">
        <f aca="false">D5/SUM($D$5:$D$29)*'Fiscal Accounts'!$B$6</f>
        <v>343.873517786561</v>
      </c>
      <c r="F5" s="7" t="n">
        <v>0.03</v>
      </c>
      <c r="G5" s="7" t="n">
        <f aca="false">F5/SUM($F$5:$F$29)*'Fiscal Accounts'!$B$7</f>
        <v>78.740157480315</v>
      </c>
      <c r="H5" s="7" t="n">
        <f aca="false">SUM(C5,E5,G5)</f>
        <v>562.613675266876</v>
      </c>
      <c r="I5" s="7" t="n">
        <f aca="false">H5</f>
        <v>562.613675266876</v>
      </c>
    </row>
    <row r="6" customFormat="false" ht="15" hidden="false" customHeight="false" outlineLevel="0" collapsed="false">
      <c r="A6" s="6" t="n">
        <v>2</v>
      </c>
      <c r="B6" s="12" t="n">
        <v>0.15</v>
      </c>
      <c r="C6" s="7" t="n">
        <f aca="false">B6/SUM($B$5:$B$29)*'Fiscal Accounts'!$B$5</f>
        <v>150</v>
      </c>
      <c r="D6" s="7" t="n">
        <v>4</v>
      </c>
      <c r="E6" s="7" t="n">
        <f aca="false">D6/SUM($D$5:$D$29)*'Fiscal Accounts'!$B$6</f>
        <v>687.747035573123</v>
      </c>
      <c r="F6" s="7" t="n">
        <v>0.07</v>
      </c>
      <c r="G6" s="7" t="n">
        <f aca="false">F6/SUM($F$5:$F$29)*'Fiscal Accounts'!$B$7</f>
        <v>183.727034120735</v>
      </c>
      <c r="H6" s="7" t="n">
        <f aca="false">SUM(C6,E6,G6)</f>
        <v>1021.47406969386</v>
      </c>
      <c r="I6" s="7" t="n">
        <f aca="false">I5+H6</f>
        <v>1584.08774496073</v>
      </c>
    </row>
    <row r="7" customFormat="false" ht="15" hidden="false" customHeight="false" outlineLevel="0" collapsed="false">
      <c r="A7" s="6" t="n">
        <v>3</v>
      </c>
      <c r="B7" s="12" t="n">
        <v>0.14</v>
      </c>
      <c r="C7" s="7" t="n">
        <f aca="false">B7/SUM($B$5:$B$29)*'Fiscal Accounts'!$B$5</f>
        <v>140</v>
      </c>
      <c r="D7" s="7" t="n">
        <v>7</v>
      </c>
      <c r="E7" s="7" t="n">
        <f aca="false">D7/SUM($D$5:$D$29)*'Fiscal Accounts'!$B$6</f>
        <v>1203.55731225296</v>
      </c>
      <c r="F7" s="7" t="n">
        <v>0.13</v>
      </c>
      <c r="G7" s="7" t="n">
        <f aca="false">F7/SUM($F$5:$F$29)*'Fiscal Accounts'!$B$7</f>
        <v>341.207349081365</v>
      </c>
      <c r="H7" s="7" t="n">
        <f aca="false">SUM(C7,E7,G7)</f>
        <v>1684.76466133433</v>
      </c>
      <c r="I7" s="7" t="n">
        <f aca="false">I6+H7</f>
        <v>3268.85240629506</v>
      </c>
    </row>
    <row r="8" customFormat="false" ht="15" hidden="false" customHeight="false" outlineLevel="0" collapsed="false">
      <c r="A8" s="6" t="n">
        <v>4</v>
      </c>
      <c r="B8" s="12" t="n">
        <v>0.12</v>
      </c>
      <c r="C8" s="7" t="n">
        <f aca="false">B8/SUM($B$5:$B$29)*'Fiscal Accounts'!$B$5</f>
        <v>120</v>
      </c>
      <c r="D8" s="7" t="n">
        <v>9</v>
      </c>
      <c r="E8" s="7" t="n">
        <f aca="false">D8/SUM($D$5:$D$29)*'Fiscal Accounts'!$B$6</f>
        <v>1547.43083003953</v>
      </c>
      <c r="F8" s="7" t="n">
        <v>0.22</v>
      </c>
      <c r="G8" s="7" t="n">
        <f aca="false">F8/SUM($F$5:$F$29)*'Fiscal Accounts'!$B$7</f>
        <v>577.42782152231</v>
      </c>
      <c r="H8" s="7" t="n">
        <f aca="false">SUM(C8,E8,G8)</f>
        <v>2244.85865156184</v>
      </c>
      <c r="I8" s="7" t="n">
        <f aca="false">I7+H8</f>
        <v>5513.7110578569</v>
      </c>
    </row>
    <row r="9" customFormat="false" ht="15" hidden="false" customHeight="false" outlineLevel="0" collapsed="false">
      <c r="A9" s="6" t="n">
        <v>5</v>
      </c>
      <c r="B9" s="12" t="n">
        <v>0.1</v>
      </c>
      <c r="C9" s="7" t="n">
        <f aca="false">B9/SUM($B$5:$B$29)*'Fiscal Accounts'!$B$5</f>
        <v>100</v>
      </c>
      <c r="D9" s="7" t="n">
        <v>11</v>
      </c>
      <c r="E9" s="7" t="n">
        <f aca="false">D9/SUM($D$5:$D$29)*'Fiscal Accounts'!$B$6</f>
        <v>1891.30434782609</v>
      </c>
      <c r="F9" s="7" t="n">
        <v>0.32</v>
      </c>
      <c r="G9" s="7" t="n">
        <f aca="false">F9/SUM($F$5:$F$29)*'Fiscal Accounts'!$B$7</f>
        <v>839.89501312336</v>
      </c>
      <c r="H9" s="7" t="n">
        <f aca="false">SUM(C9,E9,G9)</f>
        <v>2831.19936094945</v>
      </c>
      <c r="I9" s="7" t="n">
        <f aca="false">I8+H9</f>
        <v>8344.91041880635</v>
      </c>
    </row>
    <row r="10" customFormat="false" ht="15" hidden="false" customHeight="false" outlineLevel="0" collapsed="false">
      <c r="A10" s="6" t="n">
        <v>6</v>
      </c>
      <c r="B10" s="12" t="n">
        <v>0.08</v>
      </c>
      <c r="C10" s="7" t="n">
        <f aca="false">B10/SUM($B$5:$B$29)*'Fiscal Accounts'!$B$5</f>
        <v>80</v>
      </c>
      <c r="D10" s="7" t="n">
        <v>13</v>
      </c>
      <c r="E10" s="7" t="n">
        <f aca="false">D10/SUM($D$5:$D$29)*'Fiscal Accounts'!$B$6</f>
        <v>2235.17786561265</v>
      </c>
      <c r="F10" s="7" t="n">
        <v>0.42</v>
      </c>
      <c r="G10" s="7" t="n">
        <f aca="false">F10/SUM($F$5:$F$29)*'Fiscal Accounts'!$B$7</f>
        <v>1102.36220472441</v>
      </c>
      <c r="H10" s="7" t="n">
        <f aca="false">SUM(C10,E10,G10)</f>
        <v>3417.54007033706</v>
      </c>
      <c r="I10" s="7" t="n">
        <f aca="false">I9+H10</f>
        <v>11762.4504891434</v>
      </c>
    </row>
    <row r="11" customFormat="false" ht="15" hidden="false" customHeight="false" outlineLevel="0" collapsed="false">
      <c r="A11" s="6" t="n">
        <v>7</v>
      </c>
      <c r="B11" s="12" t="n">
        <v>0.07</v>
      </c>
      <c r="C11" s="7" t="n">
        <f aca="false">B11/SUM($B$5:$B$29)*'Fiscal Accounts'!$B$5</f>
        <v>70</v>
      </c>
      <c r="D11" s="7" t="n">
        <v>12</v>
      </c>
      <c r="E11" s="7" t="n">
        <f aca="false">D11/SUM($D$5:$D$29)*'Fiscal Accounts'!$B$6</f>
        <v>2063.24110671937</v>
      </c>
      <c r="F11" s="7" t="n">
        <v>0.52</v>
      </c>
      <c r="G11" s="7" t="n">
        <f aca="false">F11/SUM($F$5:$F$29)*'Fiscal Accounts'!$B$7</f>
        <v>1364.82939632546</v>
      </c>
      <c r="H11" s="7" t="n">
        <f aca="false">SUM(C11,E11,G11)</f>
        <v>3498.07050304483</v>
      </c>
      <c r="I11" s="7" t="n">
        <f aca="false">I10+H11</f>
        <v>15260.5209921882</v>
      </c>
    </row>
    <row r="12" customFormat="false" ht="15" hidden="false" customHeight="false" outlineLevel="0" collapsed="false">
      <c r="A12" s="6" t="n">
        <v>8</v>
      </c>
      <c r="B12" s="12" t="n">
        <v>0.06</v>
      </c>
      <c r="C12" s="7" t="n">
        <f aca="false">B12/SUM($B$5:$B$29)*'Fiscal Accounts'!$B$5</f>
        <v>60</v>
      </c>
      <c r="D12" s="7" t="n">
        <v>11</v>
      </c>
      <c r="E12" s="7" t="n">
        <f aca="false">D12/SUM($D$5:$D$29)*'Fiscal Accounts'!$B$6</f>
        <v>1891.30434782609</v>
      </c>
      <c r="F12" s="7" t="n">
        <v>0.62</v>
      </c>
      <c r="G12" s="7" t="n">
        <f aca="false">F12/SUM($F$5:$F$29)*'Fiscal Accounts'!$B$7</f>
        <v>1627.29658792651</v>
      </c>
      <c r="H12" s="7" t="n">
        <f aca="false">SUM(C12,E12,G12)</f>
        <v>3578.6009357526</v>
      </c>
      <c r="I12" s="7" t="n">
        <f aca="false">I11+H12</f>
        <v>18839.1219279408</v>
      </c>
    </row>
    <row r="13" customFormat="false" ht="15" hidden="false" customHeight="false" outlineLevel="0" collapsed="false">
      <c r="A13" s="6" t="n">
        <v>9</v>
      </c>
      <c r="B13" s="12" t="n">
        <v>0.04</v>
      </c>
      <c r="C13" s="7" t="n">
        <f aca="false">B13/SUM($B$5:$B$29)*'Fiscal Accounts'!$B$5</f>
        <v>40</v>
      </c>
      <c r="D13" s="7" t="n">
        <v>9</v>
      </c>
      <c r="E13" s="7" t="n">
        <f aca="false">D13/SUM($D$5:$D$29)*'Fiscal Accounts'!$B$6</f>
        <v>1547.43083003953</v>
      </c>
      <c r="F13" s="7" t="n">
        <v>0.77</v>
      </c>
      <c r="G13" s="7" t="n">
        <f aca="false">F13/SUM($F$5:$F$29)*'Fiscal Accounts'!$B$7</f>
        <v>2020.99737532808</v>
      </c>
      <c r="H13" s="7" t="n">
        <f aca="false">SUM(C13,E13,G13)</f>
        <v>3608.42820536761</v>
      </c>
      <c r="I13" s="7" t="n">
        <f aca="false">I12+H13</f>
        <v>22447.5501333084</v>
      </c>
    </row>
    <row r="14" customFormat="false" ht="15" hidden="false" customHeight="false" outlineLevel="0" collapsed="false">
      <c r="A14" s="6" t="n">
        <v>10</v>
      </c>
      <c r="B14" s="12" t="n">
        <v>0.03</v>
      </c>
      <c r="C14" s="7" t="n">
        <f aca="false">B14/SUM($B$5:$B$29)*'Fiscal Accounts'!$B$5</f>
        <v>30</v>
      </c>
      <c r="D14" s="7" t="n">
        <v>7</v>
      </c>
      <c r="E14" s="7" t="n">
        <f aca="false">D14/SUM($D$5:$D$29)*'Fiscal Accounts'!$B$6</f>
        <v>1203.55731225296</v>
      </c>
      <c r="F14" s="7" t="n">
        <v>0.95</v>
      </c>
      <c r="G14" s="7" t="n">
        <f aca="false">F14/SUM($F$5:$F$29)*'Fiscal Accounts'!$B$7</f>
        <v>2493.43832020997</v>
      </c>
      <c r="H14" s="7" t="n">
        <f aca="false">SUM(C14,E14,G14)</f>
        <v>3726.99563246294</v>
      </c>
      <c r="I14" s="7" t="n">
        <f aca="false">I13+H14</f>
        <v>26174.5457657714</v>
      </c>
    </row>
    <row r="15" customFormat="false" ht="15" hidden="false" customHeight="false" outlineLevel="0" collapsed="false">
      <c r="A15" s="6" t="n">
        <v>11</v>
      </c>
      <c r="B15" s="12" t="n">
        <v>0.02</v>
      </c>
      <c r="C15" s="7" t="n">
        <f aca="false">B15/SUM($B$5:$B$29)*'Fiscal Accounts'!$B$5</f>
        <v>20</v>
      </c>
      <c r="D15" s="7" t="n">
        <v>5</v>
      </c>
      <c r="E15" s="7" t="n">
        <f aca="false">D15/SUM($D$5:$D$29)*'Fiscal Accounts'!$B$6</f>
        <v>859.683794466403</v>
      </c>
      <c r="F15" s="7" t="n">
        <v>1</v>
      </c>
      <c r="G15" s="7" t="n">
        <f aca="false">F15/SUM($F$5:$F$29)*'Fiscal Accounts'!$B$7</f>
        <v>2624.6719160105</v>
      </c>
      <c r="H15" s="7" t="n">
        <f aca="false">SUM(C15,E15,G15)</f>
        <v>3504.3557104769</v>
      </c>
      <c r="I15" s="7" t="n">
        <f aca="false">I14+H15</f>
        <v>29678.9014762483</v>
      </c>
    </row>
    <row r="16" customFormat="false" ht="15" hidden="false" customHeight="false" outlineLevel="0" collapsed="false">
      <c r="A16" s="6" t="n">
        <v>12</v>
      </c>
      <c r="B16" s="12" t="n">
        <v>0.015</v>
      </c>
      <c r="C16" s="7" t="n">
        <f aca="false">B16/SUM($B$5:$B$29)*'Fiscal Accounts'!$B$5</f>
        <v>15</v>
      </c>
      <c r="D16" s="7" t="n">
        <v>3</v>
      </c>
      <c r="E16" s="7" t="n">
        <f aca="false">D16/SUM($D$5:$D$29)*'Fiscal Accounts'!$B$6</f>
        <v>515.810276679842</v>
      </c>
      <c r="F16" s="7" t="n">
        <v>1</v>
      </c>
      <c r="G16" s="7" t="n">
        <f aca="false">F16/SUM($F$5:$F$29)*'Fiscal Accounts'!$B$7</f>
        <v>2624.6719160105</v>
      </c>
      <c r="H16" s="7" t="n">
        <f aca="false">SUM(C16,E16,G16)</f>
        <v>3155.48219269034</v>
      </c>
      <c r="I16" s="7" t="n">
        <f aca="false">I15+H16</f>
        <v>32834.3836689386</v>
      </c>
    </row>
    <row r="17" customFormat="false" ht="15" hidden="false" customHeight="false" outlineLevel="0" collapsed="false">
      <c r="A17" s="6" t="n">
        <v>13</v>
      </c>
      <c r="B17" s="12" t="n">
        <v>0.01</v>
      </c>
      <c r="C17" s="7" t="n">
        <f aca="false">B17/SUM($B$5:$B$29)*'Fiscal Accounts'!$B$5</f>
        <v>10</v>
      </c>
      <c r="D17" s="7" t="n">
        <v>2</v>
      </c>
      <c r="E17" s="7" t="n">
        <f aca="false">D17/SUM($D$5:$D$29)*'Fiscal Accounts'!$B$6</f>
        <v>343.873517786561</v>
      </c>
      <c r="F17" s="7" t="n">
        <v>1</v>
      </c>
      <c r="G17" s="7" t="n">
        <f aca="false">F17/SUM($F$5:$F$29)*'Fiscal Accounts'!$B$7</f>
        <v>2624.6719160105</v>
      </c>
      <c r="H17" s="7" t="n">
        <f aca="false">SUM(C17,E17,G17)</f>
        <v>2978.54543379706</v>
      </c>
      <c r="I17" s="7" t="n">
        <f aca="false">I16+H17</f>
        <v>35812.9291027357</v>
      </c>
    </row>
    <row r="18" customFormat="false" ht="15" hidden="false" customHeight="false" outlineLevel="0" collapsed="false">
      <c r="A18" s="6" t="n">
        <v>14</v>
      </c>
      <c r="B18" s="12" t="n">
        <v>0.005</v>
      </c>
      <c r="C18" s="7" t="n">
        <f aca="false">B18/SUM($B$5:$B$29)*'Fiscal Accounts'!$B$5</f>
        <v>5</v>
      </c>
      <c r="D18" s="7" t="n">
        <v>1.5</v>
      </c>
      <c r="E18" s="7" t="n">
        <f aca="false">D18/SUM($D$5:$D$29)*'Fiscal Accounts'!$B$6</f>
        <v>257.905138339921</v>
      </c>
      <c r="F18" s="7" t="n">
        <v>1</v>
      </c>
      <c r="G18" s="7" t="n">
        <f aca="false">F18/SUM($F$5:$F$29)*'Fiscal Accounts'!$B$7</f>
        <v>2624.6719160105</v>
      </c>
      <c r="H18" s="7" t="n">
        <f aca="false">SUM(C18,E18,G18)</f>
        <v>2887.57705435042</v>
      </c>
      <c r="I18" s="7" t="n">
        <f aca="false">I17+H18</f>
        <v>38700.5061570861</v>
      </c>
    </row>
    <row r="19" customFormat="false" ht="15" hidden="false" customHeight="false" outlineLevel="0" collapsed="false">
      <c r="A19" s="6" t="n">
        <v>15</v>
      </c>
      <c r="B19" s="12" t="n">
        <v>0.005</v>
      </c>
      <c r="C19" s="7" t="n">
        <f aca="false">B19/SUM($B$5:$B$29)*'Fiscal Accounts'!$B$5</f>
        <v>5</v>
      </c>
      <c r="D19" s="7" t="n">
        <v>1</v>
      </c>
      <c r="E19" s="7" t="n">
        <f aca="false">D19/SUM($D$5:$D$29)*'Fiscal Accounts'!$B$6</f>
        <v>171.936758893281</v>
      </c>
      <c r="F19" s="7" t="n">
        <v>1</v>
      </c>
      <c r="G19" s="7" t="n">
        <f aca="false">F19/SUM($F$5:$F$29)*'Fiscal Accounts'!$B$7</f>
        <v>2624.6719160105</v>
      </c>
      <c r="H19" s="7" t="n">
        <f aca="false">SUM(C19,E19,G19)</f>
        <v>2801.60867490378</v>
      </c>
      <c r="I19" s="7" t="n">
        <f aca="false">I18+H19</f>
        <v>41502.1148319899</v>
      </c>
    </row>
    <row r="20" customFormat="false" ht="15" hidden="false" customHeight="false" outlineLevel="0" collapsed="false">
      <c r="A20" s="6" t="n">
        <v>16</v>
      </c>
      <c r="B20" s="12" t="n">
        <v>0.005</v>
      </c>
      <c r="C20" s="7" t="n">
        <f aca="false">B20/SUM($B$5:$B$29)*'Fiscal Accounts'!$B$5</f>
        <v>5</v>
      </c>
      <c r="D20" s="7" t="n">
        <v>0.8</v>
      </c>
      <c r="E20" s="7" t="n">
        <f aca="false">D20/SUM($D$5:$D$29)*'Fiscal Accounts'!$B$6</f>
        <v>137.549407114625</v>
      </c>
      <c r="F20" s="7" t="n">
        <v>1</v>
      </c>
      <c r="G20" s="7" t="n">
        <f aca="false">F20/SUM($F$5:$F$29)*'Fiscal Accounts'!$B$7</f>
        <v>2624.6719160105</v>
      </c>
      <c r="H20" s="7" t="n">
        <f aca="false">SUM(C20,E20,G20)</f>
        <v>2767.22132312512</v>
      </c>
      <c r="I20" s="7" t="n">
        <f aca="false">I19+H20</f>
        <v>44269.336155115</v>
      </c>
    </row>
    <row r="21" customFormat="false" ht="15" hidden="false" customHeight="false" outlineLevel="0" collapsed="false">
      <c r="A21" s="6" t="n">
        <v>17</v>
      </c>
      <c r="B21" s="12" t="n">
        <v>0.005</v>
      </c>
      <c r="C21" s="7" t="n">
        <f aca="false">B21/SUM($B$5:$B$29)*'Fiscal Accounts'!$B$5</f>
        <v>5</v>
      </c>
      <c r="D21" s="7" t="n">
        <v>0.7</v>
      </c>
      <c r="E21" s="7" t="n">
        <f aca="false">D21/SUM($D$5:$D$29)*'Fiscal Accounts'!$B$6</f>
        <v>120.355731225296</v>
      </c>
      <c r="F21" s="7" t="n">
        <v>1</v>
      </c>
      <c r="G21" s="7" t="n">
        <f aca="false">F21/SUM($F$5:$F$29)*'Fiscal Accounts'!$B$7</f>
        <v>2624.6719160105</v>
      </c>
      <c r="H21" s="7" t="n">
        <f aca="false">SUM(C21,E21,G21)</f>
        <v>2750.0276472358</v>
      </c>
      <c r="I21" s="7" t="n">
        <f aca="false">I20+H21</f>
        <v>47019.3638023508</v>
      </c>
    </row>
    <row r="22" customFormat="false" ht="15" hidden="false" customHeight="false" outlineLevel="0" collapsed="false">
      <c r="A22" s="6" t="n">
        <v>18</v>
      </c>
      <c r="B22" s="12" t="n">
        <v>0.005</v>
      </c>
      <c r="C22" s="7" t="n">
        <f aca="false">B22/SUM($B$5:$B$29)*'Fiscal Accounts'!$B$5</f>
        <v>5</v>
      </c>
      <c r="D22" s="7" t="n">
        <v>0.6</v>
      </c>
      <c r="E22" s="7" t="n">
        <f aca="false">D22/SUM($D$5:$D$29)*'Fiscal Accounts'!$B$6</f>
        <v>103.162055335968</v>
      </c>
      <c r="F22" s="7" t="n">
        <v>1</v>
      </c>
      <c r="G22" s="7" t="n">
        <f aca="false">F22/SUM($F$5:$F$29)*'Fiscal Accounts'!$B$7</f>
        <v>2624.6719160105</v>
      </c>
      <c r="H22" s="7" t="n">
        <f aca="false">SUM(C22,E22,G22)</f>
        <v>2732.83397134647</v>
      </c>
      <c r="I22" s="7" t="n">
        <f aca="false">I21+H22</f>
        <v>49752.1977736973</v>
      </c>
    </row>
    <row r="23" customFormat="false" ht="15" hidden="false" customHeight="false" outlineLevel="0" collapsed="false">
      <c r="A23" s="6" t="n">
        <v>19</v>
      </c>
      <c r="B23" s="12" t="n">
        <v>0</v>
      </c>
      <c r="C23" s="7" t="n">
        <f aca="false">B23/SUM($B$5:$B$29)*'Fiscal Accounts'!$B$5</f>
        <v>0</v>
      </c>
      <c r="D23" s="7" t="n">
        <v>0.5</v>
      </c>
      <c r="E23" s="7" t="n">
        <f aca="false">D23/SUM($D$5:$D$29)*'Fiscal Accounts'!$B$6</f>
        <v>85.9683794466403</v>
      </c>
      <c r="F23" s="7" t="n">
        <v>1</v>
      </c>
      <c r="G23" s="7" t="n">
        <f aca="false">F23/SUM($F$5:$F$29)*'Fiscal Accounts'!$B$7</f>
        <v>2624.6719160105</v>
      </c>
      <c r="H23" s="7" t="n">
        <f aca="false">SUM(C23,E23,G23)</f>
        <v>2710.64029545714</v>
      </c>
      <c r="I23" s="7" t="n">
        <f aca="false">I22+H23</f>
        <v>52462.8380691544</v>
      </c>
    </row>
    <row r="24" customFormat="false" ht="15" hidden="false" customHeight="false" outlineLevel="0" collapsed="false">
      <c r="A24" s="6" t="n">
        <v>20</v>
      </c>
      <c r="B24" s="12" t="n">
        <v>0</v>
      </c>
      <c r="C24" s="7" t="n">
        <f aca="false">B24/SUM($B$5:$B$29)*'Fiscal Accounts'!$B$5</f>
        <v>0</v>
      </c>
      <c r="D24" s="7" t="n">
        <v>0.4</v>
      </c>
      <c r="E24" s="7" t="n">
        <f aca="false">D24/SUM($D$5:$D$29)*'Fiscal Accounts'!$B$6</f>
        <v>68.7747035573123</v>
      </c>
      <c r="F24" s="7" t="n">
        <v>1</v>
      </c>
      <c r="G24" s="7" t="n">
        <f aca="false">F24/SUM($F$5:$F$29)*'Fiscal Accounts'!$B$7</f>
        <v>2624.6719160105</v>
      </c>
      <c r="H24" s="7" t="n">
        <f aca="false">SUM(C24,E24,G24)</f>
        <v>2693.44661956781</v>
      </c>
      <c r="I24" s="7" t="n">
        <f aca="false">I23+H24</f>
        <v>55156.2846887222</v>
      </c>
    </row>
    <row r="25" customFormat="false" ht="15" hidden="false" customHeight="false" outlineLevel="0" collapsed="false">
      <c r="A25" s="6" t="n">
        <v>21</v>
      </c>
      <c r="B25" s="12" t="n">
        <v>0</v>
      </c>
      <c r="C25" s="7" t="n">
        <f aca="false">B25/SUM($B$5:$B$29)*'Fiscal Accounts'!$B$5</f>
        <v>0</v>
      </c>
      <c r="D25" s="7" t="n">
        <v>0.3</v>
      </c>
      <c r="E25" s="7" t="n">
        <f aca="false">D25/SUM($D$5:$D$29)*'Fiscal Accounts'!$B$6</f>
        <v>51.5810276679842</v>
      </c>
      <c r="F25" s="7" t="n">
        <v>1</v>
      </c>
      <c r="G25" s="7" t="n">
        <f aca="false">F25/SUM($F$5:$F$29)*'Fiscal Accounts'!$B$7</f>
        <v>2624.6719160105</v>
      </c>
      <c r="H25" s="7" t="n">
        <f aca="false">SUM(C25,E25,G25)</f>
        <v>2676.25294367848</v>
      </c>
      <c r="I25" s="7" t="n">
        <f aca="false">I24+H25</f>
        <v>57832.5376324007</v>
      </c>
    </row>
    <row r="26" customFormat="false" ht="15" hidden="false" customHeight="false" outlineLevel="0" collapsed="false">
      <c r="A26" s="6" t="n">
        <v>22</v>
      </c>
      <c r="B26" s="12" t="n">
        <v>0</v>
      </c>
      <c r="C26" s="7" t="n">
        <f aca="false">B26/SUM($B$5:$B$29)*'Fiscal Accounts'!$B$5</f>
        <v>0</v>
      </c>
      <c r="D26" s="7" t="n">
        <v>0.2</v>
      </c>
      <c r="E26" s="7" t="n">
        <f aca="false">D26/SUM($D$5:$D$29)*'Fiscal Accounts'!$B$6</f>
        <v>34.3873517786561</v>
      </c>
      <c r="F26" s="7" t="n">
        <v>1</v>
      </c>
      <c r="G26" s="7" t="n">
        <f aca="false">F26/SUM($F$5:$F$29)*'Fiscal Accounts'!$B$7</f>
        <v>2624.6719160105</v>
      </c>
      <c r="H26" s="7" t="n">
        <f aca="false">SUM(C26,E26,G26)</f>
        <v>2659.05926778915</v>
      </c>
      <c r="I26" s="7" t="n">
        <f aca="false">I25+H26</f>
        <v>60491.5969001898</v>
      </c>
    </row>
    <row r="27" customFormat="false" ht="15" hidden="false" customHeight="false" outlineLevel="0" collapsed="false">
      <c r="A27" s="6" t="n">
        <v>23</v>
      </c>
      <c r="B27" s="12" t="n">
        <v>0</v>
      </c>
      <c r="C27" s="7" t="n">
        <f aca="false">B27/SUM($B$5:$B$29)*'Fiscal Accounts'!$B$5</f>
        <v>0</v>
      </c>
      <c r="D27" s="7" t="n">
        <v>0.1</v>
      </c>
      <c r="E27" s="7" t="n">
        <f aca="false">D27/SUM($D$5:$D$29)*'Fiscal Accounts'!$B$6</f>
        <v>17.1936758893281</v>
      </c>
      <c r="F27" s="7" t="n">
        <v>1</v>
      </c>
      <c r="G27" s="7" t="n">
        <f aca="false">F27/SUM($F$5:$F$29)*'Fiscal Accounts'!$B$7</f>
        <v>2624.6719160105</v>
      </c>
      <c r="H27" s="7" t="n">
        <f aca="false">SUM(C27,E27,G27)</f>
        <v>2641.86559189983</v>
      </c>
      <c r="I27" s="7" t="n">
        <f aca="false">I26+H27</f>
        <v>63133.4624920897</v>
      </c>
    </row>
    <row r="28" customFormat="false" ht="15" hidden="false" customHeight="false" outlineLevel="0" collapsed="false">
      <c r="A28" s="6" t="n">
        <v>24</v>
      </c>
      <c r="B28" s="12" t="n">
        <v>0</v>
      </c>
      <c r="C28" s="7" t="n">
        <f aca="false">B28/SUM($B$5:$B$29)*'Fiscal Accounts'!$B$5</f>
        <v>0</v>
      </c>
      <c r="D28" s="7" t="n">
        <v>0.05</v>
      </c>
      <c r="E28" s="7" t="n">
        <f aca="false">D28/SUM($D$5:$D$29)*'Fiscal Accounts'!$B$6</f>
        <v>8.59683794466403</v>
      </c>
      <c r="F28" s="7" t="n">
        <v>1</v>
      </c>
      <c r="G28" s="7" t="n">
        <f aca="false">F28/SUM($F$5:$F$29)*'Fiscal Accounts'!$B$7</f>
        <v>2624.6719160105</v>
      </c>
      <c r="H28" s="7" t="n">
        <f aca="false">SUM(C28,E28,G28)</f>
        <v>2633.26875395516</v>
      </c>
      <c r="I28" s="7" t="n">
        <f aca="false">I27+H28</f>
        <v>65766.7312460448</v>
      </c>
    </row>
    <row r="29" customFormat="false" ht="15" hidden="false" customHeight="false" outlineLevel="0" collapsed="false">
      <c r="A29" s="6" t="n">
        <v>25</v>
      </c>
      <c r="B29" s="12" t="n">
        <v>0</v>
      </c>
      <c r="C29" s="7" t="n">
        <f aca="false">B29/SUM($B$5:$B$29)*'Fiscal Accounts'!$B$5</f>
        <v>0</v>
      </c>
      <c r="D29" s="7" t="n">
        <v>0.05</v>
      </c>
      <c r="E29" s="7" t="n">
        <f aca="false">D29/SUM($D$5:$D$29)*'Fiscal Accounts'!$B$6</f>
        <v>8.59683794466403</v>
      </c>
      <c r="F29" s="7" t="n">
        <v>1</v>
      </c>
      <c r="G29" s="7" t="n">
        <f aca="false">F29/SUM($F$5:$F$29)*'Fiscal Accounts'!$B$7</f>
        <v>2624.6719160105</v>
      </c>
      <c r="H29" s="7" t="n">
        <f aca="false">SUM(C29,E29,G29)</f>
        <v>2633.26875395516</v>
      </c>
      <c r="I29" s="7" t="n">
        <f aca="false">I28+H29</f>
        <v>68400</v>
      </c>
    </row>
    <row r="30" customFormat="false" ht="25.35" hidden="false" customHeight="false" outlineLevel="0" collapsed="false">
      <c r="A30" s="17" t="s">
        <v>610</v>
      </c>
      <c r="B30" s="19" t="n">
        <f aca="false">SUM(B5:B29)</f>
        <v>1</v>
      </c>
      <c r="C30" s="20" t="n">
        <f aca="false">SUM(C5:C29)</f>
        <v>1000</v>
      </c>
      <c r="D30" s="20" t="n">
        <f aca="false">SUM(D5:D29)</f>
        <v>101.2</v>
      </c>
      <c r="E30" s="20" t="n">
        <f aca="false">SUM(E5:E29)</f>
        <v>17400</v>
      </c>
      <c r="F30" s="20" t="n">
        <f aca="false">SUM(F5:F29)</f>
        <v>19.05</v>
      </c>
      <c r="G30" s="20" t="n">
        <f aca="false">SUM(G5:G29)</f>
        <v>50000</v>
      </c>
      <c r="H30" s="20" t="n">
        <f aca="false">SUM(H5:H29)</f>
        <v>68400</v>
      </c>
      <c r="I30" s="20" t="n">
        <f aca="false">I29</f>
        <v>68400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7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9" min="9" style="0" width="28"/>
  </cols>
  <sheetData>
    <row r="1" customFormat="false" ht="30" hidden="false" customHeight="true" outlineLevel="0" collapsed="false">
      <c r="A1" s="1" t="s">
        <v>611</v>
      </c>
      <c r="B1" s="1"/>
      <c r="C1" s="1"/>
      <c r="D1" s="1"/>
      <c r="E1" s="1"/>
      <c r="F1" s="1"/>
      <c r="G1" s="1"/>
      <c r="H1" s="1"/>
      <c r="I1" s="1"/>
    </row>
    <row r="2" customFormat="false" ht="32" hidden="false" customHeight="true" outlineLevel="0" collapsed="false">
      <c r="A2" s="2" t="s">
        <v>612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5" t="s">
        <v>132</v>
      </c>
      <c r="B4" s="5" t="s">
        <v>613</v>
      </c>
      <c r="C4" s="5" t="s">
        <v>614</v>
      </c>
      <c r="D4" s="5" t="s">
        <v>615</v>
      </c>
      <c r="E4" s="5" t="s">
        <v>616</v>
      </c>
      <c r="F4" s="5" t="s">
        <v>617</v>
      </c>
      <c r="G4" s="5" t="s">
        <v>618</v>
      </c>
      <c r="H4" s="5" t="s">
        <v>619</v>
      </c>
      <c r="I4" s="5" t="s">
        <v>46</v>
      </c>
    </row>
    <row r="5" customFormat="false" ht="15" hidden="false" customHeight="false" outlineLevel="0" collapsed="false">
      <c r="A5" s="6" t="n">
        <v>1</v>
      </c>
      <c r="B5" s="6" t="s">
        <v>620</v>
      </c>
      <c r="C5" s="6" t="s">
        <v>621</v>
      </c>
      <c r="D5" s="6" t="s">
        <v>183</v>
      </c>
      <c r="E5" s="6" t="s">
        <v>622</v>
      </c>
      <c r="F5" s="6" t="s">
        <v>623</v>
      </c>
      <c r="G5" s="6" t="s">
        <v>624</v>
      </c>
      <c r="H5" s="6" t="s">
        <v>625</v>
      </c>
      <c r="I5" s="6" t="s">
        <v>626</v>
      </c>
    </row>
    <row r="6" customFormat="false" ht="15" hidden="false" customHeight="false" outlineLevel="0" collapsed="false">
      <c r="A6" s="6" t="n">
        <v>2</v>
      </c>
      <c r="B6" s="6" t="s">
        <v>627</v>
      </c>
      <c r="C6" s="6" t="s">
        <v>628</v>
      </c>
      <c r="D6" s="6" t="s">
        <v>211</v>
      </c>
      <c r="E6" s="6" t="s">
        <v>622</v>
      </c>
      <c r="F6" s="6" t="s">
        <v>381</v>
      </c>
      <c r="G6" s="6" t="s">
        <v>629</v>
      </c>
      <c r="H6" s="6" t="s">
        <v>625</v>
      </c>
      <c r="I6" s="6" t="s">
        <v>630</v>
      </c>
    </row>
    <row r="7" customFormat="false" ht="15" hidden="false" customHeight="false" outlineLevel="0" collapsed="false">
      <c r="A7" s="6" t="n">
        <v>3</v>
      </c>
      <c r="B7" s="6" t="s">
        <v>631</v>
      </c>
      <c r="C7" s="6" t="s">
        <v>632</v>
      </c>
      <c r="D7" s="6" t="s">
        <v>211</v>
      </c>
      <c r="E7" s="6" t="s">
        <v>622</v>
      </c>
      <c r="F7" s="6" t="s">
        <v>633</v>
      </c>
      <c r="G7" s="6" t="s">
        <v>634</v>
      </c>
      <c r="H7" s="6" t="s">
        <v>625</v>
      </c>
      <c r="I7" s="6" t="s">
        <v>635</v>
      </c>
    </row>
    <row r="8" customFormat="false" ht="15" hidden="false" customHeight="false" outlineLevel="0" collapsed="false">
      <c r="A8" s="6" t="n">
        <v>4</v>
      </c>
      <c r="B8" s="6" t="s">
        <v>636</v>
      </c>
      <c r="C8" s="6" t="s">
        <v>637</v>
      </c>
      <c r="D8" s="6" t="s">
        <v>147</v>
      </c>
      <c r="E8" s="6" t="s">
        <v>622</v>
      </c>
      <c r="F8" s="6" t="s">
        <v>638</v>
      </c>
      <c r="G8" s="6" t="s">
        <v>639</v>
      </c>
      <c r="H8" s="6" t="s">
        <v>625</v>
      </c>
      <c r="I8" s="6" t="s">
        <v>640</v>
      </c>
    </row>
    <row r="9" customFormat="false" ht="15" hidden="false" customHeight="false" outlineLevel="0" collapsed="false">
      <c r="A9" s="6" t="n">
        <v>5</v>
      </c>
      <c r="B9" s="6" t="s">
        <v>641</v>
      </c>
      <c r="C9" s="6" t="s">
        <v>642</v>
      </c>
      <c r="D9" s="6" t="s">
        <v>205</v>
      </c>
      <c r="E9" s="6" t="s">
        <v>622</v>
      </c>
      <c r="F9" s="6" t="s">
        <v>363</v>
      </c>
      <c r="G9" s="6" t="s">
        <v>643</v>
      </c>
      <c r="H9" s="6" t="s">
        <v>625</v>
      </c>
      <c r="I9" s="6" t="s">
        <v>644</v>
      </c>
    </row>
    <row r="10" customFormat="false" ht="15" hidden="false" customHeight="false" outlineLevel="0" collapsed="false">
      <c r="A10" s="6" t="n">
        <v>6</v>
      </c>
      <c r="B10" s="6" t="s">
        <v>645</v>
      </c>
      <c r="C10" s="6" t="s">
        <v>646</v>
      </c>
      <c r="D10" s="6" t="s">
        <v>211</v>
      </c>
      <c r="E10" s="6" t="s">
        <v>647</v>
      </c>
      <c r="F10" s="6" t="s">
        <v>648</v>
      </c>
      <c r="G10" s="6" t="s">
        <v>379</v>
      </c>
      <c r="H10" s="6" t="s">
        <v>625</v>
      </c>
      <c r="I10" s="6" t="s">
        <v>649</v>
      </c>
    </row>
    <row r="11" customFormat="false" ht="15" hidden="false" customHeight="false" outlineLevel="0" collapsed="false">
      <c r="A11" s="6" t="n">
        <v>7</v>
      </c>
      <c r="B11" s="6" t="s">
        <v>650</v>
      </c>
      <c r="C11" s="6" t="s">
        <v>651</v>
      </c>
      <c r="D11" s="6" t="s">
        <v>205</v>
      </c>
      <c r="E11" s="6" t="s">
        <v>622</v>
      </c>
      <c r="F11" s="6" t="s">
        <v>652</v>
      </c>
      <c r="G11" s="6" t="s">
        <v>653</v>
      </c>
      <c r="H11" s="6" t="s">
        <v>625</v>
      </c>
      <c r="I11" s="6" t="s">
        <v>654</v>
      </c>
    </row>
    <row r="12" customFormat="false" ht="15" hidden="false" customHeight="false" outlineLevel="0" collapsed="false">
      <c r="A12" s="6" t="n">
        <v>8</v>
      </c>
      <c r="B12" s="6" t="s">
        <v>655</v>
      </c>
      <c r="C12" s="6" t="s">
        <v>656</v>
      </c>
      <c r="D12" s="6" t="s">
        <v>657</v>
      </c>
      <c r="E12" s="6" t="s">
        <v>622</v>
      </c>
      <c r="F12" s="6" t="s">
        <v>342</v>
      </c>
      <c r="G12" s="6" t="s">
        <v>340</v>
      </c>
      <c r="H12" s="6" t="s">
        <v>625</v>
      </c>
      <c r="I12" s="6" t="s">
        <v>658</v>
      </c>
    </row>
    <row r="13" customFormat="false" ht="15" hidden="false" customHeight="false" outlineLevel="0" collapsed="false">
      <c r="A13" s="6" t="n">
        <v>9</v>
      </c>
      <c r="B13" s="6" t="s">
        <v>659</v>
      </c>
      <c r="C13" s="6" t="s">
        <v>660</v>
      </c>
      <c r="D13" s="6" t="s">
        <v>661</v>
      </c>
      <c r="E13" s="6" t="s">
        <v>622</v>
      </c>
      <c r="F13" s="6" t="s">
        <v>662</v>
      </c>
      <c r="G13" s="6" t="s">
        <v>663</v>
      </c>
      <c r="H13" s="6" t="s">
        <v>625</v>
      </c>
      <c r="I13" s="6" t="s">
        <v>664</v>
      </c>
    </row>
    <row r="14" customFormat="false" ht="15" hidden="false" customHeight="false" outlineLevel="0" collapsed="false">
      <c r="A14" s="6" t="n">
        <v>10</v>
      </c>
      <c r="B14" s="6" t="s">
        <v>665</v>
      </c>
      <c r="C14" s="6" t="s">
        <v>666</v>
      </c>
      <c r="D14" s="6" t="s">
        <v>188</v>
      </c>
      <c r="E14" s="6" t="s">
        <v>622</v>
      </c>
      <c r="F14" s="6" t="s">
        <v>330</v>
      </c>
      <c r="G14" s="6" t="s">
        <v>667</v>
      </c>
      <c r="H14" s="6" t="s">
        <v>625</v>
      </c>
      <c r="I14" s="6" t="s">
        <v>668</v>
      </c>
    </row>
    <row r="15" customFormat="false" ht="15" hidden="false" customHeight="false" outlineLevel="0" collapsed="false">
      <c r="A15" s="6" t="n">
        <v>11</v>
      </c>
      <c r="B15" s="6" t="s">
        <v>669</v>
      </c>
      <c r="C15" s="6" t="s">
        <v>670</v>
      </c>
      <c r="D15" s="6" t="s">
        <v>228</v>
      </c>
      <c r="E15" s="6" t="s">
        <v>671</v>
      </c>
      <c r="F15" s="6" t="s">
        <v>672</v>
      </c>
      <c r="G15" s="6" t="s">
        <v>298</v>
      </c>
      <c r="H15" s="6" t="s">
        <v>625</v>
      </c>
      <c r="I15" s="6" t="s">
        <v>673</v>
      </c>
    </row>
    <row r="16" customFormat="false" ht="15" hidden="false" customHeight="false" outlineLevel="0" collapsed="false">
      <c r="A16" s="6" t="n">
        <v>12</v>
      </c>
      <c r="B16" s="6" t="s">
        <v>674</v>
      </c>
      <c r="C16" s="6" t="s">
        <v>675</v>
      </c>
      <c r="D16" s="6" t="s">
        <v>676</v>
      </c>
      <c r="E16" s="6" t="s">
        <v>622</v>
      </c>
      <c r="F16" s="6" t="s">
        <v>677</v>
      </c>
      <c r="G16" s="6" t="s">
        <v>678</v>
      </c>
      <c r="H16" s="6" t="s">
        <v>625</v>
      </c>
      <c r="I16" s="6" t="s">
        <v>679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9"/>
    <col collapsed="false" customWidth="true" hidden="false" outlineLevel="0" max="5" min="4" style="0" width="12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680</v>
      </c>
      <c r="B1" s="1"/>
      <c r="C1" s="1"/>
      <c r="D1" s="1"/>
      <c r="E1" s="1"/>
      <c r="F1" s="1"/>
      <c r="G1" s="1"/>
      <c r="H1" s="1"/>
    </row>
    <row r="2" customFormat="false" ht="32" hidden="false" customHeight="true" outlineLevel="0" collapsed="false">
      <c r="A2" s="2" t="s">
        <v>681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5" t="s">
        <v>132</v>
      </c>
      <c r="B4" s="5" t="s">
        <v>682</v>
      </c>
      <c r="C4" s="5" t="s">
        <v>683</v>
      </c>
      <c r="D4" s="5" t="s">
        <v>684</v>
      </c>
      <c r="E4" s="5" t="s">
        <v>685</v>
      </c>
      <c r="F4" s="5" t="s">
        <v>686</v>
      </c>
      <c r="G4" s="5" t="s">
        <v>687</v>
      </c>
      <c r="H4" s="5" t="s">
        <v>688</v>
      </c>
    </row>
    <row r="5" customFormat="false" ht="15" hidden="false" customHeight="false" outlineLevel="0" collapsed="false">
      <c r="A5" s="6" t="n">
        <v>1</v>
      </c>
      <c r="B5" s="6" t="s">
        <v>689</v>
      </c>
      <c r="C5" s="6" t="s">
        <v>690</v>
      </c>
      <c r="D5" s="6" t="s">
        <v>62</v>
      </c>
      <c r="E5" s="6" t="s">
        <v>62</v>
      </c>
      <c r="F5" s="6" t="s">
        <v>691</v>
      </c>
      <c r="G5" s="6" t="s">
        <v>692</v>
      </c>
      <c r="H5" s="6" t="n">
        <v>0</v>
      </c>
    </row>
    <row r="6" customFormat="false" ht="15" hidden="false" customHeight="false" outlineLevel="0" collapsed="false">
      <c r="A6" s="6" t="n">
        <v>2</v>
      </c>
      <c r="B6" s="6" t="s">
        <v>693</v>
      </c>
      <c r="C6" s="6" t="s">
        <v>694</v>
      </c>
      <c r="D6" s="6" t="s">
        <v>62</v>
      </c>
      <c r="E6" s="6" t="s">
        <v>62</v>
      </c>
      <c r="F6" s="6" t="s">
        <v>695</v>
      </c>
      <c r="G6" s="6" t="s">
        <v>692</v>
      </c>
      <c r="H6" s="6" t="n">
        <v>0</v>
      </c>
    </row>
    <row r="7" customFormat="false" ht="15" hidden="false" customHeight="false" outlineLevel="0" collapsed="false">
      <c r="A7" s="6" t="n">
        <v>3</v>
      </c>
      <c r="B7" s="6" t="s">
        <v>696</v>
      </c>
      <c r="C7" s="6" t="s">
        <v>697</v>
      </c>
      <c r="D7" s="6" t="s">
        <v>62</v>
      </c>
      <c r="E7" s="6" t="s">
        <v>62</v>
      </c>
      <c r="F7" s="6" t="s">
        <v>698</v>
      </c>
      <c r="G7" s="6" t="s">
        <v>692</v>
      </c>
      <c r="H7" s="6" t="n">
        <v>0</v>
      </c>
    </row>
    <row r="8" customFormat="false" ht="15" hidden="false" customHeight="false" outlineLevel="0" collapsed="false">
      <c r="A8" s="6" t="n">
        <v>4</v>
      </c>
      <c r="B8" s="6" t="s">
        <v>699</v>
      </c>
      <c r="C8" s="6" t="s">
        <v>700</v>
      </c>
      <c r="D8" s="6" t="s">
        <v>62</v>
      </c>
      <c r="E8" s="6" t="s">
        <v>62</v>
      </c>
      <c r="F8" s="6" t="s">
        <v>701</v>
      </c>
      <c r="G8" s="6" t="s">
        <v>692</v>
      </c>
      <c r="H8" s="6" t="n">
        <v>0</v>
      </c>
    </row>
    <row r="9" customFormat="false" ht="15" hidden="false" customHeight="false" outlineLevel="0" collapsed="false">
      <c r="A9" s="6" t="n">
        <v>5</v>
      </c>
      <c r="B9" s="6" t="s">
        <v>702</v>
      </c>
      <c r="C9" s="6" t="s">
        <v>703</v>
      </c>
      <c r="D9" s="6" t="s">
        <v>62</v>
      </c>
      <c r="E9" s="6" t="s">
        <v>62</v>
      </c>
      <c r="F9" s="6" t="s">
        <v>704</v>
      </c>
      <c r="G9" s="6" t="s">
        <v>692</v>
      </c>
      <c r="H9" s="6" t="n">
        <v>0</v>
      </c>
    </row>
    <row r="10" customFormat="false" ht="15" hidden="false" customHeight="false" outlineLevel="0" collapsed="false">
      <c r="A10" s="6" t="n">
        <v>6</v>
      </c>
      <c r="B10" s="6" t="s">
        <v>705</v>
      </c>
      <c r="C10" s="6" t="s">
        <v>706</v>
      </c>
      <c r="D10" s="6" t="s">
        <v>62</v>
      </c>
      <c r="E10" s="6" t="s">
        <v>62</v>
      </c>
      <c r="F10" s="6" t="s">
        <v>594</v>
      </c>
      <c r="G10" s="6" t="s">
        <v>692</v>
      </c>
      <c r="H10" s="6" t="n">
        <v>0</v>
      </c>
    </row>
    <row r="11" customFormat="false" ht="15" hidden="false" customHeight="false" outlineLevel="0" collapsed="false">
      <c r="A11" s="6" t="n">
        <v>7</v>
      </c>
      <c r="B11" s="6" t="s">
        <v>707</v>
      </c>
      <c r="C11" s="6" t="s">
        <v>708</v>
      </c>
      <c r="D11" s="6" t="s">
        <v>62</v>
      </c>
      <c r="E11" s="6" t="s">
        <v>62</v>
      </c>
      <c r="F11" s="6" t="s">
        <v>709</v>
      </c>
      <c r="G11" s="6" t="s">
        <v>692</v>
      </c>
      <c r="H11" s="6" t="n">
        <v>0</v>
      </c>
    </row>
    <row r="12" customFormat="false" ht="15" hidden="false" customHeight="false" outlineLevel="0" collapsed="false">
      <c r="A12" s="6" t="n">
        <v>8</v>
      </c>
      <c r="B12" s="6" t="s">
        <v>710</v>
      </c>
      <c r="C12" s="6" t="s">
        <v>711</v>
      </c>
      <c r="D12" s="6" t="s">
        <v>62</v>
      </c>
      <c r="E12" s="6" t="s">
        <v>62</v>
      </c>
      <c r="F12" s="6" t="s">
        <v>712</v>
      </c>
      <c r="G12" s="6" t="s">
        <v>692</v>
      </c>
      <c r="H12" s="6" t="n"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4" min="3" style="0" width="20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30" hidden="false" customHeight="true" outlineLevel="0" collapsed="false">
      <c r="A1" s="1" t="s">
        <v>713</v>
      </c>
      <c r="B1" s="1"/>
      <c r="C1" s="1"/>
      <c r="D1" s="1"/>
      <c r="E1" s="1"/>
      <c r="F1" s="1"/>
    </row>
    <row r="2" customFormat="false" ht="32" hidden="false" customHeight="true" outlineLevel="0" collapsed="false">
      <c r="A2" s="2" t="s">
        <v>714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132</v>
      </c>
      <c r="B4" s="5" t="s">
        <v>715</v>
      </c>
      <c r="C4" s="5" t="s">
        <v>716</v>
      </c>
      <c r="D4" s="5" t="s">
        <v>717</v>
      </c>
      <c r="E4" s="5" t="s">
        <v>247</v>
      </c>
      <c r="F4" s="5" t="s">
        <v>718</v>
      </c>
    </row>
    <row r="5" customFormat="false" ht="15" hidden="false" customHeight="false" outlineLevel="0" collapsed="false">
      <c r="A5" s="6" t="n">
        <v>1</v>
      </c>
      <c r="B5" s="6" t="s">
        <v>719</v>
      </c>
      <c r="C5" s="6" t="n">
        <f aca="false">Decision!B10</f>
        <v>5</v>
      </c>
      <c r="D5" s="6" t="n">
        <v>5</v>
      </c>
      <c r="E5" s="6" t="str">
        <f aca="false">IF(ABS(C5-D5)&lt;0.01,"PASS","FAIL")</f>
        <v>PASS</v>
      </c>
      <c r="F5" s="6" t="s">
        <v>720</v>
      </c>
    </row>
    <row r="6" customFormat="false" ht="15" hidden="false" customHeight="false" outlineLevel="0" collapsed="false">
      <c r="A6" s="6" t="n">
        <v>2</v>
      </c>
      <c r="B6" s="6" t="s">
        <v>14</v>
      </c>
      <c r="C6" s="6" t="n">
        <f aca="false">Decision!B11</f>
        <v>17</v>
      </c>
      <c r="D6" s="6" t="n">
        <v>17</v>
      </c>
      <c r="E6" s="6" t="str">
        <f aca="false">IF(ABS(C6-D6)&lt;0.01,"PASS","FAIL")</f>
        <v>PASS</v>
      </c>
      <c r="F6" s="6" t="s">
        <v>721</v>
      </c>
    </row>
    <row r="7" customFormat="false" ht="15" hidden="false" customHeight="false" outlineLevel="0" collapsed="false">
      <c r="A7" s="6" t="n">
        <v>3</v>
      </c>
      <c r="B7" s="6" t="s">
        <v>722</v>
      </c>
      <c r="C7" s="6" t="n">
        <f aca="false">COUNTA('Warrant Machine'!A5:A21)</f>
        <v>17</v>
      </c>
      <c r="D7" s="6" t="n">
        <v>17</v>
      </c>
      <c r="E7" s="6" t="str">
        <f aca="false">IF(ABS(C7-D7)&lt;0.01,"PASS","FAIL")</f>
        <v>PASS</v>
      </c>
      <c r="F7" s="6" t="s">
        <v>723</v>
      </c>
    </row>
    <row r="8" customFormat="false" ht="15" hidden="false" customHeight="false" outlineLevel="0" collapsed="false">
      <c r="A8" s="6" t="n">
        <v>4</v>
      </c>
      <c r="B8" s="6" t="s">
        <v>724</v>
      </c>
      <c r="C8" s="6" t="n">
        <f aca="false">COUNTIFS('Warrant Machine'!I5:I21,"CONSTITUTED")</f>
        <v>17</v>
      </c>
      <c r="D8" s="6" t="n">
        <v>17</v>
      </c>
      <c r="E8" s="6" t="str">
        <f aca="false">IF(ABS(C8-D8)&lt;0.01,"PASS","FAIL")</f>
        <v>PASS</v>
      </c>
      <c r="F8" s="6" t="s">
        <v>725</v>
      </c>
    </row>
    <row r="9" customFormat="false" ht="15" hidden="false" customHeight="false" outlineLevel="0" collapsed="false">
      <c r="A9" s="6" t="n">
        <v>5</v>
      </c>
      <c r="B9" s="6" t="s">
        <v>726</v>
      </c>
      <c r="C9" s="6" t="n">
        <f aca="false">COUNTA('Compact Registry'!A5:A9)</f>
        <v>5</v>
      </c>
      <c r="D9" s="6" t="n">
        <v>5</v>
      </c>
      <c r="E9" s="6" t="str">
        <f aca="false">IF(ABS(C9-D9)&lt;0.01,"PASS","FAIL")</f>
        <v>PASS</v>
      </c>
      <c r="F9" s="6" t="s">
        <v>727</v>
      </c>
    </row>
    <row r="10" customFormat="false" ht="15" hidden="false" customHeight="false" outlineLevel="0" collapsed="false">
      <c r="A10" s="6" t="n">
        <v>6</v>
      </c>
      <c r="B10" s="6" t="s">
        <v>728</v>
      </c>
      <c r="C10" s="6" t="n">
        <f aca="false">COUNTIFS('Compact Registry'!E5:E9,"Yes")</f>
        <v>0</v>
      </c>
      <c r="D10" s="6" t="n">
        <v>0</v>
      </c>
      <c r="E10" s="6" t="str">
        <f aca="false">IF(ABS(C10-D10)&lt;0.01,"PASS","FAIL")</f>
        <v>PASS</v>
      </c>
      <c r="F10" s="6" t="s">
        <v>729</v>
      </c>
    </row>
    <row r="11" customFormat="false" ht="15" hidden="false" customHeight="false" outlineLevel="0" collapsed="false">
      <c r="A11" s="6" t="n">
        <v>7</v>
      </c>
      <c r="B11" s="6" t="s">
        <v>730</v>
      </c>
      <c r="C11" s="6" t="n">
        <f aca="false">COUNTA('Authority Matrix'!A5:A21)</f>
        <v>17</v>
      </c>
      <c r="D11" s="6" t="n">
        <v>17</v>
      </c>
      <c r="E11" s="6" t="str">
        <f aca="false">IF(ABS(C11-D11)&lt;0.01,"PASS","FAIL")</f>
        <v>PASS</v>
      </c>
      <c r="F11" s="6" t="s">
        <v>731</v>
      </c>
    </row>
    <row r="12" customFormat="false" ht="15" hidden="false" customHeight="false" outlineLevel="0" collapsed="false">
      <c r="A12" s="6" t="n">
        <v>8</v>
      </c>
      <c r="B12" s="6" t="s">
        <v>732</v>
      </c>
      <c r="C12" s="6" t="n">
        <f aca="false">'Civil Service'!B10</f>
        <v>13030700</v>
      </c>
      <c r="D12" s="6" t="n">
        <v>13030700</v>
      </c>
      <c r="E12" s="6" t="str">
        <f aca="false">IF(ABS(C12-D12)&lt;0.01,"PASS","FAIL")</f>
        <v>PASS</v>
      </c>
      <c r="F12" s="6" t="s">
        <v>733</v>
      </c>
    </row>
    <row r="13" customFormat="false" ht="15" hidden="false" customHeight="false" outlineLevel="0" collapsed="false">
      <c r="A13" s="6" t="n">
        <v>9</v>
      </c>
      <c r="B13" s="6" t="s">
        <v>734</v>
      </c>
      <c r="C13" s="6" t="n">
        <f aca="false">'Force State'!B11</f>
        <v>5251</v>
      </c>
      <c r="D13" s="6" t="n">
        <v>5251</v>
      </c>
      <c r="E13" s="6" t="str">
        <f aca="false">IF(ABS(C13-D13)&lt;0.01,"PASS","FAIL")</f>
        <v>PASS</v>
      </c>
      <c r="F13" s="6" t="s">
        <v>735</v>
      </c>
    </row>
    <row r="14" customFormat="false" ht="15" hidden="false" customHeight="false" outlineLevel="0" collapsed="false">
      <c r="A14" s="6" t="n">
        <v>10</v>
      </c>
      <c r="B14" s="6" t="s">
        <v>736</v>
      </c>
      <c r="C14" s="6" t="n">
        <f aca="false">SUM('Force State'!B5:B7)</f>
        <v>3667</v>
      </c>
      <c r="D14" s="6" t="n">
        <v>3667</v>
      </c>
      <c r="E14" s="6" t="str">
        <f aca="false">IF(ABS(C14-D14)&lt;0.01,"PASS","FAIL")</f>
        <v>PASS</v>
      </c>
      <c r="F14" s="6" t="s">
        <v>737</v>
      </c>
    </row>
    <row r="15" customFormat="false" ht="15" hidden="false" customHeight="false" outlineLevel="0" collapsed="false">
      <c r="A15" s="6" t="n">
        <v>11</v>
      </c>
      <c r="B15" s="6" t="s">
        <v>738</v>
      </c>
      <c r="C15" s="6" t="n">
        <f aca="false">SUM('Force State'!B8:B10)</f>
        <v>1584</v>
      </c>
      <c r="D15" s="6" t="n">
        <v>1584</v>
      </c>
      <c r="E15" s="6" t="str">
        <f aca="false">IF(ABS(C15-D15)&lt;0.01,"PASS","FAIL")</f>
        <v>PASS</v>
      </c>
      <c r="F15" s="6" t="s">
        <v>739</v>
      </c>
    </row>
    <row r="16" customFormat="false" ht="15" hidden="false" customHeight="false" outlineLevel="0" collapsed="false">
      <c r="A16" s="6" t="n">
        <v>12</v>
      </c>
      <c r="B16" s="6" t="s">
        <v>740</v>
      </c>
      <c r="C16" s="6" t="n">
        <f aca="false">SUM('Force State'!B14:B15)</f>
        <v>2420</v>
      </c>
      <c r="D16" s="6" t="n">
        <v>2420</v>
      </c>
      <c r="E16" s="6" t="str">
        <f aca="false">IF(ABS(C16-D16)&lt;0.01,"PASS","FAIL")</f>
        <v>PASS</v>
      </c>
      <c r="F16" s="6" t="s">
        <v>741</v>
      </c>
    </row>
    <row r="17" customFormat="false" ht="15" hidden="false" customHeight="false" outlineLevel="0" collapsed="false">
      <c r="A17" s="6" t="n">
        <v>13</v>
      </c>
      <c r="B17" s="6" t="s">
        <v>26</v>
      </c>
      <c r="C17" s="6" t="n">
        <f aca="false">'Fiscal Accounts'!B5</f>
        <v>1000</v>
      </c>
      <c r="D17" s="6" t="n">
        <v>1000</v>
      </c>
      <c r="E17" s="6" t="str">
        <f aca="false">IF(ABS(C17-D17)&lt;0.01,"PASS","FAIL")</f>
        <v>PASS</v>
      </c>
      <c r="F17" s="6" t="s">
        <v>742</v>
      </c>
    </row>
    <row r="18" customFormat="false" ht="15" hidden="false" customHeight="false" outlineLevel="0" collapsed="false">
      <c r="A18" s="6" t="n">
        <v>14</v>
      </c>
      <c r="B18" s="6" t="s">
        <v>30</v>
      </c>
      <c r="C18" s="6" t="n">
        <f aca="false">'Fiscal Accounts'!B6</f>
        <v>17400</v>
      </c>
      <c r="D18" s="6" t="n">
        <v>17400</v>
      </c>
      <c r="E18" s="6" t="str">
        <f aca="false">IF(ABS(C18-D18)&lt;0.01,"PASS","FAIL")</f>
        <v>PASS</v>
      </c>
      <c r="F18" s="6" t="s">
        <v>743</v>
      </c>
    </row>
    <row r="19" customFormat="false" ht="15" hidden="false" customHeight="false" outlineLevel="0" collapsed="false">
      <c r="A19" s="6" t="n">
        <v>15</v>
      </c>
      <c r="B19" s="6" t="s">
        <v>744</v>
      </c>
      <c r="C19" s="6" t="n">
        <f aca="false">'Fiscal Accounts'!B7</f>
        <v>50000</v>
      </c>
      <c r="D19" s="6" t="n">
        <v>50000</v>
      </c>
      <c r="E19" s="6" t="str">
        <f aca="false">IF(ABS(C19-D19)&lt;0.01,"PASS","FAIL")</f>
        <v>PASS</v>
      </c>
      <c r="F19" s="6" t="s">
        <v>745</v>
      </c>
    </row>
    <row r="20" customFormat="false" ht="15" hidden="false" customHeight="false" outlineLevel="0" collapsed="false">
      <c r="A20" s="6" t="n">
        <v>16</v>
      </c>
      <c r="B20" s="6" t="s">
        <v>36</v>
      </c>
      <c r="C20" s="6" t="n">
        <f aca="false">'Fiscal Accounts'!B8</f>
        <v>68400</v>
      </c>
      <c r="D20" s="6" t="n">
        <v>68400</v>
      </c>
      <c r="E20" s="6" t="str">
        <f aca="false">IF(ABS(C20-D20)&lt;0.01,"PASS","FAIL")</f>
        <v>PASS</v>
      </c>
      <c r="F20" s="6" t="s">
        <v>746</v>
      </c>
    </row>
    <row r="21" customFormat="false" ht="15" hidden="false" customHeight="false" outlineLevel="0" collapsed="false">
      <c r="A21" s="6" t="n">
        <v>17</v>
      </c>
      <c r="B21" s="6" t="s">
        <v>747</v>
      </c>
      <c r="C21" s="6" t="n">
        <f aca="false">'25-Year Path'!C30</f>
        <v>1000</v>
      </c>
      <c r="D21" s="6" t="n">
        <v>1000</v>
      </c>
      <c r="E21" s="6" t="str">
        <f aca="false">IF(ABS(C21-D21)&lt;0.01,"PASS","FAIL")</f>
        <v>PASS</v>
      </c>
      <c r="F21" s="6" t="s">
        <v>748</v>
      </c>
    </row>
    <row r="22" customFormat="false" ht="15" hidden="false" customHeight="false" outlineLevel="0" collapsed="false">
      <c r="A22" s="6" t="n">
        <v>18</v>
      </c>
      <c r="B22" s="6" t="s">
        <v>749</v>
      </c>
      <c r="C22" s="6" t="n">
        <f aca="false">'25-Year Path'!E30</f>
        <v>17400</v>
      </c>
      <c r="D22" s="6" t="n">
        <v>17400</v>
      </c>
      <c r="E22" s="6" t="str">
        <f aca="false">IF(ABS(C22-D22)&lt;0.01,"PASS","FAIL")</f>
        <v>PASS</v>
      </c>
      <c r="F22" s="6" t="s">
        <v>748</v>
      </c>
    </row>
    <row r="23" customFormat="false" ht="15" hidden="false" customHeight="false" outlineLevel="0" collapsed="false">
      <c r="A23" s="6" t="n">
        <v>19</v>
      </c>
      <c r="B23" s="6" t="s">
        <v>750</v>
      </c>
      <c r="C23" s="6" t="n">
        <f aca="false">'25-Year Path'!G30</f>
        <v>50000</v>
      </c>
      <c r="D23" s="6" t="n">
        <v>50000</v>
      </c>
      <c r="E23" s="6" t="str">
        <f aca="false">IF(ABS(C23-D23)&lt;0.01,"PASS","FAIL")</f>
        <v>PASS</v>
      </c>
      <c r="F23" s="6" t="s">
        <v>748</v>
      </c>
    </row>
    <row r="24" customFormat="false" ht="15" hidden="false" customHeight="false" outlineLevel="0" collapsed="false">
      <c r="A24" s="6" t="n">
        <v>20</v>
      </c>
      <c r="B24" s="6" t="s">
        <v>751</v>
      </c>
      <c r="C24" s="6" t="n">
        <f aca="false">'25-Year Path'!H30</f>
        <v>68400</v>
      </c>
      <c r="D24" s="6" t="n">
        <v>68400</v>
      </c>
      <c r="E24" s="6" t="str">
        <f aca="false">IF(ABS(C24-D24)&lt;0.01,"PASS","FAIL")</f>
        <v>PASS</v>
      </c>
      <c r="F24" s="6" t="s">
        <v>748</v>
      </c>
    </row>
    <row r="25" customFormat="false" ht="15" hidden="false" customHeight="false" outlineLevel="0" collapsed="false">
      <c r="A25" s="6" t="n">
        <v>21</v>
      </c>
      <c r="B25" s="6" t="s">
        <v>752</v>
      </c>
      <c r="C25" s="6" t="n">
        <f aca="false">'25-Year Path'!I30</f>
        <v>68400</v>
      </c>
      <c r="D25" s="6" t="n">
        <v>68400</v>
      </c>
      <c r="E25" s="6" t="str">
        <f aca="false">IF(ABS(C25-D25)&lt;0.01,"PASS","FAIL")</f>
        <v>PASS</v>
      </c>
      <c r="F25" s="6" t="s">
        <v>753</v>
      </c>
    </row>
    <row r="26" customFormat="false" ht="15" hidden="false" customHeight="false" outlineLevel="0" collapsed="false">
      <c r="A26" s="6" t="n">
        <v>22</v>
      </c>
      <c r="B26" s="6" t="s">
        <v>754</v>
      </c>
      <c r="C26" s="6" t="n">
        <f aca="false">'25-Year Path'!F30</f>
        <v>19.05</v>
      </c>
      <c r="D26" s="6" t="n">
        <v>19.05</v>
      </c>
      <c r="E26" s="6" t="str">
        <f aca="false">IF(ABS(C26-D26)&lt;0.01,"PASS","FAIL")</f>
        <v>PASS</v>
      </c>
      <c r="F26" s="6" t="s">
        <v>755</v>
      </c>
    </row>
    <row r="27" customFormat="false" ht="15" hidden="false" customHeight="false" outlineLevel="0" collapsed="false">
      <c r="A27" s="6" t="n">
        <v>23</v>
      </c>
      <c r="B27" s="6" t="s">
        <v>756</v>
      </c>
      <c r="C27" s="6" t="n">
        <f aca="false">'Reality Commons'!B15</f>
        <v>6189</v>
      </c>
      <c r="D27" s="6" t="n">
        <v>6189</v>
      </c>
      <c r="E27" s="6" t="str">
        <f aca="false">IF(ABS(C27-D27)&lt;0.01,"PASS","FAIL")</f>
        <v>PASS</v>
      </c>
      <c r="F27" s="6" t="s">
        <v>757</v>
      </c>
    </row>
    <row r="28" customFormat="false" ht="15" hidden="false" customHeight="false" outlineLevel="0" collapsed="false">
      <c r="A28" s="6" t="n">
        <v>24</v>
      </c>
      <c r="B28" s="6" t="s">
        <v>758</v>
      </c>
      <c r="C28" s="6" t="n">
        <f aca="false">COUNTIFS('Stress Tests'!H5:H16,"PASS")</f>
        <v>12</v>
      </c>
      <c r="D28" s="6" t="n">
        <v>12</v>
      </c>
      <c r="E28" s="6" t="str">
        <f aca="false">IF(ABS(C28-D28)&lt;0.01,"PASS","FAIL")</f>
        <v>PASS</v>
      </c>
      <c r="F28" s="6" t="s">
        <v>759</v>
      </c>
    </row>
    <row r="29" customFormat="false" ht="15" hidden="false" customHeight="false" outlineLevel="0" collapsed="false">
      <c r="A29" s="6" t="n">
        <v>25</v>
      </c>
      <c r="B29" s="6" t="s">
        <v>760</v>
      </c>
      <c r="C29" s="6" t="n">
        <f aca="false">COUNTIFS(Mutations!E5:E12,"FAIL")</f>
        <v>8</v>
      </c>
      <c r="D29" s="6" t="n">
        <v>8</v>
      </c>
      <c r="E29" s="6" t="str">
        <f aca="false">IF(ABS(C29-D29)&lt;0.01,"PASS","FAIL")</f>
        <v>PASS</v>
      </c>
      <c r="F29" s="6" t="s">
        <v>761</v>
      </c>
    </row>
    <row r="30" customFormat="false" ht="15" hidden="false" customHeight="false" outlineLevel="0" collapsed="false">
      <c r="A30" s="6" t="n">
        <v>26</v>
      </c>
      <c r="B30" s="6" t="s">
        <v>762</v>
      </c>
      <c r="C30" s="6" t="n">
        <f aca="false">COUNTIFS(Mutations!G5:G12,"YES")</f>
        <v>8</v>
      </c>
      <c r="D30" s="6" t="n">
        <v>8</v>
      </c>
      <c r="E30" s="6" t="str">
        <f aca="false">IF(ABS(C30-D30)&lt;0.01,"PASS","FAIL")</f>
        <v>PASS</v>
      </c>
      <c r="F30" s="6" t="s">
        <v>763</v>
      </c>
    </row>
    <row r="31" customFormat="false" ht="15" hidden="false" customHeight="false" outlineLevel="0" collapsed="false">
      <c r="A31" s="6" t="n">
        <v>27</v>
      </c>
      <c r="B31" s="6" t="s">
        <v>34</v>
      </c>
      <c r="C31" s="6" t="n">
        <f aca="false">Decision!B17</f>
        <v>0</v>
      </c>
      <c r="D31" s="6" t="n">
        <v>0</v>
      </c>
      <c r="E31" s="6" t="str">
        <f aca="false">IF(ABS(C31-D31)&lt;0.01,"PASS","FAIL")</f>
        <v>PASS</v>
      </c>
      <c r="F31" s="6" t="s">
        <v>764</v>
      </c>
    </row>
    <row r="32" customFormat="false" ht="15" hidden="false" customHeight="false" outlineLevel="0" collapsed="false">
      <c r="A32" s="6" t="n">
        <v>28</v>
      </c>
      <c r="B32" s="6" t="s">
        <v>765</v>
      </c>
      <c r="C32" s="6" t="n">
        <f aca="false">SUM(Mutations!H5:H12)</f>
        <v>0</v>
      </c>
      <c r="D32" s="6" t="n">
        <v>0</v>
      </c>
      <c r="E32" s="6" t="str">
        <f aca="false">IF(ABS(C32-D32)&lt;0.01,"PASS","FAIL")</f>
        <v>PASS</v>
      </c>
      <c r="F32" s="6" t="s">
        <v>766</v>
      </c>
    </row>
    <row r="34" customFormat="false" ht="37.3" hidden="false" customHeight="false" outlineLevel="0" collapsed="false">
      <c r="A34" s="5" t="s">
        <v>767</v>
      </c>
      <c r="B34" s="5" t="s">
        <v>768</v>
      </c>
    </row>
    <row r="35" customFormat="false" ht="23.85" hidden="false" customHeight="false" outlineLevel="0" collapsed="false">
      <c r="A35" s="6" t="s">
        <v>769</v>
      </c>
      <c r="B35" s="6" t="n">
        <f aca="false">COUNTIFS(E5:E32,"PASS")</f>
        <v>28</v>
      </c>
    </row>
  </sheetData>
  <mergeCells count="2">
    <mergeCell ref="A1:F1"/>
    <mergeCell ref="A2:F2"/>
  </mergeCells>
  <conditionalFormatting sqref="E5:E32">
    <cfRule type="containsText" priority="2" operator="containsText" aboveAverage="0" equalAverage="0" bottom="0" percent="0" rank="0" text="PASS" dxfId="1">
      <formula>NOT(ISERROR(SEARCH("PASS",E5)))</formula>
    </cfRule>
    <cfRule type="containsText" priority="3" operator="containsText" aboveAverage="0" equalAverage="0" bottom="0" percent="0" rank="0" text="FAIL" dxfId="2">
      <formula>NOT(ISERROR(SEARCH("FAIL",E5)))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4"/>
    <col collapsed="false" customWidth="true" hidden="false" outlineLevel="0" max="3" min="3" style="0" width="53"/>
    <col collapsed="false" customWidth="true" hidden="false" outlineLevel="0" max="4" min="4" style="0" width="18"/>
  </cols>
  <sheetData>
    <row r="1" customFormat="false" ht="30" hidden="false" customHeight="true" outlineLevel="0" collapsed="false">
      <c r="A1" s="1" t="s">
        <v>770</v>
      </c>
      <c r="B1" s="1"/>
      <c r="C1" s="1"/>
      <c r="D1" s="1"/>
    </row>
    <row r="2" customFormat="false" ht="32" hidden="false" customHeight="true" outlineLevel="0" collapsed="false">
      <c r="A2" s="2" t="s">
        <v>771</v>
      </c>
      <c r="B2" s="2"/>
      <c r="C2" s="2"/>
      <c r="D2" s="2"/>
    </row>
    <row r="4" customFormat="false" ht="15" hidden="false" customHeight="false" outlineLevel="0" collapsed="false">
      <c r="A4" s="5" t="s">
        <v>772</v>
      </c>
      <c r="B4" s="5" t="s">
        <v>773</v>
      </c>
      <c r="C4" s="5" t="s">
        <v>774</v>
      </c>
      <c r="D4" s="5" t="s">
        <v>514</v>
      </c>
    </row>
    <row r="5" customFormat="false" ht="15" hidden="false" customHeight="false" outlineLevel="0" collapsed="false">
      <c r="A5" s="6" t="s">
        <v>775</v>
      </c>
      <c r="B5" s="6" t="s">
        <v>776</v>
      </c>
      <c r="C5" s="6" t="s">
        <v>777</v>
      </c>
      <c r="D5" s="6" t="s">
        <v>778</v>
      </c>
    </row>
    <row r="6" customFormat="false" ht="15" hidden="false" customHeight="false" outlineLevel="0" collapsed="false">
      <c r="A6" s="6" t="s">
        <v>779</v>
      </c>
      <c r="B6" s="6" t="s">
        <v>780</v>
      </c>
      <c r="C6" s="6" t="s">
        <v>781</v>
      </c>
      <c r="D6" s="6" t="s">
        <v>778</v>
      </c>
    </row>
    <row r="7" customFormat="false" ht="15" hidden="false" customHeight="false" outlineLevel="0" collapsed="false">
      <c r="A7" s="6" t="s">
        <v>782</v>
      </c>
      <c r="B7" s="6" t="s">
        <v>783</v>
      </c>
      <c r="C7" s="6" t="s">
        <v>784</v>
      </c>
      <c r="D7" s="6" t="s">
        <v>778</v>
      </c>
    </row>
    <row r="8" customFormat="false" ht="15" hidden="false" customHeight="false" outlineLevel="0" collapsed="false">
      <c r="A8" s="6" t="s">
        <v>785</v>
      </c>
      <c r="B8" s="6" t="s">
        <v>786</v>
      </c>
      <c r="C8" s="6" t="s">
        <v>787</v>
      </c>
      <c r="D8" s="6" t="s">
        <v>778</v>
      </c>
    </row>
    <row r="9" customFormat="false" ht="15" hidden="false" customHeight="false" outlineLevel="0" collapsed="false">
      <c r="A9" s="6" t="s">
        <v>788</v>
      </c>
      <c r="B9" s="6" t="s">
        <v>789</v>
      </c>
      <c r="C9" s="6" t="s">
        <v>790</v>
      </c>
      <c r="D9" s="6" t="s">
        <v>791</v>
      </c>
    </row>
    <row r="10" customFormat="false" ht="15" hidden="false" customHeight="false" outlineLevel="0" collapsed="false">
      <c r="A10" s="6" t="s">
        <v>792</v>
      </c>
      <c r="B10" s="6" t="s">
        <v>793</v>
      </c>
      <c r="C10" s="6" t="s">
        <v>794</v>
      </c>
      <c r="D10" s="6" t="s">
        <v>791</v>
      </c>
    </row>
    <row r="11" customFormat="false" ht="15" hidden="false" customHeight="false" outlineLevel="0" collapsed="false">
      <c r="A11" s="6" t="s">
        <v>795</v>
      </c>
      <c r="B11" s="6" t="s">
        <v>796</v>
      </c>
      <c r="C11" s="6" t="s">
        <v>764</v>
      </c>
      <c r="D11" s="6" t="s">
        <v>797</v>
      </c>
    </row>
    <row r="12" customFormat="false" ht="15" hidden="false" customHeight="false" outlineLevel="0" collapsed="false">
      <c r="A12" s="6" t="s">
        <v>798</v>
      </c>
      <c r="B12" s="6" t="s">
        <v>799</v>
      </c>
      <c r="C12" s="6" t="s">
        <v>800</v>
      </c>
      <c r="D12" s="6" t="s">
        <v>801</v>
      </c>
    </row>
    <row r="13" customFormat="false" ht="15" hidden="false" customHeight="false" outlineLevel="0" collapsed="false">
      <c r="A13" s="6" t="s">
        <v>802</v>
      </c>
      <c r="B13" s="6" t="s">
        <v>803</v>
      </c>
      <c r="C13" s="6" t="s">
        <v>804</v>
      </c>
      <c r="D13" s="6" t="s">
        <v>805</v>
      </c>
    </row>
    <row r="14" customFormat="false" ht="15" hidden="false" customHeight="false" outlineLevel="0" collapsed="false">
      <c r="A14" s="6" t="s">
        <v>806</v>
      </c>
      <c r="B14" s="6" t="s">
        <v>807</v>
      </c>
      <c r="C14" s="6" t="s">
        <v>808</v>
      </c>
      <c r="D14" s="6" t="s">
        <v>809</v>
      </c>
    </row>
    <row r="15" customFormat="false" ht="15" hidden="false" customHeight="false" outlineLevel="0" collapsed="false">
      <c r="A15" s="6" t="s">
        <v>810</v>
      </c>
      <c r="B15" s="6" t="s">
        <v>811</v>
      </c>
      <c r="C15" s="6" t="s">
        <v>812</v>
      </c>
      <c r="D15" s="6" t="s">
        <v>809</v>
      </c>
    </row>
    <row r="16" customFormat="false" ht="15" hidden="false" customHeight="false" outlineLevel="0" collapsed="false">
      <c r="A16" s="6" t="s">
        <v>813</v>
      </c>
      <c r="B16" s="6" t="s">
        <v>814</v>
      </c>
      <c r="C16" s="6" t="s">
        <v>815</v>
      </c>
      <c r="D16" s="6" t="s">
        <v>816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