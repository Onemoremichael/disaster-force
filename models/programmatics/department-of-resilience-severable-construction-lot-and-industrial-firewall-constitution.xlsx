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ntrols" sheetId="2" state="visible" r:id="rId4"/>
    <sheet name="Alternatives" sheetId="3" state="visible" r:id="rId5"/>
    <sheet name="Lot Classes" sheetId="4" state="visible" r:id="rId6"/>
    <sheet name="Lot Register" sheetId="5" state="visible" r:id="rId7"/>
    <sheet name="Substrate Rotation" sheetId="6" state="visible" r:id="rId8"/>
    <sheet name="Station Crosswalk" sheetId="7" state="visible" r:id="rId9"/>
    <sheet name="Control Groups" sheetId="8" state="visible" r:id="rId10"/>
    <sheet name="Collision Rules" sheetId="9" state="visible" r:id="rId11"/>
    <sheet name="Method Lots" sheetId="10" state="visible" r:id="rId12"/>
    <sheet name="Acceptance Packets" sheetId="11" state="visible" r:id="rId13"/>
    <sheet name="Acceptance Gates" sheetId="12" state="visible" r:id="rId14"/>
    <sheet name="Release Sequence" sheetId="13" state="visible" r:id="rId15"/>
    <sheet name="Payment Schedule" sheetId="14" state="visible" r:id="rId16"/>
    <sheet name="Authority Separation" sheetId="15" state="visible" r:id="rId17"/>
    <sheet name="Industrial Base" sheetId="16" state="visible" r:id="rId18"/>
    <sheet name="Stress Tests" sheetId="17" state="visible" r:id="rId19"/>
    <sheet name="Mutations" sheetId="18" state="visible" r:id="rId20"/>
    <sheet name="Audit" sheetId="19" state="visible" r:id="rId21"/>
    <sheet name="Sources &amp; Limits" sheetId="20" state="visible" r:id="rId2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<sst xmlns="http://schemas.openxmlformats.org/spreadsheetml/2006/main" count="8751" uniqueCount="994">
  <si>
    <t xml:space="preserve">A2C-3 Severable Construction Lattice</t>
  </si>
  <si>
    <t xml:space="preserve">Verdict: CLOSE. Buy eighteen station nuclei and six truth trains as 102 severable lots behind a forty-eight-control-group floor. No site, firm, award, payment, acceptance, capability or exterior form exists.</t>
  </si>
  <si>
    <t xml:space="preserve">Decision</t>
  </si>
  <si>
    <t xml:space="preserve">Result</t>
  </si>
  <si>
    <t xml:space="preserve">Unit</t>
  </si>
  <si>
    <t xml:space="preserve">State</t>
  </si>
  <si>
    <t xml:space="preserve">Why it matters</t>
  </si>
  <si>
    <t xml:space="preserve">Current authority</t>
  </si>
  <si>
    <t xml:space="preserve">Held conversion</t>
  </si>
  <si>
    <t xml:space="preserve">Next object</t>
  </si>
  <si>
    <t xml:space="preserve">selected architecture</t>
  </si>
  <si>
    <t xml:space="preserve">severable construction lattice</t>
  </si>
  <si>
    <t xml:space="preserve">architecture</t>
  </si>
  <si>
    <t xml:space="preserve">CLOSE</t>
  </si>
  <si>
    <t xml:space="preserve">keeps complete liability without common causal control</t>
  </si>
  <si>
    <t xml:space="preserve">lot constitution</t>
  </si>
  <si>
    <t xml:space="preserve">lot to winner</t>
  </si>
  <si>
    <t xml:space="preserve">bid admission</t>
  </si>
  <si>
    <t xml:space="preserve">construction lots</t>
  </si>
  <si>
    <t xml:space="preserve">count</t>
  </si>
  <si>
    <t xml:space="preserve">CONSTITUTED</t>
  </si>
  <si>
    <t xml:space="preserve">six complete object classes</t>
  </si>
  <si>
    <t xml:space="preserve">records only</t>
  </si>
  <si>
    <t xml:space="preserve">record to award</t>
  </si>
  <si>
    <t xml:space="preserve">collision-free slate</t>
  </si>
  <si>
    <t xml:space="preserve">public decisive lots</t>
  </si>
  <si>
    <t xml:space="preserve">rigs, methods and regeneration remain separate</t>
  </si>
  <si>
    <t xml:space="preserve">lot to as-built</t>
  </si>
  <si>
    <t xml:space="preserve">construction packets</t>
  </si>
  <si>
    <t xml:space="preserve">public boundary lots</t>
  </si>
  <si>
    <t xml:space="preserve">substrate and integration cannot become technical roots</t>
  </si>
  <si>
    <t xml:space="preserve">boundary to control</t>
  </si>
  <si>
    <t xml:space="preserve">site classes</t>
  </si>
  <si>
    <t xml:space="preserve">candidate lots</t>
  </si>
  <si>
    <t xml:space="preserve">GATED</t>
  </si>
  <si>
    <t xml:space="preserve">one option per selected Root House</t>
  </si>
  <si>
    <t xml:space="preserve">option ceilings</t>
  </si>
  <si>
    <t xml:space="preserve">option to award</t>
  </si>
  <si>
    <t xml:space="preserve">minimum control groups</t>
  </si>
  <si>
    <t xml:space="preserve">FROZEN</t>
  </si>
  <si>
    <t xml:space="preserve">control follows ownership, debt, tools, keys and people</t>
  </si>
  <si>
    <t xml:space="preserve">firewall</t>
  </si>
  <si>
    <t xml:space="preserve">slot to firm</t>
  </si>
  <si>
    <t xml:space="preserve">ownership proof</t>
  </si>
  <si>
    <t xml:space="preserve">acceptance packets</t>
  </si>
  <si>
    <t xml:space="preserve">OPEN</t>
  </si>
  <si>
    <t xml:space="preserve">five complete construction records per lot</t>
  </si>
  <si>
    <t xml:space="preserve">grammar only</t>
  </si>
  <si>
    <t xml:space="preserve">packet to acceptance</t>
  </si>
  <si>
    <t xml:space="preserve">physical records</t>
  </si>
  <si>
    <t xml:space="preserve">acceptance decisions</t>
  </si>
  <si>
    <t xml:space="preserve">seven noncompensatory gates per lot</t>
  </si>
  <si>
    <t xml:space="preserve">gate to pass</t>
  </si>
  <si>
    <t xml:space="preserve">physical decisions</t>
  </si>
  <si>
    <t xml:space="preserve">public reserve</t>
  </si>
  <si>
    <t xml:space="preserve">USD B</t>
  </si>
  <si>
    <t xml:space="preserve">RESERVED</t>
  </si>
  <si>
    <t xml:space="preserve">existing authority only</t>
  </si>
  <si>
    <t xml:space="preserve">ceiling</t>
  </si>
  <si>
    <t xml:space="preserve">reserve to obligation</t>
  </si>
  <si>
    <t xml:space="preserve">award warrant</t>
  </si>
  <si>
    <t xml:space="preserve">private options</t>
  </si>
  <si>
    <t xml:space="preserve">root-specific option ceilings</t>
  </si>
  <si>
    <t xml:space="preserve">option to payment</t>
  </si>
  <si>
    <t xml:space="preserve">accepted artifact</t>
  </si>
  <si>
    <t xml:space="preserve">combined wave</t>
  </si>
  <si>
    <t xml:space="preserve">no added authority</t>
  </si>
  <si>
    <t xml:space="preserve">authority to spend</t>
  </si>
  <si>
    <t xml:space="preserve">release sequence</t>
  </si>
  <si>
    <t xml:space="preserve">through MAKE exposure</t>
  </si>
  <si>
    <t xml:space="preserve">CEILING</t>
  </si>
  <si>
    <t xml:space="preserve">limits pre-destruction loss</t>
  </si>
  <si>
    <t xml:space="preserve">schedule</t>
  </si>
  <si>
    <t xml:space="preserve">ceiling to payment</t>
  </si>
  <si>
    <t xml:space="preserve">accepted stages</t>
  </si>
  <si>
    <t xml:space="preserve">all-six kill unreleased</t>
  </si>
  <si>
    <t xml:space="preserve">PROTECTED</t>
  </si>
  <si>
    <t xml:space="preserve">valid failure returns transfer money</t>
  </si>
  <si>
    <t xml:space="preserve">failure to production</t>
  </si>
  <si>
    <t xml:space="preserve">root disposition</t>
  </si>
  <si>
    <t xml:space="preserve">current awards</t>
  </si>
  <si>
    <t xml:space="preserve">HELD</t>
  </si>
  <si>
    <t xml:space="preserve">no bidder selected</t>
  </si>
  <si>
    <t xml:space="preserve">none</t>
  </si>
  <si>
    <t xml:space="preserve">slot to winner</t>
  </si>
  <si>
    <t xml:space="preserve">future pass</t>
  </si>
  <si>
    <t xml:space="preserve">capability credit</t>
  </si>
  <si>
    <t xml:space="preserve">construction is not operational service</t>
  </si>
  <si>
    <t xml:space="preserve">acceptance to readiness</t>
  </si>
  <si>
    <t xml:space="preserve">later proof</t>
  </si>
  <si>
    <t xml:space="preserve">rendering authority</t>
  </si>
  <si>
    <t xml:space="preserve">form follows stabilized requirements</t>
  </si>
  <si>
    <t xml:space="preserve">envelope to exterior</t>
  </si>
  <si>
    <t xml:space="preserve">later design</t>
  </si>
  <si>
    <t xml:space="preserve">Terminal test</t>
  </si>
  <si>
    <t xml:space="preserve">Observed</t>
  </si>
  <si>
    <t xml:space="preserve">eligible architecture</t>
  </si>
  <si>
    <t xml:space="preserve">lot count</t>
  </si>
  <si>
    <t xml:space="preserve">control groups</t>
  </si>
  <si>
    <t xml:space="preserve">packet records</t>
  </si>
  <si>
    <t xml:space="preserve">gate decisions</t>
  </si>
  <si>
    <t xml:space="preserve">public authority</t>
  </si>
  <si>
    <t xml:space="preserve">combined ceiling</t>
  </si>
  <si>
    <t xml:space="preserve">audit failures</t>
  </si>
  <si>
    <t xml:space="preserve">awards</t>
  </si>
  <si>
    <t xml:space="preserve">Authoritative A2C-3 controls</t>
  </si>
  <si>
    <t xml:space="preserve">Blue cells are the only mutable controls used by the audit. A zero is a held state, not missing work silently treated as complete.</t>
  </si>
  <si>
    <t xml:space="preserve">Control</t>
  </si>
  <si>
    <t xml:space="preserve">Value</t>
  </si>
  <si>
    <t xml:space="preserve">Authority</t>
  </si>
  <si>
    <t xml:space="preserve">Meaning</t>
  </si>
  <si>
    <t xml:space="preserve">public construction reserve</t>
  </si>
  <si>
    <t xml:space="preserve">A2C-2</t>
  </si>
  <si>
    <t xml:space="preserve">nested in enabling authority</t>
  </si>
  <si>
    <t xml:space="preserve">selected candidate options</t>
  </si>
  <si>
    <t xml:space="preserve">A2C-1</t>
  </si>
  <si>
    <t xml:space="preserve">six root-specific ceilings</t>
  </si>
  <si>
    <t xml:space="preserve">mission systems</t>
  </si>
  <si>
    <t xml:space="preserve">all six remain live</t>
  </si>
  <si>
    <t xml:space="preserve">roles per system</t>
  </si>
  <si>
    <t xml:space="preserve">challenge, control, reconstruction</t>
  </si>
  <si>
    <t xml:space="preserve">civil substrate lots</t>
  </si>
  <si>
    <t xml:space="preserve">A2C-3</t>
  </si>
  <si>
    <t xml:space="preserve">one balanced three-station package each</t>
  </si>
  <si>
    <t xml:space="preserve">root-native rig lots</t>
  </si>
  <si>
    <t xml:space="preserve">one per station</t>
  </si>
  <si>
    <t xml:space="preserve">method-lineage lots</t>
  </si>
  <si>
    <t xml:space="preserve">two unlike lineages per station</t>
  </si>
  <si>
    <t xml:space="preserve">regeneration-tool lots</t>
  </si>
  <si>
    <t xml:space="preserve">station-integration lots</t>
  </si>
  <si>
    <t xml:space="preserve">one nondecisive interface lot per station</t>
  </si>
  <si>
    <t xml:space="preserve">candidate-mechanism lots</t>
  </si>
  <si>
    <t xml:space="preserve">one per selected Root House</t>
  </si>
  <si>
    <t xml:space="preserve">six candidate, thirty-six decisive, six boundary</t>
  </si>
  <si>
    <t xml:space="preserve">packet families per lot</t>
  </si>
  <si>
    <t xml:space="preserve">all required</t>
  </si>
  <si>
    <t xml:space="preserve">acceptance gates per lot</t>
  </si>
  <si>
    <t xml:space="preserve">noncompensatory</t>
  </si>
  <si>
    <t xml:space="preserve">current sites</t>
  </si>
  <si>
    <t xml:space="preserve">source empty</t>
  </si>
  <si>
    <t xml:space="preserve">current firms</t>
  </si>
  <si>
    <t xml:space="preserve">no selection</t>
  </si>
  <si>
    <t xml:space="preserve">current obligations</t>
  </si>
  <si>
    <t xml:space="preserve">no contract</t>
  </si>
  <si>
    <t xml:space="preserve">current payments</t>
  </si>
  <si>
    <t xml:space="preserve">no accepted artifact</t>
  </si>
  <si>
    <t xml:space="preserve">accepted packets</t>
  </si>
  <si>
    <t xml:space="preserve">no physical construction</t>
  </si>
  <si>
    <t xml:space="preserve">accepted gates</t>
  </si>
  <si>
    <t xml:space="preserve">construction is not readiness</t>
  </si>
  <si>
    <t xml:space="preserve">exterior form held</t>
  </si>
  <si>
    <t xml:space="preserve">Construction architecture hard-gate test</t>
  </si>
  <si>
    <t xml:space="preserve">All twelve gates are conjunctive. A large contractor roster cannot compensate for unified causal control or orphaned system responsibility.</t>
  </si>
  <si>
    <t xml:space="preserve">Architecture</t>
  </si>
  <si>
    <t xml:space="preserve">complete liability</t>
  </si>
  <si>
    <t xml:space="preserve">candidate separation</t>
  </si>
  <si>
    <t xml:space="preserve">role separation</t>
  </si>
  <si>
    <t xml:space="preserve">method plurality</t>
  </si>
  <si>
    <t xml:space="preserve">regen separation</t>
  </si>
  <si>
    <t xml:space="preserve">control transparency</t>
  </si>
  <si>
    <t xml:space="preserve">tooling separation</t>
  </si>
  <si>
    <t xml:space="preserve">acceptance separation</t>
  </si>
  <si>
    <t xml:space="preserve">failure severability</t>
  </si>
  <si>
    <t xml:space="preserve">public interfaces</t>
  </si>
  <si>
    <t xml:space="preserve">bounded integration</t>
  </si>
  <si>
    <t xml:space="preserve">cold return</t>
  </si>
  <si>
    <t xml:space="preserve">Passes</t>
  </si>
  <si>
    <t xml:space="preserve">Eligible</t>
  </si>
  <si>
    <t xml:space="preserve">102-lot severable lattice</t>
  </si>
  <si>
    <t xml:space="preserve">one national EPC prime</t>
  </si>
  <si>
    <t xml:space="preserve">six system primes</t>
  </si>
  <si>
    <t xml:space="preserve">eighteen station primes</t>
  </si>
  <si>
    <t xml:space="preserve">component atomization</t>
  </si>
  <si>
    <t xml:space="preserve">Six severable construction-lot classes</t>
  </si>
  <si>
    <t xml:space="preserve">Public classes exhaust the USD 12.0B reservation. Candidate options remain private and root-specific.</t>
  </si>
  <si>
    <t xml:space="preserve">Code</t>
  </si>
  <si>
    <t xml:space="preserve">Class</t>
  </si>
  <si>
    <t xml:space="preserve">Funding</t>
  </si>
  <si>
    <t xml:space="preserve">Lots</t>
  </si>
  <si>
    <t xml:space="preserve">Authority USD B</t>
  </si>
  <si>
    <t xml:space="preserve">Nature</t>
  </si>
  <si>
    <t xml:space="preserve">Release</t>
  </si>
  <si>
    <t xml:space="preserve">Complete liability</t>
  </si>
  <si>
    <t xml:space="preserve">Per-lot USD B</t>
  </si>
  <si>
    <t xml:space="preserve">Share of wave</t>
  </si>
  <si>
    <t xml:space="preserve">SUB</t>
  </si>
  <si>
    <t xml:space="preserve">Civil substrate</t>
  </si>
  <si>
    <t xml:space="preserve">Public</t>
  </si>
  <si>
    <t xml:space="preserve">nondecisive</t>
  </si>
  <si>
    <t xml:space="preserve">R2</t>
  </si>
  <si>
    <t xml:space="preserve">public boundary control</t>
  </si>
  <si>
    <t xml:space="preserve">RIG</t>
  </si>
  <si>
    <t xml:space="preserve">Root-native rig</t>
  </si>
  <si>
    <t xml:space="preserve">decisive</t>
  </si>
  <si>
    <t xml:space="preserve">R3</t>
  </si>
  <si>
    <t xml:space="preserve">native physical control</t>
  </si>
  <si>
    <t xml:space="preserve">MTH</t>
  </si>
  <si>
    <t xml:space="preserve">Method lineage</t>
  </si>
  <si>
    <t xml:space="preserve">unlike realization</t>
  </si>
  <si>
    <t xml:space="preserve">REG</t>
  </si>
  <si>
    <t xml:space="preserve">Regeneration tool</t>
  </si>
  <si>
    <t xml:space="preserve">outside recovery</t>
  </si>
  <si>
    <t xml:space="preserve">INT</t>
  </si>
  <si>
    <t xml:space="preserve">Station integration</t>
  </si>
  <si>
    <t xml:space="preserve">R4</t>
  </si>
  <si>
    <t xml:space="preserve">public-interface assembly only</t>
  </si>
  <si>
    <t xml:space="preserve">CAN</t>
  </si>
  <si>
    <t xml:space="preserve">Candidate mechanism</t>
  </si>
  <si>
    <t xml:space="preserve">Private option</t>
  </si>
  <si>
    <t xml:space="preserve">selected Root House mechanism</t>
  </si>
  <si>
    <t xml:space="preserve">TOTAL</t>
  </si>
  <si>
    <t xml:space="preserve">six classes</t>
  </si>
  <si>
    <t xml:space="preserve">mixed</t>
  </si>
  <si>
    <t xml:space="preserve">—</t>
  </si>
  <si>
    <t xml:space="preserve">102 separately severable objects</t>
  </si>
  <si>
    <t xml:space="preserve">One hundred two separately severable construction lots</t>
  </si>
  <si>
    <t xml:space="preserve">Identity, supplier, award, obligation, payment, acceptance and capability remain source-empty or zero. A constituted lot is not a contract.</t>
  </si>
  <si>
    <t xml:space="preserve">Lot ID</t>
  </si>
  <si>
    <t xml:space="preserve">System</t>
  </si>
  <si>
    <t xml:space="preserve">Root</t>
  </si>
  <si>
    <t xml:space="preserve">Role</t>
  </si>
  <si>
    <t xml:space="preserve">Station/package</t>
  </si>
  <si>
    <t xml:space="preserve">Lineage</t>
  </si>
  <si>
    <t xml:space="preserve">Control group</t>
  </si>
  <si>
    <t xml:space="preserve">Controller ID</t>
  </si>
  <si>
    <t xml:space="preserve">Supplier ID</t>
  </si>
  <si>
    <t xml:space="preserve">Award</t>
  </si>
  <si>
    <t xml:space="preserve">Obligation USD B</t>
  </si>
  <si>
    <t xml:space="preserve">Payment USD B</t>
  </si>
  <si>
    <t xml:space="preserve">Packets passed</t>
  </si>
  <si>
    <t xml:space="preserve">Gates passed</t>
  </si>
  <si>
    <t xml:space="preserve">Capability credit</t>
  </si>
  <si>
    <t xml:space="preserve">SUB-01</t>
  </si>
  <si>
    <t xml:space="preserve">MULTI</t>
  </si>
  <si>
    <t xml:space="preserve">ROTATED</t>
  </si>
  <si>
    <t xml:space="preserve">ST-ET-CHA · ST-HC-REC · ST-HU-CON</t>
  </si>
  <si>
    <t xml:space="preserve">BOUNDARY</t>
  </si>
  <si>
    <t xml:space="preserve">CG-BND-01</t>
  </si>
  <si>
    <t xml:space="preserve">SOURCE EMPTY</t>
  </si>
  <si>
    <t xml:space="preserve">SUB-02</t>
  </si>
  <si>
    <t xml:space="preserve">ST-CT-CHA · ST-LF-REC · ST-RT-CON</t>
  </si>
  <si>
    <t xml:space="preserve">CG-BND-02</t>
  </si>
  <si>
    <t xml:space="preserve">SUB-03</t>
  </si>
  <si>
    <t xml:space="preserve">ST-ET-CON · ST-HC-CHA · ST-HU-REC</t>
  </si>
  <si>
    <t xml:space="preserve">CG-BND-03</t>
  </si>
  <si>
    <t xml:space="preserve">SUB-04</t>
  </si>
  <si>
    <t xml:space="preserve">ST-CT-CON · ST-LF-CHA · ST-RT-REC</t>
  </si>
  <si>
    <t xml:space="preserve">CG-BND-04</t>
  </si>
  <si>
    <t xml:space="preserve">SUB-05</t>
  </si>
  <si>
    <t xml:space="preserve">ST-ET-REC · ST-HC-CON · ST-HU-CHA</t>
  </si>
  <si>
    <t xml:space="preserve">CG-BND-05</t>
  </si>
  <si>
    <t xml:space="preserve">SUB-06</t>
  </si>
  <si>
    <t xml:space="preserve">ST-CT-REC · ST-LF-CON · ST-RT-CHA</t>
  </si>
  <si>
    <t xml:space="preserve">CG-BND-06</t>
  </si>
  <si>
    <t xml:space="preserve">RIG-ET-CHA</t>
  </si>
  <si>
    <t xml:space="preserve">MS-ET</t>
  </si>
  <si>
    <t xml:space="preserve">ET-A</t>
  </si>
  <si>
    <t xml:space="preserve">CHALLENGE</t>
  </si>
  <si>
    <t xml:space="preserve">ST-ET-CHA</t>
  </si>
  <si>
    <t xml:space="preserve">CG-DEC-RIG-CHA-01</t>
  </si>
  <si>
    <t xml:space="preserve">MTH-ET-CHA-L1</t>
  </si>
  <si>
    <t xml:space="preserve">L1</t>
  </si>
  <si>
    <t xml:space="preserve">CG-DEC-M1-CHA-01</t>
  </si>
  <si>
    <t xml:space="preserve">MTH-ET-CHA-L2</t>
  </si>
  <si>
    <t xml:space="preserve">L2</t>
  </si>
  <si>
    <t xml:space="preserve">CG-DEC-M2-CHA-01</t>
  </si>
  <si>
    <t xml:space="preserve">REG-ET-CHA</t>
  </si>
  <si>
    <t xml:space="preserve">REGEN</t>
  </si>
  <si>
    <t xml:space="preserve">CG-DEC-REG-CHA-01</t>
  </si>
  <si>
    <t xml:space="preserve">INT-ET-CHA</t>
  </si>
  <si>
    <t xml:space="preserve">RIG-ET-CON</t>
  </si>
  <si>
    <t xml:space="preserve">CONTROL</t>
  </si>
  <si>
    <t xml:space="preserve">ST-ET-CON</t>
  </si>
  <si>
    <t xml:space="preserve">CG-DEC-RIG-CON-01</t>
  </si>
  <si>
    <t xml:space="preserve">MTH-ET-CON-L1</t>
  </si>
  <si>
    <t xml:space="preserve">CG-DEC-M1-CON-01</t>
  </si>
  <si>
    <t xml:space="preserve">MTH-ET-CON-L2</t>
  </si>
  <si>
    <t xml:space="preserve">CG-DEC-M2-CON-01</t>
  </si>
  <si>
    <t xml:space="preserve">REG-ET-CON</t>
  </si>
  <si>
    <t xml:space="preserve">CG-DEC-REG-CON-01</t>
  </si>
  <si>
    <t xml:space="preserve">INT-ET-CON</t>
  </si>
  <si>
    <t xml:space="preserve">RIG-ET-REC</t>
  </si>
  <si>
    <t xml:space="preserve">RECONSTRUCTION</t>
  </si>
  <si>
    <t xml:space="preserve">ST-ET-REC</t>
  </si>
  <si>
    <t xml:space="preserve">CG-DEC-RIG-REC-01</t>
  </si>
  <si>
    <t xml:space="preserve">MTH-ET-REC-L1</t>
  </si>
  <si>
    <t xml:space="preserve">CG-DEC-M1-REC-01</t>
  </si>
  <si>
    <t xml:space="preserve">MTH-ET-REC-L2</t>
  </si>
  <si>
    <t xml:space="preserve">CG-DEC-M2-REC-01</t>
  </si>
  <si>
    <t xml:space="preserve">REG-ET-REC</t>
  </si>
  <si>
    <t xml:space="preserve">CG-DEC-REG-REC-01</t>
  </si>
  <si>
    <t xml:space="preserve">INT-ET-REC</t>
  </si>
  <si>
    <t xml:space="preserve">RIG-CT-CHA</t>
  </si>
  <si>
    <t xml:space="preserve">MS-CT</t>
  </si>
  <si>
    <t xml:space="preserve">CT-C</t>
  </si>
  <si>
    <t xml:space="preserve">ST-CT-CHA</t>
  </si>
  <si>
    <t xml:space="preserve">CG-DEC-RIG-CHA-02</t>
  </si>
  <si>
    <t xml:space="preserve">MTH-CT-CHA-L1</t>
  </si>
  <si>
    <t xml:space="preserve">CG-DEC-M1-CHA-02</t>
  </si>
  <si>
    <t xml:space="preserve">MTH-CT-CHA-L2</t>
  </si>
  <si>
    <t xml:space="preserve">CG-DEC-M2-CHA-02</t>
  </si>
  <si>
    <t xml:space="preserve">REG-CT-CHA</t>
  </si>
  <si>
    <t xml:space="preserve">CG-DEC-REG-CHA-02</t>
  </si>
  <si>
    <t xml:space="preserve">INT-CT-CHA</t>
  </si>
  <si>
    <t xml:space="preserve">RIG-CT-CON</t>
  </si>
  <si>
    <t xml:space="preserve">ST-CT-CON</t>
  </si>
  <si>
    <t xml:space="preserve">CG-DEC-RIG-CON-02</t>
  </si>
  <si>
    <t xml:space="preserve">MTH-CT-CON-L1</t>
  </si>
  <si>
    <t xml:space="preserve">CG-DEC-M1-CON-02</t>
  </si>
  <si>
    <t xml:space="preserve">MTH-CT-CON-L2</t>
  </si>
  <si>
    <t xml:space="preserve">CG-DEC-M2-CON-02</t>
  </si>
  <si>
    <t xml:space="preserve">REG-CT-CON</t>
  </si>
  <si>
    <t xml:space="preserve">CG-DEC-REG-CON-02</t>
  </si>
  <si>
    <t xml:space="preserve">INT-CT-CON</t>
  </si>
  <si>
    <t xml:space="preserve">RIG-CT-REC</t>
  </si>
  <si>
    <t xml:space="preserve">ST-CT-REC</t>
  </si>
  <si>
    <t xml:space="preserve">CG-DEC-RIG-REC-02</t>
  </si>
  <si>
    <t xml:space="preserve">MTH-CT-REC-L1</t>
  </si>
  <si>
    <t xml:space="preserve">CG-DEC-M1-REC-02</t>
  </si>
  <si>
    <t xml:space="preserve">MTH-CT-REC-L2</t>
  </si>
  <si>
    <t xml:space="preserve">CG-DEC-M2-REC-02</t>
  </si>
  <si>
    <t xml:space="preserve">REG-CT-REC</t>
  </si>
  <si>
    <t xml:space="preserve">CG-DEC-REG-REC-02</t>
  </si>
  <si>
    <t xml:space="preserve">INT-CT-REC</t>
  </si>
  <si>
    <t xml:space="preserve">RIG-HC-CHA</t>
  </si>
  <si>
    <t xml:space="preserve">MS-HC</t>
  </si>
  <si>
    <t xml:space="preserve">HC-A</t>
  </si>
  <si>
    <t xml:space="preserve">ST-HC-CHA</t>
  </si>
  <si>
    <t xml:space="preserve">CG-DEC-RIG-CHA-03</t>
  </si>
  <si>
    <t xml:space="preserve">MTH-HC-CHA-L1</t>
  </si>
  <si>
    <t xml:space="preserve">CG-DEC-M1-CHA-03</t>
  </si>
  <si>
    <t xml:space="preserve">MTH-HC-CHA-L2</t>
  </si>
  <si>
    <t xml:space="preserve">CG-DEC-M2-CHA-03</t>
  </si>
  <si>
    <t xml:space="preserve">REG-HC-CHA</t>
  </si>
  <si>
    <t xml:space="preserve">CG-DEC-REG-CHA-03</t>
  </si>
  <si>
    <t xml:space="preserve">INT-HC-CHA</t>
  </si>
  <si>
    <t xml:space="preserve">RIG-HC-CON</t>
  </si>
  <si>
    <t xml:space="preserve">ST-HC-CON</t>
  </si>
  <si>
    <t xml:space="preserve">CG-DEC-RIG-CON-03</t>
  </si>
  <si>
    <t xml:space="preserve">MTH-HC-CON-L1</t>
  </si>
  <si>
    <t xml:space="preserve">CG-DEC-M1-CON-03</t>
  </si>
  <si>
    <t xml:space="preserve">MTH-HC-CON-L2</t>
  </si>
  <si>
    <t xml:space="preserve">CG-DEC-M2-CON-03</t>
  </si>
  <si>
    <t xml:space="preserve">REG-HC-CON</t>
  </si>
  <si>
    <t xml:space="preserve">CG-DEC-REG-CON-03</t>
  </si>
  <si>
    <t xml:space="preserve">INT-HC-CON</t>
  </si>
  <si>
    <t xml:space="preserve">RIG-HC-REC</t>
  </si>
  <si>
    <t xml:space="preserve">ST-HC-REC</t>
  </si>
  <si>
    <t xml:space="preserve">CG-DEC-RIG-REC-03</t>
  </si>
  <si>
    <t xml:space="preserve">MTH-HC-REC-L1</t>
  </si>
  <si>
    <t xml:space="preserve">CG-DEC-M1-REC-03</t>
  </si>
  <si>
    <t xml:space="preserve">MTH-HC-REC-L2</t>
  </si>
  <si>
    <t xml:space="preserve">CG-DEC-M2-REC-03</t>
  </si>
  <si>
    <t xml:space="preserve">REG-HC-REC</t>
  </si>
  <si>
    <t xml:space="preserve">CG-DEC-REG-REC-03</t>
  </si>
  <si>
    <t xml:space="preserve">INT-HC-REC</t>
  </si>
  <si>
    <t xml:space="preserve">RIG-LF-CHA</t>
  </si>
  <si>
    <t xml:space="preserve">MS-LF</t>
  </si>
  <si>
    <t xml:space="preserve">LF-B</t>
  </si>
  <si>
    <t xml:space="preserve">ST-LF-CHA</t>
  </si>
  <si>
    <t xml:space="preserve">MTH-LF-CHA-L1</t>
  </si>
  <si>
    <t xml:space="preserve">MTH-LF-CHA-L2</t>
  </si>
  <si>
    <t xml:space="preserve">REG-LF-CHA</t>
  </si>
  <si>
    <t xml:space="preserve">INT-LF-CHA</t>
  </si>
  <si>
    <t xml:space="preserve">RIG-LF-CON</t>
  </si>
  <si>
    <t xml:space="preserve">ST-LF-CON</t>
  </si>
  <si>
    <t xml:space="preserve">MTH-LF-CON-L1</t>
  </si>
  <si>
    <t xml:space="preserve">MTH-LF-CON-L2</t>
  </si>
  <si>
    <t xml:space="preserve">REG-LF-CON</t>
  </si>
  <si>
    <t xml:space="preserve">INT-LF-CON</t>
  </si>
  <si>
    <t xml:space="preserve">RIG-LF-REC</t>
  </si>
  <si>
    <t xml:space="preserve">ST-LF-REC</t>
  </si>
  <si>
    <t xml:space="preserve">MTH-LF-REC-L1</t>
  </si>
  <si>
    <t xml:space="preserve">MTH-LF-REC-L2</t>
  </si>
  <si>
    <t xml:space="preserve">REG-LF-REC</t>
  </si>
  <si>
    <t xml:space="preserve">INT-LF-REC</t>
  </si>
  <si>
    <t xml:space="preserve">RIG-HU-CHA</t>
  </si>
  <si>
    <t xml:space="preserve">MS-HU</t>
  </si>
  <si>
    <t xml:space="preserve">HU-A</t>
  </si>
  <si>
    <t xml:space="preserve">ST-HU-CHA</t>
  </si>
  <si>
    <t xml:space="preserve">MTH-HU-CHA-L1</t>
  </si>
  <si>
    <t xml:space="preserve">MTH-HU-CHA-L2</t>
  </si>
  <si>
    <t xml:space="preserve">REG-HU-CHA</t>
  </si>
  <si>
    <t xml:space="preserve">INT-HU-CHA</t>
  </si>
  <si>
    <t xml:space="preserve">RIG-HU-CON</t>
  </si>
  <si>
    <t xml:space="preserve">ST-HU-CON</t>
  </si>
  <si>
    <t xml:space="preserve">MTH-HU-CON-L1</t>
  </si>
  <si>
    <t xml:space="preserve">MTH-HU-CON-L2</t>
  </si>
  <si>
    <t xml:space="preserve">REG-HU-CON</t>
  </si>
  <si>
    <t xml:space="preserve">INT-HU-CON</t>
  </si>
  <si>
    <t xml:space="preserve">RIG-HU-REC</t>
  </si>
  <si>
    <t xml:space="preserve">ST-HU-REC</t>
  </si>
  <si>
    <t xml:space="preserve">MTH-HU-REC-L1</t>
  </si>
  <si>
    <t xml:space="preserve">MTH-HU-REC-L2</t>
  </si>
  <si>
    <t xml:space="preserve">REG-HU-REC</t>
  </si>
  <si>
    <t xml:space="preserve">INT-HU-REC</t>
  </si>
  <si>
    <t xml:space="preserve">RIG-RT-CHA</t>
  </si>
  <si>
    <t xml:space="preserve">MS-RT</t>
  </si>
  <si>
    <t xml:space="preserve">RT-B</t>
  </si>
  <si>
    <t xml:space="preserve">ST-RT-CHA</t>
  </si>
  <si>
    <t xml:space="preserve">MTH-RT-CHA-L1</t>
  </si>
  <si>
    <t xml:space="preserve">MTH-RT-CHA-L2</t>
  </si>
  <si>
    <t xml:space="preserve">REG-RT-CHA</t>
  </si>
  <si>
    <t xml:space="preserve">INT-RT-CHA</t>
  </si>
  <si>
    <t xml:space="preserve">RIG-RT-CON</t>
  </si>
  <si>
    <t xml:space="preserve">ST-RT-CON</t>
  </si>
  <si>
    <t xml:space="preserve">MTH-RT-CON-L1</t>
  </si>
  <si>
    <t xml:space="preserve">MTH-RT-CON-L2</t>
  </si>
  <si>
    <t xml:space="preserve">REG-RT-CON</t>
  </si>
  <si>
    <t xml:space="preserve">INT-RT-CON</t>
  </si>
  <si>
    <t xml:space="preserve">RIG-RT-REC</t>
  </si>
  <si>
    <t xml:space="preserve">ST-RT-REC</t>
  </si>
  <si>
    <t xml:space="preserve">MTH-RT-REC-L1</t>
  </si>
  <si>
    <t xml:space="preserve">MTH-RT-REC-L2</t>
  </si>
  <si>
    <t xml:space="preserve">REG-RT-REC</t>
  </si>
  <si>
    <t xml:space="preserve">INT-RT-REC</t>
  </si>
  <si>
    <t xml:space="preserve">CAN-ET-A</t>
  </si>
  <si>
    <t xml:space="preserve">SYSTEM</t>
  </si>
  <si>
    <t xml:space="preserve">ET TRUTH TRAIN</t>
  </si>
  <si>
    <t xml:space="preserve">CANDIDATE</t>
  </si>
  <si>
    <t xml:space="preserve">CG-CAN-ET</t>
  </si>
  <si>
    <t xml:space="preserve">CAN-CT-C</t>
  </si>
  <si>
    <t xml:space="preserve">CT TRUTH TRAIN</t>
  </si>
  <si>
    <t xml:space="preserve">CG-CAN-CT</t>
  </si>
  <si>
    <t xml:space="preserve">CAN-HC-A</t>
  </si>
  <si>
    <t xml:space="preserve">HC TRUTH TRAIN</t>
  </si>
  <si>
    <t xml:space="preserve">CG-CAN-HC</t>
  </si>
  <si>
    <t xml:space="preserve">CAN-LF-B</t>
  </si>
  <si>
    <t xml:space="preserve">LF TRUTH TRAIN</t>
  </si>
  <si>
    <t xml:space="preserve">CG-CAN-LF</t>
  </si>
  <si>
    <t xml:space="preserve">CAN-HU-A</t>
  </si>
  <si>
    <t xml:space="preserve">HU TRUTH TRAIN</t>
  </si>
  <si>
    <t xml:space="preserve">CG-CAN-HU</t>
  </si>
  <si>
    <t xml:space="preserve">CAN-RT-B</t>
  </si>
  <si>
    <t xml:space="preserve">RT TRUTH TRAIN</t>
  </si>
  <si>
    <t xml:space="preserve">CG-CAN-RT</t>
  </si>
  <si>
    <t xml:space="preserve">Six balanced civil-substrate packages</t>
  </si>
  <si>
    <t xml:space="preserve">Each substrate lineage touches three distinct systems and one station in each role; no system-role cell repeats.</t>
  </si>
  <si>
    <t xml:space="preserve">Lot</t>
  </si>
  <si>
    <t xml:space="preserve">Stations</t>
  </si>
  <si>
    <t xml:space="preserve">Systems</t>
  </si>
  <si>
    <t xml:space="preserve">Roles</t>
  </si>
  <si>
    <t xml:space="preserve">Station count</t>
  </si>
  <si>
    <t xml:space="preserve">Distinct systems</t>
  </si>
  <si>
    <t xml:space="preserve">Distinct roles</t>
  </si>
  <si>
    <t xml:space="preserve">MS-ET · MS-HC · MS-HU</t>
  </si>
  <si>
    <t xml:space="preserve">CHALLENGE · RECONSTRUCTION · CONTROL</t>
  </si>
  <si>
    <t xml:space="preserve">MS-CT · MS-LF · MS-RT</t>
  </si>
  <si>
    <t xml:space="preserve">CONTROL · CHALLENGE · RECONSTRUCTION</t>
  </si>
  <si>
    <t xml:space="preserve">RECONSTRUCTION · CONTROL · CHALLENGE</t>
  </si>
  <si>
    <t xml:space="preserve">Eighteen station nuclei and their five local lots</t>
  </si>
  <si>
    <t xml:space="preserve">The candidate option is system-level; each station receives five public construction objects and one rotated substrate package.</t>
  </si>
  <si>
    <t xml:space="preserve">Station</t>
  </si>
  <si>
    <t xml:space="preserve">Substrate</t>
  </si>
  <si>
    <t xml:space="preserve">Rig</t>
  </si>
  <si>
    <t xml:space="preserve">Method L1</t>
  </si>
  <si>
    <t xml:space="preserve">Method L2</t>
  </si>
  <si>
    <t xml:space="preserve">Regeneration</t>
  </si>
  <si>
    <t xml:space="preserve">Integration</t>
  </si>
  <si>
    <t xml:space="preserve">Boundary group</t>
  </si>
  <si>
    <t xml:space="preserve">Site</t>
  </si>
  <si>
    <t xml:space="preserve">Forty-eight beneficial-control groups</t>
  </si>
  <si>
    <t xml:space="preserve">Control is tested through beneficial ownership, debt, decisive subcontractors, tooling, keys, calibration and accepting personnel—not prime names.</t>
  </si>
  <si>
    <t xml:space="preserve">Group</t>
  </si>
  <si>
    <t xml:space="preserve">Control class</t>
  </si>
  <si>
    <t xml:space="preserve">Permitted work</t>
  </si>
  <si>
    <t xml:space="preserve">Lot cap</t>
  </si>
  <si>
    <t xml:space="preserve">Assigned lots</t>
  </si>
  <si>
    <t xml:space="preserve">Headroom</t>
  </si>
  <si>
    <t xml:space="preserve">Cap state</t>
  </si>
  <si>
    <t xml:space="preserve">Controller identity</t>
  </si>
  <si>
    <t xml:space="preserve">Cross-class control</t>
  </si>
  <si>
    <t xml:space="preserve">Rule</t>
  </si>
  <si>
    <t xml:space="preserve">Candidate</t>
  </si>
  <si>
    <t xml:space="preserve">private mechanism</t>
  </si>
  <si>
    <t xml:space="preserve">NO</t>
  </si>
  <si>
    <t xml:space="preserve">one Root House; no public lot in system</t>
  </si>
  <si>
    <t xml:space="preserve">Public decisive</t>
  </si>
  <si>
    <t xml:space="preserve">different systems; one class and role</t>
  </si>
  <si>
    <t xml:space="preserve">M1</t>
  </si>
  <si>
    <t xml:space="preserve">M2</t>
  </si>
  <si>
    <t xml:space="preserve">Public boundary</t>
  </si>
  <si>
    <t xml:space="preserve">substrate + integration</t>
  </si>
  <si>
    <t xml:space="preserve">no same-station substrate and integration</t>
  </si>
  <si>
    <t xml:space="preserve">Industrial firewalls that survive nominal subcontracting</t>
  </si>
  <si>
    <t xml:space="preserve">The national slate must pass every rule before any partial award; later corporate transactions reopen the complete slate.</t>
  </si>
  <si>
    <t xml:space="preserve">ID</t>
  </si>
  <si>
    <t xml:space="preserve">Scope</t>
  </si>
  <si>
    <t xml:space="preserve">Test object</t>
  </si>
  <si>
    <t xml:space="preserve">Violation action</t>
  </si>
  <si>
    <t xml:space="preserve">May waiver fix it?</t>
  </si>
  <si>
    <t xml:space="preserve">C01</t>
  </si>
  <si>
    <t xml:space="preserve">candidate</t>
  </si>
  <si>
    <t xml:space="preserve">one beneficial-control group per selected Root House</t>
  </si>
  <si>
    <t xml:space="preserve">owner, debt, keys, tooling</t>
  </si>
  <si>
    <t xml:space="preserve">reject slate</t>
  </si>
  <si>
    <t xml:space="preserve">C02</t>
  </si>
  <si>
    <t xml:space="preserve">candidate/public</t>
  </si>
  <si>
    <t xml:space="preserve">candidate controller holds no public lot in its system</t>
  </si>
  <si>
    <t xml:space="preserve">all controlled affiliates</t>
  </si>
  <si>
    <t xml:space="preserve">C03</t>
  </si>
  <si>
    <t xml:space="preserve">decisive public</t>
  </si>
  <si>
    <t xml:space="preserve">maximum two lots nationally</t>
  </si>
  <si>
    <t xml:space="preserve">beneficial-control group</t>
  </si>
  <si>
    <t xml:space="preserve">reject excess lots</t>
  </si>
  <si>
    <t xml:space="preserve">C04</t>
  </si>
  <si>
    <t xml:space="preserve">no two controlled lots in one system</t>
  </si>
  <si>
    <t xml:space="preserve">system ancestry</t>
  </si>
  <si>
    <t xml:space="preserve">C05</t>
  </si>
  <si>
    <t xml:space="preserve">method</t>
  </si>
  <si>
    <t xml:space="preserve">one controller may not hold both L1 and L2</t>
  </si>
  <si>
    <t xml:space="preserve">method lineage</t>
  </si>
  <si>
    <t xml:space="preserve">C06</t>
  </si>
  <si>
    <t xml:space="preserve">station</t>
  </si>
  <si>
    <t xml:space="preserve">rig and regeneration may not share control</t>
  </si>
  <si>
    <t xml:space="preserve">station ancestry</t>
  </si>
  <si>
    <t xml:space="preserve">C07</t>
  </si>
  <si>
    <t xml:space="preserve">boundary</t>
  </si>
  <si>
    <t xml:space="preserve">substrate and integration at one station may not share control</t>
  </si>
  <si>
    <t xml:space="preserve">station boundary</t>
  </si>
  <si>
    <t xml:space="preserve">C08</t>
  </si>
  <si>
    <t xml:space="preserve">cross-class</t>
  </si>
  <si>
    <t xml:space="preserve">candidate, public decisive and public boundary classes do not cross-control</t>
  </si>
  <si>
    <t xml:space="preserve">complete group map</t>
  </si>
  <si>
    <t xml:space="preserve">C09</t>
  </si>
  <si>
    <t xml:space="preserve">subtier</t>
  </si>
  <si>
    <t xml:space="preserve">decisive subcontractor obeys the prime cap</t>
  </si>
  <si>
    <t xml:space="preserve">subtier control graph</t>
  </si>
  <si>
    <t xml:space="preserve">replace dependency</t>
  </si>
  <si>
    <t xml:space="preserve">C10</t>
  </si>
  <si>
    <t xml:space="preserve">toolchain</t>
  </si>
  <si>
    <t xml:space="preserve">executable compiler, calibration or key that changes outcome is decisive</t>
  </si>
  <si>
    <t xml:space="preserve">artifact ancestry</t>
  </si>
  <si>
    <t xml:space="preserve">split implementation</t>
  </si>
  <si>
    <t xml:space="preserve">C11</t>
  </si>
  <si>
    <t xml:space="preserve">commodity</t>
  </si>
  <si>
    <t xml:space="preserve">common item is allowed only when incapable of changing outcome</t>
  </si>
  <si>
    <t xml:space="preserve">failure and tuning envelope</t>
  </si>
  <si>
    <t xml:space="preserve">reclassify or split</t>
  </si>
  <si>
    <t xml:space="preserve">C12</t>
  </si>
  <si>
    <t xml:space="preserve">acceptance</t>
  </si>
  <si>
    <t xml:space="preserve">builder and integrator sign no acceptance decision on their own lot</t>
  </si>
  <si>
    <t xml:space="preserve">signer graph</t>
  </si>
  <si>
    <t xml:space="preserve">invalidate acceptance</t>
  </si>
  <si>
    <t xml:space="preserve">Thirty-six unlike physical method-lineage lots</t>
  </si>
  <si>
    <t xml:space="preserve">Each lineage realizes all four receiver-state bays at one station. L1 and L2 never share beneficial control, decisive tooling or accepting personnel.</t>
  </si>
  <si>
    <t xml:space="preserve">Receiver-state bays</t>
  </si>
  <si>
    <t xml:space="preserve">Realization identity</t>
  </si>
  <si>
    <t xml:space="preserve">Accepted bays</t>
  </si>
  <si>
    <t xml:space="preserve">Five hundred ten construction-acceptance packet records</t>
  </si>
  <si>
    <t xml:space="preserve">Every lot owes all five packet families. Source identity and acceptance remain empty or zero until a separately warranted physical record exists.</t>
  </si>
  <si>
    <t xml:space="preserve">Packet ID</t>
  </si>
  <si>
    <t xml:space="preserve">Lot class</t>
  </si>
  <si>
    <t xml:space="preserve">Packet family</t>
  </si>
  <si>
    <t xml:space="preserve">Required evidence</t>
  </si>
  <si>
    <t xml:space="preserve">Accepting authority</t>
  </si>
  <si>
    <t xml:space="preserve">Source identity</t>
  </si>
  <si>
    <t xml:space="preserve">Accepted</t>
  </si>
  <si>
    <t xml:space="preserve">CONFIGURATION</t>
  </si>
  <si>
    <t xml:space="preserve">frozen requirement, materials, interfaces and as-built record</t>
  </si>
  <si>
    <t xml:space="preserve">Requirement issuer</t>
  </si>
  <si>
    <t xml:space="preserve">beneficial ownership, decisive ancestry, debt, tooling and key custody</t>
  </si>
  <si>
    <t xml:space="preserve">Control registrar</t>
  </si>
  <si>
    <t xml:space="preserve">METROLOGY</t>
  </si>
  <si>
    <t xml:space="preserve">native commissioning, calibration chain and measurement uncertainty</t>
  </si>
  <si>
    <t xml:space="preserve">Commissioning authority</t>
  </si>
  <si>
    <t xml:space="preserve">SAFETY</t>
  </si>
  <si>
    <t xml:space="preserve">worker, civil-rights, environmental, residual and safe-stop record</t>
  </si>
  <si>
    <t xml:space="preserve">Safety and rights authority</t>
  </si>
  <si>
    <t xml:space="preserve">sealed custody, cold build description and outside-team replay</t>
  </si>
  <si>
    <t xml:space="preserve">Evidence Court</t>
  </si>
  <si>
    <t xml:space="preserve">Seven hundred fourteen noncompensatory construction decisions</t>
  </si>
  <si>
    <t xml:space="preserve">One failed gate holds the lot. A valid adverse candidate result may be payable, but it cannot convert a failed construction gate into completion.</t>
  </si>
  <si>
    <t xml:space="preserve">Decision ID</t>
  </si>
  <si>
    <t xml:space="preserve">Gate</t>
  </si>
  <si>
    <t xml:space="preserve">Name</t>
  </si>
  <si>
    <t xml:space="preserve">Criterion</t>
  </si>
  <si>
    <t xml:space="preserve">Evidence identity</t>
  </si>
  <si>
    <t xml:space="preserve">G1</t>
  </si>
  <si>
    <t xml:space="preserve">IDENTITY</t>
  </si>
  <si>
    <t xml:space="preserve">identity and beneficial control admissible</t>
  </si>
  <si>
    <t xml:space="preserve">G2</t>
  </si>
  <si>
    <t xml:space="preserve">BASELINE</t>
  </si>
  <si>
    <t xml:space="preserve">issue baseline frozen without builder conversion</t>
  </si>
  <si>
    <t xml:space="preserve">G3</t>
  </si>
  <si>
    <t xml:space="preserve">AS-BUILT</t>
  </si>
  <si>
    <t xml:space="preserve">materials, interfaces and as-built state reconcile</t>
  </si>
  <si>
    <t xml:space="preserve">G4</t>
  </si>
  <si>
    <t xml:space="preserve">ISOLATION</t>
  </si>
  <si>
    <t xml:space="preserve">no forbidden common decisive path</t>
  </si>
  <si>
    <t xml:space="preserve">G5</t>
  </si>
  <si>
    <t xml:space="preserve">COMMISSION</t>
  </si>
  <si>
    <t xml:space="preserve">root-native commissioning closes</t>
  </si>
  <si>
    <t xml:space="preserve">G6</t>
  </si>
  <si>
    <t xml:space="preserve">DENIAL</t>
  </si>
  <si>
    <t xml:space="preserve">controlled denial or destructive witness is valid</t>
  </si>
  <si>
    <t xml:space="preserve">G7</t>
  </si>
  <si>
    <t xml:space="preserve">COLD RETURN</t>
  </si>
  <si>
    <t xml:space="preserve">outside team reconstructs accepted state</t>
  </si>
  <si>
    <t xml:space="preserve">Seven-step construction release sequence</t>
  </si>
  <si>
    <t xml:space="preserve">R3 is a compound cohort: no system, station role or method lineage may receive an isolated advantage from early release.</t>
  </si>
  <si>
    <t xml:space="preserve">Step</t>
  </si>
  <si>
    <t xml:space="preserve">Object released</t>
  </si>
  <si>
    <t xml:space="preserve">Entry condition</t>
  </si>
  <si>
    <t xml:space="preserve">Exit product</t>
  </si>
  <si>
    <t xml:space="preserve">Forbidden conversion</t>
  </si>
  <si>
    <t xml:space="preserve">Payment boundary</t>
  </si>
  <si>
    <t xml:space="preserve">Current state</t>
  </si>
  <si>
    <t xml:space="preserve">R0</t>
  </si>
  <si>
    <t xml:space="preserve">CONSTITUTE</t>
  </si>
  <si>
    <t xml:space="preserve">102 empty lot records</t>
  </si>
  <si>
    <t xml:space="preserve">A2C-3 closes</t>
  </si>
  <si>
    <t xml:space="preserve">complete lot grammar</t>
  </si>
  <si>
    <t xml:space="preserve">lot record to award</t>
  </si>
  <si>
    <t xml:space="preserve">CLOSED</t>
  </si>
  <si>
    <t xml:space="preserve">R1</t>
  </si>
  <si>
    <t xml:space="preserve">CONTROL FREEZE</t>
  </si>
  <si>
    <t xml:space="preserve">national control and dependency map</t>
  </si>
  <si>
    <t xml:space="preserve">all identities supplied later</t>
  </si>
  <si>
    <t xml:space="preserve">collision-free national slate</t>
  </si>
  <si>
    <t xml:space="preserve">partial slate to independence</t>
  </si>
  <si>
    <t xml:space="preserve">BOUNDARY BUILD</t>
  </si>
  <si>
    <t xml:space="preserve">six substrate packages</t>
  </si>
  <si>
    <t xml:space="preserve">R1 closed</t>
  </si>
  <si>
    <t xml:space="preserve">accepted nondecisive boundaries</t>
  </si>
  <si>
    <t xml:space="preserve">civil works to technical root</t>
  </si>
  <si>
    <t xml:space="preserve">public FRAME/MAKE</t>
  </si>
  <si>
    <t xml:space="preserve">DECISIVE BUILD</t>
  </si>
  <si>
    <t xml:space="preserve">72 decisive public + 6 private candidate lots</t>
  </si>
  <si>
    <t xml:space="preserve">all six system cohorts issue together</t>
  </si>
  <si>
    <t xml:space="preserve">native as-built objects</t>
  </si>
  <si>
    <t xml:space="preserve">one system or role advances alone</t>
  </si>
  <si>
    <t xml:space="preserve">public/candidate FRAME/MAKE</t>
  </si>
  <si>
    <t xml:space="preserve">INTEGRATE</t>
  </si>
  <si>
    <t xml:space="preserve">eighteen station integration lots</t>
  </si>
  <si>
    <t xml:space="preserve">incoming as-built states accepted</t>
  </si>
  <si>
    <t xml:space="preserve">verified public interfaces</t>
  </si>
  <si>
    <t xml:space="preserve">integration changes native object</t>
  </si>
  <si>
    <t xml:space="preserve">R5</t>
  </si>
  <si>
    <t xml:space="preserve">BREAK</t>
  </si>
  <si>
    <t xml:space="preserve">station and system interlocks</t>
  </si>
  <si>
    <t xml:space="preserve">all construction gates through commission</t>
  </si>
  <si>
    <t xml:space="preserve">valid denial evidence</t>
  </si>
  <si>
    <t xml:space="preserve">favorable result to acceptance</t>
  </si>
  <si>
    <t xml:space="preserve">candidate BREAK only</t>
  </si>
  <si>
    <t xml:space="preserve">R6</t>
  </si>
  <si>
    <t xml:space="preserve">outside reconstruction and regeneration</t>
  </si>
  <si>
    <t xml:space="preserve">valid event and sealed custody</t>
  </si>
  <si>
    <t xml:space="preserve">transferable accepted state</t>
  </si>
  <si>
    <t xml:space="preserve">builder replay to outside reproduction</t>
  </si>
  <si>
    <t xml:space="preserve">TRANSFER</t>
  </si>
  <si>
    <t xml:space="preserve">Payment law and maximum-loss exposure</t>
  </si>
  <si>
    <t xml:space="preserve">Public BREAK is evidentiary and pays zero incremental construction money. Private valid adverse evidence remains payable and binding.</t>
  </si>
  <si>
    <t xml:space="preserve">FRAME %</t>
  </si>
  <si>
    <t xml:space="preserve">MAKE %</t>
  </si>
  <si>
    <t xml:space="preserve">BREAK %</t>
  </si>
  <si>
    <t xml:space="preserve">TRANSFER %</t>
  </si>
  <si>
    <t xml:space="preserve">Through MAKE USD B</t>
  </si>
  <si>
    <t xml:space="preserve">Through BREAK USD B</t>
  </si>
  <si>
    <t xml:space="preserve">Full USD B</t>
  </si>
  <si>
    <t xml:space="preserve">Current obligation</t>
  </si>
  <si>
    <t xml:space="preserve">Current payment</t>
  </si>
  <si>
    <t xml:space="preserve">Outcome</t>
  </si>
  <si>
    <t xml:space="preserve">Paid USD B</t>
  </si>
  <si>
    <t xml:space="preserve">Unreleased USD B</t>
  </si>
  <si>
    <t xml:space="preserve">through MAKE</t>
  </si>
  <si>
    <t xml:space="preserve">maximum exposure before destructive evidence</t>
  </si>
  <si>
    <t xml:space="preserve">all-six valid kill at BREAK</t>
  </si>
  <si>
    <t xml:space="preserve">public construction through MAKE plus candidate through BREAK</t>
  </si>
  <si>
    <t xml:space="preserve">all transfer</t>
  </si>
  <si>
    <t xml:space="preserve">complete accepted transfer</t>
  </si>
  <si>
    <t xml:space="preserve">current</t>
  </si>
  <si>
    <t xml:space="preserve">no artifact accepted</t>
  </si>
  <si>
    <t xml:space="preserve">Six acceptance authorities with nonconvertible signatures</t>
  </si>
  <si>
    <t xml:space="preserve">No builder, station integrator or authority may sign the state it creates. Disagreement holds the lot; it does not escalate to a universal technical superior.</t>
  </si>
  <si>
    <t xml:space="preserve">Owns</t>
  </si>
  <si>
    <t xml:space="preserve">Must receive</t>
  </si>
  <si>
    <t xml:space="preserve">May sign</t>
  </si>
  <si>
    <t xml:space="preserve">Cannot sign or create</t>
  </si>
  <si>
    <t xml:space="preserve">Builder overlap</t>
  </si>
  <si>
    <t xml:space="preserve">public requirement and issue baseline</t>
  </si>
  <si>
    <t xml:space="preserve">enacted service vector</t>
  </si>
  <si>
    <t xml:space="preserve">configuration packet and G2</t>
  </si>
  <si>
    <t xml:space="preserve">physical truth, ownership admissibility or payment</t>
  </si>
  <si>
    <t xml:space="preserve">beneficial-control and dependency graph</t>
  </si>
  <si>
    <t xml:space="preserve">complete ownership, debt, tool and key declarations</t>
  </si>
  <si>
    <t xml:space="preserve">control packet, G1 and G4</t>
  </si>
  <si>
    <t xml:space="preserve">technical performance or favorable disposition</t>
  </si>
  <si>
    <t xml:space="preserve">native metrology and as-built comparison</t>
  </si>
  <si>
    <t xml:space="preserve">sealed calibration and material records</t>
  </si>
  <si>
    <t xml:space="preserve">metrology packet, G3 and G5</t>
  </si>
  <si>
    <t xml:space="preserve">requirement change or evidentiary result</t>
  </si>
  <si>
    <t xml:space="preserve">people, environment, residual and safe stop</t>
  </si>
  <si>
    <t xml:space="preserve">worker, receiver and property protections</t>
  </si>
  <si>
    <t xml:space="preserve">safety packet and work suspension</t>
  </si>
  <si>
    <t xml:space="preserve">candidate completion or effect</t>
  </si>
  <si>
    <t xml:space="preserve">event validity, custody and cold reconstruction</t>
  </si>
  <si>
    <t xml:space="preserve">sealed observations and outside-team record</t>
  </si>
  <si>
    <t xml:space="preserve">reconstruction packet, G6 and G7</t>
  </si>
  <si>
    <t xml:space="preserve">award, obligation or favorable reinterpretation</t>
  </si>
  <si>
    <t xml:space="preserve">Comptroller</t>
  </si>
  <si>
    <t xml:space="preserve">obligation and payment against accepted artifacts</t>
  </si>
  <si>
    <t xml:space="preserve">valid signatures and payment schedule</t>
  </si>
  <si>
    <t xml:space="preserve">fund release only</t>
  </si>
  <si>
    <t xml:space="preserve">technical acceptance, evidence or capability</t>
  </si>
  <si>
    <t xml:space="preserve">First-wave sovereign construction industries</t>
  </si>
  <si>
    <t xml:space="preserve">The analogue of a defense prime is a deep capability house inside one causal domain, not a universal resilience integrator.</t>
  </si>
  <si>
    <t xml:space="preserve">Field</t>
  </si>
  <si>
    <t xml:space="preserve">What must become industrially repeatable</t>
  </si>
  <si>
    <t xml:space="preserve">Why ordinary procurement is insufficient</t>
  </si>
  <si>
    <t xml:space="preserve">Permitted scale</t>
  </si>
  <si>
    <t xml:space="preserve">Forbidden convergence</t>
  </si>
  <si>
    <t xml:space="preserve">First physical customer</t>
  </si>
  <si>
    <t xml:space="preserve">dynamic marine exchange</t>
  </si>
  <si>
    <t xml:space="preserve">moving-load, compliant-interface and dry-custody truth bodies</t>
  </si>
  <si>
    <t xml:space="preserve">a static quay cannot reproduce coupled motion and transfer</t>
  </si>
  <si>
    <t xml:space="preserve">national specialist</t>
  </si>
  <si>
    <t xml:space="preserve">candidate plus truth train</t>
  </si>
  <si>
    <t xml:space="preserve">ET stations</t>
  </si>
  <si>
    <t xml:space="preserve">occupied-building insertion</t>
  </si>
  <si>
    <t xml:space="preserve">sacrificial building sectors, live utility trunks and reversible anchors</t>
  </si>
  <si>
    <t xml:space="preserve">laboratory benches omit occupancy, propagation and egress</t>
  </si>
  <si>
    <t xml:space="preserve">common autonomy stack</t>
  </si>
  <si>
    <t xml:space="preserve">CT stations</t>
  </si>
  <si>
    <t xml:space="preserve">atmospheric source fields</t>
  </si>
  <si>
    <t xml:space="preserve">kilometre-scale heat, plume, ember and deposition corridors</t>
  </si>
  <si>
    <t xml:space="preserve">airframe certification does not prove landscape effect</t>
  </si>
  <si>
    <t xml:space="preserve">common sensing-control root</t>
  </si>
  <si>
    <t xml:space="preserve">HC stations</t>
  </si>
  <si>
    <t xml:space="preserve">heat-water truth bodies</t>
  </si>
  <si>
    <t xml:space="preserve">live subsurface, firm bus, treatment and residual chain</t>
  </si>
  <si>
    <t xml:space="preserve">component tests erase geology and coupled products</t>
  </si>
  <si>
    <t xml:space="preserve">shared source model</t>
  </si>
  <si>
    <t xml:space="preserve">LF stations</t>
  </si>
  <si>
    <t xml:space="preserve">clinical-load synthesis</t>
  </si>
  <si>
    <t xml:space="preserve">complete acuity, utility, staffing, supply and discharge worlds</t>
  </si>
  <si>
    <t xml:space="preserve">bed counts omit metabolism and downstream care</t>
  </si>
  <si>
    <t xml:space="preserve">hospital-brand acceptance</t>
  </si>
  <si>
    <t xml:space="preserve">HU stations</t>
  </si>
  <si>
    <t xml:space="preserve">disconnected metrology</t>
  </si>
  <si>
    <t xml:space="preserve">coupon-to-qualified-part production and portable certification</t>
  </si>
  <si>
    <t xml:space="preserve">factory output does not prove field recertification</t>
  </si>
  <si>
    <t xml:space="preserve">networked trust service</t>
  </si>
  <si>
    <t xml:space="preserve">RT stations</t>
  </si>
  <si>
    <t xml:space="preserve">destructive reconstruction</t>
  </si>
  <si>
    <t xml:space="preserve">teardown, forensic state, rebuild and cold replay</t>
  </si>
  <si>
    <t xml:space="preserve">maintenance contracts optimize return rather than falsification</t>
  </si>
  <si>
    <t xml:space="preserve">cross-system within caps</t>
  </si>
  <si>
    <t xml:space="preserve">candidate-controlled repair</t>
  </si>
  <si>
    <t xml:space="preserve">all stations</t>
  </si>
  <si>
    <t xml:space="preserve">public-boundary integration</t>
  </si>
  <si>
    <t xml:space="preserve">reversible civil interfaces without technical influence</t>
  </si>
  <si>
    <t xml:space="preserve">ordinary EPC practice seeks whole-system optimization</t>
  </si>
  <si>
    <t xml:space="preserve">national boundary house</t>
  </si>
  <si>
    <t xml:space="preserve">decisive control</t>
  </si>
  <si>
    <t xml:space="preserve">Acquisition and control stress cases</t>
  </si>
  <si>
    <t xml:space="preserve">The slate is valid only if it remains separable after corporate change, failure, schedule pressure and destructive physical evidence.</t>
  </si>
  <si>
    <t xml:space="preserve">Disturbance</t>
  </si>
  <si>
    <t xml:space="preserve">Required response</t>
  </si>
  <si>
    <t xml:space="preserve">Disposition</t>
  </si>
  <si>
    <t xml:space="preserve">S01</t>
  </si>
  <si>
    <t xml:space="preserve">one parent acquires two Root Houses</t>
  </si>
  <si>
    <t xml:space="preserve">reopen national slate and divest one</t>
  </si>
  <si>
    <t xml:space="preserve">brands to independence</t>
  </si>
  <si>
    <t xml:space="preserve">REJECT</t>
  </si>
  <si>
    <t xml:space="preserve">PASS</t>
  </si>
  <si>
    <t xml:space="preserve">S02</t>
  </si>
  <si>
    <t xml:space="preserve">decisive controller wins third lot</t>
  </si>
  <si>
    <t xml:space="preserve">award to collision-free alternate</t>
  </si>
  <si>
    <t xml:space="preserve">price to waiver</t>
  </si>
  <si>
    <t xml:space="preserve">S03</t>
  </si>
  <si>
    <t xml:space="preserve">L1 and L2 share calibration compiler</t>
  </si>
  <si>
    <t xml:space="preserve">classify compiler as decisive and split</t>
  </si>
  <si>
    <t xml:space="preserve">software license to plurality</t>
  </si>
  <si>
    <t xml:space="preserve">REBUILD</t>
  </si>
  <si>
    <t xml:space="preserve">S04</t>
  </si>
  <si>
    <t xml:space="preserve">rig and regeneration share debt covenant</t>
  </si>
  <si>
    <t xml:space="preserve">treat as common control</t>
  </si>
  <si>
    <t xml:space="preserve">separate subsidiaries to independence</t>
  </si>
  <si>
    <t xml:space="preserve">S05</t>
  </si>
  <si>
    <t xml:space="preserve">substrate utility conditions candidate input</t>
  </si>
  <si>
    <t xml:space="preserve">reclassify and split utility</t>
  </si>
  <si>
    <t xml:space="preserve">public boundary to technical root</t>
  </si>
  <si>
    <t xml:space="preserve">S06</t>
  </si>
  <si>
    <t xml:space="preserve">integrator changes safeing threshold</t>
  </si>
  <si>
    <t xml:space="preserve">restore native baseline and invalidate work</t>
  </si>
  <si>
    <t xml:space="preserve">interface assembly to design authority</t>
  </si>
  <si>
    <t xml:space="preserve">INVALID</t>
  </si>
  <si>
    <t xml:space="preserve">S07</t>
  </si>
  <si>
    <t xml:space="preserve">one system is ready early</t>
  </si>
  <si>
    <t xml:space="preserve">hold compound R3 release</t>
  </si>
  <si>
    <t xml:space="preserve">schedule to isolated advantage</t>
  </si>
  <si>
    <t xml:space="preserve">HOLD</t>
  </si>
  <si>
    <t xml:space="preserve">S08</t>
  </si>
  <si>
    <t xml:space="preserve">valid candidate failure at BREAK</t>
  </si>
  <si>
    <t xml:space="preserve">pay evidence and bind kill</t>
  </si>
  <si>
    <t xml:space="preserve">failure to nonperformance</t>
  </si>
  <si>
    <t xml:space="preserve">KILL ROOT</t>
  </si>
  <si>
    <t xml:space="preserve">S09</t>
  </si>
  <si>
    <t xml:space="preserve">construction packet is incomplete but test succeeds</t>
  </si>
  <si>
    <t xml:space="preserve">hold lot and event</t>
  </si>
  <si>
    <t xml:space="preserve">outcome to as-built acceptance</t>
  </si>
  <si>
    <t xml:space="preserve">S10</t>
  </si>
  <si>
    <t xml:space="preserve">common accepting office signs three states</t>
  </si>
  <si>
    <t xml:space="preserve">separate signatures and repeat decisions</t>
  </si>
  <si>
    <t xml:space="preserve">administrative efficiency to truth</t>
  </si>
  <si>
    <t xml:space="preserve">S11</t>
  </si>
  <si>
    <t xml:space="preserve">site identity enters solicitation</t>
  </si>
  <si>
    <t xml:space="preserve">return to source-independent site class</t>
  </si>
  <si>
    <t xml:space="preserve">envelope to location</t>
  </si>
  <si>
    <t xml:space="preserve">S12</t>
  </si>
  <si>
    <t xml:space="preserve">firm identity enters lot register</t>
  </si>
  <si>
    <t xml:space="preserve">return to bid-admission predicates</t>
  </si>
  <si>
    <t xml:space="preserve">control slot to winner</t>
  </si>
  <si>
    <t xml:space="preserve">S13</t>
  </si>
  <si>
    <t xml:space="preserve">public works reach MAKE then all candidates die</t>
  </si>
  <si>
    <t xml:space="preserve">retain estate and stop private transfer</t>
  </si>
  <si>
    <t xml:space="preserve">sunk cost to production</t>
  </si>
  <si>
    <t xml:space="preserve">RETURN</t>
  </si>
  <si>
    <t xml:space="preserve">S14</t>
  </si>
  <si>
    <t xml:space="preserve">commodity has tunable decisive behavior</t>
  </si>
  <si>
    <t xml:space="preserve">move it into separated ancestry</t>
  </si>
  <si>
    <t xml:space="preserve">catalog status to nondecisive status</t>
  </si>
  <si>
    <t xml:space="preserve">RECLASSIFY</t>
  </si>
  <si>
    <t xml:space="preserve">S15</t>
  </si>
  <si>
    <t xml:space="preserve">cold team uses builder runtime</t>
  </si>
  <si>
    <t xml:space="preserve">reject G7 and reconstruct independently</t>
  </si>
  <si>
    <t xml:space="preserve">data access to independent reproduction</t>
  </si>
  <si>
    <t xml:space="preserve">S16</t>
  </si>
  <si>
    <t xml:space="preserve">exterior rendering requested</t>
  </si>
  <si>
    <t xml:space="preserve">retain functional envelopes only</t>
  </si>
  <si>
    <t xml:space="preserve">lot constitution to platform form</t>
  </si>
  <si>
    <t xml:space="preserve">Live mutation and restoration log</t>
  </si>
  <si>
    <t xml:space="preserve">Each mutation changes one authoritative control, forces at least one terminal audit to fail, then restores the passing baseline before export.</t>
  </si>
  <si>
    <t xml:space="preserve">Control cell</t>
  </si>
  <si>
    <t xml:space="preserve">Baseline</t>
  </si>
  <si>
    <t xml:space="preserve">Mutated</t>
  </si>
  <si>
    <t xml:space="preserve">Audit failures</t>
  </si>
  <si>
    <t xml:space="preserve">Mutation detected</t>
  </si>
  <si>
    <t xml:space="preserve">Baseline restored</t>
  </si>
  <si>
    <t xml:space="preserve">M01</t>
  </si>
  <si>
    <t xml:space="preserve">Controls!B7</t>
  </si>
  <si>
    <t xml:space="preserve">YES</t>
  </si>
  <si>
    <t xml:space="preserve">M02</t>
  </si>
  <si>
    <t xml:space="preserve">Controls!B8</t>
  </si>
  <si>
    <t xml:space="preserve">M03</t>
  </si>
  <si>
    <t xml:space="preserve">Controls!B9</t>
  </si>
  <si>
    <t xml:space="preserve">M04</t>
  </si>
  <si>
    <t xml:space="preserve">Controls!B10</t>
  </si>
  <si>
    <t xml:space="preserve">M05</t>
  </si>
  <si>
    <t xml:space="preserve">Controls!B11</t>
  </si>
  <si>
    <t xml:space="preserve">M06</t>
  </si>
  <si>
    <t xml:space="preserve">Controls!B12</t>
  </si>
  <si>
    <t xml:space="preserve">M07</t>
  </si>
  <si>
    <t xml:space="preserve">Controls!B13</t>
  </si>
  <si>
    <t xml:space="preserve">M08</t>
  </si>
  <si>
    <t xml:space="preserve">Controls!B14</t>
  </si>
  <si>
    <t xml:space="preserve">M09</t>
  </si>
  <si>
    <t xml:space="preserve">Controls!B15</t>
  </si>
  <si>
    <t xml:space="preserve">M10</t>
  </si>
  <si>
    <t xml:space="preserve">Controls!B16</t>
  </si>
  <si>
    <t xml:space="preserve">M11</t>
  </si>
  <si>
    <t xml:space="preserve">Controls!B17</t>
  </si>
  <si>
    <t xml:space="preserve">M12</t>
  </si>
  <si>
    <t xml:space="preserve">Controls!B18</t>
  </si>
  <si>
    <t xml:space="preserve">M13</t>
  </si>
  <si>
    <t xml:space="preserve">Controls!B19</t>
  </si>
  <si>
    <t xml:space="preserve">M14</t>
  </si>
  <si>
    <t xml:space="preserve">Controls!B20</t>
  </si>
  <si>
    <t xml:space="preserve">M15</t>
  </si>
  <si>
    <t xml:space="preserve">Controls!B21</t>
  </si>
  <si>
    <t xml:space="preserve">M16</t>
  </si>
  <si>
    <t xml:space="preserve">Controls!B22</t>
  </si>
  <si>
    <t xml:space="preserve">M17</t>
  </si>
  <si>
    <t xml:space="preserve">Controls!B27</t>
  </si>
  <si>
    <t xml:space="preserve">M18</t>
  </si>
  <si>
    <t xml:space="preserve">Controls!B28</t>
  </si>
  <si>
    <t xml:space="preserve">Terminal structural and numerical audit</t>
  </si>
  <si>
    <t xml:space="preserve">The audit tests the constituted model. It does not create sites, firms, awards, physical evidence, payment, capability or rendering authority.</t>
  </si>
  <si>
    <t xml:space="preserve">Audit</t>
  </si>
  <si>
    <t xml:space="preserve">Expected</t>
  </si>
  <si>
    <t xml:space="preserve">Difference</t>
  </si>
  <si>
    <t xml:space="preserve">systems</t>
  </si>
  <si>
    <t xml:space="preserve">stations arithmetic</t>
  </si>
  <si>
    <t xml:space="preserve">substrate lots</t>
  </si>
  <si>
    <t xml:space="preserve">rig lots</t>
  </si>
  <si>
    <t xml:space="preserve">method lots</t>
  </si>
  <si>
    <t xml:space="preserve">regeneration lots</t>
  </si>
  <si>
    <t xml:space="preserve">integration lots</t>
  </si>
  <si>
    <t xml:space="preserve">class lots total</t>
  </si>
  <si>
    <t xml:space="preserve">lot register rows</t>
  </si>
  <si>
    <t xml:space="preserve">public lot rows</t>
  </si>
  <si>
    <t xml:space="preserve">private lot rows</t>
  </si>
  <si>
    <t xml:space="preserve">private authority</t>
  </si>
  <si>
    <t xml:space="preserve">class authority total</t>
  </si>
  <si>
    <t xml:space="preserve">lot authority total</t>
  </si>
  <si>
    <t xml:space="preserve">selected architectures</t>
  </si>
  <si>
    <t xml:space="preserve">selected gates</t>
  </si>
  <si>
    <t xml:space="preserve">rejected architectures</t>
  </si>
  <si>
    <t xml:space="preserve">substrate rotation rows</t>
  </si>
  <si>
    <t xml:space="preserve">substrate station assignments</t>
  </si>
  <si>
    <t xml:space="preserve">substrate distinct-system sum</t>
  </si>
  <si>
    <t xml:space="preserve">substrate distinct-role sum</t>
  </si>
  <si>
    <t xml:space="preserve">station crosswalk rows</t>
  </si>
  <si>
    <t xml:space="preserve">method register rows</t>
  </si>
  <si>
    <t xml:space="preserve">method receiver bays</t>
  </si>
  <si>
    <t xml:space="preserve">control-group floor</t>
  </si>
  <si>
    <t xml:space="preserve">control-group rows</t>
  </si>
  <si>
    <t xml:space="preserve">candidate groups</t>
  </si>
  <si>
    <t xml:space="preserve">decisive groups</t>
  </si>
  <si>
    <t xml:space="preserve">boundary groups</t>
  </si>
  <si>
    <t xml:space="preserve">group assigned lots</t>
  </si>
  <si>
    <t xml:space="preserve">group cap failures</t>
  </si>
  <si>
    <t xml:space="preserve">collision rules</t>
  </si>
  <si>
    <t xml:space="preserve">frozen collision rules</t>
  </si>
  <si>
    <t xml:space="preserve">packet arithmetic</t>
  </si>
  <si>
    <t xml:space="preserve">packet rows</t>
  </si>
  <si>
    <t xml:space="preserve">packet source empty</t>
  </si>
  <si>
    <t xml:space="preserve">packet accepted zero</t>
  </si>
  <si>
    <t xml:space="preserve">packet open</t>
  </si>
  <si>
    <t xml:space="preserve">gates per lot</t>
  </si>
  <si>
    <t xml:space="preserve">gate arithmetic</t>
  </si>
  <si>
    <t xml:space="preserve">gate rows</t>
  </si>
  <si>
    <t xml:space="preserve">gate evidence empty</t>
  </si>
  <si>
    <t xml:space="preserve">gate accepted zero</t>
  </si>
  <si>
    <t xml:space="preserve">gate open</t>
  </si>
  <si>
    <t xml:space="preserve">release steps</t>
  </si>
  <si>
    <t xml:space="preserve">held future release steps</t>
  </si>
  <si>
    <t xml:space="preserve">public through MAKE</t>
  </si>
  <si>
    <t xml:space="preserve">candidate through MAKE</t>
  </si>
  <si>
    <t xml:space="preserve">combined through MAKE</t>
  </si>
  <si>
    <t xml:space="preserve">all-six kill paid</t>
  </si>
  <si>
    <t xml:space="preserve">acceptance authorities</t>
  </si>
  <si>
    <t xml:space="preserve">builder overlaps</t>
  </si>
  <si>
    <t xml:space="preserve">industrial fields</t>
  </si>
  <si>
    <t xml:space="preserve">stress tests</t>
  </si>
  <si>
    <t xml:space="preserve">stress passes</t>
  </si>
  <si>
    <t xml:space="preserve">controller identities empty</t>
  </si>
  <si>
    <t xml:space="preserve">supplier identities empty</t>
  </si>
  <si>
    <t xml:space="preserve">awards zero</t>
  </si>
  <si>
    <t xml:space="preserve">obligations zero</t>
  </si>
  <si>
    <t xml:space="preserve">payments zero</t>
  </si>
  <si>
    <t xml:space="preserve">packets passed zero</t>
  </si>
  <si>
    <t xml:space="preserve">gates passed zero</t>
  </si>
  <si>
    <t xml:space="preserve">lot capability zero</t>
  </si>
  <si>
    <t xml:space="preserve">sites zero</t>
  </si>
  <si>
    <t xml:space="preserve">firms zero</t>
  </si>
  <si>
    <t xml:space="preserve">current awards zero</t>
  </si>
  <si>
    <t xml:space="preserve">current obligations zero</t>
  </si>
  <si>
    <t xml:space="preserve">current payments zero</t>
  </si>
  <si>
    <t xml:space="preserve">accepted packets control zero</t>
  </si>
  <si>
    <t xml:space="preserve">accepted gates control zero</t>
  </si>
  <si>
    <t xml:space="preserve">capability control zero</t>
  </si>
  <si>
    <t xml:space="preserve">rendering authority zero</t>
  </si>
  <si>
    <t xml:space="preserve">Internal authorities and model limits</t>
  </si>
  <si>
    <t xml:space="preserve">This model composes authoritative internal design decisions. It does not claim empirical performance for unbuilt systems.</t>
  </si>
  <si>
    <t xml:space="preserve">Source</t>
  </si>
  <si>
    <t xml:space="preserve">Repository artifact</t>
  </si>
  <si>
    <t xml:space="preserve">Access</t>
  </si>
  <si>
    <t xml:space="preserve">Limitation</t>
  </si>
  <si>
    <t xml:space="preserve">federated physical-truth station and rig constitution</t>
  </si>
  <si>
    <t xml:space="preserve">eighteen nuclei, six truth trains, thin substrate and USD 12.0B reserve</t>
  </si>
  <si>
    <t xml:space="preserve">internal repository</t>
  </si>
  <si>
    <t xml:space="preserve">no site, firm or physical observation</t>
  </si>
  <si>
    <t xml:space="preserve">six-root sentinel wave and cancellation constitution</t>
  </si>
  <si>
    <t xml:space="preserve">selected candidates and exact private-option ceilings</t>
  </si>
  <si>
    <t xml:space="preserve">no award or article</t>
  </si>
  <si>
    <t xml:space="preserve">PFP-4</t>
  </si>
  <si>
    <t xml:space="preserve">federated public-method grid</t>
  </si>
  <si>
    <t xml:space="preserve">two unlike lineages and seventy-two method cards</t>
  </si>
  <si>
    <t xml:space="preserve">no accepted realization</t>
  </si>
  <si>
    <t xml:space="preserve">PFP-2</t>
  </si>
  <si>
    <t xml:space="preserve">separated option-and-proof market</t>
  </si>
  <si>
    <t xml:space="preserve">Root House and beneficial-control doctrine</t>
  </si>
  <si>
    <t xml:space="preserve">no implementation identity</t>
  </si>
  <si>
    <t xml:space="preserve">Model boundary</t>
  </si>
  <si>
    <t xml:space="preserve">this workbook</t>
  </si>
  <si>
    <t xml:space="preserve">formula, mutation, rendering and reconciliation checks</t>
  </si>
  <si>
    <t xml:space="preserve">no external sites used</t>
  </si>
  <si>
    <t xml:space="preserve">Evidence boundary</t>
  </si>
  <si>
    <t xml:space="preserve">all physical and contractual records</t>
  </si>
  <si>
    <t xml:space="preserve">deliberate source-empty and zero states</t>
  </si>
  <si>
    <t xml:space="preserve">not available</t>
  </si>
  <si>
    <t xml:space="preserve">design does not imply execution</t>
  </si>
  <si>
    <t xml:space="preserve">Precision boundary</t>
  </si>
  <si>
    <t xml:space="preserve">all reported quantities</t>
  </si>
  <si>
    <t xml:space="preserve">exact arithmetic retained in workbook</t>
  </si>
  <si>
    <t xml:space="preserve">derived</t>
  </si>
  <si>
    <t xml:space="preserve">prose limited to three significant figures</t>
  </si>
  <si>
    <t xml:space="preserve">Rendering boundary</t>
  </si>
  <si>
    <t xml:space="preserve">exterior form</t>
  </si>
  <si>
    <t xml:space="preserve">held until requirements and platform architectures stabilize</t>
  </si>
  <si>
    <t xml:space="preserve">not applicable</t>
  </si>
  <si>
    <t xml:space="preserve">no exterior rendering in this pass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</si>
</sst>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0"/>
    <numFmt numFmtId="166" formatCode="#,##0.000000"/>
    <numFmt numFmtId="167" formatCode="\$0.000"/>
    <numFmt numFmtId="168" formatCode="0.0%"/>
    <numFmt numFmtId="169" formatCode="\$0.000000"/>
    <numFmt numFmtId="170" formatCode="0%"/>
  </numFmts>
  <fonts count="1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7365D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70C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9"/>
      <color rgb="FF000000"/>
      <name val="Arial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FFF2CC"/>
        <bgColor rgb="FFFCE8E6"/>
      </patternFill>
    </fill>
    <fill>
      <patternFill patternType="solid">
        <fgColor rgb="FF0F6B78"/>
        <bgColor rgb="FF008080"/>
      </patternFill>
    </fill>
    <fill>
      <patternFill patternType="solid">
        <fgColor rgb="FFEAF2F8"/>
        <bgColor rgb="FFE2F0D9"/>
      </patternFill>
    </fill>
    <fill>
      <patternFill patternType="solid">
        <fgColor rgb="FFE2F0D9"/>
        <bgColor rgb="FFEAF2F8"/>
      </patternFill>
    </fill>
    <fill>
      <patternFill patternType="solid">
        <fgColor rgb="FFFCE8E6"/>
        <bgColor rgb="FFFFF2CC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7365D"/>
      </bottom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/>
      <right/>
      <top/>
      <bottom style="thin">
        <color rgb="FFD6DFEA"/>
      </bottom>
      <diagonal/>
    </border>
    <border diagonalUp="false" diagonalDown="false">
      <left/>
      <right/>
      <top style="thin">
        <color rgb="FFD6DFEA"/>
      </top>
      <bottom style="thin">
        <color rgb="FFD6DFEA"/>
      </bottom>
      <diagonal/>
    </border>
    <border diagonalUp="false" diagonalDown="false">
      <left/>
      <right/>
      <top style="thin">
        <color rgb="FFD6DFEA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5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5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5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6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7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4" borderId="4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7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CCCCCC"/>
      <rgbColor rgb="FF8B8B8B"/>
      <rgbColor rgb="FF9999FF"/>
      <rgbColor rgb="FF993366"/>
      <rgbColor rgb="FFFFF2CC"/>
      <rgbColor rgb="FFEAF2F8"/>
      <rgbColor rgb="FF660066"/>
      <rgbColor rgb="FFFF8080"/>
      <rgbColor rgb="FF0070C0"/>
      <rgbColor rgb="FFD6DF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CE8E6"/>
      <rgbColor rgb="FF99CCFF"/>
      <rgbColor rgb="FFFF99CC"/>
      <rgbColor rgb="FFCC99FF"/>
      <rgbColor rgb="FFD9D9D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900" b="1" u="none" strike="noStrike">
                <a:solidFill>
                  <a:srgbClr val="000000"/>
                </a:solidFill>
                <a:uFillTx/>
                <a:latin typeface="Arial"/>
                <a:ea typeface="Arial"/>
              </a:rPr>
              <a:t>Authority by severable lot class (USD 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'Lot Classes'!$B$7:$B$12</c:f>
              <c:strCache>
                <c:ptCount val="6"/>
                <c:pt idx="0">
                  <c:v>Civil substrate</c:v>
                </c:pt>
                <c:pt idx="1">
                  <c:v>Root-native rig</c:v>
                </c:pt>
                <c:pt idx="2">
                  <c:v>Method lineage</c:v>
                </c:pt>
                <c:pt idx="3">
                  <c:v>Regeneration tool</c:v>
                </c:pt>
                <c:pt idx="4">
                  <c:v>Station integration</c:v>
                </c:pt>
                <c:pt idx="5">
                  <c:v>Candidate mechanism</c:v>
                </c:pt>
              </c:strCache>
            </c:strRef>
          </c:cat>
          <c:val>
            <c:numRef>
              <c:f>'Lot Classes'!$E$7:$E$12</c:f>
              <c:numCache>
                <c:formatCode>\$0.000</c:formatCode>
                <c:ptCount val="6"/>
                <c:pt idx="0">
                  <c:v>0.72</c:v>
                </c:pt>
                <c:pt idx="1">
                  <c:v>5.7</c:v>
                </c:pt>
                <c:pt idx="2">
                  <c:v>3.24</c:v>
                </c:pt>
                <c:pt idx="3">
                  <c:v>1.2</c:v>
                </c:pt>
                <c:pt idx="4">
                  <c:v>1.14</c:v>
                </c:pt>
                <c:pt idx="5">
                  <c:v>3.58691281932057</c:v>
                </c:pt>
              </c:numCache>
            </c:numRef>
          </c:val>
        </c:ser>
        <c:gapWidth val="150"/>
        <c:overlap val="0"/>
        <c:axId val="44375487"/>
        <c:axId val="66263724"/>
      </c:barChart>
      <c:catAx>
        <c:axId val="4437548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6263724"/>
        <c:crosses val="autoZero"/>
        <c:auto val="1"/>
        <c:lblAlgn val="ctr"/>
        <c:lblOffset val="100"/>
        <c:noMultiLvlLbl val="0"/>
      </c:catAx>
      <c:valAx>
        <c:axId val="66263724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4375487"/>
        <c:crosses val="autoZero"/>
        <c:crossBetween val="between"/>
      </c:valAx>
      <c:spPr>
        <a:ln w="0">
          <a:noFill/>
        </a:ln>
      </c:spPr>
    </c:plotArea>
    <c:plotVisOnly val="1"/>
    <c:dispBlanksAs val="zero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5</xdr:row>
      <xdr:rowOff>0</xdr:rowOff>
    </xdr:from>
    <xdr:to>
      <xdr:col>18</xdr:col>
      <xdr:colOff>611280</xdr:colOff>
      <xdr:row>20</xdr:row>
      <xdr:rowOff>190080</xdr:rowOff>
    </xdr:to>
    <xdr:graphicFrame>
      <xdr:nvGraphicFramePr>
        <xdr:cNvPr id="1" name="Chart"/>
        <xdr:cNvGraphicFramePr/>
      </xdr:nvGraphicFramePr>
      <xdr:xfrm>
        <a:off x="14144760" y="1066680"/>
        <a:ext cx="4891680" cy="325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53"/>
    <col collapsed="false" customWidth="true" hidden="false" outlineLevel="0" max="6" min="6" style="0" width="30"/>
    <col collapsed="false" customWidth="true" hidden="false" outlineLevel="0" max="7" min="7" style="0" width="35"/>
    <col collapsed="false" customWidth="true" hidden="false" outlineLevel="0" max="8" min="8" style="0" width="31"/>
  </cols>
  <sheetData>
    <row r="2" customFormat="false" ht="24" hidden="false" customHeight="true" outlineLevel="0" collapsed="false">
      <c r="A2" s="1" t="s">
        <v>0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3" hidden="false" customHeight="true" outlineLevel="0" collapsed="false">
      <c r="A6" s="5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7" t="s">
        <v>9</v>
      </c>
    </row>
    <row r="7" customFormat="false" ht="15" hidden="false" customHeight="false" outlineLevel="0" collapsed="false">
      <c r="A7" s="8" t="s">
        <v>10</v>
      </c>
      <c r="B7" s="8" t="s">
        <v>11</v>
      </c>
      <c r="C7" s="8" t="s">
        <v>12</v>
      </c>
      <c r="D7" s="8" t="s">
        <v>13</v>
      </c>
      <c r="E7" s="8" t="s">
        <v>14</v>
      </c>
      <c r="F7" s="8" t="s">
        <v>15</v>
      </c>
      <c r="G7" s="8" t="s">
        <v>16</v>
      </c>
      <c r="H7" s="8" t="s">
        <v>17</v>
      </c>
    </row>
    <row r="8" customFormat="false" ht="15" hidden="false" customHeight="false" outlineLevel="0" collapsed="false">
      <c r="A8" s="9" t="s">
        <v>18</v>
      </c>
      <c r="B8" s="10" t="n">
        <v>102</v>
      </c>
      <c r="C8" s="9" t="s">
        <v>19</v>
      </c>
      <c r="D8" s="9" t="s">
        <v>20</v>
      </c>
      <c r="E8" s="9" t="s">
        <v>21</v>
      </c>
      <c r="F8" s="9" t="s">
        <v>22</v>
      </c>
      <c r="G8" s="9" t="s">
        <v>23</v>
      </c>
      <c r="H8" s="9" t="s">
        <v>24</v>
      </c>
    </row>
    <row r="9" customFormat="false" ht="15" hidden="false" customHeight="false" outlineLevel="0" collapsed="false">
      <c r="A9" s="9" t="s">
        <v>25</v>
      </c>
      <c r="B9" s="10" t="n">
        <v>72</v>
      </c>
      <c r="C9" s="9" t="s">
        <v>19</v>
      </c>
      <c r="D9" s="9" t="s">
        <v>20</v>
      </c>
      <c r="E9" s="9" t="s">
        <v>26</v>
      </c>
      <c r="F9" s="9" t="s">
        <v>22</v>
      </c>
      <c r="G9" s="9" t="s">
        <v>27</v>
      </c>
      <c r="H9" s="9" t="s">
        <v>28</v>
      </c>
    </row>
    <row r="10" customFormat="false" ht="15" hidden="false" customHeight="false" outlineLevel="0" collapsed="false">
      <c r="A10" s="9" t="s">
        <v>29</v>
      </c>
      <c r="B10" s="10" t="n">
        <v>24</v>
      </c>
      <c r="C10" s="9" t="s">
        <v>19</v>
      </c>
      <c r="D10" s="9" t="s">
        <v>20</v>
      </c>
      <c r="E10" s="9" t="s">
        <v>30</v>
      </c>
      <c r="F10" s="9" t="s">
        <v>22</v>
      </c>
      <c r="G10" s="9" t="s">
        <v>31</v>
      </c>
      <c r="H10" s="9" t="s">
        <v>32</v>
      </c>
    </row>
    <row r="11" customFormat="false" ht="15" hidden="false" customHeight="false" outlineLevel="0" collapsed="false">
      <c r="A11" s="9" t="s">
        <v>33</v>
      </c>
      <c r="B11" s="10" t="n">
        <v>6</v>
      </c>
      <c r="C11" s="9" t="s">
        <v>19</v>
      </c>
      <c r="D11" s="11" t="s">
        <v>34</v>
      </c>
      <c r="E11" s="9" t="s">
        <v>35</v>
      </c>
      <c r="F11" s="9" t="s">
        <v>36</v>
      </c>
      <c r="G11" s="9" t="s">
        <v>37</v>
      </c>
      <c r="H11" s="9" t="s">
        <v>17</v>
      </c>
    </row>
    <row r="12" customFormat="false" ht="15" hidden="false" customHeight="false" outlineLevel="0" collapsed="false">
      <c r="A12" s="9" t="s">
        <v>38</v>
      </c>
      <c r="B12" s="10" t="n">
        <v>48</v>
      </c>
      <c r="C12" s="9" t="s">
        <v>19</v>
      </c>
      <c r="D12" s="11" t="s">
        <v>39</v>
      </c>
      <c r="E12" s="9" t="s">
        <v>40</v>
      </c>
      <c r="F12" s="9" t="s">
        <v>41</v>
      </c>
      <c r="G12" s="9" t="s">
        <v>42</v>
      </c>
      <c r="H12" s="9" t="s">
        <v>43</v>
      </c>
    </row>
    <row r="13" customFormat="false" ht="15" hidden="false" customHeight="false" outlineLevel="0" collapsed="false">
      <c r="A13" s="9" t="s">
        <v>44</v>
      </c>
      <c r="B13" s="10" t="n">
        <v>510</v>
      </c>
      <c r="C13" s="9" t="s">
        <v>19</v>
      </c>
      <c r="D13" s="11" t="s">
        <v>45</v>
      </c>
      <c r="E13" s="9" t="s">
        <v>46</v>
      </c>
      <c r="F13" s="9" t="s">
        <v>47</v>
      </c>
      <c r="G13" s="9" t="s">
        <v>48</v>
      </c>
      <c r="H13" s="9" t="s">
        <v>49</v>
      </c>
    </row>
    <row r="14" customFormat="false" ht="15" hidden="false" customHeight="false" outlineLevel="0" collapsed="false">
      <c r="A14" s="9" t="s">
        <v>50</v>
      </c>
      <c r="B14" s="10" t="n">
        <v>714</v>
      </c>
      <c r="C14" s="9" t="s">
        <v>19</v>
      </c>
      <c r="D14" s="11" t="s">
        <v>45</v>
      </c>
      <c r="E14" s="9" t="s">
        <v>51</v>
      </c>
      <c r="F14" s="9" t="s">
        <v>47</v>
      </c>
      <c r="G14" s="9" t="s">
        <v>52</v>
      </c>
      <c r="H14" s="9" t="s">
        <v>53</v>
      </c>
    </row>
    <row r="15" customFormat="false" ht="15" hidden="false" customHeight="false" outlineLevel="0" collapsed="false">
      <c r="A15" s="9" t="s">
        <v>54</v>
      </c>
      <c r="B15" s="10" t="n">
        <v>12</v>
      </c>
      <c r="C15" s="9" t="s">
        <v>55</v>
      </c>
      <c r="D15" s="11" t="s">
        <v>56</v>
      </c>
      <c r="E15" s="9" t="s">
        <v>57</v>
      </c>
      <c r="F15" s="9" t="s">
        <v>58</v>
      </c>
      <c r="G15" s="9" t="s">
        <v>59</v>
      </c>
      <c r="H15" s="9" t="s">
        <v>60</v>
      </c>
    </row>
    <row r="16" customFormat="false" ht="15" hidden="false" customHeight="false" outlineLevel="0" collapsed="false">
      <c r="A16" s="9" t="s">
        <v>61</v>
      </c>
      <c r="B16" s="10" t="n">
        <v>3.58691281932057</v>
      </c>
      <c r="C16" s="9" t="s">
        <v>55</v>
      </c>
      <c r="D16" s="11" t="s">
        <v>34</v>
      </c>
      <c r="E16" s="9" t="s">
        <v>62</v>
      </c>
      <c r="F16" s="9" t="s">
        <v>58</v>
      </c>
      <c r="G16" s="9" t="s">
        <v>63</v>
      </c>
      <c r="H16" s="9" t="s">
        <v>64</v>
      </c>
    </row>
    <row r="17" customFormat="false" ht="15" hidden="false" customHeight="false" outlineLevel="0" collapsed="false">
      <c r="A17" s="9" t="s">
        <v>65</v>
      </c>
      <c r="B17" s="10" t="n">
        <v>15.5869128193206</v>
      </c>
      <c r="C17" s="9" t="s">
        <v>55</v>
      </c>
      <c r="D17" s="11" t="s">
        <v>20</v>
      </c>
      <c r="E17" s="9" t="s">
        <v>66</v>
      </c>
      <c r="F17" s="9" t="s">
        <v>58</v>
      </c>
      <c r="G17" s="9" t="s">
        <v>67</v>
      </c>
      <c r="H17" s="9" t="s">
        <v>68</v>
      </c>
    </row>
    <row r="18" customFormat="false" ht="15" hidden="false" customHeight="false" outlineLevel="0" collapsed="false">
      <c r="A18" s="9" t="s">
        <v>69</v>
      </c>
      <c r="B18" s="10" t="n">
        <v>10.7934564096603</v>
      </c>
      <c r="C18" s="9" t="s">
        <v>55</v>
      </c>
      <c r="D18" s="11" t="s">
        <v>70</v>
      </c>
      <c r="E18" s="9" t="s">
        <v>71</v>
      </c>
      <c r="F18" s="9" t="s">
        <v>72</v>
      </c>
      <c r="G18" s="9" t="s">
        <v>73</v>
      </c>
      <c r="H18" s="9" t="s">
        <v>74</v>
      </c>
    </row>
    <row r="19" customFormat="false" ht="15" hidden="false" customHeight="false" outlineLevel="0" collapsed="false">
      <c r="A19" s="9" t="s">
        <v>75</v>
      </c>
      <c r="B19" s="10" t="n">
        <v>3.53803692289809</v>
      </c>
      <c r="C19" s="9" t="s">
        <v>55</v>
      </c>
      <c r="D19" s="11" t="s">
        <v>76</v>
      </c>
      <c r="E19" s="9" t="s">
        <v>77</v>
      </c>
      <c r="F19" s="9" t="s">
        <v>72</v>
      </c>
      <c r="G19" s="9" t="s">
        <v>78</v>
      </c>
      <c r="H19" s="9" t="s">
        <v>79</v>
      </c>
    </row>
    <row r="20" customFormat="false" ht="15" hidden="false" customHeight="false" outlineLevel="0" collapsed="false">
      <c r="A20" s="9" t="s">
        <v>80</v>
      </c>
      <c r="B20" s="10" t="n">
        <v>0</v>
      </c>
      <c r="C20" s="9" t="s">
        <v>19</v>
      </c>
      <c r="D20" s="11" t="s">
        <v>81</v>
      </c>
      <c r="E20" s="9" t="s">
        <v>82</v>
      </c>
      <c r="F20" s="9" t="s">
        <v>83</v>
      </c>
      <c r="G20" s="9" t="s">
        <v>84</v>
      </c>
      <c r="H20" s="9" t="s">
        <v>85</v>
      </c>
    </row>
    <row r="21" customFormat="false" ht="15" hidden="false" customHeight="false" outlineLevel="0" collapsed="false">
      <c r="A21" s="9" t="s">
        <v>86</v>
      </c>
      <c r="B21" s="10" t="n">
        <v>0</v>
      </c>
      <c r="C21" s="9" t="s">
        <v>19</v>
      </c>
      <c r="D21" s="11" t="s">
        <v>81</v>
      </c>
      <c r="E21" s="9" t="s">
        <v>87</v>
      </c>
      <c r="F21" s="9" t="s">
        <v>83</v>
      </c>
      <c r="G21" s="9" t="s">
        <v>88</v>
      </c>
      <c r="H21" s="9" t="s">
        <v>89</v>
      </c>
    </row>
    <row r="22" customFormat="false" ht="15" hidden="false" customHeight="false" outlineLevel="0" collapsed="false">
      <c r="A22" s="12" t="s">
        <v>90</v>
      </c>
      <c r="B22" s="13" t="n">
        <v>0</v>
      </c>
      <c r="C22" s="12" t="s">
        <v>19</v>
      </c>
      <c r="D22" s="14" t="s">
        <v>81</v>
      </c>
      <c r="E22" s="12" t="s">
        <v>91</v>
      </c>
      <c r="F22" s="12" t="s">
        <v>83</v>
      </c>
      <c r="G22" s="12" t="s">
        <v>92</v>
      </c>
      <c r="H22" s="12" t="s">
        <v>93</v>
      </c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23" hidden="false" customHeight="true" outlineLevel="0" collapsed="false">
      <c r="A25" s="15" t="s">
        <v>94</v>
      </c>
      <c r="B25" s="16" t="s">
        <v>95</v>
      </c>
      <c r="C25" s="17" t="s">
        <v>5</v>
      </c>
      <c r="D25" s="4"/>
      <c r="E25" s="4"/>
      <c r="F25" s="4"/>
      <c r="G25" s="4"/>
      <c r="H25" s="4"/>
    </row>
    <row r="26" customFormat="false" ht="15" hidden="false" customHeight="false" outlineLevel="0" collapsed="false">
      <c r="A26" s="8" t="s">
        <v>96</v>
      </c>
      <c r="B26" s="18" t="n">
        <f aca="false">COUNTIF(Alternatives!P7:P11,"SELECT")</f>
        <v>1</v>
      </c>
      <c r="C26" s="18" t="str">
        <f aca="false">IF(ABS(B26-1)&lt;0.000001,"PASS","FAIL")</f>
        <v>PASS</v>
      </c>
      <c r="D26" s="4"/>
      <c r="E26" s="4"/>
      <c r="F26" s="4"/>
      <c r="G26" s="4"/>
      <c r="H26" s="4"/>
    </row>
    <row r="27" customFormat="false" ht="15" hidden="false" customHeight="false" outlineLevel="0" collapsed="false">
      <c r="A27" s="9" t="s">
        <v>97</v>
      </c>
      <c r="B27" s="19" t="n">
        <f aca="false">'Lot Classes'!D13</f>
        <v>102</v>
      </c>
      <c r="C27" s="19" t="str">
        <f aca="false">IF(ABS(B27-102)&lt;0.000001,"PASS","FAIL")</f>
        <v>PASS</v>
      </c>
      <c r="D27" s="4"/>
      <c r="E27" s="4"/>
      <c r="F27" s="4"/>
      <c r="G27" s="4"/>
      <c r="H27" s="4"/>
    </row>
    <row r="28" customFormat="false" ht="15" hidden="false" customHeight="false" outlineLevel="0" collapsed="false">
      <c r="A28" s="9" t="s">
        <v>98</v>
      </c>
      <c r="B28" s="19" t="n">
        <f aca="false">COUNTA('Control Groups'!A7:A54)</f>
        <v>48</v>
      </c>
      <c r="C28" s="19" t="str">
        <f aca="false">IF(ABS(B28-48)&lt;0.000001,"PASS","FAIL")</f>
        <v>PASS</v>
      </c>
      <c r="D28" s="4"/>
      <c r="E28" s="4"/>
      <c r="F28" s="4"/>
      <c r="G28" s="4"/>
      <c r="H28" s="4"/>
    </row>
    <row r="29" customFormat="false" ht="15" hidden="false" customHeight="false" outlineLevel="0" collapsed="false">
      <c r="A29" s="9" t="s">
        <v>99</v>
      </c>
      <c r="B29" s="19" t="n">
        <f aca="false">COUNTA('Acceptance Packets'!A7:A516)</f>
        <v>510</v>
      </c>
      <c r="C29" s="19" t="str">
        <f aca="false">IF(ABS(B29-510)&lt;0.000001,"PASS","FAIL")</f>
        <v>PASS</v>
      </c>
      <c r="D29" s="4"/>
      <c r="E29" s="4"/>
      <c r="F29" s="4"/>
      <c r="G29" s="4"/>
      <c r="H29" s="4"/>
    </row>
    <row r="30" customFormat="false" ht="15" hidden="false" customHeight="false" outlineLevel="0" collapsed="false">
      <c r="A30" s="9" t="s">
        <v>100</v>
      </c>
      <c r="B30" s="19" t="n">
        <f aca="false">COUNTA('Acceptance Gates'!A7:A720)</f>
        <v>714</v>
      </c>
      <c r="C30" s="19" t="str">
        <f aca="false">IF(ABS(B30-714)&lt;0.000001,"PASS","FAIL")</f>
        <v>PASS</v>
      </c>
      <c r="D30" s="4"/>
      <c r="E30" s="4"/>
      <c r="F30" s="4"/>
      <c r="G30" s="4"/>
      <c r="H30" s="4"/>
    </row>
    <row r="31" customFormat="false" ht="15" hidden="false" customHeight="false" outlineLevel="0" collapsed="false">
      <c r="A31" s="9" t="s">
        <v>101</v>
      </c>
      <c r="B31" s="19" t="n">
        <f aca="false">SUM('Lot Classes'!E7:E11)</f>
        <v>12</v>
      </c>
      <c r="C31" s="19" t="str">
        <f aca="false">IF(ABS(B31-12)&lt;0.000001,"PASS","FAIL")</f>
        <v>PASS</v>
      </c>
      <c r="D31" s="4"/>
      <c r="E31" s="4"/>
      <c r="F31" s="4"/>
      <c r="G31" s="4"/>
      <c r="H31" s="4"/>
    </row>
    <row r="32" customFormat="false" ht="15" hidden="false" customHeight="false" outlineLevel="0" collapsed="false">
      <c r="A32" s="9" t="s">
        <v>102</v>
      </c>
      <c r="B32" s="19" t="n">
        <f aca="false">'Lot Classes'!E13</f>
        <v>15.5869128193206</v>
      </c>
      <c r="C32" s="19" t="str">
        <f aca="false">IF(ABS(B32-15.5869128193206)&lt;0.000001,"PASS","FAIL")</f>
        <v>PASS</v>
      </c>
      <c r="D32" s="4"/>
      <c r="E32" s="4"/>
      <c r="F32" s="4"/>
      <c r="G32" s="4"/>
      <c r="H32" s="4"/>
    </row>
    <row r="33" customFormat="false" ht="15" hidden="false" customHeight="false" outlineLevel="0" collapsed="false">
      <c r="A33" s="9" t="s">
        <v>103</v>
      </c>
      <c r="B33" s="19" t="n">
        <f aca="false">COUNTIF(Audit!E7:E86,"FAIL")</f>
        <v>0</v>
      </c>
      <c r="C33" s="19" t="str">
        <f aca="false">IF(ABS(B33-0)&lt;0.000001,"PASS","FAIL")</f>
        <v>PASS</v>
      </c>
      <c r="D33" s="4"/>
      <c r="E33" s="4"/>
      <c r="F33" s="4"/>
      <c r="G33" s="4"/>
      <c r="H33" s="4"/>
    </row>
    <row r="34" customFormat="false" ht="15" hidden="false" customHeight="false" outlineLevel="0" collapsed="false">
      <c r="A34" s="9" t="s">
        <v>104</v>
      </c>
      <c r="B34" s="19" t="n">
        <f aca="false">Controls!B22</f>
        <v>0</v>
      </c>
      <c r="C34" s="19" t="str">
        <f aca="false">IF(ABS(B34-0)&lt;0.000001,"PASS","FAIL")</f>
        <v>PASS</v>
      </c>
      <c r="D34" s="4"/>
      <c r="E34" s="4"/>
      <c r="F34" s="4"/>
      <c r="G34" s="4"/>
      <c r="H34" s="4"/>
    </row>
    <row r="35" customFormat="false" ht="15" hidden="false" customHeight="false" outlineLevel="0" collapsed="false">
      <c r="A35" s="12" t="s">
        <v>90</v>
      </c>
      <c r="B35" s="20" t="n">
        <f aca="false">Controls!B28</f>
        <v>0</v>
      </c>
      <c r="C35" s="20" t="str">
        <f aca="false">IF(ABS(B35-0)&lt;0.000001,"PASS","FAIL")</f>
        <v>PASS</v>
      </c>
      <c r="D35" s="4"/>
      <c r="E35" s="4"/>
      <c r="F35" s="4"/>
      <c r="G35" s="4"/>
      <c r="H35" s="4"/>
    </row>
  </sheetData>
  <mergeCells count="2">
    <mergeCell ref="A2:H2"/>
    <mergeCell ref="A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5" min="5" style="0" width="55"/>
  </cols>
  <sheetData>
    <row r="2" customFormat="false" ht="24" hidden="false" customHeight="true" outlineLevel="0" collapsed="false">
      <c r="A2" s="1" t="s">
        <v>105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106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107</v>
      </c>
      <c r="B6" s="6" t="s">
        <v>108</v>
      </c>
      <c r="C6" s="6" t="s">
        <v>4</v>
      </c>
      <c r="D6" s="6" t="s">
        <v>109</v>
      </c>
      <c r="E6" s="7" t="s">
        <v>110</v>
      </c>
    </row>
    <row r="7" customFormat="false" ht="15" hidden="false" customHeight="false" outlineLevel="0" collapsed="false">
      <c r="A7" s="8" t="s">
        <v>111</v>
      </c>
      <c r="B7" s="21" t="n">
        <v>12</v>
      </c>
      <c r="C7" s="8" t="s">
        <v>55</v>
      </c>
      <c r="D7" s="8" t="s">
        <v>112</v>
      </c>
      <c r="E7" s="8" t="s">
        <v>113</v>
      </c>
    </row>
    <row r="8" customFormat="false" ht="15" hidden="false" customHeight="false" outlineLevel="0" collapsed="false">
      <c r="A8" s="9" t="s">
        <v>114</v>
      </c>
      <c r="B8" s="22" t="n">
        <v>3.58691281932057</v>
      </c>
      <c r="C8" s="9" t="s">
        <v>55</v>
      </c>
      <c r="D8" s="9" t="s">
        <v>115</v>
      </c>
      <c r="E8" s="9" t="s">
        <v>116</v>
      </c>
    </row>
    <row r="9" customFormat="false" ht="15" hidden="false" customHeight="false" outlineLevel="0" collapsed="false">
      <c r="A9" s="9" t="s">
        <v>117</v>
      </c>
      <c r="B9" s="22" t="n">
        <v>6</v>
      </c>
      <c r="C9" s="9" t="s">
        <v>19</v>
      </c>
      <c r="D9" s="9" t="s">
        <v>112</v>
      </c>
      <c r="E9" s="9" t="s">
        <v>118</v>
      </c>
    </row>
    <row r="10" customFormat="false" ht="15" hidden="false" customHeight="false" outlineLevel="0" collapsed="false">
      <c r="A10" s="9" t="s">
        <v>119</v>
      </c>
      <c r="B10" s="22" t="n">
        <v>3</v>
      </c>
      <c r="C10" s="9" t="s">
        <v>19</v>
      </c>
      <c r="D10" s="9" t="s">
        <v>112</v>
      </c>
      <c r="E10" s="9" t="s">
        <v>120</v>
      </c>
    </row>
    <row r="11" customFormat="false" ht="15" hidden="false" customHeight="false" outlineLevel="0" collapsed="false">
      <c r="A11" s="9" t="s">
        <v>121</v>
      </c>
      <c r="B11" s="22" t="n">
        <v>6</v>
      </c>
      <c r="C11" s="9" t="s">
        <v>19</v>
      </c>
      <c r="D11" s="9" t="s">
        <v>122</v>
      </c>
      <c r="E11" s="9" t="s">
        <v>123</v>
      </c>
    </row>
    <row r="12" customFormat="false" ht="15" hidden="false" customHeight="false" outlineLevel="0" collapsed="false">
      <c r="A12" s="9" t="s">
        <v>124</v>
      </c>
      <c r="B12" s="22" t="n">
        <v>18</v>
      </c>
      <c r="C12" s="9" t="s">
        <v>19</v>
      </c>
      <c r="D12" s="9" t="s">
        <v>122</v>
      </c>
      <c r="E12" s="9" t="s">
        <v>125</v>
      </c>
    </row>
    <row r="13" customFormat="false" ht="15" hidden="false" customHeight="false" outlineLevel="0" collapsed="false">
      <c r="A13" s="9" t="s">
        <v>126</v>
      </c>
      <c r="B13" s="22" t="n">
        <v>36</v>
      </c>
      <c r="C13" s="9" t="s">
        <v>19</v>
      </c>
      <c r="D13" s="9" t="s">
        <v>122</v>
      </c>
      <c r="E13" s="9" t="s">
        <v>127</v>
      </c>
    </row>
    <row r="14" customFormat="false" ht="15" hidden="false" customHeight="false" outlineLevel="0" collapsed="false">
      <c r="A14" s="9" t="s">
        <v>128</v>
      </c>
      <c r="B14" s="22" t="n">
        <v>18</v>
      </c>
      <c r="C14" s="9" t="s">
        <v>19</v>
      </c>
      <c r="D14" s="9" t="s">
        <v>122</v>
      </c>
      <c r="E14" s="9" t="s">
        <v>125</v>
      </c>
    </row>
    <row r="15" customFormat="false" ht="15" hidden="false" customHeight="false" outlineLevel="0" collapsed="false">
      <c r="A15" s="9" t="s">
        <v>129</v>
      </c>
      <c r="B15" s="22" t="n">
        <v>18</v>
      </c>
      <c r="C15" s="9" t="s">
        <v>19</v>
      </c>
      <c r="D15" s="9" t="s">
        <v>122</v>
      </c>
      <c r="E15" s="9" t="s">
        <v>130</v>
      </c>
    </row>
    <row r="16" customFormat="false" ht="15" hidden="false" customHeight="false" outlineLevel="0" collapsed="false">
      <c r="A16" s="9" t="s">
        <v>131</v>
      </c>
      <c r="B16" s="22" t="n">
        <v>6</v>
      </c>
      <c r="C16" s="9" t="s">
        <v>19</v>
      </c>
      <c r="D16" s="9" t="s">
        <v>122</v>
      </c>
      <c r="E16" s="9" t="s">
        <v>132</v>
      </c>
    </row>
    <row r="17" customFormat="false" ht="15" hidden="false" customHeight="false" outlineLevel="0" collapsed="false">
      <c r="A17" s="9" t="s">
        <v>38</v>
      </c>
      <c r="B17" s="22" t="n">
        <v>48</v>
      </c>
      <c r="C17" s="9" t="s">
        <v>19</v>
      </c>
      <c r="D17" s="9" t="s">
        <v>122</v>
      </c>
      <c r="E17" s="9" t="s">
        <v>133</v>
      </c>
    </row>
    <row r="18" customFormat="false" ht="15" hidden="false" customHeight="false" outlineLevel="0" collapsed="false">
      <c r="A18" s="9" t="s">
        <v>134</v>
      </c>
      <c r="B18" s="22" t="n">
        <v>5</v>
      </c>
      <c r="C18" s="9" t="s">
        <v>19</v>
      </c>
      <c r="D18" s="9" t="s">
        <v>122</v>
      </c>
      <c r="E18" s="9" t="s">
        <v>135</v>
      </c>
    </row>
    <row r="19" customFormat="false" ht="15" hidden="false" customHeight="false" outlineLevel="0" collapsed="false">
      <c r="A19" s="9" t="s">
        <v>136</v>
      </c>
      <c r="B19" s="22" t="n">
        <v>7</v>
      </c>
      <c r="C19" s="9" t="s">
        <v>19</v>
      </c>
      <c r="D19" s="9" t="s">
        <v>122</v>
      </c>
      <c r="E19" s="9" t="s">
        <v>137</v>
      </c>
    </row>
    <row r="20" customFormat="false" ht="15" hidden="false" customHeight="false" outlineLevel="0" collapsed="false">
      <c r="A20" s="9" t="s">
        <v>138</v>
      </c>
      <c r="B20" s="22" t="n">
        <v>0</v>
      </c>
      <c r="C20" s="9" t="s">
        <v>19</v>
      </c>
      <c r="D20" s="9" t="s">
        <v>122</v>
      </c>
      <c r="E20" s="9" t="s">
        <v>139</v>
      </c>
    </row>
    <row r="21" customFormat="false" ht="15" hidden="false" customHeight="false" outlineLevel="0" collapsed="false">
      <c r="A21" s="9" t="s">
        <v>140</v>
      </c>
      <c r="B21" s="22" t="n">
        <v>0</v>
      </c>
      <c r="C21" s="9" t="s">
        <v>19</v>
      </c>
      <c r="D21" s="9" t="s">
        <v>122</v>
      </c>
      <c r="E21" s="9" t="s">
        <v>139</v>
      </c>
    </row>
    <row r="22" customFormat="false" ht="15" hidden="false" customHeight="false" outlineLevel="0" collapsed="false">
      <c r="A22" s="9" t="s">
        <v>80</v>
      </c>
      <c r="B22" s="22" t="n">
        <v>0</v>
      </c>
      <c r="C22" s="9" t="s">
        <v>19</v>
      </c>
      <c r="D22" s="9" t="s">
        <v>122</v>
      </c>
      <c r="E22" s="9" t="s">
        <v>141</v>
      </c>
    </row>
    <row r="23" customFormat="false" ht="15" hidden="false" customHeight="false" outlineLevel="0" collapsed="false">
      <c r="A23" s="9" t="s">
        <v>142</v>
      </c>
      <c r="B23" s="22" t="n">
        <v>0</v>
      </c>
      <c r="C23" s="9" t="s">
        <v>55</v>
      </c>
      <c r="D23" s="9" t="s">
        <v>122</v>
      </c>
      <c r="E23" s="9" t="s">
        <v>143</v>
      </c>
    </row>
    <row r="24" customFormat="false" ht="15" hidden="false" customHeight="false" outlineLevel="0" collapsed="false">
      <c r="A24" s="9" t="s">
        <v>144</v>
      </c>
      <c r="B24" s="22" t="n">
        <v>0</v>
      </c>
      <c r="C24" s="9" t="s">
        <v>55</v>
      </c>
      <c r="D24" s="9" t="s">
        <v>122</v>
      </c>
      <c r="E24" s="9" t="s">
        <v>145</v>
      </c>
    </row>
    <row r="25" customFormat="false" ht="15" hidden="false" customHeight="false" outlineLevel="0" collapsed="false">
      <c r="A25" s="9" t="s">
        <v>146</v>
      </c>
      <c r="B25" s="22" t="n">
        <v>0</v>
      </c>
      <c r="C25" s="9" t="s">
        <v>19</v>
      </c>
      <c r="D25" s="9" t="s">
        <v>122</v>
      </c>
      <c r="E25" s="9" t="s">
        <v>147</v>
      </c>
    </row>
    <row r="26" customFormat="false" ht="15" hidden="false" customHeight="false" outlineLevel="0" collapsed="false">
      <c r="A26" s="9" t="s">
        <v>148</v>
      </c>
      <c r="B26" s="22" t="n">
        <v>0</v>
      </c>
      <c r="C26" s="9" t="s">
        <v>19</v>
      </c>
      <c r="D26" s="9" t="s">
        <v>122</v>
      </c>
      <c r="E26" s="9" t="s">
        <v>147</v>
      </c>
    </row>
    <row r="27" customFormat="false" ht="15" hidden="false" customHeight="false" outlineLevel="0" collapsed="false">
      <c r="A27" s="9" t="s">
        <v>86</v>
      </c>
      <c r="B27" s="22" t="n">
        <v>0</v>
      </c>
      <c r="C27" s="9" t="s">
        <v>19</v>
      </c>
      <c r="D27" s="9" t="s">
        <v>122</v>
      </c>
      <c r="E27" s="9" t="s">
        <v>149</v>
      </c>
    </row>
    <row r="28" customFormat="false" ht="15" hidden="false" customHeight="false" outlineLevel="0" collapsed="false">
      <c r="A28" s="12" t="s">
        <v>90</v>
      </c>
      <c r="B28" s="23" t="n">
        <v>0</v>
      </c>
      <c r="C28" s="12" t="s">
        <v>19</v>
      </c>
      <c r="D28" s="12" t="s">
        <v>122</v>
      </c>
      <c r="E28" s="12" t="s">
        <v>150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7"/>
    <col collapsed="false" customWidth="true" hidden="false" outlineLevel="0" max="3" min="3" style="0" width="19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9" min="9" style="0" width="21"/>
    <col collapsed="false" customWidth="true" hidden="false" outlineLevel="0" max="10" min="10" style="0" width="19"/>
    <col collapsed="false" customWidth="true" hidden="false" outlineLevel="0" max="12" min="11" style="0" width="18"/>
    <col collapsed="false" customWidth="true" hidden="false" outlineLevel="0" max="13" min="13" style="0" width="16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6" min="16" style="0" width="14"/>
  </cols>
  <sheetData>
    <row r="2" customFormat="false" ht="24" hidden="false" customHeight="true" outlineLevel="0" collapsed="false">
      <c r="A2" s="1" t="s">
        <v>151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3" t="s">
        <v>152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customFormat="false" ht="23" hidden="false" customHeight="true" outlineLevel="0" collapsed="false">
      <c r="A6" s="5" t="s">
        <v>153</v>
      </c>
      <c r="B6" s="6" t="s">
        <v>154</v>
      </c>
      <c r="C6" s="6" t="s">
        <v>155</v>
      </c>
      <c r="D6" s="6" t="s">
        <v>156</v>
      </c>
      <c r="E6" s="6" t="s">
        <v>157</v>
      </c>
      <c r="F6" s="6" t="s">
        <v>158</v>
      </c>
      <c r="G6" s="6" t="s">
        <v>159</v>
      </c>
      <c r="H6" s="6" t="s">
        <v>160</v>
      </c>
      <c r="I6" s="6" t="s">
        <v>161</v>
      </c>
      <c r="J6" s="6" t="s">
        <v>162</v>
      </c>
      <c r="K6" s="6" t="s">
        <v>163</v>
      </c>
      <c r="L6" s="6" t="s">
        <v>164</v>
      </c>
      <c r="M6" s="6" t="s">
        <v>165</v>
      </c>
      <c r="N6" s="6" t="s">
        <v>166</v>
      </c>
      <c r="O6" s="6" t="s">
        <v>167</v>
      </c>
      <c r="P6" s="7" t="s">
        <v>2</v>
      </c>
    </row>
    <row r="7" customFormat="false" ht="15" hidden="false" customHeight="false" outlineLevel="0" collapsed="false">
      <c r="A7" s="8" t="s">
        <v>168</v>
      </c>
      <c r="B7" s="8" t="n">
        <v>1</v>
      </c>
      <c r="C7" s="8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8" t="n">
        <v>1</v>
      </c>
      <c r="I7" s="8" t="n">
        <v>1</v>
      </c>
      <c r="J7" s="8" t="n">
        <v>1</v>
      </c>
      <c r="K7" s="8" t="n">
        <v>1</v>
      </c>
      <c r="L7" s="8" t="n">
        <v>1</v>
      </c>
      <c r="M7" s="8" t="n">
        <v>1</v>
      </c>
      <c r="N7" s="18" t="n">
        <f aca="false">SUM(B7:M7)</f>
        <v>12</v>
      </c>
      <c r="O7" s="24" t="str">
        <f aca="false">IF(N7=12,"YES","NO")</f>
        <v>YES</v>
      </c>
      <c r="P7" s="24" t="str">
        <f aca="false">IF(O7="YES","SELECT","REJECT")</f>
        <v>SELECT</v>
      </c>
    </row>
    <row r="8" customFormat="false" ht="15" hidden="false" customHeight="false" outlineLevel="0" collapsed="false">
      <c r="A8" s="9" t="s">
        <v>169</v>
      </c>
      <c r="B8" s="9" t="n">
        <v>1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1</v>
      </c>
      <c r="L8" s="9" t="n">
        <v>0</v>
      </c>
      <c r="M8" s="9" t="n">
        <v>0</v>
      </c>
      <c r="N8" s="19" t="n">
        <f aca="false">SUM(B8:M8)</f>
        <v>2</v>
      </c>
      <c r="O8" s="25" t="str">
        <f aca="false">IF(N8=12,"YES","NO")</f>
        <v>NO</v>
      </c>
      <c r="P8" s="25" t="str">
        <f aca="false">IF(O8="YES","SELECT","REJECT")</f>
        <v>REJECT</v>
      </c>
    </row>
    <row r="9" customFormat="false" ht="15" hidden="false" customHeight="false" outlineLevel="0" collapsed="false">
      <c r="A9" s="9" t="s">
        <v>170</v>
      </c>
      <c r="B9" s="9" t="n">
        <v>1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1</v>
      </c>
      <c r="H9" s="9" t="n">
        <v>0</v>
      </c>
      <c r="I9" s="9" t="n">
        <v>0</v>
      </c>
      <c r="J9" s="9" t="n">
        <v>0</v>
      </c>
      <c r="K9" s="9" t="n">
        <v>1</v>
      </c>
      <c r="L9" s="9" t="n">
        <v>0</v>
      </c>
      <c r="M9" s="9" t="n">
        <v>0</v>
      </c>
      <c r="N9" s="19" t="n">
        <f aca="false">SUM(B9:M9)</f>
        <v>3</v>
      </c>
      <c r="O9" s="25" t="str">
        <f aca="false">IF(N9=12,"YES","NO")</f>
        <v>NO</v>
      </c>
      <c r="P9" s="25" t="str">
        <f aca="false">IF(O9="YES","SELECT","REJECT")</f>
        <v>REJECT</v>
      </c>
    </row>
    <row r="10" customFormat="false" ht="15" hidden="false" customHeight="false" outlineLevel="0" collapsed="false">
      <c r="A10" s="9" t="s">
        <v>171</v>
      </c>
      <c r="B10" s="9" t="n">
        <v>1</v>
      </c>
      <c r="C10" s="9" t="n">
        <v>1</v>
      </c>
      <c r="D10" s="9" t="n">
        <v>1</v>
      </c>
      <c r="E10" s="9" t="n">
        <v>0</v>
      </c>
      <c r="F10" s="9" t="n">
        <v>0</v>
      </c>
      <c r="G10" s="9" t="n">
        <v>1</v>
      </c>
      <c r="H10" s="9" t="n">
        <v>0</v>
      </c>
      <c r="I10" s="9" t="n">
        <v>0</v>
      </c>
      <c r="J10" s="9" t="n">
        <v>1</v>
      </c>
      <c r="K10" s="9" t="n">
        <v>1</v>
      </c>
      <c r="L10" s="9" t="n">
        <v>0</v>
      </c>
      <c r="M10" s="9" t="n">
        <v>0</v>
      </c>
      <c r="N10" s="19" t="n">
        <f aca="false">SUM(B10:M10)</f>
        <v>6</v>
      </c>
      <c r="O10" s="25" t="str">
        <f aca="false">IF(N10=12,"YES","NO")</f>
        <v>NO</v>
      </c>
      <c r="P10" s="25" t="str">
        <f aca="false">IF(O10="YES","SELECT","REJECT")</f>
        <v>REJECT</v>
      </c>
    </row>
    <row r="11" customFormat="false" ht="15" hidden="false" customHeight="false" outlineLevel="0" collapsed="false">
      <c r="A11" s="12" t="s">
        <v>172</v>
      </c>
      <c r="B11" s="12" t="n">
        <v>0</v>
      </c>
      <c r="C11" s="12" t="n">
        <v>1</v>
      </c>
      <c r="D11" s="12" t="n">
        <v>1</v>
      </c>
      <c r="E11" s="12" t="n">
        <v>1</v>
      </c>
      <c r="F11" s="12" t="n">
        <v>1</v>
      </c>
      <c r="G11" s="12" t="n">
        <v>1</v>
      </c>
      <c r="H11" s="12" t="n">
        <v>1</v>
      </c>
      <c r="I11" s="12" t="n">
        <v>1</v>
      </c>
      <c r="J11" s="12" t="n">
        <v>1</v>
      </c>
      <c r="K11" s="12" t="n">
        <v>1</v>
      </c>
      <c r="L11" s="12" t="n">
        <v>1</v>
      </c>
      <c r="M11" s="12" t="n">
        <v>1</v>
      </c>
      <c r="N11" s="20" t="n">
        <f aca="false">SUM(B11:M11)</f>
        <v>11</v>
      </c>
      <c r="O11" s="26" t="str">
        <f aca="false">IF(N11=12,"YES","NO")</f>
        <v>NO</v>
      </c>
      <c r="P11" s="26" t="str">
        <f aca="false">IF(O11="YES","SELECT","REJECT")</f>
        <v>REJECT</v>
      </c>
    </row>
  </sheetData>
  <mergeCells count="2">
    <mergeCell ref="A2:P2"/>
    <mergeCell ref="A4:P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1"/>
    <col collapsed="false" customWidth="true" hidden="false" outlineLevel="0" max="5" min="5" style="0" width="20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38"/>
    <col collapsed="false" customWidth="true" hidden="false" outlineLevel="0" max="9" min="9" style="0" width="20"/>
    <col collapsed="false" customWidth="true" hidden="false" outlineLevel="0" max="10" min="10" style="0" width="18"/>
  </cols>
  <sheetData>
    <row r="2" customFormat="false" ht="24" hidden="false" customHeight="true" outlineLevel="0" collapsed="false">
      <c r="A2" s="1" t="s">
        <v>173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174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6" customFormat="false" ht="23" hidden="false" customHeight="true" outlineLevel="0" collapsed="false">
      <c r="A6" s="5" t="s">
        <v>175</v>
      </c>
      <c r="B6" s="6" t="s">
        <v>176</v>
      </c>
      <c r="C6" s="6" t="s">
        <v>177</v>
      </c>
      <c r="D6" s="6" t="s">
        <v>178</v>
      </c>
      <c r="E6" s="6" t="s">
        <v>179</v>
      </c>
      <c r="F6" s="6" t="s">
        <v>180</v>
      </c>
      <c r="G6" s="6" t="s">
        <v>181</v>
      </c>
      <c r="H6" s="6" t="s">
        <v>182</v>
      </c>
      <c r="I6" s="6" t="s">
        <v>183</v>
      </c>
      <c r="J6" s="7" t="s">
        <v>184</v>
      </c>
    </row>
    <row r="7" customFormat="false" ht="15" hidden="false" customHeight="false" outlineLevel="0" collapsed="false">
      <c r="A7" s="8" t="s">
        <v>185</v>
      </c>
      <c r="B7" s="8" t="s">
        <v>186</v>
      </c>
      <c r="C7" s="8" t="s">
        <v>187</v>
      </c>
      <c r="D7" s="8" t="n">
        <v>6</v>
      </c>
      <c r="E7" s="27" t="n">
        <v>0.72</v>
      </c>
      <c r="F7" s="8" t="s">
        <v>188</v>
      </c>
      <c r="G7" s="8" t="s">
        <v>189</v>
      </c>
      <c r="H7" s="8" t="s">
        <v>190</v>
      </c>
      <c r="I7" s="28" t="n">
        <f aca="false">E7/D7</f>
        <v>0.12</v>
      </c>
      <c r="J7" s="29" t="n">
        <f aca="false">E7/$E$13</f>
        <v>0.0461925981331937</v>
      </c>
    </row>
    <row r="8" customFormat="false" ht="15" hidden="false" customHeight="false" outlineLevel="0" collapsed="false">
      <c r="A8" s="9" t="s">
        <v>191</v>
      </c>
      <c r="B8" s="9" t="s">
        <v>192</v>
      </c>
      <c r="C8" s="9" t="s">
        <v>187</v>
      </c>
      <c r="D8" s="9" t="n">
        <v>18</v>
      </c>
      <c r="E8" s="30" t="n">
        <v>5.7</v>
      </c>
      <c r="F8" s="9" t="s">
        <v>193</v>
      </c>
      <c r="G8" s="9" t="s">
        <v>194</v>
      </c>
      <c r="H8" s="9" t="s">
        <v>195</v>
      </c>
      <c r="I8" s="31" t="n">
        <f aca="false">E8/D8</f>
        <v>0.316666666666667</v>
      </c>
      <c r="J8" s="32" t="n">
        <f aca="false">E8/$E$13</f>
        <v>0.365691401887783</v>
      </c>
    </row>
    <row r="9" customFormat="false" ht="15" hidden="false" customHeight="false" outlineLevel="0" collapsed="false">
      <c r="A9" s="9" t="s">
        <v>196</v>
      </c>
      <c r="B9" s="9" t="s">
        <v>197</v>
      </c>
      <c r="C9" s="9" t="s">
        <v>187</v>
      </c>
      <c r="D9" s="9" t="n">
        <v>36</v>
      </c>
      <c r="E9" s="30" t="n">
        <v>3.24</v>
      </c>
      <c r="F9" s="9" t="s">
        <v>193</v>
      </c>
      <c r="G9" s="9" t="s">
        <v>194</v>
      </c>
      <c r="H9" s="9" t="s">
        <v>198</v>
      </c>
      <c r="I9" s="31" t="n">
        <f aca="false">E9/D9</f>
        <v>0.09</v>
      </c>
      <c r="J9" s="32" t="n">
        <f aca="false">E9/$E$13</f>
        <v>0.207866691599372</v>
      </c>
    </row>
    <row r="10" customFormat="false" ht="15" hidden="false" customHeight="false" outlineLevel="0" collapsed="false">
      <c r="A10" s="9" t="s">
        <v>199</v>
      </c>
      <c r="B10" s="9" t="s">
        <v>200</v>
      </c>
      <c r="C10" s="9" t="s">
        <v>187</v>
      </c>
      <c r="D10" s="9" t="n">
        <v>18</v>
      </c>
      <c r="E10" s="30" t="n">
        <v>1.2</v>
      </c>
      <c r="F10" s="9" t="s">
        <v>193</v>
      </c>
      <c r="G10" s="9" t="s">
        <v>194</v>
      </c>
      <c r="H10" s="9" t="s">
        <v>201</v>
      </c>
      <c r="I10" s="31" t="n">
        <f aca="false">E10/D10</f>
        <v>0.0666666666666667</v>
      </c>
      <c r="J10" s="32" t="n">
        <f aca="false">E10/$E$13</f>
        <v>0.0769876635553228</v>
      </c>
    </row>
    <row r="11" customFormat="false" ht="15" hidden="false" customHeight="false" outlineLevel="0" collapsed="false">
      <c r="A11" s="9" t="s">
        <v>202</v>
      </c>
      <c r="B11" s="9" t="s">
        <v>203</v>
      </c>
      <c r="C11" s="9" t="s">
        <v>187</v>
      </c>
      <c r="D11" s="9" t="n">
        <v>18</v>
      </c>
      <c r="E11" s="30" t="n">
        <v>1.14</v>
      </c>
      <c r="F11" s="9" t="s">
        <v>188</v>
      </c>
      <c r="G11" s="9" t="s">
        <v>204</v>
      </c>
      <c r="H11" s="9" t="s">
        <v>205</v>
      </c>
      <c r="I11" s="31" t="n">
        <f aca="false">E11/D11</f>
        <v>0.0633333333333333</v>
      </c>
      <c r="J11" s="32" t="n">
        <f aca="false">E11/$E$13</f>
        <v>0.0731382803775567</v>
      </c>
    </row>
    <row r="12" customFormat="false" ht="15" hidden="false" customHeight="false" outlineLevel="0" collapsed="false">
      <c r="A12" s="12" t="s">
        <v>206</v>
      </c>
      <c r="B12" s="12" t="s">
        <v>207</v>
      </c>
      <c r="C12" s="12" t="s">
        <v>208</v>
      </c>
      <c r="D12" s="12" t="n">
        <v>6</v>
      </c>
      <c r="E12" s="33" t="n">
        <v>3.58691281932057</v>
      </c>
      <c r="F12" s="12" t="s">
        <v>193</v>
      </c>
      <c r="G12" s="12" t="s">
        <v>194</v>
      </c>
      <c r="H12" s="12" t="s">
        <v>209</v>
      </c>
      <c r="I12" s="34" t="n">
        <f aca="false">E12/D12</f>
        <v>0.597818803220094</v>
      </c>
      <c r="J12" s="35" t="n">
        <f aca="false">E12/$E$13</f>
        <v>0.230123364446772</v>
      </c>
    </row>
    <row r="13" customFormat="false" ht="23" hidden="false" customHeight="true" outlineLevel="0" collapsed="false">
      <c r="A13" s="15" t="s">
        <v>210</v>
      </c>
      <c r="B13" s="16" t="s">
        <v>211</v>
      </c>
      <c r="C13" s="16" t="s">
        <v>212</v>
      </c>
      <c r="D13" s="36" t="n">
        <f aca="false">SUM(D7:D12)</f>
        <v>102</v>
      </c>
      <c r="E13" s="37" t="n">
        <f aca="false">SUM(E7:E12)</f>
        <v>15.5869128193206</v>
      </c>
      <c r="F13" s="16" t="s">
        <v>213</v>
      </c>
      <c r="G13" s="16" t="s">
        <v>213</v>
      </c>
      <c r="H13" s="16" t="s">
        <v>214</v>
      </c>
      <c r="I13" s="37" t="n">
        <f aca="false">E13/D13</f>
        <v>0.152812870777653</v>
      </c>
      <c r="J13" s="38" t="n">
        <f aca="false">SUM(J7:J12)</f>
        <v>1</v>
      </c>
    </row>
  </sheetData>
  <mergeCells count="2">
    <mergeCell ref="A2:J2"/>
    <mergeCell ref="A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9"/>
    <col collapsed="false" customWidth="true" hidden="false" outlineLevel="0" max="7" min="7" style="0" width="53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24"/>
    <col collapsed="false" customWidth="true" hidden="false" outlineLevel="0" max="13" min="11" style="0" width="20"/>
    <col collapsed="false" customWidth="true" hidden="false" outlineLevel="0" max="14" min="14" style="0" width="11"/>
    <col collapsed="false" customWidth="true" hidden="false" outlineLevel="0" max="15" min="15" style="0" width="20"/>
    <col collapsed="false" customWidth="true" hidden="false" outlineLevel="0" max="16" min="16" style="0" width="18"/>
    <col collapsed="false" customWidth="true" hidden="false" outlineLevel="0" max="17" min="17" style="0" width="17"/>
    <col collapsed="false" customWidth="true" hidden="false" outlineLevel="0" max="18" min="18" style="0" width="15"/>
    <col collapsed="false" customWidth="true" hidden="false" outlineLevel="0" max="19" min="19" style="0" width="19"/>
    <col collapsed="false" customWidth="true" hidden="false" outlineLevel="0" max="20" min="20" style="0" width="17"/>
  </cols>
  <sheetData>
    <row r="2" customFormat="false" ht="24" hidden="false" customHeight="true" outlineLevel="0" collapsed="false">
      <c r="A2" s="1" t="s">
        <v>215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customFormat="false" ht="15" hidden="false" customHeight="false" outlineLevel="0" collapsed="false">
      <c r="A4" s="3" t="s">
        <v>216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23" hidden="false" customHeight="true" outlineLevel="0" collapsed="false">
      <c r="A6" s="5" t="s">
        <v>217</v>
      </c>
      <c r="B6" s="6" t="s">
        <v>176</v>
      </c>
      <c r="C6" s="6" t="s">
        <v>177</v>
      </c>
      <c r="D6" s="6" t="s">
        <v>218</v>
      </c>
      <c r="E6" s="6" t="s">
        <v>219</v>
      </c>
      <c r="F6" s="6" t="s">
        <v>220</v>
      </c>
      <c r="G6" s="6" t="s">
        <v>221</v>
      </c>
      <c r="H6" s="6" t="s">
        <v>222</v>
      </c>
      <c r="I6" s="6" t="s">
        <v>181</v>
      </c>
      <c r="J6" s="6" t="s">
        <v>223</v>
      </c>
      <c r="K6" s="6" t="s">
        <v>179</v>
      </c>
      <c r="L6" s="6" t="s">
        <v>224</v>
      </c>
      <c r="M6" s="6" t="s">
        <v>225</v>
      </c>
      <c r="N6" s="6" t="s">
        <v>226</v>
      </c>
      <c r="O6" s="6" t="s">
        <v>227</v>
      </c>
      <c r="P6" s="6" t="s">
        <v>228</v>
      </c>
      <c r="Q6" s="6" t="s">
        <v>229</v>
      </c>
      <c r="R6" s="6" t="s">
        <v>230</v>
      </c>
      <c r="S6" s="6" t="s">
        <v>231</v>
      </c>
      <c r="T6" s="7" t="s">
        <v>5</v>
      </c>
    </row>
    <row r="7" customFormat="false" ht="15" hidden="false" customHeight="false" outlineLevel="0" collapsed="false">
      <c r="A7" s="8" t="s">
        <v>232</v>
      </c>
      <c r="B7" s="8" t="s">
        <v>186</v>
      </c>
      <c r="C7" s="8" t="s">
        <v>187</v>
      </c>
      <c r="D7" s="8" t="s">
        <v>233</v>
      </c>
      <c r="E7" s="8" t="s">
        <v>213</v>
      </c>
      <c r="F7" s="8" t="s">
        <v>234</v>
      </c>
      <c r="G7" s="8" t="s">
        <v>235</v>
      </c>
      <c r="H7" s="8" t="s">
        <v>236</v>
      </c>
      <c r="I7" s="8" t="s">
        <v>189</v>
      </c>
      <c r="J7" s="8" t="s">
        <v>237</v>
      </c>
      <c r="K7" s="39" t="n">
        <v>0.12</v>
      </c>
      <c r="L7" s="40" t="s">
        <v>238</v>
      </c>
      <c r="M7" s="40" t="s">
        <v>238</v>
      </c>
      <c r="N7" s="40" t="n">
        <v>0</v>
      </c>
      <c r="O7" s="41" t="n">
        <f aca="false">N7*K7</f>
        <v>0</v>
      </c>
      <c r="P7" s="41" t="n">
        <f aca="false">Controls!B24</f>
        <v>0</v>
      </c>
      <c r="Q7" s="18" t="n">
        <f aca="false">Controls!B25</f>
        <v>0</v>
      </c>
      <c r="R7" s="18" t="n">
        <f aca="false">Controls!B26</f>
        <v>0</v>
      </c>
      <c r="S7" s="18" t="n">
        <f aca="false">Controls!B27</f>
        <v>0</v>
      </c>
      <c r="T7" s="18" t="str">
        <f aca="false">IF(N7=0,"CONSTITUTED","AWARDED")</f>
        <v>CONSTITUTED</v>
      </c>
    </row>
    <row r="8" customFormat="false" ht="15" hidden="false" customHeight="false" outlineLevel="0" collapsed="false">
      <c r="A8" s="9" t="s">
        <v>239</v>
      </c>
      <c r="B8" s="9" t="s">
        <v>186</v>
      </c>
      <c r="C8" s="9" t="s">
        <v>187</v>
      </c>
      <c r="D8" s="9" t="s">
        <v>233</v>
      </c>
      <c r="E8" s="9" t="s">
        <v>213</v>
      </c>
      <c r="F8" s="9" t="s">
        <v>234</v>
      </c>
      <c r="G8" s="9" t="s">
        <v>240</v>
      </c>
      <c r="H8" s="9" t="s">
        <v>236</v>
      </c>
      <c r="I8" s="9" t="s">
        <v>189</v>
      </c>
      <c r="J8" s="9" t="s">
        <v>241</v>
      </c>
      <c r="K8" s="42" t="n">
        <v>0.12</v>
      </c>
      <c r="L8" s="11" t="s">
        <v>238</v>
      </c>
      <c r="M8" s="11" t="s">
        <v>238</v>
      </c>
      <c r="N8" s="11" t="n">
        <v>0</v>
      </c>
      <c r="O8" s="43" t="n">
        <f aca="false">N8*K8</f>
        <v>0</v>
      </c>
      <c r="P8" s="43" t="n">
        <f aca="false">Controls!B24</f>
        <v>0</v>
      </c>
      <c r="Q8" s="19" t="n">
        <f aca="false">Controls!B25</f>
        <v>0</v>
      </c>
      <c r="R8" s="19" t="n">
        <f aca="false">Controls!B26</f>
        <v>0</v>
      </c>
      <c r="S8" s="19" t="n">
        <f aca="false">Controls!B27</f>
        <v>0</v>
      </c>
      <c r="T8" s="19" t="str">
        <f aca="false">IF(N8=0,"CONSTITUTED","AWARDED")</f>
        <v>CONSTITUTED</v>
      </c>
    </row>
    <row r="9" customFormat="false" ht="15" hidden="false" customHeight="false" outlineLevel="0" collapsed="false">
      <c r="A9" s="9" t="s">
        <v>242</v>
      </c>
      <c r="B9" s="9" t="s">
        <v>186</v>
      </c>
      <c r="C9" s="9" t="s">
        <v>187</v>
      </c>
      <c r="D9" s="9" t="s">
        <v>233</v>
      </c>
      <c r="E9" s="9" t="s">
        <v>213</v>
      </c>
      <c r="F9" s="9" t="s">
        <v>234</v>
      </c>
      <c r="G9" s="9" t="s">
        <v>243</v>
      </c>
      <c r="H9" s="9" t="s">
        <v>236</v>
      </c>
      <c r="I9" s="9" t="s">
        <v>189</v>
      </c>
      <c r="J9" s="9" t="s">
        <v>244</v>
      </c>
      <c r="K9" s="42" t="n">
        <v>0.12</v>
      </c>
      <c r="L9" s="11" t="s">
        <v>238</v>
      </c>
      <c r="M9" s="11" t="s">
        <v>238</v>
      </c>
      <c r="N9" s="11" t="n">
        <v>0</v>
      </c>
      <c r="O9" s="43" t="n">
        <f aca="false">N9*K9</f>
        <v>0</v>
      </c>
      <c r="P9" s="43" t="n">
        <f aca="false">Controls!B24</f>
        <v>0</v>
      </c>
      <c r="Q9" s="19" t="n">
        <f aca="false">Controls!B25</f>
        <v>0</v>
      </c>
      <c r="R9" s="19" t="n">
        <f aca="false">Controls!B26</f>
        <v>0</v>
      </c>
      <c r="S9" s="19" t="n">
        <f aca="false">Controls!B27</f>
        <v>0</v>
      </c>
      <c r="T9" s="19" t="str">
        <f aca="false">IF(N9=0,"CONSTITUTED","AWARDED")</f>
        <v>CONSTITUTED</v>
      </c>
    </row>
    <row r="10" customFormat="false" ht="15" hidden="false" customHeight="false" outlineLevel="0" collapsed="false">
      <c r="A10" s="9" t="s">
        <v>245</v>
      </c>
      <c r="B10" s="9" t="s">
        <v>186</v>
      </c>
      <c r="C10" s="9" t="s">
        <v>187</v>
      </c>
      <c r="D10" s="9" t="s">
        <v>233</v>
      </c>
      <c r="E10" s="9" t="s">
        <v>213</v>
      </c>
      <c r="F10" s="9" t="s">
        <v>234</v>
      </c>
      <c r="G10" s="9" t="s">
        <v>246</v>
      </c>
      <c r="H10" s="9" t="s">
        <v>236</v>
      </c>
      <c r="I10" s="9" t="s">
        <v>189</v>
      </c>
      <c r="J10" s="9" t="s">
        <v>247</v>
      </c>
      <c r="K10" s="42" t="n">
        <v>0.12</v>
      </c>
      <c r="L10" s="11" t="s">
        <v>238</v>
      </c>
      <c r="M10" s="11" t="s">
        <v>238</v>
      </c>
      <c r="N10" s="11" t="n">
        <v>0</v>
      </c>
      <c r="O10" s="43" t="n">
        <f aca="false">N10*K10</f>
        <v>0</v>
      </c>
      <c r="P10" s="43" t="n">
        <f aca="false">Controls!B24</f>
        <v>0</v>
      </c>
      <c r="Q10" s="19" t="n">
        <f aca="false">Controls!B25</f>
        <v>0</v>
      </c>
      <c r="R10" s="19" t="n">
        <f aca="false">Controls!B26</f>
        <v>0</v>
      </c>
      <c r="S10" s="19" t="n">
        <f aca="false">Controls!B27</f>
        <v>0</v>
      </c>
      <c r="T10" s="19" t="str">
        <f aca="false">IF(N10=0,"CONSTITUTED","AWARDED")</f>
        <v>CONSTITUTED</v>
      </c>
    </row>
    <row r="11" customFormat="false" ht="15" hidden="false" customHeight="false" outlineLevel="0" collapsed="false">
      <c r="A11" s="9" t="s">
        <v>248</v>
      </c>
      <c r="B11" s="9" t="s">
        <v>186</v>
      </c>
      <c r="C11" s="9" t="s">
        <v>187</v>
      </c>
      <c r="D11" s="9" t="s">
        <v>233</v>
      </c>
      <c r="E11" s="9" t="s">
        <v>213</v>
      </c>
      <c r="F11" s="9" t="s">
        <v>234</v>
      </c>
      <c r="G11" s="9" t="s">
        <v>249</v>
      </c>
      <c r="H11" s="9" t="s">
        <v>236</v>
      </c>
      <c r="I11" s="9" t="s">
        <v>189</v>
      </c>
      <c r="J11" s="9" t="s">
        <v>250</v>
      </c>
      <c r="K11" s="42" t="n">
        <v>0.12</v>
      </c>
      <c r="L11" s="11" t="s">
        <v>238</v>
      </c>
      <c r="M11" s="11" t="s">
        <v>238</v>
      </c>
      <c r="N11" s="11" t="n">
        <v>0</v>
      </c>
      <c r="O11" s="43" t="n">
        <f aca="false">N11*K11</f>
        <v>0</v>
      </c>
      <c r="P11" s="43" t="n">
        <f aca="false">Controls!B24</f>
        <v>0</v>
      </c>
      <c r="Q11" s="19" t="n">
        <f aca="false">Controls!B25</f>
        <v>0</v>
      </c>
      <c r="R11" s="19" t="n">
        <f aca="false">Controls!B26</f>
        <v>0</v>
      </c>
      <c r="S11" s="19" t="n">
        <f aca="false">Controls!B27</f>
        <v>0</v>
      </c>
      <c r="T11" s="19" t="str">
        <f aca="false">IF(N11=0,"CONSTITUTED","AWARDED")</f>
        <v>CONSTITUTED</v>
      </c>
    </row>
    <row r="12" customFormat="false" ht="15" hidden="false" customHeight="false" outlineLevel="0" collapsed="false">
      <c r="A12" s="9" t="s">
        <v>251</v>
      </c>
      <c r="B12" s="9" t="s">
        <v>186</v>
      </c>
      <c r="C12" s="9" t="s">
        <v>187</v>
      </c>
      <c r="D12" s="9" t="s">
        <v>233</v>
      </c>
      <c r="E12" s="9" t="s">
        <v>213</v>
      </c>
      <c r="F12" s="9" t="s">
        <v>234</v>
      </c>
      <c r="G12" s="9" t="s">
        <v>252</v>
      </c>
      <c r="H12" s="9" t="s">
        <v>236</v>
      </c>
      <c r="I12" s="9" t="s">
        <v>189</v>
      </c>
      <c r="J12" s="9" t="s">
        <v>253</v>
      </c>
      <c r="K12" s="42" t="n">
        <v>0.12</v>
      </c>
      <c r="L12" s="11" t="s">
        <v>238</v>
      </c>
      <c r="M12" s="11" t="s">
        <v>238</v>
      </c>
      <c r="N12" s="11" t="n">
        <v>0</v>
      </c>
      <c r="O12" s="43" t="n">
        <f aca="false">N12*K12</f>
        <v>0</v>
      </c>
      <c r="P12" s="43" t="n">
        <f aca="false">Controls!B24</f>
        <v>0</v>
      </c>
      <c r="Q12" s="19" t="n">
        <f aca="false">Controls!B25</f>
        <v>0</v>
      </c>
      <c r="R12" s="19" t="n">
        <f aca="false">Controls!B26</f>
        <v>0</v>
      </c>
      <c r="S12" s="19" t="n">
        <f aca="false">Controls!B27</f>
        <v>0</v>
      </c>
      <c r="T12" s="19" t="str">
        <f aca="false">IF(N12=0,"CONSTITUTED","AWARDED")</f>
        <v>CONSTITUTED</v>
      </c>
    </row>
    <row r="13" customFormat="false" ht="15" hidden="false" customHeight="false" outlineLevel="0" collapsed="false">
      <c r="A13" s="9" t="s">
        <v>254</v>
      </c>
      <c r="B13" s="9" t="s">
        <v>192</v>
      </c>
      <c r="C13" s="9" t="s">
        <v>187</v>
      </c>
      <c r="D13" s="9" t="s">
        <v>255</v>
      </c>
      <c r="E13" s="9" t="s">
        <v>256</v>
      </c>
      <c r="F13" s="9" t="s">
        <v>257</v>
      </c>
      <c r="G13" s="9" t="s">
        <v>258</v>
      </c>
      <c r="H13" s="9" t="s">
        <v>191</v>
      </c>
      <c r="I13" s="9" t="s">
        <v>194</v>
      </c>
      <c r="J13" s="9" t="s">
        <v>259</v>
      </c>
      <c r="K13" s="42" t="n">
        <v>0.316666666666667</v>
      </c>
      <c r="L13" s="11" t="s">
        <v>238</v>
      </c>
      <c r="M13" s="11" t="s">
        <v>238</v>
      </c>
      <c r="N13" s="11" t="n">
        <v>0</v>
      </c>
      <c r="O13" s="43" t="n">
        <f aca="false">N13*K13</f>
        <v>0</v>
      </c>
      <c r="P13" s="43" t="n">
        <f aca="false">Controls!B24</f>
        <v>0</v>
      </c>
      <c r="Q13" s="19" t="n">
        <f aca="false">Controls!B25</f>
        <v>0</v>
      </c>
      <c r="R13" s="19" t="n">
        <f aca="false">Controls!B26</f>
        <v>0</v>
      </c>
      <c r="S13" s="19" t="n">
        <f aca="false">Controls!B27</f>
        <v>0</v>
      </c>
      <c r="T13" s="19" t="str">
        <f aca="false">IF(N13=0,"CONSTITUTED","AWARDED")</f>
        <v>CONSTITUTED</v>
      </c>
    </row>
    <row r="14" customFormat="false" ht="15" hidden="false" customHeight="false" outlineLevel="0" collapsed="false">
      <c r="A14" s="9" t="s">
        <v>260</v>
      </c>
      <c r="B14" s="9" t="s">
        <v>197</v>
      </c>
      <c r="C14" s="9" t="s">
        <v>187</v>
      </c>
      <c r="D14" s="9" t="s">
        <v>255</v>
      </c>
      <c r="E14" s="9" t="s">
        <v>256</v>
      </c>
      <c r="F14" s="9" t="s">
        <v>257</v>
      </c>
      <c r="G14" s="9" t="s">
        <v>258</v>
      </c>
      <c r="H14" s="9" t="s">
        <v>261</v>
      </c>
      <c r="I14" s="9" t="s">
        <v>194</v>
      </c>
      <c r="J14" s="9" t="s">
        <v>262</v>
      </c>
      <c r="K14" s="42" t="n">
        <v>0.09</v>
      </c>
      <c r="L14" s="11" t="s">
        <v>238</v>
      </c>
      <c r="M14" s="11" t="s">
        <v>238</v>
      </c>
      <c r="N14" s="11" t="n">
        <v>0</v>
      </c>
      <c r="O14" s="43" t="n">
        <f aca="false">N14*K14</f>
        <v>0</v>
      </c>
      <c r="P14" s="43" t="n">
        <f aca="false">Controls!B24</f>
        <v>0</v>
      </c>
      <c r="Q14" s="19" t="n">
        <f aca="false">Controls!B25</f>
        <v>0</v>
      </c>
      <c r="R14" s="19" t="n">
        <f aca="false">Controls!B26</f>
        <v>0</v>
      </c>
      <c r="S14" s="19" t="n">
        <f aca="false">Controls!B27</f>
        <v>0</v>
      </c>
      <c r="T14" s="19" t="str">
        <f aca="false">IF(N14=0,"CONSTITUTED","AWARDED")</f>
        <v>CONSTITUTED</v>
      </c>
    </row>
    <row r="15" customFormat="false" ht="15" hidden="false" customHeight="false" outlineLevel="0" collapsed="false">
      <c r="A15" s="9" t="s">
        <v>263</v>
      </c>
      <c r="B15" s="9" t="s">
        <v>197</v>
      </c>
      <c r="C15" s="9" t="s">
        <v>187</v>
      </c>
      <c r="D15" s="9" t="s">
        <v>255</v>
      </c>
      <c r="E15" s="9" t="s">
        <v>256</v>
      </c>
      <c r="F15" s="9" t="s">
        <v>257</v>
      </c>
      <c r="G15" s="9" t="s">
        <v>258</v>
      </c>
      <c r="H15" s="9" t="s">
        <v>264</v>
      </c>
      <c r="I15" s="9" t="s">
        <v>194</v>
      </c>
      <c r="J15" s="9" t="s">
        <v>265</v>
      </c>
      <c r="K15" s="42" t="n">
        <v>0.09</v>
      </c>
      <c r="L15" s="11" t="s">
        <v>238</v>
      </c>
      <c r="M15" s="11" t="s">
        <v>238</v>
      </c>
      <c r="N15" s="11" t="n">
        <v>0</v>
      </c>
      <c r="O15" s="43" t="n">
        <f aca="false">N15*K15</f>
        <v>0</v>
      </c>
      <c r="P15" s="43" t="n">
        <f aca="false">Controls!B24</f>
        <v>0</v>
      </c>
      <c r="Q15" s="19" t="n">
        <f aca="false">Controls!B25</f>
        <v>0</v>
      </c>
      <c r="R15" s="19" t="n">
        <f aca="false">Controls!B26</f>
        <v>0</v>
      </c>
      <c r="S15" s="19" t="n">
        <f aca="false">Controls!B27</f>
        <v>0</v>
      </c>
      <c r="T15" s="19" t="str">
        <f aca="false">IF(N15=0,"CONSTITUTED","AWARDED")</f>
        <v>CONSTITUTED</v>
      </c>
    </row>
    <row r="16" customFormat="false" ht="15" hidden="false" customHeight="false" outlineLevel="0" collapsed="false">
      <c r="A16" s="9" t="s">
        <v>266</v>
      </c>
      <c r="B16" s="9" t="s">
        <v>200</v>
      </c>
      <c r="C16" s="9" t="s">
        <v>187</v>
      </c>
      <c r="D16" s="9" t="s">
        <v>255</v>
      </c>
      <c r="E16" s="9" t="s">
        <v>256</v>
      </c>
      <c r="F16" s="9" t="s">
        <v>257</v>
      </c>
      <c r="G16" s="9" t="s">
        <v>258</v>
      </c>
      <c r="H16" s="9" t="s">
        <v>267</v>
      </c>
      <c r="I16" s="9" t="s">
        <v>194</v>
      </c>
      <c r="J16" s="9" t="s">
        <v>268</v>
      </c>
      <c r="K16" s="42" t="n">
        <v>0.0666666666666667</v>
      </c>
      <c r="L16" s="11" t="s">
        <v>238</v>
      </c>
      <c r="M16" s="11" t="s">
        <v>238</v>
      </c>
      <c r="N16" s="11" t="n">
        <v>0</v>
      </c>
      <c r="O16" s="43" t="n">
        <f aca="false">N16*K16</f>
        <v>0</v>
      </c>
      <c r="P16" s="43" t="n">
        <f aca="false">Controls!B24</f>
        <v>0</v>
      </c>
      <c r="Q16" s="19" t="n">
        <f aca="false">Controls!B25</f>
        <v>0</v>
      </c>
      <c r="R16" s="19" t="n">
        <f aca="false">Controls!B26</f>
        <v>0</v>
      </c>
      <c r="S16" s="19" t="n">
        <f aca="false">Controls!B27</f>
        <v>0</v>
      </c>
      <c r="T16" s="19" t="str">
        <f aca="false">IF(N16=0,"CONSTITUTED","AWARDED")</f>
        <v>CONSTITUTED</v>
      </c>
    </row>
    <row r="17" customFormat="false" ht="15" hidden="false" customHeight="false" outlineLevel="0" collapsed="false">
      <c r="A17" s="9" t="s">
        <v>269</v>
      </c>
      <c r="B17" s="9" t="s">
        <v>203</v>
      </c>
      <c r="C17" s="9" t="s">
        <v>187</v>
      </c>
      <c r="D17" s="9" t="s">
        <v>255</v>
      </c>
      <c r="E17" s="9" t="s">
        <v>256</v>
      </c>
      <c r="F17" s="9" t="s">
        <v>257</v>
      </c>
      <c r="G17" s="9" t="s">
        <v>258</v>
      </c>
      <c r="H17" s="9" t="s">
        <v>236</v>
      </c>
      <c r="I17" s="9" t="s">
        <v>204</v>
      </c>
      <c r="J17" s="9" t="s">
        <v>241</v>
      </c>
      <c r="K17" s="42" t="n">
        <v>0.0633333333333333</v>
      </c>
      <c r="L17" s="11" t="s">
        <v>238</v>
      </c>
      <c r="M17" s="11" t="s">
        <v>238</v>
      </c>
      <c r="N17" s="11" t="n">
        <v>0</v>
      </c>
      <c r="O17" s="43" t="n">
        <f aca="false">N17*K17</f>
        <v>0</v>
      </c>
      <c r="P17" s="43" t="n">
        <f aca="false">Controls!B24</f>
        <v>0</v>
      </c>
      <c r="Q17" s="19" t="n">
        <f aca="false">Controls!B25</f>
        <v>0</v>
      </c>
      <c r="R17" s="19" t="n">
        <f aca="false">Controls!B26</f>
        <v>0</v>
      </c>
      <c r="S17" s="19" t="n">
        <f aca="false">Controls!B27</f>
        <v>0</v>
      </c>
      <c r="T17" s="19" t="str">
        <f aca="false">IF(N17=0,"CONSTITUTED","AWARDED")</f>
        <v>CONSTITUTED</v>
      </c>
    </row>
    <row r="18" customFormat="false" ht="15" hidden="false" customHeight="false" outlineLevel="0" collapsed="false">
      <c r="A18" s="9" t="s">
        <v>270</v>
      </c>
      <c r="B18" s="9" t="s">
        <v>192</v>
      </c>
      <c r="C18" s="9" t="s">
        <v>187</v>
      </c>
      <c r="D18" s="9" t="s">
        <v>255</v>
      </c>
      <c r="E18" s="9" t="s">
        <v>256</v>
      </c>
      <c r="F18" s="9" t="s">
        <v>271</v>
      </c>
      <c r="G18" s="9" t="s">
        <v>272</v>
      </c>
      <c r="H18" s="9" t="s">
        <v>191</v>
      </c>
      <c r="I18" s="9" t="s">
        <v>194</v>
      </c>
      <c r="J18" s="9" t="s">
        <v>273</v>
      </c>
      <c r="K18" s="42" t="n">
        <v>0.316666666666667</v>
      </c>
      <c r="L18" s="11" t="s">
        <v>238</v>
      </c>
      <c r="M18" s="11" t="s">
        <v>238</v>
      </c>
      <c r="N18" s="11" t="n">
        <v>0</v>
      </c>
      <c r="O18" s="43" t="n">
        <f aca="false">N18*K18</f>
        <v>0</v>
      </c>
      <c r="P18" s="43" t="n">
        <f aca="false">Controls!B24</f>
        <v>0</v>
      </c>
      <c r="Q18" s="19" t="n">
        <f aca="false">Controls!B25</f>
        <v>0</v>
      </c>
      <c r="R18" s="19" t="n">
        <f aca="false">Controls!B26</f>
        <v>0</v>
      </c>
      <c r="S18" s="19" t="n">
        <f aca="false">Controls!B27</f>
        <v>0</v>
      </c>
      <c r="T18" s="19" t="str">
        <f aca="false">IF(N18=0,"CONSTITUTED","AWARDED")</f>
        <v>CONSTITUTED</v>
      </c>
    </row>
    <row r="19" customFormat="false" ht="15" hidden="false" customHeight="false" outlineLevel="0" collapsed="false">
      <c r="A19" s="9" t="s">
        <v>274</v>
      </c>
      <c r="B19" s="9" t="s">
        <v>197</v>
      </c>
      <c r="C19" s="9" t="s">
        <v>187</v>
      </c>
      <c r="D19" s="9" t="s">
        <v>255</v>
      </c>
      <c r="E19" s="9" t="s">
        <v>256</v>
      </c>
      <c r="F19" s="9" t="s">
        <v>271</v>
      </c>
      <c r="G19" s="9" t="s">
        <v>272</v>
      </c>
      <c r="H19" s="9" t="s">
        <v>261</v>
      </c>
      <c r="I19" s="9" t="s">
        <v>194</v>
      </c>
      <c r="J19" s="9" t="s">
        <v>275</v>
      </c>
      <c r="K19" s="42" t="n">
        <v>0.09</v>
      </c>
      <c r="L19" s="11" t="s">
        <v>238</v>
      </c>
      <c r="M19" s="11" t="s">
        <v>238</v>
      </c>
      <c r="N19" s="11" t="n">
        <v>0</v>
      </c>
      <c r="O19" s="43" t="n">
        <f aca="false">N19*K19</f>
        <v>0</v>
      </c>
      <c r="P19" s="43" t="n">
        <f aca="false">Controls!B24</f>
        <v>0</v>
      </c>
      <c r="Q19" s="19" t="n">
        <f aca="false">Controls!B25</f>
        <v>0</v>
      </c>
      <c r="R19" s="19" t="n">
        <f aca="false">Controls!B26</f>
        <v>0</v>
      </c>
      <c r="S19" s="19" t="n">
        <f aca="false">Controls!B27</f>
        <v>0</v>
      </c>
      <c r="T19" s="19" t="str">
        <f aca="false">IF(N19=0,"CONSTITUTED","AWARDED")</f>
        <v>CONSTITUTED</v>
      </c>
    </row>
    <row r="20" customFormat="false" ht="15" hidden="false" customHeight="false" outlineLevel="0" collapsed="false">
      <c r="A20" s="9" t="s">
        <v>276</v>
      </c>
      <c r="B20" s="9" t="s">
        <v>197</v>
      </c>
      <c r="C20" s="9" t="s">
        <v>187</v>
      </c>
      <c r="D20" s="9" t="s">
        <v>255</v>
      </c>
      <c r="E20" s="9" t="s">
        <v>256</v>
      </c>
      <c r="F20" s="9" t="s">
        <v>271</v>
      </c>
      <c r="G20" s="9" t="s">
        <v>272</v>
      </c>
      <c r="H20" s="9" t="s">
        <v>264</v>
      </c>
      <c r="I20" s="9" t="s">
        <v>194</v>
      </c>
      <c r="J20" s="9" t="s">
        <v>277</v>
      </c>
      <c r="K20" s="42" t="n">
        <v>0.09</v>
      </c>
      <c r="L20" s="11" t="s">
        <v>238</v>
      </c>
      <c r="M20" s="11" t="s">
        <v>238</v>
      </c>
      <c r="N20" s="11" t="n">
        <v>0</v>
      </c>
      <c r="O20" s="43" t="n">
        <f aca="false">N20*K20</f>
        <v>0</v>
      </c>
      <c r="P20" s="43" t="n">
        <f aca="false">Controls!B24</f>
        <v>0</v>
      </c>
      <c r="Q20" s="19" t="n">
        <f aca="false">Controls!B25</f>
        <v>0</v>
      </c>
      <c r="R20" s="19" t="n">
        <f aca="false">Controls!B26</f>
        <v>0</v>
      </c>
      <c r="S20" s="19" t="n">
        <f aca="false">Controls!B27</f>
        <v>0</v>
      </c>
      <c r="T20" s="19" t="str">
        <f aca="false">IF(N20=0,"CONSTITUTED","AWARDED")</f>
        <v>CONSTITUTED</v>
      </c>
    </row>
    <row r="21" customFormat="false" ht="15" hidden="false" customHeight="false" outlineLevel="0" collapsed="false">
      <c r="A21" s="9" t="s">
        <v>278</v>
      </c>
      <c r="B21" s="9" t="s">
        <v>200</v>
      </c>
      <c r="C21" s="9" t="s">
        <v>187</v>
      </c>
      <c r="D21" s="9" t="s">
        <v>255</v>
      </c>
      <c r="E21" s="9" t="s">
        <v>256</v>
      </c>
      <c r="F21" s="9" t="s">
        <v>271</v>
      </c>
      <c r="G21" s="9" t="s">
        <v>272</v>
      </c>
      <c r="H21" s="9" t="s">
        <v>267</v>
      </c>
      <c r="I21" s="9" t="s">
        <v>194</v>
      </c>
      <c r="J21" s="9" t="s">
        <v>279</v>
      </c>
      <c r="K21" s="42" t="n">
        <v>0.0666666666666667</v>
      </c>
      <c r="L21" s="11" t="s">
        <v>238</v>
      </c>
      <c r="M21" s="11" t="s">
        <v>238</v>
      </c>
      <c r="N21" s="11" t="n">
        <v>0</v>
      </c>
      <c r="O21" s="43" t="n">
        <f aca="false">N21*K21</f>
        <v>0</v>
      </c>
      <c r="P21" s="43" t="n">
        <f aca="false">Controls!B24</f>
        <v>0</v>
      </c>
      <c r="Q21" s="19" t="n">
        <f aca="false">Controls!B25</f>
        <v>0</v>
      </c>
      <c r="R21" s="19" t="n">
        <f aca="false">Controls!B26</f>
        <v>0</v>
      </c>
      <c r="S21" s="19" t="n">
        <f aca="false">Controls!B27</f>
        <v>0</v>
      </c>
      <c r="T21" s="19" t="str">
        <f aca="false">IF(N21=0,"CONSTITUTED","AWARDED")</f>
        <v>CONSTITUTED</v>
      </c>
    </row>
    <row r="22" customFormat="false" ht="15" hidden="false" customHeight="false" outlineLevel="0" collapsed="false">
      <c r="A22" s="9" t="s">
        <v>280</v>
      </c>
      <c r="B22" s="9" t="s">
        <v>203</v>
      </c>
      <c r="C22" s="9" t="s">
        <v>187</v>
      </c>
      <c r="D22" s="9" t="s">
        <v>255</v>
      </c>
      <c r="E22" s="9" t="s">
        <v>256</v>
      </c>
      <c r="F22" s="9" t="s">
        <v>271</v>
      </c>
      <c r="G22" s="9" t="s">
        <v>272</v>
      </c>
      <c r="H22" s="9" t="s">
        <v>236</v>
      </c>
      <c r="I22" s="9" t="s">
        <v>204</v>
      </c>
      <c r="J22" s="9" t="s">
        <v>247</v>
      </c>
      <c r="K22" s="42" t="n">
        <v>0.0633333333333333</v>
      </c>
      <c r="L22" s="11" t="s">
        <v>238</v>
      </c>
      <c r="M22" s="11" t="s">
        <v>238</v>
      </c>
      <c r="N22" s="11" t="n">
        <v>0</v>
      </c>
      <c r="O22" s="43" t="n">
        <f aca="false">N22*K22</f>
        <v>0</v>
      </c>
      <c r="P22" s="43" t="n">
        <f aca="false">Controls!B24</f>
        <v>0</v>
      </c>
      <c r="Q22" s="19" t="n">
        <f aca="false">Controls!B25</f>
        <v>0</v>
      </c>
      <c r="R22" s="19" t="n">
        <f aca="false">Controls!B26</f>
        <v>0</v>
      </c>
      <c r="S22" s="19" t="n">
        <f aca="false">Controls!B27</f>
        <v>0</v>
      </c>
      <c r="T22" s="19" t="str">
        <f aca="false">IF(N22=0,"CONSTITUTED","AWARDED")</f>
        <v>CONSTITUTED</v>
      </c>
    </row>
    <row r="23" customFormat="false" ht="15" hidden="false" customHeight="false" outlineLevel="0" collapsed="false">
      <c r="A23" s="9" t="s">
        <v>281</v>
      </c>
      <c r="B23" s="9" t="s">
        <v>192</v>
      </c>
      <c r="C23" s="9" t="s">
        <v>187</v>
      </c>
      <c r="D23" s="9" t="s">
        <v>255</v>
      </c>
      <c r="E23" s="9" t="s">
        <v>256</v>
      </c>
      <c r="F23" s="9" t="s">
        <v>282</v>
      </c>
      <c r="G23" s="9" t="s">
        <v>283</v>
      </c>
      <c r="H23" s="9" t="s">
        <v>191</v>
      </c>
      <c r="I23" s="9" t="s">
        <v>194</v>
      </c>
      <c r="J23" s="9" t="s">
        <v>284</v>
      </c>
      <c r="K23" s="42" t="n">
        <v>0.316666666666667</v>
      </c>
      <c r="L23" s="11" t="s">
        <v>238</v>
      </c>
      <c r="M23" s="11" t="s">
        <v>238</v>
      </c>
      <c r="N23" s="11" t="n">
        <v>0</v>
      </c>
      <c r="O23" s="43" t="n">
        <f aca="false">N23*K23</f>
        <v>0</v>
      </c>
      <c r="P23" s="43" t="n">
        <f aca="false">Controls!B24</f>
        <v>0</v>
      </c>
      <c r="Q23" s="19" t="n">
        <f aca="false">Controls!B25</f>
        <v>0</v>
      </c>
      <c r="R23" s="19" t="n">
        <f aca="false">Controls!B26</f>
        <v>0</v>
      </c>
      <c r="S23" s="19" t="n">
        <f aca="false">Controls!B27</f>
        <v>0</v>
      </c>
      <c r="T23" s="19" t="str">
        <f aca="false">IF(N23=0,"CONSTITUTED","AWARDED")</f>
        <v>CONSTITUTED</v>
      </c>
    </row>
    <row r="24" customFormat="false" ht="15" hidden="false" customHeight="false" outlineLevel="0" collapsed="false">
      <c r="A24" s="9" t="s">
        <v>285</v>
      </c>
      <c r="B24" s="9" t="s">
        <v>197</v>
      </c>
      <c r="C24" s="9" t="s">
        <v>187</v>
      </c>
      <c r="D24" s="9" t="s">
        <v>255</v>
      </c>
      <c r="E24" s="9" t="s">
        <v>256</v>
      </c>
      <c r="F24" s="9" t="s">
        <v>282</v>
      </c>
      <c r="G24" s="9" t="s">
        <v>283</v>
      </c>
      <c r="H24" s="9" t="s">
        <v>261</v>
      </c>
      <c r="I24" s="9" t="s">
        <v>194</v>
      </c>
      <c r="J24" s="9" t="s">
        <v>286</v>
      </c>
      <c r="K24" s="42" t="n">
        <v>0.09</v>
      </c>
      <c r="L24" s="11" t="s">
        <v>238</v>
      </c>
      <c r="M24" s="11" t="s">
        <v>238</v>
      </c>
      <c r="N24" s="11" t="n">
        <v>0</v>
      </c>
      <c r="O24" s="43" t="n">
        <f aca="false">N24*K24</f>
        <v>0</v>
      </c>
      <c r="P24" s="43" t="n">
        <f aca="false">Controls!B24</f>
        <v>0</v>
      </c>
      <c r="Q24" s="19" t="n">
        <f aca="false">Controls!B25</f>
        <v>0</v>
      </c>
      <c r="R24" s="19" t="n">
        <f aca="false">Controls!B26</f>
        <v>0</v>
      </c>
      <c r="S24" s="19" t="n">
        <f aca="false">Controls!B27</f>
        <v>0</v>
      </c>
      <c r="T24" s="19" t="str">
        <f aca="false">IF(N24=0,"CONSTITUTED","AWARDED")</f>
        <v>CONSTITUTED</v>
      </c>
    </row>
    <row r="25" customFormat="false" ht="15" hidden="false" customHeight="false" outlineLevel="0" collapsed="false">
      <c r="A25" s="9" t="s">
        <v>287</v>
      </c>
      <c r="B25" s="9" t="s">
        <v>197</v>
      </c>
      <c r="C25" s="9" t="s">
        <v>187</v>
      </c>
      <c r="D25" s="9" t="s">
        <v>255</v>
      </c>
      <c r="E25" s="9" t="s">
        <v>256</v>
      </c>
      <c r="F25" s="9" t="s">
        <v>282</v>
      </c>
      <c r="G25" s="9" t="s">
        <v>283</v>
      </c>
      <c r="H25" s="9" t="s">
        <v>264</v>
      </c>
      <c r="I25" s="9" t="s">
        <v>194</v>
      </c>
      <c r="J25" s="9" t="s">
        <v>288</v>
      </c>
      <c r="K25" s="42" t="n">
        <v>0.09</v>
      </c>
      <c r="L25" s="11" t="s">
        <v>238</v>
      </c>
      <c r="M25" s="11" t="s">
        <v>238</v>
      </c>
      <c r="N25" s="11" t="n">
        <v>0</v>
      </c>
      <c r="O25" s="43" t="n">
        <f aca="false">N25*K25</f>
        <v>0</v>
      </c>
      <c r="P25" s="43" t="n">
        <f aca="false">Controls!B24</f>
        <v>0</v>
      </c>
      <c r="Q25" s="19" t="n">
        <f aca="false">Controls!B25</f>
        <v>0</v>
      </c>
      <c r="R25" s="19" t="n">
        <f aca="false">Controls!B26</f>
        <v>0</v>
      </c>
      <c r="S25" s="19" t="n">
        <f aca="false">Controls!B27</f>
        <v>0</v>
      </c>
      <c r="T25" s="19" t="str">
        <f aca="false">IF(N25=0,"CONSTITUTED","AWARDED")</f>
        <v>CONSTITUTED</v>
      </c>
    </row>
    <row r="26" customFormat="false" ht="15" hidden="false" customHeight="false" outlineLevel="0" collapsed="false">
      <c r="A26" s="9" t="s">
        <v>289</v>
      </c>
      <c r="B26" s="9" t="s">
        <v>200</v>
      </c>
      <c r="C26" s="9" t="s">
        <v>187</v>
      </c>
      <c r="D26" s="9" t="s">
        <v>255</v>
      </c>
      <c r="E26" s="9" t="s">
        <v>256</v>
      </c>
      <c r="F26" s="9" t="s">
        <v>282</v>
      </c>
      <c r="G26" s="9" t="s">
        <v>283</v>
      </c>
      <c r="H26" s="9" t="s">
        <v>267</v>
      </c>
      <c r="I26" s="9" t="s">
        <v>194</v>
      </c>
      <c r="J26" s="9" t="s">
        <v>290</v>
      </c>
      <c r="K26" s="42" t="n">
        <v>0.0666666666666667</v>
      </c>
      <c r="L26" s="11" t="s">
        <v>238</v>
      </c>
      <c r="M26" s="11" t="s">
        <v>238</v>
      </c>
      <c r="N26" s="11" t="n">
        <v>0</v>
      </c>
      <c r="O26" s="43" t="n">
        <f aca="false">N26*K26</f>
        <v>0</v>
      </c>
      <c r="P26" s="43" t="n">
        <f aca="false">Controls!B24</f>
        <v>0</v>
      </c>
      <c r="Q26" s="19" t="n">
        <f aca="false">Controls!B25</f>
        <v>0</v>
      </c>
      <c r="R26" s="19" t="n">
        <f aca="false">Controls!B26</f>
        <v>0</v>
      </c>
      <c r="S26" s="19" t="n">
        <f aca="false">Controls!B27</f>
        <v>0</v>
      </c>
      <c r="T26" s="19" t="str">
        <f aca="false">IF(N26=0,"CONSTITUTED","AWARDED")</f>
        <v>CONSTITUTED</v>
      </c>
    </row>
    <row r="27" customFormat="false" ht="15" hidden="false" customHeight="false" outlineLevel="0" collapsed="false">
      <c r="A27" s="9" t="s">
        <v>291</v>
      </c>
      <c r="B27" s="9" t="s">
        <v>203</v>
      </c>
      <c r="C27" s="9" t="s">
        <v>187</v>
      </c>
      <c r="D27" s="9" t="s">
        <v>255</v>
      </c>
      <c r="E27" s="9" t="s">
        <v>256</v>
      </c>
      <c r="F27" s="9" t="s">
        <v>282</v>
      </c>
      <c r="G27" s="9" t="s">
        <v>283</v>
      </c>
      <c r="H27" s="9" t="s">
        <v>236</v>
      </c>
      <c r="I27" s="9" t="s">
        <v>204</v>
      </c>
      <c r="J27" s="9" t="s">
        <v>253</v>
      </c>
      <c r="K27" s="42" t="n">
        <v>0.0633333333333333</v>
      </c>
      <c r="L27" s="11" t="s">
        <v>238</v>
      </c>
      <c r="M27" s="11" t="s">
        <v>238</v>
      </c>
      <c r="N27" s="11" t="n">
        <v>0</v>
      </c>
      <c r="O27" s="43" t="n">
        <f aca="false">N27*K27</f>
        <v>0</v>
      </c>
      <c r="P27" s="43" t="n">
        <f aca="false">Controls!B24</f>
        <v>0</v>
      </c>
      <c r="Q27" s="19" t="n">
        <f aca="false">Controls!B25</f>
        <v>0</v>
      </c>
      <c r="R27" s="19" t="n">
        <f aca="false">Controls!B26</f>
        <v>0</v>
      </c>
      <c r="S27" s="19" t="n">
        <f aca="false">Controls!B27</f>
        <v>0</v>
      </c>
      <c r="T27" s="19" t="str">
        <f aca="false">IF(N27=0,"CONSTITUTED","AWARDED")</f>
        <v>CONSTITUTED</v>
      </c>
    </row>
    <row r="28" customFormat="false" ht="15" hidden="false" customHeight="false" outlineLevel="0" collapsed="false">
      <c r="A28" s="9" t="s">
        <v>292</v>
      </c>
      <c r="B28" s="9" t="s">
        <v>192</v>
      </c>
      <c r="C28" s="9" t="s">
        <v>187</v>
      </c>
      <c r="D28" s="9" t="s">
        <v>293</v>
      </c>
      <c r="E28" s="9" t="s">
        <v>294</v>
      </c>
      <c r="F28" s="9" t="s">
        <v>257</v>
      </c>
      <c r="G28" s="9" t="s">
        <v>295</v>
      </c>
      <c r="H28" s="9" t="s">
        <v>191</v>
      </c>
      <c r="I28" s="9" t="s">
        <v>194</v>
      </c>
      <c r="J28" s="9" t="s">
        <v>296</v>
      </c>
      <c r="K28" s="42" t="n">
        <v>0.316666666666667</v>
      </c>
      <c r="L28" s="11" t="s">
        <v>238</v>
      </c>
      <c r="M28" s="11" t="s">
        <v>238</v>
      </c>
      <c r="N28" s="11" t="n">
        <v>0</v>
      </c>
      <c r="O28" s="43" t="n">
        <f aca="false">N28*K28</f>
        <v>0</v>
      </c>
      <c r="P28" s="43" t="n">
        <f aca="false">Controls!B24</f>
        <v>0</v>
      </c>
      <c r="Q28" s="19" t="n">
        <f aca="false">Controls!B25</f>
        <v>0</v>
      </c>
      <c r="R28" s="19" t="n">
        <f aca="false">Controls!B26</f>
        <v>0</v>
      </c>
      <c r="S28" s="19" t="n">
        <f aca="false">Controls!B27</f>
        <v>0</v>
      </c>
      <c r="T28" s="19" t="str">
        <f aca="false">IF(N28=0,"CONSTITUTED","AWARDED")</f>
        <v>CONSTITUTED</v>
      </c>
    </row>
    <row r="29" customFormat="false" ht="15" hidden="false" customHeight="false" outlineLevel="0" collapsed="false">
      <c r="A29" s="9" t="s">
        <v>297</v>
      </c>
      <c r="B29" s="9" t="s">
        <v>197</v>
      </c>
      <c r="C29" s="9" t="s">
        <v>187</v>
      </c>
      <c r="D29" s="9" t="s">
        <v>293</v>
      </c>
      <c r="E29" s="9" t="s">
        <v>294</v>
      </c>
      <c r="F29" s="9" t="s">
        <v>257</v>
      </c>
      <c r="G29" s="9" t="s">
        <v>295</v>
      </c>
      <c r="H29" s="9" t="s">
        <v>261</v>
      </c>
      <c r="I29" s="9" t="s">
        <v>194</v>
      </c>
      <c r="J29" s="9" t="s">
        <v>298</v>
      </c>
      <c r="K29" s="42" t="n">
        <v>0.09</v>
      </c>
      <c r="L29" s="11" t="s">
        <v>238</v>
      </c>
      <c r="M29" s="11" t="s">
        <v>238</v>
      </c>
      <c r="N29" s="11" t="n">
        <v>0</v>
      </c>
      <c r="O29" s="43" t="n">
        <f aca="false">N29*K29</f>
        <v>0</v>
      </c>
      <c r="P29" s="43" t="n">
        <f aca="false">Controls!B24</f>
        <v>0</v>
      </c>
      <c r="Q29" s="19" t="n">
        <f aca="false">Controls!B25</f>
        <v>0</v>
      </c>
      <c r="R29" s="19" t="n">
        <f aca="false">Controls!B26</f>
        <v>0</v>
      </c>
      <c r="S29" s="19" t="n">
        <f aca="false">Controls!B27</f>
        <v>0</v>
      </c>
      <c r="T29" s="19" t="str">
        <f aca="false">IF(N29=0,"CONSTITUTED","AWARDED")</f>
        <v>CONSTITUTED</v>
      </c>
    </row>
    <row r="30" customFormat="false" ht="15" hidden="false" customHeight="false" outlineLevel="0" collapsed="false">
      <c r="A30" s="9" t="s">
        <v>299</v>
      </c>
      <c r="B30" s="9" t="s">
        <v>197</v>
      </c>
      <c r="C30" s="9" t="s">
        <v>187</v>
      </c>
      <c r="D30" s="9" t="s">
        <v>293</v>
      </c>
      <c r="E30" s="9" t="s">
        <v>294</v>
      </c>
      <c r="F30" s="9" t="s">
        <v>257</v>
      </c>
      <c r="G30" s="9" t="s">
        <v>295</v>
      </c>
      <c r="H30" s="9" t="s">
        <v>264</v>
      </c>
      <c r="I30" s="9" t="s">
        <v>194</v>
      </c>
      <c r="J30" s="9" t="s">
        <v>300</v>
      </c>
      <c r="K30" s="42" t="n">
        <v>0.09</v>
      </c>
      <c r="L30" s="11" t="s">
        <v>238</v>
      </c>
      <c r="M30" s="11" t="s">
        <v>238</v>
      </c>
      <c r="N30" s="11" t="n">
        <v>0</v>
      </c>
      <c r="O30" s="43" t="n">
        <f aca="false">N30*K30</f>
        <v>0</v>
      </c>
      <c r="P30" s="43" t="n">
        <f aca="false">Controls!B24</f>
        <v>0</v>
      </c>
      <c r="Q30" s="19" t="n">
        <f aca="false">Controls!B25</f>
        <v>0</v>
      </c>
      <c r="R30" s="19" t="n">
        <f aca="false">Controls!B26</f>
        <v>0</v>
      </c>
      <c r="S30" s="19" t="n">
        <f aca="false">Controls!B27</f>
        <v>0</v>
      </c>
      <c r="T30" s="19" t="str">
        <f aca="false">IF(N30=0,"CONSTITUTED","AWARDED")</f>
        <v>CONSTITUTED</v>
      </c>
    </row>
    <row r="31" customFormat="false" ht="15" hidden="false" customHeight="false" outlineLevel="0" collapsed="false">
      <c r="A31" s="9" t="s">
        <v>301</v>
      </c>
      <c r="B31" s="9" t="s">
        <v>200</v>
      </c>
      <c r="C31" s="9" t="s">
        <v>187</v>
      </c>
      <c r="D31" s="9" t="s">
        <v>293</v>
      </c>
      <c r="E31" s="9" t="s">
        <v>294</v>
      </c>
      <c r="F31" s="9" t="s">
        <v>257</v>
      </c>
      <c r="G31" s="9" t="s">
        <v>295</v>
      </c>
      <c r="H31" s="9" t="s">
        <v>267</v>
      </c>
      <c r="I31" s="9" t="s">
        <v>194</v>
      </c>
      <c r="J31" s="9" t="s">
        <v>302</v>
      </c>
      <c r="K31" s="42" t="n">
        <v>0.0666666666666667</v>
      </c>
      <c r="L31" s="11" t="s">
        <v>238</v>
      </c>
      <c r="M31" s="11" t="s">
        <v>238</v>
      </c>
      <c r="N31" s="11" t="n">
        <v>0</v>
      </c>
      <c r="O31" s="43" t="n">
        <f aca="false">N31*K31</f>
        <v>0</v>
      </c>
      <c r="P31" s="43" t="n">
        <f aca="false">Controls!B24</f>
        <v>0</v>
      </c>
      <c r="Q31" s="19" t="n">
        <f aca="false">Controls!B25</f>
        <v>0</v>
      </c>
      <c r="R31" s="19" t="n">
        <f aca="false">Controls!B26</f>
        <v>0</v>
      </c>
      <c r="S31" s="19" t="n">
        <f aca="false">Controls!B27</f>
        <v>0</v>
      </c>
      <c r="T31" s="19" t="str">
        <f aca="false">IF(N31=0,"CONSTITUTED","AWARDED")</f>
        <v>CONSTITUTED</v>
      </c>
    </row>
    <row r="32" customFormat="false" ht="15" hidden="false" customHeight="false" outlineLevel="0" collapsed="false">
      <c r="A32" s="9" t="s">
        <v>303</v>
      </c>
      <c r="B32" s="9" t="s">
        <v>203</v>
      </c>
      <c r="C32" s="9" t="s">
        <v>187</v>
      </c>
      <c r="D32" s="9" t="s">
        <v>293</v>
      </c>
      <c r="E32" s="9" t="s">
        <v>294</v>
      </c>
      <c r="F32" s="9" t="s">
        <v>257</v>
      </c>
      <c r="G32" s="9" t="s">
        <v>295</v>
      </c>
      <c r="H32" s="9" t="s">
        <v>236</v>
      </c>
      <c r="I32" s="9" t="s">
        <v>204</v>
      </c>
      <c r="J32" s="9" t="s">
        <v>244</v>
      </c>
      <c r="K32" s="42" t="n">
        <v>0.0633333333333333</v>
      </c>
      <c r="L32" s="11" t="s">
        <v>238</v>
      </c>
      <c r="M32" s="11" t="s">
        <v>238</v>
      </c>
      <c r="N32" s="11" t="n">
        <v>0</v>
      </c>
      <c r="O32" s="43" t="n">
        <f aca="false">N32*K32</f>
        <v>0</v>
      </c>
      <c r="P32" s="43" t="n">
        <f aca="false">Controls!B24</f>
        <v>0</v>
      </c>
      <c r="Q32" s="19" t="n">
        <f aca="false">Controls!B25</f>
        <v>0</v>
      </c>
      <c r="R32" s="19" t="n">
        <f aca="false">Controls!B26</f>
        <v>0</v>
      </c>
      <c r="S32" s="19" t="n">
        <f aca="false">Controls!B27</f>
        <v>0</v>
      </c>
      <c r="T32" s="19" t="str">
        <f aca="false">IF(N32=0,"CONSTITUTED","AWARDED")</f>
        <v>CONSTITUTED</v>
      </c>
    </row>
    <row r="33" customFormat="false" ht="15" hidden="false" customHeight="false" outlineLevel="0" collapsed="false">
      <c r="A33" s="9" t="s">
        <v>304</v>
      </c>
      <c r="B33" s="9" t="s">
        <v>192</v>
      </c>
      <c r="C33" s="9" t="s">
        <v>187</v>
      </c>
      <c r="D33" s="9" t="s">
        <v>293</v>
      </c>
      <c r="E33" s="9" t="s">
        <v>294</v>
      </c>
      <c r="F33" s="9" t="s">
        <v>271</v>
      </c>
      <c r="G33" s="9" t="s">
        <v>305</v>
      </c>
      <c r="H33" s="9" t="s">
        <v>191</v>
      </c>
      <c r="I33" s="9" t="s">
        <v>194</v>
      </c>
      <c r="J33" s="9" t="s">
        <v>306</v>
      </c>
      <c r="K33" s="42" t="n">
        <v>0.316666666666667</v>
      </c>
      <c r="L33" s="11" t="s">
        <v>238</v>
      </c>
      <c r="M33" s="11" t="s">
        <v>238</v>
      </c>
      <c r="N33" s="11" t="n">
        <v>0</v>
      </c>
      <c r="O33" s="43" t="n">
        <f aca="false">N33*K33</f>
        <v>0</v>
      </c>
      <c r="P33" s="43" t="n">
        <f aca="false">Controls!B24</f>
        <v>0</v>
      </c>
      <c r="Q33" s="19" t="n">
        <f aca="false">Controls!B25</f>
        <v>0</v>
      </c>
      <c r="R33" s="19" t="n">
        <f aca="false">Controls!B26</f>
        <v>0</v>
      </c>
      <c r="S33" s="19" t="n">
        <f aca="false">Controls!B27</f>
        <v>0</v>
      </c>
      <c r="T33" s="19" t="str">
        <f aca="false">IF(N33=0,"CONSTITUTED","AWARDED")</f>
        <v>CONSTITUTED</v>
      </c>
    </row>
    <row r="34" customFormat="false" ht="15" hidden="false" customHeight="false" outlineLevel="0" collapsed="false">
      <c r="A34" s="9" t="s">
        <v>307</v>
      </c>
      <c r="B34" s="9" t="s">
        <v>197</v>
      </c>
      <c r="C34" s="9" t="s">
        <v>187</v>
      </c>
      <c r="D34" s="9" t="s">
        <v>293</v>
      </c>
      <c r="E34" s="9" t="s">
        <v>294</v>
      </c>
      <c r="F34" s="9" t="s">
        <v>271</v>
      </c>
      <c r="G34" s="9" t="s">
        <v>305</v>
      </c>
      <c r="H34" s="9" t="s">
        <v>261</v>
      </c>
      <c r="I34" s="9" t="s">
        <v>194</v>
      </c>
      <c r="J34" s="9" t="s">
        <v>308</v>
      </c>
      <c r="K34" s="42" t="n">
        <v>0.09</v>
      </c>
      <c r="L34" s="11" t="s">
        <v>238</v>
      </c>
      <c r="M34" s="11" t="s">
        <v>238</v>
      </c>
      <c r="N34" s="11" t="n">
        <v>0</v>
      </c>
      <c r="O34" s="43" t="n">
        <f aca="false">N34*K34</f>
        <v>0</v>
      </c>
      <c r="P34" s="43" t="n">
        <f aca="false">Controls!B24</f>
        <v>0</v>
      </c>
      <c r="Q34" s="19" t="n">
        <f aca="false">Controls!B25</f>
        <v>0</v>
      </c>
      <c r="R34" s="19" t="n">
        <f aca="false">Controls!B26</f>
        <v>0</v>
      </c>
      <c r="S34" s="19" t="n">
        <f aca="false">Controls!B27</f>
        <v>0</v>
      </c>
      <c r="T34" s="19" t="str">
        <f aca="false">IF(N34=0,"CONSTITUTED","AWARDED")</f>
        <v>CONSTITUTED</v>
      </c>
    </row>
    <row r="35" customFormat="false" ht="15" hidden="false" customHeight="false" outlineLevel="0" collapsed="false">
      <c r="A35" s="9" t="s">
        <v>309</v>
      </c>
      <c r="B35" s="9" t="s">
        <v>197</v>
      </c>
      <c r="C35" s="9" t="s">
        <v>187</v>
      </c>
      <c r="D35" s="9" t="s">
        <v>293</v>
      </c>
      <c r="E35" s="9" t="s">
        <v>294</v>
      </c>
      <c r="F35" s="9" t="s">
        <v>271</v>
      </c>
      <c r="G35" s="9" t="s">
        <v>305</v>
      </c>
      <c r="H35" s="9" t="s">
        <v>264</v>
      </c>
      <c r="I35" s="9" t="s">
        <v>194</v>
      </c>
      <c r="J35" s="9" t="s">
        <v>310</v>
      </c>
      <c r="K35" s="42" t="n">
        <v>0.09</v>
      </c>
      <c r="L35" s="11" t="s">
        <v>238</v>
      </c>
      <c r="M35" s="11" t="s">
        <v>238</v>
      </c>
      <c r="N35" s="11" t="n">
        <v>0</v>
      </c>
      <c r="O35" s="43" t="n">
        <f aca="false">N35*K35</f>
        <v>0</v>
      </c>
      <c r="P35" s="43" t="n">
        <f aca="false">Controls!B24</f>
        <v>0</v>
      </c>
      <c r="Q35" s="19" t="n">
        <f aca="false">Controls!B25</f>
        <v>0</v>
      </c>
      <c r="R35" s="19" t="n">
        <f aca="false">Controls!B26</f>
        <v>0</v>
      </c>
      <c r="S35" s="19" t="n">
        <f aca="false">Controls!B27</f>
        <v>0</v>
      </c>
      <c r="T35" s="19" t="str">
        <f aca="false">IF(N35=0,"CONSTITUTED","AWARDED")</f>
        <v>CONSTITUTED</v>
      </c>
    </row>
    <row r="36" customFormat="false" ht="15" hidden="false" customHeight="false" outlineLevel="0" collapsed="false">
      <c r="A36" s="9" t="s">
        <v>311</v>
      </c>
      <c r="B36" s="9" t="s">
        <v>200</v>
      </c>
      <c r="C36" s="9" t="s">
        <v>187</v>
      </c>
      <c r="D36" s="9" t="s">
        <v>293</v>
      </c>
      <c r="E36" s="9" t="s">
        <v>294</v>
      </c>
      <c r="F36" s="9" t="s">
        <v>271</v>
      </c>
      <c r="G36" s="9" t="s">
        <v>305</v>
      </c>
      <c r="H36" s="9" t="s">
        <v>267</v>
      </c>
      <c r="I36" s="9" t="s">
        <v>194</v>
      </c>
      <c r="J36" s="9" t="s">
        <v>312</v>
      </c>
      <c r="K36" s="42" t="n">
        <v>0.0666666666666667</v>
      </c>
      <c r="L36" s="11" t="s">
        <v>238</v>
      </c>
      <c r="M36" s="11" t="s">
        <v>238</v>
      </c>
      <c r="N36" s="11" t="n">
        <v>0</v>
      </c>
      <c r="O36" s="43" t="n">
        <f aca="false">N36*K36</f>
        <v>0</v>
      </c>
      <c r="P36" s="43" t="n">
        <f aca="false">Controls!B24</f>
        <v>0</v>
      </c>
      <c r="Q36" s="19" t="n">
        <f aca="false">Controls!B25</f>
        <v>0</v>
      </c>
      <c r="R36" s="19" t="n">
        <f aca="false">Controls!B26</f>
        <v>0</v>
      </c>
      <c r="S36" s="19" t="n">
        <f aca="false">Controls!B27</f>
        <v>0</v>
      </c>
      <c r="T36" s="19" t="str">
        <f aca="false">IF(N36=0,"CONSTITUTED","AWARDED")</f>
        <v>CONSTITUTED</v>
      </c>
    </row>
    <row r="37" customFormat="false" ht="15" hidden="false" customHeight="false" outlineLevel="0" collapsed="false">
      <c r="A37" s="9" t="s">
        <v>313</v>
      </c>
      <c r="B37" s="9" t="s">
        <v>203</v>
      </c>
      <c r="C37" s="9" t="s">
        <v>187</v>
      </c>
      <c r="D37" s="9" t="s">
        <v>293</v>
      </c>
      <c r="E37" s="9" t="s">
        <v>294</v>
      </c>
      <c r="F37" s="9" t="s">
        <v>271</v>
      </c>
      <c r="G37" s="9" t="s">
        <v>305</v>
      </c>
      <c r="H37" s="9" t="s">
        <v>236</v>
      </c>
      <c r="I37" s="9" t="s">
        <v>204</v>
      </c>
      <c r="J37" s="9" t="s">
        <v>250</v>
      </c>
      <c r="K37" s="42" t="n">
        <v>0.0633333333333333</v>
      </c>
      <c r="L37" s="11" t="s">
        <v>238</v>
      </c>
      <c r="M37" s="11" t="s">
        <v>238</v>
      </c>
      <c r="N37" s="11" t="n">
        <v>0</v>
      </c>
      <c r="O37" s="43" t="n">
        <f aca="false">N37*K37</f>
        <v>0</v>
      </c>
      <c r="P37" s="43" t="n">
        <f aca="false">Controls!B24</f>
        <v>0</v>
      </c>
      <c r="Q37" s="19" t="n">
        <f aca="false">Controls!B25</f>
        <v>0</v>
      </c>
      <c r="R37" s="19" t="n">
        <f aca="false">Controls!B26</f>
        <v>0</v>
      </c>
      <c r="S37" s="19" t="n">
        <f aca="false">Controls!B27</f>
        <v>0</v>
      </c>
      <c r="T37" s="19" t="str">
        <f aca="false">IF(N37=0,"CONSTITUTED","AWARDED")</f>
        <v>CONSTITUTED</v>
      </c>
    </row>
    <row r="38" customFormat="false" ht="15" hidden="false" customHeight="false" outlineLevel="0" collapsed="false">
      <c r="A38" s="9" t="s">
        <v>314</v>
      </c>
      <c r="B38" s="9" t="s">
        <v>192</v>
      </c>
      <c r="C38" s="9" t="s">
        <v>187</v>
      </c>
      <c r="D38" s="9" t="s">
        <v>293</v>
      </c>
      <c r="E38" s="9" t="s">
        <v>294</v>
      </c>
      <c r="F38" s="9" t="s">
        <v>282</v>
      </c>
      <c r="G38" s="9" t="s">
        <v>315</v>
      </c>
      <c r="H38" s="9" t="s">
        <v>191</v>
      </c>
      <c r="I38" s="9" t="s">
        <v>194</v>
      </c>
      <c r="J38" s="9" t="s">
        <v>316</v>
      </c>
      <c r="K38" s="42" t="n">
        <v>0.316666666666667</v>
      </c>
      <c r="L38" s="11" t="s">
        <v>238</v>
      </c>
      <c r="M38" s="11" t="s">
        <v>238</v>
      </c>
      <c r="N38" s="11" t="n">
        <v>0</v>
      </c>
      <c r="O38" s="43" t="n">
        <f aca="false">N38*K38</f>
        <v>0</v>
      </c>
      <c r="P38" s="43" t="n">
        <f aca="false">Controls!B24</f>
        <v>0</v>
      </c>
      <c r="Q38" s="19" t="n">
        <f aca="false">Controls!B25</f>
        <v>0</v>
      </c>
      <c r="R38" s="19" t="n">
        <f aca="false">Controls!B26</f>
        <v>0</v>
      </c>
      <c r="S38" s="19" t="n">
        <f aca="false">Controls!B27</f>
        <v>0</v>
      </c>
      <c r="T38" s="19" t="str">
        <f aca="false">IF(N38=0,"CONSTITUTED","AWARDED")</f>
        <v>CONSTITUTED</v>
      </c>
    </row>
    <row r="39" customFormat="false" ht="15" hidden="false" customHeight="false" outlineLevel="0" collapsed="false">
      <c r="A39" s="9" t="s">
        <v>317</v>
      </c>
      <c r="B39" s="9" t="s">
        <v>197</v>
      </c>
      <c r="C39" s="9" t="s">
        <v>187</v>
      </c>
      <c r="D39" s="9" t="s">
        <v>293</v>
      </c>
      <c r="E39" s="9" t="s">
        <v>294</v>
      </c>
      <c r="F39" s="9" t="s">
        <v>282</v>
      </c>
      <c r="G39" s="9" t="s">
        <v>315</v>
      </c>
      <c r="H39" s="9" t="s">
        <v>261</v>
      </c>
      <c r="I39" s="9" t="s">
        <v>194</v>
      </c>
      <c r="J39" s="9" t="s">
        <v>318</v>
      </c>
      <c r="K39" s="42" t="n">
        <v>0.09</v>
      </c>
      <c r="L39" s="11" t="s">
        <v>238</v>
      </c>
      <c r="M39" s="11" t="s">
        <v>238</v>
      </c>
      <c r="N39" s="11" t="n">
        <v>0</v>
      </c>
      <c r="O39" s="43" t="n">
        <f aca="false">N39*K39</f>
        <v>0</v>
      </c>
      <c r="P39" s="43" t="n">
        <f aca="false">Controls!B24</f>
        <v>0</v>
      </c>
      <c r="Q39" s="19" t="n">
        <f aca="false">Controls!B25</f>
        <v>0</v>
      </c>
      <c r="R39" s="19" t="n">
        <f aca="false">Controls!B26</f>
        <v>0</v>
      </c>
      <c r="S39" s="19" t="n">
        <f aca="false">Controls!B27</f>
        <v>0</v>
      </c>
      <c r="T39" s="19" t="str">
        <f aca="false">IF(N39=0,"CONSTITUTED","AWARDED")</f>
        <v>CONSTITUTED</v>
      </c>
    </row>
    <row r="40" customFormat="false" ht="15" hidden="false" customHeight="false" outlineLevel="0" collapsed="false">
      <c r="A40" s="9" t="s">
        <v>319</v>
      </c>
      <c r="B40" s="9" t="s">
        <v>197</v>
      </c>
      <c r="C40" s="9" t="s">
        <v>187</v>
      </c>
      <c r="D40" s="9" t="s">
        <v>293</v>
      </c>
      <c r="E40" s="9" t="s">
        <v>294</v>
      </c>
      <c r="F40" s="9" t="s">
        <v>282</v>
      </c>
      <c r="G40" s="9" t="s">
        <v>315</v>
      </c>
      <c r="H40" s="9" t="s">
        <v>264</v>
      </c>
      <c r="I40" s="9" t="s">
        <v>194</v>
      </c>
      <c r="J40" s="9" t="s">
        <v>320</v>
      </c>
      <c r="K40" s="42" t="n">
        <v>0.09</v>
      </c>
      <c r="L40" s="11" t="s">
        <v>238</v>
      </c>
      <c r="M40" s="11" t="s">
        <v>238</v>
      </c>
      <c r="N40" s="11" t="n">
        <v>0</v>
      </c>
      <c r="O40" s="43" t="n">
        <f aca="false">N40*K40</f>
        <v>0</v>
      </c>
      <c r="P40" s="43" t="n">
        <f aca="false">Controls!B24</f>
        <v>0</v>
      </c>
      <c r="Q40" s="19" t="n">
        <f aca="false">Controls!B25</f>
        <v>0</v>
      </c>
      <c r="R40" s="19" t="n">
        <f aca="false">Controls!B26</f>
        <v>0</v>
      </c>
      <c r="S40" s="19" t="n">
        <f aca="false">Controls!B27</f>
        <v>0</v>
      </c>
      <c r="T40" s="19" t="str">
        <f aca="false">IF(N40=0,"CONSTITUTED","AWARDED")</f>
        <v>CONSTITUTED</v>
      </c>
    </row>
    <row r="41" customFormat="false" ht="15" hidden="false" customHeight="false" outlineLevel="0" collapsed="false">
      <c r="A41" s="9" t="s">
        <v>321</v>
      </c>
      <c r="B41" s="9" t="s">
        <v>200</v>
      </c>
      <c r="C41" s="9" t="s">
        <v>187</v>
      </c>
      <c r="D41" s="9" t="s">
        <v>293</v>
      </c>
      <c r="E41" s="9" t="s">
        <v>294</v>
      </c>
      <c r="F41" s="9" t="s">
        <v>282</v>
      </c>
      <c r="G41" s="9" t="s">
        <v>315</v>
      </c>
      <c r="H41" s="9" t="s">
        <v>267</v>
      </c>
      <c r="I41" s="9" t="s">
        <v>194</v>
      </c>
      <c r="J41" s="9" t="s">
        <v>322</v>
      </c>
      <c r="K41" s="42" t="n">
        <v>0.0666666666666667</v>
      </c>
      <c r="L41" s="11" t="s">
        <v>238</v>
      </c>
      <c r="M41" s="11" t="s">
        <v>238</v>
      </c>
      <c r="N41" s="11" t="n">
        <v>0</v>
      </c>
      <c r="O41" s="43" t="n">
        <f aca="false">N41*K41</f>
        <v>0</v>
      </c>
      <c r="P41" s="43" t="n">
        <f aca="false">Controls!B24</f>
        <v>0</v>
      </c>
      <c r="Q41" s="19" t="n">
        <f aca="false">Controls!B25</f>
        <v>0</v>
      </c>
      <c r="R41" s="19" t="n">
        <f aca="false">Controls!B26</f>
        <v>0</v>
      </c>
      <c r="S41" s="19" t="n">
        <f aca="false">Controls!B27</f>
        <v>0</v>
      </c>
      <c r="T41" s="19" t="str">
        <f aca="false">IF(N41=0,"CONSTITUTED","AWARDED")</f>
        <v>CONSTITUTED</v>
      </c>
    </row>
    <row r="42" customFormat="false" ht="15" hidden="false" customHeight="false" outlineLevel="0" collapsed="false">
      <c r="A42" s="9" t="s">
        <v>323</v>
      </c>
      <c r="B42" s="9" t="s">
        <v>203</v>
      </c>
      <c r="C42" s="9" t="s">
        <v>187</v>
      </c>
      <c r="D42" s="9" t="s">
        <v>293</v>
      </c>
      <c r="E42" s="9" t="s">
        <v>294</v>
      </c>
      <c r="F42" s="9" t="s">
        <v>282</v>
      </c>
      <c r="G42" s="9" t="s">
        <v>315</v>
      </c>
      <c r="H42" s="9" t="s">
        <v>236</v>
      </c>
      <c r="I42" s="9" t="s">
        <v>204</v>
      </c>
      <c r="J42" s="9" t="s">
        <v>237</v>
      </c>
      <c r="K42" s="42" t="n">
        <v>0.0633333333333333</v>
      </c>
      <c r="L42" s="11" t="s">
        <v>238</v>
      </c>
      <c r="M42" s="11" t="s">
        <v>238</v>
      </c>
      <c r="N42" s="11" t="n">
        <v>0</v>
      </c>
      <c r="O42" s="43" t="n">
        <f aca="false">N42*K42</f>
        <v>0</v>
      </c>
      <c r="P42" s="43" t="n">
        <f aca="false">Controls!B24</f>
        <v>0</v>
      </c>
      <c r="Q42" s="19" t="n">
        <f aca="false">Controls!B25</f>
        <v>0</v>
      </c>
      <c r="R42" s="19" t="n">
        <f aca="false">Controls!B26</f>
        <v>0</v>
      </c>
      <c r="S42" s="19" t="n">
        <f aca="false">Controls!B27</f>
        <v>0</v>
      </c>
      <c r="T42" s="19" t="str">
        <f aca="false">IF(N42=0,"CONSTITUTED","AWARDED")</f>
        <v>CONSTITUTED</v>
      </c>
    </row>
    <row r="43" customFormat="false" ht="15" hidden="false" customHeight="false" outlineLevel="0" collapsed="false">
      <c r="A43" s="9" t="s">
        <v>324</v>
      </c>
      <c r="B43" s="9" t="s">
        <v>192</v>
      </c>
      <c r="C43" s="9" t="s">
        <v>187</v>
      </c>
      <c r="D43" s="9" t="s">
        <v>325</v>
      </c>
      <c r="E43" s="9" t="s">
        <v>326</v>
      </c>
      <c r="F43" s="9" t="s">
        <v>257</v>
      </c>
      <c r="G43" s="9" t="s">
        <v>327</v>
      </c>
      <c r="H43" s="9" t="s">
        <v>191</v>
      </c>
      <c r="I43" s="9" t="s">
        <v>194</v>
      </c>
      <c r="J43" s="9" t="s">
        <v>328</v>
      </c>
      <c r="K43" s="42" t="n">
        <v>0.316666666666667</v>
      </c>
      <c r="L43" s="11" t="s">
        <v>238</v>
      </c>
      <c r="M43" s="11" t="s">
        <v>238</v>
      </c>
      <c r="N43" s="11" t="n">
        <v>0</v>
      </c>
      <c r="O43" s="43" t="n">
        <f aca="false">N43*K43</f>
        <v>0</v>
      </c>
      <c r="P43" s="43" t="n">
        <f aca="false">Controls!B24</f>
        <v>0</v>
      </c>
      <c r="Q43" s="19" t="n">
        <f aca="false">Controls!B25</f>
        <v>0</v>
      </c>
      <c r="R43" s="19" t="n">
        <f aca="false">Controls!B26</f>
        <v>0</v>
      </c>
      <c r="S43" s="19" t="n">
        <f aca="false">Controls!B27</f>
        <v>0</v>
      </c>
      <c r="T43" s="19" t="str">
        <f aca="false">IF(N43=0,"CONSTITUTED","AWARDED")</f>
        <v>CONSTITUTED</v>
      </c>
    </row>
    <row r="44" customFormat="false" ht="15" hidden="false" customHeight="false" outlineLevel="0" collapsed="false">
      <c r="A44" s="9" t="s">
        <v>329</v>
      </c>
      <c r="B44" s="9" t="s">
        <v>197</v>
      </c>
      <c r="C44" s="9" t="s">
        <v>187</v>
      </c>
      <c r="D44" s="9" t="s">
        <v>325</v>
      </c>
      <c r="E44" s="9" t="s">
        <v>326</v>
      </c>
      <c r="F44" s="9" t="s">
        <v>257</v>
      </c>
      <c r="G44" s="9" t="s">
        <v>327</v>
      </c>
      <c r="H44" s="9" t="s">
        <v>261</v>
      </c>
      <c r="I44" s="9" t="s">
        <v>194</v>
      </c>
      <c r="J44" s="9" t="s">
        <v>330</v>
      </c>
      <c r="K44" s="42" t="n">
        <v>0.09</v>
      </c>
      <c r="L44" s="11" t="s">
        <v>238</v>
      </c>
      <c r="M44" s="11" t="s">
        <v>238</v>
      </c>
      <c r="N44" s="11" t="n">
        <v>0</v>
      </c>
      <c r="O44" s="43" t="n">
        <f aca="false">N44*K44</f>
        <v>0</v>
      </c>
      <c r="P44" s="43" t="n">
        <f aca="false">Controls!B24</f>
        <v>0</v>
      </c>
      <c r="Q44" s="19" t="n">
        <f aca="false">Controls!B25</f>
        <v>0</v>
      </c>
      <c r="R44" s="19" t="n">
        <f aca="false">Controls!B26</f>
        <v>0</v>
      </c>
      <c r="S44" s="19" t="n">
        <f aca="false">Controls!B27</f>
        <v>0</v>
      </c>
      <c r="T44" s="19" t="str">
        <f aca="false">IF(N44=0,"CONSTITUTED","AWARDED")</f>
        <v>CONSTITUTED</v>
      </c>
    </row>
    <row r="45" customFormat="false" ht="15" hidden="false" customHeight="false" outlineLevel="0" collapsed="false">
      <c r="A45" s="9" t="s">
        <v>331</v>
      </c>
      <c r="B45" s="9" t="s">
        <v>197</v>
      </c>
      <c r="C45" s="9" t="s">
        <v>187</v>
      </c>
      <c r="D45" s="9" t="s">
        <v>325</v>
      </c>
      <c r="E45" s="9" t="s">
        <v>326</v>
      </c>
      <c r="F45" s="9" t="s">
        <v>257</v>
      </c>
      <c r="G45" s="9" t="s">
        <v>327</v>
      </c>
      <c r="H45" s="9" t="s">
        <v>264</v>
      </c>
      <c r="I45" s="9" t="s">
        <v>194</v>
      </c>
      <c r="J45" s="9" t="s">
        <v>332</v>
      </c>
      <c r="K45" s="42" t="n">
        <v>0.09</v>
      </c>
      <c r="L45" s="11" t="s">
        <v>238</v>
      </c>
      <c r="M45" s="11" t="s">
        <v>238</v>
      </c>
      <c r="N45" s="11" t="n">
        <v>0</v>
      </c>
      <c r="O45" s="43" t="n">
        <f aca="false">N45*K45</f>
        <v>0</v>
      </c>
      <c r="P45" s="43" t="n">
        <f aca="false">Controls!B24</f>
        <v>0</v>
      </c>
      <c r="Q45" s="19" t="n">
        <f aca="false">Controls!B25</f>
        <v>0</v>
      </c>
      <c r="R45" s="19" t="n">
        <f aca="false">Controls!B26</f>
        <v>0</v>
      </c>
      <c r="S45" s="19" t="n">
        <f aca="false">Controls!B27</f>
        <v>0</v>
      </c>
      <c r="T45" s="19" t="str">
        <f aca="false">IF(N45=0,"CONSTITUTED","AWARDED")</f>
        <v>CONSTITUTED</v>
      </c>
    </row>
    <row r="46" customFormat="false" ht="15" hidden="false" customHeight="false" outlineLevel="0" collapsed="false">
      <c r="A46" s="9" t="s">
        <v>333</v>
      </c>
      <c r="B46" s="9" t="s">
        <v>200</v>
      </c>
      <c r="C46" s="9" t="s">
        <v>187</v>
      </c>
      <c r="D46" s="9" t="s">
        <v>325</v>
      </c>
      <c r="E46" s="9" t="s">
        <v>326</v>
      </c>
      <c r="F46" s="9" t="s">
        <v>257</v>
      </c>
      <c r="G46" s="9" t="s">
        <v>327</v>
      </c>
      <c r="H46" s="9" t="s">
        <v>267</v>
      </c>
      <c r="I46" s="9" t="s">
        <v>194</v>
      </c>
      <c r="J46" s="9" t="s">
        <v>334</v>
      </c>
      <c r="K46" s="42" t="n">
        <v>0.0666666666666667</v>
      </c>
      <c r="L46" s="11" t="s">
        <v>238</v>
      </c>
      <c r="M46" s="11" t="s">
        <v>238</v>
      </c>
      <c r="N46" s="11" t="n">
        <v>0</v>
      </c>
      <c r="O46" s="43" t="n">
        <f aca="false">N46*K46</f>
        <v>0</v>
      </c>
      <c r="P46" s="43" t="n">
        <f aca="false">Controls!B24</f>
        <v>0</v>
      </c>
      <c r="Q46" s="19" t="n">
        <f aca="false">Controls!B25</f>
        <v>0</v>
      </c>
      <c r="R46" s="19" t="n">
        <f aca="false">Controls!B26</f>
        <v>0</v>
      </c>
      <c r="S46" s="19" t="n">
        <f aca="false">Controls!B27</f>
        <v>0</v>
      </c>
      <c r="T46" s="19" t="str">
        <f aca="false">IF(N46=0,"CONSTITUTED","AWARDED")</f>
        <v>CONSTITUTED</v>
      </c>
    </row>
    <row r="47" customFormat="false" ht="15" hidden="false" customHeight="false" outlineLevel="0" collapsed="false">
      <c r="A47" s="9" t="s">
        <v>335</v>
      </c>
      <c r="B47" s="9" t="s">
        <v>203</v>
      </c>
      <c r="C47" s="9" t="s">
        <v>187</v>
      </c>
      <c r="D47" s="9" t="s">
        <v>325</v>
      </c>
      <c r="E47" s="9" t="s">
        <v>326</v>
      </c>
      <c r="F47" s="9" t="s">
        <v>257</v>
      </c>
      <c r="G47" s="9" t="s">
        <v>327</v>
      </c>
      <c r="H47" s="9" t="s">
        <v>236</v>
      </c>
      <c r="I47" s="9" t="s">
        <v>204</v>
      </c>
      <c r="J47" s="9" t="s">
        <v>247</v>
      </c>
      <c r="K47" s="42" t="n">
        <v>0.0633333333333333</v>
      </c>
      <c r="L47" s="11" t="s">
        <v>238</v>
      </c>
      <c r="M47" s="11" t="s">
        <v>238</v>
      </c>
      <c r="N47" s="11" t="n">
        <v>0</v>
      </c>
      <c r="O47" s="43" t="n">
        <f aca="false">N47*K47</f>
        <v>0</v>
      </c>
      <c r="P47" s="43" t="n">
        <f aca="false">Controls!B24</f>
        <v>0</v>
      </c>
      <c r="Q47" s="19" t="n">
        <f aca="false">Controls!B25</f>
        <v>0</v>
      </c>
      <c r="R47" s="19" t="n">
        <f aca="false">Controls!B26</f>
        <v>0</v>
      </c>
      <c r="S47" s="19" t="n">
        <f aca="false">Controls!B27</f>
        <v>0</v>
      </c>
      <c r="T47" s="19" t="str">
        <f aca="false">IF(N47=0,"CONSTITUTED","AWARDED")</f>
        <v>CONSTITUTED</v>
      </c>
    </row>
    <row r="48" customFormat="false" ht="15" hidden="false" customHeight="false" outlineLevel="0" collapsed="false">
      <c r="A48" s="9" t="s">
        <v>336</v>
      </c>
      <c r="B48" s="9" t="s">
        <v>192</v>
      </c>
      <c r="C48" s="9" t="s">
        <v>187</v>
      </c>
      <c r="D48" s="9" t="s">
        <v>325</v>
      </c>
      <c r="E48" s="9" t="s">
        <v>326</v>
      </c>
      <c r="F48" s="9" t="s">
        <v>271</v>
      </c>
      <c r="G48" s="9" t="s">
        <v>337</v>
      </c>
      <c r="H48" s="9" t="s">
        <v>191</v>
      </c>
      <c r="I48" s="9" t="s">
        <v>194</v>
      </c>
      <c r="J48" s="9" t="s">
        <v>338</v>
      </c>
      <c r="K48" s="42" t="n">
        <v>0.316666666666667</v>
      </c>
      <c r="L48" s="11" t="s">
        <v>238</v>
      </c>
      <c r="M48" s="11" t="s">
        <v>238</v>
      </c>
      <c r="N48" s="11" t="n">
        <v>0</v>
      </c>
      <c r="O48" s="43" t="n">
        <f aca="false">N48*K48</f>
        <v>0</v>
      </c>
      <c r="P48" s="43" t="n">
        <f aca="false">Controls!B24</f>
        <v>0</v>
      </c>
      <c r="Q48" s="19" t="n">
        <f aca="false">Controls!B25</f>
        <v>0</v>
      </c>
      <c r="R48" s="19" t="n">
        <f aca="false">Controls!B26</f>
        <v>0</v>
      </c>
      <c r="S48" s="19" t="n">
        <f aca="false">Controls!B27</f>
        <v>0</v>
      </c>
      <c r="T48" s="19" t="str">
        <f aca="false">IF(N48=0,"CONSTITUTED","AWARDED")</f>
        <v>CONSTITUTED</v>
      </c>
    </row>
    <row r="49" customFormat="false" ht="15" hidden="false" customHeight="false" outlineLevel="0" collapsed="false">
      <c r="A49" s="9" t="s">
        <v>339</v>
      </c>
      <c r="B49" s="9" t="s">
        <v>197</v>
      </c>
      <c r="C49" s="9" t="s">
        <v>187</v>
      </c>
      <c r="D49" s="9" t="s">
        <v>325</v>
      </c>
      <c r="E49" s="9" t="s">
        <v>326</v>
      </c>
      <c r="F49" s="9" t="s">
        <v>271</v>
      </c>
      <c r="G49" s="9" t="s">
        <v>337</v>
      </c>
      <c r="H49" s="9" t="s">
        <v>261</v>
      </c>
      <c r="I49" s="9" t="s">
        <v>194</v>
      </c>
      <c r="J49" s="9" t="s">
        <v>340</v>
      </c>
      <c r="K49" s="42" t="n">
        <v>0.09</v>
      </c>
      <c r="L49" s="11" t="s">
        <v>238</v>
      </c>
      <c r="M49" s="11" t="s">
        <v>238</v>
      </c>
      <c r="N49" s="11" t="n">
        <v>0</v>
      </c>
      <c r="O49" s="43" t="n">
        <f aca="false">N49*K49</f>
        <v>0</v>
      </c>
      <c r="P49" s="43" t="n">
        <f aca="false">Controls!B24</f>
        <v>0</v>
      </c>
      <c r="Q49" s="19" t="n">
        <f aca="false">Controls!B25</f>
        <v>0</v>
      </c>
      <c r="R49" s="19" t="n">
        <f aca="false">Controls!B26</f>
        <v>0</v>
      </c>
      <c r="S49" s="19" t="n">
        <f aca="false">Controls!B27</f>
        <v>0</v>
      </c>
      <c r="T49" s="19" t="str">
        <f aca="false">IF(N49=0,"CONSTITUTED","AWARDED")</f>
        <v>CONSTITUTED</v>
      </c>
    </row>
    <row r="50" customFormat="false" ht="15" hidden="false" customHeight="false" outlineLevel="0" collapsed="false">
      <c r="A50" s="9" t="s">
        <v>341</v>
      </c>
      <c r="B50" s="9" t="s">
        <v>197</v>
      </c>
      <c r="C50" s="9" t="s">
        <v>187</v>
      </c>
      <c r="D50" s="9" t="s">
        <v>325</v>
      </c>
      <c r="E50" s="9" t="s">
        <v>326</v>
      </c>
      <c r="F50" s="9" t="s">
        <v>271</v>
      </c>
      <c r="G50" s="9" t="s">
        <v>337</v>
      </c>
      <c r="H50" s="9" t="s">
        <v>264</v>
      </c>
      <c r="I50" s="9" t="s">
        <v>194</v>
      </c>
      <c r="J50" s="9" t="s">
        <v>342</v>
      </c>
      <c r="K50" s="42" t="n">
        <v>0.09</v>
      </c>
      <c r="L50" s="11" t="s">
        <v>238</v>
      </c>
      <c r="M50" s="11" t="s">
        <v>238</v>
      </c>
      <c r="N50" s="11" t="n">
        <v>0</v>
      </c>
      <c r="O50" s="43" t="n">
        <f aca="false">N50*K50</f>
        <v>0</v>
      </c>
      <c r="P50" s="43" t="n">
        <f aca="false">Controls!B24</f>
        <v>0</v>
      </c>
      <c r="Q50" s="19" t="n">
        <f aca="false">Controls!B25</f>
        <v>0</v>
      </c>
      <c r="R50" s="19" t="n">
        <f aca="false">Controls!B26</f>
        <v>0</v>
      </c>
      <c r="S50" s="19" t="n">
        <f aca="false">Controls!B27</f>
        <v>0</v>
      </c>
      <c r="T50" s="19" t="str">
        <f aca="false">IF(N50=0,"CONSTITUTED","AWARDED")</f>
        <v>CONSTITUTED</v>
      </c>
    </row>
    <row r="51" customFormat="false" ht="15" hidden="false" customHeight="false" outlineLevel="0" collapsed="false">
      <c r="A51" s="9" t="s">
        <v>343</v>
      </c>
      <c r="B51" s="9" t="s">
        <v>200</v>
      </c>
      <c r="C51" s="9" t="s">
        <v>187</v>
      </c>
      <c r="D51" s="9" t="s">
        <v>325</v>
      </c>
      <c r="E51" s="9" t="s">
        <v>326</v>
      </c>
      <c r="F51" s="9" t="s">
        <v>271</v>
      </c>
      <c r="G51" s="9" t="s">
        <v>337</v>
      </c>
      <c r="H51" s="9" t="s">
        <v>267</v>
      </c>
      <c r="I51" s="9" t="s">
        <v>194</v>
      </c>
      <c r="J51" s="9" t="s">
        <v>344</v>
      </c>
      <c r="K51" s="42" t="n">
        <v>0.0666666666666667</v>
      </c>
      <c r="L51" s="11" t="s">
        <v>238</v>
      </c>
      <c r="M51" s="11" t="s">
        <v>238</v>
      </c>
      <c r="N51" s="11" t="n">
        <v>0</v>
      </c>
      <c r="O51" s="43" t="n">
        <f aca="false">N51*K51</f>
        <v>0</v>
      </c>
      <c r="P51" s="43" t="n">
        <f aca="false">Controls!B24</f>
        <v>0</v>
      </c>
      <c r="Q51" s="19" t="n">
        <f aca="false">Controls!B25</f>
        <v>0</v>
      </c>
      <c r="R51" s="19" t="n">
        <f aca="false">Controls!B26</f>
        <v>0</v>
      </c>
      <c r="S51" s="19" t="n">
        <f aca="false">Controls!B27</f>
        <v>0</v>
      </c>
      <c r="T51" s="19" t="str">
        <f aca="false">IF(N51=0,"CONSTITUTED","AWARDED")</f>
        <v>CONSTITUTED</v>
      </c>
    </row>
    <row r="52" customFormat="false" ht="15" hidden="false" customHeight="false" outlineLevel="0" collapsed="false">
      <c r="A52" s="9" t="s">
        <v>345</v>
      </c>
      <c r="B52" s="9" t="s">
        <v>203</v>
      </c>
      <c r="C52" s="9" t="s">
        <v>187</v>
      </c>
      <c r="D52" s="9" t="s">
        <v>325</v>
      </c>
      <c r="E52" s="9" t="s">
        <v>326</v>
      </c>
      <c r="F52" s="9" t="s">
        <v>271</v>
      </c>
      <c r="G52" s="9" t="s">
        <v>337</v>
      </c>
      <c r="H52" s="9" t="s">
        <v>236</v>
      </c>
      <c r="I52" s="9" t="s">
        <v>204</v>
      </c>
      <c r="J52" s="9" t="s">
        <v>253</v>
      </c>
      <c r="K52" s="42" t="n">
        <v>0.0633333333333333</v>
      </c>
      <c r="L52" s="11" t="s">
        <v>238</v>
      </c>
      <c r="M52" s="11" t="s">
        <v>238</v>
      </c>
      <c r="N52" s="11" t="n">
        <v>0</v>
      </c>
      <c r="O52" s="43" t="n">
        <f aca="false">N52*K52</f>
        <v>0</v>
      </c>
      <c r="P52" s="43" t="n">
        <f aca="false">Controls!B24</f>
        <v>0</v>
      </c>
      <c r="Q52" s="19" t="n">
        <f aca="false">Controls!B25</f>
        <v>0</v>
      </c>
      <c r="R52" s="19" t="n">
        <f aca="false">Controls!B26</f>
        <v>0</v>
      </c>
      <c r="S52" s="19" t="n">
        <f aca="false">Controls!B27</f>
        <v>0</v>
      </c>
      <c r="T52" s="19" t="str">
        <f aca="false">IF(N52=0,"CONSTITUTED","AWARDED")</f>
        <v>CONSTITUTED</v>
      </c>
    </row>
    <row r="53" customFormat="false" ht="15" hidden="false" customHeight="false" outlineLevel="0" collapsed="false">
      <c r="A53" s="9" t="s">
        <v>346</v>
      </c>
      <c r="B53" s="9" t="s">
        <v>192</v>
      </c>
      <c r="C53" s="9" t="s">
        <v>187</v>
      </c>
      <c r="D53" s="9" t="s">
        <v>325</v>
      </c>
      <c r="E53" s="9" t="s">
        <v>326</v>
      </c>
      <c r="F53" s="9" t="s">
        <v>282</v>
      </c>
      <c r="G53" s="9" t="s">
        <v>347</v>
      </c>
      <c r="H53" s="9" t="s">
        <v>191</v>
      </c>
      <c r="I53" s="9" t="s">
        <v>194</v>
      </c>
      <c r="J53" s="9" t="s">
        <v>348</v>
      </c>
      <c r="K53" s="42" t="n">
        <v>0.316666666666667</v>
      </c>
      <c r="L53" s="11" t="s">
        <v>238</v>
      </c>
      <c r="M53" s="11" t="s">
        <v>238</v>
      </c>
      <c r="N53" s="11" t="n">
        <v>0</v>
      </c>
      <c r="O53" s="43" t="n">
        <f aca="false">N53*K53</f>
        <v>0</v>
      </c>
      <c r="P53" s="43" t="n">
        <f aca="false">Controls!B24</f>
        <v>0</v>
      </c>
      <c r="Q53" s="19" t="n">
        <f aca="false">Controls!B25</f>
        <v>0</v>
      </c>
      <c r="R53" s="19" t="n">
        <f aca="false">Controls!B26</f>
        <v>0</v>
      </c>
      <c r="S53" s="19" t="n">
        <f aca="false">Controls!B27</f>
        <v>0</v>
      </c>
      <c r="T53" s="19" t="str">
        <f aca="false">IF(N53=0,"CONSTITUTED","AWARDED")</f>
        <v>CONSTITUTED</v>
      </c>
    </row>
    <row r="54" customFormat="false" ht="15" hidden="false" customHeight="false" outlineLevel="0" collapsed="false">
      <c r="A54" s="9" t="s">
        <v>349</v>
      </c>
      <c r="B54" s="9" t="s">
        <v>197</v>
      </c>
      <c r="C54" s="9" t="s">
        <v>187</v>
      </c>
      <c r="D54" s="9" t="s">
        <v>325</v>
      </c>
      <c r="E54" s="9" t="s">
        <v>326</v>
      </c>
      <c r="F54" s="9" t="s">
        <v>282</v>
      </c>
      <c r="G54" s="9" t="s">
        <v>347</v>
      </c>
      <c r="H54" s="9" t="s">
        <v>261</v>
      </c>
      <c r="I54" s="9" t="s">
        <v>194</v>
      </c>
      <c r="J54" s="9" t="s">
        <v>350</v>
      </c>
      <c r="K54" s="42" t="n">
        <v>0.09</v>
      </c>
      <c r="L54" s="11" t="s">
        <v>238</v>
      </c>
      <c r="M54" s="11" t="s">
        <v>238</v>
      </c>
      <c r="N54" s="11" t="n">
        <v>0</v>
      </c>
      <c r="O54" s="43" t="n">
        <f aca="false">N54*K54</f>
        <v>0</v>
      </c>
      <c r="P54" s="43" t="n">
        <f aca="false">Controls!B24</f>
        <v>0</v>
      </c>
      <c r="Q54" s="19" t="n">
        <f aca="false">Controls!B25</f>
        <v>0</v>
      </c>
      <c r="R54" s="19" t="n">
        <f aca="false">Controls!B26</f>
        <v>0</v>
      </c>
      <c r="S54" s="19" t="n">
        <f aca="false">Controls!B27</f>
        <v>0</v>
      </c>
      <c r="T54" s="19" t="str">
        <f aca="false">IF(N54=0,"CONSTITUTED","AWARDED")</f>
        <v>CONSTITUTED</v>
      </c>
    </row>
    <row r="55" customFormat="false" ht="15" hidden="false" customHeight="false" outlineLevel="0" collapsed="false">
      <c r="A55" s="9" t="s">
        <v>351</v>
      </c>
      <c r="B55" s="9" t="s">
        <v>197</v>
      </c>
      <c r="C55" s="9" t="s">
        <v>187</v>
      </c>
      <c r="D55" s="9" t="s">
        <v>325</v>
      </c>
      <c r="E55" s="9" t="s">
        <v>326</v>
      </c>
      <c r="F55" s="9" t="s">
        <v>282</v>
      </c>
      <c r="G55" s="9" t="s">
        <v>347</v>
      </c>
      <c r="H55" s="9" t="s">
        <v>264</v>
      </c>
      <c r="I55" s="9" t="s">
        <v>194</v>
      </c>
      <c r="J55" s="9" t="s">
        <v>352</v>
      </c>
      <c r="K55" s="42" t="n">
        <v>0.09</v>
      </c>
      <c r="L55" s="11" t="s">
        <v>238</v>
      </c>
      <c r="M55" s="11" t="s">
        <v>238</v>
      </c>
      <c r="N55" s="11" t="n">
        <v>0</v>
      </c>
      <c r="O55" s="43" t="n">
        <f aca="false">N55*K55</f>
        <v>0</v>
      </c>
      <c r="P55" s="43" t="n">
        <f aca="false">Controls!B24</f>
        <v>0</v>
      </c>
      <c r="Q55" s="19" t="n">
        <f aca="false">Controls!B25</f>
        <v>0</v>
      </c>
      <c r="R55" s="19" t="n">
        <f aca="false">Controls!B26</f>
        <v>0</v>
      </c>
      <c r="S55" s="19" t="n">
        <f aca="false">Controls!B27</f>
        <v>0</v>
      </c>
      <c r="T55" s="19" t="str">
        <f aca="false">IF(N55=0,"CONSTITUTED","AWARDED")</f>
        <v>CONSTITUTED</v>
      </c>
    </row>
    <row r="56" customFormat="false" ht="15" hidden="false" customHeight="false" outlineLevel="0" collapsed="false">
      <c r="A56" s="9" t="s">
        <v>353</v>
      </c>
      <c r="B56" s="9" t="s">
        <v>200</v>
      </c>
      <c r="C56" s="9" t="s">
        <v>187</v>
      </c>
      <c r="D56" s="9" t="s">
        <v>325</v>
      </c>
      <c r="E56" s="9" t="s">
        <v>326</v>
      </c>
      <c r="F56" s="9" t="s">
        <v>282</v>
      </c>
      <c r="G56" s="9" t="s">
        <v>347</v>
      </c>
      <c r="H56" s="9" t="s">
        <v>267</v>
      </c>
      <c r="I56" s="9" t="s">
        <v>194</v>
      </c>
      <c r="J56" s="9" t="s">
        <v>354</v>
      </c>
      <c r="K56" s="42" t="n">
        <v>0.0666666666666667</v>
      </c>
      <c r="L56" s="11" t="s">
        <v>238</v>
      </c>
      <c r="M56" s="11" t="s">
        <v>238</v>
      </c>
      <c r="N56" s="11" t="n">
        <v>0</v>
      </c>
      <c r="O56" s="43" t="n">
        <f aca="false">N56*K56</f>
        <v>0</v>
      </c>
      <c r="P56" s="43" t="n">
        <f aca="false">Controls!B24</f>
        <v>0</v>
      </c>
      <c r="Q56" s="19" t="n">
        <f aca="false">Controls!B25</f>
        <v>0</v>
      </c>
      <c r="R56" s="19" t="n">
        <f aca="false">Controls!B26</f>
        <v>0</v>
      </c>
      <c r="S56" s="19" t="n">
        <f aca="false">Controls!B27</f>
        <v>0</v>
      </c>
      <c r="T56" s="19" t="str">
        <f aca="false">IF(N56=0,"CONSTITUTED","AWARDED")</f>
        <v>CONSTITUTED</v>
      </c>
    </row>
    <row r="57" customFormat="false" ht="15" hidden="false" customHeight="false" outlineLevel="0" collapsed="false">
      <c r="A57" s="9" t="s">
        <v>355</v>
      </c>
      <c r="B57" s="9" t="s">
        <v>203</v>
      </c>
      <c r="C57" s="9" t="s">
        <v>187</v>
      </c>
      <c r="D57" s="9" t="s">
        <v>325</v>
      </c>
      <c r="E57" s="9" t="s">
        <v>326</v>
      </c>
      <c r="F57" s="9" t="s">
        <v>282</v>
      </c>
      <c r="G57" s="9" t="s">
        <v>347</v>
      </c>
      <c r="H57" s="9" t="s">
        <v>236</v>
      </c>
      <c r="I57" s="9" t="s">
        <v>204</v>
      </c>
      <c r="J57" s="9" t="s">
        <v>241</v>
      </c>
      <c r="K57" s="42" t="n">
        <v>0.0633333333333333</v>
      </c>
      <c r="L57" s="11" t="s">
        <v>238</v>
      </c>
      <c r="M57" s="11" t="s">
        <v>238</v>
      </c>
      <c r="N57" s="11" t="n">
        <v>0</v>
      </c>
      <c r="O57" s="43" t="n">
        <f aca="false">N57*K57</f>
        <v>0</v>
      </c>
      <c r="P57" s="43" t="n">
        <f aca="false">Controls!B24</f>
        <v>0</v>
      </c>
      <c r="Q57" s="19" t="n">
        <f aca="false">Controls!B25</f>
        <v>0</v>
      </c>
      <c r="R57" s="19" t="n">
        <f aca="false">Controls!B26</f>
        <v>0</v>
      </c>
      <c r="S57" s="19" t="n">
        <f aca="false">Controls!B27</f>
        <v>0</v>
      </c>
      <c r="T57" s="19" t="str">
        <f aca="false">IF(N57=0,"CONSTITUTED","AWARDED")</f>
        <v>CONSTITUTED</v>
      </c>
    </row>
    <row r="58" customFormat="false" ht="15" hidden="false" customHeight="false" outlineLevel="0" collapsed="false">
      <c r="A58" s="9" t="s">
        <v>356</v>
      </c>
      <c r="B58" s="9" t="s">
        <v>192</v>
      </c>
      <c r="C58" s="9" t="s">
        <v>187</v>
      </c>
      <c r="D58" s="9" t="s">
        <v>357</v>
      </c>
      <c r="E58" s="9" t="s">
        <v>358</v>
      </c>
      <c r="F58" s="9" t="s">
        <v>257</v>
      </c>
      <c r="G58" s="9" t="s">
        <v>359</v>
      </c>
      <c r="H58" s="9" t="s">
        <v>191</v>
      </c>
      <c r="I58" s="9" t="s">
        <v>194</v>
      </c>
      <c r="J58" s="9" t="s">
        <v>259</v>
      </c>
      <c r="K58" s="42" t="n">
        <v>0.316666666666667</v>
      </c>
      <c r="L58" s="11" t="s">
        <v>238</v>
      </c>
      <c r="M58" s="11" t="s">
        <v>238</v>
      </c>
      <c r="N58" s="11" t="n">
        <v>0</v>
      </c>
      <c r="O58" s="43" t="n">
        <f aca="false">N58*K58</f>
        <v>0</v>
      </c>
      <c r="P58" s="43" t="n">
        <f aca="false">Controls!B24</f>
        <v>0</v>
      </c>
      <c r="Q58" s="19" t="n">
        <f aca="false">Controls!B25</f>
        <v>0</v>
      </c>
      <c r="R58" s="19" t="n">
        <f aca="false">Controls!B26</f>
        <v>0</v>
      </c>
      <c r="S58" s="19" t="n">
        <f aca="false">Controls!B27</f>
        <v>0</v>
      </c>
      <c r="T58" s="19" t="str">
        <f aca="false">IF(N58=0,"CONSTITUTED","AWARDED")</f>
        <v>CONSTITUTED</v>
      </c>
    </row>
    <row r="59" customFormat="false" ht="15" hidden="false" customHeight="false" outlineLevel="0" collapsed="false">
      <c r="A59" s="9" t="s">
        <v>360</v>
      </c>
      <c r="B59" s="9" t="s">
        <v>197</v>
      </c>
      <c r="C59" s="9" t="s">
        <v>187</v>
      </c>
      <c r="D59" s="9" t="s">
        <v>357</v>
      </c>
      <c r="E59" s="9" t="s">
        <v>358</v>
      </c>
      <c r="F59" s="9" t="s">
        <v>257</v>
      </c>
      <c r="G59" s="9" t="s">
        <v>359</v>
      </c>
      <c r="H59" s="9" t="s">
        <v>261</v>
      </c>
      <c r="I59" s="9" t="s">
        <v>194</v>
      </c>
      <c r="J59" s="9" t="s">
        <v>262</v>
      </c>
      <c r="K59" s="42" t="n">
        <v>0.09</v>
      </c>
      <c r="L59" s="11" t="s">
        <v>238</v>
      </c>
      <c r="M59" s="11" t="s">
        <v>238</v>
      </c>
      <c r="N59" s="11" t="n">
        <v>0</v>
      </c>
      <c r="O59" s="43" t="n">
        <f aca="false">N59*K59</f>
        <v>0</v>
      </c>
      <c r="P59" s="43" t="n">
        <f aca="false">Controls!B24</f>
        <v>0</v>
      </c>
      <c r="Q59" s="19" t="n">
        <f aca="false">Controls!B25</f>
        <v>0</v>
      </c>
      <c r="R59" s="19" t="n">
        <f aca="false">Controls!B26</f>
        <v>0</v>
      </c>
      <c r="S59" s="19" t="n">
        <f aca="false">Controls!B27</f>
        <v>0</v>
      </c>
      <c r="T59" s="19" t="str">
        <f aca="false">IF(N59=0,"CONSTITUTED","AWARDED")</f>
        <v>CONSTITUTED</v>
      </c>
    </row>
    <row r="60" customFormat="false" ht="15" hidden="false" customHeight="false" outlineLevel="0" collapsed="false">
      <c r="A60" s="9" t="s">
        <v>361</v>
      </c>
      <c r="B60" s="9" t="s">
        <v>197</v>
      </c>
      <c r="C60" s="9" t="s">
        <v>187</v>
      </c>
      <c r="D60" s="9" t="s">
        <v>357</v>
      </c>
      <c r="E60" s="9" t="s">
        <v>358</v>
      </c>
      <c r="F60" s="9" t="s">
        <v>257</v>
      </c>
      <c r="G60" s="9" t="s">
        <v>359</v>
      </c>
      <c r="H60" s="9" t="s">
        <v>264</v>
      </c>
      <c r="I60" s="9" t="s">
        <v>194</v>
      </c>
      <c r="J60" s="9" t="s">
        <v>265</v>
      </c>
      <c r="K60" s="42" t="n">
        <v>0.09</v>
      </c>
      <c r="L60" s="11" t="s">
        <v>238</v>
      </c>
      <c r="M60" s="11" t="s">
        <v>238</v>
      </c>
      <c r="N60" s="11" t="n">
        <v>0</v>
      </c>
      <c r="O60" s="43" t="n">
        <f aca="false">N60*K60</f>
        <v>0</v>
      </c>
      <c r="P60" s="43" t="n">
        <f aca="false">Controls!B24</f>
        <v>0</v>
      </c>
      <c r="Q60" s="19" t="n">
        <f aca="false">Controls!B25</f>
        <v>0</v>
      </c>
      <c r="R60" s="19" t="n">
        <f aca="false">Controls!B26</f>
        <v>0</v>
      </c>
      <c r="S60" s="19" t="n">
        <f aca="false">Controls!B27</f>
        <v>0</v>
      </c>
      <c r="T60" s="19" t="str">
        <f aca="false">IF(N60=0,"CONSTITUTED","AWARDED")</f>
        <v>CONSTITUTED</v>
      </c>
    </row>
    <row r="61" customFormat="false" ht="15" hidden="false" customHeight="false" outlineLevel="0" collapsed="false">
      <c r="A61" s="9" t="s">
        <v>362</v>
      </c>
      <c r="B61" s="9" t="s">
        <v>200</v>
      </c>
      <c r="C61" s="9" t="s">
        <v>187</v>
      </c>
      <c r="D61" s="9" t="s">
        <v>357</v>
      </c>
      <c r="E61" s="9" t="s">
        <v>358</v>
      </c>
      <c r="F61" s="9" t="s">
        <v>257</v>
      </c>
      <c r="G61" s="9" t="s">
        <v>359</v>
      </c>
      <c r="H61" s="9" t="s">
        <v>267</v>
      </c>
      <c r="I61" s="9" t="s">
        <v>194</v>
      </c>
      <c r="J61" s="9" t="s">
        <v>268</v>
      </c>
      <c r="K61" s="42" t="n">
        <v>0.0666666666666667</v>
      </c>
      <c r="L61" s="11" t="s">
        <v>238</v>
      </c>
      <c r="M61" s="11" t="s">
        <v>238</v>
      </c>
      <c r="N61" s="11" t="n">
        <v>0</v>
      </c>
      <c r="O61" s="43" t="n">
        <f aca="false">N61*K61</f>
        <v>0</v>
      </c>
      <c r="P61" s="43" t="n">
        <f aca="false">Controls!B24</f>
        <v>0</v>
      </c>
      <c r="Q61" s="19" t="n">
        <f aca="false">Controls!B25</f>
        <v>0</v>
      </c>
      <c r="R61" s="19" t="n">
        <f aca="false">Controls!B26</f>
        <v>0</v>
      </c>
      <c r="S61" s="19" t="n">
        <f aca="false">Controls!B27</f>
        <v>0</v>
      </c>
      <c r="T61" s="19" t="str">
        <f aca="false">IF(N61=0,"CONSTITUTED","AWARDED")</f>
        <v>CONSTITUTED</v>
      </c>
    </row>
    <row r="62" customFormat="false" ht="15" hidden="false" customHeight="false" outlineLevel="0" collapsed="false">
      <c r="A62" s="9" t="s">
        <v>363</v>
      </c>
      <c r="B62" s="9" t="s">
        <v>203</v>
      </c>
      <c r="C62" s="9" t="s">
        <v>187</v>
      </c>
      <c r="D62" s="9" t="s">
        <v>357</v>
      </c>
      <c r="E62" s="9" t="s">
        <v>358</v>
      </c>
      <c r="F62" s="9" t="s">
        <v>257</v>
      </c>
      <c r="G62" s="9" t="s">
        <v>359</v>
      </c>
      <c r="H62" s="9" t="s">
        <v>236</v>
      </c>
      <c r="I62" s="9" t="s">
        <v>204</v>
      </c>
      <c r="J62" s="9" t="s">
        <v>250</v>
      </c>
      <c r="K62" s="42" t="n">
        <v>0.0633333333333333</v>
      </c>
      <c r="L62" s="11" t="s">
        <v>238</v>
      </c>
      <c r="M62" s="11" t="s">
        <v>238</v>
      </c>
      <c r="N62" s="11" t="n">
        <v>0</v>
      </c>
      <c r="O62" s="43" t="n">
        <f aca="false">N62*K62</f>
        <v>0</v>
      </c>
      <c r="P62" s="43" t="n">
        <f aca="false">Controls!B24</f>
        <v>0</v>
      </c>
      <c r="Q62" s="19" t="n">
        <f aca="false">Controls!B25</f>
        <v>0</v>
      </c>
      <c r="R62" s="19" t="n">
        <f aca="false">Controls!B26</f>
        <v>0</v>
      </c>
      <c r="S62" s="19" t="n">
        <f aca="false">Controls!B27</f>
        <v>0</v>
      </c>
      <c r="T62" s="19" t="str">
        <f aca="false">IF(N62=0,"CONSTITUTED","AWARDED")</f>
        <v>CONSTITUTED</v>
      </c>
    </row>
    <row r="63" customFormat="false" ht="15" hidden="false" customHeight="false" outlineLevel="0" collapsed="false">
      <c r="A63" s="9" t="s">
        <v>364</v>
      </c>
      <c r="B63" s="9" t="s">
        <v>192</v>
      </c>
      <c r="C63" s="9" t="s">
        <v>187</v>
      </c>
      <c r="D63" s="9" t="s">
        <v>357</v>
      </c>
      <c r="E63" s="9" t="s">
        <v>358</v>
      </c>
      <c r="F63" s="9" t="s">
        <v>271</v>
      </c>
      <c r="G63" s="9" t="s">
        <v>365</v>
      </c>
      <c r="H63" s="9" t="s">
        <v>191</v>
      </c>
      <c r="I63" s="9" t="s">
        <v>194</v>
      </c>
      <c r="J63" s="9" t="s">
        <v>273</v>
      </c>
      <c r="K63" s="42" t="n">
        <v>0.316666666666667</v>
      </c>
      <c r="L63" s="11" t="s">
        <v>238</v>
      </c>
      <c r="M63" s="11" t="s">
        <v>238</v>
      </c>
      <c r="N63" s="11" t="n">
        <v>0</v>
      </c>
      <c r="O63" s="43" t="n">
        <f aca="false">N63*K63</f>
        <v>0</v>
      </c>
      <c r="P63" s="43" t="n">
        <f aca="false">Controls!B24</f>
        <v>0</v>
      </c>
      <c r="Q63" s="19" t="n">
        <f aca="false">Controls!B25</f>
        <v>0</v>
      </c>
      <c r="R63" s="19" t="n">
        <f aca="false">Controls!B26</f>
        <v>0</v>
      </c>
      <c r="S63" s="19" t="n">
        <f aca="false">Controls!B27</f>
        <v>0</v>
      </c>
      <c r="T63" s="19" t="str">
        <f aca="false">IF(N63=0,"CONSTITUTED","AWARDED")</f>
        <v>CONSTITUTED</v>
      </c>
    </row>
    <row r="64" customFormat="false" ht="15" hidden="false" customHeight="false" outlineLevel="0" collapsed="false">
      <c r="A64" s="9" t="s">
        <v>366</v>
      </c>
      <c r="B64" s="9" t="s">
        <v>197</v>
      </c>
      <c r="C64" s="9" t="s">
        <v>187</v>
      </c>
      <c r="D64" s="9" t="s">
        <v>357</v>
      </c>
      <c r="E64" s="9" t="s">
        <v>358</v>
      </c>
      <c r="F64" s="9" t="s">
        <v>271</v>
      </c>
      <c r="G64" s="9" t="s">
        <v>365</v>
      </c>
      <c r="H64" s="9" t="s">
        <v>261</v>
      </c>
      <c r="I64" s="9" t="s">
        <v>194</v>
      </c>
      <c r="J64" s="9" t="s">
        <v>275</v>
      </c>
      <c r="K64" s="42" t="n">
        <v>0.09</v>
      </c>
      <c r="L64" s="11" t="s">
        <v>238</v>
      </c>
      <c r="M64" s="11" t="s">
        <v>238</v>
      </c>
      <c r="N64" s="11" t="n">
        <v>0</v>
      </c>
      <c r="O64" s="43" t="n">
        <f aca="false">N64*K64</f>
        <v>0</v>
      </c>
      <c r="P64" s="43" t="n">
        <f aca="false">Controls!B24</f>
        <v>0</v>
      </c>
      <c r="Q64" s="19" t="n">
        <f aca="false">Controls!B25</f>
        <v>0</v>
      </c>
      <c r="R64" s="19" t="n">
        <f aca="false">Controls!B26</f>
        <v>0</v>
      </c>
      <c r="S64" s="19" t="n">
        <f aca="false">Controls!B27</f>
        <v>0</v>
      </c>
      <c r="T64" s="19" t="str">
        <f aca="false">IF(N64=0,"CONSTITUTED","AWARDED")</f>
        <v>CONSTITUTED</v>
      </c>
    </row>
    <row r="65" customFormat="false" ht="15" hidden="false" customHeight="false" outlineLevel="0" collapsed="false">
      <c r="A65" s="9" t="s">
        <v>367</v>
      </c>
      <c r="B65" s="9" t="s">
        <v>197</v>
      </c>
      <c r="C65" s="9" t="s">
        <v>187</v>
      </c>
      <c r="D65" s="9" t="s">
        <v>357</v>
      </c>
      <c r="E65" s="9" t="s">
        <v>358</v>
      </c>
      <c r="F65" s="9" t="s">
        <v>271</v>
      </c>
      <c r="G65" s="9" t="s">
        <v>365</v>
      </c>
      <c r="H65" s="9" t="s">
        <v>264</v>
      </c>
      <c r="I65" s="9" t="s">
        <v>194</v>
      </c>
      <c r="J65" s="9" t="s">
        <v>277</v>
      </c>
      <c r="K65" s="42" t="n">
        <v>0.09</v>
      </c>
      <c r="L65" s="11" t="s">
        <v>238</v>
      </c>
      <c r="M65" s="11" t="s">
        <v>238</v>
      </c>
      <c r="N65" s="11" t="n">
        <v>0</v>
      </c>
      <c r="O65" s="43" t="n">
        <f aca="false">N65*K65</f>
        <v>0</v>
      </c>
      <c r="P65" s="43" t="n">
        <f aca="false">Controls!B24</f>
        <v>0</v>
      </c>
      <c r="Q65" s="19" t="n">
        <f aca="false">Controls!B25</f>
        <v>0</v>
      </c>
      <c r="R65" s="19" t="n">
        <f aca="false">Controls!B26</f>
        <v>0</v>
      </c>
      <c r="S65" s="19" t="n">
        <f aca="false">Controls!B27</f>
        <v>0</v>
      </c>
      <c r="T65" s="19" t="str">
        <f aca="false">IF(N65=0,"CONSTITUTED","AWARDED")</f>
        <v>CONSTITUTED</v>
      </c>
    </row>
    <row r="66" customFormat="false" ht="15" hidden="false" customHeight="false" outlineLevel="0" collapsed="false">
      <c r="A66" s="9" t="s">
        <v>368</v>
      </c>
      <c r="B66" s="9" t="s">
        <v>200</v>
      </c>
      <c r="C66" s="9" t="s">
        <v>187</v>
      </c>
      <c r="D66" s="9" t="s">
        <v>357</v>
      </c>
      <c r="E66" s="9" t="s">
        <v>358</v>
      </c>
      <c r="F66" s="9" t="s">
        <v>271</v>
      </c>
      <c r="G66" s="9" t="s">
        <v>365</v>
      </c>
      <c r="H66" s="9" t="s">
        <v>267</v>
      </c>
      <c r="I66" s="9" t="s">
        <v>194</v>
      </c>
      <c r="J66" s="9" t="s">
        <v>279</v>
      </c>
      <c r="K66" s="42" t="n">
        <v>0.0666666666666667</v>
      </c>
      <c r="L66" s="11" t="s">
        <v>238</v>
      </c>
      <c r="M66" s="11" t="s">
        <v>238</v>
      </c>
      <c r="N66" s="11" t="n">
        <v>0</v>
      </c>
      <c r="O66" s="43" t="n">
        <f aca="false">N66*K66</f>
        <v>0</v>
      </c>
      <c r="P66" s="43" t="n">
        <f aca="false">Controls!B24</f>
        <v>0</v>
      </c>
      <c r="Q66" s="19" t="n">
        <f aca="false">Controls!B25</f>
        <v>0</v>
      </c>
      <c r="R66" s="19" t="n">
        <f aca="false">Controls!B26</f>
        <v>0</v>
      </c>
      <c r="S66" s="19" t="n">
        <f aca="false">Controls!B27</f>
        <v>0</v>
      </c>
      <c r="T66" s="19" t="str">
        <f aca="false">IF(N66=0,"CONSTITUTED","AWARDED")</f>
        <v>CONSTITUTED</v>
      </c>
    </row>
    <row r="67" customFormat="false" ht="15" hidden="false" customHeight="false" outlineLevel="0" collapsed="false">
      <c r="A67" s="9" t="s">
        <v>369</v>
      </c>
      <c r="B67" s="9" t="s">
        <v>203</v>
      </c>
      <c r="C67" s="9" t="s">
        <v>187</v>
      </c>
      <c r="D67" s="9" t="s">
        <v>357</v>
      </c>
      <c r="E67" s="9" t="s">
        <v>358</v>
      </c>
      <c r="F67" s="9" t="s">
        <v>271</v>
      </c>
      <c r="G67" s="9" t="s">
        <v>365</v>
      </c>
      <c r="H67" s="9" t="s">
        <v>236</v>
      </c>
      <c r="I67" s="9" t="s">
        <v>204</v>
      </c>
      <c r="J67" s="9" t="s">
        <v>237</v>
      </c>
      <c r="K67" s="42" t="n">
        <v>0.0633333333333333</v>
      </c>
      <c r="L67" s="11" t="s">
        <v>238</v>
      </c>
      <c r="M67" s="11" t="s">
        <v>238</v>
      </c>
      <c r="N67" s="11" t="n">
        <v>0</v>
      </c>
      <c r="O67" s="43" t="n">
        <f aca="false">N67*K67</f>
        <v>0</v>
      </c>
      <c r="P67" s="43" t="n">
        <f aca="false">Controls!B24</f>
        <v>0</v>
      </c>
      <c r="Q67" s="19" t="n">
        <f aca="false">Controls!B25</f>
        <v>0</v>
      </c>
      <c r="R67" s="19" t="n">
        <f aca="false">Controls!B26</f>
        <v>0</v>
      </c>
      <c r="S67" s="19" t="n">
        <f aca="false">Controls!B27</f>
        <v>0</v>
      </c>
      <c r="T67" s="19" t="str">
        <f aca="false">IF(N67=0,"CONSTITUTED","AWARDED")</f>
        <v>CONSTITUTED</v>
      </c>
    </row>
    <row r="68" customFormat="false" ht="15" hidden="false" customHeight="false" outlineLevel="0" collapsed="false">
      <c r="A68" s="9" t="s">
        <v>370</v>
      </c>
      <c r="B68" s="9" t="s">
        <v>192</v>
      </c>
      <c r="C68" s="9" t="s">
        <v>187</v>
      </c>
      <c r="D68" s="9" t="s">
        <v>357</v>
      </c>
      <c r="E68" s="9" t="s">
        <v>358</v>
      </c>
      <c r="F68" s="9" t="s">
        <v>282</v>
      </c>
      <c r="G68" s="9" t="s">
        <v>371</v>
      </c>
      <c r="H68" s="9" t="s">
        <v>191</v>
      </c>
      <c r="I68" s="9" t="s">
        <v>194</v>
      </c>
      <c r="J68" s="9" t="s">
        <v>284</v>
      </c>
      <c r="K68" s="42" t="n">
        <v>0.316666666666667</v>
      </c>
      <c r="L68" s="11" t="s">
        <v>238</v>
      </c>
      <c r="M68" s="11" t="s">
        <v>238</v>
      </c>
      <c r="N68" s="11" t="n">
        <v>0</v>
      </c>
      <c r="O68" s="43" t="n">
        <f aca="false">N68*K68</f>
        <v>0</v>
      </c>
      <c r="P68" s="43" t="n">
        <f aca="false">Controls!B24</f>
        <v>0</v>
      </c>
      <c r="Q68" s="19" t="n">
        <f aca="false">Controls!B25</f>
        <v>0</v>
      </c>
      <c r="R68" s="19" t="n">
        <f aca="false">Controls!B26</f>
        <v>0</v>
      </c>
      <c r="S68" s="19" t="n">
        <f aca="false">Controls!B27</f>
        <v>0</v>
      </c>
      <c r="T68" s="19" t="str">
        <f aca="false">IF(N68=0,"CONSTITUTED","AWARDED")</f>
        <v>CONSTITUTED</v>
      </c>
    </row>
    <row r="69" customFormat="false" ht="15" hidden="false" customHeight="false" outlineLevel="0" collapsed="false">
      <c r="A69" s="9" t="s">
        <v>372</v>
      </c>
      <c r="B69" s="9" t="s">
        <v>197</v>
      </c>
      <c r="C69" s="9" t="s">
        <v>187</v>
      </c>
      <c r="D69" s="9" t="s">
        <v>357</v>
      </c>
      <c r="E69" s="9" t="s">
        <v>358</v>
      </c>
      <c r="F69" s="9" t="s">
        <v>282</v>
      </c>
      <c r="G69" s="9" t="s">
        <v>371</v>
      </c>
      <c r="H69" s="9" t="s">
        <v>261</v>
      </c>
      <c r="I69" s="9" t="s">
        <v>194</v>
      </c>
      <c r="J69" s="9" t="s">
        <v>286</v>
      </c>
      <c r="K69" s="42" t="n">
        <v>0.09</v>
      </c>
      <c r="L69" s="11" t="s">
        <v>238</v>
      </c>
      <c r="M69" s="11" t="s">
        <v>238</v>
      </c>
      <c r="N69" s="11" t="n">
        <v>0</v>
      </c>
      <c r="O69" s="43" t="n">
        <f aca="false">N69*K69</f>
        <v>0</v>
      </c>
      <c r="P69" s="43" t="n">
        <f aca="false">Controls!B24</f>
        <v>0</v>
      </c>
      <c r="Q69" s="19" t="n">
        <f aca="false">Controls!B25</f>
        <v>0</v>
      </c>
      <c r="R69" s="19" t="n">
        <f aca="false">Controls!B26</f>
        <v>0</v>
      </c>
      <c r="S69" s="19" t="n">
        <f aca="false">Controls!B27</f>
        <v>0</v>
      </c>
      <c r="T69" s="19" t="str">
        <f aca="false">IF(N69=0,"CONSTITUTED","AWARDED")</f>
        <v>CONSTITUTED</v>
      </c>
    </row>
    <row r="70" customFormat="false" ht="15" hidden="false" customHeight="false" outlineLevel="0" collapsed="false">
      <c r="A70" s="9" t="s">
        <v>373</v>
      </c>
      <c r="B70" s="9" t="s">
        <v>197</v>
      </c>
      <c r="C70" s="9" t="s">
        <v>187</v>
      </c>
      <c r="D70" s="9" t="s">
        <v>357</v>
      </c>
      <c r="E70" s="9" t="s">
        <v>358</v>
      </c>
      <c r="F70" s="9" t="s">
        <v>282</v>
      </c>
      <c r="G70" s="9" t="s">
        <v>371</v>
      </c>
      <c r="H70" s="9" t="s">
        <v>264</v>
      </c>
      <c r="I70" s="9" t="s">
        <v>194</v>
      </c>
      <c r="J70" s="9" t="s">
        <v>288</v>
      </c>
      <c r="K70" s="42" t="n">
        <v>0.09</v>
      </c>
      <c r="L70" s="11" t="s">
        <v>238</v>
      </c>
      <c r="M70" s="11" t="s">
        <v>238</v>
      </c>
      <c r="N70" s="11" t="n">
        <v>0</v>
      </c>
      <c r="O70" s="43" t="n">
        <f aca="false">N70*K70</f>
        <v>0</v>
      </c>
      <c r="P70" s="43" t="n">
        <f aca="false">Controls!B24</f>
        <v>0</v>
      </c>
      <c r="Q70" s="19" t="n">
        <f aca="false">Controls!B25</f>
        <v>0</v>
      </c>
      <c r="R70" s="19" t="n">
        <f aca="false">Controls!B26</f>
        <v>0</v>
      </c>
      <c r="S70" s="19" t="n">
        <f aca="false">Controls!B27</f>
        <v>0</v>
      </c>
      <c r="T70" s="19" t="str">
        <f aca="false">IF(N70=0,"CONSTITUTED","AWARDED")</f>
        <v>CONSTITUTED</v>
      </c>
    </row>
    <row r="71" customFormat="false" ht="15" hidden="false" customHeight="false" outlineLevel="0" collapsed="false">
      <c r="A71" s="9" t="s">
        <v>374</v>
      </c>
      <c r="B71" s="9" t="s">
        <v>200</v>
      </c>
      <c r="C71" s="9" t="s">
        <v>187</v>
      </c>
      <c r="D71" s="9" t="s">
        <v>357</v>
      </c>
      <c r="E71" s="9" t="s">
        <v>358</v>
      </c>
      <c r="F71" s="9" t="s">
        <v>282</v>
      </c>
      <c r="G71" s="9" t="s">
        <v>371</v>
      </c>
      <c r="H71" s="9" t="s">
        <v>267</v>
      </c>
      <c r="I71" s="9" t="s">
        <v>194</v>
      </c>
      <c r="J71" s="9" t="s">
        <v>290</v>
      </c>
      <c r="K71" s="42" t="n">
        <v>0.0666666666666667</v>
      </c>
      <c r="L71" s="11" t="s">
        <v>238</v>
      </c>
      <c r="M71" s="11" t="s">
        <v>238</v>
      </c>
      <c r="N71" s="11" t="n">
        <v>0</v>
      </c>
      <c r="O71" s="43" t="n">
        <f aca="false">N71*K71</f>
        <v>0</v>
      </c>
      <c r="P71" s="43" t="n">
        <f aca="false">Controls!B24</f>
        <v>0</v>
      </c>
      <c r="Q71" s="19" t="n">
        <f aca="false">Controls!B25</f>
        <v>0</v>
      </c>
      <c r="R71" s="19" t="n">
        <f aca="false">Controls!B26</f>
        <v>0</v>
      </c>
      <c r="S71" s="19" t="n">
        <f aca="false">Controls!B27</f>
        <v>0</v>
      </c>
      <c r="T71" s="19" t="str">
        <f aca="false">IF(N71=0,"CONSTITUTED","AWARDED")</f>
        <v>CONSTITUTED</v>
      </c>
    </row>
    <row r="72" customFormat="false" ht="15" hidden="false" customHeight="false" outlineLevel="0" collapsed="false">
      <c r="A72" s="9" t="s">
        <v>375</v>
      </c>
      <c r="B72" s="9" t="s">
        <v>203</v>
      </c>
      <c r="C72" s="9" t="s">
        <v>187</v>
      </c>
      <c r="D72" s="9" t="s">
        <v>357</v>
      </c>
      <c r="E72" s="9" t="s">
        <v>358</v>
      </c>
      <c r="F72" s="9" t="s">
        <v>282</v>
      </c>
      <c r="G72" s="9" t="s">
        <v>371</v>
      </c>
      <c r="H72" s="9" t="s">
        <v>236</v>
      </c>
      <c r="I72" s="9" t="s">
        <v>204</v>
      </c>
      <c r="J72" s="9" t="s">
        <v>244</v>
      </c>
      <c r="K72" s="42" t="n">
        <v>0.0633333333333333</v>
      </c>
      <c r="L72" s="11" t="s">
        <v>238</v>
      </c>
      <c r="M72" s="11" t="s">
        <v>238</v>
      </c>
      <c r="N72" s="11" t="n">
        <v>0</v>
      </c>
      <c r="O72" s="43" t="n">
        <f aca="false">N72*K72</f>
        <v>0</v>
      </c>
      <c r="P72" s="43" t="n">
        <f aca="false">Controls!B24</f>
        <v>0</v>
      </c>
      <c r="Q72" s="19" t="n">
        <f aca="false">Controls!B25</f>
        <v>0</v>
      </c>
      <c r="R72" s="19" t="n">
        <f aca="false">Controls!B26</f>
        <v>0</v>
      </c>
      <c r="S72" s="19" t="n">
        <f aca="false">Controls!B27</f>
        <v>0</v>
      </c>
      <c r="T72" s="19" t="str">
        <f aca="false">IF(N72=0,"CONSTITUTED","AWARDED")</f>
        <v>CONSTITUTED</v>
      </c>
    </row>
    <row r="73" customFormat="false" ht="15" hidden="false" customHeight="false" outlineLevel="0" collapsed="false">
      <c r="A73" s="9" t="s">
        <v>376</v>
      </c>
      <c r="B73" s="9" t="s">
        <v>192</v>
      </c>
      <c r="C73" s="9" t="s">
        <v>187</v>
      </c>
      <c r="D73" s="9" t="s">
        <v>377</v>
      </c>
      <c r="E73" s="9" t="s">
        <v>378</v>
      </c>
      <c r="F73" s="9" t="s">
        <v>257</v>
      </c>
      <c r="G73" s="9" t="s">
        <v>379</v>
      </c>
      <c r="H73" s="9" t="s">
        <v>191</v>
      </c>
      <c r="I73" s="9" t="s">
        <v>194</v>
      </c>
      <c r="J73" s="9" t="s">
        <v>296</v>
      </c>
      <c r="K73" s="42" t="n">
        <v>0.316666666666667</v>
      </c>
      <c r="L73" s="11" t="s">
        <v>238</v>
      </c>
      <c r="M73" s="11" t="s">
        <v>238</v>
      </c>
      <c r="N73" s="11" t="n">
        <v>0</v>
      </c>
      <c r="O73" s="43" t="n">
        <f aca="false">N73*K73</f>
        <v>0</v>
      </c>
      <c r="P73" s="43" t="n">
        <f aca="false">Controls!B24</f>
        <v>0</v>
      </c>
      <c r="Q73" s="19" t="n">
        <f aca="false">Controls!B25</f>
        <v>0</v>
      </c>
      <c r="R73" s="19" t="n">
        <f aca="false">Controls!B26</f>
        <v>0</v>
      </c>
      <c r="S73" s="19" t="n">
        <f aca="false">Controls!B27</f>
        <v>0</v>
      </c>
      <c r="T73" s="19" t="str">
        <f aca="false">IF(N73=0,"CONSTITUTED","AWARDED")</f>
        <v>CONSTITUTED</v>
      </c>
    </row>
    <row r="74" customFormat="false" ht="15" hidden="false" customHeight="false" outlineLevel="0" collapsed="false">
      <c r="A74" s="9" t="s">
        <v>380</v>
      </c>
      <c r="B74" s="9" t="s">
        <v>197</v>
      </c>
      <c r="C74" s="9" t="s">
        <v>187</v>
      </c>
      <c r="D74" s="9" t="s">
        <v>377</v>
      </c>
      <c r="E74" s="9" t="s">
        <v>378</v>
      </c>
      <c r="F74" s="9" t="s">
        <v>257</v>
      </c>
      <c r="G74" s="9" t="s">
        <v>379</v>
      </c>
      <c r="H74" s="9" t="s">
        <v>261</v>
      </c>
      <c r="I74" s="9" t="s">
        <v>194</v>
      </c>
      <c r="J74" s="9" t="s">
        <v>298</v>
      </c>
      <c r="K74" s="42" t="n">
        <v>0.09</v>
      </c>
      <c r="L74" s="11" t="s">
        <v>238</v>
      </c>
      <c r="M74" s="11" t="s">
        <v>238</v>
      </c>
      <c r="N74" s="11" t="n">
        <v>0</v>
      </c>
      <c r="O74" s="43" t="n">
        <f aca="false">N74*K74</f>
        <v>0</v>
      </c>
      <c r="P74" s="43" t="n">
        <f aca="false">Controls!B24</f>
        <v>0</v>
      </c>
      <c r="Q74" s="19" t="n">
        <f aca="false">Controls!B25</f>
        <v>0</v>
      </c>
      <c r="R74" s="19" t="n">
        <f aca="false">Controls!B26</f>
        <v>0</v>
      </c>
      <c r="S74" s="19" t="n">
        <f aca="false">Controls!B27</f>
        <v>0</v>
      </c>
      <c r="T74" s="19" t="str">
        <f aca="false">IF(N74=0,"CONSTITUTED","AWARDED")</f>
        <v>CONSTITUTED</v>
      </c>
    </row>
    <row r="75" customFormat="false" ht="15" hidden="false" customHeight="false" outlineLevel="0" collapsed="false">
      <c r="A75" s="9" t="s">
        <v>381</v>
      </c>
      <c r="B75" s="9" t="s">
        <v>197</v>
      </c>
      <c r="C75" s="9" t="s">
        <v>187</v>
      </c>
      <c r="D75" s="9" t="s">
        <v>377</v>
      </c>
      <c r="E75" s="9" t="s">
        <v>378</v>
      </c>
      <c r="F75" s="9" t="s">
        <v>257</v>
      </c>
      <c r="G75" s="9" t="s">
        <v>379</v>
      </c>
      <c r="H75" s="9" t="s">
        <v>264</v>
      </c>
      <c r="I75" s="9" t="s">
        <v>194</v>
      </c>
      <c r="J75" s="9" t="s">
        <v>300</v>
      </c>
      <c r="K75" s="42" t="n">
        <v>0.09</v>
      </c>
      <c r="L75" s="11" t="s">
        <v>238</v>
      </c>
      <c r="M75" s="11" t="s">
        <v>238</v>
      </c>
      <c r="N75" s="11" t="n">
        <v>0</v>
      </c>
      <c r="O75" s="43" t="n">
        <f aca="false">N75*K75</f>
        <v>0</v>
      </c>
      <c r="P75" s="43" t="n">
        <f aca="false">Controls!B24</f>
        <v>0</v>
      </c>
      <c r="Q75" s="19" t="n">
        <f aca="false">Controls!B25</f>
        <v>0</v>
      </c>
      <c r="R75" s="19" t="n">
        <f aca="false">Controls!B26</f>
        <v>0</v>
      </c>
      <c r="S75" s="19" t="n">
        <f aca="false">Controls!B27</f>
        <v>0</v>
      </c>
      <c r="T75" s="19" t="str">
        <f aca="false">IF(N75=0,"CONSTITUTED","AWARDED")</f>
        <v>CONSTITUTED</v>
      </c>
    </row>
    <row r="76" customFormat="false" ht="15" hidden="false" customHeight="false" outlineLevel="0" collapsed="false">
      <c r="A76" s="9" t="s">
        <v>382</v>
      </c>
      <c r="B76" s="9" t="s">
        <v>200</v>
      </c>
      <c r="C76" s="9" t="s">
        <v>187</v>
      </c>
      <c r="D76" s="9" t="s">
        <v>377</v>
      </c>
      <c r="E76" s="9" t="s">
        <v>378</v>
      </c>
      <c r="F76" s="9" t="s">
        <v>257</v>
      </c>
      <c r="G76" s="9" t="s">
        <v>379</v>
      </c>
      <c r="H76" s="9" t="s">
        <v>267</v>
      </c>
      <c r="I76" s="9" t="s">
        <v>194</v>
      </c>
      <c r="J76" s="9" t="s">
        <v>302</v>
      </c>
      <c r="K76" s="42" t="n">
        <v>0.0666666666666667</v>
      </c>
      <c r="L76" s="11" t="s">
        <v>238</v>
      </c>
      <c r="M76" s="11" t="s">
        <v>238</v>
      </c>
      <c r="N76" s="11" t="n">
        <v>0</v>
      </c>
      <c r="O76" s="43" t="n">
        <f aca="false">N76*K76</f>
        <v>0</v>
      </c>
      <c r="P76" s="43" t="n">
        <f aca="false">Controls!B24</f>
        <v>0</v>
      </c>
      <c r="Q76" s="19" t="n">
        <f aca="false">Controls!B25</f>
        <v>0</v>
      </c>
      <c r="R76" s="19" t="n">
        <f aca="false">Controls!B26</f>
        <v>0</v>
      </c>
      <c r="S76" s="19" t="n">
        <f aca="false">Controls!B27</f>
        <v>0</v>
      </c>
      <c r="T76" s="19" t="str">
        <f aca="false">IF(N76=0,"CONSTITUTED","AWARDED")</f>
        <v>CONSTITUTED</v>
      </c>
    </row>
    <row r="77" customFormat="false" ht="15" hidden="false" customHeight="false" outlineLevel="0" collapsed="false">
      <c r="A77" s="9" t="s">
        <v>383</v>
      </c>
      <c r="B77" s="9" t="s">
        <v>203</v>
      </c>
      <c r="C77" s="9" t="s">
        <v>187</v>
      </c>
      <c r="D77" s="9" t="s">
        <v>377</v>
      </c>
      <c r="E77" s="9" t="s">
        <v>378</v>
      </c>
      <c r="F77" s="9" t="s">
        <v>257</v>
      </c>
      <c r="G77" s="9" t="s">
        <v>379</v>
      </c>
      <c r="H77" s="9" t="s">
        <v>236</v>
      </c>
      <c r="I77" s="9" t="s">
        <v>204</v>
      </c>
      <c r="J77" s="9" t="s">
        <v>253</v>
      </c>
      <c r="K77" s="42" t="n">
        <v>0.0633333333333333</v>
      </c>
      <c r="L77" s="11" t="s">
        <v>238</v>
      </c>
      <c r="M77" s="11" t="s">
        <v>238</v>
      </c>
      <c r="N77" s="11" t="n">
        <v>0</v>
      </c>
      <c r="O77" s="43" t="n">
        <f aca="false">N77*K77</f>
        <v>0</v>
      </c>
      <c r="P77" s="43" t="n">
        <f aca="false">Controls!B24</f>
        <v>0</v>
      </c>
      <c r="Q77" s="19" t="n">
        <f aca="false">Controls!B25</f>
        <v>0</v>
      </c>
      <c r="R77" s="19" t="n">
        <f aca="false">Controls!B26</f>
        <v>0</v>
      </c>
      <c r="S77" s="19" t="n">
        <f aca="false">Controls!B27</f>
        <v>0</v>
      </c>
      <c r="T77" s="19" t="str">
        <f aca="false">IF(N77=0,"CONSTITUTED","AWARDED")</f>
        <v>CONSTITUTED</v>
      </c>
    </row>
    <row r="78" customFormat="false" ht="15" hidden="false" customHeight="false" outlineLevel="0" collapsed="false">
      <c r="A78" s="9" t="s">
        <v>384</v>
      </c>
      <c r="B78" s="9" t="s">
        <v>192</v>
      </c>
      <c r="C78" s="9" t="s">
        <v>187</v>
      </c>
      <c r="D78" s="9" t="s">
        <v>377</v>
      </c>
      <c r="E78" s="9" t="s">
        <v>378</v>
      </c>
      <c r="F78" s="9" t="s">
        <v>271</v>
      </c>
      <c r="G78" s="9" t="s">
        <v>385</v>
      </c>
      <c r="H78" s="9" t="s">
        <v>191</v>
      </c>
      <c r="I78" s="9" t="s">
        <v>194</v>
      </c>
      <c r="J78" s="9" t="s">
        <v>306</v>
      </c>
      <c r="K78" s="42" t="n">
        <v>0.316666666666667</v>
      </c>
      <c r="L78" s="11" t="s">
        <v>238</v>
      </c>
      <c r="M78" s="11" t="s">
        <v>238</v>
      </c>
      <c r="N78" s="11" t="n">
        <v>0</v>
      </c>
      <c r="O78" s="43" t="n">
        <f aca="false">N78*K78</f>
        <v>0</v>
      </c>
      <c r="P78" s="43" t="n">
        <f aca="false">Controls!B24</f>
        <v>0</v>
      </c>
      <c r="Q78" s="19" t="n">
        <f aca="false">Controls!B25</f>
        <v>0</v>
      </c>
      <c r="R78" s="19" t="n">
        <f aca="false">Controls!B26</f>
        <v>0</v>
      </c>
      <c r="S78" s="19" t="n">
        <f aca="false">Controls!B27</f>
        <v>0</v>
      </c>
      <c r="T78" s="19" t="str">
        <f aca="false">IF(N78=0,"CONSTITUTED","AWARDED")</f>
        <v>CONSTITUTED</v>
      </c>
    </row>
    <row r="79" customFormat="false" ht="15" hidden="false" customHeight="false" outlineLevel="0" collapsed="false">
      <c r="A79" s="9" t="s">
        <v>386</v>
      </c>
      <c r="B79" s="9" t="s">
        <v>197</v>
      </c>
      <c r="C79" s="9" t="s">
        <v>187</v>
      </c>
      <c r="D79" s="9" t="s">
        <v>377</v>
      </c>
      <c r="E79" s="9" t="s">
        <v>378</v>
      </c>
      <c r="F79" s="9" t="s">
        <v>271</v>
      </c>
      <c r="G79" s="9" t="s">
        <v>385</v>
      </c>
      <c r="H79" s="9" t="s">
        <v>261</v>
      </c>
      <c r="I79" s="9" t="s">
        <v>194</v>
      </c>
      <c r="J79" s="9" t="s">
        <v>308</v>
      </c>
      <c r="K79" s="42" t="n">
        <v>0.09</v>
      </c>
      <c r="L79" s="11" t="s">
        <v>238</v>
      </c>
      <c r="M79" s="11" t="s">
        <v>238</v>
      </c>
      <c r="N79" s="11" t="n">
        <v>0</v>
      </c>
      <c r="O79" s="43" t="n">
        <f aca="false">N79*K79</f>
        <v>0</v>
      </c>
      <c r="P79" s="43" t="n">
        <f aca="false">Controls!B24</f>
        <v>0</v>
      </c>
      <c r="Q79" s="19" t="n">
        <f aca="false">Controls!B25</f>
        <v>0</v>
      </c>
      <c r="R79" s="19" t="n">
        <f aca="false">Controls!B26</f>
        <v>0</v>
      </c>
      <c r="S79" s="19" t="n">
        <f aca="false">Controls!B27</f>
        <v>0</v>
      </c>
      <c r="T79" s="19" t="str">
        <f aca="false">IF(N79=0,"CONSTITUTED","AWARDED")</f>
        <v>CONSTITUTED</v>
      </c>
    </row>
    <row r="80" customFormat="false" ht="15" hidden="false" customHeight="false" outlineLevel="0" collapsed="false">
      <c r="A80" s="9" t="s">
        <v>387</v>
      </c>
      <c r="B80" s="9" t="s">
        <v>197</v>
      </c>
      <c r="C80" s="9" t="s">
        <v>187</v>
      </c>
      <c r="D80" s="9" t="s">
        <v>377</v>
      </c>
      <c r="E80" s="9" t="s">
        <v>378</v>
      </c>
      <c r="F80" s="9" t="s">
        <v>271</v>
      </c>
      <c r="G80" s="9" t="s">
        <v>385</v>
      </c>
      <c r="H80" s="9" t="s">
        <v>264</v>
      </c>
      <c r="I80" s="9" t="s">
        <v>194</v>
      </c>
      <c r="J80" s="9" t="s">
        <v>310</v>
      </c>
      <c r="K80" s="42" t="n">
        <v>0.09</v>
      </c>
      <c r="L80" s="11" t="s">
        <v>238</v>
      </c>
      <c r="M80" s="11" t="s">
        <v>238</v>
      </c>
      <c r="N80" s="11" t="n">
        <v>0</v>
      </c>
      <c r="O80" s="43" t="n">
        <f aca="false">N80*K80</f>
        <v>0</v>
      </c>
      <c r="P80" s="43" t="n">
        <f aca="false">Controls!B24</f>
        <v>0</v>
      </c>
      <c r="Q80" s="19" t="n">
        <f aca="false">Controls!B25</f>
        <v>0</v>
      </c>
      <c r="R80" s="19" t="n">
        <f aca="false">Controls!B26</f>
        <v>0</v>
      </c>
      <c r="S80" s="19" t="n">
        <f aca="false">Controls!B27</f>
        <v>0</v>
      </c>
      <c r="T80" s="19" t="str">
        <f aca="false">IF(N80=0,"CONSTITUTED","AWARDED")</f>
        <v>CONSTITUTED</v>
      </c>
    </row>
    <row r="81" customFormat="false" ht="15" hidden="false" customHeight="false" outlineLevel="0" collapsed="false">
      <c r="A81" s="9" t="s">
        <v>388</v>
      </c>
      <c r="B81" s="9" t="s">
        <v>200</v>
      </c>
      <c r="C81" s="9" t="s">
        <v>187</v>
      </c>
      <c r="D81" s="9" t="s">
        <v>377</v>
      </c>
      <c r="E81" s="9" t="s">
        <v>378</v>
      </c>
      <c r="F81" s="9" t="s">
        <v>271</v>
      </c>
      <c r="G81" s="9" t="s">
        <v>385</v>
      </c>
      <c r="H81" s="9" t="s">
        <v>267</v>
      </c>
      <c r="I81" s="9" t="s">
        <v>194</v>
      </c>
      <c r="J81" s="9" t="s">
        <v>312</v>
      </c>
      <c r="K81" s="42" t="n">
        <v>0.0666666666666667</v>
      </c>
      <c r="L81" s="11" t="s">
        <v>238</v>
      </c>
      <c r="M81" s="11" t="s">
        <v>238</v>
      </c>
      <c r="N81" s="11" t="n">
        <v>0</v>
      </c>
      <c r="O81" s="43" t="n">
        <f aca="false">N81*K81</f>
        <v>0</v>
      </c>
      <c r="P81" s="43" t="n">
        <f aca="false">Controls!B24</f>
        <v>0</v>
      </c>
      <c r="Q81" s="19" t="n">
        <f aca="false">Controls!B25</f>
        <v>0</v>
      </c>
      <c r="R81" s="19" t="n">
        <f aca="false">Controls!B26</f>
        <v>0</v>
      </c>
      <c r="S81" s="19" t="n">
        <f aca="false">Controls!B27</f>
        <v>0</v>
      </c>
      <c r="T81" s="19" t="str">
        <f aca="false">IF(N81=0,"CONSTITUTED","AWARDED")</f>
        <v>CONSTITUTED</v>
      </c>
    </row>
    <row r="82" customFormat="false" ht="15" hidden="false" customHeight="false" outlineLevel="0" collapsed="false">
      <c r="A82" s="9" t="s">
        <v>389</v>
      </c>
      <c r="B82" s="9" t="s">
        <v>203</v>
      </c>
      <c r="C82" s="9" t="s">
        <v>187</v>
      </c>
      <c r="D82" s="9" t="s">
        <v>377</v>
      </c>
      <c r="E82" s="9" t="s">
        <v>378</v>
      </c>
      <c r="F82" s="9" t="s">
        <v>271</v>
      </c>
      <c r="G82" s="9" t="s">
        <v>385</v>
      </c>
      <c r="H82" s="9" t="s">
        <v>236</v>
      </c>
      <c r="I82" s="9" t="s">
        <v>204</v>
      </c>
      <c r="J82" s="9" t="s">
        <v>241</v>
      </c>
      <c r="K82" s="42" t="n">
        <v>0.0633333333333333</v>
      </c>
      <c r="L82" s="11" t="s">
        <v>238</v>
      </c>
      <c r="M82" s="11" t="s">
        <v>238</v>
      </c>
      <c r="N82" s="11" t="n">
        <v>0</v>
      </c>
      <c r="O82" s="43" t="n">
        <f aca="false">N82*K82</f>
        <v>0</v>
      </c>
      <c r="P82" s="43" t="n">
        <f aca="false">Controls!B24</f>
        <v>0</v>
      </c>
      <c r="Q82" s="19" t="n">
        <f aca="false">Controls!B25</f>
        <v>0</v>
      </c>
      <c r="R82" s="19" t="n">
        <f aca="false">Controls!B26</f>
        <v>0</v>
      </c>
      <c r="S82" s="19" t="n">
        <f aca="false">Controls!B27</f>
        <v>0</v>
      </c>
      <c r="T82" s="19" t="str">
        <f aca="false">IF(N82=0,"CONSTITUTED","AWARDED")</f>
        <v>CONSTITUTED</v>
      </c>
    </row>
    <row r="83" customFormat="false" ht="15" hidden="false" customHeight="false" outlineLevel="0" collapsed="false">
      <c r="A83" s="9" t="s">
        <v>390</v>
      </c>
      <c r="B83" s="9" t="s">
        <v>192</v>
      </c>
      <c r="C83" s="9" t="s">
        <v>187</v>
      </c>
      <c r="D83" s="9" t="s">
        <v>377</v>
      </c>
      <c r="E83" s="9" t="s">
        <v>378</v>
      </c>
      <c r="F83" s="9" t="s">
        <v>282</v>
      </c>
      <c r="G83" s="9" t="s">
        <v>391</v>
      </c>
      <c r="H83" s="9" t="s">
        <v>191</v>
      </c>
      <c r="I83" s="9" t="s">
        <v>194</v>
      </c>
      <c r="J83" s="9" t="s">
        <v>316</v>
      </c>
      <c r="K83" s="42" t="n">
        <v>0.316666666666667</v>
      </c>
      <c r="L83" s="11" t="s">
        <v>238</v>
      </c>
      <c r="M83" s="11" t="s">
        <v>238</v>
      </c>
      <c r="N83" s="11" t="n">
        <v>0</v>
      </c>
      <c r="O83" s="43" t="n">
        <f aca="false">N83*K83</f>
        <v>0</v>
      </c>
      <c r="P83" s="43" t="n">
        <f aca="false">Controls!B24</f>
        <v>0</v>
      </c>
      <c r="Q83" s="19" t="n">
        <f aca="false">Controls!B25</f>
        <v>0</v>
      </c>
      <c r="R83" s="19" t="n">
        <f aca="false">Controls!B26</f>
        <v>0</v>
      </c>
      <c r="S83" s="19" t="n">
        <f aca="false">Controls!B27</f>
        <v>0</v>
      </c>
      <c r="T83" s="19" t="str">
        <f aca="false">IF(N83=0,"CONSTITUTED","AWARDED")</f>
        <v>CONSTITUTED</v>
      </c>
    </row>
    <row r="84" customFormat="false" ht="15" hidden="false" customHeight="false" outlineLevel="0" collapsed="false">
      <c r="A84" s="9" t="s">
        <v>392</v>
      </c>
      <c r="B84" s="9" t="s">
        <v>197</v>
      </c>
      <c r="C84" s="9" t="s">
        <v>187</v>
      </c>
      <c r="D84" s="9" t="s">
        <v>377</v>
      </c>
      <c r="E84" s="9" t="s">
        <v>378</v>
      </c>
      <c r="F84" s="9" t="s">
        <v>282</v>
      </c>
      <c r="G84" s="9" t="s">
        <v>391</v>
      </c>
      <c r="H84" s="9" t="s">
        <v>261</v>
      </c>
      <c r="I84" s="9" t="s">
        <v>194</v>
      </c>
      <c r="J84" s="9" t="s">
        <v>318</v>
      </c>
      <c r="K84" s="42" t="n">
        <v>0.09</v>
      </c>
      <c r="L84" s="11" t="s">
        <v>238</v>
      </c>
      <c r="M84" s="11" t="s">
        <v>238</v>
      </c>
      <c r="N84" s="11" t="n">
        <v>0</v>
      </c>
      <c r="O84" s="43" t="n">
        <f aca="false">N84*K84</f>
        <v>0</v>
      </c>
      <c r="P84" s="43" t="n">
        <f aca="false">Controls!B24</f>
        <v>0</v>
      </c>
      <c r="Q84" s="19" t="n">
        <f aca="false">Controls!B25</f>
        <v>0</v>
      </c>
      <c r="R84" s="19" t="n">
        <f aca="false">Controls!B26</f>
        <v>0</v>
      </c>
      <c r="S84" s="19" t="n">
        <f aca="false">Controls!B27</f>
        <v>0</v>
      </c>
      <c r="T84" s="19" t="str">
        <f aca="false">IF(N84=0,"CONSTITUTED","AWARDED")</f>
        <v>CONSTITUTED</v>
      </c>
    </row>
    <row r="85" customFormat="false" ht="15" hidden="false" customHeight="false" outlineLevel="0" collapsed="false">
      <c r="A85" s="9" t="s">
        <v>393</v>
      </c>
      <c r="B85" s="9" t="s">
        <v>197</v>
      </c>
      <c r="C85" s="9" t="s">
        <v>187</v>
      </c>
      <c r="D85" s="9" t="s">
        <v>377</v>
      </c>
      <c r="E85" s="9" t="s">
        <v>378</v>
      </c>
      <c r="F85" s="9" t="s">
        <v>282</v>
      </c>
      <c r="G85" s="9" t="s">
        <v>391</v>
      </c>
      <c r="H85" s="9" t="s">
        <v>264</v>
      </c>
      <c r="I85" s="9" t="s">
        <v>194</v>
      </c>
      <c r="J85" s="9" t="s">
        <v>320</v>
      </c>
      <c r="K85" s="42" t="n">
        <v>0.09</v>
      </c>
      <c r="L85" s="11" t="s">
        <v>238</v>
      </c>
      <c r="M85" s="11" t="s">
        <v>238</v>
      </c>
      <c r="N85" s="11" t="n">
        <v>0</v>
      </c>
      <c r="O85" s="43" t="n">
        <f aca="false">N85*K85</f>
        <v>0</v>
      </c>
      <c r="P85" s="43" t="n">
        <f aca="false">Controls!B24</f>
        <v>0</v>
      </c>
      <c r="Q85" s="19" t="n">
        <f aca="false">Controls!B25</f>
        <v>0</v>
      </c>
      <c r="R85" s="19" t="n">
        <f aca="false">Controls!B26</f>
        <v>0</v>
      </c>
      <c r="S85" s="19" t="n">
        <f aca="false">Controls!B27</f>
        <v>0</v>
      </c>
      <c r="T85" s="19" t="str">
        <f aca="false">IF(N85=0,"CONSTITUTED","AWARDED")</f>
        <v>CONSTITUTED</v>
      </c>
    </row>
    <row r="86" customFormat="false" ht="15" hidden="false" customHeight="false" outlineLevel="0" collapsed="false">
      <c r="A86" s="9" t="s">
        <v>394</v>
      </c>
      <c r="B86" s="9" t="s">
        <v>200</v>
      </c>
      <c r="C86" s="9" t="s">
        <v>187</v>
      </c>
      <c r="D86" s="9" t="s">
        <v>377</v>
      </c>
      <c r="E86" s="9" t="s">
        <v>378</v>
      </c>
      <c r="F86" s="9" t="s">
        <v>282</v>
      </c>
      <c r="G86" s="9" t="s">
        <v>391</v>
      </c>
      <c r="H86" s="9" t="s">
        <v>267</v>
      </c>
      <c r="I86" s="9" t="s">
        <v>194</v>
      </c>
      <c r="J86" s="9" t="s">
        <v>322</v>
      </c>
      <c r="K86" s="42" t="n">
        <v>0.0666666666666667</v>
      </c>
      <c r="L86" s="11" t="s">
        <v>238</v>
      </c>
      <c r="M86" s="11" t="s">
        <v>238</v>
      </c>
      <c r="N86" s="11" t="n">
        <v>0</v>
      </c>
      <c r="O86" s="43" t="n">
        <f aca="false">N86*K86</f>
        <v>0</v>
      </c>
      <c r="P86" s="43" t="n">
        <f aca="false">Controls!B24</f>
        <v>0</v>
      </c>
      <c r="Q86" s="19" t="n">
        <f aca="false">Controls!B25</f>
        <v>0</v>
      </c>
      <c r="R86" s="19" t="n">
        <f aca="false">Controls!B26</f>
        <v>0</v>
      </c>
      <c r="S86" s="19" t="n">
        <f aca="false">Controls!B27</f>
        <v>0</v>
      </c>
      <c r="T86" s="19" t="str">
        <f aca="false">IF(N86=0,"CONSTITUTED","AWARDED")</f>
        <v>CONSTITUTED</v>
      </c>
    </row>
    <row r="87" customFormat="false" ht="15" hidden="false" customHeight="false" outlineLevel="0" collapsed="false">
      <c r="A87" s="9" t="s">
        <v>395</v>
      </c>
      <c r="B87" s="9" t="s">
        <v>203</v>
      </c>
      <c r="C87" s="9" t="s">
        <v>187</v>
      </c>
      <c r="D87" s="9" t="s">
        <v>377</v>
      </c>
      <c r="E87" s="9" t="s">
        <v>378</v>
      </c>
      <c r="F87" s="9" t="s">
        <v>282</v>
      </c>
      <c r="G87" s="9" t="s">
        <v>391</v>
      </c>
      <c r="H87" s="9" t="s">
        <v>236</v>
      </c>
      <c r="I87" s="9" t="s">
        <v>204</v>
      </c>
      <c r="J87" s="9" t="s">
        <v>247</v>
      </c>
      <c r="K87" s="42" t="n">
        <v>0.0633333333333333</v>
      </c>
      <c r="L87" s="11" t="s">
        <v>238</v>
      </c>
      <c r="M87" s="11" t="s">
        <v>238</v>
      </c>
      <c r="N87" s="11" t="n">
        <v>0</v>
      </c>
      <c r="O87" s="43" t="n">
        <f aca="false">N87*K87</f>
        <v>0</v>
      </c>
      <c r="P87" s="43" t="n">
        <f aca="false">Controls!B24</f>
        <v>0</v>
      </c>
      <c r="Q87" s="19" t="n">
        <f aca="false">Controls!B25</f>
        <v>0</v>
      </c>
      <c r="R87" s="19" t="n">
        <f aca="false">Controls!B26</f>
        <v>0</v>
      </c>
      <c r="S87" s="19" t="n">
        <f aca="false">Controls!B27</f>
        <v>0</v>
      </c>
      <c r="T87" s="19" t="str">
        <f aca="false">IF(N87=0,"CONSTITUTED","AWARDED")</f>
        <v>CONSTITUTED</v>
      </c>
    </row>
    <row r="88" customFormat="false" ht="15" hidden="false" customHeight="false" outlineLevel="0" collapsed="false">
      <c r="A88" s="9" t="s">
        <v>396</v>
      </c>
      <c r="B88" s="9" t="s">
        <v>192</v>
      </c>
      <c r="C88" s="9" t="s">
        <v>187</v>
      </c>
      <c r="D88" s="9" t="s">
        <v>397</v>
      </c>
      <c r="E88" s="9" t="s">
        <v>398</v>
      </c>
      <c r="F88" s="9" t="s">
        <v>257</v>
      </c>
      <c r="G88" s="9" t="s">
        <v>399</v>
      </c>
      <c r="H88" s="9" t="s">
        <v>191</v>
      </c>
      <c r="I88" s="9" t="s">
        <v>194</v>
      </c>
      <c r="J88" s="9" t="s">
        <v>328</v>
      </c>
      <c r="K88" s="42" t="n">
        <v>0.316666666666667</v>
      </c>
      <c r="L88" s="11" t="s">
        <v>238</v>
      </c>
      <c r="M88" s="11" t="s">
        <v>238</v>
      </c>
      <c r="N88" s="11" t="n">
        <v>0</v>
      </c>
      <c r="O88" s="43" t="n">
        <f aca="false">N88*K88</f>
        <v>0</v>
      </c>
      <c r="P88" s="43" t="n">
        <f aca="false">Controls!B24</f>
        <v>0</v>
      </c>
      <c r="Q88" s="19" t="n">
        <f aca="false">Controls!B25</f>
        <v>0</v>
      </c>
      <c r="R88" s="19" t="n">
        <f aca="false">Controls!B26</f>
        <v>0</v>
      </c>
      <c r="S88" s="19" t="n">
        <f aca="false">Controls!B27</f>
        <v>0</v>
      </c>
      <c r="T88" s="19" t="str">
        <f aca="false">IF(N88=0,"CONSTITUTED","AWARDED")</f>
        <v>CONSTITUTED</v>
      </c>
    </row>
    <row r="89" customFormat="false" ht="15" hidden="false" customHeight="false" outlineLevel="0" collapsed="false">
      <c r="A89" s="9" t="s">
        <v>400</v>
      </c>
      <c r="B89" s="9" t="s">
        <v>197</v>
      </c>
      <c r="C89" s="9" t="s">
        <v>187</v>
      </c>
      <c r="D89" s="9" t="s">
        <v>397</v>
      </c>
      <c r="E89" s="9" t="s">
        <v>398</v>
      </c>
      <c r="F89" s="9" t="s">
        <v>257</v>
      </c>
      <c r="G89" s="9" t="s">
        <v>399</v>
      </c>
      <c r="H89" s="9" t="s">
        <v>261</v>
      </c>
      <c r="I89" s="9" t="s">
        <v>194</v>
      </c>
      <c r="J89" s="9" t="s">
        <v>330</v>
      </c>
      <c r="K89" s="42" t="n">
        <v>0.09</v>
      </c>
      <c r="L89" s="11" t="s">
        <v>238</v>
      </c>
      <c r="M89" s="11" t="s">
        <v>238</v>
      </c>
      <c r="N89" s="11" t="n">
        <v>0</v>
      </c>
      <c r="O89" s="43" t="n">
        <f aca="false">N89*K89</f>
        <v>0</v>
      </c>
      <c r="P89" s="43" t="n">
        <f aca="false">Controls!B24</f>
        <v>0</v>
      </c>
      <c r="Q89" s="19" t="n">
        <f aca="false">Controls!B25</f>
        <v>0</v>
      </c>
      <c r="R89" s="19" t="n">
        <f aca="false">Controls!B26</f>
        <v>0</v>
      </c>
      <c r="S89" s="19" t="n">
        <f aca="false">Controls!B27</f>
        <v>0</v>
      </c>
      <c r="T89" s="19" t="str">
        <f aca="false">IF(N89=0,"CONSTITUTED","AWARDED")</f>
        <v>CONSTITUTED</v>
      </c>
    </row>
    <row r="90" customFormat="false" ht="15" hidden="false" customHeight="false" outlineLevel="0" collapsed="false">
      <c r="A90" s="9" t="s">
        <v>401</v>
      </c>
      <c r="B90" s="9" t="s">
        <v>197</v>
      </c>
      <c r="C90" s="9" t="s">
        <v>187</v>
      </c>
      <c r="D90" s="9" t="s">
        <v>397</v>
      </c>
      <c r="E90" s="9" t="s">
        <v>398</v>
      </c>
      <c r="F90" s="9" t="s">
        <v>257</v>
      </c>
      <c r="G90" s="9" t="s">
        <v>399</v>
      </c>
      <c r="H90" s="9" t="s">
        <v>264</v>
      </c>
      <c r="I90" s="9" t="s">
        <v>194</v>
      </c>
      <c r="J90" s="9" t="s">
        <v>332</v>
      </c>
      <c r="K90" s="42" t="n">
        <v>0.09</v>
      </c>
      <c r="L90" s="11" t="s">
        <v>238</v>
      </c>
      <c r="M90" s="11" t="s">
        <v>238</v>
      </c>
      <c r="N90" s="11" t="n">
        <v>0</v>
      </c>
      <c r="O90" s="43" t="n">
        <f aca="false">N90*K90</f>
        <v>0</v>
      </c>
      <c r="P90" s="43" t="n">
        <f aca="false">Controls!B24</f>
        <v>0</v>
      </c>
      <c r="Q90" s="19" t="n">
        <f aca="false">Controls!B25</f>
        <v>0</v>
      </c>
      <c r="R90" s="19" t="n">
        <f aca="false">Controls!B26</f>
        <v>0</v>
      </c>
      <c r="S90" s="19" t="n">
        <f aca="false">Controls!B27</f>
        <v>0</v>
      </c>
      <c r="T90" s="19" t="str">
        <f aca="false">IF(N90=0,"CONSTITUTED","AWARDED")</f>
        <v>CONSTITUTED</v>
      </c>
    </row>
    <row r="91" customFormat="false" ht="15" hidden="false" customHeight="false" outlineLevel="0" collapsed="false">
      <c r="A91" s="9" t="s">
        <v>402</v>
      </c>
      <c r="B91" s="9" t="s">
        <v>200</v>
      </c>
      <c r="C91" s="9" t="s">
        <v>187</v>
      </c>
      <c r="D91" s="9" t="s">
        <v>397</v>
      </c>
      <c r="E91" s="9" t="s">
        <v>398</v>
      </c>
      <c r="F91" s="9" t="s">
        <v>257</v>
      </c>
      <c r="G91" s="9" t="s">
        <v>399</v>
      </c>
      <c r="H91" s="9" t="s">
        <v>267</v>
      </c>
      <c r="I91" s="9" t="s">
        <v>194</v>
      </c>
      <c r="J91" s="9" t="s">
        <v>334</v>
      </c>
      <c r="K91" s="42" t="n">
        <v>0.0666666666666667</v>
      </c>
      <c r="L91" s="11" t="s">
        <v>238</v>
      </c>
      <c r="M91" s="11" t="s">
        <v>238</v>
      </c>
      <c r="N91" s="11" t="n">
        <v>0</v>
      </c>
      <c r="O91" s="43" t="n">
        <f aca="false">N91*K91</f>
        <v>0</v>
      </c>
      <c r="P91" s="43" t="n">
        <f aca="false">Controls!B24</f>
        <v>0</v>
      </c>
      <c r="Q91" s="19" t="n">
        <f aca="false">Controls!B25</f>
        <v>0</v>
      </c>
      <c r="R91" s="19" t="n">
        <f aca="false">Controls!B26</f>
        <v>0</v>
      </c>
      <c r="S91" s="19" t="n">
        <f aca="false">Controls!B27</f>
        <v>0</v>
      </c>
      <c r="T91" s="19" t="str">
        <f aca="false">IF(N91=0,"CONSTITUTED","AWARDED")</f>
        <v>CONSTITUTED</v>
      </c>
    </row>
    <row r="92" customFormat="false" ht="15" hidden="false" customHeight="false" outlineLevel="0" collapsed="false">
      <c r="A92" s="9" t="s">
        <v>403</v>
      </c>
      <c r="B92" s="9" t="s">
        <v>203</v>
      </c>
      <c r="C92" s="9" t="s">
        <v>187</v>
      </c>
      <c r="D92" s="9" t="s">
        <v>397</v>
      </c>
      <c r="E92" s="9" t="s">
        <v>398</v>
      </c>
      <c r="F92" s="9" t="s">
        <v>257</v>
      </c>
      <c r="G92" s="9" t="s">
        <v>399</v>
      </c>
      <c r="H92" s="9" t="s">
        <v>236</v>
      </c>
      <c r="I92" s="9" t="s">
        <v>204</v>
      </c>
      <c r="J92" s="9" t="s">
        <v>237</v>
      </c>
      <c r="K92" s="42" t="n">
        <v>0.0633333333333333</v>
      </c>
      <c r="L92" s="11" t="s">
        <v>238</v>
      </c>
      <c r="M92" s="11" t="s">
        <v>238</v>
      </c>
      <c r="N92" s="11" t="n">
        <v>0</v>
      </c>
      <c r="O92" s="43" t="n">
        <f aca="false">N92*K92</f>
        <v>0</v>
      </c>
      <c r="P92" s="43" t="n">
        <f aca="false">Controls!B24</f>
        <v>0</v>
      </c>
      <c r="Q92" s="19" t="n">
        <f aca="false">Controls!B25</f>
        <v>0</v>
      </c>
      <c r="R92" s="19" t="n">
        <f aca="false">Controls!B26</f>
        <v>0</v>
      </c>
      <c r="S92" s="19" t="n">
        <f aca="false">Controls!B27</f>
        <v>0</v>
      </c>
      <c r="T92" s="19" t="str">
        <f aca="false">IF(N92=0,"CONSTITUTED","AWARDED")</f>
        <v>CONSTITUTED</v>
      </c>
    </row>
    <row r="93" customFormat="false" ht="15" hidden="false" customHeight="false" outlineLevel="0" collapsed="false">
      <c r="A93" s="9" t="s">
        <v>404</v>
      </c>
      <c r="B93" s="9" t="s">
        <v>192</v>
      </c>
      <c r="C93" s="9" t="s">
        <v>187</v>
      </c>
      <c r="D93" s="9" t="s">
        <v>397</v>
      </c>
      <c r="E93" s="9" t="s">
        <v>398</v>
      </c>
      <c r="F93" s="9" t="s">
        <v>271</v>
      </c>
      <c r="G93" s="9" t="s">
        <v>405</v>
      </c>
      <c r="H93" s="9" t="s">
        <v>191</v>
      </c>
      <c r="I93" s="9" t="s">
        <v>194</v>
      </c>
      <c r="J93" s="9" t="s">
        <v>338</v>
      </c>
      <c r="K93" s="42" t="n">
        <v>0.316666666666667</v>
      </c>
      <c r="L93" s="11" t="s">
        <v>238</v>
      </c>
      <c r="M93" s="11" t="s">
        <v>238</v>
      </c>
      <c r="N93" s="11" t="n">
        <v>0</v>
      </c>
      <c r="O93" s="43" t="n">
        <f aca="false">N93*K93</f>
        <v>0</v>
      </c>
      <c r="P93" s="43" t="n">
        <f aca="false">Controls!B24</f>
        <v>0</v>
      </c>
      <c r="Q93" s="19" t="n">
        <f aca="false">Controls!B25</f>
        <v>0</v>
      </c>
      <c r="R93" s="19" t="n">
        <f aca="false">Controls!B26</f>
        <v>0</v>
      </c>
      <c r="S93" s="19" t="n">
        <f aca="false">Controls!B27</f>
        <v>0</v>
      </c>
      <c r="T93" s="19" t="str">
        <f aca="false">IF(N93=0,"CONSTITUTED","AWARDED")</f>
        <v>CONSTITUTED</v>
      </c>
    </row>
    <row r="94" customFormat="false" ht="15" hidden="false" customHeight="false" outlineLevel="0" collapsed="false">
      <c r="A94" s="9" t="s">
        <v>406</v>
      </c>
      <c r="B94" s="9" t="s">
        <v>197</v>
      </c>
      <c r="C94" s="9" t="s">
        <v>187</v>
      </c>
      <c r="D94" s="9" t="s">
        <v>397</v>
      </c>
      <c r="E94" s="9" t="s">
        <v>398</v>
      </c>
      <c r="F94" s="9" t="s">
        <v>271</v>
      </c>
      <c r="G94" s="9" t="s">
        <v>405</v>
      </c>
      <c r="H94" s="9" t="s">
        <v>261</v>
      </c>
      <c r="I94" s="9" t="s">
        <v>194</v>
      </c>
      <c r="J94" s="9" t="s">
        <v>340</v>
      </c>
      <c r="K94" s="42" t="n">
        <v>0.09</v>
      </c>
      <c r="L94" s="11" t="s">
        <v>238</v>
      </c>
      <c r="M94" s="11" t="s">
        <v>238</v>
      </c>
      <c r="N94" s="11" t="n">
        <v>0</v>
      </c>
      <c r="O94" s="43" t="n">
        <f aca="false">N94*K94</f>
        <v>0</v>
      </c>
      <c r="P94" s="43" t="n">
        <f aca="false">Controls!B24</f>
        <v>0</v>
      </c>
      <c r="Q94" s="19" t="n">
        <f aca="false">Controls!B25</f>
        <v>0</v>
      </c>
      <c r="R94" s="19" t="n">
        <f aca="false">Controls!B26</f>
        <v>0</v>
      </c>
      <c r="S94" s="19" t="n">
        <f aca="false">Controls!B27</f>
        <v>0</v>
      </c>
      <c r="T94" s="19" t="str">
        <f aca="false">IF(N94=0,"CONSTITUTED","AWARDED")</f>
        <v>CONSTITUTED</v>
      </c>
    </row>
    <row r="95" customFormat="false" ht="15" hidden="false" customHeight="false" outlineLevel="0" collapsed="false">
      <c r="A95" s="9" t="s">
        <v>407</v>
      </c>
      <c r="B95" s="9" t="s">
        <v>197</v>
      </c>
      <c r="C95" s="9" t="s">
        <v>187</v>
      </c>
      <c r="D95" s="9" t="s">
        <v>397</v>
      </c>
      <c r="E95" s="9" t="s">
        <v>398</v>
      </c>
      <c r="F95" s="9" t="s">
        <v>271</v>
      </c>
      <c r="G95" s="9" t="s">
        <v>405</v>
      </c>
      <c r="H95" s="9" t="s">
        <v>264</v>
      </c>
      <c r="I95" s="9" t="s">
        <v>194</v>
      </c>
      <c r="J95" s="9" t="s">
        <v>342</v>
      </c>
      <c r="K95" s="42" t="n">
        <v>0.09</v>
      </c>
      <c r="L95" s="11" t="s">
        <v>238</v>
      </c>
      <c r="M95" s="11" t="s">
        <v>238</v>
      </c>
      <c r="N95" s="11" t="n">
        <v>0</v>
      </c>
      <c r="O95" s="43" t="n">
        <f aca="false">N95*K95</f>
        <v>0</v>
      </c>
      <c r="P95" s="43" t="n">
        <f aca="false">Controls!B24</f>
        <v>0</v>
      </c>
      <c r="Q95" s="19" t="n">
        <f aca="false">Controls!B25</f>
        <v>0</v>
      </c>
      <c r="R95" s="19" t="n">
        <f aca="false">Controls!B26</f>
        <v>0</v>
      </c>
      <c r="S95" s="19" t="n">
        <f aca="false">Controls!B27</f>
        <v>0</v>
      </c>
      <c r="T95" s="19" t="str">
        <f aca="false">IF(N95=0,"CONSTITUTED","AWARDED")</f>
        <v>CONSTITUTED</v>
      </c>
    </row>
    <row r="96" customFormat="false" ht="15" hidden="false" customHeight="false" outlineLevel="0" collapsed="false">
      <c r="A96" s="9" t="s">
        <v>408</v>
      </c>
      <c r="B96" s="9" t="s">
        <v>200</v>
      </c>
      <c r="C96" s="9" t="s">
        <v>187</v>
      </c>
      <c r="D96" s="9" t="s">
        <v>397</v>
      </c>
      <c r="E96" s="9" t="s">
        <v>398</v>
      </c>
      <c r="F96" s="9" t="s">
        <v>271</v>
      </c>
      <c r="G96" s="9" t="s">
        <v>405</v>
      </c>
      <c r="H96" s="9" t="s">
        <v>267</v>
      </c>
      <c r="I96" s="9" t="s">
        <v>194</v>
      </c>
      <c r="J96" s="9" t="s">
        <v>344</v>
      </c>
      <c r="K96" s="42" t="n">
        <v>0.0666666666666667</v>
      </c>
      <c r="L96" s="11" t="s">
        <v>238</v>
      </c>
      <c r="M96" s="11" t="s">
        <v>238</v>
      </c>
      <c r="N96" s="11" t="n">
        <v>0</v>
      </c>
      <c r="O96" s="43" t="n">
        <f aca="false">N96*K96</f>
        <v>0</v>
      </c>
      <c r="P96" s="43" t="n">
        <f aca="false">Controls!B24</f>
        <v>0</v>
      </c>
      <c r="Q96" s="19" t="n">
        <f aca="false">Controls!B25</f>
        <v>0</v>
      </c>
      <c r="R96" s="19" t="n">
        <f aca="false">Controls!B26</f>
        <v>0</v>
      </c>
      <c r="S96" s="19" t="n">
        <f aca="false">Controls!B27</f>
        <v>0</v>
      </c>
      <c r="T96" s="19" t="str">
        <f aca="false">IF(N96=0,"CONSTITUTED","AWARDED")</f>
        <v>CONSTITUTED</v>
      </c>
    </row>
    <row r="97" customFormat="false" ht="15" hidden="false" customHeight="false" outlineLevel="0" collapsed="false">
      <c r="A97" s="9" t="s">
        <v>409</v>
      </c>
      <c r="B97" s="9" t="s">
        <v>203</v>
      </c>
      <c r="C97" s="9" t="s">
        <v>187</v>
      </c>
      <c r="D97" s="9" t="s">
        <v>397</v>
      </c>
      <c r="E97" s="9" t="s">
        <v>398</v>
      </c>
      <c r="F97" s="9" t="s">
        <v>271</v>
      </c>
      <c r="G97" s="9" t="s">
        <v>405</v>
      </c>
      <c r="H97" s="9" t="s">
        <v>236</v>
      </c>
      <c r="I97" s="9" t="s">
        <v>204</v>
      </c>
      <c r="J97" s="9" t="s">
        <v>244</v>
      </c>
      <c r="K97" s="42" t="n">
        <v>0.0633333333333333</v>
      </c>
      <c r="L97" s="11" t="s">
        <v>238</v>
      </c>
      <c r="M97" s="11" t="s">
        <v>238</v>
      </c>
      <c r="N97" s="11" t="n">
        <v>0</v>
      </c>
      <c r="O97" s="43" t="n">
        <f aca="false">N97*K97</f>
        <v>0</v>
      </c>
      <c r="P97" s="43" t="n">
        <f aca="false">Controls!B24</f>
        <v>0</v>
      </c>
      <c r="Q97" s="19" t="n">
        <f aca="false">Controls!B25</f>
        <v>0</v>
      </c>
      <c r="R97" s="19" t="n">
        <f aca="false">Controls!B26</f>
        <v>0</v>
      </c>
      <c r="S97" s="19" t="n">
        <f aca="false">Controls!B27</f>
        <v>0</v>
      </c>
      <c r="T97" s="19" t="str">
        <f aca="false">IF(N97=0,"CONSTITUTED","AWARDED")</f>
        <v>CONSTITUTED</v>
      </c>
    </row>
    <row r="98" customFormat="false" ht="15" hidden="false" customHeight="false" outlineLevel="0" collapsed="false">
      <c r="A98" s="9" t="s">
        <v>410</v>
      </c>
      <c r="B98" s="9" t="s">
        <v>192</v>
      </c>
      <c r="C98" s="9" t="s">
        <v>187</v>
      </c>
      <c r="D98" s="9" t="s">
        <v>397</v>
      </c>
      <c r="E98" s="9" t="s">
        <v>398</v>
      </c>
      <c r="F98" s="9" t="s">
        <v>282</v>
      </c>
      <c r="G98" s="9" t="s">
        <v>411</v>
      </c>
      <c r="H98" s="9" t="s">
        <v>191</v>
      </c>
      <c r="I98" s="9" t="s">
        <v>194</v>
      </c>
      <c r="J98" s="9" t="s">
        <v>348</v>
      </c>
      <c r="K98" s="42" t="n">
        <v>0.316666666666667</v>
      </c>
      <c r="L98" s="11" t="s">
        <v>238</v>
      </c>
      <c r="M98" s="11" t="s">
        <v>238</v>
      </c>
      <c r="N98" s="11" t="n">
        <v>0</v>
      </c>
      <c r="O98" s="43" t="n">
        <f aca="false">N98*K98</f>
        <v>0</v>
      </c>
      <c r="P98" s="43" t="n">
        <f aca="false">Controls!B24</f>
        <v>0</v>
      </c>
      <c r="Q98" s="19" t="n">
        <f aca="false">Controls!B25</f>
        <v>0</v>
      </c>
      <c r="R98" s="19" t="n">
        <f aca="false">Controls!B26</f>
        <v>0</v>
      </c>
      <c r="S98" s="19" t="n">
        <f aca="false">Controls!B27</f>
        <v>0</v>
      </c>
      <c r="T98" s="19" t="str">
        <f aca="false">IF(N98=0,"CONSTITUTED","AWARDED")</f>
        <v>CONSTITUTED</v>
      </c>
    </row>
    <row r="99" customFormat="false" ht="15" hidden="false" customHeight="false" outlineLevel="0" collapsed="false">
      <c r="A99" s="9" t="s">
        <v>412</v>
      </c>
      <c r="B99" s="9" t="s">
        <v>197</v>
      </c>
      <c r="C99" s="9" t="s">
        <v>187</v>
      </c>
      <c r="D99" s="9" t="s">
        <v>397</v>
      </c>
      <c r="E99" s="9" t="s">
        <v>398</v>
      </c>
      <c r="F99" s="9" t="s">
        <v>282</v>
      </c>
      <c r="G99" s="9" t="s">
        <v>411</v>
      </c>
      <c r="H99" s="9" t="s">
        <v>261</v>
      </c>
      <c r="I99" s="9" t="s">
        <v>194</v>
      </c>
      <c r="J99" s="9" t="s">
        <v>350</v>
      </c>
      <c r="K99" s="42" t="n">
        <v>0.09</v>
      </c>
      <c r="L99" s="11" t="s">
        <v>238</v>
      </c>
      <c r="M99" s="11" t="s">
        <v>238</v>
      </c>
      <c r="N99" s="11" t="n">
        <v>0</v>
      </c>
      <c r="O99" s="43" t="n">
        <f aca="false">N99*K99</f>
        <v>0</v>
      </c>
      <c r="P99" s="43" t="n">
        <f aca="false">Controls!B24</f>
        <v>0</v>
      </c>
      <c r="Q99" s="19" t="n">
        <f aca="false">Controls!B25</f>
        <v>0</v>
      </c>
      <c r="R99" s="19" t="n">
        <f aca="false">Controls!B26</f>
        <v>0</v>
      </c>
      <c r="S99" s="19" t="n">
        <f aca="false">Controls!B27</f>
        <v>0</v>
      </c>
      <c r="T99" s="19" t="str">
        <f aca="false">IF(N99=0,"CONSTITUTED","AWARDED")</f>
        <v>CONSTITUTED</v>
      </c>
    </row>
    <row r="100" customFormat="false" ht="15" hidden="false" customHeight="false" outlineLevel="0" collapsed="false">
      <c r="A100" s="9" t="s">
        <v>413</v>
      </c>
      <c r="B100" s="9" t="s">
        <v>197</v>
      </c>
      <c r="C100" s="9" t="s">
        <v>187</v>
      </c>
      <c r="D100" s="9" t="s">
        <v>397</v>
      </c>
      <c r="E100" s="9" t="s">
        <v>398</v>
      </c>
      <c r="F100" s="9" t="s">
        <v>282</v>
      </c>
      <c r="G100" s="9" t="s">
        <v>411</v>
      </c>
      <c r="H100" s="9" t="s">
        <v>264</v>
      </c>
      <c r="I100" s="9" t="s">
        <v>194</v>
      </c>
      <c r="J100" s="9" t="s">
        <v>352</v>
      </c>
      <c r="K100" s="42" t="n">
        <v>0.09</v>
      </c>
      <c r="L100" s="11" t="s">
        <v>238</v>
      </c>
      <c r="M100" s="11" t="s">
        <v>238</v>
      </c>
      <c r="N100" s="11" t="n">
        <v>0</v>
      </c>
      <c r="O100" s="43" t="n">
        <f aca="false">N100*K100</f>
        <v>0</v>
      </c>
      <c r="P100" s="43" t="n">
        <f aca="false">Controls!B24</f>
        <v>0</v>
      </c>
      <c r="Q100" s="19" t="n">
        <f aca="false">Controls!B25</f>
        <v>0</v>
      </c>
      <c r="R100" s="19" t="n">
        <f aca="false">Controls!B26</f>
        <v>0</v>
      </c>
      <c r="S100" s="19" t="n">
        <f aca="false">Controls!B27</f>
        <v>0</v>
      </c>
      <c r="T100" s="19" t="str">
        <f aca="false">IF(N100=0,"CONSTITUTED","AWARDED")</f>
        <v>CONSTITUTED</v>
      </c>
    </row>
    <row r="101" customFormat="false" ht="15" hidden="false" customHeight="false" outlineLevel="0" collapsed="false">
      <c r="A101" s="9" t="s">
        <v>414</v>
      </c>
      <c r="B101" s="9" t="s">
        <v>200</v>
      </c>
      <c r="C101" s="9" t="s">
        <v>187</v>
      </c>
      <c r="D101" s="9" t="s">
        <v>397</v>
      </c>
      <c r="E101" s="9" t="s">
        <v>398</v>
      </c>
      <c r="F101" s="9" t="s">
        <v>282</v>
      </c>
      <c r="G101" s="9" t="s">
        <v>411</v>
      </c>
      <c r="H101" s="9" t="s">
        <v>267</v>
      </c>
      <c r="I101" s="9" t="s">
        <v>194</v>
      </c>
      <c r="J101" s="9" t="s">
        <v>354</v>
      </c>
      <c r="K101" s="42" t="n">
        <v>0.0666666666666667</v>
      </c>
      <c r="L101" s="11" t="s">
        <v>238</v>
      </c>
      <c r="M101" s="11" t="s">
        <v>238</v>
      </c>
      <c r="N101" s="11" t="n">
        <v>0</v>
      </c>
      <c r="O101" s="43" t="n">
        <f aca="false">N101*K101</f>
        <v>0</v>
      </c>
      <c r="P101" s="43" t="n">
        <f aca="false">Controls!B24</f>
        <v>0</v>
      </c>
      <c r="Q101" s="19" t="n">
        <f aca="false">Controls!B25</f>
        <v>0</v>
      </c>
      <c r="R101" s="19" t="n">
        <f aca="false">Controls!B26</f>
        <v>0</v>
      </c>
      <c r="S101" s="19" t="n">
        <f aca="false">Controls!B27</f>
        <v>0</v>
      </c>
      <c r="T101" s="19" t="str">
        <f aca="false">IF(N101=0,"CONSTITUTED","AWARDED")</f>
        <v>CONSTITUTED</v>
      </c>
    </row>
    <row r="102" customFormat="false" ht="15" hidden="false" customHeight="false" outlineLevel="0" collapsed="false">
      <c r="A102" s="9" t="s">
        <v>415</v>
      </c>
      <c r="B102" s="9" t="s">
        <v>203</v>
      </c>
      <c r="C102" s="9" t="s">
        <v>187</v>
      </c>
      <c r="D102" s="9" t="s">
        <v>397</v>
      </c>
      <c r="E102" s="9" t="s">
        <v>398</v>
      </c>
      <c r="F102" s="9" t="s">
        <v>282</v>
      </c>
      <c r="G102" s="9" t="s">
        <v>411</v>
      </c>
      <c r="H102" s="9" t="s">
        <v>236</v>
      </c>
      <c r="I102" s="9" t="s">
        <v>204</v>
      </c>
      <c r="J102" s="9" t="s">
        <v>250</v>
      </c>
      <c r="K102" s="42" t="n">
        <v>0.0633333333333333</v>
      </c>
      <c r="L102" s="11" t="s">
        <v>238</v>
      </c>
      <c r="M102" s="11" t="s">
        <v>238</v>
      </c>
      <c r="N102" s="11" t="n">
        <v>0</v>
      </c>
      <c r="O102" s="43" t="n">
        <f aca="false">N102*K102</f>
        <v>0</v>
      </c>
      <c r="P102" s="43" t="n">
        <f aca="false">Controls!B24</f>
        <v>0</v>
      </c>
      <c r="Q102" s="19" t="n">
        <f aca="false">Controls!B25</f>
        <v>0</v>
      </c>
      <c r="R102" s="19" t="n">
        <f aca="false">Controls!B26</f>
        <v>0</v>
      </c>
      <c r="S102" s="19" t="n">
        <f aca="false">Controls!B27</f>
        <v>0</v>
      </c>
      <c r="T102" s="19" t="str">
        <f aca="false">IF(N102=0,"CONSTITUTED","AWARDED")</f>
        <v>CONSTITUTED</v>
      </c>
    </row>
    <row r="103" customFormat="false" ht="15" hidden="false" customHeight="false" outlineLevel="0" collapsed="false">
      <c r="A103" s="9" t="s">
        <v>416</v>
      </c>
      <c r="B103" s="9" t="s">
        <v>207</v>
      </c>
      <c r="C103" s="9" t="s">
        <v>208</v>
      </c>
      <c r="D103" s="9" t="s">
        <v>255</v>
      </c>
      <c r="E103" s="9" t="s">
        <v>256</v>
      </c>
      <c r="F103" s="9" t="s">
        <v>417</v>
      </c>
      <c r="G103" s="9" t="s">
        <v>418</v>
      </c>
      <c r="H103" s="9" t="s">
        <v>419</v>
      </c>
      <c r="I103" s="9" t="s">
        <v>194</v>
      </c>
      <c r="J103" s="9" t="s">
        <v>420</v>
      </c>
      <c r="K103" s="42" t="n">
        <v>0.50047461808185</v>
      </c>
      <c r="L103" s="11" t="s">
        <v>238</v>
      </c>
      <c r="M103" s="11" t="s">
        <v>238</v>
      </c>
      <c r="N103" s="11" t="n">
        <v>0</v>
      </c>
      <c r="O103" s="43" t="n">
        <f aca="false">N103*K103</f>
        <v>0</v>
      </c>
      <c r="P103" s="43" t="n">
        <f aca="false">Controls!B24</f>
        <v>0</v>
      </c>
      <c r="Q103" s="19" t="n">
        <f aca="false">Controls!B25</f>
        <v>0</v>
      </c>
      <c r="R103" s="19" t="n">
        <f aca="false">Controls!B26</f>
        <v>0</v>
      </c>
      <c r="S103" s="19" t="n">
        <f aca="false">Controls!B27</f>
        <v>0</v>
      </c>
      <c r="T103" s="19" t="str">
        <f aca="false">IF(N103=0,"CONSTITUTED","AWARDED")</f>
        <v>CONSTITUTED</v>
      </c>
    </row>
    <row r="104" customFormat="false" ht="15" hidden="false" customHeight="false" outlineLevel="0" collapsed="false">
      <c r="A104" s="9" t="s">
        <v>421</v>
      </c>
      <c r="B104" s="9" t="s">
        <v>207</v>
      </c>
      <c r="C104" s="9" t="s">
        <v>208</v>
      </c>
      <c r="D104" s="9" t="s">
        <v>293</v>
      </c>
      <c r="E104" s="9" t="s">
        <v>294</v>
      </c>
      <c r="F104" s="9" t="s">
        <v>417</v>
      </c>
      <c r="G104" s="9" t="s">
        <v>422</v>
      </c>
      <c r="H104" s="9" t="s">
        <v>419</v>
      </c>
      <c r="I104" s="9" t="s">
        <v>194</v>
      </c>
      <c r="J104" s="9" t="s">
        <v>423</v>
      </c>
      <c r="K104" s="42" t="n">
        <v>0.51649348177396</v>
      </c>
      <c r="L104" s="11" t="s">
        <v>238</v>
      </c>
      <c r="M104" s="11" t="s">
        <v>238</v>
      </c>
      <c r="N104" s="11" t="n">
        <v>0</v>
      </c>
      <c r="O104" s="43" t="n">
        <f aca="false">N104*K104</f>
        <v>0</v>
      </c>
      <c r="P104" s="43" t="n">
        <f aca="false">Controls!B24</f>
        <v>0</v>
      </c>
      <c r="Q104" s="19" t="n">
        <f aca="false">Controls!B25</f>
        <v>0</v>
      </c>
      <c r="R104" s="19" t="n">
        <f aca="false">Controls!B26</f>
        <v>0</v>
      </c>
      <c r="S104" s="19" t="n">
        <f aca="false">Controls!B27</f>
        <v>0</v>
      </c>
      <c r="T104" s="19" t="str">
        <f aca="false">IF(N104=0,"CONSTITUTED","AWARDED")</f>
        <v>CONSTITUTED</v>
      </c>
    </row>
    <row r="105" customFormat="false" ht="15" hidden="false" customHeight="false" outlineLevel="0" collapsed="false">
      <c r="A105" s="9" t="s">
        <v>424</v>
      </c>
      <c r="B105" s="9" t="s">
        <v>207</v>
      </c>
      <c r="C105" s="9" t="s">
        <v>208</v>
      </c>
      <c r="D105" s="9" t="s">
        <v>325</v>
      </c>
      <c r="E105" s="9" t="s">
        <v>326</v>
      </c>
      <c r="F105" s="9" t="s">
        <v>417</v>
      </c>
      <c r="G105" s="9" t="s">
        <v>425</v>
      </c>
      <c r="H105" s="9" t="s">
        <v>419</v>
      </c>
      <c r="I105" s="9" t="s">
        <v>194</v>
      </c>
      <c r="J105" s="9" t="s">
        <v>426</v>
      </c>
      <c r="K105" s="42" t="n">
        <v>0.307221654067133</v>
      </c>
      <c r="L105" s="11" t="s">
        <v>238</v>
      </c>
      <c r="M105" s="11" t="s">
        <v>238</v>
      </c>
      <c r="N105" s="11" t="n">
        <v>0</v>
      </c>
      <c r="O105" s="43" t="n">
        <f aca="false">N105*K105</f>
        <v>0</v>
      </c>
      <c r="P105" s="43" t="n">
        <f aca="false">Controls!B24</f>
        <v>0</v>
      </c>
      <c r="Q105" s="19" t="n">
        <f aca="false">Controls!B25</f>
        <v>0</v>
      </c>
      <c r="R105" s="19" t="n">
        <f aca="false">Controls!B26</f>
        <v>0</v>
      </c>
      <c r="S105" s="19" t="n">
        <f aca="false">Controls!B27</f>
        <v>0</v>
      </c>
      <c r="T105" s="19" t="str">
        <f aca="false">IF(N105=0,"CONSTITUTED","AWARDED")</f>
        <v>CONSTITUTED</v>
      </c>
    </row>
    <row r="106" customFormat="false" ht="15" hidden="false" customHeight="false" outlineLevel="0" collapsed="false">
      <c r="A106" s="9" t="s">
        <v>427</v>
      </c>
      <c r="B106" s="9" t="s">
        <v>207</v>
      </c>
      <c r="C106" s="9" t="s">
        <v>208</v>
      </c>
      <c r="D106" s="9" t="s">
        <v>357</v>
      </c>
      <c r="E106" s="9" t="s">
        <v>358</v>
      </c>
      <c r="F106" s="9" t="s">
        <v>417</v>
      </c>
      <c r="G106" s="9" t="s">
        <v>428</v>
      </c>
      <c r="H106" s="9" t="s">
        <v>419</v>
      </c>
      <c r="I106" s="9" t="s">
        <v>194</v>
      </c>
      <c r="J106" s="9" t="s">
        <v>429</v>
      </c>
      <c r="K106" s="42" t="n">
        <v>0.899412819320565</v>
      </c>
      <c r="L106" s="11" t="s">
        <v>238</v>
      </c>
      <c r="M106" s="11" t="s">
        <v>238</v>
      </c>
      <c r="N106" s="11" t="n">
        <v>0</v>
      </c>
      <c r="O106" s="43" t="n">
        <f aca="false">N106*K106</f>
        <v>0</v>
      </c>
      <c r="P106" s="43" t="n">
        <f aca="false">Controls!B24</f>
        <v>0</v>
      </c>
      <c r="Q106" s="19" t="n">
        <f aca="false">Controls!B25</f>
        <v>0</v>
      </c>
      <c r="R106" s="19" t="n">
        <f aca="false">Controls!B26</f>
        <v>0</v>
      </c>
      <c r="S106" s="19" t="n">
        <f aca="false">Controls!B27</f>
        <v>0</v>
      </c>
      <c r="T106" s="19" t="str">
        <f aca="false">IF(N106=0,"CONSTITUTED","AWARDED")</f>
        <v>CONSTITUTED</v>
      </c>
    </row>
    <row r="107" customFormat="false" ht="15" hidden="false" customHeight="false" outlineLevel="0" collapsed="false">
      <c r="A107" s="9" t="s">
        <v>430</v>
      </c>
      <c r="B107" s="9" t="s">
        <v>207</v>
      </c>
      <c r="C107" s="9" t="s">
        <v>208</v>
      </c>
      <c r="D107" s="9" t="s">
        <v>377</v>
      </c>
      <c r="E107" s="9" t="s">
        <v>378</v>
      </c>
      <c r="F107" s="9" t="s">
        <v>417</v>
      </c>
      <c r="G107" s="9" t="s">
        <v>431</v>
      </c>
      <c r="H107" s="9" t="s">
        <v>419</v>
      </c>
      <c r="I107" s="9" t="s">
        <v>194</v>
      </c>
      <c r="J107" s="9" t="s">
        <v>432</v>
      </c>
      <c r="K107" s="42" t="n">
        <v>0.860712452941095</v>
      </c>
      <c r="L107" s="11" t="s">
        <v>238</v>
      </c>
      <c r="M107" s="11" t="s">
        <v>238</v>
      </c>
      <c r="N107" s="11" t="n">
        <v>0</v>
      </c>
      <c r="O107" s="43" t="n">
        <f aca="false">N107*K107</f>
        <v>0</v>
      </c>
      <c r="P107" s="43" t="n">
        <f aca="false">Controls!B24</f>
        <v>0</v>
      </c>
      <c r="Q107" s="19" t="n">
        <f aca="false">Controls!B25</f>
        <v>0</v>
      </c>
      <c r="R107" s="19" t="n">
        <f aca="false">Controls!B26</f>
        <v>0</v>
      </c>
      <c r="S107" s="19" t="n">
        <f aca="false">Controls!B27</f>
        <v>0</v>
      </c>
      <c r="T107" s="19" t="str">
        <f aca="false">IF(N107=0,"CONSTITUTED","AWARDED")</f>
        <v>CONSTITUTED</v>
      </c>
    </row>
    <row r="108" customFormat="false" ht="15" hidden="false" customHeight="false" outlineLevel="0" collapsed="false">
      <c r="A108" s="12" t="s">
        <v>433</v>
      </c>
      <c r="B108" s="12" t="s">
        <v>207</v>
      </c>
      <c r="C108" s="12" t="s">
        <v>208</v>
      </c>
      <c r="D108" s="12" t="s">
        <v>397</v>
      </c>
      <c r="E108" s="12" t="s">
        <v>398</v>
      </c>
      <c r="F108" s="12" t="s">
        <v>417</v>
      </c>
      <c r="G108" s="12" t="s">
        <v>434</v>
      </c>
      <c r="H108" s="12" t="s">
        <v>419</v>
      </c>
      <c r="I108" s="12" t="s">
        <v>194</v>
      </c>
      <c r="J108" s="12" t="s">
        <v>435</v>
      </c>
      <c r="K108" s="44" t="n">
        <v>0.502597793135963</v>
      </c>
      <c r="L108" s="14" t="s">
        <v>238</v>
      </c>
      <c r="M108" s="14" t="s">
        <v>238</v>
      </c>
      <c r="N108" s="14" t="n">
        <v>0</v>
      </c>
      <c r="O108" s="45" t="n">
        <f aca="false">N108*K108</f>
        <v>0</v>
      </c>
      <c r="P108" s="45" t="n">
        <f aca="false">Controls!B24</f>
        <v>0</v>
      </c>
      <c r="Q108" s="20" t="n">
        <f aca="false">Controls!B25</f>
        <v>0</v>
      </c>
      <c r="R108" s="20" t="n">
        <f aca="false">Controls!B26</f>
        <v>0</v>
      </c>
      <c r="S108" s="20" t="n">
        <f aca="false">Controls!B27</f>
        <v>0</v>
      </c>
      <c r="T108" s="20" t="str">
        <f aca="false">IF(N108=0,"CONSTITUTED","AWARDED")</f>
        <v>CONSTITUTED</v>
      </c>
    </row>
  </sheetData>
  <mergeCells count="2">
    <mergeCell ref="A2:T2"/>
    <mergeCell ref="A4:T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51"/>
    <col collapsed="false" customWidth="true" hidden="false" outlineLevel="0" max="4" min="4" style="0" width="39"/>
    <col collapsed="false" customWidth="true" hidden="false" outlineLevel="0" max="5" min="5" style="0" width="49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18"/>
  </cols>
  <sheetData>
    <row r="2" customFormat="false" ht="24" hidden="false" customHeight="true" outlineLevel="0" collapsed="false">
      <c r="A2" s="1" t="s">
        <v>436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437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6" customFormat="false" ht="23" hidden="false" customHeight="true" outlineLevel="0" collapsed="false">
      <c r="A6" s="5" t="s">
        <v>438</v>
      </c>
      <c r="B6" s="6" t="s">
        <v>223</v>
      </c>
      <c r="C6" s="6" t="s">
        <v>439</v>
      </c>
      <c r="D6" s="6" t="s">
        <v>440</v>
      </c>
      <c r="E6" s="6" t="s">
        <v>441</v>
      </c>
      <c r="F6" s="6" t="s">
        <v>442</v>
      </c>
      <c r="G6" s="6" t="s">
        <v>443</v>
      </c>
      <c r="H6" s="6" t="s">
        <v>444</v>
      </c>
      <c r="I6" s="6" t="s">
        <v>179</v>
      </c>
      <c r="J6" s="7" t="s">
        <v>5</v>
      </c>
    </row>
    <row r="7" customFormat="false" ht="15" hidden="false" customHeight="false" outlineLevel="0" collapsed="false">
      <c r="A7" s="8" t="s">
        <v>232</v>
      </c>
      <c r="B7" s="8" t="s">
        <v>237</v>
      </c>
      <c r="C7" s="8" t="s">
        <v>235</v>
      </c>
      <c r="D7" s="8" t="s">
        <v>445</v>
      </c>
      <c r="E7" s="8" t="s">
        <v>446</v>
      </c>
      <c r="F7" s="8" t="n">
        <v>3</v>
      </c>
      <c r="G7" s="8" t="n">
        <v>3</v>
      </c>
      <c r="H7" s="8" t="n">
        <v>3</v>
      </c>
      <c r="I7" s="8" t="n">
        <v>0.12</v>
      </c>
      <c r="J7" s="8" t="s">
        <v>20</v>
      </c>
    </row>
    <row r="8" customFormat="false" ht="15" hidden="false" customHeight="false" outlineLevel="0" collapsed="false">
      <c r="A8" s="9" t="s">
        <v>239</v>
      </c>
      <c r="B8" s="9" t="s">
        <v>241</v>
      </c>
      <c r="C8" s="9" t="s">
        <v>240</v>
      </c>
      <c r="D8" s="9" t="s">
        <v>447</v>
      </c>
      <c r="E8" s="9" t="s">
        <v>446</v>
      </c>
      <c r="F8" s="9" t="n">
        <v>3</v>
      </c>
      <c r="G8" s="9" t="n">
        <v>3</v>
      </c>
      <c r="H8" s="9" t="n">
        <v>3</v>
      </c>
      <c r="I8" s="9" t="n">
        <v>0.12</v>
      </c>
      <c r="J8" s="9" t="s">
        <v>20</v>
      </c>
    </row>
    <row r="9" customFormat="false" ht="15" hidden="false" customHeight="false" outlineLevel="0" collapsed="false">
      <c r="A9" s="9" t="s">
        <v>242</v>
      </c>
      <c r="B9" s="9" t="s">
        <v>244</v>
      </c>
      <c r="C9" s="9" t="s">
        <v>243</v>
      </c>
      <c r="D9" s="9" t="s">
        <v>445</v>
      </c>
      <c r="E9" s="9" t="s">
        <v>448</v>
      </c>
      <c r="F9" s="9" t="n">
        <v>3</v>
      </c>
      <c r="G9" s="9" t="n">
        <v>3</v>
      </c>
      <c r="H9" s="9" t="n">
        <v>3</v>
      </c>
      <c r="I9" s="9" t="n">
        <v>0.12</v>
      </c>
      <c r="J9" s="9" t="s">
        <v>20</v>
      </c>
    </row>
    <row r="10" customFormat="false" ht="15" hidden="false" customHeight="false" outlineLevel="0" collapsed="false">
      <c r="A10" s="9" t="s">
        <v>245</v>
      </c>
      <c r="B10" s="9" t="s">
        <v>247</v>
      </c>
      <c r="C10" s="9" t="s">
        <v>246</v>
      </c>
      <c r="D10" s="9" t="s">
        <v>447</v>
      </c>
      <c r="E10" s="9" t="s">
        <v>448</v>
      </c>
      <c r="F10" s="9" t="n">
        <v>3</v>
      </c>
      <c r="G10" s="9" t="n">
        <v>3</v>
      </c>
      <c r="H10" s="9" t="n">
        <v>3</v>
      </c>
      <c r="I10" s="9" t="n">
        <v>0.12</v>
      </c>
      <c r="J10" s="9" t="s">
        <v>20</v>
      </c>
    </row>
    <row r="11" customFormat="false" ht="15" hidden="false" customHeight="false" outlineLevel="0" collapsed="false">
      <c r="A11" s="9" t="s">
        <v>248</v>
      </c>
      <c r="B11" s="9" t="s">
        <v>250</v>
      </c>
      <c r="C11" s="9" t="s">
        <v>249</v>
      </c>
      <c r="D11" s="9" t="s">
        <v>445</v>
      </c>
      <c r="E11" s="9" t="s">
        <v>449</v>
      </c>
      <c r="F11" s="9" t="n">
        <v>3</v>
      </c>
      <c r="G11" s="9" t="n">
        <v>3</v>
      </c>
      <c r="H11" s="9" t="n">
        <v>3</v>
      </c>
      <c r="I11" s="9" t="n">
        <v>0.12</v>
      </c>
      <c r="J11" s="9" t="s">
        <v>20</v>
      </c>
    </row>
    <row r="12" customFormat="false" ht="15" hidden="false" customHeight="false" outlineLevel="0" collapsed="false">
      <c r="A12" s="12" t="s">
        <v>251</v>
      </c>
      <c r="B12" s="12" t="s">
        <v>253</v>
      </c>
      <c r="C12" s="12" t="s">
        <v>252</v>
      </c>
      <c r="D12" s="12" t="s">
        <v>447</v>
      </c>
      <c r="E12" s="12" t="s">
        <v>449</v>
      </c>
      <c r="F12" s="12" t="n">
        <v>3</v>
      </c>
      <c r="G12" s="12" t="n">
        <v>3</v>
      </c>
      <c r="H12" s="12" t="n">
        <v>3</v>
      </c>
      <c r="I12" s="12" t="n">
        <v>0.12</v>
      </c>
      <c r="J12" s="12" t="s">
        <v>20</v>
      </c>
    </row>
  </sheetData>
  <mergeCells count="2">
    <mergeCell ref="A2:J2"/>
    <mergeCell ref="A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9"/>
    <col collapsed="false" customWidth="true" hidden="false" outlineLevel="0" max="5" min="5" style="0" width="12"/>
    <col collapsed="false" customWidth="true" hidden="false" outlineLevel="0" max="6" min="6" style="0" width="19"/>
    <col collapsed="false" customWidth="true" hidden="false" outlineLevel="0" max="8" min="7" style="0" width="23"/>
    <col collapsed="false" customWidth="true" hidden="false" outlineLevel="0" max="10" min="9" style="0" width="19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18"/>
  </cols>
  <sheetData>
    <row r="2" customFormat="false" ht="24" hidden="false" customHeight="true" outlineLevel="0" collapsed="false">
      <c r="A2" s="1" t="s">
        <v>450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3" t="s">
        <v>451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23" hidden="false" customHeight="true" outlineLevel="0" collapsed="false">
      <c r="A6" s="5" t="s">
        <v>452</v>
      </c>
      <c r="B6" s="6" t="s">
        <v>218</v>
      </c>
      <c r="C6" s="6" t="s">
        <v>219</v>
      </c>
      <c r="D6" s="6" t="s">
        <v>220</v>
      </c>
      <c r="E6" s="6" t="s">
        <v>453</v>
      </c>
      <c r="F6" s="6" t="s">
        <v>454</v>
      </c>
      <c r="G6" s="6" t="s">
        <v>455</v>
      </c>
      <c r="H6" s="6" t="s">
        <v>456</v>
      </c>
      <c r="I6" s="6" t="s">
        <v>457</v>
      </c>
      <c r="J6" s="6" t="s">
        <v>458</v>
      </c>
      <c r="K6" s="6" t="s">
        <v>459</v>
      </c>
      <c r="L6" s="6" t="s">
        <v>460</v>
      </c>
      <c r="M6" s="7" t="s">
        <v>5</v>
      </c>
    </row>
    <row r="7" customFormat="false" ht="15" hidden="false" customHeight="false" outlineLevel="0" collapsed="false">
      <c r="A7" s="8" t="s">
        <v>258</v>
      </c>
      <c r="B7" s="8" t="s">
        <v>255</v>
      </c>
      <c r="C7" s="8" t="s">
        <v>256</v>
      </c>
      <c r="D7" s="8" t="s">
        <v>257</v>
      </c>
      <c r="E7" s="8" t="s">
        <v>232</v>
      </c>
      <c r="F7" s="8" t="s">
        <v>254</v>
      </c>
      <c r="G7" s="8" t="s">
        <v>260</v>
      </c>
      <c r="H7" s="8" t="s">
        <v>263</v>
      </c>
      <c r="I7" s="8" t="s">
        <v>266</v>
      </c>
      <c r="J7" s="8" t="s">
        <v>269</v>
      </c>
      <c r="K7" s="8" t="s">
        <v>241</v>
      </c>
      <c r="L7" s="40" t="s">
        <v>238</v>
      </c>
      <c r="M7" s="8" t="s">
        <v>20</v>
      </c>
    </row>
    <row r="8" customFormat="false" ht="15" hidden="false" customHeight="false" outlineLevel="0" collapsed="false">
      <c r="A8" s="9" t="s">
        <v>272</v>
      </c>
      <c r="B8" s="9" t="s">
        <v>255</v>
      </c>
      <c r="C8" s="9" t="s">
        <v>256</v>
      </c>
      <c r="D8" s="9" t="s">
        <v>271</v>
      </c>
      <c r="E8" s="9" t="s">
        <v>242</v>
      </c>
      <c r="F8" s="9" t="s">
        <v>270</v>
      </c>
      <c r="G8" s="9" t="s">
        <v>274</v>
      </c>
      <c r="H8" s="9" t="s">
        <v>276</v>
      </c>
      <c r="I8" s="9" t="s">
        <v>278</v>
      </c>
      <c r="J8" s="9" t="s">
        <v>280</v>
      </c>
      <c r="K8" s="9" t="s">
        <v>247</v>
      </c>
      <c r="L8" s="11" t="s">
        <v>238</v>
      </c>
      <c r="M8" s="9" t="s">
        <v>20</v>
      </c>
    </row>
    <row r="9" customFormat="false" ht="15" hidden="false" customHeight="false" outlineLevel="0" collapsed="false">
      <c r="A9" s="9" t="s">
        <v>283</v>
      </c>
      <c r="B9" s="9" t="s">
        <v>255</v>
      </c>
      <c r="C9" s="9" t="s">
        <v>256</v>
      </c>
      <c r="D9" s="9" t="s">
        <v>282</v>
      </c>
      <c r="E9" s="9" t="s">
        <v>248</v>
      </c>
      <c r="F9" s="9" t="s">
        <v>281</v>
      </c>
      <c r="G9" s="9" t="s">
        <v>285</v>
      </c>
      <c r="H9" s="9" t="s">
        <v>287</v>
      </c>
      <c r="I9" s="9" t="s">
        <v>289</v>
      </c>
      <c r="J9" s="9" t="s">
        <v>291</v>
      </c>
      <c r="K9" s="9" t="s">
        <v>253</v>
      </c>
      <c r="L9" s="11" t="s">
        <v>238</v>
      </c>
      <c r="M9" s="9" t="s">
        <v>20</v>
      </c>
    </row>
    <row r="10" customFormat="false" ht="15" hidden="false" customHeight="false" outlineLevel="0" collapsed="false">
      <c r="A10" s="9" t="s">
        <v>295</v>
      </c>
      <c r="B10" s="9" t="s">
        <v>293</v>
      </c>
      <c r="C10" s="9" t="s">
        <v>294</v>
      </c>
      <c r="D10" s="9" t="s">
        <v>257</v>
      </c>
      <c r="E10" s="9" t="s">
        <v>239</v>
      </c>
      <c r="F10" s="9" t="s">
        <v>292</v>
      </c>
      <c r="G10" s="9" t="s">
        <v>297</v>
      </c>
      <c r="H10" s="9" t="s">
        <v>299</v>
      </c>
      <c r="I10" s="9" t="s">
        <v>301</v>
      </c>
      <c r="J10" s="9" t="s">
        <v>303</v>
      </c>
      <c r="K10" s="9" t="s">
        <v>244</v>
      </c>
      <c r="L10" s="11" t="s">
        <v>238</v>
      </c>
      <c r="M10" s="9" t="s">
        <v>20</v>
      </c>
    </row>
    <row r="11" customFormat="false" ht="15" hidden="false" customHeight="false" outlineLevel="0" collapsed="false">
      <c r="A11" s="9" t="s">
        <v>305</v>
      </c>
      <c r="B11" s="9" t="s">
        <v>293</v>
      </c>
      <c r="C11" s="9" t="s">
        <v>294</v>
      </c>
      <c r="D11" s="9" t="s">
        <v>271</v>
      </c>
      <c r="E11" s="9" t="s">
        <v>245</v>
      </c>
      <c r="F11" s="9" t="s">
        <v>304</v>
      </c>
      <c r="G11" s="9" t="s">
        <v>307</v>
      </c>
      <c r="H11" s="9" t="s">
        <v>309</v>
      </c>
      <c r="I11" s="9" t="s">
        <v>311</v>
      </c>
      <c r="J11" s="9" t="s">
        <v>313</v>
      </c>
      <c r="K11" s="9" t="s">
        <v>250</v>
      </c>
      <c r="L11" s="11" t="s">
        <v>238</v>
      </c>
      <c r="M11" s="9" t="s">
        <v>20</v>
      </c>
    </row>
    <row r="12" customFormat="false" ht="15" hidden="false" customHeight="false" outlineLevel="0" collapsed="false">
      <c r="A12" s="9" t="s">
        <v>315</v>
      </c>
      <c r="B12" s="9" t="s">
        <v>293</v>
      </c>
      <c r="C12" s="9" t="s">
        <v>294</v>
      </c>
      <c r="D12" s="9" t="s">
        <v>282</v>
      </c>
      <c r="E12" s="9" t="s">
        <v>251</v>
      </c>
      <c r="F12" s="9" t="s">
        <v>314</v>
      </c>
      <c r="G12" s="9" t="s">
        <v>317</v>
      </c>
      <c r="H12" s="9" t="s">
        <v>319</v>
      </c>
      <c r="I12" s="9" t="s">
        <v>321</v>
      </c>
      <c r="J12" s="9" t="s">
        <v>323</v>
      </c>
      <c r="K12" s="9" t="s">
        <v>237</v>
      </c>
      <c r="L12" s="11" t="s">
        <v>238</v>
      </c>
      <c r="M12" s="9" t="s">
        <v>20</v>
      </c>
    </row>
    <row r="13" customFormat="false" ht="15" hidden="false" customHeight="false" outlineLevel="0" collapsed="false">
      <c r="A13" s="9" t="s">
        <v>327</v>
      </c>
      <c r="B13" s="9" t="s">
        <v>325</v>
      </c>
      <c r="C13" s="9" t="s">
        <v>326</v>
      </c>
      <c r="D13" s="9" t="s">
        <v>257</v>
      </c>
      <c r="E13" s="9" t="s">
        <v>242</v>
      </c>
      <c r="F13" s="9" t="s">
        <v>324</v>
      </c>
      <c r="G13" s="9" t="s">
        <v>329</v>
      </c>
      <c r="H13" s="9" t="s">
        <v>331</v>
      </c>
      <c r="I13" s="9" t="s">
        <v>333</v>
      </c>
      <c r="J13" s="9" t="s">
        <v>335</v>
      </c>
      <c r="K13" s="9" t="s">
        <v>247</v>
      </c>
      <c r="L13" s="11" t="s">
        <v>238</v>
      </c>
      <c r="M13" s="9" t="s">
        <v>20</v>
      </c>
    </row>
    <row r="14" customFormat="false" ht="15" hidden="false" customHeight="false" outlineLevel="0" collapsed="false">
      <c r="A14" s="9" t="s">
        <v>337</v>
      </c>
      <c r="B14" s="9" t="s">
        <v>325</v>
      </c>
      <c r="C14" s="9" t="s">
        <v>326</v>
      </c>
      <c r="D14" s="9" t="s">
        <v>271</v>
      </c>
      <c r="E14" s="9" t="s">
        <v>248</v>
      </c>
      <c r="F14" s="9" t="s">
        <v>336</v>
      </c>
      <c r="G14" s="9" t="s">
        <v>339</v>
      </c>
      <c r="H14" s="9" t="s">
        <v>341</v>
      </c>
      <c r="I14" s="9" t="s">
        <v>343</v>
      </c>
      <c r="J14" s="9" t="s">
        <v>345</v>
      </c>
      <c r="K14" s="9" t="s">
        <v>253</v>
      </c>
      <c r="L14" s="11" t="s">
        <v>238</v>
      </c>
      <c r="M14" s="9" t="s">
        <v>20</v>
      </c>
    </row>
    <row r="15" customFormat="false" ht="15" hidden="false" customHeight="false" outlineLevel="0" collapsed="false">
      <c r="A15" s="9" t="s">
        <v>347</v>
      </c>
      <c r="B15" s="9" t="s">
        <v>325</v>
      </c>
      <c r="C15" s="9" t="s">
        <v>326</v>
      </c>
      <c r="D15" s="9" t="s">
        <v>282</v>
      </c>
      <c r="E15" s="9" t="s">
        <v>232</v>
      </c>
      <c r="F15" s="9" t="s">
        <v>346</v>
      </c>
      <c r="G15" s="9" t="s">
        <v>349</v>
      </c>
      <c r="H15" s="9" t="s">
        <v>351</v>
      </c>
      <c r="I15" s="9" t="s">
        <v>353</v>
      </c>
      <c r="J15" s="9" t="s">
        <v>355</v>
      </c>
      <c r="K15" s="9" t="s">
        <v>241</v>
      </c>
      <c r="L15" s="11" t="s">
        <v>238</v>
      </c>
      <c r="M15" s="9" t="s">
        <v>20</v>
      </c>
    </row>
    <row r="16" customFormat="false" ht="15" hidden="false" customHeight="false" outlineLevel="0" collapsed="false">
      <c r="A16" s="9" t="s">
        <v>359</v>
      </c>
      <c r="B16" s="9" t="s">
        <v>357</v>
      </c>
      <c r="C16" s="9" t="s">
        <v>358</v>
      </c>
      <c r="D16" s="9" t="s">
        <v>257</v>
      </c>
      <c r="E16" s="9" t="s">
        <v>245</v>
      </c>
      <c r="F16" s="9" t="s">
        <v>356</v>
      </c>
      <c r="G16" s="9" t="s">
        <v>360</v>
      </c>
      <c r="H16" s="9" t="s">
        <v>361</v>
      </c>
      <c r="I16" s="9" t="s">
        <v>362</v>
      </c>
      <c r="J16" s="9" t="s">
        <v>363</v>
      </c>
      <c r="K16" s="9" t="s">
        <v>250</v>
      </c>
      <c r="L16" s="11" t="s">
        <v>238</v>
      </c>
      <c r="M16" s="9" t="s">
        <v>20</v>
      </c>
    </row>
    <row r="17" customFormat="false" ht="15" hidden="false" customHeight="false" outlineLevel="0" collapsed="false">
      <c r="A17" s="9" t="s">
        <v>365</v>
      </c>
      <c r="B17" s="9" t="s">
        <v>357</v>
      </c>
      <c r="C17" s="9" t="s">
        <v>358</v>
      </c>
      <c r="D17" s="9" t="s">
        <v>271</v>
      </c>
      <c r="E17" s="9" t="s">
        <v>251</v>
      </c>
      <c r="F17" s="9" t="s">
        <v>364</v>
      </c>
      <c r="G17" s="9" t="s">
        <v>366</v>
      </c>
      <c r="H17" s="9" t="s">
        <v>367</v>
      </c>
      <c r="I17" s="9" t="s">
        <v>368</v>
      </c>
      <c r="J17" s="9" t="s">
        <v>369</v>
      </c>
      <c r="K17" s="9" t="s">
        <v>237</v>
      </c>
      <c r="L17" s="11" t="s">
        <v>238</v>
      </c>
      <c r="M17" s="9" t="s">
        <v>20</v>
      </c>
    </row>
    <row r="18" customFormat="false" ht="15" hidden="false" customHeight="false" outlineLevel="0" collapsed="false">
      <c r="A18" s="9" t="s">
        <v>371</v>
      </c>
      <c r="B18" s="9" t="s">
        <v>357</v>
      </c>
      <c r="C18" s="9" t="s">
        <v>358</v>
      </c>
      <c r="D18" s="9" t="s">
        <v>282</v>
      </c>
      <c r="E18" s="9" t="s">
        <v>239</v>
      </c>
      <c r="F18" s="9" t="s">
        <v>370</v>
      </c>
      <c r="G18" s="9" t="s">
        <v>372</v>
      </c>
      <c r="H18" s="9" t="s">
        <v>373</v>
      </c>
      <c r="I18" s="9" t="s">
        <v>374</v>
      </c>
      <c r="J18" s="9" t="s">
        <v>375</v>
      </c>
      <c r="K18" s="9" t="s">
        <v>244</v>
      </c>
      <c r="L18" s="11" t="s">
        <v>238</v>
      </c>
      <c r="M18" s="9" t="s">
        <v>20</v>
      </c>
    </row>
    <row r="19" customFormat="false" ht="15" hidden="false" customHeight="false" outlineLevel="0" collapsed="false">
      <c r="A19" s="9" t="s">
        <v>379</v>
      </c>
      <c r="B19" s="9" t="s">
        <v>377</v>
      </c>
      <c r="C19" s="9" t="s">
        <v>378</v>
      </c>
      <c r="D19" s="9" t="s">
        <v>257</v>
      </c>
      <c r="E19" s="9" t="s">
        <v>248</v>
      </c>
      <c r="F19" s="9" t="s">
        <v>376</v>
      </c>
      <c r="G19" s="9" t="s">
        <v>380</v>
      </c>
      <c r="H19" s="9" t="s">
        <v>381</v>
      </c>
      <c r="I19" s="9" t="s">
        <v>382</v>
      </c>
      <c r="J19" s="9" t="s">
        <v>383</v>
      </c>
      <c r="K19" s="9" t="s">
        <v>253</v>
      </c>
      <c r="L19" s="11" t="s">
        <v>238</v>
      </c>
      <c r="M19" s="9" t="s">
        <v>20</v>
      </c>
    </row>
    <row r="20" customFormat="false" ht="15" hidden="false" customHeight="false" outlineLevel="0" collapsed="false">
      <c r="A20" s="9" t="s">
        <v>385</v>
      </c>
      <c r="B20" s="9" t="s">
        <v>377</v>
      </c>
      <c r="C20" s="9" t="s">
        <v>378</v>
      </c>
      <c r="D20" s="9" t="s">
        <v>271</v>
      </c>
      <c r="E20" s="9" t="s">
        <v>232</v>
      </c>
      <c r="F20" s="9" t="s">
        <v>384</v>
      </c>
      <c r="G20" s="9" t="s">
        <v>386</v>
      </c>
      <c r="H20" s="9" t="s">
        <v>387</v>
      </c>
      <c r="I20" s="9" t="s">
        <v>388</v>
      </c>
      <c r="J20" s="9" t="s">
        <v>389</v>
      </c>
      <c r="K20" s="9" t="s">
        <v>241</v>
      </c>
      <c r="L20" s="11" t="s">
        <v>238</v>
      </c>
      <c r="M20" s="9" t="s">
        <v>20</v>
      </c>
    </row>
    <row r="21" customFormat="false" ht="15" hidden="false" customHeight="false" outlineLevel="0" collapsed="false">
      <c r="A21" s="9" t="s">
        <v>391</v>
      </c>
      <c r="B21" s="9" t="s">
        <v>377</v>
      </c>
      <c r="C21" s="9" t="s">
        <v>378</v>
      </c>
      <c r="D21" s="9" t="s">
        <v>282</v>
      </c>
      <c r="E21" s="9" t="s">
        <v>242</v>
      </c>
      <c r="F21" s="9" t="s">
        <v>390</v>
      </c>
      <c r="G21" s="9" t="s">
        <v>392</v>
      </c>
      <c r="H21" s="9" t="s">
        <v>393</v>
      </c>
      <c r="I21" s="9" t="s">
        <v>394</v>
      </c>
      <c r="J21" s="9" t="s">
        <v>395</v>
      </c>
      <c r="K21" s="9" t="s">
        <v>247</v>
      </c>
      <c r="L21" s="11" t="s">
        <v>238</v>
      </c>
      <c r="M21" s="9" t="s">
        <v>20</v>
      </c>
    </row>
    <row r="22" customFormat="false" ht="15" hidden="false" customHeight="false" outlineLevel="0" collapsed="false">
      <c r="A22" s="9" t="s">
        <v>399</v>
      </c>
      <c r="B22" s="9" t="s">
        <v>397</v>
      </c>
      <c r="C22" s="9" t="s">
        <v>398</v>
      </c>
      <c r="D22" s="9" t="s">
        <v>257</v>
      </c>
      <c r="E22" s="9" t="s">
        <v>251</v>
      </c>
      <c r="F22" s="9" t="s">
        <v>396</v>
      </c>
      <c r="G22" s="9" t="s">
        <v>400</v>
      </c>
      <c r="H22" s="9" t="s">
        <v>401</v>
      </c>
      <c r="I22" s="9" t="s">
        <v>402</v>
      </c>
      <c r="J22" s="9" t="s">
        <v>403</v>
      </c>
      <c r="K22" s="9" t="s">
        <v>237</v>
      </c>
      <c r="L22" s="11" t="s">
        <v>238</v>
      </c>
      <c r="M22" s="9" t="s">
        <v>20</v>
      </c>
    </row>
    <row r="23" customFormat="false" ht="15" hidden="false" customHeight="false" outlineLevel="0" collapsed="false">
      <c r="A23" s="9" t="s">
        <v>405</v>
      </c>
      <c r="B23" s="9" t="s">
        <v>397</v>
      </c>
      <c r="C23" s="9" t="s">
        <v>398</v>
      </c>
      <c r="D23" s="9" t="s">
        <v>271</v>
      </c>
      <c r="E23" s="9" t="s">
        <v>239</v>
      </c>
      <c r="F23" s="9" t="s">
        <v>404</v>
      </c>
      <c r="G23" s="9" t="s">
        <v>406</v>
      </c>
      <c r="H23" s="9" t="s">
        <v>407</v>
      </c>
      <c r="I23" s="9" t="s">
        <v>408</v>
      </c>
      <c r="J23" s="9" t="s">
        <v>409</v>
      </c>
      <c r="K23" s="9" t="s">
        <v>244</v>
      </c>
      <c r="L23" s="11" t="s">
        <v>238</v>
      </c>
      <c r="M23" s="9" t="s">
        <v>20</v>
      </c>
    </row>
    <row r="24" customFormat="false" ht="15" hidden="false" customHeight="false" outlineLevel="0" collapsed="false">
      <c r="A24" s="12" t="s">
        <v>411</v>
      </c>
      <c r="B24" s="12" t="s">
        <v>397</v>
      </c>
      <c r="C24" s="12" t="s">
        <v>398</v>
      </c>
      <c r="D24" s="12" t="s">
        <v>282</v>
      </c>
      <c r="E24" s="12" t="s">
        <v>245</v>
      </c>
      <c r="F24" s="12" t="s">
        <v>410</v>
      </c>
      <c r="G24" s="12" t="s">
        <v>412</v>
      </c>
      <c r="H24" s="12" t="s">
        <v>413</v>
      </c>
      <c r="I24" s="12" t="s">
        <v>414</v>
      </c>
      <c r="J24" s="12" t="s">
        <v>415</v>
      </c>
      <c r="K24" s="12" t="s">
        <v>250</v>
      </c>
      <c r="L24" s="14" t="s">
        <v>238</v>
      </c>
      <c r="M24" s="12" t="s">
        <v>20</v>
      </c>
    </row>
  </sheetData>
  <mergeCells count="2">
    <mergeCell ref="A2:M2"/>
    <mergeCell ref="A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27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20"/>
    <col collapsed="false" customWidth="true" hidden="false" outlineLevel="0" max="10" min="10" style="0" width="49"/>
  </cols>
  <sheetData>
    <row r="2" customFormat="false" ht="24" hidden="false" customHeight="true" outlineLevel="0" collapsed="false">
      <c r="A2" s="1" t="s">
        <v>461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462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6" customFormat="false" ht="23" hidden="false" customHeight="true" outlineLevel="0" collapsed="false">
      <c r="A6" s="5" t="s">
        <v>463</v>
      </c>
      <c r="B6" s="6" t="s">
        <v>464</v>
      </c>
      <c r="C6" s="6" t="s">
        <v>465</v>
      </c>
      <c r="D6" s="6" t="s">
        <v>466</v>
      </c>
      <c r="E6" s="6" t="s">
        <v>467</v>
      </c>
      <c r="F6" s="6" t="s">
        <v>468</v>
      </c>
      <c r="G6" s="6" t="s">
        <v>469</v>
      </c>
      <c r="H6" s="6" t="s">
        <v>470</v>
      </c>
      <c r="I6" s="6" t="s">
        <v>471</v>
      </c>
      <c r="J6" s="7" t="s">
        <v>472</v>
      </c>
    </row>
    <row r="7" customFormat="false" ht="15" hidden="false" customHeight="false" outlineLevel="0" collapsed="false">
      <c r="A7" s="8" t="s">
        <v>420</v>
      </c>
      <c r="B7" s="8" t="s">
        <v>473</v>
      </c>
      <c r="C7" s="8" t="s">
        <v>474</v>
      </c>
      <c r="D7" s="8" t="n">
        <v>1</v>
      </c>
      <c r="E7" s="8" t="n">
        <v>1</v>
      </c>
      <c r="F7" s="18" t="n">
        <f aca="false">D7-E7</f>
        <v>0</v>
      </c>
      <c r="G7" s="18" t="str">
        <f aca="false">IF(F7&gt;=0,"PASS","FAIL")</f>
        <v>PASS</v>
      </c>
      <c r="H7" s="40" t="s">
        <v>238</v>
      </c>
      <c r="I7" s="8" t="s">
        <v>475</v>
      </c>
      <c r="J7" s="8" t="s">
        <v>476</v>
      </c>
    </row>
    <row r="8" customFormat="false" ht="15" hidden="false" customHeight="false" outlineLevel="0" collapsed="false">
      <c r="A8" s="9" t="s">
        <v>423</v>
      </c>
      <c r="B8" s="9" t="s">
        <v>473</v>
      </c>
      <c r="C8" s="9" t="s">
        <v>474</v>
      </c>
      <c r="D8" s="9" t="n">
        <v>1</v>
      </c>
      <c r="E8" s="9" t="n">
        <v>1</v>
      </c>
      <c r="F8" s="19" t="n">
        <f aca="false">D8-E8</f>
        <v>0</v>
      </c>
      <c r="G8" s="19" t="str">
        <f aca="false">IF(F8&gt;=0,"PASS","FAIL")</f>
        <v>PASS</v>
      </c>
      <c r="H8" s="11" t="s">
        <v>238</v>
      </c>
      <c r="I8" s="9" t="s">
        <v>475</v>
      </c>
      <c r="J8" s="9" t="s">
        <v>476</v>
      </c>
    </row>
    <row r="9" customFormat="false" ht="15" hidden="false" customHeight="false" outlineLevel="0" collapsed="false">
      <c r="A9" s="9" t="s">
        <v>426</v>
      </c>
      <c r="B9" s="9" t="s">
        <v>473</v>
      </c>
      <c r="C9" s="9" t="s">
        <v>474</v>
      </c>
      <c r="D9" s="9" t="n">
        <v>1</v>
      </c>
      <c r="E9" s="9" t="n">
        <v>1</v>
      </c>
      <c r="F9" s="19" t="n">
        <f aca="false">D9-E9</f>
        <v>0</v>
      </c>
      <c r="G9" s="19" t="str">
        <f aca="false">IF(F9&gt;=0,"PASS","FAIL")</f>
        <v>PASS</v>
      </c>
      <c r="H9" s="11" t="s">
        <v>238</v>
      </c>
      <c r="I9" s="9" t="s">
        <v>475</v>
      </c>
      <c r="J9" s="9" t="s">
        <v>476</v>
      </c>
    </row>
    <row r="10" customFormat="false" ht="15" hidden="false" customHeight="false" outlineLevel="0" collapsed="false">
      <c r="A10" s="9" t="s">
        <v>429</v>
      </c>
      <c r="B10" s="9" t="s">
        <v>473</v>
      </c>
      <c r="C10" s="9" t="s">
        <v>474</v>
      </c>
      <c r="D10" s="9" t="n">
        <v>1</v>
      </c>
      <c r="E10" s="9" t="n">
        <v>1</v>
      </c>
      <c r="F10" s="19" t="n">
        <f aca="false">D10-E10</f>
        <v>0</v>
      </c>
      <c r="G10" s="19" t="str">
        <f aca="false">IF(F10&gt;=0,"PASS","FAIL")</f>
        <v>PASS</v>
      </c>
      <c r="H10" s="11" t="s">
        <v>238</v>
      </c>
      <c r="I10" s="9" t="s">
        <v>475</v>
      </c>
      <c r="J10" s="9" t="s">
        <v>476</v>
      </c>
    </row>
    <row r="11" customFormat="false" ht="15" hidden="false" customHeight="false" outlineLevel="0" collapsed="false">
      <c r="A11" s="9" t="s">
        <v>432</v>
      </c>
      <c r="B11" s="9" t="s">
        <v>473</v>
      </c>
      <c r="C11" s="9" t="s">
        <v>474</v>
      </c>
      <c r="D11" s="9" t="n">
        <v>1</v>
      </c>
      <c r="E11" s="9" t="n">
        <v>1</v>
      </c>
      <c r="F11" s="19" t="n">
        <f aca="false">D11-E11</f>
        <v>0</v>
      </c>
      <c r="G11" s="19" t="str">
        <f aca="false">IF(F11&gt;=0,"PASS","FAIL")</f>
        <v>PASS</v>
      </c>
      <c r="H11" s="11" t="s">
        <v>238</v>
      </c>
      <c r="I11" s="9" t="s">
        <v>475</v>
      </c>
      <c r="J11" s="9" t="s">
        <v>476</v>
      </c>
    </row>
    <row r="12" customFormat="false" ht="15" hidden="false" customHeight="false" outlineLevel="0" collapsed="false">
      <c r="A12" s="9" t="s">
        <v>435</v>
      </c>
      <c r="B12" s="9" t="s">
        <v>473</v>
      </c>
      <c r="C12" s="9" t="s">
        <v>474</v>
      </c>
      <c r="D12" s="9" t="n">
        <v>1</v>
      </c>
      <c r="E12" s="9" t="n">
        <v>1</v>
      </c>
      <c r="F12" s="19" t="n">
        <f aca="false">D12-E12</f>
        <v>0</v>
      </c>
      <c r="G12" s="19" t="str">
        <f aca="false">IF(F12&gt;=0,"PASS","FAIL")</f>
        <v>PASS</v>
      </c>
      <c r="H12" s="11" t="s">
        <v>238</v>
      </c>
      <c r="I12" s="9" t="s">
        <v>475</v>
      </c>
      <c r="J12" s="9" t="s">
        <v>476</v>
      </c>
    </row>
    <row r="13" customFormat="false" ht="15" hidden="false" customHeight="false" outlineLevel="0" collapsed="false">
      <c r="A13" s="9" t="s">
        <v>259</v>
      </c>
      <c r="B13" s="9" t="s">
        <v>477</v>
      </c>
      <c r="C13" s="9" t="s">
        <v>191</v>
      </c>
      <c r="D13" s="9" t="n">
        <v>2</v>
      </c>
      <c r="E13" s="9" t="n">
        <v>2</v>
      </c>
      <c r="F13" s="19" t="n">
        <f aca="false">D13-E13</f>
        <v>0</v>
      </c>
      <c r="G13" s="19" t="str">
        <f aca="false">IF(F13&gt;=0,"PASS","FAIL")</f>
        <v>PASS</v>
      </c>
      <c r="H13" s="11" t="s">
        <v>238</v>
      </c>
      <c r="I13" s="9" t="s">
        <v>475</v>
      </c>
      <c r="J13" s="9" t="s">
        <v>478</v>
      </c>
    </row>
    <row r="14" customFormat="false" ht="15" hidden="false" customHeight="false" outlineLevel="0" collapsed="false">
      <c r="A14" s="9" t="s">
        <v>296</v>
      </c>
      <c r="B14" s="9" t="s">
        <v>477</v>
      </c>
      <c r="C14" s="9" t="s">
        <v>191</v>
      </c>
      <c r="D14" s="9" t="n">
        <v>2</v>
      </c>
      <c r="E14" s="9" t="n">
        <v>2</v>
      </c>
      <c r="F14" s="19" t="n">
        <f aca="false">D14-E14</f>
        <v>0</v>
      </c>
      <c r="G14" s="19" t="str">
        <f aca="false">IF(F14&gt;=0,"PASS","FAIL")</f>
        <v>PASS</v>
      </c>
      <c r="H14" s="11" t="s">
        <v>238</v>
      </c>
      <c r="I14" s="9" t="s">
        <v>475</v>
      </c>
      <c r="J14" s="9" t="s">
        <v>478</v>
      </c>
    </row>
    <row r="15" customFormat="false" ht="15" hidden="false" customHeight="false" outlineLevel="0" collapsed="false">
      <c r="A15" s="9" t="s">
        <v>328</v>
      </c>
      <c r="B15" s="9" t="s">
        <v>477</v>
      </c>
      <c r="C15" s="9" t="s">
        <v>191</v>
      </c>
      <c r="D15" s="9" t="n">
        <v>2</v>
      </c>
      <c r="E15" s="9" t="n">
        <v>2</v>
      </c>
      <c r="F15" s="19" t="n">
        <f aca="false">D15-E15</f>
        <v>0</v>
      </c>
      <c r="G15" s="19" t="str">
        <f aca="false">IF(F15&gt;=0,"PASS","FAIL")</f>
        <v>PASS</v>
      </c>
      <c r="H15" s="11" t="s">
        <v>238</v>
      </c>
      <c r="I15" s="9" t="s">
        <v>475</v>
      </c>
      <c r="J15" s="9" t="s">
        <v>478</v>
      </c>
    </row>
    <row r="16" customFormat="false" ht="15" hidden="false" customHeight="false" outlineLevel="0" collapsed="false">
      <c r="A16" s="9" t="s">
        <v>273</v>
      </c>
      <c r="B16" s="9" t="s">
        <v>477</v>
      </c>
      <c r="C16" s="9" t="s">
        <v>191</v>
      </c>
      <c r="D16" s="9" t="n">
        <v>2</v>
      </c>
      <c r="E16" s="9" t="n">
        <v>2</v>
      </c>
      <c r="F16" s="19" t="n">
        <f aca="false">D16-E16</f>
        <v>0</v>
      </c>
      <c r="G16" s="19" t="str">
        <f aca="false">IF(F16&gt;=0,"PASS","FAIL")</f>
        <v>PASS</v>
      </c>
      <c r="H16" s="11" t="s">
        <v>238</v>
      </c>
      <c r="I16" s="9" t="s">
        <v>475</v>
      </c>
      <c r="J16" s="9" t="s">
        <v>478</v>
      </c>
    </row>
    <row r="17" customFormat="false" ht="15" hidden="false" customHeight="false" outlineLevel="0" collapsed="false">
      <c r="A17" s="9" t="s">
        <v>306</v>
      </c>
      <c r="B17" s="9" t="s">
        <v>477</v>
      </c>
      <c r="C17" s="9" t="s">
        <v>191</v>
      </c>
      <c r="D17" s="9" t="n">
        <v>2</v>
      </c>
      <c r="E17" s="9" t="n">
        <v>2</v>
      </c>
      <c r="F17" s="19" t="n">
        <f aca="false">D17-E17</f>
        <v>0</v>
      </c>
      <c r="G17" s="19" t="str">
        <f aca="false">IF(F17&gt;=0,"PASS","FAIL")</f>
        <v>PASS</v>
      </c>
      <c r="H17" s="11" t="s">
        <v>238</v>
      </c>
      <c r="I17" s="9" t="s">
        <v>475</v>
      </c>
      <c r="J17" s="9" t="s">
        <v>478</v>
      </c>
    </row>
    <row r="18" customFormat="false" ht="15" hidden="false" customHeight="false" outlineLevel="0" collapsed="false">
      <c r="A18" s="9" t="s">
        <v>338</v>
      </c>
      <c r="B18" s="9" t="s">
        <v>477</v>
      </c>
      <c r="C18" s="9" t="s">
        <v>191</v>
      </c>
      <c r="D18" s="9" t="n">
        <v>2</v>
      </c>
      <c r="E18" s="9" t="n">
        <v>2</v>
      </c>
      <c r="F18" s="19" t="n">
        <f aca="false">D18-E18</f>
        <v>0</v>
      </c>
      <c r="G18" s="19" t="str">
        <f aca="false">IF(F18&gt;=0,"PASS","FAIL")</f>
        <v>PASS</v>
      </c>
      <c r="H18" s="11" t="s">
        <v>238</v>
      </c>
      <c r="I18" s="9" t="s">
        <v>475</v>
      </c>
      <c r="J18" s="9" t="s">
        <v>478</v>
      </c>
    </row>
    <row r="19" customFormat="false" ht="15" hidden="false" customHeight="false" outlineLevel="0" collapsed="false">
      <c r="A19" s="9" t="s">
        <v>284</v>
      </c>
      <c r="B19" s="9" t="s">
        <v>477</v>
      </c>
      <c r="C19" s="9" t="s">
        <v>191</v>
      </c>
      <c r="D19" s="9" t="n">
        <v>2</v>
      </c>
      <c r="E19" s="9" t="n">
        <v>2</v>
      </c>
      <c r="F19" s="19" t="n">
        <f aca="false">D19-E19</f>
        <v>0</v>
      </c>
      <c r="G19" s="19" t="str">
        <f aca="false">IF(F19&gt;=0,"PASS","FAIL")</f>
        <v>PASS</v>
      </c>
      <c r="H19" s="11" t="s">
        <v>238</v>
      </c>
      <c r="I19" s="9" t="s">
        <v>475</v>
      </c>
      <c r="J19" s="9" t="s">
        <v>478</v>
      </c>
    </row>
    <row r="20" customFormat="false" ht="15" hidden="false" customHeight="false" outlineLevel="0" collapsed="false">
      <c r="A20" s="9" t="s">
        <v>316</v>
      </c>
      <c r="B20" s="9" t="s">
        <v>477</v>
      </c>
      <c r="C20" s="9" t="s">
        <v>191</v>
      </c>
      <c r="D20" s="9" t="n">
        <v>2</v>
      </c>
      <c r="E20" s="9" t="n">
        <v>2</v>
      </c>
      <c r="F20" s="19" t="n">
        <f aca="false">D20-E20</f>
        <v>0</v>
      </c>
      <c r="G20" s="19" t="str">
        <f aca="false">IF(F20&gt;=0,"PASS","FAIL")</f>
        <v>PASS</v>
      </c>
      <c r="H20" s="11" t="s">
        <v>238</v>
      </c>
      <c r="I20" s="9" t="s">
        <v>475</v>
      </c>
      <c r="J20" s="9" t="s">
        <v>478</v>
      </c>
    </row>
    <row r="21" customFormat="false" ht="15" hidden="false" customHeight="false" outlineLevel="0" collapsed="false">
      <c r="A21" s="9" t="s">
        <v>348</v>
      </c>
      <c r="B21" s="9" t="s">
        <v>477</v>
      </c>
      <c r="C21" s="9" t="s">
        <v>191</v>
      </c>
      <c r="D21" s="9" t="n">
        <v>2</v>
      </c>
      <c r="E21" s="9" t="n">
        <v>2</v>
      </c>
      <c r="F21" s="19" t="n">
        <f aca="false">D21-E21</f>
        <v>0</v>
      </c>
      <c r="G21" s="19" t="str">
        <f aca="false">IF(F21&gt;=0,"PASS","FAIL")</f>
        <v>PASS</v>
      </c>
      <c r="H21" s="11" t="s">
        <v>238</v>
      </c>
      <c r="I21" s="9" t="s">
        <v>475</v>
      </c>
      <c r="J21" s="9" t="s">
        <v>478</v>
      </c>
    </row>
    <row r="22" customFormat="false" ht="15" hidden="false" customHeight="false" outlineLevel="0" collapsed="false">
      <c r="A22" s="9" t="s">
        <v>262</v>
      </c>
      <c r="B22" s="9" t="s">
        <v>477</v>
      </c>
      <c r="C22" s="9" t="s">
        <v>479</v>
      </c>
      <c r="D22" s="9" t="n">
        <v>2</v>
      </c>
      <c r="E22" s="9" t="n">
        <v>2</v>
      </c>
      <c r="F22" s="19" t="n">
        <f aca="false">D22-E22</f>
        <v>0</v>
      </c>
      <c r="G22" s="19" t="str">
        <f aca="false">IF(F22&gt;=0,"PASS","FAIL")</f>
        <v>PASS</v>
      </c>
      <c r="H22" s="11" t="s">
        <v>238</v>
      </c>
      <c r="I22" s="9" t="s">
        <v>475</v>
      </c>
      <c r="J22" s="9" t="s">
        <v>478</v>
      </c>
    </row>
    <row r="23" customFormat="false" ht="15" hidden="false" customHeight="false" outlineLevel="0" collapsed="false">
      <c r="A23" s="9" t="s">
        <v>298</v>
      </c>
      <c r="B23" s="9" t="s">
        <v>477</v>
      </c>
      <c r="C23" s="9" t="s">
        <v>479</v>
      </c>
      <c r="D23" s="9" t="n">
        <v>2</v>
      </c>
      <c r="E23" s="9" t="n">
        <v>2</v>
      </c>
      <c r="F23" s="19" t="n">
        <f aca="false">D23-E23</f>
        <v>0</v>
      </c>
      <c r="G23" s="19" t="str">
        <f aca="false">IF(F23&gt;=0,"PASS","FAIL")</f>
        <v>PASS</v>
      </c>
      <c r="H23" s="11" t="s">
        <v>238</v>
      </c>
      <c r="I23" s="9" t="s">
        <v>475</v>
      </c>
      <c r="J23" s="9" t="s">
        <v>478</v>
      </c>
    </row>
    <row r="24" customFormat="false" ht="15" hidden="false" customHeight="false" outlineLevel="0" collapsed="false">
      <c r="A24" s="9" t="s">
        <v>330</v>
      </c>
      <c r="B24" s="9" t="s">
        <v>477</v>
      </c>
      <c r="C24" s="9" t="s">
        <v>479</v>
      </c>
      <c r="D24" s="9" t="n">
        <v>2</v>
      </c>
      <c r="E24" s="9" t="n">
        <v>2</v>
      </c>
      <c r="F24" s="19" t="n">
        <f aca="false">D24-E24</f>
        <v>0</v>
      </c>
      <c r="G24" s="19" t="str">
        <f aca="false">IF(F24&gt;=0,"PASS","FAIL")</f>
        <v>PASS</v>
      </c>
      <c r="H24" s="11" t="s">
        <v>238</v>
      </c>
      <c r="I24" s="9" t="s">
        <v>475</v>
      </c>
      <c r="J24" s="9" t="s">
        <v>478</v>
      </c>
    </row>
    <row r="25" customFormat="false" ht="15" hidden="false" customHeight="false" outlineLevel="0" collapsed="false">
      <c r="A25" s="9" t="s">
        <v>275</v>
      </c>
      <c r="B25" s="9" t="s">
        <v>477</v>
      </c>
      <c r="C25" s="9" t="s">
        <v>479</v>
      </c>
      <c r="D25" s="9" t="n">
        <v>2</v>
      </c>
      <c r="E25" s="9" t="n">
        <v>2</v>
      </c>
      <c r="F25" s="19" t="n">
        <f aca="false">D25-E25</f>
        <v>0</v>
      </c>
      <c r="G25" s="19" t="str">
        <f aca="false">IF(F25&gt;=0,"PASS","FAIL")</f>
        <v>PASS</v>
      </c>
      <c r="H25" s="11" t="s">
        <v>238</v>
      </c>
      <c r="I25" s="9" t="s">
        <v>475</v>
      </c>
      <c r="J25" s="9" t="s">
        <v>478</v>
      </c>
    </row>
    <row r="26" customFormat="false" ht="15" hidden="false" customHeight="false" outlineLevel="0" collapsed="false">
      <c r="A26" s="9" t="s">
        <v>308</v>
      </c>
      <c r="B26" s="9" t="s">
        <v>477</v>
      </c>
      <c r="C26" s="9" t="s">
        <v>479</v>
      </c>
      <c r="D26" s="9" t="n">
        <v>2</v>
      </c>
      <c r="E26" s="9" t="n">
        <v>2</v>
      </c>
      <c r="F26" s="19" t="n">
        <f aca="false">D26-E26</f>
        <v>0</v>
      </c>
      <c r="G26" s="19" t="str">
        <f aca="false">IF(F26&gt;=0,"PASS","FAIL")</f>
        <v>PASS</v>
      </c>
      <c r="H26" s="11" t="s">
        <v>238</v>
      </c>
      <c r="I26" s="9" t="s">
        <v>475</v>
      </c>
      <c r="J26" s="9" t="s">
        <v>478</v>
      </c>
    </row>
    <row r="27" customFormat="false" ht="15" hidden="false" customHeight="false" outlineLevel="0" collapsed="false">
      <c r="A27" s="9" t="s">
        <v>340</v>
      </c>
      <c r="B27" s="9" t="s">
        <v>477</v>
      </c>
      <c r="C27" s="9" t="s">
        <v>479</v>
      </c>
      <c r="D27" s="9" t="n">
        <v>2</v>
      </c>
      <c r="E27" s="9" t="n">
        <v>2</v>
      </c>
      <c r="F27" s="19" t="n">
        <f aca="false">D27-E27</f>
        <v>0</v>
      </c>
      <c r="G27" s="19" t="str">
        <f aca="false">IF(F27&gt;=0,"PASS","FAIL")</f>
        <v>PASS</v>
      </c>
      <c r="H27" s="11" t="s">
        <v>238</v>
      </c>
      <c r="I27" s="9" t="s">
        <v>475</v>
      </c>
      <c r="J27" s="9" t="s">
        <v>478</v>
      </c>
    </row>
    <row r="28" customFormat="false" ht="15" hidden="false" customHeight="false" outlineLevel="0" collapsed="false">
      <c r="A28" s="9" t="s">
        <v>286</v>
      </c>
      <c r="B28" s="9" t="s">
        <v>477</v>
      </c>
      <c r="C28" s="9" t="s">
        <v>479</v>
      </c>
      <c r="D28" s="9" t="n">
        <v>2</v>
      </c>
      <c r="E28" s="9" t="n">
        <v>2</v>
      </c>
      <c r="F28" s="19" t="n">
        <f aca="false">D28-E28</f>
        <v>0</v>
      </c>
      <c r="G28" s="19" t="str">
        <f aca="false">IF(F28&gt;=0,"PASS","FAIL")</f>
        <v>PASS</v>
      </c>
      <c r="H28" s="11" t="s">
        <v>238</v>
      </c>
      <c r="I28" s="9" t="s">
        <v>475</v>
      </c>
      <c r="J28" s="9" t="s">
        <v>478</v>
      </c>
    </row>
    <row r="29" customFormat="false" ht="15" hidden="false" customHeight="false" outlineLevel="0" collapsed="false">
      <c r="A29" s="9" t="s">
        <v>318</v>
      </c>
      <c r="B29" s="9" t="s">
        <v>477</v>
      </c>
      <c r="C29" s="9" t="s">
        <v>479</v>
      </c>
      <c r="D29" s="9" t="n">
        <v>2</v>
      </c>
      <c r="E29" s="9" t="n">
        <v>2</v>
      </c>
      <c r="F29" s="19" t="n">
        <f aca="false">D29-E29</f>
        <v>0</v>
      </c>
      <c r="G29" s="19" t="str">
        <f aca="false">IF(F29&gt;=0,"PASS","FAIL")</f>
        <v>PASS</v>
      </c>
      <c r="H29" s="11" t="s">
        <v>238</v>
      </c>
      <c r="I29" s="9" t="s">
        <v>475</v>
      </c>
      <c r="J29" s="9" t="s">
        <v>478</v>
      </c>
    </row>
    <row r="30" customFormat="false" ht="15" hidden="false" customHeight="false" outlineLevel="0" collapsed="false">
      <c r="A30" s="9" t="s">
        <v>350</v>
      </c>
      <c r="B30" s="9" t="s">
        <v>477</v>
      </c>
      <c r="C30" s="9" t="s">
        <v>479</v>
      </c>
      <c r="D30" s="9" t="n">
        <v>2</v>
      </c>
      <c r="E30" s="9" t="n">
        <v>2</v>
      </c>
      <c r="F30" s="19" t="n">
        <f aca="false">D30-E30</f>
        <v>0</v>
      </c>
      <c r="G30" s="19" t="str">
        <f aca="false">IF(F30&gt;=0,"PASS","FAIL")</f>
        <v>PASS</v>
      </c>
      <c r="H30" s="11" t="s">
        <v>238</v>
      </c>
      <c r="I30" s="9" t="s">
        <v>475</v>
      </c>
      <c r="J30" s="9" t="s">
        <v>478</v>
      </c>
    </row>
    <row r="31" customFormat="false" ht="15" hidden="false" customHeight="false" outlineLevel="0" collapsed="false">
      <c r="A31" s="9" t="s">
        <v>265</v>
      </c>
      <c r="B31" s="9" t="s">
        <v>477</v>
      </c>
      <c r="C31" s="9" t="s">
        <v>480</v>
      </c>
      <c r="D31" s="9" t="n">
        <v>2</v>
      </c>
      <c r="E31" s="9" t="n">
        <v>2</v>
      </c>
      <c r="F31" s="19" t="n">
        <f aca="false">D31-E31</f>
        <v>0</v>
      </c>
      <c r="G31" s="19" t="str">
        <f aca="false">IF(F31&gt;=0,"PASS","FAIL")</f>
        <v>PASS</v>
      </c>
      <c r="H31" s="11" t="s">
        <v>238</v>
      </c>
      <c r="I31" s="9" t="s">
        <v>475</v>
      </c>
      <c r="J31" s="9" t="s">
        <v>478</v>
      </c>
    </row>
    <row r="32" customFormat="false" ht="15" hidden="false" customHeight="false" outlineLevel="0" collapsed="false">
      <c r="A32" s="9" t="s">
        <v>300</v>
      </c>
      <c r="B32" s="9" t="s">
        <v>477</v>
      </c>
      <c r="C32" s="9" t="s">
        <v>480</v>
      </c>
      <c r="D32" s="9" t="n">
        <v>2</v>
      </c>
      <c r="E32" s="9" t="n">
        <v>2</v>
      </c>
      <c r="F32" s="19" t="n">
        <f aca="false">D32-E32</f>
        <v>0</v>
      </c>
      <c r="G32" s="19" t="str">
        <f aca="false">IF(F32&gt;=0,"PASS","FAIL")</f>
        <v>PASS</v>
      </c>
      <c r="H32" s="11" t="s">
        <v>238</v>
      </c>
      <c r="I32" s="9" t="s">
        <v>475</v>
      </c>
      <c r="J32" s="9" t="s">
        <v>478</v>
      </c>
    </row>
    <row r="33" customFormat="false" ht="15" hidden="false" customHeight="false" outlineLevel="0" collapsed="false">
      <c r="A33" s="9" t="s">
        <v>332</v>
      </c>
      <c r="B33" s="9" t="s">
        <v>477</v>
      </c>
      <c r="C33" s="9" t="s">
        <v>480</v>
      </c>
      <c r="D33" s="9" t="n">
        <v>2</v>
      </c>
      <c r="E33" s="9" t="n">
        <v>2</v>
      </c>
      <c r="F33" s="19" t="n">
        <f aca="false">D33-E33</f>
        <v>0</v>
      </c>
      <c r="G33" s="19" t="str">
        <f aca="false">IF(F33&gt;=0,"PASS","FAIL")</f>
        <v>PASS</v>
      </c>
      <c r="H33" s="11" t="s">
        <v>238</v>
      </c>
      <c r="I33" s="9" t="s">
        <v>475</v>
      </c>
      <c r="J33" s="9" t="s">
        <v>478</v>
      </c>
    </row>
    <row r="34" customFormat="false" ht="15" hidden="false" customHeight="false" outlineLevel="0" collapsed="false">
      <c r="A34" s="9" t="s">
        <v>277</v>
      </c>
      <c r="B34" s="9" t="s">
        <v>477</v>
      </c>
      <c r="C34" s="9" t="s">
        <v>480</v>
      </c>
      <c r="D34" s="9" t="n">
        <v>2</v>
      </c>
      <c r="E34" s="9" t="n">
        <v>2</v>
      </c>
      <c r="F34" s="19" t="n">
        <f aca="false">D34-E34</f>
        <v>0</v>
      </c>
      <c r="G34" s="19" t="str">
        <f aca="false">IF(F34&gt;=0,"PASS","FAIL")</f>
        <v>PASS</v>
      </c>
      <c r="H34" s="11" t="s">
        <v>238</v>
      </c>
      <c r="I34" s="9" t="s">
        <v>475</v>
      </c>
      <c r="J34" s="9" t="s">
        <v>478</v>
      </c>
    </row>
    <row r="35" customFormat="false" ht="15" hidden="false" customHeight="false" outlineLevel="0" collapsed="false">
      <c r="A35" s="9" t="s">
        <v>310</v>
      </c>
      <c r="B35" s="9" t="s">
        <v>477</v>
      </c>
      <c r="C35" s="9" t="s">
        <v>480</v>
      </c>
      <c r="D35" s="9" t="n">
        <v>2</v>
      </c>
      <c r="E35" s="9" t="n">
        <v>2</v>
      </c>
      <c r="F35" s="19" t="n">
        <f aca="false">D35-E35</f>
        <v>0</v>
      </c>
      <c r="G35" s="19" t="str">
        <f aca="false">IF(F35&gt;=0,"PASS","FAIL")</f>
        <v>PASS</v>
      </c>
      <c r="H35" s="11" t="s">
        <v>238</v>
      </c>
      <c r="I35" s="9" t="s">
        <v>475</v>
      </c>
      <c r="J35" s="9" t="s">
        <v>478</v>
      </c>
    </row>
    <row r="36" customFormat="false" ht="15" hidden="false" customHeight="false" outlineLevel="0" collapsed="false">
      <c r="A36" s="9" t="s">
        <v>342</v>
      </c>
      <c r="B36" s="9" t="s">
        <v>477</v>
      </c>
      <c r="C36" s="9" t="s">
        <v>480</v>
      </c>
      <c r="D36" s="9" t="n">
        <v>2</v>
      </c>
      <c r="E36" s="9" t="n">
        <v>2</v>
      </c>
      <c r="F36" s="19" t="n">
        <f aca="false">D36-E36</f>
        <v>0</v>
      </c>
      <c r="G36" s="19" t="str">
        <f aca="false">IF(F36&gt;=0,"PASS","FAIL")</f>
        <v>PASS</v>
      </c>
      <c r="H36" s="11" t="s">
        <v>238</v>
      </c>
      <c r="I36" s="9" t="s">
        <v>475</v>
      </c>
      <c r="J36" s="9" t="s">
        <v>478</v>
      </c>
    </row>
    <row r="37" customFormat="false" ht="15" hidden="false" customHeight="false" outlineLevel="0" collapsed="false">
      <c r="A37" s="9" t="s">
        <v>288</v>
      </c>
      <c r="B37" s="9" t="s">
        <v>477</v>
      </c>
      <c r="C37" s="9" t="s">
        <v>480</v>
      </c>
      <c r="D37" s="9" t="n">
        <v>2</v>
      </c>
      <c r="E37" s="9" t="n">
        <v>2</v>
      </c>
      <c r="F37" s="19" t="n">
        <f aca="false">D37-E37</f>
        <v>0</v>
      </c>
      <c r="G37" s="19" t="str">
        <f aca="false">IF(F37&gt;=0,"PASS","FAIL")</f>
        <v>PASS</v>
      </c>
      <c r="H37" s="11" t="s">
        <v>238</v>
      </c>
      <c r="I37" s="9" t="s">
        <v>475</v>
      </c>
      <c r="J37" s="9" t="s">
        <v>478</v>
      </c>
    </row>
    <row r="38" customFormat="false" ht="15" hidden="false" customHeight="false" outlineLevel="0" collapsed="false">
      <c r="A38" s="9" t="s">
        <v>320</v>
      </c>
      <c r="B38" s="9" t="s">
        <v>477</v>
      </c>
      <c r="C38" s="9" t="s">
        <v>480</v>
      </c>
      <c r="D38" s="9" t="n">
        <v>2</v>
      </c>
      <c r="E38" s="9" t="n">
        <v>2</v>
      </c>
      <c r="F38" s="19" t="n">
        <f aca="false">D38-E38</f>
        <v>0</v>
      </c>
      <c r="G38" s="19" t="str">
        <f aca="false">IF(F38&gt;=0,"PASS","FAIL")</f>
        <v>PASS</v>
      </c>
      <c r="H38" s="11" t="s">
        <v>238</v>
      </c>
      <c r="I38" s="9" t="s">
        <v>475</v>
      </c>
      <c r="J38" s="9" t="s">
        <v>478</v>
      </c>
    </row>
    <row r="39" customFormat="false" ht="15" hidden="false" customHeight="false" outlineLevel="0" collapsed="false">
      <c r="A39" s="9" t="s">
        <v>352</v>
      </c>
      <c r="B39" s="9" t="s">
        <v>477</v>
      </c>
      <c r="C39" s="9" t="s">
        <v>480</v>
      </c>
      <c r="D39" s="9" t="n">
        <v>2</v>
      </c>
      <c r="E39" s="9" t="n">
        <v>2</v>
      </c>
      <c r="F39" s="19" t="n">
        <f aca="false">D39-E39</f>
        <v>0</v>
      </c>
      <c r="G39" s="19" t="str">
        <f aca="false">IF(F39&gt;=0,"PASS","FAIL")</f>
        <v>PASS</v>
      </c>
      <c r="H39" s="11" t="s">
        <v>238</v>
      </c>
      <c r="I39" s="9" t="s">
        <v>475</v>
      </c>
      <c r="J39" s="9" t="s">
        <v>478</v>
      </c>
    </row>
    <row r="40" customFormat="false" ht="15" hidden="false" customHeight="false" outlineLevel="0" collapsed="false">
      <c r="A40" s="9" t="s">
        <v>268</v>
      </c>
      <c r="B40" s="9" t="s">
        <v>477</v>
      </c>
      <c r="C40" s="9" t="s">
        <v>199</v>
      </c>
      <c r="D40" s="9" t="n">
        <v>2</v>
      </c>
      <c r="E40" s="9" t="n">
        <v>2</v>
      </c>
      <c r="F40" s="19" t="n">
        <f aca="false">D40-E40</f>
        <v>0</v>
      </c>
      <c r="G40" s="19" t="str">
        <f aca="false">IF(F40&gt;=0,"PASS","FAIL")</f>
        <v>PASS</v>
      </c>
      <c r="H40" s="11" t="s">
        <v>238</v>
      </c>
      <c r="I40" s="9" t="s">
        <v>475</v>
      </c>
      <c r="J40" s="9" t="s">
        <v>478</v>
      </c>
    </row>
    <row r="41" customFormat="false" ht="15" hidden="false" customHeight="false" outlineLevel="0" collapsed="false">
      <c r="A41" s="9" t="s">
        <v>302</v>
      </c>
      <c r="B41" s="9" t="s">
        <v>477</v>
      </c>
      <c r="C41" s="9" t="s">
        <v>199</v>
      </c>
      <c r="D41" s="9" t="n">
        <v>2</v>
      </c>
      <c r="E41" s="9" t="n">
        <v>2</v>
      </c>
      <c r="F41" s="19" t="n">
        <f aca="false">D41-E41</f>
        <v>0</v>
      </c>
      <c r="G41" s="19" t="str">
        <f aca="false">IF(F41&gt;=0,"PASS","FAIL")</f>
        <v>PASS</v>
      </c>
      <c r="H41" s="11" t="s">
        <v>238</v>
      </c>
      <c r="I41" s="9" t="s">
        <v>475</v>
      </c>
      <c r="J41" s="9" t="s">
        <v>478</v>
      </c>
    </row>
    <row r="42" customFormat="false" ht="15" hidden="false" customHeight="false" outlineLevel="0" collapsed="false">
      <c r="A42" s="9" t="s">
        <v>334</v>
      </c>
      <c r="B42" s="9" t="s">
        <v>477</v>
      </c>
      <c r="C42" s="9" t="s">
        <v>199</v>
      </c>
      <c r="D42" s="9" t="n">
        <v>2</v>
      </c>
      <c r="E42" s="9" t="n">
        <v>2</v>
      </c>
      <c r="F42" s="19" t="n">
        <f aca="false">D42-E42</f>
        <v>0</v>
      </c>
      <c r="G42" s="19" t="str">
        <f aca="false">IF(F42&gt;=0,"PASS","FAIL")</f>
        <v>PASS</v>
      </c>
      <c r="H42" s="11" t="s">
        <v>238</v>
      </c>
      <c r="I42" s="9" t="s">
        <v>475</v>
      </c>
      <c r="J42" s="9" t="s">
        <v>478</v>
      </c>
    </row>
    <row r="43" customFormat="false" ht="15" hidden="false" customHeight="false" outlineLevel="0" collapsed="false">
      <c r="A43" s="9" t="s">
        <v>279</v>
      </c>
      <c r="B43" s="9" t="s">
        <v>477</v>
      </c>
      <c r="C43" s="9" t="s">
        <v>199</v>
      </c>
      <c r="D43" s="9" t="n">
        <v>2</v>
      </c>
      <c r="E43" s="9" t="n">
        <v>2</v>
      </c>
      <c r="F43" s="19" t="n">
        <f aca="false">D43-E43</f>
        <v>0</v>
      </c>
      <c r="G43" s="19" t="str">
        <f aca="false">IF(F43&gt;=0,"PASS","FAIL")</f>
        <v>PASS</v>
      </c>
      <c r="H43" s="11" t="s">
        <v>238</v>
      </c>
      <c r="I43" s="9" t="s">
        <v>475</v>
      </c>
      <c r="J43" s="9" t="s">
        <v>478</v>
      </c>
    </row>
    <row r="44" customFormat="false" ht="15" hidden="false" customHeight="false" outlineLevel="0" collapsed="false">
      <c r="A44" s="9" t="s">
        <v>312</v>
      </c>
      <c r="B44" s="9" t="s">
        <v>477</v>
      </c>
      <c r="C44" s="9" t="s">
        <v>199</v>
      </c>
      <c r="D44" s="9" t="n">
        <v>2</v>
      </c>
      <c r="E44" s="9" t="n">
        <v>2</v>
      </c>
      <c r="F44" s="19" t="n">
        <f aca="false">D44-E44</f>
        <v>0</v>
      </c>
      <c r="G44" s="19" t="str">
        <f aca="false">IF(F44&gt;=0,"PASS","FAIL")</f>
        <v>PASS</v>
      </c>
      <c r="H44" s="11" t="s">
        <v>238</v>
      </c>
      <c r="I44" s="9" t="s">
        <v>475</v>
      </c>
      <c r="J44" s="9" t="s">
        <v>478</v>
      </c>
    </row>
    <row r="45" customFormat="false" ht="15" hidden="false" customHeight="false" outlineLevel="0" collapsed="false">
      <c r="A45" s="9" t="s">
        <v>344</v>
      </c>
      <c r="B45" s="9" t="s">
        <v>477</v>
      </c>
      <c r="C45" s="9" t="s">
        <v>199</v>
      </c>
      <c r="D45" s="9" t="n">
        <v>2</v>
      </c>
      <c r="E45" s="9" t="n">
        <v>2</v>
      </c>
      <c r="F45" s="19" t="n">
        <f aca="false">D45-E45</f>
        <v>0</v>
      </c>
      <c r="G45" s="19" t="str">
        <f aca="false">IF(F45&gt;=0,"PASS","FAIL")</f>
        <v>PASS</v>
      </c>
      <c r="H45" s="11" t="s">
        <v>238</v>
      </c>
      <c r="I45" s="9" t="s">
        <v>475</v>
      </c>
      <c r="J45" s="9" t="s">
        <v>478</v>
      </c>
    </row>
    <row r="46" customFormat="false" ht="15" hidden="false" customHeight="false" outlineLevel="0" collapsed="false">
      <c r="A46" s="9" t="s">
        <v>290</v>
      </c>
      <c r="B46" s="9" t="s">
        <v>477</v>
      </c>
      <c r="C46" s="9" t="s">
        <v>199</v>
      </c>
      <c r="D46" s="9" t="n">
        <v>2</v>
      </c>
      <c r="E46" s="9" t="n">
        <v>2</v>
      </c>
      <c r="F46" s="19" t="n">
        <f aca="false">D46-E46</f>
        <v>0</v>
      </c>
      <c r="G46" s="19" t="str">
        <f aca="false">IF(F46&gt;=0,"PASS","FAIL")</f>
        <v>PASS</v>
      </c>
      <c r="H46" s="11" t="s">
        <v>238</v>
      </c>
      <c r="I46" s="9" t="s">
        <v>475</v>
      </c>
      <c r="J46" s="9" t="s">
        <v>478</v>
      </c>
    </row>
    <row r="47" customFormat="false" ht="15" hidden="false" customHeight="false" outlineLevel="0" collapsed="false">
      <c r="A47" s="9" t="s">
        <v>322</v>
      </c>
      <c r="B47" s="9" t="s">
        <v>477</v>
      </c>
      <c r="C47" s="9" t="s">
        <v>199</v>
      </c>
      <c r="D47" s="9" t="n">
        <v>2</v>
      </c>
      <c r="E47" s="9" t="n">
        <v>2</v>
      </c>
      <c r="F47" s="19" t="n">
        <f aca="false">D47-E47</f>
        <v>0</v>
      </c>
      <c r="G47" s="19" t="str">
        <f aca="false">IF(F47&gt;=0,"PASS","FAIL")</f>
        <v>PASS</v>
      </c>
      <c r="H47" s="11" t="s">
        <v>238</v>
      </c>
      <c r="I47" s="9" t="s">
        <v>475</v>
      </c>
      <c r="J47" s="9" t="s">
        <v>478</v>
      </c>
    </row>
    <row r="48" customFormat="false" ht="15" hidden="false" customHeight="false" outlineLevel="0" collapsed="false">
      <c r="A48" s="9" t="s">
        <v>354</v>
      </c>
      <c r="B48" s="9" t="s">
        <v>477</v>
      </c>
      <c r="C48" s="9" t="s">
        <v>199</v>
      </c>
      <c r="D48" s="9" t="n">
        <v>2</v>
      </c>
      <c r="E48" s="9" t="n">
        <v>2</v>
      </c>
      <c r="F48" s="19" t="n">
        <f aca="false">D48-E48</f>
        <v>0</v>
      </c>
      <c r="G48" s="19" t="str">
        <f aca="false">IF(F48&gt;=0,"PASS","FAIL")</f>
        <v>PASS</v>
      </c>
      <c r="H48" s="11" t="s">
        <v>238</v>
      </c>
      <c r="I48" s="9" t="s">
        <v>475</v>
      </c>
      <c r="J48" s="9" t="s">
        <v>478</v>
      </c>
    </row>
    <row r="49" customFormat="false" ht="15" hidden="false" customHeight="false" outlineLevel="0" collapsed="false">
      <c r="A49" s="9" t="s">
        <v>237</v>
      </c>
      <c r="B49" s="9" t="s">
        <v>481</v>
      </c>
      <c r="C49" s="9" t="s">
        <v>482</v>
      </c>
      <c r="D49" s="9" t="n">
        <v>4</v>
      </c>
      <c r="E49" s="9" t="n">
        <v>4</v>
      </c>
      <c r="F49" s="19" t="n">
        <f aca="false">D49-E49</f>
        <v>0</v>
      </c>
      <c r="G49" s="19" t="str">
        <f aca="false">IF(F49&gt;=0,"PASS","FAIL")</f>
        <v>PASS</v>
      </c>
      <c r="H49" s="11" t="s">
        <v>238</v>
      </c>
      <c r="I49" s="9" t="s">
        <v>475</v>
      </c>
      <c r="J49" s="9" t="s">
        <v>483</v>
      </c>
    </row>
    <row r="50" customFormat="false" ht="15" hidden="false" customHeight="false" outlineLevel="0" collapsed="false">
      <c r="A50" s="9" t="s">
        <v>241</v>
      </c>
      <c r="B50" s="9" t="s">
        <v>481</v>
      </c>
      <c r="C50" s="9" t="s">
        <v>482</v>
      </c>
      <c r="D50" s="9" t="n">
        <v>4</v>
      </c>
      <c r="E50" s="9" t="n">
        <v>4</v>
      </c>
      <c r="F50" s="19" t="n">
        <f aca="false">D50-E50</f>
        <v>0</v>
      </c>
      <c r="G50" s="19" t="str">
        <f aca="false">IF(F50&gt;=0,"PASS","FAIL")</f>
        <v>PASS</v>
      </c>
      <c r="H50" s="11" t="s">
        <v>238</v>
      </c>
      <c r="I50" s="9" t="s">
        <v>475</v>
      </c>
      <c r="J50" s="9" t="s">
        <v>483</v>
      </c>
    </row>
    <row r="51" customFormat="false" ht="15" hidden="false" customHeight="false" outlineLevel="0" collapsed="false">
      <c r="A51" s="9" t="s">
        <v>244</v>
      </c>
      <c r="B51" s="9" t="s">
        <v>481</v>
      </c>
      <c r="C51" s="9" t="s">
        <v>482</v>
      </c>
      <c r="D51" s="9" t="n">
        <v>4</v>
      </c>
      <c r="E51" s="9" t="n">
        <v>4</v>
      </c>
      <c r="F51" s="19" t="n">
        <f aca="false">D51-E51</f>
        <v>0</v>
      </c>
      <c r="G51" s="19" t="str">
        <f aca="false">IF(F51&gt;=0,"PASS","FAIL")</f>
        <v>PASS</v>
      </c>
      <c r="H51" s="11" t="s">
        <v>238</v>
      </c>
      <c r="I51" s="9" t="s">
        <v>475</v>
      </c>
      <c r="J51" s="9" t="s">
        <v>483</v>
      </c>
    </row>
    <row r="52" customFormat="false" ht="15" hidden="false" customHeight="false" outlineLevel="0" collapsed="false">
      <c r="A52" s="9" t="s">
        <v>247</v>
      </c>
      <c r="B52" s="9" t="s">
        <v>481</v>
      </c>
      <c r="C52" s="9" t="s">
        <v>482</v>
      </c>
      <c r="D52" s="9" t="n">
        <v>4</v>
      </c>
      <c r="E52" s="9" t="n">
        <v>4</v>
      </c>
      <c r="F52" s="19" t="n">
        <f aca="false">D52-E52</f>
        <v>0</v>
      </c>
      <c r="G52" s="19" t="str">
        <f aca="false">IF(F52&gt;=0,"PASS","FAIL")</f>
        <v>PASS</v>
      </c>
      <c r="H52" s="11" t="s">
        <v>238</v>
      </c>
      <c r="I52" s="9" t="s">
        <v>475</v>
      </c>
      <c r="J52" s="9" t="s">
        <v>483</v>
      </c>
    </row>
    <row r="53" customFormat="false" ht="15" hidden="false" customHeight="false" outlineLevel="0" collapsed="false">
      <c r="A53" s="9" t="s">
        <v>250</v>
      </c>
      <c r="B53" s="9" t="s">
        <v>481</v>
      </c>
      <c r="C53" s="9" t="s">
        <v>482</v>
      </c>
      <c r="D53" s="9" t="n">
        <v>4</v>
      </c>
      <c r="E53" s="9" t="n">
        <v>4</v>
      </c>
      <c r="F53" s="19" t="n">
        <f aca="false">D53-E53</f>
        <v>0</v>
      </c>
      <c r="G53" s="19" t="str">
        <f aca="false">IF(F53&gt;=0,"PASS","FAIL")</f>
        <v>PASS</v>
      </c>
      <c r="H53" s="11" t="s">
        <v>238</v>
      </c>
      <c r="I53" s="9" t="s">
        <v>475</v>
      </c>
      <c r="J53" s="9" t="s">
        <v>483</v>
      </c>
    </row>
    <row r="54" customFormat="false" ht="15" hidden="false" customHeight="false" outlineLevel="0" collapsed="false">
      <c r="A54" s="12" t="s">
        <v>253</v>
      </c>
      <c r="B54" s="12" t="s">
        <v>481</v>
      </c>
      <c r="C54" s="12" t="s">
        <v>482</v>
      </c>
      <c r="D54" s="12" t="n">
        <v>4</v>
      </c>
      <c r="E54" s="12" t="n">
        <v>4</v>
      </c>
      <c r="F54" s="20" t="n">
        <f aca="false">D54-E54</f>
        <v>0</v>
      </c>
      <c r="G54" s="20" t="str">
        <f aca="false">IF(F54&gt;=0,"PASS","FAIL")</f>
        <v>PASS</v>
      </c>
      <c r="H54" s="14" t="s">
        <v>238</v>
      </c>
      <c r="I54" s="12" t="s">
        <v>475</v>
      </c>
      <c r="J54" s="12" t="s">
        <v>483</v>
      </c>
    </row>
  </sheetData>
  <mergeCells count="2">
    <mergeCell ref="A2:J2"/>
    <mergeCell ref="A4:J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61"/>
    <col collapsed="false" customWidth="true" hidden="false" outlineLevel="0" max="4" min="4" style="0" width="31"/>
    <col collapsed="false" customWidth="true" hidden="false" outlineLevel="0" max="5" min="5" style="0" width="25"/>
    <col collapsed="false" customWidth="true" hidden="false" outlineLevel="0" max="6" min="6" style="0" width="20"/>
    <col collapsed="false" customWidth="true" hidden="false" outlineLevel="0" max="7" min="7" style="0" width="14"/>
  </cols>
  <sheetData>
    <row r="2" customFormat="false" ht="24" hidden="false" customHeight="true" outlineLevel="0" collapsed="false">
      <c r="A2" s="1" t="s">
        <v>484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485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486</v>
      </c>
      <c r="B6" s="6" t="s">
        <v>487</v>
      </c>
      <c r="C6" s="6" t="s">
        <v>472</v>
      </c>
      <c r="D6" s="6" t="s">
        <v>488</v>
      </c>
      <c r="E6" s="6" t="s">
        <v>489</v>
      </c>
      <c r="F6" s="6" t="s">
        <v>490</v>
      </c>
      <c r="G6" s="7" t="s">
        <v>5</v>
      </c>
    </row>
    <row r="7" customFormat="false" ht="15" hidden="false" customHeight="false" outlineLevel="0" collapsed="false">
      <c r="A7" s="8" t="s">
        <v>491</v>
      </c>
      <c r="B7" s="8" t="s">
        <v>492</v>
      </c>
      <c r="C7" s="8" t="s">
        <v>493</v>
      </c>
      <c r="D7" s="8" t="s">
        <v>494</v>
      </c>
      <c r="E7" s="8" t="s">
        <v>495</v>
      </c>
      <c r="F7" s="8" t="s">
        <v>475</v>
      </c>
      <c r="G7" s="8" t="s">
        <v>39</v>
      </c>
    </row>
    <row r="8" customFormat="false" ht="15" hidden="false" customHeight="false" outlineLevel="0" collapsed="false">
      <c r="A8" s="9" t="s">
        <v>496</v>
      </c>
      <c r="B8" s="9" t="s">
        <v>497</v>
      </c>
      <c r="C8" s="9" t="s">
        <v>498</v>
      </c>
      <c r="D8" s="9" t="s">
        <v>499</v>
      </c>
      <c r="E8" s="9" t="s">
        <v>495</v>
      </c>
      <c r="F8" s="9" t="s">
        <v>475</v>
      </c>
      <c r="G8" s="9" t="s">
        <v>39</v>
      </c>
    </row>
    <row r="9" customFormat="false" ht="15" hidden="false" customHeight="false" outlineLevel="0" collapsed="false">
      <c r="A9" s="9" t="s">
        <v>500</v>
      </c>
      <c r="B9" s="9" t="s">
        <v>501</v>
      </c>
      <c r="C9" s="9" t="s">
        <v>502</v>
      </c>
      <c r="D9" s="9" t="s">
        <v>503</v>
      </c>
      <c r="E9" s="9" t="s">
        <v>504</v>
      </c>
      <c r="F9" s="9" t="s">
        <v>475</v>
      </c>
      <c r="G9" s="9" t="s">
        <v>39</v>
      </c>
    </row>
    <row r="10" customFormat="false" ht="15" hidden="false" customHeight="false" outlineLevel="0" collapsed="false">
      <c r="A10" s="9" t="s">
        <v>505</v>
      </c>
      <c r="B10" s="9" t="s">
        <v>501</v>
      </c>
      <c r="C10" s="9" t="s">
        <v>506</v>
      </c>
      <c r="D10" s="9" t="s">
        <v>507</v>
      </c>
      <c r="E10" s="9" t="s">
        <v>495</v>
      </c>
      <c r="F10" s="9" t="s">
        <v>475</v>
      </c>
      <c r="G10" s="9" t="s">
        <v>39</v>
      </c>
    </row>
    <row r="11" customFormat="false" ht="15" hidden="false" customHeight="false" outlineLevel="0" collapsed="false">
      <c r="A11" s="9" t="s">
        <v>508</v>
      </c>
      <c r="B11" s="9" t="s">
        <v>509</v>
      </c>
      <c r="C11" s="9" t="s">
        <v>510</v>
      </c>
      <c r="D11" s="9" t="s">
        <v>511</v>
      </c>
      <c r="E11" s="9" t="s">
        <v>495</v>
      </c>
      <c r="F11" s="9" t="s">
        <v>475</v>
      </c>
      <c r="G11" s="9" t="s">
        <v>39</v>
      </c>
    </row>
    <row r="12" customFormat="false" ht="15" hidden="false" customHeight="false" outlineLevel="0" collapsed="false">
      <c r="A12" s="9" t="s">
        <v>512</v>
      </c>
      <c r="B12" s="9" t="s">
        <v>513</v>
      </c>
      <c r="C12" s="9" t="s">
        <v>514</v>
      </c>
      <c r="D12" s="9" t="s">
        <v>515</v>
      </c>
      <c r="E12" s="9" t="s">
        <v>495</v>
      </c>
      <c r="F12" s="9" t="s">
        <v>475</v>
      </c>
      <c r="G12" s="9" t="s">
        <v>39</v>
      </c>
    </row>
    <row r="13" customFormat="false" ht="15" hidden="false" customHeight="false" outlineLevel="0" collapsed="false">
      <c r="A13" s="9" t="s">
        <v>516</v>
      </c>
      <c r="B13" s="9" t="s">
        <v>517</v>
      </c>
      <c r="C13" s="9" t="s">
        <v>518</v>
      </c>
      <c r="D13" s="9" t="s">
        <v>519</v>
      </c>
      <c r="E13" s="9" t="s">
        <v>495</v>
      </c>
      <c r="F13" s="9" t="s">
        <v>475</v>
      </c>
      <c r="G13" s="9" t="s">
        <v>39</v>
      </c>
    </row>
    <row r="14" customFormat="false" ht="15" hidden="false" customHeight="false" outlineLevel="0" collapsed="false">
      <c r="A14" s="9" t="s">
        <v>520</v>
      </c>
      <c r="B14" s="9" t="s">
        <v>521</v>
      </c>
      <c r="C14" s="9" t="s">
        <v>522</v>
      </c>
      <c r="D14" s="9" t="s">
        <v>523</v>
      </c>
      <c r="E14" s="9" t="s">
        <v>495</v>
      </c>
      <c r="F14" s="9" t="s">
        <v>475</v>
      </c>
      <c r="G14" s="9" t="s">
        <v>39</v>
      </c>
    </row>
    <row r="15" customFormat="false" ht="15" hidden="false" customHeight="false" outlineLevel="0" collapsed="false">
      <c r="A15" s="9" t="s">
        <v>524</v>
      </c>
      <c r="B15" s="9" t="s">
        <v>525</v>
      </c>
      <c r="C15" s="9" t="s">
        <v>526</v>
      </c>
      <c r="D15" s="9" t="s">
        <v>527</v>
      </c>
      <c r="E15" s="9" t="s">
        <v>528</v>
      </c>
      <c r="F15" s="9" t="s">
        <v>475</v>
      </c>
      <c r="G15" s="9" t="s">
        <v>39</v>
      </c>
    </row>
    <row r="16" customFormat="false" ht="15" hidden="false" customHeight="false" outlineLevel="0" collapsed="false">
      <c r="A16" s="9" t="s">
        <v>529</v>
      </c>
      <c r="B16" s="9" t="s">
        <v>530</v>
      </c>
      <c r="C16" s="9" t="s">
        <v>531</v>
      </c>
      <c r="D16" s="9" t="s">
        <v>532</v>
      </c>
      <c r="E16" s="9" t="s">
        <v>533</v>
      </c>
      <c r="F16" s="9" t="s">
        <v>475</v>
      </c>
      <c r="G16" s="9" t="s">
        <v>39</v>
      </c>
    </row>
    <row r="17" customFormat="false" ht="15" hidden="false" customHeight="false" outlineLevel="0" collapsed="false">
      <c r="A17" s="9" t="s">
        <v>534</v>
      </c>
      <c r="B17" s="9" t="s">
        <v>535</v>
      </c>
      <c r="C17" s="9" t="s">
        <v>536</v>
      </c>
      <c r="D17" s="9" t="s">
        <v>537</v>
      </c>
      <c r="E17" s="9" t="s">
        <v>538</v>
      </c>
      <c r="F17" s="9" t="s">
        <v>475</v>
      </c>
      <c r="G17" s="9" t="s">
        <v>39</v>
      </c>
    </row>
    <row r="18" customFormat="false" ht="15" hidden="false" customHeight="false" outlineLevel="0" collapsed="false">
      <c r="A18" s="12" t="s">
        <v>539</v>
      </c>
      <c r="B18" s="12" t="s">
        <v>540</v>
      </c>
      <c r="C18" s="12" t="s">
        <v>541</v>
      </c>
      <c r="D18" s="12" t="s">
        <v>542</v>
      </c>
      <c r="E18" s="12" t="s">
        <v>543</v>
      </c>
      <c r="F18" s="12" t="s">
        <v>475</v>
      </c>
      <c r="G18" s="12" t="s">
        <v>39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9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27"/>
    <col collapsed="false" customWidth="true" hidden="false" outlineLevel="0" max="9" min="9" style="0" width="20"/>
    <col collapsed="false" customWidth="true" hidden="false" outlineLevel="0" max="10" min="10" style="0" width="23"/>
    <col collapsed="false" customWidth="true" hidden="false" outlineLevel="0" max="11" min="11" style="0" width="17"/>
    <col collapsed="false" customWidth="true" hidden="false" outlineLevel="0" max="12" min="12" style="0" width="14"/>
  </cols>
  <sheetData>
    <row r="2" customFormat="false" ht="24" hidden="false" customHeight="true" outlineLevel="0" collapsed="false">
      <c r="A2" s="1" t="s">
        <v>544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3" t="s">
        <v>545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3" hidden="false" customHeight="true" outlineLevel="0" collapsed="false">
      <c r="A6" s="5" t="s">
        <v>438</v>
      </c>
      <c r="B6" s="6" t="s">
        <v>452</v>
      </c>
      <c r="C6" s="6" t="s">
        <v>218</v>
      </c>
      <c r="D6" s="6" t="s">
        <v>219</v>
      </c>
      <c r="E6" s="6" t="s">
        <v>220</v>
      </c>
      <c r="F6" s="6" t="s">
        <v>222</v>
      </c>
      <c r="G6" s="6" t="s">
        <v>546</v>
      </c>
      <c r="H6" s="6" t="s">
        <v>223</v>
      </c>
      <c r="I6" s="6" t="s">
        <v>179</v>
      </c>
      <c r="J6" s="6" t="s">
        <v>547</v>
      </c>
      <c r="K6" s="6" t="s">
        <v>548</v>
      </c>
      <c r="L6" s="7" t="s">
        <v>5</v>
      </c>
    </row>
    <row r="7" customFormat="false" ht="15" hidden="false" customHeight="false" outlineLevel="0" collapsed="false">
      <c r="A7" s="8" t="s">
        <v>260</v>
      </c>
      <c r="B7" s="8" t="s">
        <v>258</v>
      </c>
      <c r="C7" s="8" t="s">
        <v>255</v>
      </c>
      <c r="D7" s="8" t="s">
        <v>256</v>
      </c>
      <c r="E7" s="8" t="s">
        <v>257</v>
      </c>
      <c r="F7" s="8" t="s">
        <v>261</v>
      </c>
      <c r="G7" s="8" t="n">
        <v>4</v>
      </c>
      <c r="H7" s="8" t="s">
        <v>262</v>
      </c>
      <c r="I7" s="8" t="n">
        <v>0.09</v>
      </c>
      <c r="J7" s="40" t="s">
        <v>238</v>
      </c>
      <c r="K7" s="40" t="n">
        <v>0</v>
      </c>
      <c r="L7" s="40" t="s">
        <v>81</v>
      </c>
    </row>
    <row r="8" customFormat="false" ht="15" hidden="false" customHeight="false" outlineLevel="0" collapsed="false">
      <c r="A8" s="9" t="s">
        <v>263</v>
      </c>
      <c r="B8" s="9" t="s">
        <v>258</v>
      </c>
      <c r="C8" s="9" t="s">
        <v>255</v>
      </c>
      <c r="D8" s="9" t="s">
        <v>256</v>
      </c>
      <c r="E8" s="9" t="s">
        <v>257</v>
      </c>
      <c r="F8" s="9" t="s">
        <v>264</v>
      </c>
      <c r="G8" s="9" t="n">
        <v>4</v>
      </c>
      <c r="H8" s="9" t="s">
        <v>265</v>
      </c>
      <c r="I8" s="9" t="n">
        <v>0.09</v>
      </c>
      <c r="J8" s="11" t="s">
        <v>238</v>
      </c>
      <c r="K8" s="11" t="n">
        <v>0</v>
      </c>
      <c r="L8" s="11" t="s">
        <v>81</v>
      </c>
    </row>
    <row r="9" customFormat="false" ht="15" hidden="false" customHeight="false" outlineLevel="0" collapsed="false">
      <c r="A9" s="9" t="s">
        <v>274</v>
      </c>
      <c r="B9" s="9" t="s">
        <v>272</v>
      </c>
      <c r="C9" s="9" t="s">
        <v>255</v>
      </c>
      <c r="D9" s="9" t="s">
        <v>256</v>
      </c>
      <c r="E9" s="9" t="s">
        <v>271</v>
      </c>
      <c r="F9" s="9" t="s">
        <v>261</v>
      </c>
      <c r="G9" s="9" t="n">
        <v>4</v>
      </c>
      <c r="H9" s="9" t="s">
        <v>275</v>
      </c>
      <c r="I9" s="9" t="n">
        <v>0.09</v>
      </c>
      <c r="J9" s="11" t="s">
        <v>238</v>
      </c>
      <c r="K9" s="11" t="n">
        <v>0</v>
      </c>
      <c r="L9" s="11" t="s">
        <v>81</v>
      </c>
    </row>
    <row r="10" customFormat="false" ht="15" hidden="false" customHeight="false" outlineLevel="0" collapsed="false">
      <c r="A10" s="9" t="s">
        <v>276</v>
      </c>
      <c r="B10" s="9" t="s">
        <v>272</v>
      </c>
      <c r="C10" s="9" t="s">
        <v>255</v>
      </c>
      <c r="D10" s="9" t="s">
        <v>256</v>
      </c>
      <c r="E10" s="9" t="s">
        <v>271</v>
      </c>
      <c r="F10" s="9" t="s">
        <v>264</v>
      </c>
      <c r="G10" s="9" t="n">
        <v>4</v>
      </c>
      <c r="H10" s="9" t="s">
        <v>277</v>
      </c>
      <c r="I10" s="9" t="n">
        <v>0.09</v>
      </c>
      <c r="J10" s="11" t="s">
        <v>238</v>
      </c>
      <c r="K10" s="11" t="n">
        <v>0</v>
      </c>
      <c r="L10" s="11" t="s">
        <v>81</v>
      </c>
    </row>
    <row r="11" customFormat="false" ht="15" hidden="false" customHeight="false" outlineLevel="0" collapsed="false">
      <c r="A11" s="9" t="s">
        <v>285</v>
      </c>
      <c r="B11" s="9" t="s">
        <v>283</v>
      </c>
      <c r="C11" s="9" t="s">
        <v>255</v>
      </c>
      <c r="D11" s="9" t="s">
        <v>256</v>
      </c>
      <c r="E11" s="9" t="s">
        <v>282</v>
      </c>
      <c r="F11" s="9" t="s">
        <v>261</v>
      </c>
      <c r="G11" s="9" t="n">
        <v>4</v>
      </c>
      <c r="H11" s="9" t="s">
        <v>286</v>
      </c>
      <c r="I11" s="9" t="n">
        <v>0.09</v>
      </c>
      <c r="J11" s="11" t="s">
        <v>238</v>
      </c>
      <c r="K11" s="11" t="n">
        <v>0</v>
      </c>
      <c r="L11" s="11" t="s">
        <v>81</v>
      </c>
    </row>
    <row r="12" customFormat="false" ht="15" hidden="false" customHeight="false" outlineLevel="0" collapsed="false">
      <c r="A12" s="9" t="s">
        <v>287</v>
      </c>
      <c r="B12" s="9" t="s">
        <v>283</v>
      </c>
      <c r="C12" s="9" t="s">
        <v>255</v>
      </c>
      <c r="D12" s="9" t="s">
        <v>256</v>
      </c>
      <c r="E12" s="9" t="s">
        <v>282</v>
      </c>
      <c r="F12" s="9" t="s">
        <v>264</v>
      </c>
      <c r="G12" s="9" t="n">
        <v>4</v>
      </c>
      <c r="H12" s="9" t="s">
        <v>288</v>
      </c>
      <c r="I12" s="9" t="n">
        <v>0.09</v>
      </c>
      <c r="J12" s="11" t="s">
        <v>238</v>
      </c>
      <c r="K12" s="11" t="n">
        <v>0</v>
      </c>
      <c r="L12" s="11" t="s">
        <v>81</v>
      </c>
    </row>
    <row r="13" customFormat="false" ht="15" hidden="false" customHeight="false" outlineLevel="0" collapsed="false">
      <c r="A13" s="9" t="s">
        <v>297</v>
      </c>
      <c r="B13" s="9" t="s">
        <v>295</v>
      </c>
      <c r="C13" s="9" t="s">
        <v>293</v>
      </c>
      <c r="D13" s="9" t="s">
        <v>294</v>
      </c>
      <c r="E13" s="9" t="s">
        <v>257</v>
      </c>
      <c r="F13" s="9" t="s">
        <v>261</v>
      </c>
      <c r="G13" s="9" t="n">
        <v>4</v>
      </c>
      <c r="H13" s="9" t="s">
        <v>298</v>
      </c>
      <c r="I13" s="9" t="n">
        <v>0.09</v>
      </c>
      <c r="J13" s="11" t="s">
        <v>238</v>
      </c>
      <c r="K13" s="11" t="n">
        <v>0</v>
      </c>
      <c r="L13" s="11" t="s">
        <v>81</v>
      </c>
    </row>
    <row r="14" customFormat="false" ht="15" hidden="false" customHeight="false" outlineLevel="0" collapsed="false">
      <c r="A14" s="9" t="s">
        <v>299</v>
      </c>
      <c r="B14" s="9" t="s">
        <v>295</v>
      </c>
      <c r="C14" s="9" t="s">
        <v>293</v>
      </c>
      <c r="D14" s="9" t="s">
        <v>294</v>
      </c>
      <c r="E14" s="9" t="s">
        <v>257</v>
      </c>
      <c r="F14" s="9" t="s">
        <v>264</v>
      </c>
      <c r="G14" s="9" t="n">
        <v>4</v>
      </c>
      <c r="H14" s="9" t="s">
        <v>300</v>
      </c>
      <c r="I14" s="9" t="n">
        <v>0.09</v>
      </c>
      <c r="J14" s="11" t="s">
        <v>238</v>
      </c>
      <c r="K14" s="11" t="n">
        <v>0</v>
      </c>
      <c r="L14" s="11" t="s">
        <v>81</v>
      </c>
    </row>
    <row r="15" customFormat="false" ht="15" hidden="false" customHeight="false" outlineLevel="0" collapsed="false">
      <c r="A15" s="9" t="s">
        <v>307</v>
      </c>
      <c r="B15" s="9" t="s">
        <v>305</v>
      </c>
      <c r="C15" s="9" t="s">
        <v>293</v>
      </c>
      <c r="D15" s="9" t="s">
        <v>294</v>
      </c>
      <c r="E15" s="9" t="s">
        <v>271</v>
      </c>
      <c r="F15" s="9" t="s">
        <v>261</v>
      </c>
      <c r="G15" s="9" t="n">
        <v>4</v>
      </c>
      <c r="H15" s="9" t="s">
        <v>308</v>
      </c>
      <c r="I15" s="9" t="n">
        <v>0.09</v>
      </c>
      <c r="J15" s="11" t="s">
        <v>238</v>
      </c>
      <c r="K15" s="11" t="n">
        <v>0</v>
      </c>
      <c r="L15" s="11" t="s">
        <v>81</v>
      </c>
    </row>
    <row r="16" customFormat="false" ht="15" hidden="false" customHeight="false" outlineLevel="0" collapsed="false">
      <c r="A16" s="9" t="s">
        <v>309</v>
      </c>
      <c r="B16" s="9" t="s">
        <v>305</v>
      </c>
      <c r="C16" s="9" t="s">
        <v>293</v>
      </c>
      <c r="D16" s="9" t="s">
        <v>294</v>
      </c>
      <c r="E16" s="9" t="s">
        <v>271</v>
      </c>
      <c r="F16" s="9" t="s">
        <v>264</v>
      </c>
      <c r="G16" s="9" t="n">
        <v>4</v>
      </c>
      <c r="H16" s="9" t="s">
        <v>310</v>
      </c>
      <c r="I16" s="9" t="n">
        <v>0.09</v>
      </c>
      <c r="J16" s="11" t="s">
        <v>238</v>
      </c>
      <c r="K16" s="11" t="n">
        <v>0</v>
      </c>
      <c r="L16" s="11" t="s">
        <v>81</v>
      </c>
    </row>
    <row r="17" customFormat="false" ht="15" hidden="false" customHeight="false" outlineLevel="0" collapsed="false">
      <c r="A17" s="9" t="s">
        <v>317</v>
      </c>
      <c r="B17" s="9" t="s">
        <v>315</v>
      </c>
      <c r="C17" s="9" t="s">
        <v>293</v>
      </c>
      <c r="D17" s="9" t="s">
        <v>294</v>
      </c>
      <c r="E17" s="9" t="s">
        <v>282</v>
      </c>
      <c r="F17" s="9" t="s">
        <v>261</v>
      </c>
      <c r="G17" s="9" t="n">
        <v>4</v>
      </c>
      <c r="H17" s="9" t="s">
        <v>318</v>
      </c>
      <c r="I17" s="9" t="n">
        <v>0.09</v>
      </c>
      <c r="J17" s="11" t="s">
        <v>238</v>
      </c>
      <c r="K17" s="11" t="n">
        <v>0</v>
      </c>
      <c r="L17" s="11" t="s">
        <v>81</v>
      </c>
    </row>
    <row r="18" customFormat="false" ht="15" hidden="false" customHeight="false" outlineLevel="0" collapsed="false">
      <c r="A18" s="9" t="s">
        <v>319</v>
      </c>
      <c r="B18" s="9" t="s">
        <v>315</v>
      </c>
      <c r="C18" s="9" t="s">
        <v>293</v>
      </c>
      <c r="D18" s="9" t="s">
        <v>294</v>
      </c>
      <c r="E18" s="9" t="s">
        <v>282</v>
      </c>
      <c r="F18" s="9" t="s">
        <v>264</v>
      </c>
      <c r="G18" s="9" t="n">
        <v>4</v>
      </c>
      <c r="H18" s="9" t="s">
        <v>320</v>
      </c>
      <c r="I18" s="9" t="n">
        <v>0.09</v>
      </c>
      <c r="J18" s="11" t="s">
        <v>238</v>
      </c>
      <c r="K18" s="11" t="n">
        <v>0</v>
      </c>
      <c r="L18" s="11" t="s">
        <v>81</v>
      </c>
    </row>
    <row r="19" customFormat="false" ht="15" hidden="false" customHeight="false" outlineLevel="0" collapsed="false">
      <c r="A19" s="9" t="s">
        <v>329</v>
      </c>
      <c r="B19" s="9" t="s">
        <v>327</v>
      </c>
      <c r="C19" s="9" t="s">
        <v>325</v>
      </c>
      <c r="D19" s="9" t="s">
        <v>326</v>
      </c>
      <c r="E19" s="9" t="s">
        <v>257</v>
      </c>
      <c r="F19" s="9" t="s">
        <v>261</v>
      </c>
      <c r="G19" s="9" t="n">
        <v>4</v>
      </c>
      <c r="H19" s="9" t="s">
        <v>330</v>
      </c>
      <c r="I19" s="9" t="n">
        <v>0.09</v>
      </c>
      <c r="J19" s="11" t="s">
        <v>238</v>
      </c>
      <c r="K19" s="11" t="n">
        <v>0</v>
      </c>
      <c r="L19" s="11" t="s">
        <v>81</v>
      </c>
    </row>
    <row r="20" customFormat="false" ht="15" hidden="false" customHeight="false" outlineLevel="0" collapsed="false">
      <c r="A20" s="9" t="s">
        <v>331</v>
      </c>
      <c r="B20" s="9" t="s">
        <v>327</v>
      </c>
      <c r="C20" s="9" t="s">
        <v>325</v>
      </c>
      <c r="D20" s="9" t="s">
        <v>326</v>
      </c>
      <c r="E20" s="9" t="s">
        <v>257</v>
      </c>
      <c r="F20" s="9" t="s">
        <v>264</v>
      </c>
      <c r="G20" s="9" t="n">
        <v>4</v>
      </c>
      <c r="H20" s="9" t="s">
        <v>332</v>
      </c>
      <c r="I20" s="9" t="n">
        <v>0.09</v>
      </c>
      <c r="J20" s="11" t="s">
        <v>238</v>
      </c>
      <c r="K20" s="11" t="n">
        <v>0</v>
      </c>
      <c r="L20" s="11" t="s">
        <v>81</v>
      </c>
    </row>
    <row r="21" customFormat="false" ht="15" hidden="false" customHeight="false" outlineLevel="0" collapsed="false">
      <c r="A21" s="9" t="s">
        <v>339</v>
      </c>
      <c r="B21" s="9" t="s">
        <v>337</v>
      </c>
      <c r="C21" s="9" t="s">
        <v>325</v>
      </c>
      <c r="D21" s="9" t="s">
        <v>326</v>
      </c>
      <c r="E21" s="9" t="s">
        <v>271</v>
      </c>
      <c r="F21" s="9" t="s">
        <v>261</v>
      </c>
      <c r="G21" s="9" t="n">
        <v>4</v>
      </c>
      <c r="H21" s="9" t="s">
        <v>340</v>
      </c>
      <c r="I21" s="9" t="n">
        <v>0.09</v>
      </c>
      <c r="J21" s="11" t="s">
        <v>238</v>
      </c>
      <c r="K21" s="11" t="n">
        <v>0</v>
      </c>
      <c r="L21" s="11" t="s">
        <v>81</v>
      </c>
    </row>
    <row r="22" customFormat="false" ht="15" hidden="false" customHeight="false" outlineLevel="0" collapsed="false">
      <c r="A22" s="9" t="s">
        <v>341</v>
      </c>
      <c r="B22" s="9" t="s">
        <v>337</v>
      </c>
      <c r="C22" s="9" t="s">
        <v>325</v>
      </c>
      <c r="D22" s="9" t="s">
        <v>326</v>
      </c>
      <c r="E22" s="9" t="s">
        <v>271</v>
      </c>
      <c r="F22" s="9" t="s">
        <v>264</v>
      </c>
      <c r="G22" s="9" t="n">
        <v>4</v>
      </c>
      <c r="H22" s="9" t="s">
        <v>342</v>
      </c>
      <c r="I22" s="9" t="n">
        <v>0.09</v>
      </c>
      <c r="J22" s="11" t="s">
        <v>238</v>
      </c>
      <c r="K22" s="11" t="n">
        <v>0</v>
      </c>
      <c r="L22" s="11" t="s">
        <v>81</v>
      </c>
    </row>
    <row r="23" customFormat="false" ht="15" hidden="false" customHeight="false" outlineLevel="0" collapsed="false">
      <c r="A23" s="9" t="s">
        <v>349</v>
      </c>
      <c r="B23" s="9" t="s">
        <v>347</v>
      </c>
      <c r="C23" s="9" t="s">
        <v>325</v>
      </c>
      <c r="D23" s="9" t="s">
        <v>326</v>
      </c>
      <c r="E23" s="9" t="s">
        <v>282</v>
      </c>
      <c r="F23" s="9" t="s">
        <v>261</v>
      </c>
      <c r="G23" s="9" t="n">
        <v>4</v>
      </c>
      <c r="H23" s="9" t="s">
        <v>350</v>
      </c>
      <c r="I23" s="9" t="n">
        <v>0.09</v>
      </c>
      <c r="J23" s="11" t="s">
        <v>238</v>
      </c>
      <c r="K23" s="11" t="n">
        <v>0</v>
      </c>
      <c r="L23" s="11" t="s">
        <v>81</v>
      </c>
    </row>
    <row r="24" customFormat="false" ht="15" hidden="false" customHeight="false" outlineLevel="0" collapsed="false">
      <c r="A24" s="9" t="s">
        <v>351</v>
      </c>
      <c r="B24" s="9" t="s">
        <v>347</v>
      </c>
      <c r="C24" s="9" t="s">
        <v>325</v>
      </c>
      <c r="D24" s="9" t="s">
        <v>326</v>
      </c>
      <c r="E24" s="9" t="s">
        <v>282</v>
      </c>
      <c r="F24" s="9" t="s">
        <v>264</v>
      </c>
      <c r="G24" s="9" t="n">
        <v>4</v>
      </c>
      <c r="H24" s="9" t="s">
        <v>352</v>
      </c>
      <c r="I24" s="9" t="n">
        <v>0.09</v>
      </c>
      <c r="J24" s="11" t="s">
        <v>238</v>
      </c>
      <c r="K24" s="11" t="n">
        <v>0</v>
      </c>
      <c r="L24" s="11" t="s">
        <v>81</v>
      </c>
    </row>
    <row r="25" customFormat="false" ht="15" hidden="false" customHeight="false" outlineLevel="0" collapsed="false">
      <c r="A25" s="9" t="s">
        <v>360</v>
      </c>
      <c r="B25" s="9" t="s">
        <v>359</v>
      </c>
      <c r="C25" s="9" t="s">
        <v>357</v>
      </c>
      <c r="D25" s="9" t="s">
        <v>358</v>
      </c>
      <c r="E25" s="9" t="s">
        <v>257</v>
      </c>
      <c r="F25" s="9" t="s">
        <v>261</v>
      </c>
      <c r="G25" s="9" t="n">
        <v>4</v>
      </c>
      <c r="H25" s="9" t="s">
        <v>262</v>
      </c>
      <c r="I25" s="9" t="n">
        <v>0.09</v>
      </c>
      <c r="J25" s="11" t="s">
        <v>238</v>
      </c>
      <c r="K25" s="11" t="n">
        <v>0</v>
      </c>
      <c r="L25" s="11" t="s">
        <v>81</v>
      </c>
    </row>
    <row r="26" customFormat="false" ht="15" hidden="false" customHeight="false" outlineLevel="0" collapsed="false">
      <c r="A26" s="9" t="s">
        <v>361</v>
      </c>
      <c r="B26" s="9" t="s">
        <v>359</v>
      </c>
      <c r="C26" s="9" t="s">
        <v>357</v>
      </c>
      <c r="D26" s="9" t="s">
        <v>358</v>
      </c>
      <c r="E26" s="9" t="s">
        <v>257</v>
      </c>
      <c r="F26" s="9" t="s">
        <v>264</v>
      </c>
      <c r="G26" s="9" t="n">
        <v>4</v>
      </c>
      <c r="H26" s="9" t="s">
        <v>265</v>
      </c>
      <c r="I26" s="9" t="n">
        <v>0.09</v>
      </c>
      <c r="J26" s="11" t="s">
        <v>238</v>
      </c>
      <c r="K26" s="11" t="n">
        <v>0</v>
      </c>
      <c r="L26" s="11" t="s">
        <v>81</v>
      </c>
    </row>
    <row r="27" customFormat="false" ht="15" hidden="false" customHeight="false" outlineLevel="0" collapsed="false">
      <c r="A27" s="9" t="s">
        <v>366</v>
      </c>
      <c r="B27" s="9" t="s">
        <v>365</v>
      </c>
      <c r="C27" s="9" t="s">
        <v>357</v>
      </c>
      <c r="D27" s="9" t="s">
        <v>358</v>
      </c>
      <c r="E27" s="9" t="s">
        <v>271</v>
      </c>
      <c r="F27" s="9" t="s">
        <v>261</v>
      </c>
      <c r="G27" s="9" t="n">
        <v>4</v>
      </c>
      <c r="H27" s="9" t="s">
        <v>275</v>
      </c>
      <c r="I27" s="9" t="n">
        <v>0.09</v>
      </c>
      <c r="J27" s="11" t="s">
        <v>238</v>
      </c>
      <c r="K27" s="11" t="n">
        <v>0</v>
      </c>
      <c r="L27" s="11" t="s">
        <v>81</v>
      </c>
    </row>
    <row r="28" customFormat="false" ht="15" hidden="false" customHeight="false" outlineLevel="0" collapsed="false">
      <c r="A28" s="9" t="s">
        <v>367</v>
      </c>
      <c r="B28" s="9" t="s">
        <v>365</v>
      </c>
      <c r="C28" s="9" t="s">
        <v>357</v>
      </c>
      <c r="D28" s="9" t="s">
        <v>358</v>
      </c>
      <c r="E28" s="9" t="s">
        <v>271</v>
      </c>
      <c r="F28" s="9" t="s">
        <v>264</v>
      </c>
      <c r="G28" s="9" t="n">
        <v>4</v>
      </c>
      <c r="H28" s="9" t="s">
        <v>277</v>
      </c>
      <c r="I28" s="9" t="n">
        <v>0.09</v>
      </c>
      <c r="J28" s="11" t="s">
        <v>238</v>
      </c>
      <c r="K28" s="11" t="n">
        <v>0</v>
      </c>
      <c r="L28" s="11" t="s">
        <v>81</v>
      </c>
    </row>
    <row r="29" customFormat="false" ht="15" hidden="false" customHeight="false" outlineLevel="0" collapsed="false">
      <c r="A29" s="9" t="s">
        <v>372</v>
      </c>
      <c r="B29" s="9" t="s">
        <v>371</v>
      </c>
      <c r="C29" s="9" t="s">
        <v>357</v>
      </c>
      <c r="D29" s="9" t="s">
        <v>358</v>
      </c>
      <c r="E29" s="9" t="s">
        <v>282</v>
      </c>
      <c r="F29" s="9" t="s">
        <v>261</v>
      </c>
      <c r="G29" s="9" t="n">
        <v>4</v>
      </c>
      <c r="H29" s="9" t="s">
        <v>286</v>
      </c>
      <c r="I29" s="9" t="n">
        <v>0.09</v>
      </c>
      <c r="J29" s="11" t="s">
        <v>238</v>
      </c>
      <c r="K29" s="11" t="n">
        <v>0</v>
      </c>
      <c r="L29" s="11" t="s">
        <v>81</v>
      </c>
    </row>
    <row r="30" customFormat="false" ht="15" hidden="false" customHeight="false" outlineLevel="0" collapsed="false">
      <c r="A30" s="9" t="s">
        <v>373</v>
      </c>
      <c r="B30" s="9" t="s">
        <v>371</v>
      </c>
      <c r="C30" s="9" t="s">
        <v>357</v>
      </c>
      <c r="D30" s="9" t="s">
        <v>358</v>
      </c>
      <c r="E30" s="9" t="s">
        <v>282</v>
      </c>
      <c r="F30" s="9" t="s">
        <v>264</v>
      </c>
      <c r="G30" s="9" t="n">
        <v>4</v>
      </c>
      <c r="H30" s="9" t="s">
        <v>288</v>
      </c>
      <c r="I30" s="9" t="n">
        <v>0.09</v>
      </c>
      <c r="J30" s="11" t="s">
        <v>238</v>
      </c>
      <c r="K30" s="11" t="n">
        <v>0</v>
      </c>
      <c r="L30" s="11" t="s">
        <v>81</v>
      </c>
    </row>
    <row r="31" customFormat="false" ht="15" hidden="false" customHeight="false" outlineLevel="0" collapsed="false">
      <c r="A31" s="9" t="s">
        <v>380</v>
      </c>
      <c r="B31" s="9" t="s">
        <v>379</v>
      </c>
      <c r="C31" s="9" t="s">
        <v>377</v>
      </c>
      <c r="D31" s="9" t="s">
        <v>378</v>
      </c>
      <c r="E31" s="9" t="s">
        <v>257</v>
      </c>
      <c r="F31" s="9" t="s">
        <v>261</v>
      </c>
      <c r="G31" s="9" t="n">
        <v>4</v>
      </c>
      <c r="H31" s="9" t="s">
        <v>298</v>
      </c>
      <c r="I31" s="9" t="n">
        <v>0.09</v>
      </c>
      <c r="J31" s="11" t="s">
        <v>238</v>
      </c>
      <c r="K31" s="11" t="n">
        <v>0</v>
      </c>
      <c r="L31" s="11" t="s">
        <v>81</v>
      </c>
    </row>
    <row r="32" customFormat="false" ht="15" hidden="false" customHeight="false" outlineLevel="0" collapsed="false">
      <c r="A32" s="9" t="s">
        <v>381</v>
      </c>
      <c r="B32" s="9" t="s">
        <v>379</v>
      </c>
      <c r="C32" s="9" t="s">
        <v>377</v>
      </c>
      <c r="D32" s="9" t="s">
        <v>378</v>
      </c>
      <c r="E32" s="9" t="s">
        <v>257</v>
      </c>
      <c r="F32" s="9" t="s">
        <v>264</v>
      </c>
      <c r="G32" s="9" t="n">
        <v>4</v>
      </c>
      <c r="H32" s="9" t="s">
        <v>300</v>
      </c>
      <c r="I32" s="9" t="n">
        <v>0.09</v>
      </c>
      <c r="J32" s="11" t="s">
        <v>238</v>
      </c>
      <c r="K32" s="11" t="n">
        <v>0</v>
      </c>
      <c r="L32" s="11" t="s">
        <v>81</v>
      </c>
    </row>
    <row r="33" customFormat="false" ht="15" hidden="false" customHeight="false" outlineLevel="0" collapsed="false">
      <c r="A33" s="9" t="s">
        <v>386</v>
      </c>
      <c r="B33" s="9" t="s">
        <v>385</v>
      </c>
      <c r="C33" s="9" t="s">
        <v>377</v>
      </c>
      <c r="D33" s="9" t="s">
        <v>378</v>
      </c>
      <c r="E33" s="9" t="s">
        <v>271</v>
      </c>
      <c r="F33" s="9" t="s">
        <v>261</v>
      </c>
      <c r="G33" s="9" t="n">
        <v>4</v>
      </c>
      <c r="H33" s="9" t="s">
        <v>308</v>
      </c>
      <c r="I33" s="9" t="n">
        <v>0.09</v>
      </c>
      <c r="J33" s="11" t="s">
        <v>238</v>
      </c>
      <c r="K33" s="11" t="n">
        <v>0</v>
      </c>
      <c r="L33" s="11" t="s">
        <v>81</v>
      </c>
    </row>
    <row r="34" customFormat="false" ht="15" hidden="false" customHeight="false" outlineLevel="0" collapsed="false">
      <c r="A34" s="9" t="s">
        <v>387</v>
      </c>
      <c r="B34" s="9" t="s">
        <v>385</v>
      </c>
      <c r="C34" s="9" t="s">
        <v>377</v>
      </c>
      <c r="D34" s="9" t="s">
        <v>378</v>
      </c>
      <c r="E34" s="9" t="s">
        <v>271</v>
      </c>
      <c r="F34" s="9" t="s">
        <v>264</v>
      </c>
      <c r="G34" s="9" t="n">
        <v>4</v>
      </c>
      <c r="H34" s="9" t="s">
        <v>310</v>
      </c>
      <c r="I34" s="9" t="n">
        <v>0.09</v>
      </c>
      <c r="J34" s="11" t="s">
        <v>238</v>
      </c>
      <c r="K34" s="11" t="n">
        <v>0</v>
      </c>
      <c r="L34" s="11" t="s">
        <v>81</v>
      </c>
    </row>
    <row r="35" customFormat="false" ht="15" hidden="false" customHeight="false" outlineLevel="0" collapsed="false">
      <c r="A35" s="9" t="s">
        <v>392</v>
      </c>
      <c r="B35" s="9" t="s">
        <v>391</v>
      </c>
      <c r="C35" s="9" t="s">
        <v>377</v>
      </c>
      <c r="D35" s="9" t="s">
        <v>378</v>
      </c>
      <c r="E35" s="9" t="s">
        <v>282</v>
      </c>
      <c r="F35" s="9" t="s">
        <v>261</v>
      </c>
      <c r="G35" s="9" t="n">
        <v>4</v>
      </c>
      <c r="H35" s="9" t="s">
        <v>318</v>
      </c>
      <c r="I35" s="9" t="n">
        <v>0.09</v>
      </c>
      <c r="J35" s="11" t="s">
        <v>238</v>
      </c>
      <c r="K35" s="11" t="n">
        <v>0</v>
      </c>
      <c r="L35" s="11" t="s">
        <v>81</v>
      </c>
    </row>
    <row r="36" customFormat="false" ht="15" hidden="false" customHeight="false" outlineLevel="0" collapsed="false">
      <c r="A36" s="9" t="s">
        <v>393</v>
      </c>
      <c r="B36" s="9" t="s">
        <v>391</v>
      </c>
      <c r="C36" s="9" t="s">
        <v>377</v>
      </c>
      <c r="D36" s="9" t="s">
        <v>378</v>
      </c>
      <c r="E36" s="9" t="s">
        <v>282</v>
      </c>
      <c r="F36" s="9" t="s">
        <v>264</v>
      </c>
      <c r="G36" s="9" t="n">
        <v>4</v>
      </c>
      <c r="H36" s="9" t="s">
        <v>320</v>
      </c>
      <c r="I36" s="9" t="n">
        <v>0.09</v>
      </c>
      <c r="J36" s="11" t="s">
        <v>238</v>
      </c>
      <c r="K36" s="11" t="n">
        <v>0</v>
      </c>
      <c r="L36" s="11" t="s">
        <v>81</v>
      </c>
    </row>
    <row r="37" customFormat="false" ht="15" hidden="false" customHeight="false" outlineLevel="0" collapsed="false">
      <c r="A37" s="9" t="s">
        <v>400</v>
      </c>
      <c r="B37" s="9" t="s">
        <v>399</v>
      </c>
      <c r="C37" s="9" t="s">
        <v>397</v>
      </c>
      <c r="D37" s="9" t="s">
        <v>398</v>
      </c>
      <c r="E37" s="9" t="s">
        <v>257</v>
      </c>
      <c r="F37" s="9" t="s">
        <v>261</v>
      </c>
      <c r="G37" s="9" t="n">
        <v>4</v>
      </c>
      <c r="H37" s="9" t="s">
        <v>330</v>
      </c>
      <c r="I37" s="9" t="n">
        <v>0.09</v>
      </c>
      <c r="J37" s="11" t="s">
        <v>238</v>
      </c>
      <c r="K37" s="11" t="n">
        <v>0</v>
      </c>
      <c r="L37" s="11" t="s">
        <v>81</v>
      </c>
    </row>
    <row r="38" customFormat="false" ht="15" hidden="false" customHeight="false" outlineLevel="0" collapsed="false">
      <c r="A38" s="9" t="s">
        <v>401</v>
      </c>
      <c r="B38" s="9" t="s">
        <v>399</v>
      </c>
      <c r="C38" s="9" t="s">
        <v>397</v>
      </c>
      <c r="D38" s="9" t="s">
        <v>398</v>
      </c>
      <c r="E38" s="9" t="s">
        <v>257</v>
      </c>
      <c r="F38" s="9" t="s">
        <v>264</v>
      </c>
      <c r="G38" s="9" t="n">
        <v>4</v>
      </c>
      <c r="H38" s="9" t="s">
        <v>332</v>
      </c>
      <c r="I38" s="9" t="n">
        <v>0.09</v>
      </c>
      <c r="J38" s="11" t="s">
        <v>238</v>
      </c>
      <c r="K38" s="11" t="n">
        <v>0</v>
      </c>
      <c r="L38" s="11" t="s">
        <v>81</v>
      </c>
    </row>
    <row r="39" customFormat="false" ht="15" hidden="false" customHeight="false" outlineLevel="0" collapsed="false">
      <c r="A39" s="9" t="s">
        <v>406</v>
      </c>
      <c r="B39" s="9" t="s">
        <v>405</v>
      </c>
      <c r="C39" s="9" t="s">
        <v>397</v>
      </c>
      <c r="D39" s="9" t="s">
        <v>398</v>
      </c>
      <c r="E39" s="9" t="s">
        <v>271</v>
      </c>
      <c r="F39" s="9" t="s">
        <v>261</v>
      </c>
      <c r="G39" s="9" t="n">
        <v>4</v>
      </c>
      <c r="H39" s="9" t="s">
        <v>340</v>
      </c>
      <c r="I39" s="9" t="n">
        <v>0.09</v>
      </c>
      <c r="J39" s="11" t="s">
        <v>238</v>
      </c>
      <c r="K39" s="11" t="n">
        <v>0</v>
      </c>
      <c r="L39" s="11" t="s">
        <v>81</v>
      </c>
    </row>
    <row r="40" customFormat="false" ht="15" hidden="false" customHeight="false" outlineLevel="0" collapsed="false">
      <c r="A40" s="9" t="s">
        <v>407</v>
      </c>
      <c r="B40" s="9" t="s">
        <v>405</v>
      </c>
      <c r="C40" s="9" t="s">
        <v>397</v>
      </c>
      <c r="D40" s="9" t="s">
        <v>398</v>
      </c>
      <c r="E40" s="9" t="s">
        <v>271</v>
      </c>
      <c r="F40" s="9" t="s">
        <v>264</v>
      </c>
      <c r="G40" s="9" t="n">
        <v>4</v>
      </c>
      <c r="H40" s="9" t="s">
        <v>342</v>
      </c>
      <c r="I40" s="9" t="n">
        <v>0.09</v>
      </c>
      <c r="J40" s="11" t="s">
        <v>238</v>
      </c>
      <c r="K40" s="11" t="n">
        <v>0</v>
      </c>
      <c r="L40" s="11" t="s">
        <v>81</v>
      </c>
    </row>
    <row r="41" customFormat="false" ht="15" hidden="false" customHeight="false" outlineLevel="0" collapsed="false">
      <c r="A41" s="9" t="s">
        <v>412</v>
      </c>
      <c r="B41" s="9" t="s">
        <v>411</v>
      </c>
      <c r="C41" s="9" t="s">
        <v>397</v>
      </c>
      <c r="D41" s="9" t="s">
        <v>398</v>
      </c>
      <c r="E41" s="9" t="s">
        <v>282</v>
      </c>
      <c r="F41" s="9" t="s">
        <v>261</v>
      </c>
      <c r="G41" s="9" t="n">
        <v>4</v>
      </c>
      <c r="H41" s="9" t="s">
        <v>350</v>
      </c>
      <c r="I41" s="9" t="n">
        <v>0.09</v>
      </c>
      <c r="J41" s="11" t="s">
        <v>238</v>
      </c>
      <c r="K41" s="11" t="n">
        <v>0</v>
      </c>
      <c r="L41" s="11" t="s">
        <v>81</v>
      </c>
    </row>
    <row r="42" customFormat="false" ht="15" hidden="false" customHeight="false" outlineLevel="0" collapsed="false">
      <c r="A42" s="12" t="s">
        <v>413</v>
      </c>
      <c r="B42" s="12" t="s">
        <v>411</v>
      </c>
      <c r="C42" s="12" t="s">
        <v>397</v>
      </c>
      <c r="D42" s="12" t="s">
        <v>398</v>
      </c>
      <c r="E42" s="12" t="s">
        <v>282</v>
      </c>
      <c r="F42" s="12" t="s">
        <v>264</v>
      </c>
      <c r="G42" s="12" t="n">
        <v>4</v>
      </c>
      <c r="H42" s="12" t="s">
        <v>352</v>
      </c>
      <c r="I42" s="12" t="n">
        <v>0.09</v>
      </c>
      <c r="J42" s="14" t="s">
        <v>238</v>
      </c>
      <c r="K42" s="14" t="n">
        <v>0</v>
      </c>
      <c r="L42" s="14" t="s">
        <v>81</v>
      </c>
    </row>
  </sheetData>
  <mergeCells count="2">
    <mergeCell ref="A2:L2"/>
    <mergeCell ref="A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5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3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53"/>
    <col collapsed="false" customWidth="true" hidden="false" outlineLevel="0" max="6" min="6" style="0" width="21"/>
    <col collapsed="false" customWidth="true" hidden="false" outlineLevel="0" max="7" min="7" style="0" width="65"/>
    <col collapsed="false" customWidth="true" hidden="false" outlineLevel="0" max="8" min="8" style="0" width="27"/>
    <col collapsed="false" customWidth="true" hidden="false" outlineLevel="0" max="9" min="9" style="0" width="21"/>
    <col collapsed="false" customWidth="true" hidden="false" outlineLevel="0" max="10" min="10" style="0" width="12"/>
    <col collapsed="false" customWidth="true" hidden="false" outlineLevel="0" max="11" min="11" style="0" width="14"/>
  </cols>
  <sheetData>
    <row r="2" customFormat="false" ht="24" hidden="false" customHeight="true" outlineLevel="0" collapsed="false">
      <c r="A2" s="1" t="s">
        <v>549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3" t="s">
        <v>550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23" hidden="false" customHeight="true" outlineLevel="0" collapsed="false">
      <c r="A6" s="5" t="s">
        <v>551</v>
      </c>
      <c r="B6" s="6" t="s">
        <v>217</v>
      </c>
      <c r="C6" s="6" t="s">
        <v>552</v>
      </c>
      <c r="D6" s="6" t="s">
        <v>218</v>
      </c>
      <c r="E6" s="6" t="s">
        <v>221</v>
      </c>
      <c r="F6" s="6" t="s">
        <v>553</v>
      </c>
      <c r="G6" s="6" t="s">
        <v>554</v>
      </c>
      <c r="H6" s="6" t="s">
        <v>555</v>
      </c>
      <c r="I6" s="6" t="s">
        <v>556</v>
      </c>
      <c r="J6" s="6" t="s">
        <v>557</v>
      </c>
      <c r="K6" s="7" t="s">
        <v>5</v>
      </c>
    </row>
    <row r="7" customFormat="false" ht="15" hidden="false" customHeight="false" outlineLevel="0" collapsed="false">
      <c r="A7" s="18" t="str">
        <f aca="false">"PKT-"&amp;B7&amp;"-CONFIGURATION"</f>
        <v>PKT-SUB-01-CONFIGURATION</v>
      </c>
      <c r="B7" s="18" t="str">
        <f aca="false">'Lot Register'!A7</f>
        <v>SUB-01</v>
      </c>
      <c r="C7" s="18" t="str">
        <f aca="false">'Lot Register'!B7</f>
        <v>Civil substrate</v>
      </c>
      <c r="D7" s="18" t="str">
        <f aca="false">'Lot Register'!D7</f>
        <v>MULTI</v>
      </c>
      <c r="E7" s="18" t="str">
        <f aca="false">'Lot Register'!G7</f>
        <v>ST-ET-CHA · ST-HC-REC · ST-HU-CON</v>
      </c>
      <c r="F7" s="8" t="s">
        <v>558</v>
      </c>
      <c r="G7" s="8" t="s">
        <v>559</v>
      </c>
      <c r="H7" s="8" t="s">
        <v>560</v>
      </c>
      <c r="I7" s="40" t="s">
        <v>238</v>
      </c>
      <c r="J7" s="46" t="n">
        <f aca="false">Controls!B25</f>
        <v>0</v>
      </c>
      <c r="K7" s="46" t="str">
        <f aca="false">IF(J7=1,"ACCEPTED","OPEN")</f>
        <v>OPEN</v>
      </c>
    </row>
    <row r="8" customFormat="false" ht="15" hidden="false" customHeight="false" outlineLevel="0" collapsed="false">
      <c r="A8" s="19" t="str">
        <f aca="false">"PKT-"&amp;B8&amp;"-CONTROL"</f>
        <v>PKT-SUB-01-CONTROL</v>
      </c>
      <c r="B8" s="19" t="str">
        <f aca="false">'Lot Register'!A7</f>
        <v>SUB-01</v>
      </c>
      <c r="C8" s="19" t="str">
        <f aca="false">'Lot Register'!B7</f>
        <v>Civil substrate</v>
      </c>
      <c r="D8" s="19" t="str">
        <f aca="false">'Lot Register'!D7</f>
        <v>MULTI</v>
      </c>
      <c r="E8" s="19" t="str">
        <f aca="false">'Lot Register'!G7</f>
        <v>ST-ET-CHA · ST-HC-REC · ST-HU-CON</v>
      </c>
      <c r="F8" s="9" t="s">
        <v>271</v>
      </c>
      <c r="G8" s="9" t="s">
        <v>561</v>
      </c>
      <c r="H8" s="9" t="s">
        <v>562</v>
      </c>
      <c r="I8" s="11" t="s">
        <v>238</v>
      </c>
      <c r="J8" s="47" t="n">
        <f aca="false">Controls!B25</f>
        <v>0</v>
      </c>
      <c r="K8" s="47" t="str">
        <f aca="false">IF(J8=1,"ACCEPTED","OPEN")</f>
        <v>OPEN</v>
      </c>
    </row>
    <row r="9" customFormat="false" ht="15" hidden="false" customHeight="false" outlineLevel="0" collapsed="false">
      <c r="A9" s="19" t="str">
        <f aca="false">"PKT-"&amp;B9&amp;"-METROLOGY"</f>
        <v>PKT-SUB-01-METROLOGY</v>
      </c>
      <c r="B9" s="19" t="str">
        <f aca="false">'Lot Register'!A7</f>
        <v>SUB-01</v>
      </c>
      <c r="C9" s="19" t="str">
        <f aca="false">'Lot Register'!B7</f>
        <v>Civil substrate</v>
      </c>
      <c r="D9" s="19" t="str">
        <f aca="false">'Lot Register'!D7</f>
        <v>MULTI</v>
      </c>
      <c r="E9" s="19" t="str">
        <f aca="false">'Lot Register'!G7</f>
        <v>ST-ET-CHA · ST-HC-REC · ST-HU-CON</v>
      </c>
      <c r="F9" s="9" t="s">
        <v>563</v>
      </c>
      <c r="G9" s="9" t="s">
        <v>564</v>
      </c>
      <c r="H9" s="9" t="s">
        <v>565</v>
      </c>
      <c r="I9" s="11" t="s">
        <v>238</v>
      </c>
      <c r="J9" s="47" t="n">
        <f aca="false">Controls!B25</f>
        <v>0</v>
      </c>
      <c r="K9" s="47" t="str">
        <f aca="false">IF(J9=1,"ACCEPTED","OPEN")</f>
        <v>OPEN</v>
      </c>
    </row>
    <row r="10" customFormat="false" ht="15" hidden="false" customHeight="false" outlineLevel="0" collapsed="false">
      <c r="A10" s="19" t="str">
        <f aca="false">"PKT-"&amp;B10&amp;"-SAFETY"</f>
        <v>PKT-SUB-01-SAFETY</v>
      </c>
      <c r="B10" s="19" t="str">
        <f aca="false">'Lot Register'!A7</f>
        <v>SUB-01</v>
      </c>
      <c r="C10" s="19" t="str">
        <f aca="false">'Lot Register'!B7</f>
        <v>Civil substrate</v>
      </c>
      <c r="D10" s="19" t="str">
        <f aca="false">'Lot Register'!D7</f>
        <v>MULTI</v>
      </c>
      <c r="E10" s="19" t="str">
        <f aca="false">'Lot Register'!G7</f>
        <v>ST-ET-CHA · ST-HC-REC · ST-HU-CON</v>
      </c>
      <c r="F10" s="9" t="s">
        <v>566</v>
      </c>
      <c r="G10" s="9" t="s">
        <v>567</v>
      </c>
      <c r="H10" s="9" t="s">
        <v>568</v>
      </c>
      <c r="I10" s="11" t="s">
        <v>238</v>
      </c>
      <c r="J10" s="47" t="n">
        <f aca="false">Controls!B25</f>
        <v>0</v>
      </c>
      <c r="K10" s="47" t="str">
        <f aca="false">IF(J10=1,"ACCEPTED","OPEN")</f>
        <v>OPEN</v>
      </c>
    </row>
    <row r="11" customFormat="false" ht="15" hidden="false" customHeight="false" outlineLevel="0" collapsed="false">
      <c r="A11" s="19" t="str">
        <f aca="false">"PKT-"&amp;B11&amp;"-RECONSTRUCTION"</f>
        <v>PKT-SUB-01-RECONSTRUCTION</v>
      </c>
      <c r="B11" s="19" t="str">
        <f aca="false">'Lot Register'!A7</f>
        <v>SUB-01</v>
      </c>
      <c r="C11" s="19" t="str">
        <f aca="false">'Lot Register'!B7</f>
        <v>Civil substrate</v>
      </c>
      <c r="D11" s="19" t="str">
        <f aca="false">'Lot Register'!D7</f>
        <v>MULTI</v>
      </c>
      <c r="E11" s="19" t="str">
        <f aca="false">'Lot Register'!G7</f>
        <v>ST-ET-CHA · ST-HC-REC · ST-HU-CON</v>
      </c>
      <c r="F11" s="9" t="s">
        <v>282</v>
      </c>
      <c r="G11" s="9" t="s">
        <v>569</v>
      </c>
      <c r="H11" s="9" t="s">
        <v>570</v>
      </c>
      <c r="I11" s="11" t="s">
        <v>238</v>
      </c>
      <c r="J11" s="47" t="n">
        <f aca="false">Controls!B25</f>
        <v>0</v>
      </c>
      <c r="K11" s="47" t="str">
        <f aca="false">IF(J11=1,"ACCEPTED","OPEN")</f>
        <v>OPEN</v>
      </c>
    </row>
    <row r="12" customFormat="false" ht="15" hidden="false" customHeight="false" outlineLevel="0" collapsed="false">
      <c r="A12" s="19" t="str">
        <f aca="false">"PKT-"&amp;B12&amp;"-CONFIGURATION"</f>
        <v>PKT-SUB-02-CONFIGURATION</v>
      </c>
      <c r="B12" s="19" t="str">
        <f aca="false">'Lot Register'!A8</f>
        <v>SUB-02</v>
      </c>
      <c r="C12" s="19" t="str">
        <f aca="false">'Lot Register'!B8</f>
        <v>Civil substrate</v>
      </c>
      <c r="D12" s="19" t="str">
        <f aca="false">'Lot Register'!D8</f>
        <v>MULTI</v>
      </c>
      <c r="E12" s="19" t="str">
        <f aca="false">'Lot Register'!G8</f>
        <v>ST-CT-CHA · ST-LF-REC · ST-RT-CON</v>
      </c>
      <c r="F12" s="9" t="s">
        <v>558</v>
      </c>
      <c r="G12" s="9" t="s">
        <v>559</v>
      </c>
      <c r="H12" s="9" t="s">
        <v>560</v>
      </c>
      <c r="I12" s="11" t="s">
        <v>238</v>
      </c>
      <c r="J12" s="47" t="n">
        <f aca="false">Controls!B25</f>
        <v>0</v>
      </c>
      <c r="K12" s="47" t="str">
        <f aca="false">IF(J12=1,"ACCEPTED","OPEN")</f>
        <v>OPEN</v>
      </c>
    </row>
    <row r="13" customFormat="false" ht="15" hidden="false" customHeight="false" outlineLevel="0" collapsed="false">
      <c r="A13" s="19" t="str">
        <f aca="false">"PKT-"&amp;B13&amp;"-CONTROL"</f>
        <v>PKT-SUB-02-CONTROL</v>
      </c>
      <c r="B13" s="19" t="str">
        <f aca="false">'Lot Register'!A8</f>
        <v>SUB-02</v>
      </c>
      <c r="C13" s="19" t="str">
        <f aca="false">'Lot Register'!B8</f>
        <v>Civil substrate</v>
      </c>
      <c r="D13" s="19" t="str">
        <f aca="false">'Lot Register'!D8</f>
        <v>MULTI</v>
      </c>
      <c r="E13" s="19" t="str">
        <f aca="false">'Lot Register'!G8</f>
        <v>ST-CT-CHA · ST-LF-REC · ST-RT-CON</v>
      </c>
      <c r="F13" s="9" t="s">
        <v>271</v>
      </c>
      <c r="G13" s="9" t="s">
        <v>561</v>
      </c>
      <c r="H13" s="9" t="s">
        <v>562</v>
      </c>
      <c r="I13" s="11" t="s">
        <v>238</v>
      </c>
      <c r="J13" s="47" t="n">
        <f aca="false">Controls!B25</f>
        <v>0</v>
      </c>
      <c r="K13" s="47" t="str">
        <f aca="false">IF(J13=1,"ACCEPTED","OPEN")</f>
        <v>OPEN</v>
      </c>
    </row>
    <row r="14" customFormat="false" ht="15" hidden="false" customHeight="false" outlineLevel="0" collapsed="false">
      <c r="A14" s="19" t="str">
        <f aca="false">"PKT-"&amp;B14&amp;"-METROLOGY"</f>
        <v>PKT-SUB-02-METROLOGY</v>
      </c>
      <c r="B14" s="19" t="str">
        <f aca="false">'Lot Register'!A8</f>
        <v>SUB-02</v>
      </c>
      <c r="C14" s="19" t="str">
        <f aca="false">'Lot Register'!B8</f>
        <v>Civil substrate</v>
      </c>
      <c r="D14" s="19" t="str">
        <f aca="false">'Lot Register'!D8</f>
        <v>MULTI</v>
      </c>
      <c r="E14" s="19" t="str">
        <f aca="false">'Lot Register'!G8</f>
        <v>ST-CT-CHA · ST-LF-REC · ST-RT-CON</v>
      </c>
      <c r="F14" s="9" t="s">
        <v>563</v>
      </c>
      <c r="G14" s="9" t="s">
        <v>564</v>
      </c>
      <c r="H14" s="9" t="s">
        <v>565</v>
      </c>
      <c r="I14" s="11" t="s">
        <v>238</v>
      </c>
      <c r="J14" s="47" t="n">
        <f aca="false">Controls!B25</f>
        <v>0</v>
      </c>
      <c r="K14" s="47" t="str">
        <f aca="false">IF(J14=1,"ACCEPTED","OPEN")</f>
        <v>OPEN</v>
      </c>
    </row>
    <row r="15" customFormat="false" ht="15" hidden="false" customHeight="false" outlineLevel="0" collapsed="false">
      <c r="A15" s="19" t="str">
        <f aca="false">"PKT-"&amp;B15&amp;"-SAFETY"</f>
        <v>PKT-SUB-02-SAFETY</v>
      </c>
      <c r="B15" s="19" t="str">
        <f aca="false">'Lot Register'!A8</f>
        <v>SUB-02</v>
      </c>
      <c r="C15" s="19" t="str">
        <f aca="false">'Lot Register'!B8</f>
        <v>Civil substrate</v>
      </c>
      <c r="D15" s="19" t="str">
        <f aca="false">'Lot Register'!D8</f>
        <v>MULTI</v>
      </c>
      <c r="E15" s="19" t="str">
        <f aca="false">'Lot Register'!G8</f>
        <v>ST-CT-CHA · ST-LF-REC · ST-RT-CON</v>
      </c>
      <c r="F15" s="9" t="s">
        <v>566</v>
      </c>
      <c r="G15" s="9" t="s">
        <v>567</v>
      </c>
      <c r="H15" s="9" t="s">
        <v>568</v>
      </c>
      <c r="I15" s="11" t="s">
        <v>238</v>
      </c>
      <c r="J15" s="47" t="n">
        <f aca="false">Controls!B25</f>
        <v>0</v>
      </c>
      <c r="K15" s="47" t="str">
        <f aca="false">IF(J15=1,"ACCEPTED","OPEN")</f>
        <v>OPEN</v>
      </c>
    </row>
    <row r="16" customFormat="false" ht="15" hidden="false" customHeight="false" outlineLevel="0" collapsed="false">
      <c r="A16" s="19" t="str">
        <f aca="false">"PKT-"&amp;B16&amp;"-RECONSTRUCTION"</f>
        <v>PKT-SUB-02-RECONSTRUCTION</v>
      </c>
      <c r="B16" s="19" t="str">
        <f aca="false">'Lot Register'!A8</f>
        <v>SUB-02</v>
      </c>
      <c r="C16" s="19" t="str">
        <f aca="false">'Lot Register'!B8</f>
        <v>Civil substrate</v>
      </c>
      <c r="D16" s="19" t="str">
        <f aca="false">'Lot Register'!D8</f>
        <v>MULTI</v>
      </c>
      <c r="E16" s="19" t="str">
        <f aca="false">'Lot Register'!G8</f>
        <v>ST-CT-CHA · ST-LF-REC · ST-RT-CON</v>
      </c>
      <c r="F16" s="9" t="s">
        <v>282</v>
      </c>
      <c r="G16" s="9" t="s">
        <v>569</v>
      </c>
      <c r="H16" s="9" t="s">
        <v>570</v>
      </c>
      <c r="I16" s="11" t="s">
        <v>238</v>
      </c>
      <c r="J16" s="47" t="n">
        <f aca="false">Controls!B25</f>
        <v>0</v>
      </c>
      <c r="K16" s="47" t="str">
        <f aca="false">IF(J16=1,"ACCEPTED","OPEN")</f>
        <v>OPEN</v>
      </c>
    </row>
    <row r="17" customFormat="false" ht="15" hidden="false" customHeight="false" outlineLevel="0" collapsed="false">
      <c r="A17" s="19" t="str">
        <f aca="false">"PKT-"&amp;B17&amp;"-CONFIGURATION"</f>
        <v>PKT-SUB-03-CONFIGURATION</v>
      </c>
      <c r="B17" s="19" t="str">
        <f aca="false">'Lot Register'!A9</f>
        <v>SUB-03</v>
      </c>
      <c r="C17" s="19" t="str">
        <f aca="false">'Lot Register'!B9</f>
        <v>Civil substrate</v>
      </c>
      <c r="D17" s="19" t="str">
        <f aca="false">'Lot Register'!D9</f>
        <v>MULTI</v>
      </c>
      <c r="E17" s="19" t="str">
        <f aca="false">'Lot Register'!G9</f>
        <v>ST-ET-CON · ST-HC-CHA · ST-HU-REC</v>
      </c>
      <c r="F17" s="9" t="s">
        <v>558</v>
      </c>
      <c r="G17" s="9" t="s">
        <v>559</v>
      </c>
      <c r="H17" s="9" t="s">
        <v>560</v>
      </c>
      <c r="I17" s="11" t="s">
        <v>238</v>
      </c>
      <c r="J17" s="47" t="n">
        <f aca="false">Controls!B25</f>
        <v>0</v>
      </c>
      <c r="K17" s="47" t="str">
        <f aca="false">IF(J17=1,"ACCEPTED","OPEN")</f>
        <v>OPEN</v>
      </c>
    </row>
    <row r="18" customFormat="false" ht="15" hidden="false" customHeight="false" outlineLevel="0" collapsed="false">
      <c r="A18" s="19" t="str">
        <f aca="false">"PKT-"&amp;B18&amp;"-CONTROL"</f>
        <v>PKT-SUB-03-CONTROL</v>
      </c>
      <c r="B18" s="19" t="str">
        <f aca="false">'Lot Register'!A9</f>
        <v>SUB-03</v>
      </c>
      <c r="C18" s="19" t="str">
        <f aca="false">'Lot Register'!B9</f>
        <v>Civil substrate</v>
      </c>
      <c r="D18" s="19" t="str">
        <f aca="false">'Lot Register'!D9</f>
        <v>MULTI</v>
      </c>
      <c r="E18" s="19" t="str">
        <f aca="false">'Lot Register'!G9</f>
        <v>ST-ET-CON · ST-HC-CHA · ST-HU-REC</v>
      </c>
      <c r="F18" s="9" t="s">
        <v>271</v>
      </c>
      <c r="G18" s="9" t="s">
        <v>561</v>
      </c>
      <c r="H18" s="9" t="s">
        <v>562</v>
      </c>
      <c r="I18" s="11" t="s">
        <v>238</v>
      </c>
      <c r="J18" s="47" t="n">
        <f aca="false">Controls!B25</f>
        <v>0</v>
      </c>
      <c r="K18" s="47" t="str">
        <f aca="false">IF(J18=1,"ACCEPTED","OPEN")</f>
        <v>OPEN</v>
      </c>
    </row>
    <row r="19" customFormat="false" ht="15" hidden="false" customHeight="false" outlineLevel="0" collapsed="false">
      <c r="A19" s="19" t="str">
        <f aca="false">"PKT-"&amp;B19&amp;"-METROLOGY"</f>
        <v>PKT-SUB-03-METROLOGY</v>
      </c>
      <c r="B19" s="19" t="str">
        <f aca="false">'Lot Register'!A9</f>
        <v>SUB-03</v>
      </c>
      <c r="C19" s="19" t="str">
        <f aca="false">'Lot Register'!B9</f>
        <v>Civil substrate</v>
      </c>
      <c r="D19" s="19" t="str">
        <f aca="false">'Lot Register'!D9</f>
        <v>MULTI</v>
      </c>
      <c r="E19" s="19" t="str">
        <f aca="false">'Lot Register'!G9</f>
        <v>ST-ET-CON · ST-HC-CHA · ST-HU-REC</v>
      </c>
      <c r="F19" s="9" t="s">
        <v>563</v>
      </c>
      <c r="G19" s="9" t="s">
        <v>564</v>
      </c>
      <c r="H19" s="9" t="s">
        <v>565</v>
      </c>
      <c r="I19" s="11" t="s">
        <v>238</v>
      </c>
      <c r="J19" s="47" t="n">
        <f aca="false">Controls!B25</f>
        <v>0</v>
      </c>
      <c r="K19" s="47" t="str">
        <f aca="false">IF(J19=1,"ACCEPTED","OPEN")</f>
        <v>OPEN</v>
      </c>
    </row>
    <row r="20" customFormat="false" ht="15" hidden="false" customHeight="false" outlineLevel="0" collapsed="false">
      <c r="A20" s="19" t="str">
        <f aca="false">"PKT-"&amp;B20&amp;"-SAFETY"</f>
        <v>PKT-SUB-03-SAFETY</v>
      </c>
      <c r="B20" s="19" t="str">
        <f aca="false">'Lot Register'!A9</f>
        <v>SUB-03</v>
      </c>
      <c r="C20" s="19" t="str">
        <f aca="false">'Lot Register'!B9</f>
        <v>Civil substrate</v>
      </c>
      <c r="D20" s="19" t="str">
        <f aca="false">'Lot Register'!D9</f>
        <v>MULTI</v>
      </c>
      <c r="E20" s="19" t="str">
        <f aca="false">'Lot Register'!G9</f>
        <v>ST-ET-CON · ST-HC-CHA · ST-HU-REC</v>
      </c>
      <c r="F20" s="9" t="s">
        <v>566</v>
      </c>
      <c r="G20" s="9" t="s">
        <v>567</v>
      </c>
      <c r="H20" s="9" t="s">
        <v>568</v>
      </c>
      <c r="I20" s="11" t="s">
        <v>238</v>
      </c>
      <c r="J20" s="47" t="n">
        <f aca="false">Controls!B25</f>
        <v>0</v>
      </c>
      <c r="K20" s="47" t="str">
        <f aca="false">IF(J20=1,"ACCEPTED","OPEN")</f>
        <v>OPEN</v>
      </c>
    </row>
    <row r="21" customFormat="false" ht="15" hidden="false" customHeight="false" outlineLevel="0" collapsed="false">
      <c r="A21" s="19" t="str">
        <f aca="false">"PKT-"&amp;B21&amp;"-RECONSTRUCTION"</f>
        <v>PKT-SUB-03-RECONSTRUCTION</v>
      </c>
      <c r="B21" s="19" t="str">
        <f aca="false">'Lot Register'!A9</f>
        <v>SUB-03</v>
      </c>
      <c r="C21" s="19" t="str">
        <f aca="false">'Lot Register'!B9</f>
        <v>Civil substrate</v>
      </c>
      <c r="D21" s="19" t="str">
        <f aca="false">'Lot Register'!D9</f>
        <v>MULTI</v>
      </c>
      <c r="E21" s="19" t="str">
        <f aca="false">'Lot Register'!G9</f>
        <v>ST-ET-CON · ST-HC-CHA · ST-HU-REC</v>
      </c>
      <c r="F21" s="9" t="s">
        <v>282</v>
      </c>
      <c r="G21" s="9" t="s">
        <v>569</v>
      </c>
      <c r="H21" s="9" t="s">
        <v>570</v>
      </c>
      <c r="I21" s="11" t="s">
        <v>238</v>
      </c>
      <c r="J21" s="47" t="n">
        <f aca="false">Controls!B25</f>
        <v>0</v>
      </c>
      <c r="K21" s="47" t="str">
        <f aca="false">IF(J21=1,"ACCEPTED","OPEN")</f>
        <v>OPEN</v>
      </c>
    </row>
    <row r="22" customFormat="false" ht="15" hidden="false" customHeight="false" outlineLevel="0" collapsed="false">
      <c r="A22" s="19" t="str">
        <f aca="false">"PKT-"&amp;B22&amp;"-CONFIGURATION"</f>
        <v>PKT-SUB-04-CONFIGURATION</v>
      </c>
      <c r="B22" s="19" t="str">
        <f aca="false">'Lot Register'!A10</f>
        <v>SUB-04</v>
      </c>
      <c r="C22" s="19" t="str">
        <f aca="false">'Lot Register'!B10</f>
        <v>Civil substrate</v>
      </c>
      <c r="D22" s="19" t="str">
        <f aca="false">'Lot Register'!D10</f>
        <v>MULTI</v>
      </c>
      <c r="E22" s="19" t="str">
        <f aca="false">'Lot Register'!G10</f>
        <v>ST-CT-CON · ST-LF-CHA · ST-RT-REC</v>
      </c>
      <c r="F22" s="9" t="s">
        <v>558</v>
      </c>
      <c r="G22" s="9" t="s">
        <v>559</v>
      </c>
      <c r="H22" s="9" t="s">
        <v>560</v>
      </c>
      <c r="I22" s="11" t="s">
        <v>238</v>
      </c>
      <c r="J22" s="47" t="n">
        <f aca="false">Controls!B25</f>
        <v>0</v>
      </c>
      <c r="K22" s="47" t="str">
        <f aca="false">IF(J22=1,"ACCEPTED","OPEN")</f>
        <v>OPEN</v>
      </c>
    </row>
    <row r="23" customFormat="false" ht="15" hidden="false" customHeight="false" outlineLevel="0" collapsed="false">
      <c r="A23" s="19" t="str">
        <f aca="false">"PKT-"&amp;B23&amp;"-CONTROL"</f>
        <v>PKT-SUB-04-CONTROL</v>
      </c>
      <c r="B23" s="19" t="str">
        <f aca="false">'Lot Register'!A10</f>
        <v>SUB-04</v>
      </c>
      <c r="C23" s="19" t="str">
        <f aca="false">'Lot Register'!B10</f>
        <v>Civil substrate</v>
      </c>
      <c r="D23" s="19" t="str">
        <f aca="false">'Lot Register'!D10</f>
        <v>MULTI</v>
      </c>
      <c r="E23" s="19" t="str">
        <f aca="false">'Lot Register'!G10</f>
        <v>ST-CT-CON · ST-LF-CHA · ST-RT-REC</v>
      </c>
      <c r="F23" s="9" t="s">
        <v>271</v>
      </c>
      <c r="G23" s="9" t="s">
        <v>561</v>
      </c>
      <c r="H23" s="9" t="s">
        <v>562</v>
      </c>
      <c r="I23" s="11" t="s">
        <v>238</v>
      </c>
      <c r="J23" s="47" t="n">
        <f aca="false">Controls!B25</f>
        <v>0</v>
      </c>
      <c r="K23" s="47" t="str">
        <f aca="false">IF(J23=1,"ACCEPTED","OPEN")</f>
        <v>OPEN</v>
      </c>
    </row>
    <row r="24" customFormat="false" ht="15" hidden="false" customHeight="false" outlineLevel="0" collapsed="false">
      <c r="A24" s="19" t="str">
        <f aca="false">"PKT-"&amp;B24&amp;"-METROLOGY"</f>
        <v>PKT-SUB-04-METROLOGY</v>
      </c>
      <c r="B24" s="19" t="str">
        <f aca="false">'Lot Register'!A10</f>
        <v>SUB-04</v>
      </c>
      <c r="C24" s="19" t="str">
        <f aca="false">'Lot Register'!B10</f>
        <v>Civil substrate</v>
      </c>
      <c r="D24" s="19" t="str">
        <f aca="false">'Lot Register'!D10</f>
        <v>MULTI</v>
      </c>
      <c r="E24" s="19" t="str">
        <f aca="false">'Lot Register'!G10</f>
        <v>ST-CT-CON · ST-LF-CHA · ST-RT-REC</v>
      </c>
      <c r="F24" s="9" t="s">
        <v>563</v>
      </c>
      <c r="G24" s="9" t="s">
        <v>564</v>
      </c>
      <c r="H24" s="9" t="s">
        <v>565</v>
      </c>
      <c r="I24" s="11" t="s">
        <v>238</v>
      </c>
      <c r="J24" s="47" t="n">
        <f aca="false">Controls!B25</f>
        <v>0</v>
      </c>
      <c r="K24" s="47" t="str">
        <f aca="false">IF(J24=1,"ACCEPTED","OPEN")</f>
        <v>OPEN</v>
      </c>
    </row>
    <row r="25" customFormat="false" ht="15" hidden="false" customHeight="false" outlineLevel="0" collapsed="false">
      <c r="A25" s="19" t="str">
        <f aca="false">"PKT-"&amp;B25&amp;"-SAFETY"</f>
        <v>PKT-SUB-04-SAFETY</v>
      </c>
      <c r="B25" s="19" t="str">
        <f aca="false">'Lot Register'!A10</f>
        <v>SUB-04</v>
      </c>
      <c r="C25" s="19" t="str">
        <f aca="false">'Lot Register'!B10</f>
        <v>Civil substrate</v>
      </c>
      <c r="D25" s="19" t="str">
        <f aca="false">'Lot Register'!D10</f>
        <v>MULTI</v>
      </c>
      <c r="E25" s="19" t="str">
        <f aca="false">'Lot Register'!G10</f>
        <v>ST-CT-CON · ST-LF-CHA · ST-RT-REC</v>
      </c>
      <c r="F25" s="9" t="s">
        <v>566</v>
      </c>
      <c r="G25" s="9" t="s">
        <v>567</v>
      </c>
      <c r="H25" s="9" t="s">
        <v>568</v>
      </c>
      <c r="I25" s="11" t="s">
        <v>238</v>
      </c>
      <c r="J25" s="47" t="n">
        <f aca="false">Controls!B25</f>
        <v>0</v>
      </c>
      <c r="K25" s="47" t="str">
        <f aca="false">IF(J25=1,"ACCEPTED","OPEN")</f>
        <v>OPEN</v>
      </c>
    </row>
    <row r="26" customFormat="false" ht="15" hidden="false" customHeight="false" outlineLevel="0" collapsed="false">
      <c r="A26" s="19" t="str">
        <f aca="false">"PKT-"&amp;B26&amp;"-RECONSTRUCTION"</f>
        <v>PKT-SUB-04-RECONSTRUCTION</v>
      </c>
      <c r="B26" s="19" t="str">
        <f aca="false">'Lot Register'!A10</f>
        <v>SUB-04</v>
      </c>
      <c r="C26" s="19" t="str">
        <f aca="false">'Lot Register'!B10</f>
        <v>Civil substrate</v>
      </c>
      <c r="D26" s="19" t="str">
        <f aca="false">'Lot Register'!D10</f>
        <v>MULTI</v>
      </c>
      <c r="E26" s="19" t="str">
        <f aca="false">'Lot Register'!G10</f>
        <v>ST-CT-CON · ST-LF-CHA · ST-RT-REC</v>
      </c>
      <c r="F26" s="9" t="s">
        <v>282</v>
      </c>
      <c r="G26" s="9" t="s">
        <v>569</v>
      </c>
      <c r="H26" s="9" t="s">
        <v>570</v>
      </c>
      <c r="I26" s="11" t="s">
        <v>238</v>
      </c>
      <c r="J26" s="47" t="n">
        <f aca="false">Controls!B25</f>
        <v>0</v>
      </c>
      <c r="K26" s="47" t="str">
        <f aca="false">IF(J26=1,"ACCEPTED","OPEN")</f>
        <v>OPEN</v>
      </c>
    </row>
    <row r="27" customFormat="false" ht="15" hidden="false" customHeight="false" outlineLevel="0" collapsed="false">
      <c r="A27" s="19" t="str">
        <f aca="false">"PKT-"&amp;B27&amp;"-CONFIGURATION"</f>
        <v>PKT-SUB-05-CONFIGURATION</v>
      </c>
      <c r="B27" s="19" t="str">
        <f aca="false">'Lot Register'!A11</f>
        <v>SUB-05</v>
      </c>
      <c r="C27" s="19" t="str">
        <f aca="false">'Lot Register'!B11</f>
        <v>Civil substrate</v>
      </c>
      <c r="D27" s="19" t="str">
        <f aca="false">'Lot Register'!D11</f>
        <v>MULTI</v>
      </c>
      <c r="E27" s="19" t="str">
        <f aca="false">'Lot Register'!G11</f>
        <v>ST-ET-REC · ST-HC-CON · ST-HU-CHA</v>
      </c>
      <c r="F27" s="9" t="s">
        <v>558</v>
      </c>
      <c r="G27" s="9" t="s">
        <v>559</v>
      </c>
      <c r="H27" s="9" t="s">
        <v>560</v>
      </c>
      <c r="I27" s="11" t="s">
        <v>238</v>
      </c>
      <c r="J27" s="47" t="n">
        <f aca="false">Controls!B25</f>
        <v>0</v>
      </c>
      <c r="K27" s="47" t="str">
        <f aca="false">IF(J27=1,"ACCEPTED","OPEN")</f>
        <v>OPEN</v>
      </c>
    </row>
    <row r="28" customFormat="false" ht="15" hidden="false" customHeight="false" outlineLevel="0" collapsed="false">
      <c r="A28" s="19" t="str">
        <f aca="false">"PKT-"&amp;B28&amp;"-CONTROL"</f>
        <v>PKT-SUB-05-CONTROL</v>
      </c>
      <c r="B28" s="19" t="str">
        <f aca="false">'Lot Register'!A11</f>
        <v>SUB-05</v>
      </c>
      <c r="C28" s="19" t="str">
        <f aca="false">'Lot Register'!B11</f>
        <v>Civil substrate</v>
      </c>
      <c r="D28" s="19" t="str">
        <f aca="false">'Lot Register'!D11</f>
        <v>MULTI</v>
      </c>
      <c r="E28" s="19" t="str">
        <f aca="false">'Lot Register'!G11</f>
        <v>ST-ET-REC · ST-HC-CON · ST-HU-CHA</v>
      </c>
      <c r="F28" s="9" t="s">
        <v>271</v>
      </c>
      <c r="G28" s="9" t="s">
        <v>561</v>
      </c>
      <c r="H28" s="9" t="s">
        <v>562</v>
      </c>
      <c r="I28" s="11" t="s">
        <v>238</v>
      </c>
      <c r="J28" s="47" t="n">
        <f aca="false">Controls!B25</f>
        <v>0</v>
      </c>
      <c r="K28" s="47" t="str">
        <f aca="false">IF(J28=1,"ACCEPTED","OPEN")</f>
        <v>OPEN</v>
      </c>
    </row>
    <row r="29" customFormat="false" ht="15" hidden="false" customHeight="false" outlineLevel="0" collapsed="false">
      <c r="A29" s="19" t="str">
        <f aca="false">"PKT-"&amp;B29&amp;"-METROLOGY"</f>
        <v>PKT-SUB-05-METROLOGY</v>
      </c>
      <c r="B29" s="19" t="str">
        <f aca="false">'Lot Register'!A11</f>
        <v>SUB-05</v>
      </c>
      <c r="C29" s="19" t="str">
        <f aca="false">'Lot Register'!B11</f>
        <v>Civil substrate</v>
      </c>
      <c r="D29" s="19" t="str">
        <f aca="false">'Lot Register'!D11</f>
        <v>MULTI</v>
      </c>
      <c r="E29" s="19" t="str">
        <f aca="false">'Lot Register'!G11</f>
        <v>ST-ET-REC · ST-HC-CON · ST-HU-CHA</v>
      </c>
      <c r="F29" s="9" t="s">
        <v>563</v>
      </c>
      <c r="G29" s="9" t="s">
        <v>564</v>
      </c>
      <c r="H29" s="9" t="s">
        <v>565</v>
      </c>
      <c r="I29" s="11" t="s">
        <v>238</v>
      </c>
      <c r="J29" s="47" t="n">
        <f aca="false">Controls!B25</f>
        <v>0</v>
      </c>
      <c r="K29" s="47" t="str">
        <f aca="false">IF(J29=1,"ACCEPTED","OPEN")</f>
        <v>OPEN</v>
      </c>
    </row>
    <row r="30" customFormat="false" ht="15" hidden="false" customHeight="false" outlineLevel="0" collapsed="false">
      <c r="A30" s="19" t="str">
        <f aca="false">"PKT-"&amp;B30&amp;"-SAFETY"</f>
        <v>PKT-SUB-05-SAFETY</v>
      </c>
      <c r="B30" s="19" t="str">
        <f aca="false">'Lot Register'!A11</f>
        <v>SUB-05</v>
      </c>
      <c r="C30" s="19" t="str">
        <f aca="false">'Lot Register'!B11</f>
        <v>Civil substrate</v>
      </c>
      <c r="D30" s="19" t="str">
        <f aca="false">'Lot Register'!D11</f>
        <v>MULTI</v>
      </c>
      <c r="E30" s="19" t="str">
        <f aca="false">'Lot Register'!G11</f>
        <v>ST-ET-REC · ST-HC-CON · ST-HU-CHA</v>
      </c>
      <c r="F30" s="9" t="s">
        <v>566</v>
      </c>
      <c r="G30" s="9" t="s">
        <v>567</v>
      </c>
      <c r="H30" s="9" t="s">
        <v>568</v>
      </c>
      <c r="I30" s="11" t="s">
        <v>238</v>
      </c>
      <c r="J30" s="47" t="n">
        <f aca="false">Controls!B25</f>
        <v>0</v>
      </c>
      <c r="K30" s="47" t="str">
        <f aca="false">IF(J30=1,"ACCEPTED","OPEN")</f>
        <v>OPEN</v>
      </c>
    </row>
    <row r="31" customFormat="false" ht="15" hidden="false" customHeight="false" outlineLevel="0" collapsed="false">
      <c r="A31" s="19" t="str">
        <f aca="false">"PKT-"&amp;B31&amp;"-RECONSTRUCTION"</f>
        <v>PKT-SUB-05-RECONSTRUCTION</v>
      </c>
      <c r="B31" s="19" t="str">
        <f aca="false">'Lot Register'!A11</f>
        <v>SUB-05</v>
      </c>
      <c r="C31" s="19" t="str">
        <f aca="false">'Lot Register'!B11</f>
        <v>Civil substrate</v>
      </c>
      <c r="D31" s="19" t="str">
        <f aca="false">'Lot Register'!D11</f>
        <v>MULTI</v>
      </c>
      <c r="E31" s="19" t="str">
        <f aca="false">'Lot Register'!G11</f>
        <v>ST-ET-REC · ST-HC-CON · ST-HU-CHA</v>
      </c>
      <c r="F31" s="9" t="s">
        <v>282</v>
      </c>
      <c r="G31" s="9" t="s">
        <v>569</v>
      </c>
      <c r="H31" s="9" t="s">
        <v>570</v>
      </c>
      <c r="I31" s="11" t="s">
        <v>238</v>
      </c>
      <c r="J31" s="47" t="n">
        <f aca="false">Controls!B25</f>
        <v>0</v>
      </c>
      <c r="K31" s="47" t="str">
        <f aca="false">IF(J31=1,"ACCEPTED","OPEN")</f>
        <v>OPEN</v>
      </c>
    </row>
    <row r="32" customFormat="false" ht="15" hidden="false" customHeight="false" outlineLevel="0" collapsed="false">
      <c r="A32" s="19" t="str">
        <f aca="false">"PKT-"&amp;B32&amp;"-CONFIGURATION"</f>
        <v>PKT-SUB-06-CONFIGURATION</v>
      </c>
      <c r="B32" s="19" t="str">
        <f aca="false">'Lot Register'!A12</f>
        <v>SUB-06</v>
      </c>
      <c r="C32" s="19" t="str">
        <f aca="false">'Lot Register'!B12</f>
        <v>Civil substrate</v>
      </c>
      <c r="D32" s="19" t="str">
        <f aca="false">'Lot Register'!D12</f>
        <v>MULTI</v>
      </c>
      <c r="E32" s="19" t="str">
        <f aca="false">'Lot Register'!G12</f>
        <v>ST-CT-REC · ST-LF-CON · ST-RT-CHA</v>
      </c>
      <c r="F32" s="9" t="s">
        <v>558</v>
      </c>
      <c r="G32" s="9" t="s">
        <v>559</v>
      </c>
      <c r="H32" s="9" t="s">
        <v>560</v>
      </c>
      <c r="I32" s="11" t="s">
        <v>238</v>
      </c>
      <c r="J32" s="47" t="n">
        <f aca="false">Controls!B25</f>
        <v>0</v>
      </c>
      <c r="K32" s="47" t="str">
        <f aca="false">IF(J32=1,"ACCEPTED","OPEN")</f>
        <v>OPEN</v>
      </c>
    </row>
    <row r="33" customFormat="false" ht="15" hidden="false" customHeight="false" outlineLevel="0" collapsed="false">
      <c r="A33" s="19" t="str">
        <f aca="false">"PKT-"&amp;B33&amp;"-CONTROL"</f>
        <v>PKT-SUB-06-CONTROL</v>
      </c>
      <c r="B33" s="19" t="str">
        <f aca="false">'Lot Register'!A12</f>
        <v>SUB-06</v>
      </c>
      <c r="C33" s="19" t="str">
        <f aca="false">'Lot Register'!B12</f>
        <v>Civil substrate</v>
      </c>
      <c r="D33" s="19" t="str">
        <f aca="false">'Lot Register'!D12</f>
        <v>MULTI</v>
      </c>
      <c r="E33" s="19" t="str">
        <f aca="false">'Lot Register'!G12</f>
        <v>ST-CT-REC · ST-LF-CON · ST-RT-CHA</v>
      </c>
      <c r="F33" s="9" t="s">
        <v>271</v>
      </c>
      <c r="G33" s="9" t="s">
        <v>561</v>
      </c>
      <c r="H33" s="9" t="s">
        <v>562</v>
      </c>
      <c r="I33" s="11" t="s">
        <v>238</v>
      </c>
      <c r="J33" s="47" t="n">
        <f aca="false">Controls!B25</f>
        <v>0</v>
      </c>
      <c r="K33" s="47" t="str">
        <f aca="false">IF(J33=1,"ACCEPTED","OPEN")</f>
        <v>OPEN</v>
      </c>
    </row>
    <row r="34" customFormat="false" ht="15" hidden="false" customHeight="false" outlineLevel="0" collapsed="false">
      <c r="A34" s="19" t="str">
        <f aca="false">"PKT-"&amp;B34&amp;"-METROLOGY"</f>
        <v>PKT-SUB-06-METROLOGY</v>
      </c>
      <c r="B34" s="19" t="str">
        <f aca="false">'Lot Register'!A12</f>
        <v>SUB-06</v>
      </c>
      <c r="C34" s="19" t="str">
        <f aca="false">'Lot Register'!B12</f>
        <v>Civil substrate</v>
      </c>
      <c r="D34" s="19" t="str">
        <f aca="false">'Lot Register'!D12</f>
        <v>MULTI</v>
      </c>
      <c r="E34" s="19" t="str">
        <f aca="false">'Lot Register'!G12</f>
        <v>ST-CT-REC · ST-LF-CON · ST-RT-CHA</v>
      </c>
      <c r="F34" s="9" t="s">
        <v>563</v>
      </c>
      <c r="G34" s="9" t="s">
        <v>564</v>
      </c>
      <c r="H34" s="9" t="s">
        <v>565</v>
      </c>
      <c r="I34" s="11" t="s">
        <v>238</v>
      </c>
      <c r="J34" s="47" t="n">
        <f aca="false">Controls!B25</f>
        <v>0</v>
      </c>
      <c r="K34" s="47" t="str">
        <f aca="false">IF(J34=1,"ACCEPTED","OPEN")</f>
        <v>OPEN</v>
      </c>
    </row>
    <row r="35" customFormat="false" ht="15" hidden="false" customHeight="false" outlineLevel="0" collapsed="false">
      <c r="A35" s="19" t="str">
        <f aca="false">"PKT-"&amp;B35&amp;"-SAFETY"</f>
        <v>PKT-SUB-06-SAFETY</v>
      </c>
      <c r="B35" s="19" t="str">
        <f aca="false">'Lot Register'!A12</f>
        <v>SUB-06</v>
      </c>
      <c r="C35" s="19" t="str">
        <f aca="false">'Lot Register'!B12</f>
        <v>Civil substrate</v>
      </c>
      <c r="D35" s="19" t="str">
        <f aca="false">'Lot Register'!D12</f>
        <v>MULTI</v>
      </c>
      <c r="E35" s="19" t="str">
        <f aca="false">'Lot Register'!G12</f>
        <v>ST-CT-REC · ST-LF-CON · ST-RT-CHA</v>
      </c>
      <c r="F35" s="9" t="s">
        <v>566</v>
      </c>
      <c r="G35" s="9" t="s">
        <v>567</v>
      </c>
      <c r="H35" s="9" t="s">
        <v>568</v>
      </c>
      <c r="I35" s="11" t="s">
        <v>238</v>
      </c>
      <c r="J35" s="47" t="n">
        <f aca="false">Controls!B25</f>
        <v>0</v>
      </c>
      <c r="K35" s="47" t="str">
        <f aca="false">IF(J35=1,"ACCEPTED","OPEN")</f>
        <v>OPEN</v>
      </c>
    </row>
    <row r="36" customFormat="false" ht="15" hidden="false" customHeight="false" outlineLevel="0" collapsed="false">
      <c r="A36" s="19" t="str">
        <f aca="false">"PKT-"&amp;B36&amp;"-RECONSTRUCTION"</f>
        <v>PKT-SUB-06-RECONSTRUCTION</v>
      </c>
      <c r="B36" s="19" t="str">
        <f aca="false">'Lot Register'!A12</f>
        <v>SUB-06</v>
      </c>
      <c r="C36" s="19" t="str">
        <f aca="false">'Lot Register'!B12</f>
        <v>Civil substrate</v>
      </c>
      <c r="D36" s="19" t="str">
        <f aca="false">'Lot Register'!D12</f>
        <v>MULTI</v>
      </c>
      <c r="E36" s="19" t="str">
        <f aca="false">'Lot Register'!G12</f>
        <v>ST-CT-REC · ST-LF-CON · ST-RT-CHA</v>
      </c>
      <c r="F36" s="9" t="s">
        <v>282</v>
      </c>
      <c r="G36" s="9" t="s">
        <v>569</v>
      </c>
      <c r="H36" s="9" t="s">
        <v>570</v>
      </c>
      <c r="I36" s="11" t="s">
        <v>238</v>
      </c>
      <c r="J36" s="47" t="n">
        <f aca="false">Controls!B25</f>
        <v>0</v>
      </c>
      <c r="K36" s="47" t="str">
        <f aca="false">IF(J36=1,"ACCEPTED","OPEN")</f>
        <v>OPEN</v>
      </c>
    </row>
    <row r="37" customFormat="false" ht="15" hidden="false" customHeight="false" outlineLevel="0" collapsed="false">
      <c r="A37" s="19" t="str">
        <f aca="false">"PKT-"&amp;B37&amp;"-CONFIGURATION"</f>
        <v>PKT-RIG-ET-CHA-CONFIGURATION</v>
      </c>
      <c r="B37" s="19" t="str">
        <f aca="false">'Lot Register'!A13</f>
        <v>RIG-ET-CHA</v>
      </c>
      <c r="C37" s="19" t="str">
        <f aca="false">'Lot Register'!B13</f>
        <v>Root-native rig</v>
      </c>
      <c r="D37" s="19" t="str">
        <f aca="false">'Lot Register'!D13</f>
        <v>MS-ET</v>
      </c>
      <c r="E37" s="19" t="str">
        <f aca="false">'Lot Register'!G13</f>
        <v>ST-ET-CHA</v>
      </c>
      <c r="F37" s="9" t="s">
        <v>558</v>
      </c>
      <c r="G37" s="9" t="s">
        <v>559</v>
      </c>
      <c r="H37" s="9" t="s">
        <v>560</v>
      </c>
      <c r="I37" s="11" t="s">
        <v>238</v>
      </c>
      <c r="J37" s="47" t="n">
        <f aca="false">Controls!B25</f>
        <v>0</v>
      </c>
      <c r="K37" s="47" t="str">
        <f aca="false">IF(J37=1,"ACCEPTED","OPEN")</f>
        <v>OPEN</v>
      </c>
    </row>
    <row r="38" customFormat="false" ht="15" hidden="false" customHeight="false" outlineLevel="0" collapsed="false">
      <c r="A38" s="19" t="str">
        <f aca="false">"PKT-"&amp;B38&amp;"-CONTROL"</f>
        <v>PKT-RIG-ET-CHA-CONTROL</v>
      </c>
      <c r="B38" s="19" t="str">
        <f aca="false">'Lot Register'!A13</f>
        <v>RIG-ET-CHA</v>
      </c>
      <c r="C38" s="19" t="str">
        <f aca="false">'Lot Register'!B13</f>
        <v>Root-native rig</v>
      </c>
      <c r="D38" s="19" t="str">
        <f aca="false">'Lot Register'!D13</f>
        <v>MS-ET</v>
      </c>
      <c r="E38" s="19" t="str">
        <f aca="false">'Lot Register'!G13</f>
        <v>ST-ET-CHA</v>
      </c>
      <c r="F38" s="9" t="s">
        <v>271</v>
      </c>
      <c r="G38" s="9" t="s">
        <v>561</v>
      </c>
      <c r="H38" s="9" t="s">
        <v>562</v>
      </c>
      <c r="I38" s="11" t="s">
        <v>238</v>
      </c>
      <c r="J38" s="47" t="n">
        <f aca="false">Controls!B25</f>
        <v>0</v>
      </c>
      <c r="K38" s="47" t="str">
        <f aca="false">IF(J38=1,"ACCEPTED","OPEN")</f>
        <v>OPEN</v>
      </c>
    </row>
    <row r="39" customFormat="false" ht="15" hidden="false" customHeight="false" outlineLevel="0" collapsed="false">
      <c r="A39" s="19" t="str">
        <f aca="false">"PKT-"&amp;B39&amp;"-METROLOGY"</f>
        <v>PKT-RIG-ET-CHA-METROLOGY</v>
      </c>
      <c r="B39" s="19" t="str">
        <f aca="false">'Lot Register'!A13</f>
        <v>RIG-ET-CHA</v>
      </c>
      <c r="C39" s="19" t="str">
        <f aca="false">'Lot Register'!B13</f>
        <v>Root-native rig</v>
      </c>
      <c r="D39" s="19" t="str">
        <f aca="false">'Lot Register'!D13</f>
        <v>MS-ET</v>
      </c>
      <c r="E39" s="19" t="str">
        <f aca="false">'Lot Register'!G13</f>
        <v>ST-ET-CHA</v>
      </c>
      <c r="F39" s="9" t="s">
        <v>563</v>
      </c>
      <c r="G39" s="9" t="s">
        <v>564</v>
      </c>
      <c r="H39" s="9" t="s">
        <v>565</v>
      </c>
      <c r="I39" s="11" t="s">
        <v>238</v>
      </c>
      <c r="J39" s="47" t="n">
        <f aca="false">Controls!B25</f>
        <v>0</v>
      </c>
      <c r="K39" s="47" t="str">
        <f aca="false">IF(J39=1,"ACCEPTED","OPEN")</f>
        <v>OPEN</v>
      </c>
    </row>
    <row r="40" customFormat="false" ht="15" hidden="false" customHeight="false" outlineLevel="0" collapsed="false">
      <c r="A40" s="19" t="str">
        <f aca="false">"PKT-"&amp;B40&amp;"-SAFETY"</f>
        <v>PKT-RIG-ET-CHA-SAFETY</v>
      </c>
      <c r="B40" s="19" t="str">
        <f aca="false">'Lot Register'!A13</f>
        <v>RIG-ET-CHA</v>
      </c>
      <c r="C40" s="19" t="str">
        <f aca="false">'Lot Register'!B13</f>
        <v>Root-native rig</v>
      </c>
      <c r="D40" s="19" t="str">
        <f aca="false">'Lot Register'!D13</f>
        <v>MS-ET</v>
      </c>
      <c r="E40" s="19" t="str">
        <f aca="false">'Lot Register'!G13</f>
        <v>ST-ET-CHA</v>
      </c>
      <c r="F40" s="9" t="s">
        <v>566</v>
      </c>
      <c r="G40" s="9" t="s">
        <v>567</v>
      </c>
      <c r="H40" s="9" t="s">
        <v>568</v>
      </c>
      <c r="I40" s="11" t="s">
        <v>238</v>
      </c>
      <c r="J40" s="47" t="n">
        <f aca="false">Controls!B25</f>
        <v>0</v>
      </c>
      <c r="K40" s="47" t="str">
        <f aca="false">IF(J40=1,"ACCEPTED","OPEN")</f>
        <v>OPEN</v>
      </c>
    </row>
    <row r="41" customFormat="false" ht="15" hidden="false" customHeight="false" outlineLevel="0" collapsed="false">
      <c r="A41" s="19" t="str">
        <f aca="false">"PKT-"&amp;B41&amp;"-RECONSTRUCTION"</f>
        <v>PKT-RIG-ET-CHA-RECONSTRUCTION</v>
      </c>
      <c r="B41" s="19" t="str">
        <f aca="false">'Lot Register'!A13</f>
        <v>RIG-ET-CHA</v>
      </c>
      <c r="C41" s="19" t="str">
        <f aca="false">'Lot Register'!B13</f>
        <v>Root-native rig</v>
      </c>
      <c r="D41" s="19" t="str">
        <f aca="false">'Lot Register'!D13</f>
        <v>MS-ET</v>
      </c>
      <c r="E41" s="19" t="str">
        <f aca="false">'Lot Register'!G13</f>
        <v>ST-ET-CHA</v>
      </c>
      <c r="F41" s="9" t="s">
        <v>282</v>
      </c>
      <c r="G41" s="9" t="s">
        <v>569</v>
      </c>
      <c r="H41" s="9" t="s">
        <v>570</v>
      </c>
      <c r="I41" s="11" t="s">
        <v>238</v>
      </c>
      <c r="J41" s="47" t="n">
        <f aca="false">Controls!B25</f>
        <v>0</v>
      </c>
      <c r="K41" s="47" t="str">
        <f aca="false">IF(J41=1,"ACCEPTED","OPEN")</f>
        <v>OPEN</v>
      </c>
    </row>
    <row r="42" customFormat="false" ht="15" hidden="false" customHeight="false" outlineLevel="0" collapsed="false">
      <c r="A42" s="19" t="str">
        <f aca="false">"PKT-"&amp;B42&amp;"-CONFIGURATION"</f>
        <v>PKT-MTH-ET-CHA-L1-CONFIGURATION</v>
      </c>
      <c r="B42" s="19" t="str">
        <f aca="false">'Lot Register'!A14</f>
        <v>MTH-ET-CHA-L1</v>
      </c>
      <c r="C42" s="19" t="str">
        <f aca="false">'Lot Register'!B14</f>
        <v>Method lineage</v>
      </c>
      <c r="D42" s="19" t="str">
        <f aca="false">'Lot Register'!D14</f>
        <v>MS-ET</v>
      </c>
      <c r="E42" s="19" t="str">
        <f aca="false">'Lot Register'!G14</f>
        <v>ST-ET-CHA</v>
      </c>
      <c r="F42" s="9" t="s">
        <v>558</v>
      </c>
      <c r="G42" s="9" t="s">
        <v>559</v>
      </c>
      <c r="H42" s="9" t="s">
        <v>560</v>
      </c>
      <c r="I42" s="11" t="s">
        <v>238</v>
      </c>
      <c r="J42" s="47" t="n">
        <f aca="false">Controls!B25</f>
        <v>0</v>
      </c>
      <c r="K42" s="47" t="str">
        <f aca="false">IF(J42=1,"ACCEPTED","OPEN")</f>
        <v>OPEN</v>
      </c>
    </row>
    <row r="43" customFormat="false" ht="15" hidden="false" customHeight="false" outlineLevel="0" collapsed="false">
      <c r="A43" s="19" t="str">
        <f aca="false">"PKT-"&amp;B43&amp;"-CONTROL"</f>
        <v>PKT-MTH-ET-CHA-L1-CONTROL</v>
      </c>
      <c r="B43" s="19" t="str">
        <f aca="false">'Lot Register'!A14</f>
        <v>MTH-ET-CHA-L1</v>
      </c>
      <c r="C43" s="19" t="str">
        <f aca="false">'Lot Register'!B14</f>
        <v>Method lineage</v>
      </c>
      <c r="D43" s="19" t="str">
        <f aca="false">'Lot Register'!D14</f>
        <v>MS-ET</v>
      </c>
      <c r="E43" s="19" t="str">
        <f aca="false">'Lot Register'!G14</f>
        <v>ST-ET-CHA</v>
      </c>
      <c r="F43" s="9" t="s">
        <v>271</v>
      </c>
      <c r="G43" s="9" t="s">
        <v>561</v>
      </c>
      <c r="H43" s="9" t="s">
        <v>562</v>
      </c>
      <c r="I43" s="11" t="s">
        <v>238</v>
      </c>
      <c r="J43" s="47" t="n">
        <f aca="false">Controls!B25</f>
        <v>0</v>
      </c>
      <c r="K43" s="47" t="str">
        <f aca="false">IF(J43=1,"ACCEPTED","OPEN")</f>
        <v>OPEN</v>
      </c>
    </row>
    <row r="44" customFormat="false" ht="15" hidden="false" customHeight="false" outlineLevel="0" collapsed="false">
      <c r="A44" s="19" t="str">
        <f aca="false">"PKT-"&amp;B44&amp;"-METROLOGY"</f>
        <v>PKT-MTH-ET-CHA-L1-METROLOGY</v>
      </c>
      <c r="B44" s="19" t="str">
        <f aca="false">'Lot Register'!A14</f>
        <v>MTH-ET-CHA-L1</v>
      </c>
      <c r="C44" s="19" t="str">
        <f aca="false">'Lot Register'!B14</f>
        <v>Method lineage</v>
      </c>
      <c r="D44" s="19" t="str">
        <f aca="false">'Lot Register'!D14</f>
        <v>MS-ET</v>
      </c>
      <c r="E44" s="19" t="str">
        <f aca="false">'Lot Register'!G14</f>
        <v>ST-ET-CHA</v>
      </c>
      <c r="F44" s="9" t="s">
        <v>563</v>
      </c>
      <c r="G44" s="9" t="s">
        <v>564</v>
      </c>
      <c r="H44" s="9" t="s">
        <v>565</v>
      </c>
      <c r="I44" s="11" t="s">
        <v>238</v>
      </c>
      <c r="J44" s="47" t="n">
        <f aca="false">Controls!B25</f>
        <v>0</v>
      </c>
      <c r="K44" s="47" t="str">
        <f aca="false">IF(J44=1,"ACCEPTED","OPEN")</f>
        <v>OPEN</v>
      </c>
    </row>
    <row r="45" customFormat="false" ht="15" hidden="false" customHeight="false" outlineLevel="0" collapsed="false">
      <c r="A45" s="19" t="str">
        <f aca="false">"PKT-"&amp;B45&amp;"-SAFETY"</f>
        <v>PKT-MTH-ET-CHA-L1-SAFETY</v>
      </c>
      <c r="B45" s="19" t="str">
        <f aca="false">'Lot Register'!A14</f>
        <v>MTH-ET-CHA-L1</v>
      </c>
      <c r="C45" s="19" t="str">
        <f aca="false">'Lot Register'!B14</f>
        <v>Method lineage</v>
      </c>
      <c r="D45" s="19" t="str">
        <f aca="false">'Lot Register'!D14</f>
        <v>MS-ET</v>
      </c>
      <c r="E45" s="19" t="str">
        <f aca="false">'Lot Register'!G14</f>
        <v>ST-ET-CHA</v>
      </c>
      <c r="F45" s="9" t="s">
        <v>566</v>
      </c>
      <c r="G45" s="9" t="s">
        <v>567</v>
      </c>
      <c r="H45" s="9" t="s">
        <v>568</v>
      </c>
      <c r="I45" s="11" t="s">
        <v>238</v>
      </c>
      <c r="J45" s="47" t="n">
        <f aca="false">Controls!B25</f>
        <v>0</v>
      </c>
      <c r="K45" s="47" t="str">
        <f aca="false">IF(J45=1,"ACCEPTED","OPEN")</f>
        <v>OPEN</v>
      </c>
    </row>
    <row r="46" customFormat="false" ht="15" hidden="false" customHeight="false" outlineLevel="0" collapsed="false">
      <c r="A46" s="19" t="str">
        <f aca="false">"PKT-"&amp;B46&amp;"-RECONSTRUCTION"</f>
        <v>PKT-MTH-ET-CHA-L1-RECONSTRUCTION</v>
      </c>
      <c r="B46" s="19" t="str">
        <f aca="false">'Lot Register'!A14</f>
        <v>MTH-ET-CHA-L1</v>
      </c>
      <c r="C46" s="19" t="str">
        <f aca="false">'Lot Register'!B14</f>
        <v>Method lineage</v>
      </c>
      <c r="D46" s="19" t="str">
        <f aca="false">'Lot Register'!D14</f>
        <v>MS-ET</v>
      </c>
      <c r="E46" s="19" t="str">
        <f aca="false">'Lot Register'!G14</f>
        <v>ST-ET-CHA</v>
      </c>
      <c r="F46" s="9" t="s">
        <v>282</v>
      </c>
      <c r="G46" s="9" t="s">
        <v>569</v>
      </c>
      <c r="H46" s="9" t="s">
        <v>570</v>
      </c>
      <c r="I46" s="11" t="s">
        <v>238</v>
      </c>
      <c r="J46" s="47" t="n">
        <f aca="false">Controls!B25</f>
        <v>0</v>
      </c>
      <c r="K46" s="47" t="str">
        <f aca="false">IF(J46=1,"ACCEPTED","OPEN")</f>
        <v>OPEN</v>
      </c>
    </row>
    <row r="47" customFormat="false" ht="15" hidden="false" customHeight="false" outlineLevel="0" collapsed="false">
      <c r="A47" s="19" t="str">
        <f aca="false">"PKT-"&amp;B47&amp;"-CONFIGURATION"</f>
        <v>PKT-MTH-ET-CHA-L2-CONFIGURATION</v>
      </c>
      <c r="B47" s="19" t="str">
        <f aca="false">'Lot Register'!A15</f>
        <v>MTH-ET-CHA-L2</v>
      </c>
      <c r="C47" s="19" t="str">
        <f aca="false">'Lot Register'!B15</f>
        <v>Method lineage</v>
      </c>
      <c r="D47" s="19" t="str">
        <f aca="false">'Lot Register'!D15</f>
        <v>MS-ET</v>
      </c>
      <c r="E47" s="19" t="str">
        <f aca="false">'Lot Register'!G15</f>
        <v>ST-ET-CHA</v>
      </c>
      <c r="F47" s="9" t="s">
        <v>558</v>
      </c>
      <c r="G47" s="9" t="s">
        <v>559</v>
      </c>
      <c r="H47" s="9" t="s">
        <v>560</v>
      </c>
      <c r="I47" s="11" t="s">
        <v>238</v>
      </c>
      <c r="J47" s="47" t="n">
        <f aca="false">Controls!B25</f>
        <v>0</v>
      </c>
      <c r="K47" s="47" t="str">
        <f aca="false">IF(J47=1,"ACCEPTED","OPEN")</f>
        <v>OPEN</v>
      </c>
    </row>
    <row r="48" customFormat="false" ht="15" hidden="false" customHeight="false" outlineLevel="0" collapsed="false">
      <c r="A48" s="19" t="str">
        <f aca="false">"PKT-"&amp;B48&amp;"-CONTROL"</f>
        <v>PKT-MTH-ET-CHA-L2-CONTROL</v>
      </c>
      <c r="B48" s="19" t="str">
        <f aca="false">'Lot Register'!A15</f>
        <v>MTH-ET-CHA-L2</v>
      </c>
      <c r="C48" s="19" t="str">
        <f aca="false">'Lot Register'!B15</f>
        <v>Method lineage</v>
      </c>
      <c r="D48" s="19" t="str">
        <f aca="false">'Lot Register'!D15</f>
        <v>MS-ET</v>
      </c>
      <c r="E48" s="19" t="str">
        <f aca="false">'Lot Register'!G15</f>
        <v>ST-ET-CHA</v>
      </c>
      <c r="F48" s="9" t="s">
        <v>271</v>
      </c>
      <c r="G48" s="9" t="s">
        <v>561</v>
      </c>
      <c r="H48" s="9" t="s">
        <v>562</v>
      </c>
      <c r="I48" s="11" t="s">
        <v>238</v>
      </c>
      <c r="J48" s="47" t="n">
        <f aca="false">Controls!B25</f>
        <v>0</v>
      </c>
      <c r="K48" s="47" t="str">
        <f aca="false">IF(J48=1,"ACCEPTED","OPEN")</f>
        <v>OPEN</v>
      </c>
    </row>
    <row r="49" customFormat="false" ht="15" hidden="false" customHeight="false" outlineLevel="0" collapsed="false">
      <c r="A49" s="19" t="str">
        <f aca="false">"PKT-"&amp;B49&amp;"-METROLOGY"</f>
        <v>PKT-MTH-ET-CHA-L2-METROLOGY</v>
      </c>
      <c r="B49" s="19" t="str">
        <f aca="false">'Lot Register'!A15</f>
        <v>MTH-ET-CHA-L2</v>
      </c>
      <c r="C49" s="19" t="str">
        <f aca="false">'Lot Register'!B15</f>
        <v>Method lineage</v>
      </c>
      <c r="D49" s="19" t="str">
        <f aca="false">'Lot Register'!D15</f>
        <v>MS-ET</v>
      </c>
      <c r="E49" s="19" t="str">
        <f aca="false">'Lot Register'!G15</f>
        <v>ST-ET-CHA</v>
      </c>
      <c r="F49" s="9" t="s">
        <v>563</v>
      </c>
      <c r="G49" s="9" t="s">
        <v>564</v>
      </c>
      <c r="H49" s="9" t="s">
        <v>565</v>
      </c>
      <c r="I49" s="11" t="s">
        <v>238</v>
      </c>
      <c r="J49" s="47" t="n">
        <f aca="false">Controls!B25</f>
        <v>0</v>
      </c>
      <c r="K49" s="47" t="str">
        <f aca="false">IF(J49=1,"ACCEPTED","OPEN")</f>
        <v>OPEN</v>
      </c>
    </row>
    <row r="50" customFormat="false" ht="15" hidden="false" customHeight="false" outlineLevel="0" collapsed="false">
      <c r="A50" s="19" t="str">
        <f aca="false">"PKT-"&amp;B50&amp;"-SAFETY"</f>
        <v>PKT-MTH-ET-CHA-L2-SAFETY</v>
      </c>
      <c r="B50" s="19" t="str">
        <f aca="false">'Lot Register'!A15</f>
        <v>MTH-ET-CHA-L2</v>
      </c>
      <c r="C50" s="19" t="str">
        <f aca="false">'Lot Register'!B15</f>
        <v>Method lineage</v>
      </c>
      <c r="D50" s="19" t="str">
        <f aca="false">'Lot Register'!D15</f>
        <v>MS-ET</v>
      </c>
      <c r="E50" s="19" t="str">
        <f aca="false">'Lot Register'!G15</f>
        <v>ST-ET-CHA</v>
      </c>
      <c r="F50" s="9" t="s">
        <v>566</v>
      </c>
      <c r="G50" s="9" t="s">
        <v>567</v>
      </c>
      <c r="H50" s="9" t="s">
        <v>568</v>
      </c>
      <c r="I50" s="11" t="s">
        <v>238</v>
      </c>
      <c r="J50" s="47" t="n">
        <f aca="false">Controls!B25</f>
        <v>0</v>
      </c>
      <c r="K50" s="47" t="str">
        <f aca="false">IF(J50=1,"ACCEPTED","OPEN")</f>
        <v>OPEN</v>
      </c>
    </row>
    <row r="51" customFormat="false" ht="15" hidden="false" customHeight="false" outlineLevel="0" collapsed="false">
      <c r="A51" s="19" t="str">
        <f aca="false">"PKT-"&amp;B51&amp;"-RECONSTRUCTION"</f>
        <v>PKT-MTH-ET-CHA-L2-RECONSTRUCTION</v>
      </c>
      <c r="B51" s="19" t="str">
        <f aca="false">'Lot Register'!A15</f>
        <v>MTH-ET-CHA-L2</v>
      </c>
      <c r="C51" s="19" t="str">
        <f aca="false">'Lot Register'!B15</f>
        <v>Method lineage</v>
      </c>
      <c r="D51" s="19" t="str">
        <f aca="false">'Lot Register'!D15</f>
        <v>MS-ET</v>
      </c>
      <c r="E51" s="19" t="str">
        <f aca="false">'Lot Register'!G15</f>
        <v>ST-ET-CHA</v>
      </c>
      <c r="F51" s="9" t="s">
        <v>282</v>
      </c>
      <c r="G51" s="9" t="s">
        <v>569</v>
      </c>
      <c r="H51" s="9" t="s">
        <v>570</v>
      </c>
      <c r="I51" s="11" t="s">
        <v>238</v>
      </c>
      <c r="J51" s="47" t="n">
        <f aca="false">Controls!B25</f>
        <v>0</v>
      </c>
      <c r="K51" s="47" t="str">
        <f aca="false">IF(J51=1,"ACCEPTED","OPEN")</f>
        <v>OPEN</v>
      </c>
    </row>
    <row r="52" customFormat="false" ht="15" hidden="false" customHeight="false" outlineLevel="0" collapsed="false">
      <c r="A52" s="19" t="str">
        <f aca="false">"PKT-"&amp;B52&amp;"-CONFIGURATION"</f>
        <v>PKT-REG-ET-CHA-CONFIGURATION</v>
      </c>
      <c r="B52" s="19" t="str">
        <f aca="false">'Lot Register'!A16</f>
        <v>REG-ET-CHA</v>
      </c>
      <c r="C52" s="19" t="str">
        <f aca="false">'Lot Register'!B16</f>
        <v>Regeneration tool</v>
      </c>
      <c r="D52" s="19" t="str">
        <f aca="false">'Lot Register'!D16</f>
        <v>MS-ET</v>
      </c>
      <c r="E52" s="19" t="str">
        <f aca="false">'Lot Register'!G16</f>
        <v>ST-ET-CHA</v>
      </c>
      <c r="F52" s="9" t="s">
        <v>558</v>
      </c>
      <c r="G52" s="9" t="s">
        <v>559</v>
      </c>
      <c r="H52" s="9" t="s">
        <v>560</v>
      </c>
      <c r="I52" s="11" t="s">
        <v>238</v>
      </c>
      <c r="J52" s="47" t="n">
        <f aca="false">Controls!B25</f>
        <v>0</v>
      </c>
      <c r="K52" s="47" t="str">
        <f aca="false">IF(J52=1,"ACCEPTED","OPEN")</f>
        <v>OPEN</v>
      </c>
    </row>
    <row r="53" customFormat="false" ht="15" hidden="false" customHeight="false" outlineLevel="0" collapsed="false">
      <c r="A53" s="19" t="str">
        <f aca="false">"PKT-"&amp;B53&amp;"-CONTROL"</f>
        <v>PKT-REG-ET-CHA-CONTROL</v>
      </c>
      <c r="B53" s="19" t="str">
        <f aca="false">'Lot Register'!A16</f>
        <v>REG-ET-CHA</v>
      </c>
      <c r="C53" s="19" t="str">
        <f aca="false">'Lot Register'!B16</f>
        <v>Regeneration tool</v>
      </c>
      <c r="D53" s="19" t="str">
        <f aca="false">'Lot Register'!D16</f>
        <v>MS-ET</v>
      </c>
      <c r="E53" s="19" t="str">
        <f aca="false">'Lot Register'!G16</f>
        <v>ST-ET-CHA</v>
      </c>
      <c r="F53" s="9" t="s">
        <v>271</v>
      </c>
      <c r="G53" s="9" t="s">
        <v>561</v>
      </c>
      <c r="H53" s="9" t="s">
        <v>562</v>
      </c>
      <c r="I53" s="11" t="s">
        <v>238</v>
      </c>
      <c r="J53" s="47" t="n">
        <f aca="false">Controls!B25</f>
        <v>0</v>
      </c>
      <c r="K53" s="47" t="str">
        <f aca="false">IF(J53=1,"ACCEPTED","OPEN")</f>
        <v>OPEN</v>
      </c>
    </row>
    <row r="54" customFormat="false" ht="15" hidden="false" customHeight="false" outlineLevel="0" collapsed="false">
      <c r="A54" s="19" t="str">
        <f aca="false">"PKT-"&amp;B54&amp;"-METROLOGY"</f>
        <v>PKT-REG-ET-CHA-METROLOGY</v>
      </c>
      <c r="B54" s="19" t="str">
        <f aca="false">'Lot Register'!A16</f>
        <v>REG-ET-CHA</v>
      </c>
      <c r="C54" s="19" t="str">
        <f aca="false">'Lot Register'!B16</f>
        <v>Regeneration tool</v>
      </c>
      <c r="D54" s="19" t="str">
        <f aca="false">'Lot Register'!D16</f>
        <v>MS-ET</v>
      </c>
      <c r="E54" s="19" t="str">
        <f aca="false">'Lot Register'!G16</f>
        <v>ST-ET-CHA</v>
      </c>
      <c r="F54" s="9" t="s">
        <v>563</v>
      </c>
      <c r="G54" s="9" t="s">
        <v>564</v>
      </c>
      <c r="H54" s="9" t="s">
        <v>565</v>
      </c>
      <c r="I54" s="11" t="s">
        <v>238</v>
      </c>
      <c r="J54" s="47" t="n">
        <f aca="false">Controls!B25</f>
        <v>0</v>
      </c>
      <c r="K54" s="47" t="str">
        <f aca="false">IF(J54=1,"ACCEPTED","OPEN")</f>
        <v>OPEN</v>
      </c>
    </row>
    <row r="55" customFormat="false" ht="15" hidden="false" customHeight="false" outlineLevel="0" collapsed="false">
      <c r="A55" s="19" t="str">
        <f aca="false">"PKT-"&amp;B55&amp;"-SAFETY"</f>
        <v>PKT-REG-ET-CHA-SAFETY</v>
      </c>
      <c r="B55" s="19" t="str">
        <f aca="false">'Lot Register'!A16</f>
        <v>REG-ET-CHA</v>
      </c>
      <c r="C55" s="19" t="str">
        <f aca="false">'Lot Register'!B16</f>
        <v>Regeneration tool</v>
      </c>
      <c r="D55" s="19" t="str">
        <f aca="false">'Lot Register'!D16</f>
        <v>MS-ET</v>
      </c>
      <c r="E55" s="19" t="str">
        <f aca="false">'Lot Register'!G16</f>
        <v>ST-ET-CHA</v>
      </c>
      <c r="F55" s="9" t="s">
        <v>566</v>
      </c>
      <c r="G55" s="9" t="s">
        <v>567</v>
      </c>
      <c r="H55" s="9" t="s">
        <v>568</v>
      </c>
      <c r="I55" s="11" t="s">
        <v>238</v>
      </c>
      <c r="J55" s="47" t="n">
        <f aca="false">Controls!B25</f>
        <v>0</v>
      </c>
      <c r="K55" s="47" t="str">
        <f aca="false">IF(J55=1,"ACCEPTED","OPEN")</f>
        <v>OPEN</v>
      </c>
    </row>
    <row r="56" customFormat="false" ht="15" hidden="false" customHeight="false" outlineLevel="0" collapsed="false">
      <c r="A56" s="19" t="str">
        <f aca="false">"PKT-"&amp;B56&amp;"-RECONSTRUCTION"</f>
        <v>PKT-REG-ET-CHA-RECONSTRUCTION</v>
      </c>
      <c r="B56" s="19" t="str">
        <f aca="false">'Lot Register'!A16</f>
        <v>REG-ET-CHA</v>
      </c>
      <c r="C56" s="19" t="str">
        <f aca="false">'Lot Register'!B16</f>
        <v>Regeneration tool</v>
      </c>
      <c r="D56" s="19" t="str">
        <f aca="false">'Lot Register'!D16</f>
        <v>MS-ET</v>
      </c>
      <c r="E56" s="19" t="str">
        <f aca="false">'Lot Register'!G16</f>
        <v>ST-ET-CHA</v>
      </c>
      <c r="F56" s="9" t="s">
        <v>282</v>
      </c>
      <c r="G56" s="9" t="s">
        <v>569</v>
      </c>
      <c r="H56" s="9" t="s">
        <v>570</v>
      </c>
      <c r="I56" s="11" t="s">
        <v>238</v>
      </c>
      <c r="J56" s="47" t="n">
        <f aca="false">Controls!B25</f>
        <v>0</v>
      </c>
      <c r="K56" s="47" t="str">
        <f aca="false">IF(J56=1,"ACCEPTED","OPEN")</f>
        <v>OPEN</v>
      </c>
    </row>
    <row r="57" customFormat="false" ht="15" hidden="false" customHeight="false" outlineLevel="0" collapsed="false">
      <c r="A57" s="19" t="str">
        <f aca="false">"PKT-"&amp;B57&amp;"-CONFIGURATION"</f>
        <v>PKT-INT-ET-CHA-CONFIGURATION</v>
      </c>
      <c r="B57" s="19" t="str">
        <f aca="false">'Lot Register'!A17</f>
        <v>INT-ET-CHA</v>
      </c>
      <c r="C57" s="19" t="str">
        <f aca="false">'Lot Register'!B17</f>
        <v>Station integration</v>
      </c>
      <c r="D57" s="19" t="str">
        <f aca="false">'Lot Register'!D17</f>
        <v>MS-ET</v>
      </c>
      <c r="E57" s="19" t="str">
        <f aca="false">'Lot Register'!G17</f>
        <v>ST-ET-CHA</v>
      </c>
      <c r="F57" s="9" t="s">
        <v>558</v>
      </c>
      <c r="G57" s="9" t="s">
        <v>559</v>
      </c>
      <c r="H57" s="9" t="s">
        <v>560</v>
      </c>
      <c r="I57" s="11" t="s">
        <v>238</v>
      </c>
      <c r="J57" s="47" t="n">
        <f aca="false">Controls!B25</f>
        <v>0</v>
      </c>
      <c r="K57" s="47" t="str">
        <f aca="false">IF(J57=1,"ACCEPTED","OPEN")</f>
        <v>OPEN</v>
      </c>
    </row>
    <row r="58" customFormat="false" ht="15" hidden="false" customHeight="false" outlineLevel="0" collapsed="false">
      <c r="A58" s="19" t="str">
        <f aca="false">"PKT-"&amp;B58&amp;"-CONTROL"</f>
        <v>PKT-INT-ET-CHA-CONTROL</v>
      </c>
      <c r="B58" s="19" t="str">
        <f aca="false">'Lot Register'!A17</f>
        <v>INT-ET-CHA</v>
      </c>
      <c r="C58" s="19" t="str">
        <f aca="false">'Lot Register'!B17</f>
        <v>Station integration</v>
      </c>
      <c r="D58" s="19" t="str">
        <f aca="false">'Lot Register'!D17</f>
        <v>MS-ET</v>
      </c>
      <c r="E58" s="19" t="str">
        <f aca="false">'Lot Register'!G17</f>
        <v>ST-ET-CHA</v>
      </c>
      <c r="F58" s="9" t="s">
        <v>271</v>
      </c>
      <c r="G58" s="9" t="s">
        <v>561</v>
      </c>
      <c r="H58" s="9" t="s">
        <v>562</v>
      </c>
      <c r="I58" s="11" t="s">
        <v>238</v>
      </c>
      <c r="J58" s="47" t="n">
        <f aca="false">Controls!B25</f>
        <v>0</v>
      </c>
      <c r="K58" s="47" t="str">
        <f aca="false">IF(J58=1,"ACCEPTED","OPEN")</f>
        <v>OPEN</v>
      </c>
    </row>
    <row r="59" customFormat="false" ht="15" hidden="false" customHeight="false" outlineLevel="0" collapsed="false">
      <c r="A59" s="19" t="str">
        <f aca="false">"PKT-"&amp;B59&amp;"-METROLOGY"</f>
        <v>PKT-INT-ET-CHA-METROLOGY</v>
      </c>
      <c r="B59" s="19" t="str">
        <f aca="false">'Lot Register'!A17</f>
        <v>INT-ET-CHA</v>
      </c>
      <c r="C59" s="19" t="str">
        <f aca="false">'Lot Register'!B17</f>
        <v>Station integration</v>
      </c>
      <c r="D59" s="19" t="str">
        <f aca="false">'Lot Register'!D17</f>
        <v>MS-ET</v>
      </c>
      <c r="E59" s="19" t="str">
        <f aca="false">'Lot Register'!G17</f>
        <v>ST-ET-CHA</v>
      </c>
      <c r="F59" s="9" t="s">
        <v>563</v>
      </c>
      <c r="G59" s="9" t="s">
        <v>564</v>
      </c>
      <c r="H59" s="9" t="s">
        <v>565</v>
      </c>
      <c r="I59" s="11" t="s">
        <v>238</v>
      </c>
      <c r="J59" s="47" t="n">
        <f aca="false">Controls!B25</f>
        <v>0</v>
      </c>
      <c r="K59" s="47" t="str">
        <f aca="false">IF(J59=1,"ACCEPTED","OPEN")</f>
        <v>OPEN</v>
      </c>
    </row>
    <row r="60" customFormat="false" ht="15" hidden="false" customHeight="false" outlineLevel="0" collapsed="false">
      <c r="A60" s="19" t="str">
        <f aca="false">"PKT-"&amp;B60&amp;"-SAFETY"</f>
        <v>PKT-INT-ET-CHA-SAFETY</v>
      </c>
      <c r="B60" s="19" t="str">
        <f aca="false">'Lot Register'!A17</f>
        <v>INT-ET-CHA</v>
      </c>
      <c r="C60" s="19" t="str">
        <f aca="false">'Lot Register'!B17</f>
        <v>Station integration</v>
      </c>
      <c r="D60" s="19" t="str">
        <f aca="false">'Lot Register'!D17</f>
        <v>MS-ET</v>
      </c>
      <c r="E60" s="19" t="str">
        <f aca="false">'Lot Register'!G17</f>
        <v>ST-ET-CHA</v>
      </c>
      <c r="F60" s="9" t="s">
        <v>566</v>
      </c>
      <c r="G60" s="9" t="s">
        <v>567</v>
      </c>
      <c r="H60" s="9" t="s">
        <v>568</v>
      </c>
      <c r="I60" s="11" t="s">
        <v>238</v>
      </c>
      <c r="J60" s="47" t="n">
        <f aca="false">Controls!B25</f>
        <v>0</v>
      </c>
      <c r="K60" s="47" t="str">
        <f aca="false">IF(J60=1,"ACCEPTED","OPEN")</f>
        <v>OPEN</v>
      </c>
    </row>
    <row r="61" customFormat="false" ht="15" hidden="false" customHeight="false" outlineLevel="0" collapsed="false">
      <c r="A61" s="19" t="str">
        <f aca="false">"PKT-"&amp;B61&amp;"-RECONSTRUCTION"</f>
        <v>PKT-INT-ET-CHA-RECONSTRUCTION</v>
      </c>
      <c r="B61" s="19" t="str">
        <f aca="false">'Lot Register'!A17</f>
        <v>INT-ET-CHA</v>
      </c>
      <c r="C61" s="19" t="str">
        <f aca="false">'Lot Register'!B17</f>
        <v>Station integration</v>
      </c>
      <c r="D61" s="19" t="str">
        <f aca="false">'Lot Register'!D17</f>
        <v>MS-ET</v>
      </c>
      <c r="E61" s="19" t="str">
        <f aca="false">'Lot Register'!G17</f>
        <v>ST-ET-CHA</v>
      </c>
      <c r="F61" s="9" t="s">
        <v>282</v>
      </c>
      <c r="G61" s="9" t="s">
        <v>569</v>
      </c>
      <c r="H61" s="9" t="s">
        <v>570</v>
      </c>
      <c r="I61" s="11" t="s">
        <v>238</v>
      </c>
      <c r="J61" s="47" t="n">
        <f aca="false">Controls!B25</f>
        <v>0</v>
      </c>
      <c r="K61" s="47" t="str">
        <f aca="false">IF(J61=1,"ACCEPTED","OPEN")</f>
        <v>OPEN</v>
      </c>
    </row>
    <row r="62" customFormat="false" ht="15" hidden="false" customHeight="false" outlineLevel="0" collapsed="false">
      <c r="A62" s="19" t="str">
        <f aca="false">"PKT-"&amp;B62&amp;"-CONFIGURATION"</f>
        <v>PKT-RIG-ET-CON-CONFIGURATION</v>
      </c>
      <c r="B62" s="19" t="str">
        <f aca="false">'Lot Register'!A18</f>
        <v>RIG-ET-CON</v>
      </c>
      <c r="C62" s="19" t="str">
        <f aca="false">'Lot Register'!B18</f>
        <v>Root-native rig</v>
      </c>
      <c r="D62" s="19" t="str">
        <f aca="false">'Lot Register'!D18</f>
        <v>MS-ET</v>
      </c>
      <c r="E62" s="19" t="str">
        <f aca="false">'Lot Register'!G18</f>
        <v>ST-ET-CON</v>
      </c>
      <c r="F62" s="9" t="s">
        <v>558</v>
      </c>
      <c r="G62" s="9" t="s">
        <v>559</v>
      </c>
      <c r="H62" s="9" t="s">
        <v>560</v>
      </c>
      <c r="I62" s="11" t="s">
        <v>238</v>
      </c>
      <c r="J62" s="47" t="n">
        <f aca="false">Controls!B25</f>
        <v>0</v>
      </c>
      <c r="K62" s="47" t="str">
        <f aca="false">IF(J62=1,"ACCEPTED","OPEN")</f>
        <v>OPEN</v>
      </c>
    </row>
    <row r="63" customFormat="false" ht="15" hidden="false" customHeight="false" outlineLevel="0" collapsed="false">
      <c r="A63" s="19" t="str">
        <f aca="false">"PKT-"&amp;B63&amp;"-CONTROL"</f>
        <v>PKT-RIG-ET-CON-CONTROL</v>
      </c>
      <c r="B63" s="19" t="str">
        <f aca="false">'Lot Register'!A18</f>
        <v>RIG-ET-CON</v>
      </c>
      <c r="C63" s="19" t="str">
        <f aca="false">'Lot Register'!B18</f>
        <v>Root-native rig</v>
      </c>
      <c r="D63" s="19" t="str">
        <f aca="false">'Lot Register'!D18</f>
        <v>MS-ET</v>
      </c>
      <c r="E63" s="19" t="str">
        <f aca="false">'Lot Register'!G18</f>
        <v>ST-ET-CON</v>
      </c>
      <c r="F63" s="9" t="s">
        <v>271</v>
      </c>
      <c r="G63" s="9" t="s">
        <v>561</v>
      </c>
      <c r="H63" s="9" t="s">
        <v>562</v>
      </c>
      <c r="I63" s="11" t="s">
        <v>238</v>
      </c>
      <c r="J63" s="47" t="n">
        <f aca="false">Controls!B25</f>
        <v>0</v>
      </c>
      <c r="K63" s="47" t="str">
        <f aca="false">IF(J63=1,"ACCEPTED","OPEN")</f>
        <v>OPEN</v>
      </c>
    </row>
    <row r="64" customFormat="false" ht="15" hidden="false" customHeight="false" outlineLevel="0" collapsed="false">
      <c r="A64" s="19" t="str">
        <f aca="false">"PKT-"&amp;B64&amp;"-METROLOGY"</f>
        <v>PKT-RIG-ET-CON-METROLOGY</v>
      </c>
      <c r="B64" s="19" t="str">
        <f aca="false">'Lot Register'!A18</f>
        <v>RIG-ET-CON</v>
      </c>
      <c r="C64" s="19" t="str">
        <f aca="false">'Lot Register'!B18</f>
        <v>Root-native rig</v>
      </c>
      <c r="D64" s="19" t="str">
        <f aca="false">'Lot Register'!D18</f>
        <v>MS-ET</v>
      </c>
      <c r="E64" s="19" t="str">
        <f aca="false">'Lot Register'!G18</f>
        <v>ST-ET-CON</v>
      </c>
      <c r="F64" s="9" t="s">
        <v>563</v>
      </c>
      <c r="G64" s="9" t="s">
        <v>564</v>
      </c>
      <c r="H64" s="9" t="s">
        <v>565</v>
      </c>
      <c r="I64" s="11" t="s">
        <v>238</v>
      </c>
      <c r="J64" s="47" t="n">
        <f aca="false">Controls!B25</f>
        <v>0</v>
      </c>
      <c r="K64" s="47" t="str">
        <f aca="false">IF(J64=1,"ACCEPTED","OPEN")</f>
        <v>OPEN</v>
      </c>
    </row>
    <row r="65" customFormat="false" ht="15" hidden="false" customHeight="false" outlineLevel="0" collapsed="false">
      <c r="A65" s="19" t="str">
        <f aca="false">"PKT-"&amp;B65&amp;"-SAFETY"</f>
        <v>PKT-RIG-ET-CON-SAFETY</v>
      </c>
      <c r="B65" s="19" t="str">
        <f aca="false">'Lot Register'!A18</f>
        <v>RIG-ET-CON</v>
      </c>
      <c r="C65" s="19" t="str">
        <f aca="false">'Lot Register'!B18</f>
        <v>Root-native rig</v>
      </c>
      <c r="D65" s="19" t="str">
        <f aca="false">'Lot Register'!D18</f>
        <v>MS-ET</v>
      </c>
      <c r="E65" s="19" t="str">
        <f aca="false">'Lot Register'!G18</f>
        <v>ST-ET-CON</v>
      </c>
      <c r="F65" s="9" t="s">
        <v>566</v>
      </c>
      <c r="G65" s="9" t="s">
        <v>567</v>
      </c>
      <c r="H65" s="9" t="s">
        <v>568</v>
      </c>
      <c r="I65" s="11" t="s">
        <v>238</v>
      </c>
      <c r="J65" s="47" t="n">
        <f aca="false">Controls!B25</f>
        <v>0</v>
      </c>
      <c r="K65" s="47" t="str">
        <f aca="false">IF(J65=1,"ACCEPTED","OPEN")</f>
        <v>OPEN</v>
      </c>
    </row>
    <row r="66" customFormat="false" ht="15" hidden="false" customHeight="false" outlineLevel="0" collapsed="false">
      <c r="A66" s="19" t="str">
        <f aca="false">"PKT-"&amp;B66&amp;"-RECONSTRUCTION"</f>
        <v>PKT-RIG-ET-CON-RECONSTRUCTION</v>
      </c>
      <c r="B66" s="19" t="str">
        <f aca="false">'Lot Register'!A18</f>
        <v>RIG-ET-CON</v>
      </c>
      <c r="C66" s="19" t="str">
        <f aca="false">'Lot Register'!B18</f>
        <v>Root-native rig</v>
      </c>
      <c r="D66" s="19" t="str">
        <f aca="false">'Lot Register'!D18</f>
        <v>MS-ET</v>
      </c>
      <c r="E66" s="19" t="str">
        <f aca="false">'Lot Register'!G18</f>
        <v>ST-ET-CON</v>
      </c>
      <c r="F66" s="9" t="s">
        <v>282</v>
      </c>
      <c r="G66" s="9" t="s">
        <v>569</v>
      </c>
      <c r="H66" s="9" t="s">
        <v>570</v>
      </c>
      <c r="I66" s="11" t="s">
        <v>238</v>
      </c>
      <c r="J66" s="47" t="n">
        <f aca="false">Controls!B25</f>
        <v>0</v>
      </c>
      <c r="K66" s="47" t="str">
        <f aca="false">IF(J66=1,"ACCEPTED","OPEN")</f>
        <v>OPEN</v>
      </c>
    </row>
    <row r="67" customFormat="false" ht="15" hidden="false" customHeight="false" outlineLevel="0" collapsed="false">
      <c r="A67" s="19" t="str">
        <f aca="false">"PKT-"&amp;B67&amp;"-CONFIGURATION"</f>
        <v>PKT-MTH-ET-CON-L1-CONFIGURATION</v>
      </c>
      <c r="B67" s="19" t="str">
        <f aca="false">'Lot Register'!A19</f>
        <v>MTH-ET-CON-L1</v>
      </c>
      <c r="C67" s="19" t="str">
        <f aca="false">'Lot Register'!B19</f>
        <v>Method lineage</v>
      </c>
      <c r="D67" s="19" t="str">
        <f aca="false">'Lot Register'!D19</f>
        <v>MS-ET</v>
      </c>
      <c r="E67" s="19" t="str">
        <f aca="false">'Lot Register'!G19</f>
        <v>ST-ET-CON</v>
      </c>
      <c r="F67" s="9" t="s">
        <v>558</v>
      </c>
      <c r="G67" s="9" t="s">
        <v>559</v>
      </c>
      <c r="H67" s="9" t="s">
        <v>560</v>
      </c>
      <c r="I67" s="11" t="s">
        <v>238</v>
      </c>
      <c r="J67" s="47" t="n">
        <f aca="false">Controls!B25</f>
        <v>0</v>
      </c>
      <c r="K67" s="47" t="str">
        <f aca="false">IF(J67=1,"ACCEPTED","OPEN")</f>
        <v>OPEN</v>
      </c>
    </row>
    <row r="68" customFormat="false" ht="15" hidden="false" customHeight="false" outlineLevel="0" collapsed="false">
      <c r="A68" s="19" t="str">
        <f aca="false">"PKT-"&amp;B68&amp;"-CONTROL"</f>
        <v>PKT-MTH-ET-CON-L1-CONTROL</v>
      </c>
      <c r="B68" s="19" t="str">
        <f aca="false">'Lot Register'!A19</f>
        <v>MTH-ET-CON-L1</v>
      </c>
      <c r="C68" s="19" t="str">
        <f aca="false">'Lot Register'!B19</f>
        <v>Method lineage</v>
      </c>
      <c r="D68" s="19" t="str">
        <f aca="false">'Lot Register'!D19</f>
        <v>MS-ET</v>
      </c>
      <c r="E68" s="19" t="str">
        <f aca="false">'Lot Register'!G19</f>
        <v>ST-ET-CON</v>
      </c>
      <c r="F68" s="9" t="s">
        <v>271</v>
      </c>
      <c r="G68" s="9" t="s">
        <v>561</v>
      </c>
      <c r="H68" s="9" t="s">
        <v>562</v>
      </c>
      <c r="I68" s="11" t="s">
        <v>238</v>
      </c>
      <c r="J68" s="47" t="n">
        <f aca="false">Controls!B25</f>
        <v>0</v>
      </c>
      <c r="K68" s="47" t="str">
        <f aca="false">IF(J68=1,"ACCEPTED","OPEN")</f>
        <v>OPEN</v>
      </c>
    </row>
    <row r="69" customFormat="false" ht="15" hidden="false" customHeight="false" outlineLevel="0" collapsed="false">
      <c r="A69" s="19" t="str">
        <f aca="false">"PKT-"&amp;B69&amp;"-METROLOGY"</f>
        <v>PKT-MTH-ET-CON-L1-METROLOGY</v>
      </c>
      <c r="B69" s="19" t="str">
        <f aca="false">'Lot Register'!A19</f>
        <v>MTH-ET-CON-L1</v>
      </c>
      <c r="C69" s="19" t="str">
        <f aca="false">'Lot Register'!B19</f>
        <v>Method lineage</v>
      </c>
      <c r="D69" s="19" t="str">
        <f aca="false">'Lot Register'!D19</f>
        <v>MS-ET</v>
      </c>
      <c r="E69" s="19" t="str">
        <f aca="false">'Lot Register'!G19</f>
        <v>ST-ET-CON</v>
      </c>
      <c r="F69" s="9" t="s">
        <v>563</v>
      </c>
      <c r="G69" s="9" t="s">
        <v>564</v>
      </c>
      <c r="H69" s="9" t="s">
        <v>565</v>
      </c>
      <c r="I69" s="11" t="s">
        <v>238</v>
      </c>
      <c r="J69" s="47" t="n">
        <f aca="false">Controls!B25</f>
        <v>0</v>
      </c>
      <c r="K69" s="47" t="str">
        <f aca="false">IF(J69=1,"ACCEPTED","OPEN")</f>
        <v>OPEN</v>
      </c>
    </row>
    <row r="70" customFormat="false" ht="15" hidden="false" customHeight="false" outlineLevel="0" collapsed="false">
      <c r="A70" s="19" t="str">
        <f aca="false">"PKT-"&amp;B70&amp;"-SAFETY"</f>
        <v>PKT-MTH-ET-CON-L1-SAFETY</v>
      </c>
      <c r="B70" s="19" t="str">
        <f aca="false">'Lot Register'!A19</f>
        <v>MTH-ET-CON-L1</v>
      </c>
      <c r="C70" s="19" t="str">
        <f aca="false">'Lot Register'!B19</f>
        <v>Method lineage</v>
      </c>
      <c r="D70" s="19" t="str">
        <f aca="false">'Lot Register'!D19</f>
        <v>MS-ET</v>
      </c>
      <c r="E70" s="19" t="str">
        <f aca="false">'Lot Register'!G19</f>
        <v>ST-ET-CON</v>
      </c>
      <c r="F70" s="9" t="s">
        <v>566</v>
      </c>
      <c r="G70" s="9" t="s">
        <v>567</v>
      </c>
      <c r="H70" s="9" t="s">
        <v>568</v>
      </c>
      <c r="I70" s="11" t="s">
        <v>238</v>
      </c>
      <c r="J70" s="47" t="n">
        <f aca="false">Controls!B25</f>
        <v>0</v>
      </c>
      <c r="K70" s="47" t="str">
        <f aca="false">IF(J70=1,"ACCEPTED","OPEN")</f>
        <v>OPEN</v>
      </c>
    </row>
    <row r="71" customFormat="false" ht="15" hidden="false" customHeight="false" outlineLevel="0" collapsed="false">
      <c r="A71" s="19" t="str">
        <f aca="false">"PKT-"&amp;B71&amp;"-RECONSTRUCTION"</f>
        <v>PKT-MTH-ET-CON-L1-RECONSTRUCTION</v>
      </c>
      <c r="B71" s="19" t="str">
        <f aca="false">'Lot Register'!A19</f>
        <v>MTH-ET-CON-L1</v>
      </c>
      <c r="C71" s="19" t="str">
        <f aca="false">'Lot Register'!B19</f>
        <v>Method lineage</v>
      </c>
      <c r="D71" s="19" t="str">
        <f aca="false">'Lot Register'!D19</f>
        <v>MS-ET</v>
      </c>
      <c r="E71" s="19" t="str">
        <f aca="false">'Lot Register'!G19</f>
        <v>ST-ET-CON</v>
      </c>
      <c r="F71" s="9" t="s">
        <v>282</v>
      </c>
      <c r="G71" s="9" t="s">
        <v>569</v>
      </c>
      <c r="H71" s="9" t="s">
        <v>570</v>
      </c>
      <c r="I71" s="11" t="s">
        <v>238</v>
      </c>
      <c r="J71" s="47" t="n">
        <f aca="false">Controls!B25</f>
        <v>0</v>
      </c>
      <c r="K71" s="47" t="str">
        <f aca="false">IF(J71=1,"ACCEPTED","OPEN")</f>
        <v>OPEN</v>
      </c>
    </row>
    <row r="72" customFormat="false" ht="15" hidden="false" customHeight="false" outlineLevel="0" collapsed="false">
      <c r="A72" s="19" t="str">
        <f aca="false">"PKT-"&amp;B72&amp;"-CONFIGURATION"</f>
        <v>PKT-MTH-ET-CON-L2-CONFIGURATION</v>
      </c>
      <c r="B72" s="19" t="str">
        <f aca="false">'Lot Register'!A20</f>
        <v>MTH-ET-CON-L2</v>
      </c>
      <c r="C72" s="19" t="str">
        <f aca="false">'Lot Register'!B20</f>
        <v>Method lineage</v>
      </c>
      <c r="D72" s="19" t="str">
        <f aca="false">'Lot Register'!D20</f>
        <v>MS-ET</v>
      </c>
      <c r="E72" s="19" t="str">
        <f aca="false">'Lot Register'!G20</f>
        <v>ST-ET-CON</v>
      </c>
      <c r="F72" s="9" t="s">
        <v>558</v>
      </c>
      <c r="G72" s="9" t="s">
        <v>559</v>
      </c>
      <c r="H72" s="9" t="s">
        <v>560</v>
      </c>
      <c r="I72" s="11" t="s">
        <v>238</v>
      </c>
      <c r="J72" s="47" t="n">
        <f aca="false">Controls!B25</f>
        <v>0</v>
      </c>
      <c r="K72" s="47" t="str">
        <f aca="false">IF(J72=1,"ACCEPTED","OPEN")</f>
        <v>OPEN</v>
      </c>
    </row>
    <row r="73" customFormat="false" ht="15" hidden="false" customHeight="false" outlineLevel="0" collapsed="false">
      <c r="A73" s="19" t="str">
        <f aca="false">"PKT-"&amp;B73&amp;"-CONTROL"</f>
        <v>PKT-MTH-ET-CON-L2-CONTROL</v>
      </c>
      <c r="B73" s="19" t="str">
        <f aca="false">'Lot Register'!A20</f>
        <v>MTH-ET-CON-L2</v>
      </c>
      <c r="C73" s="19" t="str">
        <f aca="false">'Lot Register'!B20</f>
        <v>Method lineage</v>
      </c>
      <c r="D73" s="19" t="str">
        <f aca="false">'Lot Register'!D20</f>
        <v>MS-ET</v>
      </c>
      <c r="E73" s="19" t="str">
        <f aca="false">'Lot Register'!G20</f>
        <v>ST-ET-CON</v>
      </c>
      <c r="F73" s="9" t="s">
        <v>271</v>
      </c>
      <c r="G73" s="9" t="s">
        <v>561</v>
      </c>
      <c r="H73" s="9" t="s">
        <v>562</v>
      </c>
      <c r="I73" s="11" t="s">
        <v>238</v>
      </c>
      <c r="J73" s="47" t="n">
        <f aca="false">Controls!B25</f>
        <v>0</v>
      </c>
      <c r="K73" s="47" t="str">
        <f aca="false">IF(J73=1,"ACCEPTED","OPEN")</f>
        <v>OPEN</v>
      </c>
    </row>
    <row r="74" customFormat="false" ht="15" hidden="false" customHeight="false" outlineLevel="0" collapsed="false">
      <c r="A74" s="19" t="str">
        <f aca="false">"PKT-"&amp;B74&amp;"-METROLOGY"</f>
        <v>PKT-MTH-ET-CON-L2-METROLOGY</v>
      </c>
      <c r="B74" s="19" t="str">
        <f aca="false">'Lot Register'!A20</f>
        <v>MTH-ET-CON-L2</v>
      </c>
      <c r="C74" s="19" t="str">
        <f aca="false">'Lot Register'!B20</f>
        <v>Method lineage</v>
      </c>
      <c r="D74" s="19" t="str">
        <f aca="false">'Lot Register'!D20</f>
        <v>MS-ET</v>
      </c>
      <c r="E74" s="19" t="str">
        <f aca="false">'Lot Register'!G20</f>
        <v>ST-ET-CON</v>
      </c>
      <c r="F74" s="9" t="s">
        <v>563</v>
      </c>
      <c r="G74" s="9" t="s">
        <v>564</v>
      </c>
      <c r="H74" s="9" t="s">
        <v>565</v>
      </c>
      <c r="I74" s="11" t="s">
        <v>238</v>
      </c>
      <c r="J74" s="47" t="n">
        <f aca="false">Controls!B25</f>
        <v>0</v>
      </c>
      <c r="K74" s="47" t="str">
        <f aca="false">IF(J74=1,"ACCEPTED","OPEN")</f>
        <v>OPEN</v>
      </c>
    </row>
    <row r="75" customFormat="false" ht="15" hidden="false" customHeight="false" outlineLevel="0" collapsed="false">
      <c r="A75" s="19" t="str">
        <f aca="false">"PKT-"&amp;B75&amp;"-SAFETY"</f>
        <v>PKT-MTH-ET-CON-L2-SAFETY</v>
      </c>
      <c r="B75" s="19" t="str">
        <f aca="false">'Lot Register'!A20</f>
        <v>MTH-ET-CON-L2</v>
      </c>
      <c r="C75" s="19" t="str">
        <f aca="false">'Lot Register'!B20</f>
        <v>Method lineage</v>
      </c>
      <c r="D75" s="19" t="str">
        <f aca="false">'Lot Register'!D20</f>
        <v>MS-ET</v>
      </c>
      <c r="E75" s="19" t="str">
        <f aca="false">'Lot Register'!G20</f>
        <v>ST-ET-CON</v>
      </c>
      <c r="F75" s="9" t="s">
        <v>566</v>
      </c>
      <c r="G75" s="9" t="s">
        <v>567</v>
      </c>
      <c r="H75" s="9" t="s">
        <v>568</v>
      </c>
      <c r="I75" s="11" t="s">
        <v>238</v>
      </c>
      <c r="J75" s="47" t="n">
        <f aca="false">Controls!B25</f>
        <v>0</v>
      </c>
      <c r="K75" s="47" t="str">
        <f aca="false">IF(J75=1,"ACCEPTED","OPEN")</f>
        <v>OPEN</v>
      </c>
    </row>
    <row r="76" customFormat="false" ht="15" hidden="false" customHeight="false" outlineLevel="0" collapsed="false">
      <c r="A76" s="19" t="str">
        <f aca="false">"PKT-"&amp;B76&amp;"-RECONSTRUCTION"</f>
        <v>PKT-MTH-ET-CON-L2-RECONSTRUCTION</v>
      </c>
      <c r="B76" s="19" t="str">
        <f aca="false">'Lot Register'!A20</f>
        <v>MTH-ET-CON-L2</v>
      </c>
      <c r="C76" s="19" t="str">
        <f aca="false">'Lot Register'!B20</f>
        <v>Method lineage</v>
      </c>
      <c r="D76" s="19" t="str">
        <f aca="false">'Lot Register'!D20</f>
        <v>MS-ET</v>
      </c>
      <c r="E76" s="19" t="str">
        <f aca="false">'Lot Register'!G20</f>
        <v>ST-ET-CON</v>
      </c>
      <c r="F76" s="9" t="s">
        <v>282</v>
      </c>
      <c r="G76" s="9" t="s">
        <v>569</v>
      </c>
      <c r="H76" s="9" t="s">
        <v>570</v>
      </c>
      <c r="I76" s="11" t="s">
        <v>238</v>
      </c>
      <c r="J76" s="47" t="n">
        <f aca="false">Controls!B25</f>
        <v>0</v>
      </c>
      <c r="K76" s="47" t="str">
        <f aca="false">IF(J76=1,"ACCEPTED","OPEN")</f>
        <v>OPEN</v>
      </c>
    </row>
    <row r="77" customFormat="false" ht="15" hidden="false" customHeight="false" outlineLevel="0" collapsed="false">
      <c r="A77" s="19" t="str">
        <f aca="false">"PKT-"&amp;B77&amp;"-CONFIGURATION"</f>
        <v>PKT-REG-ET-CON-CONFIGURATION</v>
      </c>
      <c r="B77" s="19" t="str">
        <f aca="false">'Lot Register'!A21</f>
        <v>REG-ET-CON</v>
      </c>
      <c r="C77" s="19" t="str">
        <f aca="false">'Lot Register'!B21</f>
        <v>Regeneration tool</v>
      </c>
      <c r="D77" s="19" t="str">
        <f aca="false">'Lot Register'!D21</f>
        <v>MS-ET</v>
      </c>
      <c r="E77" s="19" t="str">
        <f aca="false">'Lot Register'!G21</f>
        <v>ST-ET-CON</v>
      </c>
      <c r="F77" s="9" t="s">
        <v>558</v>
      </c>
      <c r="G77" s="9" t="s">
        <v>559</v>
      </c>
      <c r="H77" s="9" t="s">
        <v>560</v>
      </c>
      <c r="I77" s="11" t="s">
        <v>238</v>
      </c>
      <c r="J77" s="47" t="n">
        <f aca="false">Controls!B25</f>
        <v>0</v>
      </c>
      <c r="K77" s="47" t="str">
        <f aca="false">IF(J77=1,"ACCEPTED","OPEN")</f>
        <v>OPEN</v>
      </c>
    </row>
    <row r="78" customFormat="false" ht="15" hidden="false" customHeight="false" outlineLevel="0" collapsed="false">
      <c r="A78" s="19" t="str">
        <f aca="false">"PKT-"&amp;B78&amp;"-CONTROL"</f>
        <v>PKT-REG-ET-CON-CONTROL</v>
      </c>
      <c r="B78" s="19" t="str">
        <f aca="false">'Lot Register'!A21</f>
        <v>REG-ET-CON</v>
      </c>
      <c r="C78" s="19" t="str">
        <f aca="false">'Lot Register'!B21</f>
        <v>Regeneration tool</v>
      </c>
      <c r="D78" s="19" t="str">
        <f aca="false">'Lot Register'!D21</f>
        <v>MS-ET</v>
      </c>
      <c r="E78" s="19" t="str">
        <f aca="false">'Lot Register'!G21</f>
        <v>ST-ET-CON</v>
      </c>
      <c r="F78" s="9" t="s">
        <v>271</v>
      </c>
      <c r="G78" s="9" t="s">
        <v>561</v>
      </c>
      <c r="H78" s="9" t="s">
        <v>562</v>
      </c>
      <c r="I78" s="11" t="s">
        <v>238</v>
      </c>
      <c r="J78" s="47" t="n">
        <f aca="false">Controls!B25</f>
        <v>0</v>
      </c>
      <c r="K78" s="47" t="str">
        <f aca="false">IF(J78=1,"ACCEPTED","OPEN")</f>
        <v>OPEN</v>
      </c>
    </row>
    <row r="79" customFormat="false" ht="15" hidden="false" customHeight="false" outlineLevel="0" collapsed="false">
      <c r="A79" s="19" t="str">
        <f aca="false">"PKT-"&amp;B79&amp;"-METROLOGY"</f>
        <v>PKT-REG-ET-CON-METROLOGY</v>
      </c>
      <c r="B79" s="19" t="str">
        <f aca="false">'Lot Register'!A21</f>
        <v>REG-ET-CON</v>
      </c>
      <c r="C79" s="19" t="str">
        <f aca="false">'Lot Register'!B21</f>
        <v>Regeneration tool</v>
      </c>
      <c r="D79" s="19" t="str">
        <f aca="false">'Lot Register'!D21</f>
        <v>MS-ET</v>
      </c>
      <c r="E79" s="19" t="str">
        <f aca="false">'Lot Register'!G21</f>
        <v>ST-ET-CON</v>
      </c>
      <c r="F79" s="9" t="s">
        <v>563</v>
      </c>
      <c r="G79" s="9" t="s">
        <v>564</v>
      </c>
      <c r="H79" s="9" t="s">
        <v>565</v>
      </c>
      <c r="I79" s="11" t="s">
        <v>238</v>
      </c>
      <c r="J79" s="47" t="n">
        <f aca="false">Controls!B25</f>
        <v>0</v>
      </c>
      <c r="K79" s="47" t="str">
        <f aca="false">IF(J79=1,"ACCEPTED","OPEN")</f>
        <v>OPEN</v>
      </c>
    </row>
    <row r="80" customFormat="false" ht="15" hidden="false" customHeight="false" outlineLevel="0" collapsed="false">
      <c r="A80" s="19" t="str">
        <f aca="false">"PKT-"&amp;B80&amp;"-SAFETY"</f>
        <v>PKT-REG-ET-CON-SAFETY</v>
      </c>
      <c r="B80" s="19" t="str">
        <f aca="false">'Lot Register'!A21</f>
        <v>REG-ET-CON</v>
      </c>
      <c r="C80" s="19" t="str">
        <f aca="false">'Lot Register'!B21</f>
        <v>Regeneration tool</v>
      </c>
      <c r="D80" s="19" t="str">
        <f aca="false">'Lot Register'!D21</f>
        <v>MS-ET</v>
      </c>
      <c r="E80" s="19" t="str">
        <f aca="false">'Lot Register'!G21</f>
        <v>ST-ET-CON</v>
      </c>
      <c r="F80" s="9" t="s">
        <v>566</v>
      </c>
      <c r="G80" s="9" t="s">
        <v>567</v>
      </c>
      <c r="H80" s="9" t="s">
        <v>568</v>
      </c>
      <c r="I80" s="11" t="s">
        <v>238</v>
      </c>
      <c r="J80" s="47" t="n">
        <f aca="false">Controls!B25</f>
        <v>0</v>
      </c>
      <c r="K80" s="47" t="str">
        <f aca="false">IF(J80=1,"ACCEPTED","OPEN")</f>
        <v>OPEN</v>
      </c>
    </row>
    <row r="81" customFormat="false" ht="15" hidden="false" customHeight="false" outlineLevel="0" collapsed="false">
      <c r="A81" s="19" t="str">
        <f aca="false">"PKT-"&amp;B81&amp;"-RECONSTRUCTION"</f>
        <v>PKT-REG-ET-CON-RECONSTRUCTION</v>
      </c>
      <c r="B81" s="19" t="str">
        <f aca="false">'Lot Register'!A21</f>
        <v>REG-ET-CON</v>
      </c>
      <c r="C81" s="19" t="str">
        <f aca="false">'Lot Register'!B21</f>
        <v>Regeneration tool</v>
      </c>
      <c r="D81" s="19" t="str">
        <f aca="false">'Lot Register'!D21</f>
        <v>MS-ET</v>
      </c>
      <c r="E81" s="19" t="str">
        <f aca="false">'Lot Register'!G21</f>
        <v>ST-ET-CON</v>
      </c>
      <c r="F81" s="9" t="s">
        <v>282</v>
      </c>
      <c r="G81" s="9" t="s">
        <v>569</v>
      </c>
      <c r="H81" s="9" t="s">
        <v>570</v>
      </c>
      <c r="I81" s="11" t="s">
        <v>238</v>
      </c>
      <c r="J81" s="47" t="n">
        <f aca="false">Controls!B25</f>
        <v>0</v>
      </c>
      <c r="K81" s="47" t="str">
        <f aca="false">IF(J81=1,"ACCEPTED","OPEN")</f>
        <v>OPEN</v>
      </c>
    </row>
    <row r="82" customFormat="false" ht="15" hidden="false" customHeight="false" outlineLevel="0" collapsed="false">
      <c r="A82" s="19" t="str">
        <f aca="false">"PKT-"&amp;B82&amp;"-CONFIGURATION"</f>
        <v>PKT-INT-ET-CON-CONFIGURATION</v>
      </c>
      <c r="B82" s="19" t="str">
        <f aca="false">'Lot Register'!A22</f>
        <v>INT-ET-CON</v>
      </c>
      <c r="C82" s="19" t="str">
        <f aca="false">'Lot Register'!B22</f>
        <v>Station integration</v>
      </c>
      <c r="D82" s="19" t="str">
        <f aca="false">'Lot Register'!D22</f>
        <v>MS-ET</v>
      </c>
      <c r="E82" s="19" t="str">
        <f aca="false">'Lot Register'!G22</f>
        <v>ST-ET-CON</v>
      </c>
      <c r="F82" s="9" t="s">
        <v>558</v>
      </c>
      <c r="G82" s="9" t="s">
        <v>559</v>
      </c>
      <c r="H82" s="9" t="s">
        <v>560</v>
      </c>
      <c r="I82" s="11" t="s">
        <v>238</v>
      </c>
      <c r="J82" s="47" t="n">
        <f aca="false">Controls!B25</f>
        <v>0</v>
      </c>
      <c r="K82" s="47" t="str">
        <f aca="false">IF(J82=1,"ACCEPTED","OPEN")</f>
        <v>OPEN</v>
      </c>
    </row>
    <row r="83" customFormat="false" ht="15" hidden="false" customHeight="false" outlineLevel="0" collapsed="false">
      <c r="A83" s="19" t="str">
        <f aca="false">"PKT-"&amp;B83&amp;"-CONTROL"</f>
        <v>PKT-INT-ET-CON-CONTROL</v>
      </c>
      <c r="B83" s="19" t="str">
        <f aca="false">'Lot Register'!A22</f>
        <v>INT-ET-CON</v>
      </c>
      <c r="C83" s="19" t="str">
        <f aca="false">'Lot Register'!B22</f>
        <v>Station integration</v>
      </c>
      <c r="D83" s="19" t="str">
        <f aca="false">'Lot Register'!D22</f>
        <v>MS-ET</v>
      </c>
      <c r="E83" s="19" t="str">
        <f aca="false">'Lot Register'!G22</f>
        <v>ST-ET-CON</v>
      </c>
      <c r="F83" s="9" t="s">
        <v>271</v>
      </c>
      <c r="G83" s="9" t="s">
        <v>561</v>
      </c>
      <c r="H83" s="9" t="s">
        <v>562</v>
      </c>
      <c r="I83" s="11" t="s">
        <v>238</v>
      </c>
      <c r="J83" s="47" t="n">
        <f aca="false">Controls!B25</f>
        <v>0</v>
      </c>
      <c r="K83" s="47" t="str">
        <f aca="false">IF(J83=1,"ACCEPTED","OPEN")</f>
        <v>OPEN</v>
      </c>
    </row>
    <row r="84" customFormat="false" ht="15" hidden="false" customHeight="false" outlineLevel="0" collapsed="false">
      <c r="A84" s="19" t="str">
        <f aca="false">"PKT-"&amp;B84&amp;"-METROLOGY"</f>
        <v>PKT-INT-ET-CON-METROLOGY</v>
      </c>
      <c r="B84" s="19" t="str">
        <f aca="false">'Lot Register'!A22</f>
        <v>INT-ET-CON</v>
      </c>
      <c r="C84" s="19" t="str">
        <f aca="false">'Lot Register'!B22</f>
        <v>Station integration</v>
      </c>
      <c r="D84" s="19" t="str">
        <f aca="false">'Lot Register'!D22</f>
        <v>MS-ET</v>
      </c>
      <c r="E84" s="19" t="str">
        <f aca="false">'Lot Register'!G22</f>
        <v>ST-ET-CON</v>
      </c>
      <c r="F84" s="9" t="s">
        <v>563</v>
      </c>
      <c r="G84" s="9" t="s">
        <v>564</v>
      </c>
      <c r="H84" s="9" t="s">
        <v>565</v>
      </c>
      <c r="I84" s="11" t="s">
        <v>238</v>
      </c>
      <c r="J84" s="47" t="n">
        <f aca="false">Controls!B25</f>
        <v>0</v>
      </c>
      <c r="K84" s="47" t="str">
        <f aca="false">IF(J84=1,"ACCEPTED","OPEN")</f>
        <v>OPEN</v>
      </c>
    </row>
    <row r="85" customFormat="false" ht="15" hidden="false" customHeight="false" outlineLevel="0" collapsed="false">
      <c r="A85" s="19" t="str">
        <f aca="false">"PKT-"&amp;B85&amp;"-SAFETY"</f>
        <v>PKT-INT-ET-CON-SAFETY</v>
      </c>
      <c r="B85" s="19" t="str">
        <f aca="false">'Lot Register'!A22</f>
        <v>INT-ET-CON</v>
      </c>
      <c r="C85" s="19" t="str">
        <f aca="false">'Lot Register'!B22</f>
        <v>Station integration</v>
      </c>
      <c r="D85" s="19" t="str">
        <f aca="false">'Lot Register'!D22</f>
        <v>MS-ET</v>
      </c>
      <c r="E85" s="19" t="str">
        <f aca="false">'Lot Register'!G22</f>
        <v>ST-ET-CON</v>
      </c>
      <c r="F85" s="9" t="s">
        <v>566</v>
      </c>
      <c r="G85" s="9" t="s">
        <v>567</v>
      </c>
      <c r="H85" s="9" t="s">
        <v>568</v>
      </c>
      <c r="I85" s="11" t="s">
        <v>238</v>
      </c>
      <c r="J85" s="47" t="n">
        <f aca="false">Controls!B25</f>
        <v>0</v>
      </c>
      <c r="K85" s="47" t="str">
        <f aca="false">IF(J85=1,"ACCEPTED","OPEN")</f>
        <v>OPEN</v>
      </c>
    </row>
    <row r="86" customFormat="false" ht="15" hidden="false" customHeight="false" outlineLevel="0" collapsed="false">
      <c r="A86" s="19" t="str">
        <f aca="false">"PKT-"&amp;B86&amp;"-RECONSTRUCTION"</f>
        <v>PKT-INT-ET-CON-RECONSTRUCTION</v>
      </c>
      <c r="B86" s="19" t="str">
        <f aca="false">'Lot Register'!A22</f>
        <v>INT-ET-CON</v>
      </c>
      <c r="C86" s="19" t="str">
        <f aca="false">'Lot Register'!B22</f>
        <v>Station integration</v>
      </c>
      <c r="D86" s="19" t="str">
        <f aca="false">'Lot Register'!D22</f>
        <v>MS-ET</v>
      </c>
      <c r="E86" s="19" t="str">
        <f aca="false">'Lot Register'!G22</f>
        <v>ST-ET-CON</v>
      </c>
      <c r="F86" s="9" t="s">
        <v>282</v>
      </c>
      <c r="G86" s="9" t="s">
        <v>569</v>
      </c>
      <c r="H86" s="9" t="s">
        <v>570</v>
      </c>
      <c r="I86" s="11" t="s">
        <v>238</v>
      </c>
      <c r="J86" s="47" t="n">
        <f aca="false">Controls!B25</f>
        <v>0</v>
      </c>
      <c r="K86" s="47" t="str">
        <f aca="false">IF(J86=1,"ACCEPTED","OPEN")</f>
        <v>OPEN</v>
      </c>
    </row>
    <row r="87" customFormat="false" ht="15" hidden="false" customHeight="false" outlineLevel="0" collapsed="false">
      <c r="A87" s="19" t="str">
        <f aca="false">"PKT-"&amp;B87&amp;"-CONFIGURATION"</f>
        <v>PKT-RIG-ET-REC-CONFIGURATION</v>
      </c>
      <c r="B87" s="19" t="str">
        <f aca="false">'Lot Register'!A23</f>
        <v>RIG-ET-REC</v>
      </c>
      <c r="C87" s="19" t="str">
        <f aca="false">'Lot Register'!B23</f>
        <v>Root-native rig</v>
      </c>
      <c r="D87" s="19" t="str">
        <f aca="false">'Lot Register'!D23</f>
        <v>MS-ET</v>
      </c>
      <c r="E87" s="19" t="str">
        <f aca="false">'Lot Register'!G23</f>
        <v>ST-ET-REC</v>
      </c>
      <c r="F87" s="9" t="s">
        <v>558</v>
      </c>
      <c r="G87" s="9" t="s">
        <v>559</v>
      </c>
      <c r="H87" s="9" t="s">
        <v>560</v>
      </c>
      <c r="I87" s="11" t="s">
        <v>238</v>
      </c>
      <c r="J87" s="47" t="n">
        <f aca="false">Controls!B25</f>
        <v>0</v>
      </c>
      <c r="K87" s="47" t="str">
        <f aca="false">IF(J87=1,"ACCEPTED","OPEN")</f>
        <v>OPEN</v>
      </c>
    </row>
    <row r="88" customFormat="false" ht="15" hidden="false" customHeight="false" outlineLevel="0" collapsed="false">
      <c r="A88" s="19" t="str">
        <f aca="false">"PKT-"&amp;B88&amp;"-CONTROL"</f>
        <v>PKT-RIG-ET-REC-CONTROL</v>
      </c>
      <c r="B88" s="19" t="str">
        <f aca="false">'Lot Register'!A23</f>
        <v>RIG-ET-REC</v>
      </c>
      <c r="C88" s="19" t="str">
        <f aca="false">'Lot Register'!B23</f>
        <v>Root-native rig</v>
      </c>
      <c r="D88" s="19" t="str">
        <f aca="false">'Lot Register'!D23</f>
        <v>MS-ET</v>
      </c>
      <c r="E88" s="19" t="str">
        <f aca="false">'Lot Register'!G23</f>
        <v>ST-ET-REC</v>
      </c>
      <c r="F88" s="9" t="s">
        <v>271</v>
      </c>
      <c r="G88" s="9" t="s">
        <v>561</v>
      </c>
      <c r="H88" s="9" t="s">
        <v>562</v>
      </c>
      <c r="I88" s="11" t="s">
        <v>238</v>
      </c>
      <c r="J88" s="47" t="n">
        <f aca="false">Controls!B25</f>
        <v>0</v>
      </c>
      <c r="K88" s="47" t="str">
        <f aca="false">IF(J88=1,"ACCEPTED","OPEN")</f>
        <v>OPEN</v>
      </c>
    </row>
    <row r="89" customFormat="false" ht="15" hidden="false" customHeight="false" outlineLevel="0" collapsed="false">
      <c r="A89" s="19" t="str">
        <f aca="false">"PKT-"&amp;B89&amp;"-METROLOGY"</f>
        <v>PKT-RIG-ET-REC-METROLOGY</v>
      </c>
      <c r="B89" s="19" t="str">
        <f aca="false">'Lot Register'!A23</f>
        <v>RIG-ET-REC</v>
      </c>
      <c r="C89" s="19" t="str">
        <f aca="false">'Lot Register'!B23</f>
        <v>Root-native rig</v>
      </c>
      <c r="D89" s="19" t="str">
        <f aca="false">'Lot Register'!D23</f>
        <v>MS-ET</v>
      </c>
      <c r="E89" s="19" t="str">
        <f aca="false">'Lot Register'!G23</f>
        <v>ST-ET-REC</v>
      </c>
      <c r="F89" s="9" t="s">
        <v>563</v>
      </c>
      <c r="G89" s="9" t="s">
        <v>564</v>
      </c>
      <c r="H89" s="9" t="s">
        <v>565</v>
      </c>
      <c r="I89" s="11" t="s">
        <v>238</v>
      </c>
      <c r="J89" s="47" t="n">
        <f aca="false">Controls!B25</f>
        <v>0</v>
      </c>
      <c r="K89" s="47" t="str">
        <f aca="false">IF(J89=1,"ACCEPTED","OPEN")</f>
        <v>OPEN</v>
      </c>
    </row>
    <row r="90" customFormat="false" ht="15" hidden="false" customHeight="false" outlineLevel="0" collapsed="false">
      <c r="A90" s="19" t="str">
        <f aca="false">"PKT-"&amp;B90&amp;"-SAFETY"</f>
        <v>PKT-RIG-ET-REC-SAFETY</v>
      </c>
      <c r="B90" s="19" t="str">
        <f aca="false">'Lot Register'!A23</f>
        <v>RIG-ET-REC</v>
      </c>
      <c r="C90" s="19" t="str">
        <f aca="false">'Lot Register'!B23</f>
        <v>Root-native rig</v>
      </c>
      <c r="D90" s="19" t="str">
        <f aca="false">'Lot Register'!D23</f>
        <v>MS-ET</v>
      </c>
      <c r="E90" s="19" t="str">
        <f aca="false">'Lot Register'!G23</f>
        <v>ST-ET-REC</v>
      </c>
      <c r="F90" s="9" t="s">
        <v>566</v>
      </c>
      <c r="G90" s="9" t="s">
        <v>567</v>
      </c>
      <c r="H90" s="9" t="s">
        <v>568</v>
      </c>
      <c r="I90" s="11" t="s">
        <v>238</v>
      </c>
      <c r="J90" s="47" t="n">
        <f aca="false">Controls!B25</f>
        <v>0</v>
      </c>
      <c r="K90" s="47" t="str">
        <f aca="false">IF(J90=1,"ACCEPTED","OPEN")</f>
        <v>OPEN</v>
      </c>
    </row>
    <row r="91" customFormat="false" ht="15" hidden="false" customHeight="false" outlineLevel="0" collapsed="false">
      <c r="A91" s="19" t="str">
        <f aca="false">"PKT-"&amp;B91&amp;"-RECONSTRUCTION"</f>
        <v>PKT-RIG-ET-REC-RECONSTRUCTION</v>
      </c>
      <c r="B91" s="19" t="str">
        <f aca="false">'Lot Register'!A23</f>
        <v>RIG-ET-REC</v>
      </c>
      <c r="C91" s="19" t="str">
        <f aca="false">'Lot Register'!B23</f>
        <v>Root-native rig</v>
      </c>
      <c r="D91" s="19" t="str">
        <f aca="false">'Lot Register'!D23</f>
        <v>MS-ET</v>
      </c>
      <c r="E91" s="19" t="str">
        <f aca="false">'Lot Register'!G23</f>
        <v>ST-ET-REC</v>
      </c>
      <c r="F91" s="9" t="s">
        <v>282</v>
      </c>
      <c r="G91" s="9" t="s">
        <v>569</v>
      </c>
      <c r="H91" s="9" t="s">
        <v>570</v>
      </c>
      <c r="I91" s="11" t="s">
        <v>238</v>
      </c>
      <c r="J91" s="47" t="n">
        <f aca="false">Controls!B25</f>
        <v>0</v>
      </c>
      <c r="K91" s="47" t="str">
        <f aca="false">IF(J91=1,"ACCEPTED","OPEN")</f>
        <v>OPEN</v>
      </c>
    </row>
    <row r="92" customFormat="false" ht="15" hidden="false" customHeight="false" outlineLevel="0" collapsed="false">
      <c r="A92" s="19" t="str">
        <f aca="false">"PKT-"&amp;B92&amp;"-CONFIGURATION"</f>
        <v>PKT-MTH-ET-REC-L1-CONFIGURATION</v>
      </c>
      <c r="B92" s="19" t="str">
        <f aca="false">'Lot Register'!A24</f>
        <v>MTH-ET-REC-L1</v>
      </c>
      <c r="C92" s="19" t="str">
        <f aca="false">'Lot Register'!B24</f>
        <v>Method lineage</v>
      </c>
      <c r="D92" s="19" t="str">
        <f aca="false">'Lot Register'!D24</f>
        <v>MS-ET</v>
      </c>
      <c r="E92" s="19" t="str">
        <f aca="false">'Lot Register'!G24</f>
        <v>ST-ET-REC</v>
      </c>
      <c r="F92" s="9" t="s">
        <v>558</v>
      </c>
      <c r="G92" s="9" t="s">
        <v>559</v>
      </c>
      <c r="H92" s="9" t="s">
        <v>560</v>
      </c>
      <c r="I92" s="11" t="s">
        <v>238</v>
      </c>
      <c r="J92" s="47" t="n">
        <f aca="false">Controls!B25</f>
        <v>0</v>
      </c>
      <c r="K92" s="47" t="str">
        <f aca="false">IF(J92=1,"ACCEPTED","OPEN")</f>
        <v>OPEN</v>
      </c>
    </row>
    <row r="93" customFormat="false" ht="15" hidden="false" customHeight="false" outlineLevel="0" collapsed="false">
      <c r="A93" s="19" t="str">
        <f aca="false">"PKT-"&amp;B93&amp;"-CONTROL"</f>
        <v>PKT-MTH-ET-REC-L1-CONTROL</v>
      </c>
      <c r="B93" s="19" t="str">
        <f aca="false">'Lot Register'!A24</f>
        <v>MTH-ET-REC-L1</v>
      </c>
      <c r="C93" s="19" t="str">
        <f aca="false">'Lot Register'!B24</f>
        <v>Method lineage</v>
      </c>
      <c r="D93" s="19" t="str">
        <f aca="false">'Lot Register'!D24</f>
        <v>MS-ET</v>
      </c>
      <c r="E93" s="19" t="str">
        <f aca="false">'Lot Register'!G24</f>
        <v>ST-ET-REC</v>
      </c>
      <c r="F93" s="9" t="s">
        <v>271</v>
      </c>
      <c r="G93" s="9" t="s">
        <v>561</v>
      </c>
      <c r="H93" s="9" t="s">
        <v>562</v>
      </c>
      <c r="I93" s="11" t="s">
        <v>238</v>
      </c>
      <c r="J93" s="47" t="n">
        <f aca="false">Controls!B25</f>
        <v>0</v>
      </c>
      <c r="K93" s="47" t="str">
        <f aca="false">IF(J93=1,"ACCEPTED","OPEN")</f>
        <v>OPEN</v>
      </c>
    </row>
    <row r="94" customFormat="false" ht="15" hidden="false" customHeight="false" outlineLevel="0" collapsed="false">
      <c r="A94" s="19" t="str">
        <f aca="false">"PKT-"&amp;B94&amp;"-METROLOGY"</f>
        <v>PKT-MTH-ET-REC-L1-METROLOGY</v>
      </c>
      <c r="B94" s="19" t="str">
        <f aca="false">'Lot Register'!A24</f>
        <v>MTH-ET-REC-L1</v>
      </c>
      <c r="C94" s="19" t="str">
        <f aca="false">'Lot Register'!B24</f>
        <v>Method lineage</v>
      </c>
      <c r="D94" s="19" t="str">
        <f aca="false">'Lot Register'!D24</f>
        <v>MS-ET</v>
      </c>
      <c r="E94" s="19" t="str">
        <f aca="false">'Lot Register'!G24</f>
        <v>ST-ET-REC</v>
      </c>
      <c r="F94" s="9" t="s">
        <v>563</v>
      </c>
      <c r="G94" s="9" t="s">
        <v>564</v>
      </c>
      <c r="H94" s="9" t="s">
        <v>565</v>
      </c>
      <c r="I94" s="11" t="s">
        <v>238</v>
      </c>
      <c r="J94" s="47" t="n">
        <f aca="false">Controls!B25</f>
        <v>0</v>
      </c>
      <c r="K94" s="47" t="str">
        <f aca="false">IF(J94=1,"ACCEPTED","OPEN")</f>
        <v>OPEN</v>
      </c>
    </row>
    <row r="95" customFormat="false" ht="15" hidden="false" customHeight="false" outlineLevel="0" collapsed="false">
      <c r="A95" s="19" t="str">
        <f aca="false">"PKT-"&amp;B95&amp;"-SAFETY"</f>
        <v>PKT-MTH-ET-REC-L1-SAFETY</v>
      </c>
      <c r="B95" s="19" t="str">
        <f aca="false">'Lot Register'!A24</f>
        <v>MTH-ET-REC-L1</v>
      </c>
      <c r="C95" s="19" t="str">
        <f aca="false">'Lot Register'!B24</f>
        <v>Method lineage</v>
      </c>
      <c r="D95" s="19" t="str">
        <f aca="false">'Lot Register'!D24</f>
        <v>MS-ET</v>
      </c>
      <c r="E95" s="19" t="str">
        <f aca="false">'Lot Register'!G24</f>
        <v>ST-ET-REC</v>
      </c>
      <c r="F95" s="9" t="s">
        <v>566</v>
      </c>
      <c r="G95" s="9" t="s">
        <v>567</v>
      </c>
      <c r="H95" s="9" t="s">
        <v>568</v>
      </c>
      <c r="I95" s="11" t="s">
        <v>238</v>
      </c>
      <c r="J95" s="47" t="n">
        <f aca="false">Controls!B25</f>
        <v>0</v>
      </c>
      <c r="K95" s="47" t="str">
        <f aca="false">IF(J95=1,"ACCEPTED","OPEN")</f>
        <v>OPEN</v>
      </c>
    </row>
    <row r="96" customFormat="false" ht="15" hidden="false" customHeight="false" outlineLevel="0" collapsed="false">
      <c r="A96" s="19" t="str">
        <f aca="false">"PKT-"&amp;B96&amp;"-RECONSTRUCTION"</f>
        <v>PKT-MTH-ET-REC-L1-RECONSTRUCTION</v>
      </c>
      <c r="B96" s="19" t="str">
        <f aca="false">'Lot Register'!A24</f>
        <v>MTH-ET-REC-L1</v>
      </c>
      <c r="C96" s="19" t="str">
        <f aca="false">'Lot Register'!B24</f>
        <v>Method lineage</v>
      </c>
      <c r="D96" s="19" t="str">
        <f aca="false">'Lot Register'!D24</f>
        <v>MS-ET</v>
      </c>
      <c r="E96" s="19" t="str">
        <f aca="false">'Lot Register'!G24</f>
        <v>ST-ET-REC</v>
      </c>
      <c r="F96" s="9" t="s">
        <v>282</v>
      </c>
      <c r="G96" s="9" t="s">
        <v>569</v>
      </c>
      <c r="H96" s="9" t="s">
        <v>570</v>
      </c>
      <c r="I96" s="11" t="s">
        <v>238</v>
      </c>
      <c r="J96" s="47" t="n">
        <f aca="false">Controls!B25</f>
        <v>0</v>
      </c>
      <c r="K96" s="47" t="str">
        <f aca="false">IF(J96=1,"ACCEPTED","OPEN")</f>
        <v>OPEN</v>
      </c>
    </row>
    <row r="97" customFormat="false" ht="15" hidden="false" customHeight="false" outlineLevel="0" collapsed="false">
      <c r="A97" s="19" t="str">
        <f aca="false">"PKT-"&amp;B97&amp;"-CONFIGURATION"</f>
        <v>PKT-MTH-ET-REC-L2-CONFIGURATION</v>
      </c>
      <c r="B97" s="19" t="str">
        <f aca="false">'Lot Register'!A25</f>
        <v>MTH-ET-REC-L2</v>
      </c>
      <c r="C97" s="19" t="str">
        <f aca="false">'Lot Register'!B25</f>
        <v>Method lineage</v>
      </c>
      <c r="D97" s="19" t="str">
        <f aca="false">'Lot Register'!D25</f>
        <v>MS-ET</v>
      </c>
      <c r="E97" s="19" t="str">
        <f aca="false">'Lot Register'!G25</f>
        <v>ST-ET-REC</v>
      </c>
      <c r="F97" s="9" t="s">
        <v>558</v>
      </c>
      <c r="G97" s="9" t="s">
        <v>559</v>
      </c>
      <c r="H97" s="9" t="s">
        <v>560</v>
      </c>
      <c r="I97" s="11" t="s">
        <v>238</v>
      </c>
      <c r="J97" s="47" t="n">
        <f aca="false">Controls!B25</f>
        <v>0</v>
      </c>
      <c r="K97" s="47" t="str">
        <f aca="false">IF(J97=1,"ACCEPTED","OPEN")</f>
        <v>OPEN</v>
      </c>
    </row>
    <row r="98" customFormat="false" ht="15" hidden="false" customHeight="false" outlineLevel="0" collapsed="false">
      <c r="A98" s="19" t="str">
        <f aca="false">"PKT-"&amp;B98&amp;"-CONTROL"</f>
        <v>PKT-MTH-ET-REC-L2-CONTROL</v>
      </c>
      <c r="B98" s="19" t="str">
        <f aca="false">'Lot Register'!A25</f>
        <v>MTH-ET-REC-L2</v>
      </c>
      <c r="C98" s="19" t="str">
        <f aca="false">'Lot Register'!B25</f>
        <v>Method lineage</v>
      </c>
      <c r="D98" s="19" t="str">
        <f aca="false">'Lot Register'!D25</f>
        <v>MS-ET</v>
      </c>
      <c r="E98" s="19" t="str">
        <f aca="false">'Lot Register'!G25</f>
        <v>ST-ET-REC</v>
      </c>
      <c r="F98" s="9" t="s">
        <v>271</v>
      </c>
      <c r="G98" s="9" t="s">
        <v>561</v>
      </c>
      <c r="H98" s="9" t="s">
        <v>562</v>
      </c>
      <c r="I98" s="11" t="s">
        <v>238</v>
      </c>
      <c r="J98" s="47" t="n">
        <f aca="false">Controls!B25</f>
        <v>0</v>
      </c>
      <c r="K98" s="47" t="str">
        <f aca="false">IF(J98=1,"ACCEPTED","OPEN")</f>
        <v>OPEN</v>
      </c>
    </row>
    <row r="99" customFormat="false" ht="15" hidden="false" customHeight="false" outlineLevel="0" collapsed="false">
      <c r="A99" s="19" t="str">
        <f aca="false">"PKT-"&amp;B99&amp;"-METROLOGY"</f>
        <v>PKT-MTH-ET-REC-L2-METROLOGY</v>
      </c>
      <c r="B99" s="19" t="str">
        <f aca="false">'Lot Register'!A25</f>
        <v>MTH-ET-REC-L2</v>
      </c>
      <c r="C99" s="19" t="str">
        <f aca="false">'Lot Register'!B25</f>
        <v>Method lineage</v>
      </c>
      <c r="D99" s="19" t="str">
        <f aca="false">'Lot Register'!D25</f>
        <v>MS-ET</v>
      </c>
      <c r="E99" s="19" t="str">
        <f aca="false">'Lot Register'!G25</f>
        <v>ST-ET-REC</v>
      </c>
      <c r="F99" s="9" t="s">
        <v>563</v>
      </c>
      <c r="G99" s="9" t="s">
        <v>564</v>
      </c>
      <c r="H99" s="9" t="s">
        <v>565</v>
      </c>
      <c r="I99" s="11" t="s">
        <v>238</v>
      </c>
      <c r="J99" s="47" t="n">
        <f aca="false">Controls!B25</f>
        <v>0</v>
      </c>
      <c r="K99" s="47" t="str">
        <f aca="false">IF(J99=1,"ACCEPTED","OPEN")</f>
        <v>OPEN</v>
      </c>
    </row>
    <row r="100" customFormat="false" ht="15" hidden="false" customHeight="false" outlineLevel="0" collapsed="false">
      <c r="A100" s="19" t="str">
        <f aca="false">"PKT-"&amp;B100&amp;"-SAFETY"</f>
        <v>PKT-MTH-ET-REC-L2-SAFETY</v>
      </c>
      <c r="B100" s="19" t="str">
        <f aca="false">'Lot Register'!A25</f>
        <v>MTH-ET-REC-L2</v>
      </c>
      <c r="C100" s="19" t="str">
        <f aca="false">'Lot Register'!B25</f>
        <v>Method lineage</v>
      </c>
      <c r="D100" s="19" t="str">
        <f aca="false">'Lot Register'!D25</f>
        <v>MS-ET</v>
      </c>
      <c r="E100" s="19" t="str">
        <f aca="false">'Lot Register'!G25</f>
        <v>ST-ET-REC</v>
      </c>
      <c r="F100" s="9" t="s">
        <v>566</v>
      </c>
      <c r="G100" s="9" t="s">
        <v>567</v>
      </c>
      <c r="H100" s="9" t="s">
        <v>568</v>
      </c>
      <c r="I100" s="11" t="s">
        <v>238</v>
      </c>
      <c r="J100" s="47" t="n">
        <f aca="false">Controls!B25</f>
        <v>0</v>
      </c>
      <c r="K100" s="47" t="str">
        <f aca="false">IF(J100=1,"ACCEPTED","OPEN")</f>
        <v>OPEN</v>
      </c>
    </row>
    <row r="101" customFormat="false" ht="15" hidden="false" customHeight="false" outlineLevel="0" collapsed="false">
      <c r="A101" s="19" t="str">
        <f aca="false">"PKT-"&amp;B101&amp;"-RECONSTRUCTION"</f>
        <v>PKT-MTH-ET-REC-L2-RECONSTRUCTION</v>
      </c>
      <c r="B101" s="19" t="str">
        <f aca="false">'Lot Register'!A25</f>
        <v>MTH-ET-REC-L2</v>
      </c>
      <c r="C101" s="19" t="str">
        <f aca="false">'Lot Register'!B25</f>
        <v>Method lineage</v>
      </c>
      <c r="D101" s="19" t="str">
        <f aca="false">'Lot Register'!D25</f>
        <v>MS-ET</v>
      </c>
      <c r="E101" s="19" t="str">
        <f aca="false">'Lot Register'!G25</f>
        <v>ST-ET-REC</v>
      </c>
      <c r="F101" s="9" t="s">
        <v>282</v>
      </c>
      <c r="G101" s="9" t="s">
        <v>569</v>
      </c>
      <c r="H101" s="9" t="s">
        <v>570</v>
      </c>
      <c r="I101" s="11" t="s">
        <v>238</v>
      </c>
      <c r="J101" s="47" t="n">
        <f aca="false">Controls!B25</f>
        <v>0</v>
      </c>
      <c r="K101" s="47" t="str">
        <f aca="false">IF(J101=1,"ACCEPTED","OPEN")</f>
        <v>OPEN</v>
      </c>
    </row>
    <row r="102" customFormat="false" ht="15" hidden="false" customHeight="false" outlineLevel="0" collapsed="false">
      <c r="A102" s="19" t="str">
        <f aca="false">"PKT-"&amp;B102&amp;"-CONFIGURATION"</f>
        <v>PKT-REG-ET-REC-CONFIGURATION</v>
      </c>
      <c r="B102" s="19" t="str">
        <f aca="false">'Lot Register'!A26</f>
        <v>REG-ET-REC</v>
      </c>
      <c r="C102" s="19" t="str">
        <f aca="false">'Lot Register'!B26</f>
        <v>Regeneration tool</v>
      </c>
      <c r="D102" s="19" t="str">
        <f aca="false">'Lot Register'!D26</f>
        <v>MS-ET</v>
      </c>
      <c r="E102" s="19" t="str">
        <f aca="false">'Lot Register'!G26</f>
        <v>ST-ET-REC</v>
      </c>
      <c r="F102" s="9" t="s">
        <v>558</v>
      </c>
      <c r="G102" s="9" t="s">
        <v>559</v>
      </c>
      <c r="H102" s="9" t="s">
        <v>560</v>
      </c>
      <c r="I102" s="11" t="s">
        <v>238</v>
      </c>
      <c r="J102" s="47" t="n">
        <f aca="false">Controls!B25</f>
        <v>0</v>
      </c>
      <c r="K102" s="47" t="str">
        <f aca="false">IF(J102=1,"ACCEPTED","OPEN")</f>
        <v>OPEN</v>
      </c>
    </row>
    <row r="103" customFormat="false" ht="15" hidden="false" customHeight="false" outlineLevel="0" collapsed="false">
      <c r="A103" s="19" t="str">
        <f aca="false">"PKT-"&amp;B103&amp;"-CONTROL"</f>
        <v>PKT-REG-ET-REC-CONTROL</v>
      </c>
      <c r="B103" s="19" t="str">
        <f aca="false">'Lot Register'!A26</f>
        <v>REG-ET-REC</v>
      </c>
      <c r="C103" s="19" t="str">
        <f aca="false">'Lot Register'!B26</f>
        <v>Regeneration tool</v>
      </c>
      <c r="D103" s="19" t="str">
        <f aca="false">'Lot Register'!D26</f>
        <v>MS-ET</v>
      </c>
      <c r="E103" s="19" t="str">
        <f aca="false">'Lot Register'!G26</f>
        <v>ST-ET-REC</v>
      </c>
      <c r="F103" s="9" t="s">
        <v>271</v>
      </c>
      <c r="G103" s="9" t="s">
        <v>561</v>
      </c>
      <c r="H103" s="9" t="s">
        <v>562</v>
      </c>
      <c r="I103" s="11" t="s">
        <v>238</v>
      </c>
      <c r="J103" s="47" t="n">
        <f aca="false">Controls!B25</f>
        <v>0</v>
      </c>
      <c r="K103" s="47" t="str">
        <f aca="false">IF(J103=1,"ACCEPTED","OPEN")</f>
        <v>OPEN</v>
      </c>
    </row>
    <row r="104" customFormat="false" ht="15" hidden="false" customHeight="false" outlineLevel="0" collapsed="false">
      <c r="A104" s="19" t="str">
        <f aca="false">"PKT-"&amp;B104&amp;"-METROLOGY"</f>
        <v>PKT-REG-ET-REC-METROLOGY</v>
      </c>
      <c r="B104" s="19" t="str">
        <f aca="false">'Lot Register'!A26</f>
        <v>REG-ET-REC</v>
      </c>
      <c r="C104" s="19" t="str">
        <f aca="false">'Lot Register'!B26</f>
        <v>Regeneration tool</v>
      </c>
      <c r="D104" s="19" t="str">
        <f aca="false">'Lot Register'!D26</f>
        <v>MS-ET</v>
      </c>
      <c r="E104" s="19" t="str">
        <f aca="false">'Lot Register'!G26</f>
        <v>ST-ET-REC</v>
      </c>
      <c r="F104" s="9" t="s">
        <v>563</v>
      </c>
      <c r="G104" s="9" t="s">
        <v>564</v>
      </c>
      <c r="H104" s="9" t="s">
        <v>565</v>
      </c>
      <c r="I104" s="11" t="s">
        <v>238</v>
      </c>
      <c r="J104" s="47" t="n">
        <f aca="false">Controls!B25</f>
        <v>0</v>
      </c>
      <c r="K104" s="47" t="str">
        <f aca="false">IF(J104=1,"ACCEPTED","OPEN")</f>
        <v>OPEN</v>
      </c>
    </row>
    <row r="105" customFormat="false" ht="15" hidden="false" customHeight="false" outlineLevel="0" collapsed="false">
      <c r="A105" s="19" t="str">
        <f aca="false">"PKT-"&amp;B105&amp;"-SAFETY"</f>
        <v>PKT-REG-ET-REC-SAFETY</v>
      </c>
      <c r="B105" s="19" t="str">
        <f aca="false">'Lot Register'!A26</f>
        <v>REG-ET-REC</v>
      </c>
      <c r="C105" s="19" t="str">
        <f aca="false">'Lot Register'!B26</f>
        <v>Regeneration tool</v>
      </c>
      <c r="D105" s="19" t="str">
        <f aca="false">'Lot Register'!D26</f>
        <v>MS-ET</v>
      </c>
      <c r="E105" s="19" t="str">
        <f aca="false">'Lot Register'!G26</f>
        <v>ST-ET-REC</v>
      </c>
      <c r="F105" s="9" t="s">
        <v>566</v>
      </c>
      <c r="G105" s="9" t="s">
        <v>567</v>
      </c>
      <c r="H105" s="9" t="s">
        <v>568</v>
      </c>
      <c r="I105" s="11" t="s">
        <v>238</v>
      </c>
      <c r="J105" s="47" t="n">
        <f aca="false">Controls!B25</f>
        <v>0</v>
      </c>
      <c r="K105" s="47" t="str">
        <f aca="false">IF(J105=1,"ACCEPTED","OPEN")</f>
        <v>OPEN</v>
      </c>
    </row>
    <row r="106" customFormat="false" ht="15" hidden="false" customHeight="false" outlineLevel="0" collapsed="false">
      <c r="A106" s="19" t="str">
        <f aca="false">"PKT-"&amp;B106&amp;"-RECONSTRUCTION"</f>
        <v>PKT-REG-ET-REC-RECONSTRUCTION</v>
      </c>
      <c r="B106" s="19" t="str">
        <f aca="false">'Lot Register'!A26</f>
        <v>REG-ET-REC</v>
      </c>
      <c r="C106" s="19" t="str">
        <f aca="false">'Lot Register'!B26</f>
        <v>Regeneration tool</v>
      </c>
      <c r="D106" s="19" t="str">
        <f aca="false">'Lot Register'!D26</f>
        <v>MS-ET</v>
      </c>
      <c r="E106" s="19" t="str">
        <f aca="false">'Lot Register'!G26</f>
        <v>ST-ET-REC</v>
      </c>
      <c r="F106" s="9" t="s">
        <v>282</v>
      </c>
      <c r="G106" s="9" t="s">
        <v>569</v>
      </c>
      <c r="H106" s="9" t="s">
        <v>570</v>
      </c>
      <c r="I106" s="11" t="s">
        <v>238</v>
      </c>
      <c r="J106" s="47" t="n">
        <f aca="false">Controls!B25</f>
        <v>0</v>
      </c>
      <c r="K106" s="47" t="str">
        <f aca="false">IF(J106=1,"ACCEPTED","OPEN")</f>
        <v>OPEN</v>
      </c>
    </row>
    <row r="107" customFormat="false" ht="15" hidden="false" customHeight="false" outlineLevel="0" collapsed="false">
      <c r="A107" s="19" t="str">
        <f aca="false">"PKT-"&amp;B107&amp;"-CONFIGURATION"</f>
        <v>PKT-INT-ET-REC-CONFIGURATION</v>
      </c>
      <c r="B107" s="19" t="str">
        <f aca="false">'Lot Register'!A27</f>
        <v>INT-ET-REC</v>
      </c>
      <c r="C107" s="19" t="str">
        <f aca="false">'Lot Register'!B27</f>
        <v>Station integration</v>
      </c>
      <c r="D107" s="19" t="str">
        <f aca="false">'Lot Register'!D27</f>
        <v>MS-ET</v>
      </c>
      <c r="E107" s="19" t="str">
        <f aca="false">'Lot Register'!G27</f>
        <v>ST-ET-REC</v>
      </c>
      <c r="F107" s="9" t="s">
        <v>558</v>
      </c>
      <c r="G107" s="9" t="s">
        <v>559</v>
      </c>
      <c r="H107" s="9" t="s">
        <v>560</v>
      </c>
      <c r="I107" s="11" t="s">
        <v>238</v>
      </c>
      <c r="J107" s="47" t="n">
        <f aca="false">Controls!B25</f>
        <v>0</v>
      </c>
      <c r="K107" s="47" t="str">
        <f aca="false">IF(J107=1,"ACCEPTED","OPEN")</f>
        <v>OPEN</v>
      </c>
    </row>
    <row r="108" customFormat="false" ht="15" hidden="false" customHeight="false" outlineLevel="0" collapsed="false">
      <c r="A108" s="19" t="str">
        <f aca="false">"PKT-"&amp;B108&amp;"-CONTROL"</f>
        <v>PKT-INT-ET-REC-CONTROL</v>
      </c>
      <c r="B108" s="19" t="str">
        <f aca="false">'Lot Register'!A27</f>
        <v>INT-ET-REC</v>
      </c>
      <c r="C108" s="19" t="str">
        <f aca="false">'Lot Register'!B27</f>
        <v>Station integration</v>
      </c>
      <c r="D108" s="19" t="str">
        <f aca="false">'Lot Register'!D27</f>
        <v>MS-ET</v>
      </c>
      <c r="E108" s="19" t="str">
        <f aca="false">'Lot Register'!G27</f>
        <v>ST-ET-REC</v>
      </c>
      <c r="F108" s="9" t="s">
        <v>271</v>
      </c>
      <c r="G108" s="9" t="s">
        <v>561</v>
      </c>
      <c r="H108" s="9" t="s">
        <v>562</v>
      </c>
      <c r="I108" s="11" t="s">
        <v>238</v>
      </c>
      <c r="J108" s="47" t="n">
        <f aca="false">Controls!B25</f>
        <v>0</v>
      </c>
      <c r="K108" s="47" t="str">
        <f aca="false">IF(J108=1,"ACCEPTED","OPEN")</f>
        <v>OPEN</v>
      </c>
    </row>
    <row r="109" customFormat="false" ht="15" hidden="false" customHeight="false" outlineLevel="0" collapsed="false">
      <c r="A109" s="19" t="str">
        <f aca="false">"PKT-"&amp;B109&amp;"-METROLOGY"</f>
        <v>PKT-INT-ET-REC-METROLOGY</v>
      </c>
      <c r="B109" s="19" t="str">
        <f aca="false">'Lot Register'!A27</f>
        <v>INT-ET-REC</v>
      </c>
      <c r="C109" s="19" t="str">
        <f aca="false">'Lot Register'!B27</f>
        <v>Station integration</v>
      </c>
      <c r="D109" s="19" t="str">
        <f aca="false">'Lot Register'!D27</f>
        <v>MS-ET</v>
      </c>
      <c r="E109" s="19" t="str">
        <f aca="false">'Lot Register'!G27</f>
        <v>ST-ET-REC</v>
      </c>
      <c r="F109" s="9" t="s">
        <v>563</v>
      </c>
      <c r="G109" s="9" t="s">
        <v>564</v>
      </c>
      <c r="H109" s="9" t="s">
        <v>565</v>
      </c>
      <c r="I109" s="11" t="s">
        <v>238</v>
      </c>
      <c r="J109" s="47" t="n">
        <f aca="false">Controls!B25</f>
        <v>0</v>
      </c>
      <c r="K109" s="47" t="str">
        <f aca="false">IF(J109=1,"ACCEPTED","OPEN")</f>
        <v>OPEN</v>
      </c>
    </row>
    <row r="110" customFormat="false" ht="15" hidden="false" customHeight="false" outlineLevel="0" collapsed="false">
      <c r="A110" s="19" t="str">
        <f aca="false">"PKT-"&amp;B110&amp;"-SAFETY"</f>
        <v>PKT-INT-ET-REC-SAFETY</v>
      </c>
      <c r="B110" s="19" t="str">
        <f aca="false">'Lot Register'!A27</f>
        <v>INT-ET-REC</v>
      </c>
      <c r="C110" s="19" t="str">
        <f aca="false">'Lot Register'!B27</f>
        <v>Station integration</v>
      </c>
      <c r="D110" s="19" t="str">
        <f aca="false">'Lot Register'!D27</f>
        <v>MS-ET</v>
      </c>
      <c r="E110" s="19" t="str">
        <f aca="false">'Lot Register'!G27</f>
        <v>ST-ET-REC</v>
      </c>
      <c r="F110" s="9" t="s">
        <v>566</v>
      </c>
      <c r="G110" s="9" t="s">
        <v>567</v>
      </c>
      <c r="H110" s="9" t="s">
        <v>568</v>
      </c>
      <c r="I110" s="11" t="s">
        <v>238</v>
      </c>
      <c r="J110" s="47" t="n">
        <f aca="false">Controls!B25</f>
        <v>0</v>
      </c>
      <c r="K110" s="47" t="str">
        <f aca="false">IF(J110=1,"ACCEPTED","OPEN")</f>
        <v>OPEN</v>
      </c>
    </row>
    <row r="111" customFormat="false" ht="15" hidden="false" customHeight="false" outlineLevel="0" collapsed="false">
      <c r="A111" s="19" t="str">
        <f aca="false">"PKT-"&amp;B111&amp;"-RECONSTRUCTION"</f>
        <v>PKT-INT-ET-REC-RECONSTRUCTION</v>
      </c>
      <c r="B111" s="19" t="str">
        <f aca="false">'Lot Register'!A27</f>
        <v>INT-ET-REC</v>
      </c>
      <c r="C111" s="19" t="str">
        <f aca="false">'Lot Register'!B27</f>
        <v>Station integration</v>
      </c>
      <c r="D111" s="19" t="str">
        <f aca="false">'Lot Register'!D27</f>
        <v>MS-ET</v>
      </c>
      <c r="E111" s="19" t="str">
        <f aca="false">'Lot Register'!G27</f>
        <v>ST-ET-REC</v>
      </c>
      <c r="F111" s="9" t="s">
        <v>282</v>
      </c>
      <c r="G111" s="9" t="s">
        <v>569</v>
      </c>
      <c r="H111" s="9" t="s">
        <v>570</v>
      </c>
      <c r="I111" s="11" t="s">
        <v>238</v>
      </c>
      <c r="J111" s="47" t="n">
        <f aca="false">Controls!B25</f>
        <v>0</v>
      </c>
      <c r="K111" s="47" t="str">
        <f aca="false">IF(J111=1,"ACCEPTED","OPEN")</f>
        <v>OPEN</v>
      </c>
    </row>
    <row r="112" customFormat="false" ht="15" hidden="false" customHeight="false" outlineLevel="0" collapsed="false">
      <c r="A112" s="19" t="str">
        <f aca="false">"PKT-"&amp;B112&amp;"-CONFIGURATION"</f>
        <v>PKT-RIG-CT-CHA-CONFIGURATION</v>
      </c>
      <c r="B112" s="19" t="str">
        <f aca="false">'Lot Register'!A28</f>
        <v>RIG-CT-CHA</v>
      </c>
      <c r="C112" s="19" t="str">
        <f aca="false">'Lot Register'!B28</f>
        <v>Root-native rig</v>
      </c>
      <c r="D112" s="19" t="str">
        <f aca="false">'Lot Register'!D28</f>
        <v>MS-CT</v>
      </c>
      <c r="E112" s="19" t="str">
        <f aca="false">'Lot Register'!G28</f>
        <v>ST-CT-CHA</v>
      </c>
      <c r="F112" s="9" t="s">
        <v>558</v>
      </c>
      <c r="G112" s="9" t="s">
        <v>559</v>
      </c>
      <c r="H112" s="9" t="s">
        <v>560</v>
      </c>
      <c r="I112" s="11" t="s">
        <v>238</v>
      </c>
      <c r="J112" s="47" t="n">
        <f aca="false">Controls!B25</f>
        <v>0</v>
      </c>
      <c r="K112" s="47" t="str">
        <f aca="false">IF(J112=1,"ACCEPTED","OPEN")</f>
        <v>OPEN</v>
      </c>
    </row>
    <row r="113" customFormat="false" ht="15" hidden="false" customHeight="false" outlineLevel="0" collapsed="false">
      <c r="A113" s="19" t="str">
        <f aca="false">"PKT-"&amp;B113&amp;"-CONTROL"</f>
        <v>PKT-RIG-CT-CHA-CONTROL</v>
      </c>
      <c r="B113" s="19" t="str">
        <f aca="false">'Lot Register'!A28</f>
        <v>RIG-CT-CHA</v>
      </c>
      <c r="C113" s="19" t="str">
        <f aca="false">'Lot Register'!B28</f>
        <v>Root-native rig</v>
      </c>
      <c r="D113" s="19" t="str">
        <f aca="false">'Lot Register'!D28</f>
        <v>MS-CT</v>
      </c>
      <c r="E113" s="19" t="str">
        <f aca="false">'Lot Register'!G28</f>
        <v>ST-CT-CHA</v>
      </c>
      <c r="F113" s="9" t="s">
        <v>271</v>
      </c>
      <c r="G113" s="9" t="s">
        <v>561</v>
      </c>
      <c r="H113" s="9" t="s">
        <v>562</v>
      </c>
      <c r="I113" s="11" t="s">
        <v>238</v>
      </c>
      <c r="J113" s="47" t="n">
        <f aca="false">Controls!B25</f>
        <v>0</v>
      </c>
      <c r="K113" s="47" t="str">
        <f aca="false">IF(J113=1,"ACCEPTED","OPEN")</f>
        <v>OPEN</v>
      </c>
    </row>
    <row r="114" customFormat="false" ht="15" hidden="false" customHeight="false" outlineLevel="0" collapsed="false">
      <c r="A114" s="19" t="str">
        <f aca="false">"PKT-"&amp;B114&amp;"-METROLOGY"</f>
        <v>PKT-RIG-CT-CHA-METROLOGY</v>
      </c>
      <c r="B114" s="19" t="str">
        <f aca="false">'Lot Register'!A28</f>
        <v>RIG-CT-CHA</v>
      </c>
      <c r="C114" s="19" t="str">
        <f aca="false">'Lot Register'!B28</f>
        <v>Root-native rig</v>
      </c>
      <c r="D114" s="19" t="str">
        <f aca="false">'Lot Register'!D28</f>
        <v>MS-CT</v>
      </c>
      <c r="E114" s="19" t="str">
        <f aca="false">'Lot Register'!G28</f>
        <v>ST-CT-CHA</v>
      </c>
      <c r="F114" s="9" t="s">
        <v>563</v>
      </c>
      <c r="G114" s="9" t="s">
        <v>564</v>
      </c>
      <c r="H114" s="9" t="s">
        <v>565</v>
      </c>
      <c r="I114" s="11" t="s">
        <v>238</v>
      </c>
      <c r="J114" s="47" t="n">
        <f aca="false">Controls!B25</f>
        <v>0</v>
      </c>
      <c r="K114" s="47" t="str">
        <f aca="false">IF(J114=1,"ACCEPTED","OPEN")</f>
        <v>OPEN</v>
      </c>
    </row>
    <row r="115" customFormat="false" ht="15" hidden="false" customHeight="false" outlineLevel="0" collapsed="false">
      <c r="A115" s="19" t="str">
        <f aca="false">"PKT-"&amp;B115&amp;"-SAFETY"</f>
        <v>PKT-RIG-CT-CHA-SAFETY</v>
      </c>
      <c r="B115" s="19" t="str">
        <f aca="false">'Lot Register'!A28</f>
        <v>RIG-CT-CHA</v>
      </c>
      <c r="C115" s="19" t="str">
        <f aca="false">'Lot Register'!B28</f>
        <v>Root-native rig</v>
      </c>
      <c r="D115" s="19" t="str">
        <f aca="false">'Lot Register'!D28</f>
        <v>MS-CT</v>
      </c>
      <c r="E115" s="19" t="str">
        <f aca="false">'Lot Register'!G28</f>
        <v>ST-CT-CHA</v>
      </c>
      <c r="F115" s="9" t="s">
        <v>566</v>
      </c>
      <c r="G115" s="9" t="s">
        <v>567</v>
      </c>
      <c r="H115" s="9" t="s">
        <v>568</v>
      </c>
      <c r="I115" s="11" t="s">
        <v>238</v>
      </c>
      <c r="J115" s="47" t="n">
        <f aca="false">Controls!B25</f>
        <v>0</v>
      </c>
      <c r="K115" s="47" t="str">
        <f aca="false">IF(J115=1,"ACCEPTED","OPEN")</f>
        <v>OPEN</v>
      </c>
    </row>
    <row r="116" customFormat="false" ht="15" hidden="false" customHeight="false" outlineLevel="0" collapsed="false">
      <c r="A116" s="19" t="str">
        <f aca="false">"PKT-"&amp;B116&amp;"-RECONSTRUCTION"</f>
        <v>PKT-RIG-CT-CHA-RECONSTRUCTION</v>
      </c>
      <c r="B116" s="19" t="str">
        <f aca="false">'Lot Register'!A28</f>
        <v>RIG-CT-CHA</v>
      </c>
      <c r="C116" s="19" t="str">
        <f aca="false">'Lot Register'!B28</f>
        <v>Root-native rig</v>
      </c>
      <c r="D116" s="19" t="str">
        <f aca="false">'Lot Register'!D28</f>
        <v>MS-CT</v>
      </c>
      <c r="E116" s="19" t="str">
        <f aca="false">'Lot Register'!G28</f>
        <v>ST-CT-CHA</v>
      </c>
      <c r="F116" s="9" t="s">
        <v>282</v>
      </c>
      <c r="G116" s="9" t="s">
        <v>569</v>
      </c>
      <c r="H116" s="9" t="s">
        <v>570</v>
      </c>
      <c r="I116" s="11" t="s">
        <v>238</v>
      </c>
      <c r="J116" s="47" t="n">
        <f aca="false">Controls!B25</f>
        <v>0</v>
      </c>
      <c r="K116" s="47" t="str">
        <f aca="false">IF(J116=1,"ACCEPTED","OPEN")</f>
        <v>OPEN</v>
      </c>
    </row>
    <row r="117" customFormat="false" ht="15" hidden="false" customHeight="false" outlineLevel="0" collapsed="false">
      <c r="A117" s="19" t="str">
        <f aca="false">"PKT-"&amp;B117&amp;"-CONFIGURATION"</f>
        <v>PKT-MTH-CT-CHA-L1-CONFIGURATION</v>
      </c>
      <c r="B117" s="19" t="str">
        <f aca="false">'Lot Register'!A29</f>
        <v>MTH-CT-CHA-L1</v>
      </c>
      <c r="C117" s="19" t="str">
        <f aca="false">'Lot Register'!B29</f>
        <v>Method lineage</v>
      </c>
      <c r="D117" s="19" t="str">
        <f aca="false">'Lot Register'!D29</f>
        <v>MS-CT</v>
      </c>
      <c r="E117" s="19" t="str">
        <f aca="false">'Lot Register'!G29</f>
        <v>ST-CT-CHA</v>
      </c>
      <c r="F117" s="9" t="s">
        <v>558</v>
      </c>
      <c r="G117" s="9" t="s">
        <v>559</v>
      </c>
      <c r="H117" s="9" t="s">
        <v>560</v>
      </c>
      <c r="I117" s="11" t="s">
        <v>238</v>
      </c>
      <c r="J117" s="47" t="n">
        <f aca="false">Controls!B25</f>
        <v>0</v>
      </c>
      <c r="K117" s="47" t="str">
        <f aca="false">IF(J117=1,"ACCEPTED","OPEN")</f>
        <v>OPEN</v>
      </c>
    </row>
    <row r="118" customFormat="false" ht="15" hidden="false" customHeight="false" outlineLevel="0" collapsed="false">
      <c r="A118" s="19" t="str">
        <f aca="false">"PKT-"&amp;B118&amp;"-CONTROL"</f>
        <v>PKT-MTH-CT-CHA-L1-CONTROL</v>
      </c>
      <c r="B118" s="19" t="str">
        <f aca="false">'Lot Register'!A29</f>
        <v>MTH-CT-CHA-L1</v>
      </c>
      <c r="C118" s="19" t="str">
        <f aca="false">'Lot Register'!B29</f>
        <v>Method lineage</v>
      </c>
      <c r="D118" s="19" t="str">
        <f aca="false">'Lot Register'!D29</f>
        <v>MS-CT</v>
      </c>
      <c r="E118" s="19" t="str">
        <f aca="false">'Lot Register'!G29</f>
        <v>ST-CT-CHA</v>
      </c>
      <c r="F118" s="9" t="s">
        <v>271</v>
      </c>
      <c r="G118" s="9" t="s">
        <v>561</v>
      </c>
      <c r="H118" s="9" t="s">
        <v>562</v>
      </c>
      <c r="I118" s="11" t="s">
        <v>238</v>
      </c>
      <c r="J118" s="47" t="n">
        <f aca="false">Controls!B25</f>
        <v>0</v>
      </c>
      <c r="K118" s="47" t="str">
        <f aca="false">IF(J118=1,"ACCEPTED","OPEN")</f>
        <v>OPEN</v>
      </c>
    </row>
    <row r="119" customFormat="false" ht="15" hidden="false" customHeight="false" outlineLevel="0" collapsed="false">
      <c r="A119" s="19" t="str">
        <f aca="false">"PKT-"&amp;B119&amp;"-METROLOGY"</f>
        <v>PKT-MTH-CT-CHA-L1-METROLOGY</v>
      </c>
      <c r="B119" s="19" t="str">
        <f aca="false">'Lot Register'!A29</f>
        <v>MTH-CT-CHA-L1</v>
      </c>
      <c r="C119" s="19" t="str">
        <f aca="false">'Lot Register'!B29</f>
        <v>Method lineage</v>
      </c>
      <c r="D119" s="19" t="str">
        <f aca="false">'Lot Register'!D29</f>
        <v>MS-CT</v>
      </c>
      <c r="E119" s="19" t="str">
        <f aca="false">'Lot Register'!G29</f>
        <v>ST-CT-CHA</v>
      </c>
      <c r="F119" s="9" t="s">
        <v>563</v>
      </c>
      <c r="G119" s="9" t="s">
        <v>564</v>
      </c>
      <c r="H119" s="9" t="s">
        <v>565</v>
      </c>
      <c r="I119" s="11" t="s">
        <v>238</v>
      </c>
      <c r="J119" s="47" t="n">
        <f aca="false">Controls!B25</f>
        <v>0</v>
      </c>
      <c r="K119" s="47" t="str">
        <f aca="false">IF(J119=1,"ACCEPTED","OPEN")</f>
        <v>OPEN</v>
      </c>
    </row>
    <row r="120" customFormat="false" ht="15" hidden="false" customHeight="false" outlineLevel="0" collapsed="false">
      <c r="A120" s="19" t="str">
        <f aca="false">"PKT-"&amp;B120&amp;"-SAFETY"</f>
        <v>PKT-MTH-CT-CHA-L1-SAFETY</v>
      </c>
      <c r="B120" s="19" t="str">
        <f aca="false">'Lot Register'!A29</f>
        <v>MTH-CT-CHA-L1</v>
      </c>
      <c r="C120" s="19" t="str">
        <f aca="false">'Lot Register'!B29</f>
        <v>Method lineage</v>
      </c>
      <c r="D120" s="19" t="str">
        <f aca="false">'Lot Register'!D29</f>
        <v>MS-CT</v>
      </c>
      <c r="E120" s="19" t="str">
        <f aca="false">'Lot Register'!G29</f>
        <v>ST-CT-CHA</v>
      </c>
      <c r="F120" s="9" t="s">
        <v>566</v>
      </c>
      <c r="G120" s="9" t="s">
        <v>567</v>
      </c>
      <c r="H120" s="9" t="s">
        <v>568</v>
      </c>
      <c r="I120" s="11" t="s">
        <v>238</v>
      </c>
      <c r="J120" s="47" t="n">
        <f aca="false">Controls!B25</f>
        <v>0</v>
      </c>
      <c r="K120" s="47" t="str">
        <f aca="false">IF(J120=1,"ACCEPTED","OPEN")</f>
        <v>OPEN</v>
      </c>
    </row>
    <row r="121" customFormat="false" ht="15" hidden="false" customHeight="false" outlineLevel="0" collapsed="false">
      <c r="A121" s="19" t="str">
        <f aca="false">"PKT-"&amp;B121&amp;"-RECONSTRUCTION"</f>
        <v>PKT-MTH-CT-CHA-L1-RECONSTRUCTION</v>
      </c>
      <c r="B121" s="19" t="str">
        <f aca="false">'Lot Register'!A29</f>
        <v>MTH-CT-CHA-L1</v>
      </c>
      <c r="C121" s="19" t="str">
        <f aca="false">'Lot Register'!B29</f>
        <v>Method lineage</v>
      </c>
      <c r="D121" s="19" t="str">
        <f aca="false">'Lot Register'!D29</f>
        <v>MS-CT</v>
      </c>
      <c r="E121" s="19" t="str">
        <f aca="false">'Lot Register'!G29</f>
        <v>ST-CT-CHA</v>
      </c>
      <c r="F121" s="9" t="s">
        <v>282</v>
      </c>
      <c r="G121" s="9" t="s">
        <v>569</v>
      </c>
      <c r="H121" s="9" t="s">
        <v>570</v>
      </c>
      <c r="I121" s="11" t="s">
        <v>238</v>
      </c>
      <c r="J121" s="47" t="n">
        <f aca="false">Controls!B25</f>
        <v>0</v>
      </c>
      <c r="K121" s="47" t="str">
        <f aca="false">IF(J121=1,"ACCEPTED","OPEN")</f>
        <v>OPEN</v>
      </c>
    </row>
    <row r="122" customFormat="false" ht="15" hidden="false" customHeight="false" outlineLevel="0" collapsed="false">
      <c r="A122" s="19" t="str">
        <f aca="false">"PKT-"&amp;B122&amp;"-CONFIGURATION"</f>
        <v>PKT-MTH-CT-CHA-L2-CONFIGURATION</v>
      </c>
      <c r="B122" s="19" t="str">
        <f aca="false">'Lot Register'!A30</f>
        <v>MTH-CT-CHA-L2</v>
      </c>
      <c r="C122" s="19" t="str">
        <f aca="false">'Lot Register'!B30</f>
        <v>Method lineage</v>
      </c>
      <c r="D122" s="19" t="str">
        <f aca="false">'Lot Register'!D30</f>
        <v>MS-CT</v>
      </c>
      <c r="E122" s="19" t="str">
        <f aca="false">'Lot Register'!G30</f>
        <v>ST-CT-CHA</v>
      </c>
      <c r="F122" s="9" t="s">
        <v>558</v>
      </c>
      <c r="G122" s="9" t="s">
        <v>559</v>
      </c>
      <c r="H122" s="9" t="s">
        <v>560</v>
      </c>
      <c r="I122" s="11" t="s">
        <v>238</v>
      </c>
      <c r="J122" s="47" t="n">
        <f aca="false">Controls!B25</f>
        <v>0</v>
      </c>
      <c r="K122" s="47" t="str">
        <f aca="false">IF(J122=1,"ACCEPTED","OPEN")</f>
        <v>OPEN</v>
      </c>
    </row>
    <row r="123" customFormat="false" ht="15" hidden="false" customHeight="false" outlineLevel="0" collapsed="false">
      <c r="A123" s="19" t="str">
        <f aca="false">"PKT-"&amp;B123&amp;"-CONTROL"</f>
        <v>PKT-MTH-CT-CHA-L2-CONTROL</v>
      </c>
      <c r="B123" s="19" t="str">
        <f aca="false">'Lot Register'!A30</f>
        <v>MTH-CT-CHA-L2</v>
      </c>
      <c r="C123" s="19" t="str">
        <f aca="false">'Lot Register'!B30</f>
        <v>Method lineage</v>
      </c>
      <c r="D123" s="19" t="str">
        <f aca="false">'Lot Register'!D30</f>
        <v>MS-CT</v>
      </c>
      <c r="E123" s="19" t="str">
        <f aca="false">'Lot Register'!G30</f>
        <v>ST-CT-CHA</v>
      </c>
      <c r="F123" s="9" t="s">
        <v>271</v>
      </c>
      <c r="G123" s="9" t="s">
        <v>561</v>
      </c>
      <c r="H123" s="9" t="s">
        <v>562</v>
      </c>
      <c r="I123" s="11" t="s">
        <v>238</v>
      </c>
      <c r="J123" s="47" t="n">
        <f aca="false">Controls!B25</f>
        <v>0</v>
      </c>
      <c r="K123" s="47" t="str">
        <f aca="false">IF(J123=1,"ACCEPTED","OPEN")</f>
        <v>OPEN</v>
      </c>
    </row>
    <row r="124" customFormat="false" ht="15" hidden="false" customHeight="false" outlineLevel="0" collapsed="false">
      <c r="A124" s="19" t="str">
        <f aca="false">"PKT-"&amp;B124&amp;"-METROLOGY"</f>
        <v>PKT-MTH-CT-CHA-L2-METROLOGY</v>
      </c>
      <c r="B124" s="19" t="str">
        <f aca="false">'Lot Register'!A30</f>
        <v>MTH-CT-CHA-L2</v>
      </c>
      <c r="C124" s="19" t="str">
        <f aca="false">'Lot Register'!B30</f>
        <v>Method lineage</v>
      </c>
      <c r="D124" s="19" t="str">
        <f aca="false">'Lot Register'!D30</f>
        <v>MS-CT</v>
      </c>
      <c r="E124" s="19" t="str">
        <f aca="false">'Lot Register'!G30</f>
        <v>ST-CT-CHA</v>
      </c>
      <c r="F124" s="9" t="s">
        <v>563</v>
      </c>
      <c r="G124" s="9" t="s">
        <v>564</v>
      </c>
      <c r="H124" s="9" t="s">
        <v>565</v>
      </c>
      <c r="I124" s="11" t="s">
        <v>238</v>
      </c>
      <c r="J124" s="47" t="n">
        <f aca="false">Controls!B25</f>
        <v>0</v>
      </c>
      <c r="K124" s="47" t="str">
        <f aca="false">IF(J124=1,"ACCEPTED","OPEN")</f>
        <v>OPEN</v>
      </c>
    </row>
    <row r="125" customFormat="false" ht="15" hidden="false" customHeight="false" outlineLevel="0" collapsed="false">
      <c r="A125" s="19" t="str">
        <f aca="false">"PKT-"&amp;B125&amp;"-SAFETY"</f>
        <v>PKT-MTH-CT-CHA-L2-SAFETY</v>
      </c>
      <c r="B125" s="19" t="str">
        <f aca="false">'Lot Register'!A30</f>
        <v>MTH-CT-CHA-L2</v>
      </c>
      <c r="C125" s="19" t="str">
        <f aca="false">'Lot Register'!B30</f>
        <v>Method lineage</v>
      </c>
      <c r="D125" s="19" t="str">
        <f aca="false">'Lot Register'!D30</f>
        <v>MS-CT</v>
      </c>
      <c r="E125" s="19" t="str">
        <f aca="false">'Lot Register'!G30</f>
        <v>ST-CT-CHA</v>
      </c>
      <c r="F125" s="9" t="s">
        <v>566</v>
      </c>
      <c r="G125" s="9" t="s">
        <v>567</v>
      </c>
      <c r="H125" s="9" t="s">
        <v>568</v>
      </c>
      <c r="I125" s="11" t="s">
        <v>238</v>
      </c>
      <c r="J125" s="47" t="n">
        <f aca="false">Controls!B25</f>
        <v>0</v>
      </c>
      <c r="K125" s="47" t="str">
        <f aca="false">IF(J125=1,"ACCEPTED","OPEN")</f>
        <v>OPEN</v>
      </c>
    </row>
    <row r="126" customFormat="false" ht="15" hidden="false" customHeight="false" outlineLevel="0" collapsed="false">
      <c r="A126" s="19" t="str">
        <f aca="false">"PKT-"&amp;B126&amp;"-RECONSTRUCTION"</f>
        <v>PKT-MTH-CT-CHA-L2-RECONSTRUCTION</v>
      </c>
      <c r="B126" s="19" t="str">
        <f aca="false">'Lot Register'!A30</f>
        <v>MTH-CT-CHA-L2</v>
      </c>
      <c r="C126" s="19" t="str">
        <f aca="false">'Lot Register'!B30</f>
        <v>Method lineage</v>
      </c>
      <c r="D126" s="19" t="str">
        <f aca="false">'Lot Register'!D30</f>
        <v>MS-CT</v>
      </c>
      <c r="E126" s="19" t="str">
        <f aca="false">'Lot Register'!G30</f>
        <v>ST-CT-CHA</v>
      </c>
      <c r="F126" s="9" t="s">
        <v>282</v>
      </c>
      <c r="G126" s="9" t="s">
        <v>569</v>
      </c>
      <c r="H126" s="9" t="s">
        <v>570</v>
      </c>
      <c r="I126" s="11" t="s">
        <v>238</v>
      </c>
      <c r="J126" s="47" t="n">
        <f aca="false">Controls!B25</f>
        <v>0</v>
      </c>
      <c r="K126" s="47" t="str">
        <f aca="false">IF(J126=1,"ACCEPTED","OPEN")</f>
        <v>OPEN</v>
      </c>
    </row>
    <row r="127" customFormat="false" ht="15" hidden="false" customHeight="false" outlineLevel="0" collapsed="false">
      <c r="A127" s="19" t="str">
        <f aca="false">"PKT-"&amp;B127&amp;"-CONFIGURATION"</f>
        <v>PKT-REG-CT-CHA-CONFIGURATION</v>
      </c>
      <c r="B127" s="19" t="str">
        <f aca="false">'Lot Register'!A31</f>
        <v>REG-CT-CHA</v>
      </c>
      <c r="C127" s="19" t="str">
        <f aca="false">'Lot Register'!B31</f>
        <v>Regeneration tool</v>
      </c>
      <c r="D127" s="19" t="str">
        <f aca="false">'Lot Register'!D31</f>
        <v>MS-CT</v>
      </c>
      <c r="E127" s="19" t="str">
        <f aca="false">'Lot Register'!G31</f>
        <v>ST-CT-CHA</v>
      </c>
      <c r="F127" s="9" t="s">
        <v>558</v>
      </c>
      <c r="G127" s="9" t="s">
        <v>559</v>
      </c>
      <c r="H127" s="9" t="s">
        <v>560</v>
      </c>
      <c r="I127" s="11" t="s">
        <v>238</v>
      </c>
      <c r="J127" s="47" t="n">
        <f aca="false">Controls!B25</f>
        <v>0</v>
      </c>
      <c r="K127" s="47" t="str">
        <f aca="false">IF(J127=1,"ACCEPTED","OPEN")</f>
        <v>OPEN</v>
      </c>
    </row>
    <row r="128" customFormat="false" ht="15" hidden="false" customHeight="false" outlineLevel="0" collapsed="false">
      <c r="A128" s="19" t="str">
        <f aca="false">"PKT-"&amp;B128&amp;"-CONTROL"</f>
        <v>PKT-REG-CT-CHA-CONTROL</v>
      </c>
      <c r="B128" s="19" t="str">
        <f aca="false">'Lot Register'!A31</f>
        <v>REG-CT-CHA</v>
      </c>
      <c r="C128" s="19" t="str">
        <f aca="false">'Lot Register'!B31</f>
        <v>Regeneration tool</v>
      </c>
      <c r="D128" s="19" t="str">
        <f aca="false">'Lot Register'!D31</f>
        <v>MS-CT</v>
      </c>
      <c r="E128" s="19" t="str">
        <f aca="false">'Lot Register'!G31</f>
        <v>ST-CT-CHA</v>
      </c>
      <c r="F128" s="9" t="s">
        <v>271</v>
      </c>
      <c r="G128" s="9" t="s">
        <v>561</v>
      </c>
      <c r="H128" s="9" t="s">
        <v>562</v>
      </c>
      <c r="I128" s="11" t="s">
        <v>238</v>
      </c>
      <c r="J128" s="47" t="n">
        <f aca="false">Controls!B25</f>
        <v>0</v>
      </c>
      <c r="K128" s="47" t="str">
        <f aca="false">IF(J128=1,"ACCEPTED","OPEN")</f>
        <v>OPEN</v>
      </c>
    </row>
    <row r="129" customFormat="false" ht="15" hidden="false" customHeight="false" outlineLevel="0" collapsed="false">
      <c r="A129" s="19" t="str">
        <f aca="false">"PKT-"&amp;B129&amp;"-METROLOGY"</f>
        <v>PKT-REG-CT-CHA-METROLOGY</v>
      </c>
      <c r="B129" s="19" t="str">
        <f aca="false">'Lot Register'!A31</f>
        <v>REG-CT-CHA</v>
      </c>
      <c r="C129" s="19" t="str">
        <f aca="false">'Lot Register'!B31</f>
        <v>Regeneration tool</v>
      </c>
      <c r="D129" s="19" t="str">
        <f aca="false">'Lot Register'!D31</f>
        <v>MS-CT</v>
      </c>
      <c r="E129" s="19" t="str">
        <f aca="false">'Lot Register'!G31</f>
        <v>ST-CT-CHA</v>
      </c>
      <c r="F129" s="9" t="s">
        <v>563</v>
      </c>
      <c r="G129" s="9" t="s">
        <v>564</v>
      </c>
      <c r="H129" s="9" t="s">
        <v>565</v>
      </c>
      <c r="I129" s="11" t="s">
        <v>238</v>
      </c>
      <c r="J129" s="47" t="n">
        <f aca="false">Controls!B25</f>
        <v>0</v>
      </c>
      <c r="K129" s="47" t="str">
        <f aca="false">IF(J129=1,"ACCEPTED","OPEN")</f>
        <v>OPEN</v>
      </c>
    </row>
    <row r="130" customFormat="false" ht="15" hidden="false" customHeight="false" outlineLevel="0" collapsed="false">
      <c r="A130" s="19" t="str">
        <f aca="false">"PKT-"&amp;B130&amp;"-SAFETY"</f>
        <v>PKT-REG-CT-CHA-SAFETY</v>
      </c>
      <c r="B130" s="19" t="str">
        <f aca="false">'Lot Register'!A31</f>
        <v>REG-CT-CHA</v>
      </c>
      <c r="C130" s="19" t="str">
        <f aca="false">'Lot Register'!B31</f>
        <v>Regeneration tool</v>
      </c>
      <c r="D130" s="19" t="str">
        <f aca="false">'Lot Register'!D31</f>
        <v>MS-CT</v>
      </c>
      <c r="E130" s="19" t="str">
        <f aca="false">'Lot Register'!G31</f>
        <v>ST-CT-CHA</v>
      </c>
      <c r="F130" s="9" t="s">
        <v>566</v>
      </c>
      <c r="G130" s="9" t="s">
        <v>567</v>
      </c>
      <c r="H130" s="9" t="s">
        <v>568</v>
      </c>
      <c r="I130" s="11" t="s">
        <v>238</v>
      </c>
      <c r="J130" s="47" t="n">
        <f aca="false">Controls!B25</f>
        <v>0</v>
      </c>
      <c r="K130" s="47" t="str">
        <f aca="false">IF(J130=1,"ACCEPTED","OPEN")</f>
        <v>OPEN</v>
      </c>
    </row>
    <row r="131" customFormat="false" ht="15" hidden="false" customHeight="false" outlineLevel="0" collapsed="false">
      <c r="A131" s="19" t="str">
        <f aca="false">"PKT-"&amp;B131&amp;"-RECONSTRUCTION"</f>
        <v>PKT-REG-CT-CHA-RECONSTRUCTION</v>
      </c>
      <c r="B131" s="19" t="str">
        <f aca="false">'Lot Register'!A31</f>
        <v>REG-CT-CHA</v>
      </c>
      <c r="C131" s="19" t="str">
        <f aca="false">'Lot Register'!B31</f>
        <v>Regeneration tool</v>
      </c>
      <c r="D131" s="19" t="str">
        <f aca="false">'Lot Register'!D31</f>
        <v>MS-CT</v>
      </c>
      <c r="E131" s="19" t="str">
        <f aca="false">'Lot Register'!G31</f>
        <v>ST-CT-CHA</v>
      </c>
      <c r="F131" s="9" t="s">
        <v>282</v>
      </c>
      <c r="G131" s="9" t="s">
        <v>569</v>
      </c>
      <c r="H131" s="9" t="s">
        <v>570</v>
      </c>
      <c r="I131" s="11" t="s">
        <v>238</v>
      </c>
      <c r="J131" s="47" t="n">
        <f aca="false">Controls!B25</f>
        <v>0</v>
      </c>
      <c r="K131" s="47" t="str">
        <f aca="false">IF(J131=1,"ACCEPTED","OPEN")</f>
        <v>OPEN</v>
      </c>
    </row>
    <row r="132" customFormat="false" ht="15" hidden="false" customHeight="false" outlineLevel="0" collapsed="false">
      <c r="A132" s="19" t="str">
        <f aca="false">"PKT-"&amp;B132&amp;"-CONFIGURATION"</f>
        <v>PKT-INT-CT-CHA-CONFIGURATION</v>
      </c>
      <c r="B132" s="19" t="str">
        <f aca="false">'Lot Register'!A32</f>
        <v>INT-CT-CHA</v>
      </c>
      <c r="C132" s="19" t="str">
        <f aca="false">'Lot Register'!B32</f>
        <v>Station integration</v>
      </c>
      <c r="D132" s="19" t="str">
        <f aca="false">'Lot Register'!D32</f>
        <v>MS-CT</v>
      </c>
      <c r="E132" s="19" t="str">
        <f aca="false">'Lot Register'!G32</f>
        <v>ST-CT-CHA</v>
      </c>
      <c r="F132" s="9" t="s">
        <v>558</v>
      </c>
      <c r="G132" s="9" t="s">
        <v>559</v>
      </c>
      <c r="H132" s="9" t="s">
        <v>560</v>
      </c>
      <c r="I132" s="11" t="s">
        <v>238</v>
      </c>
      <c r="J132" s="47" t="n">
        <f aca="false">Controls!B25</f>
        <v>0</v>
      </c>
      <c r="K132" s="47" t="str">
        <f aca="false">IF(J132=1,"ACCEPTED","OPEN")</f>
        <v>OPEN</v>
      </c>
    </row>
    <row r="133" customFormat="false" ht="15" hidden="false" customHeight="false" outlineLevel="0" collapsed="false">
      <c r="A133" s="19" t="str">
        <f aca="false">"PKT-"&amp;B133&amp;"-CONTROL"</f>
        <v>PKT-INT-CT-CHA-CONTROL</v>
      </c>
      <c r="B133" s="19" t="str">
        <f aca="false">'Lot Register'!A32</f>
        <v>INT-CT-CHA</v>
      </c>
      <c r="C133" s="19" t="str">
        <f aca="false">'Lot Register'!B32</f>
        <v>Station integration</v>
      </c>
      <c r="D133" s="19" t="str">
        <f aca="false">'Lot Register'!D32</f>
        <v>MS-CT</v>
      </c>
      <c r="E133" s="19" t="str">
        <f aca="false">'Lot Register'!G32</f>
        <v>ST-CT-CHA</v>
      </c>
      <c r="F133" s="9" t="s">
        <v>271</v>
      </c>
      <c r="G133" s="9" t="s">
        <v>561</v>
      </c>
      <c r="H133" s="9" t="s">
        <v>562</v>
      </c>
      <c r="I133" s="11" t="s">
        <v>238</v>
      </c>
      <c r="J133" s="47" t="n">
        <f aca="false">Controls!B25</f>
        <v>0</v>
      </c>
      <c r="K133" s="47" t="str">
        <f aca="false">IF(J133=1,"ACCEPTED","OPEN")</f>
        <v>OPEN</v>
      </c>
    </row>
    <row r="134" customFormat="false" ht="15" hidden="false" customHeight="false" outlineLevel="0" collapsed="false">
      <c r="A134" s="19" t="str">
        <f aca="false">"PKT-"&amp;B134&amp;"-METROLOGY"</f>
        <v>PKT-INT-CT-CHA-METROLOGY</v>
      </c>
      <c r="B134" s="19" t="str">
        <f aca="false">'Lot Register'!A32</f>
        <v>INT-CT-CHA</v>
      </c>
      <c r="C134" s="19" t="str">
        <f aca="false">'Lot Register'!B32</f>
        <v>Station integration</v>
      </c>
      <c r="D134" s="19" t="str">
        <f aca="false">'Lot Register'!D32</f>
        <v>MS-CT</v>
      </c>
      <c r="E134" s="19" t="str">
        <f aca="false">'Lot Register'!G32</f>
        <v>ST-CT-CHA</v>
      </c>
      <c r="F134" s="9" t="s">
        <v>563</v>
      </c>
      <c r="G134" s="9" t="s">
        <v>564</v>
      </c>
      <c r="H134" s="9" t="s">
        <v>565</v>
      </c>
      <c r="I134" s="11" t="s">
        <v>238</v>
      </c>
      <c r="J134" s="47" t="n">
        <f aca="false">Controls!B25</f>
        <v>0</v>
      </c>
      <c r="K134" s="47" t="str">
        <f aca="false">IF(J134=1,"ACCEPTED","OPEN")</f>
        <v>OPEN</v>
      </c>
    </row>
    <row r="135" customFormat="false" ht="15" hidden="false" customHeight="false" outlineLevel="0" collapsed="false">
      <c r="A135" s="19" t="str">
        <f aca="false">"PKT-"&amp;B135&amp;"-SAFETY"</f>
        <v>PKT-INT-CT-CHA-SAFETY</v>
      </c>
      <c r="B135" s="19" t="str">
        <f aca="false">'Lot Register'!A32</f>
        <v>INT-CT-CHA</v>
      </c>
      <c r="C135" s="19" t="str">
        <f aca="false">'Lot Register'!B32</f>
        <v>Station integration</v>
      </c>
      <c r="D135" s="19" t="str">
        <f aca="false">'Lot Register'!D32</f>
        <v>MS-CT</v>
      </c>
      <c r="E135" s="19" t="str">
        <f aca="false">'Lot Register'!G32</f>
        <v>ST-CT-CHA</v>
      </c>
      <c r="F135" s="9" t="s">
        <v>566</v>
      </c>
      <c r="G135" s="9" t="s">
        <v>567</v>
      </c>
      <c r="H135" s="9" t="s">
        <v>568</v>
      </c>
      <c r="I135" s="11" t="s">
        <v>238</v>
      </c>
      <c r="J135" s="47" t="n">
        <f aca="false">Controls!B25</f>
        <v>0</v>
      </c>
      <c r="K135" s="47" t="str">
        <f aca="false">IF(J135=1,"ACCEPTED","OPEN")</f>
        <v>OPEN</v>
      </c>
    </row>
    <row r="136" customFormat="false" ht="15" hidden="false" customHeight="false" outlineLevel="0" collapsed="false">
      <c r="A136" s="19" t="str">
        <f aca="false">"PKT-"&amp;B136&amp;"-RECONSTRUCTION"</f>
        <v>PKT-INT-CT-CHA-RECONSTRUCTION</v>
      </c>
      <c r="B136" s="19" t="str">
        <f aca="false">'Lot Register'!A32</f>
        <v>INT-CT-CHA</v>
      </c>
      <c r="C136" s="19" t="str">
        <f aca="false">'Lot Register'!B32</f>
        <v>Station integration</v>
      </c>
      <c r="D136" s="19" t="str">
        <f aca="false">'Lot Register'!D32</f>
        <v>MS-CT</v>
      </c>
      <c r="E136" s="19" t="str">
        <f aca="false">'Lot Register'!G32</f>
        <v>ST-CT-CHA</v>
      </c>
      <c r="F136" s="9" t="s">
        <v>282</v>
      </c>
      <c r="G136" s="9" t="s">
        <v>569</v>
      </c>
      <c r="H136" s="9" t="s">
        <v>570</v>
      </c>
      <c r="I136" s="11" t="s">
        <v>238</v>
      </c>
      <c r="J136" s="47" t="n">
        <f aca="false">Controls!B25</f>
        <v>0</v>
      </c>
      <c r="K136" s="47" t="str">
        <f aca="false">IF(J136=1,"ACCEPTED","OPEN")</f>
        <v>OPEN</v>
      </c>
    </row>
    <row r="137" customFormat="false" ht="15" hidden="false" customHeight="false" outlineLevel="0" collapsed="false">
      <c r="A137" s="19" t="str">
        <f aca="false">"PKT-"&amp;B137&amp;"-CONFIGURATION"</f>
        <v>PKT-RIG-CT-CON-CONFIGURATION</v>
      </c>
      <c r="B137" s="19" t="str">
        <f aca="false">'Lot Register'!A33</f>
        <v>RIG-CT-CON</v>
      </c>
      <c r="C137" s="19" t="str">
        <f aca="false">'Lot Register'!B33</f>
        <v>Root-native rig</v>
      </c>
      <c r="D137" s="19" t="str">
        <f aca="false">'Lot Register'!D33</f>
        <v>MS-CT</v>
      </c>
      <c r="E137" s="19" t="str">
        <f aca="false">'Lot Register'!G33</f>
        <v>ST-CT-CON</v>
      </c>
      <c r="F137" s="9" t="s">
        <v>558</v>
      </c>
      <c r="G137" s="9" t="s">
        <v>559</v>
      </c>
      <c r="H137" s="9" t="s">
        <v>560</v>
      </c>
      <c r="I137" s="11" t="s">
        <v>238</v>
      </c>
      <c r="J137" s="47" t="n">
        <f aca="false">Controls!B25</f>
        <v>0</v>
      </c>
      <c r="K137" s="47" t="str">
        <f aca="false">IF(J137=1,"ACCEPTED","OPEN")</f>
        <v>OPEN</v>
      </c>
    </row>
    <row r="138" customFormat="false" ht="15" hidden="false" customHeight="false" outlineLevel="0" collapsed="false">
      <c r="A138" s="19" t="str">
        <f aca="false">"PKT-"&amp;B138&amp;"-CONTROL"</f>
        <v>PKT-RIG-CT-CON-CONTROL</v>
      </c>
      <c r="B138" s="19" t="str">
        <f aca="false">'Lot Register'!A33</f>
        <v>RIG-CT-CON</v>
      </c>
      <c r="C138" s="19" t="str">
        <f aca="false">'Lot Register'!B33</f>
        <v>Root-native rig</v>
      </c>
      <c r="D138" s="19" t="str">
        <f aca="false">'Lot Register'!D33</f>
        <v>MS-CT</v>
      </c>
      <c r="E138" s="19" t="str">
        <f aca="false">'Lot Register'!G33</f>
        <v>ST-CT-CON</v>
      </c>
      <c r="F138" s="9" t="s">
        <v>271</v>
      </c>
      <c r="G138" s="9" t="s">
        <v>561</v>
      </c>
      <c r="H138" s="9" t="s">
        <v>562</v>
      </c>
      <c r="I138" s="11" t="s">
        <v>238</v>
      </c>
      <c r="J138" s="47" t="n">
        <f aca="false">Controls!B25</f>
        <v>0</v>
      </c>
      <c r="K138" s="47" t="str">
        <f aca="false">IF(J138=1,"ACCEPTED","OPEN")</f>
        <v>OPEN</v>
      </c>
    </row>
    <row r="139" customFormat="false" ht="15" hidden="false" customHeight="false" outlineLevel="0" collapsed="false">
      <c r="A139" s="19" t="str">
        <f aca="false">"PKT-"&amp;B139&amp;"-METROLOGY"</f>
        <v>PKT-RIG-CT-CON-METROLOGY</v>
      </c>
      <c r="B139" s="19" t="str">
        <f aca="false">'Lot Register'!A33</f>
        <v>RIG-CT-CON</v>
      </c>
      <c r="C139" s="19" t="str">
        <f aca="false">'Lot Register'!B33</f>
        <v>Root-native rig</v>
      </c>
      <c r="D139" s="19" t="str">
        <f aca="false">'Lot Register'!D33</f>
        <v>MS-CT</v>
      </c>
      <c r="E139" s="19" t="str">
        <f aca="false">'Lot Register'!G33</f>
        <v>ST-CT-CON</v>
      </c>
      <c r="F139" s="9" t="s">
        <v>563</v>
      </c>
      <c r="G139" s="9" t="s">
        <v>564</v>
      </c>
      <c r="H139" s="9" t="s">
        <v>565</v>
      </c>
      <c r="I139" s="11" t="s">
        <v>238</v>
      </c>
      <c r="J139" s="47" t="n">
        <f aca="false">Controls!B25</f>
        <v>0</v>
      </c>
      <c r="K139" s="47" t="str">
        <f aca="false">IF(J139=1,"ACCEPTED","OPEN")</f>
        <v>OPEN</v>
      </c>
    </row>
    <row r="140" customFormat="false" ht="15" hidden="false" customHeight="false" outlineLevel="0" collapsed="false">
      <c r="A140" s="19" t="str">
        <f aca="false">"PKT-"&amp;B140&amp;"-SAFETY"</f>
        <v>PKT-RIG-CT-CON-SAFETY</v>
      </c>
      <c r="B140" s="19" t="str">
        <f aca="false">'Lot Register'!A33</f>
        <v>RIG-CT-CON</v>
      </c>
      <c r="C140" s="19" t="str">
        <f aca="false">'Lot Register'!B33</f>
        <v>Root-native rig</v>
      </c>
      <c r="D140" s="19" t="str">
        <f aca="false">'Lot Register'!D33</f>
        <v>MS-CT</v>
      </c>
      <c r="E140" s="19" t="str">
        <f aca="false">'Lot Register'!G33</f>
        <v>ST-CT-CON</v>
      </c>
      <c r="F140" s="9" t="s">
        <v>566</v>
      </c>
      <c r="G140" s="9" t="s">
        <v>567</v>
      </c>
      <c r="H140" s="9" t="s">
        <v>568</v>
      </c>
      <c r="I140" s="11" t="s">
        <v>238</v>
      </c>
      <c r="J140" s="47" t="n">
        <f aca="false">Controls!B25</f>
        <v>0</v>
      </c>
      <c r="K140" s="47" t="str">
        <f aca="false">IF(J140=1,"ACCEPTED","OPEN")</f>
        <v>OPEN</v>
      </c>
    </row>
    <row r="141" customFormat="false" ht="15" hidden="false" customHeight="false" outlineLevel="0" collapsed="false">
      <c r="A141" s="19" t="str">
        <f aca="false">"PKT-"&amp;B141&amp;"-RECONSTRUCTION"</f>
        <v>PKT-RIG-CT-CON-RECONSTRUCTION</v>
      </c>
      <c r="B141" s="19" t="str">
        <f aca="false">'Lot Register'!A33</f>
        <v>RIG-CT-CON</v>
      </c>
      <c r="C141" s="19" t="str">
        <f aca="false">'Lot Register'!B33</f>
        <v>Root-native rig</v>
      </c>
      <c r="D141" s="19" t="str">
        <f aca="false">'Lot Register'!D33</f>
        <v>MS-CT</v>
      </c>
      <c r="E141" s="19" t="str">
        <f aca="false">'Lot Register'!G33</f>
        <v>ST-CT-CON</v>
      </c>
      <c r="F141" s="9" t="s">
        <v>282</v>
      </c>
      <c r="G141" s="9" t="s">
        <v>569</v>
      </c>
      <c r="H141" s="9" t="s">
        <v>570</v>
      </c>
      <c r="I141" s="11" t="s">
        <v>238</v>
      </c>
      <c r="J141" s="47" t="n">
        <f aca="false">Controls!B25</f>
        <v>0</v>
      </c>
      <c r="K141" s="47" t="str">
        <f aca="false">IF(J141=1,"ACCEPTED","OPEN")</f>
        <v>OPEN</v>
      </c>
    </row>
    <row r="142" customFormat="false" ht="15" hidden="false" customHeight="false" outlineLevel="0" collapsed="false">
      <c r="A142" s="19" t="str">
        <f aca="false">"PKT-"&amp;B142&amp;"-CONFIGURATION"</f>
        <v>PKT-MTH-CT-CON-L1-CONFIGURATION</v>
      </c>
      <c r="B142" s="19" t="str">
        <f aca="false">'Lot Register'!A34</f>
        <v>MTH-CT-CON-L1</v>
      </c>
      <c r="C142" s="19" t="str">
        <f aca="false">'Lot Register'!B34</f>
        <v>Method lineage</v>
      </c>
      <c r="D142" s="19" t="str">
        <f aca="false">'Lot Register'!D34</f>
        <v>MS-CT</v>
      </c>
      <c r="E142" s="19" t="str">
        <f aca="false">'Lot Register'!G34</f>
        <v>ST-CT-CON</v>
      </c>
      <c r="F142" s="9" t="s">
        <v>558</v>
      </c>
      <c r="G142" s="9" t="s">
        <v>559</v>
      </c>
      <c r="H142" s="9" t="s">
        <v>560</v>
      </c>
      <c r="I142" s="11" t="s">
        <v>238</v>
      </c>
      <c r="J142" s="47" t="n">
        <f aca="false">Controls!B25</f>
        <v>0</v>
      </c>
      <c r="K142" s="47" t="str">
        <f aca="false">IF(J142=1,"ACCEPTED","OPEN")</f>
        <v>OPEN</v>
      </c>
    </row>
    <row r="143" customFormat="false" ht="15" hidden="false" customHeight="false" outlineLevel="0" collapsed="false">
      <c r="A143" s="19" t="str">
        <f aca="false">"PKT-"&amp;B143&amp;"-CONTROL"</f>
        <v>PKT-MTH-CT-CON-L1-CONTROL</v>
      </c>
      <c r="B143" s="19" t="str">
        <f aca="false">'Lot Register'!A34</f>
        <v>MTH-CT-CON-L1</v>
      </c>
      <c r="C143" s="19" t="str">
        <f aca="false">'Lot Register'!B34</f>
        <v>Method lineage</v>
      </c>
      <c r="D143" s="19" t="str">
        <f aca="false">'Lot Register'!D34</f>
        <v>MS-CT</v>
      </c>
      <c r="E143" s="19" t="str">
        <f aca="false">'Lot Register'!G34</f>
        <v>ST-CT-CON</v>
      </c>
      <c r="F143" s="9" t="s">
        <v>271</v>
      </c>
      <c r="G143" s="9" t="s">
        <v>561</v>
      </c>
      <c r="H143" s="9" t="s">
        <v>562</v>
      </c>
      <c r="I143" s="11" t="s">
        <v>238</v>
      </c>
      <c r="J143" s="47" t="n">
        <f aca="false">Controls!B25</f>
        <v>0</v>
      </c>
      <c r="K143" s="47" t="str">
        <f aca="false">IF(J143=1,"ACCEPTED","OPEN")</f>
        <v>OPEN</v>
      </c>
    </row>
    <row r="144" customFormat="false" ht="15" hidden="false" customHeight="false" outlineLevel="0" collapsed="false">
      <c r="A144" s="19" t="str">
        <f aca="false">"PKT-"&amp;B144&amp;"-METROLOGY"</f>
        <v>PKT-MTH-CT-CON-L1-METROLOGY</v>
      </c>
      <c r="B144" s="19" t="str">
        <f aca="false">'Lot Register'!A34</f>
        <v>MTH-CT-CON-L1</v>
      </c>
      <c r="C144" s="19" t="str">
        <f aca="false">'Lot Register'!B34</f>
        <v>Method lineage</v>
      </c>
      <c r="D144" s="19" t="str">
        <f aca="false">'Lot Register'!D34</f>
        <v>MS-CT</v>
      </c>
      <c r="E144" s="19" t="str">
        <f aca="false">'Lot Register'!G34</f>
        <v>ST-CT-CON</v>
      </c>
      <c r="F144" s="9" t="s">
        <v>563</v>
      </c>
      <c r="G144" s="9" t="s">
        <v>564</v>
      </c>
      <c r="H144" s="9" t="s">
        <v>565</v>
      </c>
      <c r="I144" s="11" t="s">
        <v>238</v>
      </c>
      <c r="J144" s="47" t="n">
        <f aca="false">Controls!B25</f>
        <v>0</v>
      </c>
      <c r="K144" s="47" t="str">
        <f aca="false">IF(J144=1,"ACCEPTED","OPEN")</f>
        <v>OPEN</v>
      </c>
    </row>
    <row r="145" customFormat="false" ht="15" hidden="false" customHeight="false" outlineLevel="0" collapsed="false">
      <c r="A145" s="19" t="str">
        <f aca="false">"PKT-"&amp;B145&amp;"-SAFETY"</f>
        <v>PKT-MTH-CT-CON-L1-SAFETY</v>
      </c>
      <c r="B145" s="19" t="str">
        <f aca="false">'Lot Register'!A34</f>
        <v>MTH-CT-CON-L1</v>
      </c>
      <c r="C145" s="19" t="str">
        <f aca="false">'Lot Register'!B34</f>
        <v>Method lineage</v>
      </c>
      <c r="D145" s="19" t="str">
        <f aca="false">'Lot Register'!D34</f>
        <v>MS-CT</v>
      </c>
      <c r="E145" s="19" t="str">
        <f aca="false">'Lot Register'!G34</f>
        <v>ST-CT-CON</v>
      </c>
      <c r="F145" s="9" t="s">
        <v>566</v>
      </c>
      <c r="G145" s="9" t="s">
        <v>567</v>
      </c>
      <c r="H145" s="9" t="s">
        <v>568</v>
      </c>
      <c r="I145" s="11" t="s">
        <v>238</v>
      </c>
      <c r="J145" s="47" t="n">
        <f aca="false">Controls!B25</f>
        <v>0</v>
      </c>
      <c r="K145" s="47" t="str">
        <f aca="false">IF(J145=1,"ACCEPTED","OPEN")</f>
        <v>OPEN</v>
      </c>
    </row>
    <row r="146" customFormat="false" ht="15" hidden="false" customHeight="false" outlineLevel="0" collapsed="false">
      <c r="A146" s="19" t="str">
        <f aca="false">"PKT-"&amp;B146&amp;"-RECONSTRUCTION"</f>
        <v>PKT-MTH-CT-CON-L1-RECONSTRUCTION</v>
      </c>
      <c r="B146" s="19" t="str">
        <f aca="false">'Lot Register'!A34</f>
        <v>MTH-CT-CON-L1</v>
      </c>
      <c r="C146" s="19" t="str">
        <f aca="false">'Lot Register'!B34</f>
        <v>Method lineage</v>
      </c>
      <c r="D146" s="19" t="str">
        <f aca="false">'Lot Register'!D34</f>
        <v>MS-CT</v>
      </c>
      <c r="E146" s="19" t="str">
        <f aca="false">'Lot Register'!G34</f>
        <v>ST-CT-CON</v>
      </c>
      <c r="F146" s="9" t="s">
        <v>282</v>
      </c>
      <c r="G146" s="9" t="s">
        <v>569</v>
      </c>
      <c r="H146" s="9" t="s">
        <v>570</v>
      </c>
      <c r="I146" s="11" t="s">
        <v>238</v>
      </c>
      <c r="J146" s="47" t="n">
        <f aca="false">Controls!B25</f>
        <v>0</v>
      </c>
      <c r="K146" s="47" t="str">
        <f aca="false">IF(J146=1,"ACCEPTED","OPEN")</f>
        <v>OPEN</v>
      </c>
    </row>
    <row r="147" customFormat="false" ht="15" hidden="false" customHeight="false" outlineLevel="0" collapsed="false">
      <c r="A147" s="19" t="str">
        <f aca="false">"PKT-"&amp;B147&amp;"-CONFIGURATION"</f>
        <v>PKT-MTH-CT-CON-L2-CONFIGURATION</v>
      </c>
      <c r="B147" s="19" t="str">
        <f aca="false">'Lot Register'!A35</f>
        <v>MTH-CT-CON-L2</v>
      </c>
      <c r="C147" s="19" t="str">
        <f aca="false">'Lot Register'!B35</f>
        <v>Method lineage</v>
      </c>
      <c r="D147" s="19" t="str">
        <f aca="false">'Lot Register'!D35</f>
        <v>MS-CT</v>
      </c>
      <c r="E147" s="19" t="str">
        <f aca="false">'Lot Register'!G35</f>
        <v>ST-CT-CON</v>
      </c>
      <c r="F147" s="9" t="s">
        <v>558</v>
      </c>
      <c r="G147" s="9" t="s">
        <v>559</v>
      </c>
      <c r="H147" s="9" t="s">
        <v>560</v>
      </c>
      <c r="I147" s="11" t="s">
        <v>238</v>
      </c>
      <c r="J147" s="47" t="n">
        <f aca="false">Controls!B25</f>
        <v>0</v>
      </c>
      <c r="K147" s="47" t="str">
        <f aca="false">IF(J147=1,"ACCEPTED","OPEN")</f>
        <v>OPEN</v>
      </c>
    </row>
    <row r="148" customFormat="false" ht="15" hidden="false" customHeight="false" outlineLevel="0" collapsed="false">
      <c r="A148" s="19" t="str">
        <f aca="false">"PKT-"&amp;B148&amp;"-CONTROL"</f>
        <v>PKT-MTH-CT-CON-L2-CONTROL</v>
      </c>
      <c r="B148" s="19" t="str">
        <f aca="false">'Lot Register'!A35</f>
        <v>MTH-CT-CON-L2</v>
      </c>
      <c r="C148" s="19" t="str">
        <f aca="false">'Lot Register'!B35</f>
        <v>Method lineage</v>
      </c>
      <c r="D148" s="19" t="str">
        <f aca="false">'Lot Register'!D35</f>
        <v>MS-CT</v>
      </c>
      <c r="E148" s="19" t="str">
        <f aca="false">'Lot Register'!G35</f>
        <v>ST-CT-CON</v>
      </c>
      <c r="F148" s="9" t="s">
        <v>271</v>
      </c>
      <c r="G148" s="9" t="s">
        <v>561</v>
      </c>
      <c r="H148" s="9" t="s">
        <v>562</v>
      </c>
      <c r="I148" s="11" t="s">
        <v>238</v>
      </c>
      <c r="J148" s="47" t="n">
        <f aca="false">Controls!B25</f>
        <v>0</v>
      </c>
      <c r="K148" s="47" t="str">
        <f aca="false">IF(J148=1,"ACCEPTED","OPEN")</f>
        <v>OPEN</v>
      </c>
    </row>
    <row r="149" customFormat="false" ht="15" hidden="false" customHeight="false" outlineLevel="0" collapsed="false">
      <c r="A149" s="19" t="str">
        <f aca="false">"PKT-"&amp;B149&amp;"-METROLOGY"</f>
        <v>PKT-MTH-CT-CON-L2-METROLOGY</v>
      </c>
      <c r="B149" s="19" t="str">
        <f aca="false">'Lot Register'!A35</f>
        <v>MTH-CT-CON-L2</v>
      </c>
      <c r="C149" s="19" t="str">
        <f aca="false">'Lot Register'!B35</f>
        <v>Method lineage</v>
      </c>
      <c r="D149" s="19" t="str">
        <f aca="false">'Lot Register'!D35</f>
        <v>MS-CT</v>
      </c>
      <c r="E149" s="19" t="str">
        <f aca="false">'Lot Register'!G35</f>
        <v>ST-CT-CON</v>
      </c>
      <c r="F149" s="9" t="s">
        <v>563</v>
      </c>
      <c r="G149" s="9" t="s">
        <v>564</v>
      </c>
      <c r="H149" s="9" t="s">
        <v>565</v>
      </c>
      <c r="I149" s="11" t="s">
        <v>238</v>
      </c>
      <c r="J149" s="47" t="n">
        <f aca="false">Controls!B25</f>
        <v>0</v>
      </c>
      <c r="K149" s="47" t="str">
        <f aca="false">IF(J149=1,"ACCEPTED","OPEN")</f>
        <v>OPEN</v>
      </c>
    </row>
    <row r="150" customFormat="false" ht="15" hidden="false" customHeight="false" outlineLevel="0" collapsed="false">
      <c r="A150" s="19" t="str">
        <f aca="false">"PKT-"&amp;B150&amp;"-SAFETY"</f>
        <v>PKT-MTH-CT-CON-L2-SAFETY</v>
      </c>
      <c r="B150" s="19" t="str">
        <f aca="false">'Lot Register'!A35</f>
        <v>MTH-CT-CON-L2</v>
      </c>
      <c r="C150" s="19" t="str">
        <f aca="false">'Lot Register'!B35</f>
        <v>Method lineage</v>
      </c>
      <c r="D150" s="19" t="str">
        <f aca="false">'Lot Register'!D35</f>
        <v>MS-CT</v>
      </c>
      <c r="E150" s="19" t="str">
        <f aca="false">'Lot Register'!G35</f>
        <v>ST-CT-CON</v>
      </c>
      <c r="F150" s="9" t="s">
        <v>566</v>
      </c>
      <c r="G150" s="9" t="s">
        <v>567</v>
      </c>
      <c r="H150" s="9" t="s">
        <v>568</v>
      </c>
      <c r="I150" s="11" t="s">
        <v>238</v>
      </c>
      <c r="J150" s="47" t="n">
        <f aca="false">Controls!B25</f>
        <v>0</v>
      </c>
      <c r="K150" s="47" t="str">
        <f aca="false">IF(J150=1,"ACCEPTED","OPEN")</f>
        <v>OPEN</v>
      </c>
    </row>
    <row r="151" customFormat="false" ht="15" hidden="false" customHeight="false" outlineLevel="0" collapsed="false">
      <c r="A151" s="19" t="str">
        <f aca="false">"PKT-"&amp;B151&amp;"-RECONSTRUCTION"</f>
        <v>PKT-MTH-CT-CON-L2-RECONSTRUCTION</v>
      </c>
      <c r="B151" s="19" t="str">
        <f aca="false">'Lot Register'!A35</f>
        <v>MTH-CT-CON-L2</v>
      </c>
      <c r="C151" s="19" t="str">
        <f aca="false">'Lot Register'!B35</f>
        <v>Method lineage</v>
      </c>
      <c r="D151" s="19" t="str">
        <f aca="false">'Lot Register'!D35</f>
        <v>MS-CT</v>
      </c>
      <c r="E151" s="19" t="str">
        <f aca="false">'Lot Register'!G35</f>
        <v>ST-CT-CON</v>
      </c>
      <c r="F151" s="9" t="s">
        <v>282</v>
      </c>
      <c r="G151" s="9" t="s">
        <v>569</v>
      </c>
      <c r="H151" s="9" t="s">
        <v>570</v>
      </c>
      <c r="I151" s="11" t="s">
        <v>238</v>
      </c>
      <c r="J151" s="47" t="n">
        <f aca="false">Controls!B25</f>
        <v>0</v>
      </c>
      <c r="K151" s="47" t="str">
        <f aca="false">IF(J151=1,"ACCEPTED","OPEN")</f>
        <v>OPEN</v>
      </c>
    </row>
    <row r="152" customFormat="false" ht="15" hidden="false" customHeight="false" outlineLevel="0" collapsed="false">
      <c r="A152" s="19" t="str">
        <f aca="false">"PKT-"&amp;B152&amp;"-CONFIGURATION"</f>
        <v>PKT-REG-CT-CON-CONFIGURATION</v>
      </c>
      <c r="B152" s="19" t="str">
        <f aca="false">'Lot Register'!A36</f>
        <v>REG-CT-CON</v>
      </c>
      <c r="C152" s="19" t="str">
        <f aca="false">'Lot Register'!B36</f>
        <v>Regeneration tool</v>
      </c>
      <c r="D152" s="19" t="str">
        <f aca="false">'Lot Register'!D36</f>
        <v>MS-CT</v>
      </c>
      <c r="E152" s="19" t="str">
        <f aca="false">'Lot Register'!G36</f>
        <v>ST-CT-CON</v>
      </c>
      <c r="F152" s="9" t="s">
        <v>558</v>
      </c>
      <c r="G152" s="9" t="s">
        <v>559</v>
      </c>
      <c r="H152" s="9" t="s">
        <v>560</v>
      </c>
      <c r="I152" s="11" t="s">
        <v>238</v>
      </c>
      <c r="J152" s="47" t="n">
        <f aca="false">Controls!B25</f>
        <v>0</v>
      </c>
      <c r="K152" s="47" t="str">
        <f aca="false">IF(J152=1,"ACCEPTED","OPEN")</f>
        <v>OPEN</v>
      </c>
    </row>
    <row r="153" customFormat="false" ht="15" hidden="false" customHeight="false" outlineLevel="0" collapsed="false">
      <c r="A153" s="19" t="str">
        <f aca="false">"PKT-"&amp;B153&amp;"-CONTROL"</f>
        <v>PKT-REG-CT-CON-CONTROL</v>
      </c>
      <c r="B153" s="19" t="str">
        <f aca="false">'Lot Register'!A36</f>
        <v>REG-CT-CON</v>
      </c>
      <c r="C153" s="19" t="str">
        <f aca="false">'Lot Register'!B36</f>
        <v>Regeneration tool</v>
      </c>
      <c r="D153" s="19" t="str">
        <f aca="false">'Lot Register'!D36</f>
        <v>MS-CT</v>
      </c>
      <c r="E153" s="19" t="str">
        <f aca="false">'Lot Register'!G36</f>
        <v>ST-CT-CON</v>
      </c>
      <c r="F153" s="9" t="s">
        <v>271</v>
      </c>
      <c r="G153" s="9" t="s">
        <v>561</v>
      </c>
      <c r="H153" s="9" t="s">
        <v>562</v>
      </c>
      <c r="I153" s="11" t="s">
        <v>238</v>
      </c>
      <c r="J153" s="47" t="n">
        <f aca="false">Controls!B25</f>
        <v>0</v>
      </c>
      <c r="K153" s="47" t="str">
        <f aca="false">IF(J153=1,"ACCEPTED","OPEN")</f>
        <v>OPEN</v>
      </c>
    </row>
    <row r="154" customFormat="false" ht="15" hidden="false" customHeight="false" outlineLevel="0" collapsed="false">
      <c r="A154" s="19" t="str">
        <f aca="false">"PKT-"&amp;B154&amp;"-METROLOGY"</f>
        <v>PKT-REG-CT-CON-METROLOGY</v>
      </c>
      <c r="B154" s="19" t="str">
        <f aca="false">'Lot Register'!A36</f>
        <v>REG-CT-CON</v>
      </c>
      <c r="C154" s="19" t="str">
        <f aca="false">'Lot Register'!B36</f>
        <v>Regeneration tool</v>
      </c>
      <c r="D154" s="19" t="str">
        <f aca="false">'Lot Register'!D36</f>
        <v>MS-CT</v>
      </c>
      <c r="E154" s="19" t="str">
        <f aca="false">'Lot Register'!G36</f>
        <v>ST-CT-CON</v>
      </c>
      <c r="F154" s="9" t="s">
        <v>563</v>
      </c>
      <c r="G154" s="9" t="s">
        <v>564</v>
      </c>
      <c r="H154" s="9" t="s">
        <v>565</v>
      </c>
      <c r="I154" s="11" t="s">
        <v>238</v>
      </c>
      <c r="J154" s="47" t="n">
        <f aca="false">Controls!B25</f>
        <v>0</v>
      </c>
      <c r="K154" s="47" t="str">
        <f aca="false">IF(J154=1,"ACCEPTED","OPEN")</f>
        <v>OPEN</v>
      </c>
    </row>
    <row r="155" customFormat="false" ht="15" hidden="false" customHeight="false" outlineLevel="0" collapsed="false">
      <c r="A155" s="19" t="str">
        <f aca="false">"PKT-"&amp;B155&amp;"-SAFETY"</f>
        <v>PKT-REG-CT-CON-SAFETY</v>
      </c>
      <c r="B155" s="19" t="str">
        <f aca="false">'Lot Register'!A36</f>
        <v>REG-CT-CON</v>
      </c>
      <c r="C155" s="19" t="str">
        <f aca="false">'Lot Register'!B36</f>
        <v>Regeneration tool</v>
      </c>
      <c r="D155" s="19" t="str">
        <f aca="false">'Lot Register'!D36</f>
        <v>MS-CT</v>
      </c>
      <c r="E155" s="19" t="str">
        <f aca="false">'Lot Register'!G36</f>
        <v>ST-CT-CON</v>
      </c>
      <c r="F155" s="9" t="s">
        <v>566</v>
      </c>
      <c r="G155" s="9" t="s">
        <v>567</v>
      </c>
      <c r="H155" s="9" t="s">
        <v>568</v>
      </c>
      <c r="I155" s="11" t="s">
        <v>238</v>
      </c>
      <c r="J155" s="47" t="n">
        <f aca="false">Controls!B25</f>
        <v>0</v>
      </c>
      <c r="K155" s="47" t="str">
        <f aca="false">IF(J155=1,"ACCEPTED","OPEN")</f>
        <v>OPEN</v>
      </c>
    </row>
    <row r="156" customFormat="false" ht="15" hidden="false" customHeight="false" outlineLevel="0" collapsed="false">
      <c r="A156" s="19" t="str">
        <f aca="false">"PKT-"&amp;B156&amp;"-RECONSTRUCTION"</f>
        <v>PKT-REG-CT-CON-RECONSTRUCTION</v>
      </c>
      <c r="B156" s="19" t="str">
        <f aca="false">'Lot Register'!A36</f>
        <v>REG-CT-CON</v>
      </c>
      <c r="C156" s="19" t="str">
        <f aca="false">'Lot Register'!B36</f>
        <v>Regeneration tool</v>
      </c>
      <c r="D156" s="19" t="str">
        <f aca="false">'Lot Register'!D36</f>
        <v>MS-CT</v>
      </c>
      <c r="E156" s="19" t="str">
        <f aca="false">'Lot Register'!G36</f>
        <v>ST-CT-CON</v>
      </c>
      <c r="F156" s="9" t="s">
        <v>282</v>
      </c>
      <c r="G156" s="9" t="s">
        <v>569</v>
      </c>
      <c r="H156" s="9" t="s">
        <v>570</v>
      </c>
      <c r="I156" s="11" t="s">
        <v>238</v>
      </c>
      <c r="J156" s="47" t="n">
        <f aca="false">Controls!B25</f>
        <v>0</v>
      </c>
      <c r="K156" s="47" t="str">
        <f aca="false">IF(J156=1,"ACCEPTED","OPEN")</f>
        <v>OPEN</v>
      </c>
    </row>
    <row r="157" customFormat="false" ht="15" hidden="false" customHeight="false" outlineLevel="0" collapsed="false">
      <c r="A157" s="19" t="str">
        <f aca="false">"PKT-"&amp;B157&amp;"-CONFIGURATION"</f>
        <v>PKT-INT-CT-CON-CONFIGURATION</v>
      </c>
      <c r="B157" s="19" t="str">
        <f aca="false">'Lot Register'!A37</f>
        <v>INT-CT-CON</v>
      </c>
      <c r="C157" s="19" t="str">
        <f aca="false">'Lot Register'!B37</f>
        <v>Station integration</v>
      </c>
      <c r="D157" s="19" t="str">
        <f aca="false">'Lot Register'!D37</f>
        <v>MS-CT</v>
      </c>
      <c r="E157" s="19" t="str">
        <f aca="false">'Lot Register'!G37</f>
        <v>ST-CT-CON</v>
      </c>
      <c r="F157" s="9" t="s">
        <v>558</v>
      </c>
      <c r="G157" s="9" t="s">
        <v>559</v>
      </c>
      <c r="H157" s="9" t="s">
        <v>560</v>
      </c>
      <c r="I157" s="11" t="s">
        <v>238</v>
      </c>
      <c r="J157" s="47" t="n">
        <f aca="false">Controls!B25</f>
        <v>0</v>
      </c>
      <c r="K157" s="47" t="str">
        <f aca="false">IF(J157=1,"ACCEPTED","OPEN")</f>
        <v>OPEN</v>
      </c>
    </row>
    <row r="158" customFormat="false" ht="15" hidden="false" customHeight="false" outlineLevel="0" collapsed="false">
      <c r="A158" s="19" t="str">
        <f aca="false">"PKT-"&amp;B158&amp;"-CONTROL"</f>
        <v>PKT-INT-CT-CON-CONTROL</v>
      </c>
      <c r="B158" s="19" t="str">
        <f aca="false">'Lot Register'!A37</f>
        <v>INT-CT-CON</v>
      </c>
      <c r="C158" s="19" t="str">
        <f aca="false">'Lot Register'!B37</f>
        <v>Station integration</v>
      </c>
      <c r="D158" s="19" t="str">
        <f aca="false">'Lot Register'!D37</f>
        <v>MS-CT</v>
      </c>
      <c r="E158" s="19" t="str">
        <f aca="false">'Lot Register'!G37</f>
        <v>ST-CT-CON</v>
      </c>
      <c r="F158" s="9" t="s">
        <v>271</v>
      </c>
      <c r="G158" s="9" t="s">
        <v>561</v>
      </c>
      <c r="H158" s="9" t="s">
        <v>562</v>
      </c>
      <c r="I158" s="11" t="s">
        <v>238</v>
      </c>
      <c r="J158" s="47" t="n">
        <f aca="false">Controls!B25</f>
        <v>0</v>
      </c>
      <c r="K158" s="47" t="str">
        <f aca="false">IF(J158=1,"ACCEPTED","OPEN")</f>
        <v>OPEN</v>
      </c>
    </row>
    <row r="159" customFormat="false" ht="15" hidden="false" customHeight="false" outlineLevel="0" collapsed="false">
      <c r="A159" s="19" t="str">
        <f aca="false">"PKT-"&amp;B159&amp;"-METROLOGY"</f>
        <v>PKT-INT-CT-CON-METROLOGY</v>
      </c>
      <c r="B159" s="19" t="str">
        <f aca="false">'Lot Register'!A37</f>
        <v>INT-CT-CON</v>
      </c>
      <c r="C159" s="19" t="str">
        <f aca="false">'Lot Register'!B37</f>
        <v>Station integration</v>
      </c>
      <c r="D159" s="19" t="str">
        <f aca="false">'Lot Register'!D37</f>
        <v>MS-CT</v>
      </c>
      <c r="E159" s="19" t="str">
        <f aca="false">'Lot Register'!G37</f>
        <v>ST-CT-CON</v>
      </c>
      <c r="F159" s="9" t="s">
        <v>563</v>
      </c>
      <c r="G159" s="9" t="s">
        <v>564</v>
      </c>
      <c r="H159" s="9" t="s">
        <v>565</v>
      </c>
      <c r="I159" s="11" t="s">
        <v>238</v>
      </c>
      <c r="J159" s="47" t="n">
        <f aca="false">Controls!B25</f>
        <v>0</v>
      </c>
      <c r="K159" s="47" t="str">
        <f aca="false">IF(J159=1,"ACCEPTED","OPEN")</f>
        <v>OPEN</v>
      </c>
    </row>
    <row r="160" customFormat="false" ht="15" hidden="false" customHeight="false" outlineLevel="0" collapsed="false">
      <c r="A160" s="19" t="str">
        <f aca="false">"PKT-"&amp;B160&amp;"-SAFETY"</f>
        <v>PKT-INT-CT-CON-SAFETY</v>
      </c>
      <c r="B160" s="19" t="str">
        <f aca="false">'Lot Register'!A37</f>
        <v>INT-CT-CON</v>
      </c>
      <c r="C160" s="19" t="str">
        <f aca="false">'Lot Register'!B37</f>
        <v>Station integration</v>
      </c>
      <c r="D160" s="19" t="str">
        <f aca="false">'Lot Register'!D37</f>
        <v>MS-CT</v>
      </c>
      <c r="E160" s="19" t="str">
        <f aca="false">'Lot Register'!G37</f>
        <v>ST-CT-CON</v>
      </c>
      <c r="F160" s="9" t="s">
        <v>566</v>
      </c>
      <c r="G160" s="9" t="s">
        <v>567</v>
      </c>
      <c r="H160" s="9" t="s">
        <v>568</v>
      </c>
      <c r="I160" s="11" t="s">
        <v>238</v>
      </c>
      <c r="J160" s="47" t="n">
        <f aca="false">Controls!B25</f>
        <v>0</v>
      </c>
      <c r="K160" s="47" t="str">
        <f aca="false">IF(J160=1,"ACCEPTED","OPEN")</f>
        <v>OPEN</v>
      </c>
    </row>
    <row r="161" customFormat="false" ht="15" hidden="false" customHeight="false" outlineLevel="0" collapsed="false">
      <c r="A161" s="19" t="str">
        <f aca="false">"PKT-"&amp;B161&amp;"-RECONSTRUCTION"</f>
        <v>PKT-INT-CT-CON-RECONSTRUCTION</v>
      </c>
      <c r="B161" s="19" t="str">
        <f aca="false">'Lot Register'!A37</f>
        <v>INT-CT-CON</v>
      </c>
      <c r="C161" s="19" t="str">
        <f aca="false">'Lot Register'!B37</f>
        <v>Station integration</v>
      </c>
      <c r="D161" s="19" t="str">
        <f aca="false">'Lot Register'!D37</f>
        <v>MS-CT</v>
      </c>
      <c r="E161" s="19" t="str">
        <f aca="false">'Lot Register'!G37</f>
        <v>ST-CT-CON</v>
      </c>
      <c r="F161" s="9" t="s">
        <v>282</v>
      </c>
      <c r="G161" s="9" t="s">
        <v>569</v>
      </c>
      <c r="H161" s="9" t="s">
        <v>570</v>
      </c>
      <c r="I161" s="11" t="s">
        <v>238</v>
      </c>
      <c r="J161" s="47" t="n">
        <f aca="false">Controls!B25</f>
        <v>0</v>
      </c>
      <c r="K161" s="47" t="str">
        <f aca="false">IF(J161=1,"ACCEPTED","OPEN")</f>
        <v>OPEN</v>
      </c>
    </row>
    <row r="162" customFormat="false" ht="15" hidden="false" customHeight="false" outlineLevel="0" collapsed="false">
      <c r="A162" s="19" t="str">
        <f aca="false">"PKT-"&amp;B162&amp;"-CONFIGURATION"</f>
        <v>PKT-RIG-CT-REC-CONFIGURATION</v>
      </c>
      <c r="B162" s="19" t="str">
        <f aca="false">'Lot Register'!A38</f>
        <v>RIG-CT-REC</v>
      </c>
      <c r="C162" s="19" t="str">
        <f aca="false">'Lot Register'!B38</f>
        <v>Root-native rig</v>
      </c>
      <c r="D162" s="19" t="str">
        <f aca="false">'Lot Register'!D38</f>
        <v>MS-CT</v>
      </c>
      <c r="E162" s="19" t="str">
        <f aca="false">'Lot Register'!G38</f>
        <v>ST-CT-REC</v>
      </c>
      <c r="F162" s="9" t="s">
        <v>558</v>
      </c>
      <c r="G162" s="9" t="s">
        <v>559</v>
      </c>
      <c r="H162" s="9" t="s">
        <v>560</v>
      </c>
      <c r="I162" s="11" t="s">
        <v>238</v>
      </c>
      <c r="J162" s="47" t="n">
        <f aca="false">Controls!B25</f>
        <v>0</v>
      </c>
      <c r="K162" s="47" t="str">
        <f aca="false">IF(J162=1,"ACCEPTED","OPEN")</f>
        <v>OPEN</v>
      </c>
    </row>
    <row r="163" customFormat="false" ht="15" hidden="false" customHeight="false" outlineLevel="0" collapsed="false">
      <c r="A163" s="19" t="str">
        <f aca="false">"PKT-"&amp;B163&amp;"-CONTROL"</f>
        <v>PKT-RIG-CT-REC-CONTROL</v>
      </c>
      <c r="B163" s="19" t="str">
        <f aca="false">'Lot Register'!A38</f>
        <v>RIG-CT-REC</v>
      </c>
      <c r="C163" s="19" t="str">
        <f aca="false">'Lot Register'!B38</f>
        <v>Root-native rig</v>
      </c>
      <c r="D163" s="19" t="str">
        <f aca="false">'Lot Register'!D38</f>
        <v>MS-CT</v>
      </c>
      <c r="E163" s="19" t="str">
        <f aca="false">'Lot Register'!G38</f>
        <v>ST-CT-REC</v>
      </c>
      <c r="F163" s="9" t="s">
        <v>271</v>
      </c>
      <c r="G163" s="9" t="s">
        <v>561</v>
      </c>
      <c r="H163" s="9" t="s">
        <v>562</v>
      </c>
      <c r="I163" s="11" t="s">
        <v>238</v>
      </c>
      <c r="J163" s="47" t="n">
        <f aca="false">Controls!B25</f>
        <v>0</v>
      </c>
      <c r="K163" s="47" t="str">
        <f aca="false">IF(J163=1,"ACCEPTED","OPEN")</f>
        <v>OPEN</v>
      </c>
    </row>
    <row r="164" customFormat="false" ht="15" hidden="false" customHeight="false" outlineLevel="0" collapsed="false">
      <c r="A164" s="19" t="str">
        <f aca="false">"PKT-"&amp;B164&amp;"-METROLOGY"</f>
        <v>PKT-RIG-CT-REC-METROLOGY</v>
      </c>
      <c r="B164" s="19" t="str">
        <f aca="false">'Lot Register'!A38</f>
        <v>RIG-CT-REC</v>
      </c>
      <c r="C164" s="19" t="str">
        <f aca="false">'Lot Register'!B38</f>
        <v>Root-native rig</v>
      </c>
      <c r="D164" s="19" t="str">
        <f aca="false">'Lot Register'!D38</f>
        <v>MS-CT</v>
      </c>
      <c r="E164" s="19" t="str">
        <f aca="false">'Lot Register'!G38</f>
        <v>ST-CT-REC</v>
      </c>
      <c r="F164" s="9" t="s">
        <v>563</v>
      </c>
      <c r="G164" s="9" t="s">
        <v>564</v>
      </c>
      <c r="H164" s="9" t="s">
        <v>565</v>
      </c>
      <c r="I164" s="11" t="s">
        <v>238</v>
      </c>
      <c r="J164" s="47" t="n">
        <f aca="false">Controls!B25</f>
        <v>0</v>
      </c>
      <c r="K164" s="47" t="str">
        <f aca="false">IF(J164=1,"ACCEPTED","OPEN")</f>
        <v>OPEN</v>
      </c>
    </row>
    <row r="165" customFormat="false" ht="15" hidden="false" customHeight="false" outlineLevel="0" collapsed="false">
      <c r="A165" s="19" t="str">
        <f aca="false">"PKT-"&amp;B165&amp;"-SAFETY"</f>
        <v>PKT-RIG-CT-REC-SAFETY</v>
      </c>
      <c r="B165" s="19" t="str">
        <f aca="false">'Lot Register'!A38</f>
        <v>RIG-CT-REC</v>
      </c>
      <c r="C165" s="19" t="str">
        <f aca="false">'Lot Register'!B38</f>
        <v>Root-native rig</v>
      </c>
      <c r="D165" s="19" t="str">
        <f aca="false">'Lot Register'!D38</f>
        <v>MS-CT</v>
      </c>
      <c r="E165" s="19" t="str">
        <f aca="false">'Lot Register'!G38</f>
        <v>ST-CT-REC</v>
      </c>
      <c r="F165" s="9" t="s">
        <v>566</v>
      </c>
      <c r="G165" s="9" t="s">
        <v>567</v>
      </c>
      <c r="H165" s="9" t="s">
        <v>568</v>
      </c>
      <c r="I165" s="11" t="s">
        <v>238</v>
      </c>
      <c r="J165" s="47" t="n">
        <f aca="false">Controls!B25</f>
        <v>0</v>
      </c>
      <c r="K165" s="47" t="str">
        <f aca="false">IF(J165=1,"ACCEPTED","OPEN")</f>
        <v>OPEN</v>
      </c>
    </row>
    <row r="166" customFormat="false" ht="15" hidden="false" customHeight="false" outlineLevel="0" collapsed="false">
      <c r="A166" s="19" t="str">
        <f aca="false">"PKT-"&amp;B166&amp;"-RECONSTRUCTION"</f>
        <v>PKT-RIG-CT-REC-RECONSTRUCTION</v>
      </c>
      <c r="B166" s="19" t="str">
        <f aca="false">'Lot Register'!A38</f>
        <v>RIG-CT-REC</v>
      </c>
      <c r="C166" s="19" t="str">
        <f aca="false">'Lot Register'!B38</f>
        <v>Root-native rig</v>
      </c>
      <c r="D166" s="19" t="str">
        <f aca="false">'Lot Register'!D38</f>
        <v>MS-CT</v>
      </c>
      <c r="E166" s="19" t="str">
        <f aca="false">'Lot Register'!G38</f>
        <v>ST-CT-REC</v>
      </c>
      <c r="F166" s="9" t="s">
        <v>282</v>
      </c>
      <c r="G166" s="9" t="s">
        <v>569</v>
      </c>
      <c r="H166" s="9" t="s">
        <v>570</v>
      </c>
      <c r="I166" s="11" t="s">
        <v>238</v>
      </c>
      <c r="J166" s="47" t="n">
        <f aca="false">Controls!B25</f>
        <v>0</v>
      </c>
      <c r="K166" s="47" t="str">
        <f aca="false">IF(J166=1,"ACCEPTED","OPEN")</f>
        <v>OPEN</v>
      </c>
    </row>
    <row r="167" customFormat="false" ht="15" hidden="false" customHeight="false" outlineLevel="0" collapsed="false">
      <c r="A167" s="19" t="str">
        <f aca="false">"PKT-"&amp;B167&amp;"-CONFIGURATION"</f>
        <v>PKT-MTH-CT-REC-L1-CONFIGURATION</v>
      </c>
      <c r="B167" s="19" t="str">
        <f aca="false">'Lot Register'!A39</f>
        <v>MTH-CT-REC-L1</v>
      </c>
      <c r="C167" s="19" t="str">
        <f aca="false">'Lot Register'!B39</f>
        <v>Method lineage</v>
      </c>
      <c r="D167" s="19" t="str">
        <f aca="false">'Lot Register'!D39</f>
        <v>MS-CT</v>
      </c>
      <c r="E167" s="19" t="str">
        <f aca="false">'Lot Register'!G39</f>
        <v>ST-CT-REC</v>
      </c>
      <c r="F167" s="9" t="s">
        <v>558</v>
      </c>
      <c r="G167" s="9" t="s">
        <v>559</v>
      </c>
      <c r="H167" s="9" t="s">
        <v>560</v>
      </c>
      <c r="I167" s="11" t="s">
        <v>238</v>
      </c>
      <c r="J167" s="47" t="n">
        <f aca="false">Controls!B25</f>
        <v>0</v>
      </c>
      <c r="K167" s="47" t="str">
        <f aca="false">IF(J167=1,"ACCEPTED","OPEN")</f>
        <v>OPEN</v>
      </c>
    </row>
    <row r="168" customFormat="false" ht="15" hidden="false" customHeight="false" outlineLevel="0" collapsed="false">
      <c r="A168" s="19" t="str">
        <f aca="false">"PKT-"&amp;B168&amp;"-CONTROL"</f>
        <v>PKT-MTH-CT-REC-L1-CONTROL</v>
      </c>
      <c r="B168" s="19" t="str">
        <f aca="false">'Lot Register'!A39</f>
        <v>MTH-CT-REC-L1</v>
      </c>
      <c r="C168" s="19" t="str">
        <f aca="false">'Lot Register'!B39</f>
        <v>Method lineage</v>
      </c>
      <c r="D168" s="19" t="str">
        <f aca="false">'Lot Register'!D39</f>
        <v>MS-CT</v>
      </c>
      <c r="E168" s="19" t="str">
        <f aca="false">'Lot Register'!G39</f>
        <v>ST-CT-REC</v>
      </c>
      <c r="F168" s="9" t="s">
        <v>271</v>
      </c>
      <c r="G168" s="9" t="s">
        <v>561</v>
      </c>
      <c r="H168" s="9" t="s">
        <v>562</v>
      </c>
      <c r="I168" s="11" t="s">
        <v>238</v>
      </c>
      <c r="J168" s="47" t="n">
        <f aca="false">Controls!B25</f>
        <v>0</v>
      </c>
      <c r="K168" s="47" t="str">
        <f aca="false">IF(J168=1,"ACCEPTED","OPEN")</f>
        <v>OPEN</v>
      </c>
    </row>
    <row r="169" customFormat="false" ht="15" hidden="false" customHeight="false" outlineLevel="0" collapsed="false">
      <c r="A169" s="19" t="str">
        <f aca="false">"PKT-"&amp;B169&amp;"-METROLOGY"</f>
        <v>PKT-MTH-CT-REC-L1-METROLOGY</v>
      </c>
      <c r="B169" s="19" t="str">
        <f aca="false">'Lot Register'!A39</f>
        <v>MTH-CT-REC-L1</v>
      </c>
      <c r="C169" s="19" t="str">
        <f aca="false">'Lot Register'!B39</f>
        <v>Method lineage</v>
      </c>
      <c r="D169" s="19" t="str">
        <f aca="false">'Lot Register'!D39</f>
        <v>MS-CT</v>
      </c>
      <c r="E169" s="19" t="str">
        <f aca="false">'Lot Register'!G39</f>
        <v>ST-CT-REC</v>
      </c>
      <c r="F169" s="9" t="s">
        <v>563</v>
      </c>
      <c r="G169" s="9" t="s">
        <v>564</v>
      </c>
      <c r="H169" s="9" t="s">
        <v>565</v>
      </c>
      <c r="I169" s="11" t="s">
        <v>238</v>
      </c>
      <c r="J169" s="47" t="n">
        <f aca="false">Controls!B25</f>
        <v>0</v>
      </c>
      <c r="K169" s="47" t="str">
        <f aca="false">IF(J169=1,"ACCEPTED","OPEN")</f>
        <v>OPEN</v>
      </c>
    </row>
    <row r="170" customFormat="false" ht="15" hidden="false" customHeight="false" outlineLevel="0" collapsed="false">
      <c r="A170" s="19" t="str">
        <f aca="false">"PKT-"&amp;B170&amp;"-SAFETY"</f>
        <v>PKT-MTH-CT-REC-L1-SAFETY</v>
      </c>
      <c r="B170" s="19" t="str">
        <f aca="false">'Lot Register'!A39</f>
        <v>MTH-CT-REC-L1</v>
      </c>
      <c r="C170" s="19" t="str">
        <f aca="false">'Lot Register'!B39</f>
        <v>Method lineage</v>
      </c>
      <c r="D170" s="19" t="str">
        <f aca="false">'Lot Register'!D39</f>
        <v>MS-CT</v>
      </c>
      <c r="E170" s="19" t="str">
        <f aca="false">'Lot Register'!G39</f>
        <v>ST-CT-REC</v>
      </c>
      <c r="F170" s="9" t="s">
        <v>566</v>
      </c>
      <c r="G170" s="9" t="s">
        <v>567</v>
      </c>
      <c r="H170" s="9" t="s">
        <v>568</v>
      </c>
      <c r="I170" s="11" t="s">
        <v>238</v>
      </c>
      <c r="J170" s="47" t="n">
        <f aca="false">Controls!B25</f>
        <v>0</v>
      </c>
      <c r="K170" s="47" t="str">
        <f aca="false">IF(J170=1,"ACCEPTED","OPEN")</f>
        <v>OPEN</v>
      </c>
    </row>
    <row r="171" customFormat="false" ht="15" hidden="false" customHeight="false" outlineLevel="0" collapsed="false">
      <c r="A171" s="19" t="str">
        <f aca="false">"PKT-"&amp;B171&amp;"-RECONSTRUCTION"</f>
        <v>PKT-MTH-CT-REC-L1-RECONSTRUCTION</v>
      </c>
      <c r="B171" s="19" t="str">
        <f aca="false">'Lot Register'!A39</f>
        <v>MTH-CT-REC-L1</v>
      </c>
      <c r="C171" s="19" t="str">
        <f aca="false">'Lot Register'!B39</f>
        <v>Method lineage</v>
      </c>
      <c r="D171" s="19" t="str">
        <f aca="false">'Lot Register'!D39</f>
        <v>MS-CT</v>
      </c>
      <c r="E171" s="19" t="str">
        <f aca="false">'Lot Register'!G39</f>
        <v>ST-CT-REC</v>
      </c>
      <c r="F171" s="9" t="s">
        <v>282</v>
      </c>
      <c r="G171" s="9" t="s">
        <v>569</v>
      </c>
      <c r="H171" s="9" t="s">
        <v>570</v>
      </c>
      <c r="I171" s="11" t="s">
        <v>238</v>
      </c>
      <c r="J171" s="47" t="n">
        <f aca="false">Controls!B25</f>
        <v>0</v>
      </c>
      <c r="K171" s="47" t="str">
        <f aca="false">IF(J171=1,"ACCEPTED","OPEN")</f>
        <v>OPEN</v>
      </c>
    </row>
    <row r="172" customFormat="false" ht="15" hidden="false" customHeight="false" outlineLevel="0" collapsed="false">
      <c r="A172" s="19" t="str">
        <f aca="false">"PKT-"&amp;B172&amp;"-CONFIGURATION"</f>
        <v>PKT-MTH-CT-REC-L2-CONFIGURATION</v>
      </c>
      <c r="B172" s="19" t="str">
        <f aca="false">'Lot Register'!A40</f>
        <v>MTH-CT-REC-L2</v>
      </c>
      <c r="C172" s="19" t="str">
        <f aca="false">'Lot Register'!B40</f>
        <v>Method lineage</v>
      </c>
      <c r="D172" s="19" t="str">
        <f aca="false">'Lot Register'!D40</f>
        <v>MS-CT</v>
      </c>
      <c r="E172" s="19" t="str">
        <f aca="false">'Lot Register'!G40</f>
        <v>ST-CT-REC</v>
      </c>
      <c r="F172" s="9" t="s">
        <v>558</v>
      </c>
      <c r="G172" s="9" t="s">
        <v>559</v>
      </c>
      <c r="H172" s="9" t="s">
        <v>560</v>
      </c>
      <c r="I172" s="11" t="s">
        <v>238</v>
      </c>
      <c r="J172" s="47" t="n">
        <f aca="false">Controls!B25</f>
        <v>0</v>
      </c>
      <c r="K172" s="47" t="str">
        <f aca="false">IF(J172=1,"ACCEPTED","OPEN")</f>
        <v>OPEN</v>
      </c>
    </row>
    <row r="173" customFormat="false" ht="15" hidden="false" customHeight="false" outlineLevel="0" collapsed="false">
      <c r="A173" s="19" t="str">
        <f aca="false">"PKT-"&amp;B173&amp;"-CONTROL"</f>
        <v>PKT-MTH-CT-REC-L2-CONTROL</v>
      </c>
      <c r="B173" s="19" t="str">
        <f aca="false">'Lot Register'!A40</f>
        <v>MTH-CT-REC-L2</v>
      </c>
      <c r="C173" s="19" t="str">
        <f aca="false">'Lot Register'!B40</f>
        <v>Method lineage</v>
      </c>
      <c r="D173" s="19" t="str">
        <f aca="false">'Lot Register'!D40</f>
        <v>MS-CT</v>
      </c>
      <c r="E173" s="19" t="str">
        <f aca="false">'Lot Register'!G40</f>
        <v>ST-CT-REC</v>
      </c>
      <c r="F173" s="9" t="s">
        <v>271</v>
      </c>
      <c r="G173" s="9" t="s">
        <v>561</v>
      </c>
      <c r="H173" s="9" t="s">
        <v>562</v>
      </c>
      <c r="I173" s="11" t="s">
        <v>238</v>
      </c>
      <c r="J173" s="47" t="n">
        <f aca="false">Controls!B25</f>
        <v>0</v>
      </c>
      <c r="K173" s="47" t="str">
        <f aca="false">IF(J173=1,"ACCEPTED","OPEN")</f>
        <v>OPEN</v>
      </c>
    </row>
    <row r="174" customFormat="false" ht="15" hidden="false" customHeight="false" outlineLevel="0" collapsed="false">
      <c r="A174" s="19" t="str">
        <f aca="false">"PKT-"&amp;B174&amp;"-METROLOGY"</f>
        <v>PKT-MTH-CT-REC-L2-METROLOGY</v>
      </c>
      <c r="B174" s="19" t="str">
        <f aca="false">'Lot Register'!A40</f>
        <v>MTH-CT-REC-L2</v>
      </c>
      <c r="C174" s="19" t="str">
        <f aca="false">'Lot Register'!B40</f>
        <v>Method lineage</v>
      </c>
      <c r="D174" s="19" t="str">
        <f aca="false">'Lot Register'!D40</f>
        <v>MS-CT</v>
      </c>
      <c r="E174" s="19" t="str">
        <f aca="false">'Lot Register'!G40</f>
        <v>ST-CT-REC</v>
      </c>
      <c r="F174" s="9" t="s">
        <v>563</v>
      </c>
      <c r="G174" s="9" t="s">
        <v>564</v>
      </c>
      <c r="H174" s="9" t="s">
        <v>565</v>
      </c>
      <c r="I174" s="11" t="s">
        <v>238</v>
      </c>
      <c r="J174" s="47" t="n">
        <f aca="false">Controls!B25</f>
        <v>0</v>
      </c>
      <c r="K174" s="47" t="str">
        <f aca="false">IF(J174=1,"ACCEPTED","OPEN")</f>
        <v>OPEN</v>
      </c>
    </row>
    <row r="175" customFormat="false" ht="15" hidden="false" customHeight="false" outlineLevel="0" collapsed="false">
      <c r="A175" s="19" t="str">
        <f aca="false">"PKT-"&amp;B175&amp;"-SAFETY"</f>
        <v>PKT-MTH-CT-REC-L2-SAFETY</v>
      </c>
      <c r="B175" s="19" t="str">
        <f aca="false">'Lot Register'!A40</f>
        <v>MTH-CT-REC-L2</v>
      </c>
      <c r="C175" s="19" t="str">
        <f aca="false">'Lot Register'!B40</f>
        <v>Method lineage</v>
      </c>
      <c r="D175" s="19" t="str">
        <f aca="false">'Lot Register'!D40</f>
        <v>MS-CT</v>
      </c>
      <c r="E175" s="19" t="str">
        <f aca="false">'Lot Register'!G40</f>
        <v>ST-CT-REC</v>
      </c>
      <c r="F175" s="9" t="s">
        <v>566</v>
      </c>
      <c r="G175" s="9" t="s">
        <v>567</v>
      </c>
      <c r="H175" s="9" t="s">
        <v>568</v>
      </c>
      <c r="I175" s="11" t="s">
        <v>238</v>
      </c>
      <c r="J175" s="47" t="n">
        <f aca="false">Controls!B25</f>
        <v>0</v>
      </c>
      <c r="K175" s="47" t="str">
        <f aca="false">IF(J175=1,"ACCEPTED","OPEN")</f>
        <v>OPEN</v>
      </c>
    </row>
    <row r="176" customFormat="false" ht="15" hidden="false" customHeight="false" outlineLevel="0" collapsed="false">
      <c r="A176" s="19" t="str">
        <f aca="false">"PKT-"&amp;B176&amp;"-RECONSTRUCTION"</f>
        <v>PKT-MTH-CT-REC-L2-RECONSTRUCTION</v>
      </c>
      <c r="B176" s="19" t="str">
        <f aca="false">'Lot Register'!A40</f>
        <v>MTH-CT-REC-L2</v>
      </c>
      <c r="C176" s="19" t="str">
        <f aca="false">'Lot Register'!B40</f>
        <v>Method lineage</v>
      </c>
      <c r="D176" s="19" t="str">
        <f aca="false">'Lot Register'!D40</f>
        <v>MS-CT</v>
      </c>
      <c r="E176" s="19" t="str">
        <f aca="false">'Lot Register'!G40</f>
        <v>ST-CT-REC</v>
      </c>
      <c r="F176" s="9" t="s">
        <v>282</v>
      </c>
      <c r="G176" s="9" t="s">
        <v>569</v>
      </c>
      <c r="H176" s="9" t="s">
        <v>570</v>
      </c>
      <c r="I176" s="11" t="s">
        <v>238</v>
      </c>
      <c r="J176" s="47" t="n">
        <f aca="false">Controls!B25</f>
        <v>0</v>
      </c>
      <c r="K176" s="47" t="str">
        <f aca="false">IF(J176=1,"ACCEPTED","OPEN")</f>
        <v>OPEN</v>
      </c>
    </row>
    <row r="177" customFormat="false" ht="15" hidden="false" customHeight="false" outlineLevel="0" collapsed="false">
      <c r="A177" s="19" t="str">
        <f aca="false">"PKT-"&amp;B177&amp;"-CONFIGURATION"</f>
        <v>PKT-REG-CT-REC-CONFIGURATION</v>
      </c>
      <c r="B177" s="19" t="str">
        <f aca="false">'Lot Register'!A41</f>
        <v>REG-CT-REC</v>
      </c>
      <c r="C177" s="19" t="str">
        <f aca="false">'Lot Register'!B41</f>
        <v>Regeneration tool</v>
      </c>
      <c r="D177" s="19" t="str">
        <f aca="false">'Lot Register'!D41</f>
        <v>MS-CT</v>
      </c>
      <c r="E177" s="19" t="str">
        <f aca="false">'Lot Register'!G41</f>
        <v>ST-CT-REC</v>
      </c>
      <c r="F177" s="9" t="s">
        <v>558</v>
      </c>
      <c r="G177" s="9" t="s">
        <v>559</v>
      </c>
      <c r="H177" s="9" t="s">
        <v>560</v>
      </c>
      <c r="I177" s="11" t="s">
        <v>238</v>
      </c>
      <c r="J177" s="47" t="n">
        <f aca="false">Controls!B25</f>
        <v>0</v>
      </c>
      <c r="K177" s="47" t="str">
        <f aca="false">IF(J177=1,"ACCEPTED","OPEN")</f>
        <v>OPEN</v>
      </c>
    </row>
    <row r="178" customFormat="false" ht="15" hidden="false" customHeight="false" outlineLevel="0" collapsed="false">
      <c r="A178" s="19" t="str">
        <f aca="false">"PKT-"&amp;B178&amp;"-CONTROL"</f>
        <v>PKT-REG-CT-REC-CONTROL</v>
      </c>
      <c r="B178" s="19" t="str">
        <f aca="false">'Lot Register'!A41</f>
        <v>REG-CT-REC</v>
      </c>
      <c r="C178" s="19" t="str">
        <f aca="false">'Lot Register'!B41</f>
        <v>Regeneration tool</v>
      </c>
      <c r="D178" s="19" t="str">
        <f aca="false">'Lot Register'!D41</f>
        <v>MS-CT</v>
      </c>
      <c r="E178" s="19" t="str">
        <f aca="false">'Lot Register'!G41</f>
        <v>ST-CT-REC</v>
      </c>
      <c r="F178" s="9" t="s">
        <v>271</v>
      </c>
      <c r="G178" s="9" t="s">
        <v>561</v>
      </c>
      <c r="H178" s="9" t="s">
        <v>562</v>
      </c>
      <c r="I178" s="11" t="s">
        <v>238</v>
      </c>
      <c r="J178" s="47" t="n">
        <f aca="false">Controls!B25</f>
        <v>0</v>
      </c>
      <c r="K178" s="47" t="str">
        <f aca="false">IF(J178=1,"ACCEPTED","OPEN")</f>
        <v>OPEN</v>
      </c>
    </row>
    <row r="179" customFormat="false" ht="15" hidden="false" customHeight="false" outlineLevel="0" collapsed="false">
      <c r="A179" s="19" t="str">
        <f aca="false">"PKT-"&amp;B179&amp;"-METROLOGY"</f>
        <v>PKT-REG-CT-REC-METROLOGY</v>
      </c>
      <c r="B179" s="19" t="str">
        <f aca="false">'Lot Register'!A41</f>
        <v>REG-CT-REC</v>
      </c>
      <c r="C179" s="19" t="str">
        <f aca="false">'Lot Register'!B41</f>
        <v>Regeneration tool</v>
      </c>
      <c r="D179" s="19" t="str">
        <f aca="false">'Lot Register'!D41</f>
        <v>MS-CT</v>
      </c>
      <c r="E179" s="19" t="str">
        <f aca="false">'Lot Register'!G41</f>
        <v>ST-CT-REC</v>
      </c>
      <c r="F179" s="9" t="s">
        <v>563</v>
      </c>
      <c r="G179" s="9" t="s">
        <v>564</v>
      </c>
      <c r="H179" s="9" t="s">
        <v>565</v>
      </c>
      <c r="I179" s="11" t="s">
        <v>238</v>
      </c>
      <c r="J179" s="47" t="n">
        <f aca="false">Controls!B25</f>
        <v>0</v>
      </c>
      <c r="K179" s="47" t="str">
        <f aca="false">IF(J179=1,"ACCEPTED","OPEN")</f>
        <v>OPEN</v>
      </c>
    </row>
    <row r="180" customFormat="false" ht="15" hidden="false" customHeight="false" outlineLevel="0" collapsed="false">
      <c r="A180" s="19" t="str">
        <f aca="false">"PKT-"&amp;B180&amp;"-SAFETY"</f>
        <v>PKT-REG-CT-REC-SAFETY</v>
      </c>
      <c r="B180" s="19" t="str">
        <f aca="false">'Lot Register'!A41</f>
        <v>REG-CT-REC</v>
      </c>
      <c r="C180" s="19" t="str">
        <f aca="false">'Lot Register'!B41</f>
        <v>Regeneration tool</v>
      </c>
      <c r="D180" s="19" t="str">
        <f aca="false">'Lot Register'!D41</f>
        <v>MS-CT</v>
      </c>
      <c r="E180" s="19" t="str">
        <f aca="false">'Lot Register'!G41</f>
        <v>ST-CT-REC</v>
      </c>
      <c r="F180" s="9" t="s">
        <v>566</v>
      </c>
      <c r="G180" s="9" t="s">
        <v>567</v>
      </c>
      <c r="H180" s="9" t="s">
        <v>568</v>
      </c>
      <c r="I180" s="11" t="s">
        <v>238</v>
      </c>
      <c r="J180" s="47" t="n">
        <f aca="false">Controls!B25</f>
        <v>0</v>
      </c>
      <c r="K180" s="47" t="str">
        <f aca="false">IF(J180=1,"ACCEPTED","OPEN")</f>
        <v>OPEN</v>
      </c>
    </row>
    <row r="181" customFormat="false" ht="15" hidden="false" customHeight="false" outlineLevel="0" collapsed="false">
      <c r="A181" s="19" t="str">
        <f aca="false">"PKT-"&amp;B181&amp;"-RECONSTRUCTION"</f>
        <v>PKT-REG-CT-REC-RECONSTRUCTION</v>
      </c>
      <c r="B181" s="19" t="str">
        <f aca="false">'Lot Register'!A41</f>
        <v>REG-CT-REC</v>
      </c>
      <c r="C181" s="19" t="str">
        <f aca="false">'Lot Register'!B41</f>
        <v>Regeneration tool</v>
      </c>
      <c r="D181" s="19" t="str">
        <f aca="false">'Lot Register'!D41</f>
        <v>MS-CT</v>
      </c>
      <c r="E181" s="19" t="str">
        <f aca="false">'Lot Register'!G41</f>
        <v>ST-CT-REC</v>
      </c>
      <c r="F181" s="9" t="s">
        <v>282</v>
      </c>
      <c r="G181" s="9" t="s">
        <v>569</v>
      </c>
      <c r="H181" s="9" t="s">
        <v>570</v>
      </c>
      <c r="I181" s="11" t="s">
        <v>238</v>
      </c>
      <c r="J181" s="47" t="n">
        <f aca="false">Controls!B25</f>
        <v>0</v>
      </c>
      <c r="K181" s="47" t="str">
        <f aca="false">IF(J181=1,"ACCEPTED","OPEN")</f>
        <v>OPEN</v>
      </c>
    </row>
    <row r="182" customFormat="false" ht="15" hidden="false" customHeight="false" outlineLevel="0" collapsed="false">
      <c r="A182" s="19" t="str">
        <f aca="false">"PKT-"&amp;B182&amp;"-CONFIGURATION"</f>
        <v>PKT-INT-CT-REC-CONFIGURATION</v>
      </c>
      <c r="B182" s="19" t="str">
        <f aca="false">'Lot Register'!A42</f>
        <v>INT-CT-REC</v>
      </c>
      <c r="C182" s="19" t="str">
        <f aca="false">'Lot Register'!B42</f>
        <v>Station integration</v>
      </c>
      <c r="D182" s="19" t="str">
        <f aca="false">'Lot Register'!D42</f>
        <v>MS-CT</v>
      </c>
      <c r="E182" s="19" t="str">
        <f aca="false">'Lot Register'!G42</f>
        <v>ST-CT-REC</v>
      </c>
      <c r="F182" s="9" t="s">
        <v>558</v>
      </c>
      <c r="G182" s="9" t="s">
        <v>559</v>
      </c>
      <c r="H182" s="9" t="s">
        <v>560</v>
      </c>
      <c r="I182" s="11" t="s">
        <v>238</v>
      </c>
      <c r="J182" s="47" t="n">
        <f aca="false">Controls!B25</f>
        <v>0</v>
      </c>
      <c r="K182" s="47" t="str">
        <f aca="false">IF(J182=1,"ACCEPTED","OPEN")</f>
        <v>OPEN</v>
      </c>
    </row>
    <row r="183" customFormat="false" ht="15" hidden="false" customHeight="false" outlineLevel="0" collapsed="false">
      <c r="A183" s="19" t="str">
        <f aca="false">"PKT-"&amp;B183&amp;"-CONTROL"</f>
        <v>PKT-INT-CT-REC-CONTROL</v>
      </c>
      <c r="B183" s="19" t="str">
        <f aca="false">'Lot Register'!A42</f>
        <v>INT-CT-REC</v>
      </c>
      <c r="C183" s="19" t="str">
        <f aca="false">'Lot Register'!B42</f>
        <v>Station integration</v>
      </c>
      <c r="D183" s="19" t="str">
        <f aca="false">'Lot Register'!D42</f>
        <v>MS-CT</v>
      </c>
      <c r="E183" s="19" t="str">
        <f aca="false">'Lot Register'!G42</f>
        <v>ST-CT-REC</v>
      </c>
      <c r="F183" s="9" t="s">
        <v>271</v>
      </c>
      <c r="G183" s="9" t="s">
        <v>561</v>
      </c>
      <c r="H183" s="9" t="s">
        <v>562</v>
      </c>
      <c r="I183" s="11" t="s">
        <v>238</v>
      </c>
      <c r="J183" s="47" t="n">
        <f aca="false">Controls!B25</f>
        <v>0</v>
      </c>
      <c r="K183" s="47" t="str">
        <f aca="false">IF(J183=1,"ACCEPTED","OPEN")</f>
        <v>OPEN</v>
      </c>
    </row>
    <row r="184" customFormat="false" ht="15" hidden="false" customHeight="false" outlineLevel="0" collapsed="false">
      <c r="A184" s="19" t="str">
        <f aca="false">"PKT-"&amp;B184&amp;"-METROLOGY"</f>
        <v>PKT-INT-CT-REC-METROLOGY</v>
      </c>
      <c r="B184" s="19" t="str">
        <f aca="false">'Lot Register'!A42</f>
        <v>INT-CT-REC</v>
      </c>
      <c r="C184" s="19" t="str">
        <f aca="false">'Lot Register'!B42</f>
        <v>Station integration</v>
      </c>
      <c r="D184" s="19" t="str">
        <f aca="false">'Lot Register'!D42</f>
        <v>MS-CT</v>
      </c>
      <c r="E184" s="19" t="str">
        <f aca="false">'Lot Register'!G42</f>
        <v>ST-CT-REC</v>
      </c>
      <c r="F184" s="9" t="s">
        <v>563</v>
      </c>
      <c r="G184" s="9" t="s">
        <v>564</v>
      </c>
      <c r="H184" s="9" t="s">
        <v>565</v>
      </c>
      <c r="I184" s="11" t="s">
        <v>238</v>
      </c>
      <c r="J184" s="47" t="n">
        <f aca="false">Controls!B25</f>
        <v>0</v>
      </c>
      <c r="K184" s="47" t="str">
        <f aca="false">IF(J184=1,"ACCEPTED","OPEN")</f>
        <v>OPEN</v>
      </c>
    </row>
    <row r="185" customFormat="false" ht="15" hidden="false" customHeight="false" outlineLevel="0" collapsed="false">
      <c r="A185" s="19" t="str">
        <f aca="false">"PKT-"&amp;B185&amp;"-SAFETY"</f>
        <v>PKT-INT-CT-REC-SAFETY</v>
      </c>
      <c r="B185" s="19" t="str">
        <f aca="false">'Lot Register'!A42</f>
        <v>INT-CT-REC</v>
      </c>
      <c r="C185" s="19" t="str">
        <f aca="false">'Lot Register'!B42</f>
        <v>Station integration</v>
      </c>
      <c r="D185" s="19" t="str">
        <f aca="false">'Lot Register'!D42</f>
        <v>MS-CT</v>
      </c>
      <c r="E185" s="19" t="str">
        <f aca="false">'Lot Register'!G42</f>
        <v>ST-CT-REC</v>
      </c>
      <c r="F185" s="9" t="s">
        <v>566</v>
      </c>
      <c r="G185" s="9" t="s">
        <v>567</v>
      </c>
      <c r="H185" s="9" t="s">
        <v>568</v>
      </c>
      <c r="I185" s="11" t="s">
        <v>238</v>
      </c>
      <c r="J185" s="47" t="n">
        <f aca="false">Controls!B25</f>
        <v>0</v>
      </c>
      <c r="K185" s="47" t="str">
        <f aca="false">IF(J185=1,"ACCEPTED","OPEN")</f>
        <v>OPEN</v>
      </c>
    </row>
    <row r="186" customFormat="false" ht="15" hidden="false" customHeight="false" outlineLevel="0" collapsed="false">
      <c r="A186" s="19" t="str">
        <f aca="false">"PKT-"&amp;B186&amp;"-RECONSTRUCTION"</f>
        <v>PKT-INT-CT-REC-RECONSTRUCTION</v>
      </c>
      <c r="B186" s="19" t="str">
        <f aca="false">'Lot Register'!A42</f>
        <v>INT-CT-REC</v>
      </c>
      <c r="C186" s="19" t="str">
        <f aca="false">'Lot Register'!B42</f>
        <v>Station integration</v>
      </c>
      <c r="D186" s="19" t="str">
        <f aca="false">'Lot Register'!D42</f>
        <v>MS-CT</v>
      </c>
      <c r="E186" s="19" t="str">
        <f aca="false">'Lot Register'!G42</f>
        <v>ST-CT-REC</v>
      </c>
      <c r="F186" s="9" t="s">
        <v>282</v>
      </c>
      <c r="G186" s="9" t="s">
        <v>569</v>
      </c>
      <c r="H186" s="9" t="s">
        <v>570</v>
      </c>
      <c r="I186" s="11" t="s">
        <v>238</v>
      </c>
      <c r="J186" s="47" t="n">
        <f aca="false">Controls!B25</f>
        <v>0</v>
      </c>
      <c r="K186" s="47" t="str">
        <f aca="false">IF(J186=1,"ACCEPTED","OPEN")</f>
        <v>OPEN</v>
      </c>
    </row>
    <row r="187" customFormat="false" ht="15" hidden="false" customHeight="false" outlineLevel="0" collapsed="false">
      <c r="A187" s="19" t="str">
        <f aca="false">"PKT-"&amp;B187&amp;"-CONFIGURATION"</f>
        <v>PKT-RIG-HC-CHA-CONFIGURATION</v>
      </c>
      <c r="B187" s="19" t="str">
        <f aca="false">'Lot Register'!A43</f>
        <v>RIG-HC-CHA</v>
      </c>
      <c r="C187" s="19" t="str">
        <f aca="false">'Lot Register'!B43</f>
        <v>Root-native rig</v>
      </c>
      <c r="D187" s="19" t="str">
        <f aca="false">'Lot Register'!D43</f>
        <v>MS-HC</v>
      </c>
      <c r="E187" s="19" t="str">
        <f aca="false">'Lot Register'!G43</f>
        <v>ST-HC-CHA</v>
      </c>
      <c r="F187" s="9" t="s">
        <v>558</v>
      </c>
      <c r="G187" s="9" t="s">
        <v>559</v>
      </c>
      <c r="H187" s="9" t="s">
        <v>560</v>
      </c>
      <c r="I187" s="11" t="s">
        <v>238</v>
      </c>
      <c r="J187" s="47" t="n">
        <f aca="false">Controls!B25</f>
        <v>0</v>
      </c>
      <c r="K187" s="47" t="str">
        <f aca="false">IF(J187=1,"ACCEPTED","OPEN")</f>
        <v>OPEN</v>
      </c>
    </row>
    <row r="188" customFormat="false" ht="15" hidden="false" customHeight="false" outlineLevel="0" collapsed="false">
      <c r="A188" s="19" t="str">
        <f aca="false">"PKT-"&amp;B188&amp;"-CONTROL"</f>
        <v>PKT-RIG-HC-CHA-CONTROL</v>
      </c>
      <c r="B188" s="19" t="str">
        <f aca="false">'Lot Register'!A43</f>
        <v>RIG-HC-CHA</v>
      </c>
      <c r="C188" s="19" t="str">
        <f aca="false">'Lot Register'!B43</f>
        <v>Root-native rig</v>
      </c>
      <c r="D188" s="19" t="str">
        <f aca="false">'Lot Register'!D43</f>
        <v>MS-HC</v>
      </c>
      <c r="E188" s="19" t="str">
        <f aca="false">'Lot Register'!G43</f>
        <v>ST-HC-CHA</v>
      </c>
      <c r="F188" s="9" t="s">
        <v>271</v>
      </c>
      <c r="G188" s="9" t="s">
        <v>561</v>
      </c>
      <c r="H188" s="9" t="s">
        <v>562</v>
      </c>
      <c r="I188" s="11" t="s">
        <v>238</v>
      </c>
      <c r="J188" s="47" t="n">
        <f aca="false">Controls!B25</f>
        <v>0</v>
      </c>
      <c r="K188" s="47" t="str">
        <f aca="false">IF(J188=1,"ACCEPTED","OPEN")</f>
        <v>OPEN</v>
      </c>
    </row>
    <row r="189" customFormat="false" ht="15" hidden="false" customHeight="false" outlineLevel="0" collapsed="false">
      <c r="A189" s="19" t="str">
        <f aca="false">"PKT-"&amp;B189&amp;"-METROLOGY"</f>
        <v>PKT-RIG-HC-CHA-METROLOGY</v>
      </c>
      <c r="B189" s="19" t="str">
        <f aca="false">'Lot Register'!A43</f>
        <v>RIG-HC-CHA</v>
      </c>
      <c r="C189" s="19" t="str">
        <f aca="false">'Lot Register'!B43</f>
        <v>Root-native rig</v>
      </c>
      <c r="D189" s="19" t="str">
        <f aca="false">'Lot Register'!D43</f>
        <v>MS-HC</v>
      </c>
      <c r="E189" s="19" t="str">
        <f aca="false">'Lot Register'!G43</f>
        <v>ST-HC-CHA</v>
      </c>
      <c r="F189" s="9" t="s">
        <v>563</v>
      </c>
      <c r="G189" s="9" t="s">
        <v>564</v>
      </c>
      <c r="H189" s="9" t="s">
        <v>565</v>
      </c>
      <c r="I189" s="11" t="s">
        <v>238</v>
      </c>
      <c r="J189" s="47" t="n">
        <f aca="false">Controls!B25</f>
        <v>0</v>
      </c>
      <c r="K189" s="47" t="str">
        <f aca="false">IF(J189=1,"ACCEPTED","OPEN")</f>
        <v>OPEN</v>
      </c>
    </row>
    <row r="190" customFormat="false" ht="15" hidden="false" customHeight="false" outlineLevel="0" collapsed="false">
      <c r="A190" s="19" t="str">
        <f aca="false">"PKT-"&amp;B190&amp;"-SAFETY"</f>
        <v>PKT-RIG-HC-CHA-SAFETY</v>
      </c>
      <c r="B190" s="19" t="str">
        <f aca="false">'Lot Register'!A43</f>
        <v>RIG-HC-CHA</v>
      </c>
      <c r="C190" s="19" t="str">
        <f aca="false">'Lot Register'!B43</f>
        <v>Root-native rig</v>
      </c>
      <c r="D190" s="19" t="str">
        <f aca="false">'Lot Register'!D43</f>
        <v>MS-HC</v>
      </c>
      <c r="E190" s="19" t="str">
        <f aca="false">'Lot Register'!G43</f>
        <v>ST-HC-CHA</v>
      </c>
      <c r="F190" s="9" t="s">
        <v>566</v>
      </c>
      <c r="G190" s="9" t="s">
        <v>567</v>
      </c>
      <c r="H190" s="9" t="s">
        <v>568</v>
      </c>
      <c r="I190" s="11" t="s">
        <v>238</v>
      </c>
      <c r="J190" s="47" t="n">
        <f aca="false">Controls!B25</f>
        <v>0</v>
      </c>
      <c r="K190" s="47" t="str">
        <f aca="false">IF(J190=1,"ACCEPTED","OPEN")</f>
        <v>OPEN</v>
      </c>
    </row>
    <row r="191" customFormat="false" ht="15" hidden="false" customHeight="false" outlineLevel="0" collapsed="false">
      <c r="A191" s="19" t="str">
        <f aca="false">"PKT-"&amp;B191&amp;"-RECONSTRUCTION"</f>
        <v>PKT-RIG-HC-CHA-RECONSTRUCTION</v>
      </c>
      <c r="B191" s="19" t="str">
        <f aca="false">'Lot Register'!A43</f>
        <v>RIG-HC-CHA</v>
      </c>
      <c r="C191" s="19" t="str">
        <f aca="false">'Lot Register'!B43</f>
        <v>Root-native rig</v>
      </c>
      <c r="D191" s="19" t="str">
        <f aca="false">'Lot Register'!D43</f>
        <v>MS-HC</v>
      </c>
      <c r="E191" s="19" t="str">
        <f aca="false">'Lot Register'!G43</f>
        <v>ST-HC-CHA</v>
      </c>
      <c r="F191" s="9" t="s">
        <v>282</v>
      </c>
      <c r="G191" s="9" t="s">
        <v>569</v>
      </c>
      <c r="H191" s="9" t="s">
        <v>570</v>
      </c>
      <c r="I191" s="11" t="s">
        <v>238</v>
      </c>
      <c r="J191" s="47" t="n">
        <f aca="false">Controls!B25</f>
        <v>0</v>
      </c>
      <c r="K191" s="47" t="str">
        <f aca="false">IF(J191=1,"ACCEPTED","OPEN")</f>
        <v>OPEN</v>
      </c>
    </row>
    <row r="192" customFormat="false" ht="15" hidden="false" customHeight="false" outlineLevel="0" collapsed="false">
      <c r="A192" s="19" t="str">
        <f aca="false">"PKT-"&amp;B192&amp;"-CONFIGURATION"</f>
        <v>PKT-MTH-HC-CHA-L1-CONFIGURATION</v>
      </c>
      <c r="B192" s="19" t="str">
        <f aca="false">'Lot Register'!A44</f>
        <v>MTH-HC-CHA-L1</v>
      </c>
      <c r="C192" s="19" t="str">
        <f aca="false">'Lot Register'!B44</f>
        <v>Method lineage</v>
      </c>
      <c r="D192" s="19" t="str">
        <f aca="false">'Lot Register'!D44</f>
        <v>MS-HC</v>
      </c>
      <c r="E192" s="19" t="str">
        <f aca="false">'Lot Register'!G44</f>
        <v>ST-HC-CHA</v>
      </c>
      <c r="F192" s="9" t="s">
        <v>558</v>
      </c>
      <c r="G192" s="9" t="s">
        <v>559</v>
      </c>
      <c r="H192" s="9" t="s">
        <v>560</v>
      </c>
      <c r="I192" s="11" t="s">
        <v>238</v>
      </c>
      <c r="J192" s="47" t="n">
        <f aca="false">Controls!B25</f>
        <v>0</v>
      </c>
      <c r="K192" s="47" t="str">
        <f aca="false">IF(J192=1,"ACCEPTED","OPEN")</f>
        <v>OPEN</v>
      </c>
    </row>
    <row r="193" customFormat="false" ht="15" hidden="false" customHeight="false" outlineLevel="0" collapsed="false">
      <c r="A193" s="19" t="str">
        <f aca="false">"PKT-"&amp;B193&amp;"-CONTROL"</f>
        <v>PKT-MTH-HC-CHA-L1-CONTROL</v>
      </c>
      <c r="B193" s="19" t="str">
        <f aca="false">'Lot Register'!A44</f>
        <v>MTH-HC-CHA-L1</v>
      </c>
      <c r="C193" s="19" t="str">
        <f aca="false">'Lot Register'!B44</f>
        <v>Method lineage</v>
      </c>
      <c r="D193" s="19" t="str">
        <f aca="false">'Lot Register'!D44</f>
        <v>MS-HC</v>
      </c>
      <c r="E193" s="19" t="str">
        <f aca="false">'Lot Register'!G44</f>
        <v>ST-HC-CHA</v>
      </c>
      <c r="F193" s="9" t="s">
        <v>271</v>
      </c>
      <c r="G193" s="9" t="s">
        <v>561</v>
      </c>
      <c r="H193" s="9" t="s">
        <v>562</v>
      </c>
      <c r="I193" s="11" t="s">
        <v>238</v>
      </c>
      <c r="J193" s="47" t="n">
        <f aca="false">Controls!B25</f>
        <v>0</v>
      </c>
      <c r="K193" s="47" t="str">
        <f aca="false">IF(J193=1,"ACCEPTED","OPEN")</f>
        <v>OPEN</v>
      </c>
    </row>
    <row r="194" customFormat="false" ht="15" hidden="false" customHeight="false" outlineLevel="0" collapsed="false">
      <c r="A194" s="19" t="str">
        <f aca="false">"PKT-"&amp;B194&amp;"-METROLOGY"</f>
        <v>PKT-MTH-HC-CHA-L1-METROLOGY</v>
      </c>
      <c r="B194" s="19" t="str">
        <f aca="false">'Lot Register'!A44</f>
        <v>MTH-HC-CHA-L1</v>
      </c>
      <c r="C194" s="19" t="str">
        <f aca="false">'Lot Register'!B44</f>
        <v>Method lineage</v>
      </c>
      <c r="D194" s="19" t="str">
        <f aca="false">'Lot Register'!D44</f>
        <v>MS-HC</v>
      </c>
      <c r="E194" s="19" t="str">
        <f aca="false">'Lot Register'!G44</f>
        <v>ST-HC-CHA</v>
      </c>
      <c r="F194" s="9" t="s">
        <v>563</v>
      </c>
      <c r="G194" s="9" t="s">
        <v>564</v>
      </c>
      <c r="H194" s="9" t="s">
        <v>565</v>
      </c>
      <c r="I194" s="11" t="s">
        <v>238</v>
      </c>
      <c r="J194" s="47" t="n">
        <f aca="false">Controls!B25</f>
        <v>0</v>
      </c>
      <c r="K194" s="47" t="str">
        <f aca="false">IF(J194=1,"ACCEPTED","OPEN")</f>
        <v>OPEN</v>
      </c>
    </row>
    <row r="195" customFormat="false" ht="15" hidden="false" customHeight="false" outlineLevel="0" collapsed="false">
      <c r="A195" s="19" t="str">
        <f aca="false">"PKT-"&amp;B195&amp;"-SAFETY"</f>
        <v>PKT-MTH-HC-CHA-L1-SAFETY</v>
      </c>
      <c r="B195" s="19" t="str">
        <f aca="false">'Lot Register'!A44</f>
        <v>MTH-HC-CHA-L1</v>
      </c>
      <c r="C195" s="19" t="str">
        <f aca="false">'Lot Register'!B44</f>
        <v>Method lineage</v>
      </c>
      <c r="D195" s="19" t="str">
        <f aca="false">'Lot Register'!D44</f>
        <v>MS-HC</v>
      </c>
      <c r="E195" s="19" t="str">
        <f aca="false">'Lot Register'!G44</f>
        <v>ST-HC-CHA</v>
      </c>
      <c r="F195" s="9" t="s">
        <v>566</v>
      </c>
      <c r="G195" s="9" t="s">
        <v>567</v>
      </c>
      <c r="H195" s="9" t="s">
        <v>568</v>
      </c>
      <c r="I195" s="11" t="s">
        <v>238</v>
      </c>
      <c r="J195" s="47" t="n">
        <f aca="false">Controls!B25</f>
        <v>0</v>
      </c>
      <c r="K195" s="47" t="str">
        <f aca="false">IF(J195=1,"ACCEPTED","OPEN")</f>
        <v>OPEN</v>
      </c>
    </row>
    <row r="196" customFormat="false" ht="15" hidden="false" customHeight="false" outlineLevel="0" collapsed="false">
      <c r="A196" s="19" t="str">
        <f aca="false">"PKT-"&amp;B196&amp;"-RECONSTRUCTION"</f>
        <v>PKT-MTH-HC-CHA-L1-RECONSTRUCTION</v>
      </c>
      <c r="B196" s="19" t="str">
        <f aca="false">'Lot Register'!A44</f>
        <v>MTH-HC-CHA-L1</v>
      </c>
      <c r="C196" s="19" t="str">
        <f aca="false">'Lot Register'!B44</f>
        <v>Method lineage</v>
      </c>
      <c r="D196" s="19" t="str">
        <f aca="false">'Lot Register'!D44</f>
        <v>MS-HC</v>
      </c>
      <c r="E196" s="19" t="str">
        <f aca="false">'Lot Register'!G44</f>
        <v>ST-HC-CHA</v>
      </c>
      <c r="F196" s="9" t="s">
        <v>282</v>
      </c>
      <c r="G196" s="9" t="s">
        <v>569</v>
      </c>
      <c r="H196" s="9" t="s">
        <v>570</v>
      </c>
      <c r="I196" s="11" t="s">
        <v>238</v>
      </c>
      <c r="J196" s="47" t="n">
        <f aca="false">Controls!B25</f>
        <v>0</v>
      </c>
      <c r="K196" s="47" t="str">
        <f aca="false">IF(J196=1,"ACCEPTED","OPEN")</f>
        <v>OPEN</v>
      </c>
    </row>
    <row r="197" customFormat="false" ht="15" hidden="false" customHeight="false" outlineLevel="0" collapsed="false">
      <c r="A197" s="19" t="str">
        <f aca="false">"PKT-"&amp;B197&amp;"-CONFIGURATION"</f>
        <v>PKT-MTH-HC-CHA-L2-CONFIGURATION</v>
      </c>
      <c r="B197" s="19" t="str">
        <f aca="false">'Lot Register'!A45</f>
        <v>MTH-HC-CHA-L2</v>
      </c>
      <c r="C197" s="19" t="str">
        <f aca="false">'Lot Register'!B45</f>
        <v>Method lineage</v>
      </c>
      <c r="D197" s="19" t="str">
        <f aca="false">'Lot Register'!D45</f>
        <v>MS-HC</v>
      </c>
      <c r="E197" s="19" t="str">
        <f aca="false">'Lot Register'!G45</f>
        <v>ST-HC-CHA</v>
      </c>
      <c r="F197" s="9" t="s">
        <v>558</v>
      </c>
      <c r="G197" s="9" t="s">
        <v>559</v>
      </c>
      <c r="H197" s="9" t="s">
        <v>560</v>
      </c>
      <c r="I197" s="11" t="s">
        <v>238</v>
      </c>
      <c r="J197" s="47" t="n">
        <f aca="false">Controls!B25</f>
        <v>0</v>
      </c>
      <c r="K197" s="47" t="str">
        <f aca="false">IF(J197=1,"ACCEPTED","OPEN")</f>
        <v>OPEN</v>
      </c>
    </row>
    <row r="198" customFormat="false" ht="15" hidden="false" customHeight="false" outlineLevel="0" collapsed="false">
      <c r="A198" s="19" t="str">
        <f aca="false">"PKT-"&amp;B198&amp;"-CONTROL"</f>
        <v>PKT-MTH-HC-CHA-L2-CONTROL</v>
      </c>
      <c r="B198" s="19" t="str">
        <f aca="false">'Lot Register'!A45</f>
        <v>MTH-HC-CHA-L2</v>
      </c>
      <c r="C198" s="19" t="str">
        <f aca="false">'Lot Register'!B45</f>
        <v>Method lineage</v>
      </c>
      <c r="D198" s="19" t="str">
        <f aca="false">'Lot Register'!D45</f>
        <v>MS-HC</v>
      </c>
      <c r="E198" s="19" t="str">
        <f aca="false">'Lot Register'!G45</f>
        <v>ST-HC-CHA</v>
      </c>
      <c r="F198" s="9" t="s">
        <v>271</v>
      </c>
      <c r="G198" s="9" t="s">
        <v>561</v>
      </c>
      <c r="H198" s="9" t="s">
        <v>562</v>
      </c>
      <c r="I198" s="11" t="s">
        <v>238</v>
      </c>
      <c r="J198" s="47" t="n">
        <f aca="false">Controls!B25</f>
        <v>0</v>
      </c>
      <c r="K198" s="47" t="str">
        <f aca="false">IF(J198=1,"ACCEPTED","OPEN")</f>
        <v>OPEN</v>
      </c>
    </row>
    <row r="199" customFormat="false" ht="15" hidden="false" customHeight="false" outlineLevel="0" collapsed="false">
      <c r="A199" s="19" t="str">
        <f aca="false">"PKT-"&amp;B199&amp;"-METROLOGY"</f>
        <v>PKT-MTH-HC-CHA-L2-METROLOGY</v>
      </c>
      <c r="B199" s="19" t="str">
        <f aca="false">'Lot Register'!A45</f>
        <v>MTH-HC-CHA-L2</v>
      </c>
      <c r="C199" s="19" t="str">
        <f aca="false">'Lot Register'!B45</f>
        <v>Method lineage</v>
      </c>
      <c r="D199" s="19" t="str">
        <f aca="false">'Lot Register'!D45</f>
        <v>MS-HC</v>
      </c>
      <c r="E199" s="19" t="str">
        <f aca="false">'Lot Register'!G45</f>
        <v>ST-HC-CHA</v>
      </c>
      <c r="F199" s="9" t="s">
        <v>563</v>
      </c>
      <c r="G199" s="9" t="s">
        <v>564</v>
      </c>
      <c r="H199" s="9" t="s">
        <v>565</v>
      </c>
      <c r="I199" s="11" t="s">
        <v>238</v>
      </c>
      <c r="J199" s="47" t="n">
        <f aca="false">Controls!B25</f>
        <v>0</v>
      </c>
      <c r="K199" s="47" t="str">
        <f aca="false">IF(J199=1,"ACCEPTED","OPEN")</f>
        <v>OPEN</v>
      </c>
    </row>
    <row r="200" customFormat="false" ht="15" hidden="false" customHeight="false" outlineLevel="0" collapsed="false">
      <c r="A200" s="19" t="str">
        <f aca="false">"PKT-"&amp;B200&amp;"-SAFETY"</f>
        <v>PKT-MTH-HC-CHA-L2-SAFETY</v>
      </c>
      <c r="B200" s="19" t="str">
        <f aca="false">'Lot Register'!A45</f>
        <v>MTH-HC-CHA-L2</v>
      </c>
      <c r="C200" s="19" t="str">
        <f aca="false">'Lot Register'!B45</f>
        <v>Method lineage</v>
      </c>
      <c r="D200" s="19" t="str">
        <f aca="false">'Lot Register'!D45</f>
        <v>MS-HC</v>
      </c>
      <c r="E200" s="19" t="str">
        <f aca="false">'Lot Register'!G45</f>
        <v>ST-HC-CHA</v>
      </c>
      <c r="F200" s="9" t="s">
        <v>566</v>
      </c>
      <c r="G200" s="9" t="s">
        <v>567</v>
      </c>
      <c r="H200" s="9" t="s">
        <v>568</v>
      </c>
      <c r="I200" s="11" t="s">
        <v>238</v>
      </c>
      <c r="J200" s="47" t="n">
        <f aca="false">Controls!B25</f>
        <v>0</v>
      </c>
      <c r="K200" s="47" t="str">
        <f aca="false">IF(J200=1,"ACCEPTED","OPEN")</f>
        <v>OPEN</v>
      </c>
    </row>
    <row r="201" customFormat="false" ht="15" hidden="false" customHeight="false" outlineLevel="0" collapsed="false">
      <c r="A201" s="19" t="str">
        <f aca="false">"PKT-"&amp;B201&amp;"-RECONSTRUCTION"</f>
        <v>PKT-MTH-HC-CHA-L2-RECONSTRUCTION</v>
      </c>
      <c r="B201" s="19" t="str">
        <f aca="false">'Lot Register'!A45</f>
        <v>MTH-HC-CHA-L2</v>
      </c>
      <c r="C201" s="19" t="str">
        <f aca="false">'Lot Register'!B45</f>
        <v>Method lineage</v>
      </c>
      <c r="D201" s="19" t="str">
        <f aca="false">'Lot Register'!D45</f>
        <v>MS-HC</v>
      </c>
      <c r="E201" s="19" t="str">
        <f aca="false">'Lot Register'!G45</f>
        <v>ST-HC-CHA</v>
      </c>
      <c r="F201" s="9" t="s">
        <v>282</v>
      </c>
      <c r="G201" s="9" t="s">
        <v>569</v>
      </c>
      <c r="H201" s="9" t="s">
        <v>570</v>
      </c>
      <c r="I201" s="11" t="s">
        <v>238</v>
      </c>
      <c r="J201" s="47" t="n">
        <f aca="false">Controls!B25</f>
        <v>0</v>
      </c>
      <c r="K201" s="47" t="str">
        <f aca="false">IF(J201=1,"ACCEPTED","OPEN")</f>
        <v>OPEN</v>
      </c>
    </row>
    <row r="202" customFormat="false" ht="15" hidden="false" customHeight="false" outlineLevel="0" collapsed="false">
      <c r="A202" s="19" t="str">
        <f aca="false">"PKT-"&amp;B202&amp;"-CONFIGURATION"</f>
        <v>PKT-REG-HC-CHA-CONFIGURATION</v>
      </c>
      <c r="B202" s="19" t="str">
        <f aca="false">'Lot Register'!A46</f>
        <v>REG-HC-CHA</v>
      </c>
      <c r="C202" s="19" t="str">
        <f aca="false">'Lot Register'!B46</f>
        <v>Regeneration tool</v>
      </c>
      <c r="D202" s="19" t="str">
        <f aca="false">'Lot Register'!D46</f>
        <v>MS-HC</v>
      </c>
      <c r="E202" s="19" t="str">
        <f aca="false">'Lot Register'!G46</f>
        <v>ST-HC-CHA</v>
      </c>
      <c r="F202" s="9" t="s">
        <v>558</v>
      </c>
      <c r="G202" s="9" t="s">
        <v>559</v>
      </c>
      <c r="H202" s="9" t="s">
        <v>560</v>
      </c>
      <c r="I202" s="11" t="s">
        <v>238</v>
      </c>
      <c r="J202" s="47" t="n">
        <f aca="false">Controls!B25</f>
        <v>0</v>
      </c>
      <c r="K202" s="47" t="str">
        <f aca="false">IF(J202=1,"ACCEPTED","OPEN")</f>
        <v>OPEN</v>
      </c>
    </row>
    <row r="203" customFormat="false" ht="15" hidden="false" customHeight="false" outlineLevel="0" collapsed="false">
      <c r="A203" s="19" t="str">
        <f aca="false">"PKT-"&amp;B203&amp;"-CONTROL"</f>
        <v>PKT-REG-HC-CHA-CONTROL</v>
      </c>
      <c r="B203" s="19" t="str">
        <f aca="false">'Lot Register'!A46</f>
        <v>REG-HC-CHA</v>
      </c>
      <c r="C203" s="19" t="str">
        <f aca="false">'Lot Register'!B46</f>
        <v>Regeneration tool</v>
      </c>
      <c r="D203" s="19" t="str">
        <f aca="false">'Lot Register'!D46</f>
        <v>MS-HC</v>
      </c>
      <c r="E203" s="19" t="str">
        <f aca="false">'Lot Register'!G46</f>
        <v>ST-HC-CHA</v>
      </c>
      <c r="F203" s="9" t="s">
        <v>271</v>
      </c>
      <c r="G203" s="9" t="s">
        <v>561</v>
      </c>
      <c r="H203" s="9" t="s">
        <v>562</v>
      </c>
      <c r="I203" s="11" t="s">
        <v>238</v>
      </c>
      <c r="J203" s="47" t="n">
        <f aca="false">Controls!B25</f>
        <v>0</v>
      </c>
      <c r="K203" s="47" t="str">
        <f aca="false">IF(J203=1,"ACCEPTED","OPEN")</f>
        <v>OPEN</v>
      </c>
    </row>
    <row r="204" customFormat="false" ht="15" hidden="false" customHeight="false" outlineLevel="0" collapsed="false">
      <c r="A204" s="19" t="str">
        <f aca="false">"PKT-"&amp;B204&amp;"-METROLOGY"</f>
        <v>PKT-REG-HC-CHA-METROLOGY</v>
      </c>
      <c r="B204" s="19" t="str">
        <f aca="false">'Lot Register'!A46</f>
        <v>REG-HC-CHA</v>
      </c>
      <c r="C204" s="19" t="str">
        <f aca="false">'Lot Register'!B46</f>
        <v>Regeneration tool</v>
      </c>
      <c r="D204" s="19" t="str">
        <f aca="false">'Lot Register'!D46</f>
        <v>MS-HC</v>
      </c>
      <c r="E204" s="19" t="str">
        <f aca="false">'Lot Register'!G46</f>
        <v>ST-HC-CHA</v>
      </c>
      <c r="F204" s="9" t="s">
        <v>563</v>
      </c>
      <c r="G204" s="9" t="s">
        <v>564</v>
      </c>
      <c r="H204" s="9" t="s">
        <v>565</v>
      </c>
      <c r="I204" s="11" t="s">
        <v>238</v>
      </c>
      <c r="J204" s="47" t="n">
        <f aca="false">Controls!B25</f>
        <v>0</v>
      </c>
      <c r="K204" s="47" t="str">
        <f aca="false">IF(J204=1,"ACCEPTED","OPEN")</f>
        <v>OPEN</v>
      </c>
    </row>
    <row r="205" customFormat="false" ht="15" hidden="false" customHeight="false" outlineLevel="0" collapsed="false">
      <c r="A205" s="19" t="str">
        <f aca="false">"PKT-"&amp;B205&amp;"-SAFETY"</f>
        <v>PKT-REG-HC-CHA-SAFETY</v>
      </c>
      <c r="B205" s="19" t="str">
        <f aca="false">'Lot Register'!A46</f>
        <v>REG-HC-CHA</v>
      </c>
      <c r="C205" s="19" t="str">
        <f aca="false">'Lot Register'!B46</f>
        <v>Regeneration tool</v>
      </c>
      <c r="D205" s="19" t="str">
        <f aca="false">'Lot Register'!D46</f>
        <v>MS-HC</v>
      </c>
      <c r="E205" s="19" t="str">
        <f aca="false">'Lot Register'!G46</f>
        <v>ST-HC-CHA</v>
      </c>
      <c r="F205" s="9" t="s">
        <v>566</v>
      </c>
      <c r="G205" s="9" t="s">
        <v>567</v>
      </c>
      <c r="H205" s="9" t="s">
        <v>568</v>
      </c>
      <c r="I205" s="11" t="s">
        <v>238</v>
      </c>
      <c r="J205" s="47" t="n">
        <f aca="false">Controls!B25</f>
        <v>0</v>
      </c>
      <c r="K205" s="47" t="str">
        <f aca="false">IF(J205=1,"ACCEPTED","OPEN")</f>
        <v>OPEN</v>
      </c>
    </row>
    <row r="206" customFormat="false" ht="15" hidden="false" customHeight="false" outlineLevel="0" collapsed="false">
      <c r="A206" s="19" t="str">
        <f aca="false">"PKT-"&amp;B206&amp;"-RECONSTRUCTION"</f>
        <v>PKT-REG-HC-CHA-RECONSTRUCTION</v>
      </c>
      <c r="B206" s="19" t="str">
        <f aca="false">'Lot Register'!A46</f>
        <v>REG-HC-CHA</v>
      </c>
      <c r="C206" s="19" t="str">
        <f aca="false">'Lot Register'!B46</f>
        <v>Regeneration tool</v>
      </c>
      <c r="D206" s="19" t="str">
        <f aca="false">'Lot Register'!D46</f>
        <v>MS-HC</v>
      </c>
      <c r="E206" s="19" t="str">
        <f aca="false">'Lot Register'!G46</f>
        <v>ST-HC-CHA</v>
      </c>
      <c r="F206" s="9" t="s">
        <v>282</v>
      </c>
      <c r="G206" s="9" t="s">
        <v>569</v>
      </c>
      <c r="H206" s="9" t="s">
        <v>570</v>
      </c>
      <c r="I206" s="11" t="s">
        <v>238</v>
      </c>
      <c r="J206" s="47" t="n">
        <f aca="false">Controls!B25</f>
        <v>0</v>
      </c>
      <c r="K206" s="47" t="str">
        <f aca="false">IF(J206=1,"ACCEPTED","OPEN")</f>
        <v>OPEN</v>
      </c>
    </row>
    <row r="207" customFormat="false" ht="15" hidden="false" customHeight="false" outlineLevel="0" collapsed="false">
      <c r="A207" s="19" t="str">
        <f aca="false">"PKT-"&amp;B207&amp;"-CONFIGURATION"</f>
        <v>PKT-INT-HC-CHA-CONFIGURATION</v>
      </c>
      <c r="B207" s="19" t="str">
        <f aca="false">'Lot Register'!A47</f>
        <v>INT-HC-CHA</v>
      </c>
      <c r="C207" s="19" t="str">
        <f aca="false">'Lot Register'!B47</f>
        <v>Station integration</v>
      </c>
      <c r="D207" s="19" t="str">
        <f aca="false">'Lot Register'!D47</f>
        <v>MS-HC</v>
      </c>
      <c r="E207" s="19" t="str">
        <f aca="false">'Lot Register'!G47</f>
        <v>ST-HC-CHA</v>
      </c>
      <c r="F207" s="9" t="s">
        <v>558</v>
      </c>
      <c r="G207" s="9" t="s">
        <v>559</v>
      </c>
      <c r="H207" s="9" t="s">
        <v>560</v>
      </c>
      <c r="I207" s="11" t="s">
        <v>238</v>
      </c>
      <c r="J207" s="47" t="n">
        <f aca="false">Controls!B25</f>
        <v>0</v>
      </c>
      <c r="K207" s="47" t="str">
        <f aca="false">IF(J207=1,"ACCEPTED","OPEN")</f>
        <v>OPEN</v>
      </c>
    </row>
    <row r="208" customFormat="false" ht="15" hidden="false" customHeight="false" outlineLevel="0" collapsed="false">
      <c r="A208" s="19" t="str">
        <f aca="false">"PKT-"&amp;B208&amp;"-CONTROL"</f>
        <v>PKT-INT-HC-CHA-CONTROL</v>
      </c>
      <c r="B208" s="19" t="str">
        <f aca="false">'Lot Register'!A47</f>
        <v>INT-HC-CHA</v>
      </c>
      <c r="C208" s="19" t="str">
        <f aca="false">'Lot Register'!B47</f>
        <v>Station integration</v>
      </c>
      <c r="D208" s="19" t="str">
        <f aca="false">'Lot Register'!D47</f>
        <v>MS-HC</v>
      </c>
      <c r="E208" s="19" t="str">
        <f aca="false">'Lot Register'!G47</f>
        <v>ST-HC-CHA</v>
      </c>
      <c r="F208" s="9" t="s">
        <v>271</v>
      </c>
      <c r="G208" s="9" t="s">
        <v>561</v>
      </c>
      <c r="H208" s="9" t="s">
        <v>562</v>
      </c>
      <c r="I208" s="11" t="s">
        <v>238</v>
      </c>
      <c r="J208" s="47" t="n">
        <f aca="false">Controls!B25</f>
        <v>0</v>
      </c>
      <c r="K208" s="47" t="str">
        <f aca="false">IF(J208=1,"ACCEPTED","OPEN")</f>
        <v>OPEN</v>
      </c>
    </row>
    <row r="209" customFormat="false" ht="15" hidden="false" customHeight="false" outlineLevel="0" collapsed="false">
      <c r="A209" s="19" t="str">
        <f aca="false">"PKT-"&amp;B209&amp;"-METROLOGY"</f>
        <v>PKT-INT-HC-CHA-METROLOGY</v>
      </c>
      <c r="B209" s="19" t="str">
        <f aca="false">'Lot Register'!A47</f>
        <v>INT-HC-CHA</v>
      </c>
      <c r="C209" s="19" t="str">
        <f aca="false">'Lot Register'!B47</f>
        <v>Station integration</v>
      </c>
      <c r="D209" s="19" t="str">
        <f aca="false">'Lot Register'!D47</f>
        <v>MS-HC</v>
      </c>
      <c r="E209" s="19" t="str">
        <f aca="false">'Lot Register'!G47</f>
        <v>ST-HC-CHA</v>
      </c>
      <c r="F209" s="9" t="s">
        <v>563</v>
      </c>
      <c r="G209" s="9" t="s">
        <v>564</v>
      </c>
      <c r="H209" s="9" t="s">
        <v>565</v>
      </c>
      <c r="I209" s="11" t="s">
        <v>238</v>
      </c>
      <c r="J209" s="47" t="n">
        <f aca="false">Controls!B25</f>
        <v>0</v>
      </c>
      <c r="K209" s="47" t="str">
        <f aca="false">IF(J209=1,"ACCEPTED","OPEN")</f>
        <v>OPEN</v>
      </c>
    </row>
    <row r="210" customFormat="false" ht="15" hidden="false" customHeight="false" outlineLevel="0" collapsed="false">
      <c r="A210" s="19" t="str">
        <f aca="false">"PKT-"&amp;B210&amp;"-SAFETY"</f>
        <v>PKT-INT-HC-CHA-SAFETY</v>
      </c>
      <c r="B210" s="19" t="str">
        <f aca="false">'Lot Register'!A47</f>
        <v>INT-HC-CHA</v>
      </c>
      <c r="C210" s="19" t="str">
        <f aca="false">'Lot Register'!B47</f>
        <v>Station integration</v>
      </c>
      <c r="D210" s="19" t="str">
        <f aca="false">'Lot Register'!D47</f>
        <v>MS-HC</v>
      </c>
      <c r="E210" s="19" t="str">
        <f aca="false">'Lot Register'!G47</f>
        <v>ST-HC-CHA</v>
      </c>
      <c r="F210" s="9" t="s">
        <v>566</v>
      </c>
      <c r="G210" s="9" t="s">
        <v>567</v>
      </c>
      <c r="H210" s="9" t="s">
        <v>568</v>
      </c>
      <c r="I210" s="11" t="s">
        <v>238</v>
      </c>
      <c r="J210" s="47" t="n">
        <f aca="false">Controls!B25</f>
        <v>0</v>
      </c>
      <c r="K210" s="47" t="str">
        <f aca="false">IF(J210=1,"ACCEPTED","OPEN")</f>
        <v>OPEN</v>
      </c>
    </row>
    <row r="211" customFormat="false" ht="15" hidden="false" customHeight="false" outlineLevel="0" collapsed="false">
      <c r="A211" s="19" t="str">
        <f aca="false">"PKT-"&amp;B211&amp;"-RECONSTRUCTION"</f>
        <v>PKT-INT-HC-CHA-RECONSTRUCTION</v>
      </c>
      <c r="B211" s="19" t="str">
        <f aca="false">'Lot Register'!A47</f>
        <v>INT-HC-CHA</v>
      </c>
      <c r="C211" s="19" t="str">
        <f aca="false">'Lot Register'!B47</f>
        <v>Station integration</v>
      </c>
      <c r="D211" s="19" t="str">
        <f aca="false">'Lot Register'!D47</f>
        <v>MS-HC</v>
      </c>
      <c r="E211" s="19" t="str">
        <f aca="false">'Lot Register'!G47</f>
        <v>ST-HC-CHA</v>
      </c>
      <c r="F211" s="9" t="s">
        <v>282</v>
      </c>
      <c r="G211" s="9" t="s">
        <v>569</v>
      </c>
      <c r="H211" s="9" t="s">
        <v>570</v>
      </c>
      <c r="I211" s="11" t="s">
        <v>238</v>
      </c>
      <c r="J211" s="47" t="n">
        <f aca="false">Controls!B25</f>
        <v>0</v>
      </c>
      <c r="K211" s="47" t="str">
        <f aca="false">IF(J211=1,"ACCEPTED","OPEN")</f>
        <v>OPEN</v>
      </c>
    </row>
    <row r="212" customFormat="false" ht="15" hidden="false" customHeight="false" outlineLevel="0" collapsed="false">
      <c r="A212" s="19" t="str">
        <f aca="false">"PKT-"&amp;B212&amp;"-CONFIGURATION"</f>
        <v>PKT-RIG-HC-CON-CONFIGURATION</v>
      </c>
      <c r="B212" s="19" t="str">
        <f aca="false">'Lot Register'!A48</f>
        <v>RIG-HC-CON</v>
      </c>
      <c r="C212" s="19" t="str">
        <f aca="false">'Lot Register'!B48</f>
        <v>Root-native rig</v>
      </c>
      <c r="D212" s="19" t="str">
        <f aca="false">'Lot Register'!D48</f>
        <v>MS-HC</v>
      </c>
      <c r="E212" s="19" t="str">
        <f aca="false">'Lot Register'!G48</f>
        <v>ST-HC-CON</v>
      </c>
      <c r="F212" s="9" t="s">
        <v>558</v>
      </c>
      <c r="G212" s="9" t="s">
        <v>559</v>
      </c>
      <c r="H212" s="9" t="s">
        <v>560</v>
      </c>
      <c r="I212" s="11" t="s">
        <v>238</v>
      </c>
      <c r="J212" s="47" t="n">
        <f aca="false">Controls!B25</f>
        <v>0</v>
      </c>
      <c r="K212" s="47" t="str">
        <f aca="false">IF(J212=1,"ACCEPTED","OPEN")</f>
        <v>OPEN</v>
      </c>
    </row>
    <row r="213" customFormat="false" ht="15" hidden="false" customHeight="false" outlineLevel="0" collapsed="false">
      <c r="A213" s="19" t="str">
        <f aca="false">"PKT-"&amp;B213&amp;"-CONTROL"</f>
        <v>PKT-RIG-HC-CON-CONTROL</v>
      </c>
      <c r="B213" s="19" t="str">
        <f aca="false">'Lot Register'!A48</f>
        <v>RIG-HC-CON</v>
      </c>
      <c r="C213" s="19" t="str">
        <f aca="false">'Lot Register'!B48</f>
        <v>Root-native rig</v>
      </c>
      <c r="D213" s="19" t="str">
        <f aca="false">'Lot Register'!D48</f>
        <v>MS-HC</v>
      </c>
      <c r="E213" s="19" t="str">
        <f aca="false">'Lot Register'!G48</f>
        <v>ST-HC-CON</v>
      </c>
      <c r="F213" s="9" t="s">
        <v>271</v>
      </c>
      <c r="G213" s="9" t="s">
        <v>561</v>
      </c>
      <c r="H213" s="9" t="s">
        <v>562</v>
      </c>
      <c r="I213" s="11" t="s">
        <v>238</v>
      </c>
      <c r="J213" s="47" t="n">
        <f aca="false">Controls!B25</f>
        <v>0</v>
      </c>
      <c r="K213" s="47" t="str">
        <f aca="false">IF(J213=1,"ACCEPTED","OPEN")</f>
        <v>OPEN</v>
      </c>
    </row>
    <row r="214" customFormat="false" ht="15" hidden="false" customHeight="false" outlineLevel="0" collapsed="false">
      <c r="A214" s="19" t="str">
        <f aca="false">"PKT-"&amp;B214&amp;"-METROLOGY"</f>
        <v>PKT-RIG-HC-CON-METROLOGY</v>
      </c>
      <c r="B214" s="19" t="str">
        <f aca="false">'Lot Register'!A48</f>
        <v>RIG-HC-CON</v>
      </c>
      <c r="C214" s="19" t="str">
        <f aca="false">'Lot Register'!B48</f>
        <v>Root-native rig</v>
      </c>
      <c r="D214" s="19" t="str">
        <f aca="false">'Lot Register'!D48</f>
        <v>MS-HC</v>
      </c>
      <c r="E214" s="19" t="str">
        <f aca="false">'Lot Register'!G48</f>
        <v>ST-HC-CON</v>
      </c>
      <c r="F214" s="9" t="s">
        <v>563</v>
      </c>
      <c r="G214" s="9" t="s">
        <v>564</v>
      </c>
      <c r="H214" s="9" t="s">
        <v>565</v>
      </c>
      <c r="I214" s="11" t="s">
        <v>238</v>
      </c>
      <c r="J214" s="47" t="n">
        <f aca="false">Controls!B25</f>
        <v>0</v>
      </c>
      <c r="K214" s="47" t="str">
        <f aca="false">IF(J214=1,"ACCEPTED","OPEN")</f>
        <v>OPEN</v>
      </c>
    </row>
    <row r="215" customFormat="false" ht="15" hidden="false" customHeight="false" outlineLevel="0" collapsed="false">
      <c r="A215" s="19" t="str">
        <f aca="false">"PKT-"&amp;B215&amp;"-SAFETY"</f>
        <v>PKT-RIG-HC-CON-SAFETY</v>
      </c>
      <c r="B215" s="19" t="str">
        <f aca="false">'Lot Register'!A48</f>
        <v>RIG-HC-CON</v>
      </c>
      <c r="C215" s="19" t="str">
        <f aca="false">'Lot Register'!B48</f>
        <v>Root-native rig</v>
      </c>
      <c r="D215" s="19" t="str">
        <f aca="false">'Lot Register'!D48</f>
        <v>MS-HC</v>
      </c>
      <c r="E215" s="19" t="str">
        <f aca="false">'Lot Register'!G48</f>
        <v>ST-HC-CON</v>
      </c>
      <c r="F215" s="9" t="s">
        <v>566</v>
      </c>
      <c r="G215" s="9" t="s">
        <v>567</v>
      </c>
      <c r="H215" s="9" t="s">
        <v>568</v>
      </c>
      <c r="I215" s="11" t="s">
        <v>238</v>
      </c>
      <c r="J215" s="47" t="n">
        <f aca="false">Controls!B25</f>
        <v>0</v>
      </c>
      <c r="K215" s="47" t="str">
        <f aca="false">IF(J215=1,"ACCEPTED","OPEN")</f>
        <v>OPEN</v>
      </c>
    </row>
    <row r="216" customFormat="false" ht="15" hidden="false" customHeight="false" outlineLevel="0" collapsed="false">
      <c r="A216" s="19" t="str">
        <f aca="false">"PKT-"&amp;B216&amp;"-RECONSTRUCTION"</f>
        <v>PKT-RIG-HC-CON-RECONSTRUCTION</v>
      </c>
      <c r="B216" s="19" t="str">
        <f aca="false">'Lot Register'!A48</f>
        <v>RIG-HC-CON</v>
      </c>
      <c r="C216" s="19" t="str">
        <f aca="false">'Lot Register'!B48</f>
        <v>Root-native rig</v>
      </c>
      <c r="D216" s="19" t="str">
        <f aca="false">'Lot Register'!D48</f>
        <v>MS-HC</v>
      </c>
      <c r="E216" s="19" t="str">
        <f aca="false">'Lot Register'!G48</f>
        <v>ST-HC-CON</v>
      </c>
      <c r="F216" s="9" t="s">
        <v>282</v>
      </c>
      <c r="G216" s="9" t="s">
        <v>569</v>
      </c>
      <c r="H216" s="9" t="s">
        <v>570</v>
      </c>
      <c r="I216" s="11" t="s">
        <v>238</v>
      </c>
      <c r="J216" s="47" t="n">
        <f aca="false">Controls!B25</f>
        <v>0</v>
      </c>
      <c r="K216" s="47" t="str">
        <f aca="false">IF(J216=1,"ACCEPTED","OPEN")</f>
        <v>OPEN</v>
      </c>
    </row>
    <row r="217" customFormat="false" ht="15" hidden="false" customHeight="false" outlineLevel="0" collapsed="false">
      <c r="A217" s="19" t="str">
        <f aca="false">"PKT-"&amp;B217&amp;"-CONFIGURATION"</f>
        <v>PKT-MTH-HC-CON-L1-CONFIGURATION</v>
      </c>
      <c r="B217" s="19" t="str">
        <f aca="false">'Lot Register'!A49</f>
        <v>MTH-HC-CON-L1</v>
      </c>
      <c r="C217" s="19" t="str">
        <f aca="false">'Lot Register'!B49</f>
        <v>Method lineage</v>
      </c>
      <c r="D217" s="19" t="str">
        <f aca="false">'Lot Register'!D49</f>
        <v>MS-HC</v>
      </c>
      <c r="E217" s="19" t="str">
        <f aca="false">'Lot Register'!G49</f>
        <v>ST-HC-CON</v>
      </c>
      <c r="F217" s="9" t="s">
        <v>558</v>
      </c>
      <c r="G217" s="9" t="s">
        <v>559</v>
      </c>
      <c r="H217" s="9" t="s">
        <v>560</v>
      </c>
      <c r="I217" s="11" t="s">
        <v>238</v>
      </c>
      <c r="J217" s="47" t="n">
        <f aca="false">Controls!B25</f>
        <v>0</v>
      </c>
      <c r="K217" s="47" t="str">
        <f aca="false">IF(J217=1,"ACCEPTED","OPEN")</f>
        <v>OPEN</v>
      </c>
    </row>
    <row r="218" customFormat="false" ht="15" hidden="false" customHeight="false" outlineLevel="0" collapsed="false">
      <c r="A218" s="19" t="str">
        <f aca="false">"PKT-"&amp;B218&amp;"-CONTROL"</f>
        <v>PKT-MTH-HC-CON-L1-CONTROL</v>
      </c>
      <c r="B218" s="19" t="str">
        <f aca="false">'Lot Register'!A49</f>
        <v>MTH-HC-CON-L1</v>
      </c>
      <c r="C218" s="19" t="str">
        <f aca="false">'Lot Register'!B49</f>
        <v>Method lineage</v>
      </c>
      <c r="D218" s="19" t="str">
        <f aca="false">'Lot Register'!D49</f>
        <v>MS-HC</v>
      </c>
      <c r="E218" s="19" t="str">
        <f aca="false">'Lot Register'!G49</f>
        <v>ST-HC-CON</v>
      </c>
      <c r="F218" s="9" t="s">
        <v>271</v>
      </c>
      <c r="G218" s="9" t="s">
        <v>561</v>
      </c>
      <c r="H218" s="9" t="s">
        <v>562</v>
      </c>
      <c r="I218" s="11" t="s">
        <v>238</v>
      </c>
      <c r="J218" s="47" t="n">
        <f aca="false">Controls!B25</f>
        <v>0</v>
      </c>
      <c r="K218" s="47" t="str">
        <f aca="false">IF(J218=1,"ACCEPTED","OPEN")</f>
        <v>OPEN</v>
      </c>
    </row>
    <row r="219" customFormat="false" ht="15" hidden="false" customHeight="false" outlineLevel="0" collapsed="false">
      <c r="A219" s="19" t="str">
        <f aca="false">"PKT-"&amp;B219&amp;"-METROLOGY"</f>
        <v>PKT-MTH-HC-CON-L1-METROLOGY</v>
      </c>
      <c r="B219" s="19" t="str">
        <f aca="false">'Lot Register'!A49</f>
        <v>MTH-HC-CON-L1</v>
      </c>
      <c r="C219" s="19" t="str">
        <f aca="false">'Lot Register'!B49</f>
        <v>Method lineage</v>
      </c>
      <c r="D219" s="19" t="str">
        <f aca="false">'Lot Register'!D49</f>
        <v>MS-HC</v>
      </c>
      <c r="E219" s="19" t="str">
        <f aca="false">'Lot Register'!G49</f>
        <v>ST-HC-CON</v>
      </c>
      <c r="F219" s="9" t="s">
        <v>563</v>
      </c>
      <c r="G219" s="9" t="s">
        <v>564</v>
      </c>
      <c r="H219" s="9" t="s">
        <v>565</v>
      </c>
      <c r="I219" s="11" t="s">
        <v>238</v>
      </c>
      <c r="J219" s="47" t="n">
        <f aca="false">Controls!B25</f>
        <v>0</v>
      </c>
      <c r="K219" s="47" t="str">
        <f aca="false">IF(J219=1,"ACCEPTED","OPEN")</f>
        <v>OPEN</v>
      </c>
    </row>
    <row r="220" customFormat="false" ht="15" hidden="false" customHeight="false" outlineLevel="0" collapsed="false">
      <c r="A220" s="19" t="str">
        <f aca="false">"PKT-"&amp;B220&amp;"-SAFETY"</f>
        <v>PKT-MTH-HC-CON-L1-SAFETY</v>
      </c>
      <c r="B220" s="19" t="str">
        <f aca="false">'Lot Register'!A49</f>
        <v>MTH-HC-CON-L1</v>
      </c>
      <c r="C220" s="19" t="str">
        <f aca="false">'Lot Register'!B49</f>
        <v>Method lineage</v>
      </c>
      <c r="D220" s="19" t="str">
        <f aca="false">'Lot Register'!D49</f>
        <v>MS-HC</v>
      </c>
      <c r="E220" s="19" t="str">
        <f aca="false">'Lot Register'!G49</f>
        <v>ST-HC-CON</v>
      </c>
      <c r="F220" s="9" t="s">
        <v>566</v>
      </c>
      <c r="G220" s="9" t="s">
        <v>567</v>
      </c>
      <c r="H220" s="9" t="s">
        <v>568</v>
      </c>
      <c r="I220" s="11" t="s">
        <v>238</v>
      </c>
      <c r="J220" s="47" t="n">
        <f aca="false">Controls!B25</f>
        <v>0</v>
      </c>
      <c r="K220" s="47" t="str">
        <f aca="false">IF(J220=1,"ACCEPTED","OPEN")</f>
        <v>OPEN</v>
      </c>
    </row>
    <row r="221" customFormat="false" ht="15" hidden="false" customHeight="false" outlineLevel="0" collapsed="false">
      <c r="A221" s="19" t="str">
        <f aca="false">"PKT-"&amp;B221&amp;"-RECONSTRUCTION"</f>
        <v>PKT-MTH-HC-CON-L1-RECONSTRUCTION</v>
      </c>
      <c r="B221" s="19" t="str">
        <f aca="false">'Lot Register'!A49</f>
        <v>MTH-HC-CON-L1</v>
      </c>
      <c r="C221" s="19" t="str">
        <f aca="false">'Lot Register'!B49</f>
        <v>Method lineage</v>
      </c>
      <c r="D221" s="19" t="str">
        <f aca="false">'Lot Register'!D49</f>
        <v>MS-HC</v>
      </c>
      <c r="E221" s="19" t="str">
        <f aca="false">'Lot Register'!G49</f>
        <v>ST-HC-CON</v>
      </c>
      <c r="F221" s="9" t="s">
        <v>282</v>
      </c>
      <c r="G221" s="9" t="s">
        <v>569</v>
      </c>
      <c r="H221" s="9" t="s">
        <v>570</v>
      </c>
      <c r="I221" s="11" t="s">
        <v>238</v>
      </c>
      <c r="J221" s="47" t="n">
        <f aca="false">Controls!B25</f>
        <v>0</v>
      </c>
      <c r="K221" s="47" t="str">
        <f aca="false">IF(J221=1,"ACCEPTED","OPEN")</f>
        <v>OPEN</v>
      </c>
    </row>
    <row r="222" customFormat="false" ht="15" hidden="false" customHeight="false" outlineLevel="0" collapsed="false">
      <c r="A222" s="19" t="str">
        <f aca="false">"PKT-"&amp;B222&amp;"-CONFIGURATION"</f>
        <v>PKT-MTH-HC-CON-L2-CONFIGURATION</v>
      </c>
      <c r="B222" s="19" t="str">
        <f aca="false">'Lot Register'!A50</f>
        <v>MTH-HC-CON-L2</v>
      </c>
      <c r="C222" s="19" t="str">
        <f aca="false">'Lot Register'!B50</f>
        <v>Method lineage</v>
      </c>
      <c r="D222" s="19" t="str">
        <f aca="false">'Lot Register'!D50</f>
        <v>MS-HC</v>
      </c>
      <c r="E222" s="19" t="str">
        <f aca="false">'Lot Register'!G50</f>
        <v>ST-HC-CON</v>
      </c>
      <c r="F222" s="9" t="s">
        <v>558</v>
      </c>
      <c r="G222" s="9" t="s">
        <v>559</v>
      </c>
      <c r="H222" s="9" t="s">
        <v>560</v>
      </c>
      <c r="I222" s="11" t="s">
        <v>238</v>
      </c>
      <c r="J222" s="47" t="n">
        <f aca="false">Controls!B25</f>
        <v>0</v>
      </c>
      <c r="K222" s="47" t="str">
        <f aca="false">IF(J222=1,"ACCEPTED","OPEN")</f>
        <v>OPEN</v>
      </c>
    </row>
    <row r="223" customFormat="false" ht="15" hidden="false" customHeight="false" outlineLevel="0" collapsed="false">
      <c r="A223" s="19" t="str">
        <f aca="false">"PKT-"&amp;B223&amp;"-CONTROL"</f>
        <v>PKT-MTH-HC-CON-L2-CONTROL</v>
      </c>
      <c r="B223" s="19" t="str">
        <f aca="false">'Lot Register'!A50</f>
        <v>MTH-HC-CON-L2</v>
      </c>
      <c r="C223" s="19" t="str">
        <f aca="false">'Lot Register'!B50</f>
        <v>Method lineage</v>
      </c>
      <c r="D223" s="19" t="str">
        <f aca="false">'Lot Register'!D50</f>
        <v>MS-HC</v>
      </c>
      <c r="E223" s="19" t="str">
        <f aca="false">'Lot Register'!G50</f>
        <v>ST-HC-CON</v>
      </c>
      <c r="F223" s="9" t="s">
        <v>271</v>
      </c>
      <c r="G223" s="9" t="s">
        <v>561</v>
      </c>
      <c r="H223" s="9" t="s">
        <v>562</v>
      </c>
      <c r="I223" s="11" t="s">
        <v>238</v>
      </c>
      <c r="J223" s="47" t="n">
        <f aca="false">Controls!B25</f>
        <v>0</v>
      </c>
      <c r="K223" s="47" t="str">
        <f aca="false">IF(J223=1,"ACCEPTED","OPEN")</f>
        <v>OPEN</v>
      </c>
    </row>
    <row r="224" customFormat="false" ht="15" hidden="false" customHeight="false" outlineLevel="0" collapsed="false">
      <c r="A224" s="19" t="str">
        <f aca="false">"PKT-"&amp;B224&amp;"-METROLOGY"</f>
        <v>PKT-MTH-HC-CON-L2-METROLOGY</v>
      </c>
      <c r="B224" s="19" t="str">
        <f aca="false">'Lot Register'!A50</f>
        <v>MTH-HC-CON-L2</v>
      </c>
      <c r="C224" s="19" t="str">
        <f aca="false">'Lot Register'!B50</f>
        <v>Method lineage</v>
      </c>
      <c r="D224" s="19" t="str">
        <f aca="false">'Lot Register'!D50</f>
        <v>MS-HC</v>
      </c>
      <c r="E224" s="19" t="str">
        <f aca="false">'Lot Register'!G50</f>
        <v>ST-HC-CON</v>
      </c>
      <c r="F224" s="9" t="s">
        <v>563</v>
      </c>
      <c r="G224" s="9" t="s">
        <v>564</v>
      </c>
      <c r="H224" s="9" t="s">
        <v>565</v>
      </c>
      <c r="I224" s="11" t="s">
        <v>238</v>
      </c>
      <c r="J224" s="47" t="n">
        <f aca="false">Controls!B25</f>
        <v>0</v>
      </c>
      <c r="K224" s="47" t="str">
        <f aca="false">IF(J224=1,"ACCEPTED","OPEN")</f>
        <v>OPEN</v>
      </c>
    </row>
    <row r="225" customFormat="false" ht="15" hidden="false" customHeight="false" outlineLevel="0" collapsed="false">
      <c r="A225" s="19" t="str">
        <f aca="false">"PKT-"&amp;B225&amp;"-SAFETY"</f>
        <v>PKT-MTH-HC-CON-L2-SAFETY</v>
      </c>
      <c r="B225" s="19" t="str">
        <f aca="false">'Lot Register'!A50</f>
        <v>MTH-HC-CON-L2</v>
      </c>
      <c r="C225" s="19" t="str">
        <f aca="false">'Lot Register'!B50</f>
        <v>Method lineage</v>
      </c>
      <c r="D225" s="19" t="str">
        <f aca="false">'Lot Register'!D50</f>
        <v>MS-HC</v>
      </c>
      <c r="E225" s="19" t="str">
        <f aca="false">'Lot Register'!G50</f>
        <v>ST-HC-CON</v>
      </c>
      <c r="F225" s="9" t="s">
        <v>566</v>
      </c>
      <c r="G225" s="9" t="s">
        <v>567</v>
      </c>
      <c r="H225" s="9" t="s">
        <v>568</v>
      </c>
      <c r="I225" s="11" t="s">
        <v>238</v>
      </c>
      <c r="J225" s="47" t="n">
        <f aca="false">Controls!B25</f>
        <v>0</v>
      </c>
      <c r="K225" s="47" t="str">
        <f aca="false">IF(J225=1,"ACCEPTED","OPEN")</f>
        <v>OPEN</v>
      </c>
    </row>
    <row r="226" customFormat="false" ht="15" hidden="false" customHeight="false" outlineLevel="0" collapsed="false">
      <c r="A226" s="19" t="str">
        <f aca="false">"PKT-"&amp;B226&amp;"-RECONSTRUCTION"</f>
        <v>PKT-MTH-HC-CON-L2-RECONSTRUCTION</v>
      </c>
      <c r="B226" s="19" t="str">
        <f aca="false">'Lot Register'!A50</f>
        <v>MTH-HC-CON-L2</v>
      </c>
      <c r="C226" s="19" t="str">
        <f aca="false">'Lot Register'!B50</f>
        <v>Method lineage</v>
      </c>
      <c r="D226" s="19" t="str">
        <f aca="false">'Lot Register'!D50</f>
        <v>MS-HC</v>
      </c>
      <c r="E226" s="19" t="str">
        <f aca="false">'Lot Register'!G50</f>
        <v>ST-HC-CON</v>
      </c>
      <c r="F226" s="9" t="s">
        <v>282</v>
      </c>
      <c r="G226" s="9" t="s">
        <v>569</v>
      </c>
      <c r="H226" s="9" t="s">
        <v>570</v>
      </c>
      <c r="I226" s="11" t="s">
        <v>238</v>
      </c>
      <c r="J226" s="47" t="n">
        <f aca="false">Controls!B25</f>
        <v>0</v>
      </c>
      <c r="K226" s="47" t="str">
        <f aca="false">IF(J226=1,"ACCEPTED","OPEN")</f>
        <v>OPEN</v>
      </c>
    </row>
    <row r="227" customFormat="false" ht="15" hidden="false" customHeight="false" outlineLevel="0" collapsed="false">
      <c r="A227" s="19" t="str">
        <f aca="false">"PKT-"&amp;B227&amp;"-CONFIGURATION"</f>
        <v>PKT-REG-HC-CON-CONFIGURATION</v>
      </c>
      <c r="B227" s="19" t="str">
        <f aca="false">'Lot Register'!A51</f>
        <v>REG-HC-CON</v>
      </c>
      <c r="C227" s="19" t="str">
        <f aca="false">'Lot Register'!B51</f>
        <v>Regeneration tool</v>
      </c>
      <c r="D227" s="19" t="str">
        <f aca="false">'Lot Register'!D51</f>
        <v>MS-HC</v>
      </c>
      <c r="E227" s="19" t="str">
        <f aca="false">'Lot Register'!G51</f>
        <v>ST-HC-CON</v>
      </c>
      <c r="F227" s="9" t="s">
        <v>558</v>
      </c>
      <c r="G227" s="9" t="s">
        <v>559</v>
      </c>
      <c r="H227" s="9" t="s">
        <v>560</v>
      </c>
      <c r="I227" s="11" t="s">
        <v>238</v>
      </c>
      <c r="J227" s="47" t="n">
        <f aca="false">Controls!B25</f>
        <v>0</v>
      </c>
      <c r="K227" s="47" t="str">
        <f aca="false">IF(J227=1,"ACCEPTED","OPEN")</f>
        <v>OPEN</v>
      </c>
    </row>
    <row r="228" customFormat="false" ht="15" hidden="false" customHeight="false" outlineLevel="0" collapsed="false">
      <c r="A228" s="19" t="str">
        <f aca="false">"PKT-"&amp;B228&amp;"-CONTROL"</f>
        <v>PKT-REG-HC-CON-CONTROL</v>
      </c>
      <c r="B228" s="19" t="str">
        <f aca="false">'Lot Register'!A51</f>
        <v>REG-HC-CON</v>
      </c>
      <c r="C228" s="19" t="str">
        <f aca="false">'Lot Register'!B51</f>
        <v>Regeneration tool</v>
      </c>
      <c r="D228" s="19" t="str">
        <f aca="false">'Lot Register'!D51</f>
        <v>MS-HC</v>
      </c>
      <c r="E228" s="19" t="str">
        <f aca="false">'Lot Register'!G51</f>
        <v>ST-HC-CON</v>
      </c>
      <c r="F228" s="9" t="s">
        <v>271</v>
      </c>
      <c r="G228" s="9" t="s">
        <v>561</v>
      </c>
      <c r="H228" s="9" t="s">
        <v>562</v>
      </c>
      <c r="I228" s="11" t="s">
        <v>238</v>
      </c>
      <c r="J228" s="47" t="n">
        <f aca="false">Controls!B25</f>
        <v>0</v>
      </c>
      <c r="K228" s="47" t="str">
        <f aca="false">IF(J228=1,"ACCEPTED","OPEN")</f>
        <v>OPEN</v>
      </c>
    </row>
    <row r="229" customFormat="false" ht="15" hidden="false" customHeight="false" outlineLevel="0" collapsed="false">
      <c r="A229" s="19" t="str">
        <f aca="false">"PKT-"&amp;B229&amp;"-METROLOGY"</f>
        <v>PKT-REG-HC-CON-METROLOGY</v>
      </c>
      <c r="B229" s="19" t="str">
        <f aca="false">'Lot Register'!A51</f>
        <v>REG-HC-CON</v>
      </c>
      <c r="C229" s="19" t="str">
        <f aca="false">'Lot Register'!B51</f>
        <v>Regeneration tool</v>
      </c>
      <c r="D229" s="19" t="str">
        <f aca="false">'Lot Register'!D51</f>
        <v>MS-HC</v>
      </c>
      <c r="E229" s="19" t="str">
        <f aca="false">'Lot Register'!G51</f>
        <v>ST-HC-CON</v>
      </c>
      <c r="F229" s="9" t="s">
        <v>563</v>
      </c>
      <c r="G229" s="9" t="s">
        <v>564</v>
      </c>
      <c r="H229" s="9" t="s">
        <v>565</v>
      </c>
      <c r="I229" s="11" t="s">
        <v>238</v>
      </c>
      <c r="J229" s="47" t="n">
        <f aca="false">Controls!B25</f>
        <v>0</v>
      </c>
      <c r="K229" s="47" t="str">
        <f aca="false">IF(J229=1,"ACCEPTED","OPEN")</f>
        <v>OPEN</v>
      </c>
    </row>
    <row r="230" customFormat="false" ht="15" hidden="false" customHeight="false" outlineLevel="0" collapsed="false">
      <c r="A230" s="19" t="str">
        <f aca="false">"PKT-"&amp;B230&amp;"-SAFETY"</f>
        <v>PKT-REG-HC-CON-SAFETY</v>
      </c>
      <c r="B230" s="19" t="str">
        <f aca="false">'Lot Register'!A51</f>
        <v>REG-HC-CON</v>
      </c>
      <c r="C230" s="19" t="str">
        <f aca="false">'Lot Register'!B51</f>
        <v>Regeneration tool</v>
      </c>
      <c r="D230" s="19" t="str">
        <f aca="false">'Lot Register'!D51</f>
        <v>MS-HC</v>
      </c>
      <c r="E230" s="19" t="str">
        <f aca="false">'Lot Register'!G51</f>
        <v>ST-HC-CON</v>
      </c>
      <c r="F230" s="9" t="s">
        <v>566</v>
      </c>
      <c r="G230" s="9" t="s">
        <v>567</v>
      </c>
      <c r="H230" s="9" t="s">
        <v>568</v>
      </c>
      <c r="I230" s="11" t="s">
        <v>238</v>
      </c>
      <c r="J230" s="47" t="n">
        <f aca="false">Controls!B25</f>
        <v>0</v>
      </c>
      <c r="K230" s="47" t="str">
        <f aca="false">IF(J230=1,"ACCEPTED","OPEN")</f>
        <v>OPEN</v>
      </c>
    </row>
    <row r="231" customFormat="false" ht="15" hidden="false" customHeight="false" outlineLevel="0" collapsed="false">
      <c r="A231" s="19" t="str">
        <f aca="false">"PKT-"&amp;B231&amp;"-RECONSTRUCTION"</f>
        <v>PKT-REG-HC-CON-RECONSTRUCTION</v>
      </c>
      <c r="B231" s="19" t="str">
        <f aca="false">'Lot Register'!A51</f>
        <v>REG-HC-CON</v>
      </c>
      <c r="C231" s="19" t="str">
        <f aca="false">'Lot Register'!B51</f>
        <v>Regeneration tool</v>
      </c>
      <c r="D231" s="19" t="str">
        <f aca="false">'Lot Register'!D51</f>
        <v>MS-HC</v>
      </c>
      <c r="E231" s="19" t="str">
        <f aca="false">'Lot Register'!G51</f>
        <v>ST-HC-CON</v>
      </c>
      <c r="F231" s="9" t="s">
        <v>282</v>
      </c>
      <c r="G231" s="9" t="s">
        <v>569</v>
      </c>
      <c r="H231" s="9" t="s">
        <v>570</v>
      </c>
      <c r="I231" s="11" t="s">
        <v>238</v>
      </c>
      <c r="J231" s="47" t="n">
        <f aca="false">Controls!B25</f>
        <v>0</v>
      </c>
      <c r="K231" s="47" t="str">
        <f aca="false">IF(J231=1,"ACCEPTED","OPEN")</f>
        <v>OPEN</v>
      </c>
    </row>
    <row r="232" customFormat="false" ht="15" hidden="false" customHeight="false" outlineLevel="0" collapsed="false">
      <c r="A232" s="19" t="str">
        <f aca="false">"PKT-"&amp;B232&amp;"-CONFIGURATION"</f>
        <v>PKT-INT-HC-CON-CONFIGURATION</v>
      </c>
      <c r="B232" s="19" t="str">
        <f aca="false">'Lot Register'!A52</f>
        <v>INT-HC-CON</v>
      </c>
      <c r="C232" s="19" t="str">
        <f aca="false">'Lot Register'!B52</f>
        <v>Station integration</v>
      </c>
      <c r="D232" s="19" t="str">
        <f aca="false">'Lot Register'!D52</f>
        <v>MS-HC</v>
      </c>
      <c r="E232" s="19" t="str">
        <f aca="false">'Lot Register'!G52</f>
        <v>ST-HC-CON</v>
      </c>
      <c r="F232" s="9" t="s">
        <v>558</v>
      </c>
      <c r="G232" s="9" t="s">
        <v>559</v>
      </c>
      <c r="H232" s="9" t="s">
        <v>560</v>
      </c>
      <c r="I232" s="11" t="s">
        <v>238</v>
      </c>
      <c r="J232" s="47" t="n">
        <f aca="false">Controls!B25</f>
        <v>0</v>
      </c>
      <c r="K232" s="47" t="str">
        <f aca="false">IF(J232=1,"ACCEPTED","OPEN")</f>
        <v>OPEN</v>
      </c>
    </row>
    <row r="233" customFormat="false" ht="15" hidden="false" customHeight="false" outlineLevel="0" collapsed="false">
      <c r="A233" s="19" t="str">
        <f aca="false">"PKT-"&amp;B233&amp;"-CONTROL"</f>
        <v>PKT-INT-HC-CON-CONTROL</v>
      </c>
      <c r="B233" s="19" t="str">
        <f aca="false">'Lot Register'!A52</f>
        <v>INT-HC-CON</v>
      </c>
      <c r="C233" s="19" t="str">
        <f aca="false">'Lot Register'!B52</f>
        <v>Station integration</v>
      </c>
      <c r="D233" s="19" t="str">
        <f aca="false">'Lot Register'!D52</f>
        <v>MS-HC</v>
      </c>
      <c r="E233" s="19" t="str">
        <f aca="false">'Lot Register'!G52</f>
        <v>ST-HC-CON</v>
      </c>
      <c r="F233" s="9" t="s">
        <v>271</v>
      </c>
      <c r="G233" s="9" t="s">
        <v>561</v>
      </c>
      <c r="H233" s="9" t="s">
        <v>562</v>
      </c>
      <c r="I233" s="11" t="s">
        <v>238</v>
      </c>
      <c r="J233" s="47" t="n">
        <f aca="false">Controls!B25</f>
        <v>0</v>
      </c>
      <c r="K233" s="47" t="str">
        <f aca="false">IF(J233=1,"ACCEPTED","OPEN")</f>
        <v>OPEN</v>
      </c>
    </row>
    <row r="234" customFormat="false" ht="15" hidden="false" customHeight="false" outlineLevel="0" collapsed="false">
      <c r="A234" s="19" t="str">
        <f aca="false">"PKT-"&amp;B234&amp;"-METROLOGY"</f>
        <v>PKT-INT-HC-CON-METROLOGY</v>
      </c>
      <c r="B234" s="19" t="str">
        <f aca="false">'Lot Register'!A52</f>
        <v>INT-HC-CON</v>
      </c>
      <c r="C234" s="19" t="str">
        <f aca="false">'Lot Register'!B52</f>
        <v>Station integration</v>
      </c>
      <c r="D234" s="19" t="str">
        <f aca="false">'Lot Register'!D52</f>
        <v>MS-HC</v>
      </c>
      <c r="E234" s="19" t="str">
        <f aca="false">'Lot Register'!G52</f>
        <v>ST-HC-CON</v>
      </c>
      <c r="F234" s="9" t="s">
        <v>563</v>
      </c>
      <c r="G234" s="9" t="s">
        <v>564</v>
      </c>
      <c r="H234" s="9" t="s">
        <v>565</v>
      </c>
      <c r="I234" s="11" t="s">
        <v>238</v>
      </c>
      <c r="J234" s="47" t="n">
        <f aca="false">Controls!B25</f>
        <v>0</v>
      </c>
      <c r="K234" s="47" t="str">
        <f aca="false">IF(J234=1,"ACCEPTED","OPEN")</f>
        <v>OPEN</v>
      </c>
    </row>
    <row r="235" customFormat="false" ht="15" hidden="false" customHeight="false" outlineLevel="0" collapsed="false">
      <c r="A235" s="19" t="str">
        <f aca="false">"PKT-"&amp;B235&amp;"-SAFETY"</f>
        <v>PKT-INT-HC-CON-SAFETY</v>
      </c>
      <c r="B235" s="19" t="str">
        <f aca="false">'Lot Register'!A52</f>
        <v>INT-HC-CON</v>
      </c>
      <c r="C235" s="19" t="str">
        <f aca="false">'Lot Register'!B52</f>
        <v>Station integration</v>
      </c>
      <c r="D235" s="19" t="str">
        <f aca="false">'Lot Register'!D52</f>
        <v>MS-HC</v>
      </c>
      <c r="E235" s="19" t="str">
        <f aca="false">'Lot Register'!G52</f>
        <v>ST-HC-CON</v>
      </c>
      <c r="F235" s="9" t="s">
        <v>566</v>
      </c>
      <c r="G235" s="9" t="s">
        <v>567</v>
      </c>
      <c r="H235" s="9" t="s">
        <v>568</v>
      </c>
      <c r="I235" s="11" t="s">
        <v>238</v>
      </c>
      <c r="J235" s="47" t="n">
        <f aca="false">Controls!B25</f>
        <v>0</v>
      </c>
      <c r="K235" s="47" t="str">
        <f aca="false">IF(J235=1,"ACCEPTED","OPEN")</f>
        <v>OPEN</v>
      </c>
    </row>
    <row r="236" customFormat="false" ht="15" hidden="false" customHeight="false" outlineLevel="0" collapsed="false">
      <c r="A236" s="19" t="str">
        <f aca="false">"PKT-"&amp;B236&amp;"-RECONSTRUCTION"</f>
        <v>PKT-INT-HC-CON-RECONSTRUCTION</v>
      </c>
      <c r="B236" s="19" t="str">
        <f aca="false">'Lot Register'!A52</f>
        <v>INT-HC-CON</v>
      </c>
      <c r="C236" s="19" t="str">
        <f aca="false">'Lot Register'!B52</f>
        <v>Station integration</v>
      </c>
      <c r="D236" s="19" t="str">
        <f aca="false">'Lot Register'!D52</f>
        <v>MS-HC</v>
      </c>
      <c r="E236" s="19" t="str">
        <f aca="false">'Lot Register'!G52</f>
        <v>ST-HC-CON</v>
      </c>
      <c r="F236" s="9" t="s">
        <v>282</v>
      </c>
      <c r="G236" s="9" t="s">
        <v>569</v>
      </c>
      <c r="H236" s="9" t="s">
        <v>570</v>
      </c>
      <c r="I236" s="11" t="s">
        <v>238</v>
      </c>
      <c r="J236" s="47" t="n">
        <f aca="false">Controls!B25</f>
        <v>0</v>
      </c>
      <c r="K236" s="47" t="str">
        <f aca="false">IF(J236=1,"ACCEPTED","OPEN")</f>
        <v>OPEN</v>
      </c>
    </row>
    <row r="237" customFormat="false" ht="15" hidden="false" customHeight="false" outlineLevel="0" collapsed="false">
      <c r="A237" s="19" t="str">
        <f aca="false">"PKT-"&amp;B237&amp;"-CONFIGURATION"</f>
        <v>PKT-RIG-HC-REC-CONFIGURATION</v>
      </c>
      <c r="B237" s="19" t="str">
        <f aca="false">'Lot Register'!A53</f>
        <v>RIG-HC-REC</v>
      </c>
      <c r="C237" s="19" t="str">
        <f aca="false">'Lot Register'!B53</f>
        <v>Root-native rig</v>
      </c>
      <c r="D237" s="19" t="str">
        <f aca="false">'Lot Register'!D53</f>
        <v>MS-HC</v>
      </c>
      <c r="E237" s="19" t="str">
        <f aca="false">'Lot Register'!G53</f>
        <v>ST-HC-REC</v>
      </c>
      <c r="F237" s="9" t="s">
        <v>558</v>
      </c>
      <c r="G237" s="9" t="s">
        <v>559</v>
      </c>
      <c r="H237" s="9" t="s">
        <v>560</v>
      </c>
      <c r="I237" s="11" t="s">
        <v>238</v>
      </c>
      <c r="J237" s="47" t="n">
        <f aca="false">Controls!B25</f>
        <v>0</v>
      </c>
      <c r="K237" s="47" t="str">
        <f aca="false">IF(J237=1,"ACCEPTED","OPEN")</f>
        <v>OPEN</v>
      </c>
    </row>
    <row r="238" customFormat="false" ht="15" hidden="false" customHeight="false" outlineLevel="0" collapsed="false">
      <c r="A238" s="19" t="str">
        <f aca="false">"PKT-"&amp;B238&amp;"-CONTROL"</f>
        <v>PKT-RIG-HC-REC-CONTROL</v>
      </c>
      <c r="B238" s="19" t="str">
        <f aca="false">'Lot Register'!A53</f>
        <v>RIG-HC-REC</v>
      </c>
      <c r="C238" s="19" t="str">
        <f aca="false">'Lot Register'!B53</f>
        <v>Root-native rig</v>
      </c>
      <c r="D238" s="19" t="str">
        <f aca="false">'Lot Register'!D53</f>
        <v>MS-HC</v>
      </c>
      <c r="E238" s="19" t="str">
        <f aca="false">'Lot Register'!G53</f>
        <v>ST-HC-REC</v>
      </c>
      <c r="F238" s="9" t="s">
        <v>271</v>
      </c>
      <c r="G238" s="9" t="s">
        <v>561</v>
      </c>
      <c r="H238" s="9" t="s">
        <v>562</v>
      </c>
      <c r="I238" s="11" t="s">
        <v>238</v>
      </c>
      <c r="J238" s="47" t="n">
        <f aca="false">Controls!B25</f>
        <v>0</v>
      </c>
      <c r="K238" s="47" t="str">
        <f aca="false">IF(J238=1,"ACCEPTED","OPEN")</f>
        <v>OPEN</v>
      </c>
    </row>
    <row r="239" customFormat="false" ht="15" hidden="false" customHeight="false" outlineLevel="0" collapsed="false">
      <c r="A239" s="19" t="str">
        <f aca="false">"PKT-"&amp;B239&amp;"-METROLOGY"</f>
        <v>PKT-RIG-HC-REC-METROLOGY</v>
      </c>
      <c r="B239" s="19" t="str">
        <f aca="false">'Lot Register'!A53</f>
        <v>RIG-HC-REC</v>
      </c>
      <c r="C239" s="19" t="str">
        <f aca="false">'Lot Register'!B53</f>
        <v>Root-native rig</v>
      </c>
      <c r="D239" s="19" t="str">
        <f aca="false">'Lot Register'!D53</f>
        <v>MS-HC</v>
      </c>
      <c r="E239" s="19" t="str">
        <f aca="false">'Lot Register'!G53</f>
        <v>ST-HC-REC</v>
      </c>
      <c r="F239" s="9" t="s">
        <v>563</v>
      </c>
      <c r="G239" s="9" t="s">
        <v>564</v>
      </c>
      <c r="H239" s="9" t="s">
        <v>565</v>
      </c>
      <c r="I239" s="11" t="s">
        <v>238</v>
      </c>
      <c r="J239" s="47" t="n">
        <f aca="false">Controls!B25</f>
        <v>0</v>
      </c>
      <c r="K239" s="47" t="str">
        <f aca="false">IF(J239=1,"ACCEPTED","OPEN")</f>
        <v>OPEN</v>
      </c>
    </row>
    <row r="240" customFormat="false" ht="15" hidden="false" customHeight="false" outlineLevel="0" collapsed="false">
      <c r="A240" s="19" t="str">
        <f aca="false">"PKT-"&amp;B240&amp;"-SAFETY"</f>
        <v>PKT-RIG-HC-REC-SAFETY</v>
      </c>
      <c r="B240" s="19" t="str">
        <f aca="false">'Lot Register'!A53</f>
        <v>RIG-HC-REC</v>
      </c>
      <c r="C240" s="19" t="str">
        <f aca="false">'Lot Register'!B53</f>
        <v>Root-native rig</v>
      </c>
      <c r="D240" s="19" t="str">
        <f aca="false">'Lot Register'!D53</f>
        <v>MS-HC</v>
      </c>
      <c r="E240" s="19" t="str">
        <f aca="false">'Lot Register'!G53</f>
        <v>ST-HC-REC</v>
      </c>
      <c r="F240" s="9" t="s">
        <v>566</v>
      </c>
      <c r="G240" s="9" t="s">
        <v>567</v>
      </c>
      <c r="H240" s="9" t="s">
        <v>568</v>
      </c>
      <c r="I240" s="11" t="s">
        <v>238</v>
      </c>
      <c r="J240" s="47" t="n">
        <f aca="false">Controls!B25</f>
        <v>0</v>
      </c>
      <c r="K240" s="47" t="str">
        <f aca="false">IF(J240=1,"ACCEPTED","OPEN")</f>
        <v>OPEN</v>
      </c>
    </row>
    <row r="241" customFormat="false" ht="15" hidden="false" customHeight="false" outlineLevel="0" collapsed="false">
      <c r="A241" s="19" t="str">
        <f aca="false">"PKT-"&amp;B241&amp;"-RECONSTRUCTION"</f>
        <v>PKT-RIG-HC-REC-RECONSTRUCTION</v>
      </c>
      <c r="B241" s="19" t="str">
        <f aca="false">'Lot Register'!A53</f>
        <v>RIG-HC-REC</v>
      </c>
      <c r="C241" s="19" t="str">
        <f aca="false">'Lot Register'!B53</f>
        <v>Root-native rig</v>
      </c>
      <c r="D241" s="19" t="str">
        <f aca="false">'Lot Register'!D53</f>
        <v>MS-HC</v>
      </c>
      <c r="E241" s="19" t="str">
        <f aca="false">'Lot Register'!G53</f>
        <v>ST-HC-REC</v>
      </c>
      <c r="F241" s="9" t="s">
        <v>282</v>
      </c>
      <c r="G241" s="9" t="s">
        <v>569</v>
      </c>
      <c r="H241" s="9" t="s">
        <v>570</v>
      </c>
      <c r="I241" s="11" t="s">
        <v>238</v>
      </c>
      <c r="J241" s="47" t="n">
        <f aca="false">Controls!B25</f>
        <v>0</v>
      </c>
      <c r="K241" s="47" t="str">
        <f aca="false">IF(J241=1,"ACCEPTED","OPEN")</f>
        <v>OPEN</v>
      </c>
    </row>
    <row r="242" customFormat="false" ht="15" hidden="false" customHeight="false" outlineLevel="0" collapsed="false">
      <c r="A242" s="19" t="str">
        <f aca="false">"PKT-"&amp;B242&amp;"-CONFIGURATION"</f>
        <v>PKT-MTH-HC-REC-L1-CONFIGURATION</v>
      </c>
      <c r="B242" s="19" t="str">
        <f aca="false">'Lot Register'!A54</f>
        <v>MTH-HC-REC-L1</v>
      </c>
      <c r="C242" s="19" t="str">
        <f aca="false">'Lot Register'!B54</f>
        <v>Method lineage</v>
      </c>
      <c r="D242" s="19" t="str">
        <f aca="false">'Lot Register'!D54</f>
        <v>MS-HC</v>
      </c>
      <c r="E242" s="19" t="str">
        <f aca="false">'Lot Register'!G54</f>
        <v>ST-HC-REC</v>
      </c>
      <c r="F242" s="9" t="s">
        <v>558</v>
      </c>
      <c r="G242" s="9" t="s">
        <v>559</v>
      </c>
      <c r="H242" s="9" t="s">
        <v>560</v>
      </c>
      <c r="I242" s="11" t="s">
        <v>238</v>
      </c>
      <c r="J242" s="47" t="n">
        <f aca="false">Controls!B25</f>
        <v>0</v>
      </c>
      <c r="K242" s="47" t="str">
        <f aca="false">IF(J242=1,"ACCEPTED","OPEN")</f>
        <v>OPEN</v>
      </c>
    </row>
    <row r="243" customFormat="false" ht="15" hidden="false" customHeight="false" outlineLevel="0" collapsed="false">
      <c r="A243" s="19" t="str">
        <f aca="false">"PKT-"&amp;B243&amp;"-CONTROL"</f>
        <v>PKT-MTH-HC-REC-L1-CONTROL</v>
      </c>
      <c r="B243" s="19" t="str">
        <f aca="false">'Lot Register'!A54</f>
        <v>MTH-HC-REC-L1</v>
      </c>
      <c r="C243" s="19" t="str">
        <f aca="false">'Lot Register'!B54</f>
        <v>Method lineage</v>
      </c>
      <c r="D243" s="19" t="str">
        <f aca="false">'Lot Register'!D54</f>
        <v>MS-HC</v>
      </c>
      <c r="E243" s="19" t="str">
        <f aca="false">'Lot Register'!G54</f>
        <v>ST-HC-REC</v>
      </c>
      <c r="F243" s="9" t="s">
        <v>271</v>
      </c>
      <c r="G243" s="9" t="s">
        <v>561</v>
      </c>
      <c r="H243" s="9" t="s">
        <v>562</v>
      </c>
      <c r="I243" s="11" t="s">
        <v>238</v>
      </c>
      <c r="J243" s="47" t="n">
        <f aca="false">Controls!B25</f>
        <v>0</v>
      </c>
      <c r="K243" s="47" t="str">
        <f aca="false">IF(J243=1,"ACCEPTED","OPEN")</f>
        <v>OPEN</v>
      </c>
    </row>
    <row r="244" customFormat="false" ht="15" hidden="false" customHeight="false" outlineLevel="0" collapsed="false">
      <c r="A244" s="19" t="str">
        <f aca="false">"PKT-"&amp;B244&amp;"-METROLOGY"</f>
        <v>PKT-MTH-HC-REC-L1-METROLOGY</v>
      </c>
      <c r="B244" s="19" t="str">
        <f aca="false">'Lot Register'!A54</f>
        <v>MTH-HC-REC-L1</v>
      </c>
      <c r="C244" s="19" t="str">
        <f aca="false">'Lot Register'!B54</f>
        <v>Method lineage</v>
      </c>
      <c r="D244" s="19" t="str">
        <f aca="false">'Lot Register'!D54</f>
        <v>MS-HC</v>
      </c>
      <c r="E244" s="19" t="str">
        <f aca="false">'Lot Register'!G54</f>
        <v>ST-HC-REC</v>
      </c>
      <c r="F244" s="9" t="s">
        <v>563</v>
      </c>
      <c r="G244" s="9" t="s">
        <v>564</v>
      </c>
      <c r="H244" s="9" t="s">
        <v>565</v>
      </c>
      <c r="I244" s="11" t="s">
        <v>238</v>
      </c>
      <c r="J244" s="47" t="n">
        <f aca="false">Controls!B25</f>
        <v>0</v>
      </c>
      <c r="K244" s="47" t="str">
        <f aca="false">IF(J244=1,"ACCEPTED","OPEN")</f>
        <v>OPEN</v>
      </c>
    </row>
    <row r="245" customFormat="false" ht="15" hidden="false" customHeight="false" outlineLevel="0" collapsed="false">
      <c r="A245" s="19" t="str">
        <f aca="false">"PKT-"&amp;B245&amp;"-SAFETY"</f>
        <v>PKT-MTH-HC-REC-L1-SAFETY</v>
      </c>
      <c r="B245" s="19" t="str">
        <f aca="false">'Lot Register'!A54</f>
        <v>MTH-HC-REC-L1</v>
      </c>
      <c r="C245" s="19" t="str">
        <f aca="false">'Lot Register'!B54</f>
        <v>Method lineage</v>
      </c>
      <c r="D245" s="19" t="str">
        <f aca="false">'Lot Register'!D54</f>
        <v>MS-HC</v>
      </c>
      <c r="E245" s="19" t="str">
        <f aca="false">'Lot Register'!G54</f>
        <v>ST-HC-REC</v>
      </c>
      <c r="F245" s="9" t="s">
        <v>566</v>
      </c>
      <c r="G245" s="9" t="s">
        <v>567</v>
      </c>
      <c r="H245" s="9" t="s">
        <v>568</v>
      </c>
      <c r="I245" s="11" t="s">
        <v>238</v>
      </c>
      <c r="J245" s="47" t="n">
        <f aca="false">Controls!B25</f>
        <v>0</v>
      </c>
      <c r="K245" s="47" t="str">
        <f aca="false">IF(J245=1,"ACCEPTED","OPEN")</f>
        <v>OPEN</v>
      </c>
    </row>
    <row r="246" customFormat="false" ht="15" hidden="false" customHeight="false" outlineLevel="0" collapsed="false">
      <c r="A246" s="19" t="str">
        <f aca="false">"PKT-"&amp;B246&amp;"-RECONSTRUCTION"</f>
        <v>PKT-MTH-HC-REC-L1-RECONSTRUCTION</v>
      </c>
      <c r="B246" s="19" t="str">
        <f aca="false">'Lot Register'!A54</f>
        <v>MTH-HC-REC-L1</v>
      </c>
      <c r="C246" s="19" t="str">
        <f aca="false">'Lot Register'!B54</f>
        <v>Method lineage</v>
      </c>
      <c r="D246" s="19" t="str">
        <f aca="false">'Lot Register'!D54</f>
        <v>MS-HC</v>
      </c>
      <c r="E246" s="19" t="str">
        <f aca="false">'Lot Register'!G54</f>
        <v>ST-HC-REC</v>
      </c>
      <c r="F246" s="9" t="s">
        <v>282</v>
      </c>
      <c r="G246" s="9" t="s">
        <v>569</v>
      </c>
      <c r="H246" s="9" t="s">
        <v>570</v>
      </c>
      <c r="I246" s="11" t="s">
        <v>238</v>
      </c>
      <c r="J246" s="47" t="n">
        <f aca="false">Controls!B25</f>
        <v>0</v>
      </c>
      <c r="K246" s="47" t="str">
        <f aca="false">IF(J246=1,"ACCEPTED","OPEN")</f>
        <v>OPEN</v>
      </c>
    </row>
    <row r="247" customFormat="false" ht="15" hidden="false" customHeight="false" outlineLevel="0" collapsed="false">
      <c r="A247" s="19" t="str">
        <f aca="false">"PKT-"&amp;B247&amp;"-CONFIGURATION"</f>
        <v>PKT-MTH-HC-REC-L2-CONFIGURATION</v>
      </c>
      <c r="B247" s="19" t="str">
        <f aca="false">'Lot Register'!A55</f>
        <v>MTH-HC-REC-L2</v>
      </c>
      <c r="C247" s="19" t="str">
        <f aca="false">'Lot Register'!B55</f>
        <v>Method lineage</v>
      </c>
      <c r="D247" s="19" t="str">
        <f aca="false">'Lot Register'!D55</f>
        <v>MS-HC</v>
      </c>
      <c r="E247" s="19" t="str">
        <f aca="false">'Lot Register'!G55</f>
        <v>ST-HC-REC</v>
      </c>
      <c r="F247" s="9" t="s">
        <v>558</v>
      </c>
      <c r="G247" s="9" t="s">
        <v>559</v>
      </c>
      <c r="H247" s="9" t="s">
        <v>560</v>
      </c>
      <c r="I247" s="11" t="s">
        <v>238</v>
      </c>
      <c r="J247" s="47" t="n">
        <f aca="false">Controls!B25</f>
        <v>0</v>
      </c>
      <c r="K247" s="47" t="str">
        <f aca="false">IF(J247=1,"ACCEPTED","OPEN")</f>
        <v>OPEN</v>
      </c>
    </row>
    <row r="248" customFormat="false" ht="15" hidden="false" customHeight="false" outlineLevel="0" collapsed="false">
      <c r="A248" s="19" t="str">
        <f aca="false">"PKT-"&amp;B248&amp;"-CONTROL"</f>
        <v>PKT-MTH-HC-REC-L2-CONTROL</v>
      </c>
      <c r="B248" s="19" t="str">
        <f aca="false">'Lot Register'!A55</f>
        <v>MTH-HC-REC-L2</v>
      </c>
      <c r="C248" s="19" t="str">
        <f aca="false">'Lot Register'!B55</f>
        <v>Method lineage</v>
      </c>
      <c r="D248" s="19" t="str">
        <f aca="false">'Lot Register'!D55</f>
        <v>MS-HC</v>
      </c>
      <c r="E248" s="19" t="str">
        <f aca="false">'Lot Register'!G55</f>
        <v>ST-HC-REC</v>
      </c>
      <c r="F248" s="9" t="s">
        <v>271</v>
      </c>
      <c r="G248" s="9" t="s">
        <v>561</v>
      </c>
      <c r="H248" s="9" t="s">
        <v>562</v>
      </c>
      <c r="I248" s="11" t="s">
        <v>238</v>
      </c>
      <c r="J248" s="47" t="n">
        <f aca="false">Controls!B25</f>
        <v>0</v>
      </c>
      <c r="K248" s="47" t="str">
        <f aca="false">IF(J248=1,"ACCEPTED","OPEN")</f>
        <v>OPEN</v>
      </c>
    </row>
    <row r="249" customFormat="false" ht="15" hidden="false" customHeight="false" outlineLevel="0" collapsed="false">
      <c r="A249" s="19" t="str">
        <f aca="false">"PKT-"&amp;B249&amp;"-METROLOGY"</f>
        <v>PKT-MTH-HC-REC-L2-METROLOGY</v>
      </c>
      <c r="B249" s="19" t="str">
        <f aca="false">'Lot Register'!A55</f>
        <v>MTH-HC-REC-L2</v>
      </c>
      <c r="C249" s="19" t="str">
        <f aca="false">'Lot Register'!B55</f>
        <v>Method lineage</v>
      </c>
      <c r="D249" s="19" t="str">
        <f aca="false">'Lot Register'!D55</f>
        <v>MS-HC</v>
      </c>
      <c r="E249" s="19" t="str">
        <f aca="false">'Lot Register'!G55</f>
        <v>ST-HC-REC</v>
      </c>
      <c r="F249" s="9" t="s">
        <v>563</v>
      </c>
      <c r="G249" s="9" t="s">
        <v>564</v>
      </c>
      <c r="H249" s="9" t="s">
        <v>565</v>
      </c>
      <c r="I249" s="11" t="s">
        <v>238</v>
      </c>
      <c r="J249" s="47" t="n">
        <f aca="false">Controls!B25</f>
        <v>0</v>
      </c>
      <c r="K249" s="47" t="str">
        <f aca="false">IF(J249=1,"ACCEPTED","OPEN")</f>
        <v>OPEN</v>
      </c>
    </row>
    <row r="250" customFormat="false" ht="15" hidden="false" customHeight="false" outlineLevel="0" collapsed="false">
      <c r="A250" s="19" t="str">
        <f aca="false">"PKT-"&amp;B250&amp;"-SAFETY"</f>
        <v>PKT-MTH-HC-REC-L2-SAFETY</v>
      </c>
      <c r="B250" s="19" t="str">
        <f aca="false">'Lot Register'!A55</f>
        <v>MTH-HC-REC-L2</v>
      </c>
      <c r="C250" s="19" t="str">
        <f aca="false">'Lot Register'!B55</f>
        <v>Method lineage</v>
      </c>
      <c r="D250" s="19" t="str">
        <f aca="false">'Lot Register'!D55</f>
        <v>MS-HC</v>
      </c>
      <c r="E250" s="19" t="str">
        <f aca="false">'Lot Register'!G55</f>
        <v>ST-HC-REC</v>
      </c>
      <c r="F250" s="9" t="s">
        <v>566</v>
      </c>
      <c r="G250" s="9" t="s">
        <v>567</v>
      </c>
      <c r="H250" s="9" t="s">
        <v>568</v>
      </c>
      <c r="I250" s="11" t="s">
        <v>238</v>
      </c>
      <c r="J250" s="47" t="n">
        <f aca="false">Controls!B25</f>
        <v>0</v>
      </c>
      <c r="K250" s="47" t="str">
        <f aca="false">IF(J250=1,"ACCEPTED","OPEN")</f>
        <v>OPEN</v>
      </c>
    </row>
    <row r="251" customFormat="false" ht="15" hidden="false" customHeight="false" outlineLevel="0" collapsed="false">
      <c r="A251" s="19" t="str">
        <f aca="false">"PKT-"&amp;B251&amp;"-RECONSTRUCTION"</f>
        <v>PKT-MTH-HC-REC-L2-RECONSTRUCTION</v>
      </c>
      <c r="B251" s="19" t="str">
        <f aca="false">'Lot Register'!A55</f>
        <v>MTH-HC-REC-L2</v>
      </c>
      <c r="C251" s="19" t="str">
        <f aca="false">'Lot Register'!B55</f>
        <v>Method lineage</v>
      </c>
      <c r="D251" s="19" t="str">
        <f aca="false">'Lot Register'!D55</f>
        <v>MS-HC</v>
      </c>
      <c r="E251" s="19" t="str">
        <f aca="false">'Lot Register'!G55</f>
        <v>ST-HC-REC</v>
      </c>
      <c r="F251" s="9" t="s">
        <v>282</v>
      </c>
      <c r="G251" s="9" t="s">
        <v>569</v>
      </c>
      <c r="H251" s="9" t="s">
        <v>570</v>
      </c>
      <c r="I251" s="11" t="s">
        <v>238</v>
      </c>
      <c r="J251" s="47" t="n">
        <f aca="false">Controls!B25</f>
        <v>0</v>
      </c>
      <c r="K251" s="47" t="str">
        <f aca="false">IF(J251=1,"ACCEPTED","OPEN")</f>
        <v>OPEN</v>
      </c>
    </row>
    <row r="252" customFormat="false" ht="15" hidden="false" customHeight="false" outlineLevel="0" collapsed="false">
      <c r="A252" s="19" t="str">
        <f aca="false">"PKT-"&amp;B252&amp;"-CONFIGURATION"</f>
        <v>PKT-REG-HC-REC-CONFIGURATION</v>
      </c>
      <c r="B252" s="19" t="str">
        <f aca="false">'Lot Register'!A56</f>
        <v>REG-HC-REC</v>
      </c>
      <c r="C252" s="19" t="str">
        <f aca="false">'Lot Register'!B56</f>
        <v>Regeneration tool</v>
      </c>
      <c r="D252" s="19" t="str">
        <f aca="false">'Lot Register'!D56</f>
        <v>MS-HC</v>
      </c>
      <c r="E252" s="19" t="str">
        <f aca="false">'Lot Register'!G56</f>
        <v>ST-HC-REC</v>
      </c>
      <c r="F252" s="9" t="s">
        <v>558</v>
      </c>
      <c r="G252" s="9" t="s">
        <v>559</v>
      </c>
      <c r="H252" s="9" t="s">
        <v>560</v>
      </c>
      <c r="I252" s="11" t="s">
        <v>238</v>
      </c>
      <c r="J252" s="47" t="n">
        <f aca="false">Controls!B25</f>
        <v>0</v>
      </c>
      <c r="K252" s="47" t="str">
        <f aca="false">IF(J252=1,"ACCEPTED","OPEN")</f>
        <v>OPEN</v>
      </c>
    </row>
    <row r="253" customFormat="false" ht="15" hidden="false" customHeight="false" outlineLevel="0" collapsed="false">
      <c r="A253" s="19" t="str">
        <f aca="false">"PKT-"&amp;B253&amp;"-CONTROL"</f>
        <v>PKT-REG-HC-REC-CONTROL</v>
      </c>
      <c r="B253" s="19" t="str">
        <f aca="false">'Lot Register'!A56</f>
        <v>REG-HC-REC</v>
      </c>
      <c r="C253" s="19" t="str">
        <f aca="false">'Lot Register'!B56</f>
        <v>Regeneration tool</v>
      </c>
      <c r="D253" s="19" t="str">
        <f aca="false">'Lot Register'!D56</f>
        <v>MS-HC</v>
      </c>
      <c r="E253" s="19" t="str">
        <f aca="false">'Lot Register'!G56</f>
        <v>ST-HC-REC</v>
      </c>
      <c r="F253" s="9" t="s">
        <v>271</v>
      </c>
      <c r="G253" s="9" t="s">
        <v>561</v>
      </c>
      <c r="H253" s="9" t="s">
        <v>562</v>
      </c>
      <c r="I253" s="11" t="s">
        <v>238</v>
      </c>
      <c r="J253" s="47" t="n">
        <f aca="false">Controls!B25</f>
        <v>0</v>
      </c>
      <c r="K253" s="47" t="str">
        <f aca="false">IF(J253=1,"ACCEPTED","OPEN")</f>
        <v>OPEN</v>
      </c>
    </row>
    <row r="254" customFormat="false" ht="15" hidden="false" customHeight="false" outlineLevel="0" collapsed="false">
      <c r="A254" s="19" t="str">
        <f aca="false">"PKT-"&amp;B254&amp;"-METROLOGY"</f>
        <v>PKT-REG-HC-REC-METROLOGY</v>
      </c>
      <c r="B254" s="19" t="str">
        <f aca="false">'Lot Register'!A56</f>
        <v>REG-HC-REC</v>
      </c>
      <c r="C254" s="19" t="str">
        <f aca="false">'Lot Register'!B56</f>
        <v>Regeneration tool</v>
      </c>
      <c r="D254" s="19" t="str">
        <f aca="false">'Lot Register'!D56</f>
        <v>MS-HC</v>
      </c>
      <c r="E254" s="19" t="str">
        <f aca="false">'Lot Register'!G56</f>
        <v>ST-HC-REC</v>
      </c>
      <c r="F254" s="9" t="s">
        <v>563</v>
      </c>
      <c r="G254" s="9" t="s">
        <v>564</v>
      </c>
      <c r="H254" s="9" t="s">
        <v>565</v>
      </c>
      <c r="I254" s="11" t="s">
        <v>238</v>
      </c>
      <c r="J254" s="47" t="n">
        <f aca="false">Controls!B25</f>
        <v>0</v>
      </c>
      <c r="K254" s="47" t="str">
        <f aca="false">IF(J254=1,"ACCEPTED","OPEN")</f>
        <v>OPEN</v>
      </c>
    </row>
    <row r="255" customFormat="false" ht="15" hidden="false" customHeight="false" outlineLevel="0" collapsed="false">
      <c r="A255" s="19" t="str">
        <f aca="false">"PKT-"&amp;B255&amp;"-SAFETY"</f>
        <v>PKT-REG-HC-REC-SAFETY</v>
      </c>
      <c r="B255" s="19" t="str">
        <f aca="false">'Lot Register'!A56</f>
        <v>REG-HC-REC</v>
      </c>
      <c r="C255" s="19" t="str">
        <f aca="false">'Lot Register'!B56</f>
        <v>Regeneration tool</v>
      </c>
      <c r="D255" s="19" t="str">
        <f aca="false">'Lot Register'!D56</f>
        <v>MS-HC</v>
      </c>
      <c r="E255" s="19" t="str">
        <f aca="false">'Lot Register'!G56</f>
        <v>ST-HC-REC</v>
      </c>
      <c r="F255" s="9" t="s">
        <v>566</v>
      </c>
      <c r="G255" s="9" t="s">
        <v>567</v>
      </c>
      <c r="H255" s="9" t="s">
        <v>568</v>
      </c>
      <c r="I255" s="11" t="s">
        <v>238</v>
      </c>
      <c r="J255" s="47" t="n">
        <f aca="false">Controls!B25</f>
        <v>0</v>
      </c>
      <c r="K255" s="47" t="str">
        <f aca="false">IF(J255=1,"ACCEPTED","OPEN")</f>
        <v>OPEN</v>
      </c>
    </row>
    <row r="256" customFormat="false" ht="15" hidden="false" customHeight="false" outlineLevel="0" collapsed="false">
      <c r="A256" s="19" t="str">
        <f aca="false">"PKT-"&amp;B256&amp;"-RECONSTRUCTION"</f>
        <v>PKT-REG-HC-REC-RECONSTRUCTION</v>
      </c>
      <c r="B256" s="19" t="str">
        <f aca="false">'Lot Register'!A56</f>
        <v>REG-HC-REC</v>
      </c>
      <c r="C256" s="19" t="str">
        <f aca="false">'Lot Register'!B56</f>
        <v>Regeneration tool</v>
      </c>
      <c r="D256" s="19" t="str">
        <f aca="false">'Lot Register'!D56</f>
        <v>MS-HC</v>
      </c>
      <c r="E256" s="19" t="str">
        <f aca="false">'Lot Register'!G56</f>
        <v>ST-HC-REC</v>
      </c>
      <c r="F256" s="9" t="s">
        <v>282</v>
      </c>
      <c r="G256" s="9" t="s">
        <v>569</v>
      </c>
      <c r="H256" s="9" t="s">
        <v>570</v>
      </c>
      <c r="I256" s="11" t="s">
        <v>238</v>
      </c>
      <c r="J256" s="47" t="n">
        <f aca="false">Controls!B25</f>
        <v>0</v>
      </c>
      <c r="K256" s="47" t="str">
        <f aca="false">IF(J256=1,"ACCEPTED","OPEN")</f>
        <v>OPEN</v>
      </c>
    </row>
    <row r="257" customFormat="false" ht="15" hidden="false" customHeight="false" outlineLevel="0" collapsed="false">
      <c r="A257" s="19" t="str">
        <f aca="false">"PKT-"&amp;B257&amp;"-CONFIGURATION"</f>
        <v>PKT-INT-HC-REC-CONFIGURATION</v>
      </c>
      <c r="B257" s="19" t="str">
        <f aca="false">'Lot Register'!A57</f>
        <v>INT-HC-REC</v>
      </c>
      <c r="C257" s="19" t="str">
        <f aca="false">'Lot Register'!B57</f>
        <v>Station integration</v>
      </c>
      <c r="D257" s="19" t="str">
        <f aca="false">'Lot Register'!D57</f>
        <v>MS-HC</v>
      </c>
      <c r="E257" s="19" t="str">
        <f aca="false">'Lot Register'!G57</f>
        <v>ST-HC-REC</v>
      </c>
      <c r="F257" s="9" t="s">
        <v>558</v>
      </c>
      <c r="G257" s="9" t="s">
        <v>559</v>
      </c>
      <c r="H257" s="9" t="s">
        <v>560</v>
      </c>
      <c r="I257" s="11" t="s">
        <v>238</v>
      </c>
      <c r="J257" s="47" t="n">
        <f aca="false">Controls!B25</f>
        <v>0</v>
      </c>
      <c r="K257" s="47" t="str">
        <f aca="false">IF(J257=1,"ACCEPTED","OPEN")</f>
        <v>OPEN</v>
      </c>
    </row>
    <row r="258" customFormat="false" ht="15" hidden="false" customHeight="false" outlineLevel="0" collapsed="false">
      <c r="A258" s="19" t="str">
        <f aca="false">"PKT-"&amp;B258&amp;"-CONTROL"</f>
        <v>PKT-INT-HC-REC-CONTROL</v>
      </c>
      <c r="B258" s="19" t="str">
        <f aca="false">'Lot Register'!A57</f>
        <v>INT-HC-REC</v>
      </c>
      <c r="C258" s="19" t="str">
        <f aca="false">'Lot Register'!B57</f>
        <v>Station integration</v>
      </c>
      <c r="D258" s="19" t="str">
        <f aca="false">'Lot Register'!D57</f>
        <v>MS-HC</v>
      </c>
      <c r="E258" s="19" t="str">
        <f aca="false">'Lot Register'!G57</f>
        <v>ST-HC-REC</v>
      </c>
      <c r="F258" s="9" t="s">
        <v>271</v>
      </c>
      <c r="G258" s="9" t="s">
        <v>561</v>
      </c>
      <c r="H258" s="9" t="s">
        <v>562</v>
      </c>
      <c r="I258" s="11" t="s">
        <v>238</v>
      </c>
      <c r="J258" s="47" t="n">
        <f aca="false">Controls!B25</f>
        <v>0</v>
      </c>
      <c r="K258" s="47" t="str">
        <f aca="false">IF(J258=1,"ACCEPTED","OPEN")</f>
        <v>OPEN</v>
      </c>
    </row>
    <row r="259" customFormat="false" ht="15" hidden="false" customHeight="false" outlineLevel="0" collapsed="false">
      <c r="A259" s="19" t="str">
        <f aca="false">"PKT-"&amp;B259&amp;"-METROLOGY"</f>
        <v>PKT-INT-HC-REC-METROLOGY</v>
      </c>
      <c r="B259" s="19" t="str">
        <f aca="false">'Lot Register'!A57</f>
        <v>INT-HC-REC</v>
      </c>
      <c r="C259" s="19" t="str">
        <f aca="false">'Lot Register'!B57</f>
        <v>Station integration</v>
      </c>
      <c r="D259" s="19" t="str">
        <f aca="false">'Lot Register'!D57</f>
        <v>MS-HC</v>
      </c>
      <c r="E259" s="19" t="str">
        <f aca="false">'Lot Register'!G57</f>
        <v>ST-HC-REC</v>
      </c>
      <c r="F259" s="9" t="s">
        <v>563</v>
      </c>
      <c r="G259" s="9" t="s">
        <v>564</v>
      </c>
      <c r="H259" s="9" t="s">
        <v>565</v>
      </c>
      <c r="I259" s="11" t="s">
        <v>238</v>
      </c>
      <c r="J259" s="47" t="n">
        <f aca="false">Controls!B25</f>
        <v>0</v>
      </c>
      <c r="K259" s="47" t="str">
        <f aca="false">IF(J259=1,"ACCEPTED","OPEN")</f>
        <v>OPEN</v>
      </c>
    </row>
    <row r="260" customFormat="false" ht="15" hidden="false" customHeight="false" outlineLevel="0" collapsed="false">
      <c r="A260" s="19" t="str">
        <f aca="false">"PKT-"&amp;B260&amp;"-SAFETY"</f>
        <v>PKT-INT-HC-REC-SAFETY</v>
      </c>
      <c r="B260" s="19" t="str">
        <f aca="false">'Lot Register'!A57</f>
        <v>INT-HC-REC</v>
      </c>
      <c r="C260" s="19" t="str">
        <f aca="false">'Lot Register'!B57</f>
        <v>Station integration</v>
      </c>
      <c r="D260" s="19" t="str">
        <f aca="false">'Lot Register'!D57</f>
        <v>MS-HC</v>
      </c>
      <c r="E260" s="19" t="str">
        <f aca="false">'Lot Register'!G57</f>
        <v>ST-HC-REC</v>
      </c>
      <c r="F260" s="9" t="s">
        <v>566</v>
      </c>
      <c r="G260" s="9" t="s">
        <v>567</v>
      </c>
      <c r="H260" s="9" t="s">
        <v>568</v>
      </c>
      <c r="I260" s="11" t="s">
        <v>238</v>
      </c>
      <c r="J260" s="47" t="n">
        <f aca="false">Controls!B25</f>
        <v>0</v>
      </c>
      <c r="K260" s="47" t="str">
        <f aca="false">IF(J260=1,"ACCEPTED","OPEN")</f>
        <v>OPEN</v>
      </c>
    </row>
    <row r="261" customFormat="false" ht="15" hidden="false" customHeight="false" outlineLevel="0" collapsed="false">
      <c r="A261" s="19" t="str">
        <f aca="false">"PKT-"&amp;B261&amp;"-RECONSTRUCTION"</f>
        <v>PKT-INT-HC-REC-RECONSTRUCTION</v>
      </c>
      <c r="B261" s="19" t="str">
        <f aca="false">'Lot Register'!A57</f>
        <v>INT-HC-REC</v>
      </c>
      <c r="C261" s="19" t="str">
        <f aca="false">'Lot Register'!B57</f>
        <v>Station integration</v>
      </c>
      <c r="D261" s="19" t="str">
        <f aca="false">'Lot Register'!D57</f>
        <v>MS-HC</v>
      </c>
      <c r="E261" s="19" t="str">
        <f aca="false">'Lot Register'!G57</f>
        <v>ST-HC-REC</v>
      </c>
      <c r="F261" s="9" t="s">
        <v>282</v>
      </c>
      <c r="G261" s="9" t="s">
        <v>569</v>
      </c>
      <c r="H261" s="9" t="s">
        <v>570</v>
      </c>
      <c r="I261" s="11" t="s">
        <v>238</v>
      </c>
      <c r="J261" s="47" t="n">
        <f aca="false">Controls!B25</f>
        <v>0</v>
      </c>
      <c r="K261" s="47" t="str">
        <f aca="false">IF(J261=1,"ACCEPTED","OPEN")</f>
        <v>OPEN</v>
      </c>
    </row>
    <row r="262" customFormat="false" ht="15" hidden="false" customHeight="false" outlineLevel="0" collapsed="false">
      <c r="A262" s="19" t="str">
        <f aca="false">"PKT-"&amp;B262&amp;"-CONFIGURATION"</f>
        <v>PKT-RIG-LF-CHA-CONFIGURATION</v>
      </c>
      <c r="B262" s="19" t="str">
        <f aca="false">'Lot Register'!A58</f>
        <v>RIG-LF-CHA</v>
      </c>
      <c r="C262" s="19" t="str">
        <f aca="false">'Lot Register'!B58</f>
        <v>Root-native rig</v>
      </c>
      <c r="D262" s="19" t="str">
        <f aca="false">'Lot Register'!D58</f>
        <v>MS-LF</v>
      </c>
      <c r="E262" s="19" t="str">
        <f aca="false">'Lot Register'!G58</f>
        <v>ST-LF-CHA</v>
      </c>
      <c r="F262" s="9" t="s">
        <v>558</v>
      </c>
      <c r="G262" s="9" t="s">
        <v>559</v>
      </c>
      <c r="H262" s="9" t="s">
        <v>560</v>
      </c>
      <c r="I262" s="11" t="s">
        <v>238</v>
      </c>
      <c r="J262" s="47" t="n">
        <f aca="false">Controls!B25</f>
        <v>0</v>
      </c>
      <c r="K262" s="47" t="str">
        <f aca="false">IF(J262=1,"ACCEPTED","OPEN")</f>
        <v>OPEN</v>
      </c>
    </row>
    <row r="263" customFormat="false" ht="15" hidden="false" customHeight="false" outlineLevel="0" collapsed="false">
      <c r="A263" s="19" t="str">
        <f aca="false">"PKT-"&amp;B263&amp;"-CONTROL"</f>
        <v>PKT-RIG-LF-CHA-CONTROL</v>
      </c>
      <c r="B263" s="19" t="str">
        <f aca="false">'Lot Register'!A58</f>
        <v>RIG-LF-CHA</v>
      </c>
      <c r="C263" s="19" t="str">
        <f aca="false">'Lot Register'!B58</f>
        <v>Root-native rig</v>
      </c>
      <c r="D263" s="19" t="str">
        <f aca="false">'Lot Register'!D58</f>
        <v>MS-LF</v>
      </c>
      <c r="E263" s="19" t="str">
        <f aca="false">'Lot Register'!G58</f>
        <v>ST-LF-CHA</v>
      </c>
      <c r="F263" s="9" t="s">
        <v>271</v>
      </c>
      <c r="G263" s="9" t="s">
        <v>561</v>
      </c>
      <c r="H263" s="9" t="s">
        <v>562</v>
      </c>
      <c r="I263" s="11" t="s">
        <v>238</v>
      </c>
      <c r="J263" s="47" t="n">
        <f aca="false">Controls!B25</f>
        <v>0</v>
      </c>
      <c r="K263" s="47" t="str">
        <f aca="false">IF(J263=1,"ACCEPTED","OPEN")</f>
        <v>OPEN</v>
      </c>
    </row>
    <row r="264" customFormat="false" ht="15" hidden="false" customHeight="false" outlineLevel="0" collapsed="false">
      <c r="A264" s="19" t="str">
        <f aca="false">"PKT-"&amp;B264&amp;"-METROLOGY"</f>
        <v>PKT-RIG-LF-CHA-METROLOGY</v>
      </c>
      <c r="B264" s="19" t="str">
        <f aca="false">'Lot Register'!A58</f>
        <v>RIG-LF-CHA</v>
      </c>
      <c r="C264" s="19" t="str">
        <f aca="false">'Lot Register'!B58</f>
        <v>Root-native rig</v>
      </c>
      <c r="D264" s="19" t="str">
        <f aca="false">'Lot Register'!D58</f>
        <v>MS-LF</v>
      </c>
      <c r="E264" s="19" t="str">
        <f aca="false">'Lot Register'!G58</f>
        <v>ST-LF-CHA</v>
      </c>
      <c r="F264" s="9" t="s">
        <v>563</v>
      </c>
      <c r="G264" s="9" t="s">
        <v>564</v>
      </c>
      <c r="H264" s="9" t="s">
        <v>565</v>
      </c>
      <c r="I264" s="11" t="s">
        <v>238</v>
      </c>
      <c r="J264" s="47" t="n">
        <f aca="false">Controls!B25</f>
        <v>0</v>
      </c>
      <c r="K264" s="47" t="str">
        <f aca="false">IF(J264=1,"ACCEPTED","OPEN")</f>
        <v>OPEN</v>
      </c>
    </row>
    <row r="265" customFormat="false" ht="15" hidden="false" customHeight="false" outlineLevel="0" collapsed="false">
      <c r="A265" s="19" t="str">
        <f aca="false">"PKT-"&amp;B265&amp;"-SAFETY"</f>
        <v>PKT-RIG-LF-CHA-SAFETY</v>
      </c>
      <c r="B265" s="19" t="str">
        <f aca="false">'Lot Register'!A58</f>
        <v>RIG-LF-CHA</v>
      </c>
      <c r="C265" s="19" t="str">
        <f aca="false">'Lot Register'!B58</f>
        <v>Root-native rig</v>
      </c>
      <c r="D265" s="19" t="str">
        <f aca="false">'Lot Register'!D58</f>
        <v>MS-LF</v>
      </c>
      <c r="E265" s="19" t="str">
        <f aca="false">'Lot Register'!G58</f>
        <v>ST-LF-CHA</v>
      </c>
      <c r="F265" s="9" t="s">
        <v>566</v>
      </c>
      <c r="G265" s="9" t="s">
        <v>567</v>
      </c>
      <c r="H265" s="9" t="s">
        <v>568</v>
      </c>
      <c r="I265" s="11" t="s">
        <v>238</v>
      </c>
      <c r="J265" s="47" t="n">
        <f aca="false">Controls!B25</f>
        <v>0</v>
      </c>
      <c r="K265" s="47" t="str">
        <f aca="false">IF(J265=1,"ACCEPTED","OPEN")</f>
        <v>OPEN</v>
      </c>
    </row>
    <row r="266" customFormat="false" ht="15" hidden="false" customHeight="false" outlineLevel="0" collapsed="false">
      <c r="A266" s="19" t="str">
        <f aca="false">"PKT-"&amp;B266&amp;"-RECONSTRUCTION"</f>
        <v>PKT-RIG-LF-CHA-RECONSTRUCTION</v>
      </c>
      <c r="B266" s="19" t="str">
        <f aca="false">'Lot Register'!A58</f>
        <v>RIG-LF-CHA</v>
      </c>
      <c r="C266" s="19" t="str">
        <f aca="false">'Lot Register'!B58</f>
        <v>Root-native rig</v>
      </c>
      <c r="D266" s="19" t="str">
        <f aca="false">'Lot Register'!D58</f>
        <v>MS-LF</v>
      </c>
      <c r="E266" s="19" t="str">
        <f aca="false">'Lot Register'!G58</f>
        <v>ST-LF-CHA</v>
      </c>
      <c r="F266" s="9" t="s">
        <v>282</v>
      </c>
      <c r="G266" s="9" t="s">
        <v>569</v>
      </c>
      <c r="H266" s="9" t="s">
        <v>570</v>
      </c>
      <c r="I266" s="11" t="s">
        <v>238</v>
      </c>
      <c r="J266" s="47" t="n">
        <f aca="false">Controls!B25</f>
        <v>0</v>
      </c>
      <c r="K266" s="47" t="str">
        <f aca="false">IF(J266=1,"ACCEPTED","OPEN")</f>
        <v>OPEN</v>
      </c>
    </row>
    <row r="267" customFormat="false" ht="15" hidden="false" customHeight="false" outlineLevel="0" collapsed="false">
      <c r="A267" s="19" t="str">
        <f aca="false">"PKT-"&amp;B267&amp;"-CONFIGURATION"</f>
        <v>PKT-MTH-LF-CHA-L1-CONFIGURATION</v>
      </c>
      <c r="B267" s="19" t="str">
        <f aca="false">'Lot Register'!A59</f>
        <v>MTH-LF-CHA-L1</v>
      </c>
      <c r="C267" s="19" t="str">
        <f aca="false">'Lot Register'!B59</f>
        <v>Method lineage</v>
      </c>
      <c r="D267" s="19" t="str">
        <f aca="false">'Lot Register'!D59</f>
        <v>MS-LF</v>
      </c>
      <c r="E267" s="19" t="str">
        <f aca="false">'Lot Register'!G59</f>
        <v>ST-LF-CHA</v>
      </c>
      <c r="F267" s="9" t="s">
        <v>558</v>
      </c>
      <c r="G267" s="9" t="s">
        <v>559</v>
      </c>
      <c r="H267" s="9" t="s">
        <v>560</v>
      </c>
      <c r="I267" s="11" t="s">
        <v>238</v>
      </c>
      <c r="J267" s="47" t="n">
        <f aca="false">Controls!B25</f>
        <v>0</v>
      </c>
      <c r="K267" s="47" t="str">
        <f aca="false">IF(J267=1,"ACCEPTED","OPEN")</f>
        <v>OPEN</v>
      </c>
    </row>
    <row r="268" customFormat="false" ht="15" hidden="false" customHeight="false" outlineLevel="0" collapsed="false">
      <c r="A268" s="19" t="str">
        <f aca="false">"PKT-"&amp;B268&amp;"-CONTROL"</f>
        <v>PKT-MTH-LF-CHA-L1-CONTROL</v>
      </c>
      <c r="B268" s="19" t="str">
        <f aca="false">'Lot Register'!A59</f>
        <v>MTH-LF-CHA-L1</v>
      </c>
      <c r="C268" s="19" t="str">
        <f aca="false">'Lot Register'!B59</f>
        <v>Method lineage</v>
      </c>
      <c r="D268" s="19" t="str">
        <f aca="false">'Lot Register'!D59</f>
        <v>MS-LF</v>
      </c>
      <c r="E268" s="19" t="str">
        <f aca="false">'Lot Register'!G59</f>
        <v>ST-LF-CHA</v>
      </c>
      <c r="F268" s="9" t="s">
        <v>271</v>
      </c>
      <c r="G268" s="9" t="s">
        <v>561</v>
      </c>
      <c r="H268" s="9" t="s">
        <v>562</v>
      </c>
      <c r="I268" s="11" t="s">
        <v>238</v>
      </c>
      <c r="J268" s="47" t="n">
        <f aca="false">Controls!B25</f>
        <v>0</v>
      </c>
      <c r="K268" s="47" t="str">
        <f aca="false">IF(J268=1,"ACCEPTED","OPEN")</f>
        <v>OPEN</v>
      </c>
    </row>
    <row r="269" customFormat="false" ht="15" hidden="false" customHeight="false" outlineLevel="0" collapsed="false">
      <c r="A269" s="19" t="str">
        <f aca="false">"PKT-"&amp;B269&amp;"-METROLOGY"</f>
        <v>PKT-MTH-LF-CHA-L1-METROLOGY</v>
      </c>
      <c r="B269" s="19" t="str">
        <f aca="false">'Lot Register'!A59</f>
        <v>MTH-LF-CHA-L1</v>
      </c>
      <c r="C269" s="19" t="str">
        <f aca="false">'Lot Register'!B59</f>
        <v>Method lineage</v>
      </c>
      <c r="D269" s="19" t="str">
        <f aca="false">'Lot Register'!D59</f>
        <v>MS-LF</v>
      </c>
      <c r="E269" s="19" t="str">
        <f aca="false">'Lot Register'!G59</f>
        <v>ST-LF-CHA</v>
      </c>
      <c r="F269" s="9" t="s">
        <v>563</v>
      </c>
      <c r="G269" s="9" t="s">
        <v>564</v>
      </c>
      <c r="H269" s="9" t="s">
        <v>565</v>
      </c>
      <c r="I269" s="11" t="s">
        <v>238</v>
      </c>
      <c r="J269" s="47" t="n">
        <f aca="false">Controls!B25</f>
        <v>0</v>
      </c>
      <c r="K269" s="47" t="str">
        <f aca="false">IF(J269=1,"ACCEPTED","OPEN")</f>
        <v>OPEN</v>
      </c>
    </row>
    <row r="270" customFormat="false" ht="15" hidden="false" customHeight="false" outlineLevel="0" collapsed="false">
      <c r="A270" s="19" t="str">
        <f aca="false">"PKT-"&amp;B270&amp;"-SAFETY"</f>
        <v>PKT-MTH-LF-CHA-L1-SAFETY</v>
      </c>
      <c r="B270" s="19" t="str">
        <f aca="false">'Lot Register'!A59</f>
        <v>MTH-LF-CHA-L1</v>
      </c>
      <c r="C270" s="19" t="str">
        <f aca="false">'Lot Register'!B59</f>
        <v>Method lineage</v>
      </c>
      <c r="D270" s="19" t="str">
        <f aca="false">'Lot Register'!D59</f>
        <v>MS-LF</v>
      </c>
      <c r="E270" s="19" t="str">
        <f aca="false">'Lot Register'!G59</f>
        <v>ST-LF-CHA</v>
      </c>
      <c r="F270" s="9" t="s">
        <v>566</v>
      </c>
      <c r="G270" s="9" t="s">
        <v>567</v>
      </c>
      <c r="H270" s="9" t="s">
        <v>568</v>
      </c>
      <c r="I270" s="11" t="s">
        <v>238</v>
      </c>
      <c r="J270" s="47" t="n">
        <f aca="false">Controls!B25</f>
        <v>0</v>
      </c>
      <c r="K270" s="47" t="str">
        <f aca="false">IF(J270=1,"ACCEPTED","OPEN")</f>
        <v>OPEN</v>
      </c>
    </row>
    <row r="271" customFormat="false" ht="15" hidden="false" customHeight="false" outlineLevel="0" collapsed="false">
      <c r="A271" s="19" t="str">
        <f aca="false">"PKT-"&amp;B271&amp;"-RECONSTRUCTION"</f>
        <v>PKT-MTH-LF-CHA-L1-RECONSTRUCTION</v>
      </c>
      <c r="B271" s="19" t="str">
        <f aca="false">'Lot Register'!A59</f>
        <v>MTH-LF-CHA-L1</v>
      </c>
      <c r="C271" s="19" t="str">
        <f aca="false">'Lot Register'!B59</f>
        <v>Method lineage</v>
      </c>
      <c r="D271" s="19" t="str">
        <f aca="false">'Lot Register'!D59</f>
        <v>MS-LF</v>
      </c>
      <c r="E271" s="19" t="str">
        <f aca="false">'Lot Register'!G59</f>
        <v>ST-LF-CHA</v>
      </c>
      <c r="F271" s="9" t="s">
        <v>282</v>
      </c>
      <c r="G271" s="9" t="s">
        <v>569</v>
      </c>
      <c r="H271" s="9" t="s">
        <v>570</v>
      </c>
      <c r="I271" s="11" t="s">
        <v>238</v>
      </c>
      <c r="J271" s="47" t="n">
        <f aca="false">Controls!B25</f>
        <v>0</v>
      </c>
      <c r="K271" s="47" t="str">
        <f aca="false">IF(J271=1,"ACCEPTED","OPEN")</f>
        <v>OPEN</v>
      </c>
    </row>
    <row r="272" customFormat="false" ht="15" hidden="false" customHeight="false" outlineLevel="0" collapsed="false">
      <c r="A272" s="19" t="str">
        <f aca="false">"PKT-"&amp;B272&amp;"-CONFIGURATION"</f>
        <v>PKT-MTH-LF-CHA-L2-CONFIGURATION</v>
      </c>
      <c r="B272" s="19" t="str">
        <f aca="false">'Lot Register'!A60</f>
        <v>MTH-LF-CHA-L2</v>
      </c>
      <c r="C272" s="19" t="str">
        <f aca="false">'Lot Register'!B60</f>
        <v>Method lineage</v>
      </c>
      <c r="D272" s="19" t="str">
        <f aca="false">'Lot Register'!D60</f>
        <v>MS-LF</v>
      </c>
      <c r="E272" s="19" t="str">
        <f aca="false">'Lot Register'!G60</f>
        <v>ST-LF-CHA</v>
      </c>
      <c r="F272" s="9" t="s">
        <v>558</v>
      </c>
      <c r="G272" s="9" t="s">
        <v>559</v>
      </c>
      <c r="H272" s="9" t="s">
        <v>560</v>
      </c>
      <c r="I272" s="11" t="s">
        <v>238</v>
      </c>
      <c r="J272" s="47" t="n">
        <f aca="false">Controls!B25</f>
        <v>0</v>
      </c>
      <c r="K272" s="47" t="str">
        <f aca="false">IF(J272=1,"ACCEPTED","OPEN")</f>
        <v>OPEN</v>
      </c>
    </row>
    <row r="273" customFormat="false" ht="15" hidden="false" customHeight="false" outlineLevel="0" collapsed="false">
      <c r="A273" s="19" t="str">
        <f aca="false">"PKT-"&amp;B273&amp;"-CONTROL"</f>
        <v>PKT-MTH-LF-CHA-L2-CONTROL</v>
      </c>
      <c r="B273" s="19" t="str">
        <f aca="false">'Lot Register'!A60</f>
        <v>MTH-LF-CHA-L2</v>
      </c>
      <c r="C273" s="19" t="str">
        <f aca="false">'Lot Register'!B60</f>
        <v>Method lineage</v>
      </c>
      <c r="D273" s="19" t="str">
        <f aca="false">'Lot Register'!D60</f>
        <v>MS-LF</v>
      </c>
      <c r="E273" s="19" t="str">
        <f aca="false">'Lot Register'!G60</f>
        <v>ST-LF-CHA</v>
      </c>
      <c r="F273" s="9" t="s">
        <v>271</v>
      </c>
      <c r="G273" s="9" t="s">
        <v>561</v>
      </c>
      <c r="H273" s="9" t="s">
        <v>562</v>
      </c>
      <c r="I273" s="11" t="s">
        <v>238</v>
      </c>
      <c r="J273" s="47" t="n">
        <f aca="false">Controls!B25</f>
        <v>0</v>
      </c>
      <c r="K273" s="47" t="str">
        <f aca="false">IF(J273=1,"ACCEPTED","OPEN")</f>
        <v>OPEN</v>
      </c>
    </row>
    <row r="274" customFormat="false" ht="15" hidden="false" customHeight="false" outlineLevel="0" collapsed="false">
      <c r="A274" s="19" t="str">
        <f aca="false">"PKT-"&amp;B274&amp;"-METROLOGY"</f>
        <v>PKT-MTH-LF-CHA-L2-METROLOGY</v>
      </c>
      <c r="B274" s="19" t="str">
        <f aca="false">'Lot Register'!A60</f>
        <v>MTH-LF-CHA-L2</v>
      </c>
      <c r="C274" s="19" t="str">
        <f aca="false">'Lot Register'!B60</f>
        <v>Method lineage</v>
      </c>
      <c r="D274" s="19" t="str">
        <f aca="false">'Lot Register'!D60</f>
        <v>MS-LF</v>
      </c>
      <c r="E274" s="19" t="str">
        <f aca="false">'Lot Register'!G60</f>
        <v>ST-LF-CHA</v>
      </c>
      <c r="F274" s="9" t="s">
        <v>563</v>
      </c>
      <c r="G274" s="9" t="s">
        <v>564</v>
      </c>
      <c r="H274" s="9" t="s">
        <v>565</v>
      </c>
      <c r="I274" s="11" t="s">
        <v>238</v>
      </c>
      <c r="J274" s="47" t="n">
        <f aca="false">Controls!B25</f>
        <v>0</v>
      </c>
      <c r="K274" s="47" t="str">
        <f aca="false">IF(J274=1,"ACCEPTED","OPEN")</f>
        <v>OPEN</v>
      </c>
    </row>
    <row r="275" customFormat="false" ht="15" hidden="false" customHeight="false" outlineLevel="0" collapsed="false">
      <c r="A275" s="19" t="str">
        <f aca="false">"PKT-"&amp;B275&amp;"-SAFETY"</f>
        <v>PKT-MTH-LF-CHA-L2-SAFETY</v>
      </c>
      <c r="B275" s="19" t="str">
        <f aca="false">'Lot Register'!A60</f>
        <v>MTH-LF-CHA-L2</v>
      </c>
      <c r="C275" s="19" t="str">
        <f aca="false">'Lot Register'!B60</f>
        <v>Method lineage</v>
      </c>
      <c r="D275" s="19" t="str">
        <f aca="false">'Lot Register'!D60</f>
        <v>MS-LF</v>
      </c>
      <c r="E275" s="19" t="str">
        <f aca="false">'Lot Register'!G60</f>
        <v>ST-LF-CHA</v>
      </c>
      <c r="F275" s="9" t="s">
        <v>566</v>
      </c>
      <c r="G275" s="9" t="s">
        <v>567</v>
      </c>
      <c r="H275" s="9" t="s">
        <v>568</v>
      </c>
      <c r="I275" s="11" t="s">
        <v>238</v>
      </c>
      <c r="J275" s="47" t="n">
        <f aca="false">Controls!B25</f>
        <v>0</v>
      </c>
      <c r="K275" s="47" t="str">
        <f aca="false">IF(J275=1,"ACCEPTED","OPEN")</f>
        <v>OPEN</v>
      </c>
    </row>
    <row r="276" customFormat="false" ht="15" hidden="false" customHeight="false" outlineLevel="0" collapsed="false">
      <c r="A276" s="19" t="str">
        <f aca="false">"PKT-"&amp;B276&amp;"-RECONSTRUCTION"</f>
        <v>PKT-MTH-LF-CHA-L2-RECONSTRUCTION</v>
      </c>
      <c r="B276" s="19" t="str">
        <f aca="false">'Lot Register'!A60</f>
        <v>MTH-LF-CHA-L2</v>
      </c>
      <c r="C276" s="19" t="str">
        <f aca="false">'Lot Register'!B60</f>
        <v>Method lineage</v>
      </c>
      <c r="D276" s="19" t="str">
        <f aca="false">'Lot Register'!D60</f>
        <v>MS-LF</v>
      </c>
      <c r="E276" s="19" t="str">
        <f aca="false">'Lot Register'!G60</f>
        <v>ST-LF-CHA</v>
      </c>
      <c r="F276" s="9" t="s">
        <v>282</v>
      </c>
      <c r="G276" s="9" t="s">
        <v>569</v>
      </c>
      <c r="H276" s="9" t="s">
        <v>570</v>
      </c>
      <c r="I276" s="11" t="s">
        <v>238</v>
      </c>
      <c r="J276" s="47" t="n">
        <f aca="false">Controls!B25</f>
        <v>0</v>
      </c>
      <c r="K276" s="47" t="str">
        <f aca="false">IF(J276=1,"ACCEPTED","OPEN")</f>
        <v>OPEN</v>
      </c>
    </row>
    <row r="277" customFormat="false" ht="15" hidden="false" customHeight="false" outlineLevel="0" collapsed="false">
      <c r="A277" s="19" t="str">
        <f aca="false">"PKT-"&amp;B277&amp;"-CONFIGURATION"</f>
        <v>PKT-REG-LF-CHA-CONFIGURATION</v>
      </c>
      <c r="B277" s="19" t="str">
        <f aca="false">'Lot Register'!A61</f>
        <v>REG-LF-CHA</v>
      </c>
      <c r="C277" s="19" t="str">
        <f aca="false">'Lot Register'!B61</f>
        <v>Regeneration tool</v>
      </c>
      <c r="D277" s="19" t="str">
        <f aca="false">'Lot Register'!D61</f>
        <v>MS-LF</v>
      </c>
      <c r="E277" s="19" t="str">
        <f aca="false">'Lot Register'!G61</f>
        <v>ST-LF-CHA</v>
      </c>
      <c r="F277" s="9" t="s">
        <v>558</v>
      </c>
      <c r="G277" s="9" t="s">
        <v>559</v>
      </c>
      <c r="H277" s="9" t="s">
        <v>560</v>
      </c>
      <c r="I277" s="11" t="s">
        <v>238</v>
      </c>
      <c r="J277" s="47" t="n">
        <f aca="false">Controls!B25</f>
        <v>0</v>
      </c>
      <c r="K277" s="47" t="str">
        <f aca="false">IF(J277=1,"ACCEPTED","OPEN")</f>
        <v>OPEN</v>
      </c>
    </row>
    <row r="278" customFormat="false" ht="15" hidden="false" customHeight="false" outlineLevel="0" collapsed="false">
      <c r="A278" s="19" t="str">
        <f aca="false">"PKT-"&amp;B278&amp;"-CONTROL"</f>
        <v>PKT-REG-LF-CHA-CONTROL</v>
      </c>
      <c r="B278" s="19" t="str">
        <f aca="false">'Lot Register'!A61</f>
        <v>REG-LF-CHA</v>
      </c>
      <c r="C278" s="19" t="str">
        <f aca="false">'Lot Register'!B61</f>
        <v>Regeneration tool</v>
      </c>
      <c r="D278" s="19" t="str">
        <f aca="false">'Lot Register'!D61</f>
        <v>MS-LF</v>
      </c>
      <c r="E278" s="19" t="str">
        <f aca="false">'Lot Register'!G61</f>
        <v>ST-LF-CHA</v>
      </c>
      <c r="F278" s="9" t="s">
        <v>271</v>
      </c>
      <c r="G278" s="9" t="s">
        <v>561</v>
      </c>
      <c r="H278" s="9" t="s">
        <v>562</v>
      </c>
      <c r="I278" s="11" t="s">
        <v>238</v>
      </c>
      <c r="J278" s="47" t="n">
        <f aca="false">Controls!B25</f>
        <v>0</v>
      </c>
      <c r="K278" s="47" t="str">
        <f aca="false">IF(J278=1,"ACCEPTED","OPEN")</f>
        <v>OPEN</v>
      </c>
    </row>
    <row r="279" customFormat="false" ht="15" hidden="false" customHeight="false" outlineLevel="0" collapsed="false">
      <c r="A279" s="19" t="str">
        <f aca="false">"PKT-"&amp;B279&amp;"-METROLOGY"</f>
        <v>PKT-REG-LF-CHA-METROLOGY</v>
      </c>
      <c r="B279" s="19" t="str">
        <f aca="false">'Lot Register'!A61</f>
        <v>REG-LF-CHA</v>
      </c>
      <c r="C279" s="19" t="str">
        <f aca="false">'Lot Register'!B61</f>
        <v>Regeneration tool</v>
      </c>
      <c r="D279" s="19" t="str">
        <f aca="false">'Lot Register'!D61</f>
        <v>MS-LF</v>
      </c>
      <c r="E279" s="19" t="str">
        <f aca="false">'Lot Register'!G61</f>
        <v>ST-LF-CHA</v>
      </c>
      <c r="F279" s="9" t="s">
        <v>563</v>
      </c>
      <c r="G279" s="9" t="s">
        <v>564</v>
      </c>
      <c r="H279" s="9" t="s">
        <v>565</v>
      </c>
      <c r="I279" s="11" t="s">
        <v>238</v>
      </c>
      <c r="J279" s="47" t="n">
        <f aca="false">Controls!B25</f>
        <v>0</v>
      </c>
      <c r="K279" s="47" t="str">
        <f aca="false">IF(J279=1,"ACCEPTED","OPEN")</f>
        <v>OPEN</v>
      </c>
    </row>
    <row r="280" customFormat="false" ht="15" hidden="false" customHeight="false" outlineLevel="0" collapsed="false">
      <c r="A280" s="19" t="str">
        <f aca="false">"PKT-"&amp;B280&amp;"-SAFETY"</f>
        <v>PKT-REG-LF-CHA-SAFETY</v>
      </c>
      <c r="B280" s="19" t="str">
        <f aca="false">'Lot Register'!A61</f>
        <v>REG-LF-CHA</v>
      </c>
      <c r="C280" s="19" t="str">
        <f aca="false">'Lot Register'!B61</f>
        <v>Regeneration tool</v>
      </c>
      <c r="D280" s="19" t="str">
        <f aca="false">'Lot Register'!D61</f>
        <v>MS-LF</v>
      </c>
      <c r="E280" s="19" t="str">
        <f aca="false">'Lot Register'!G61</f>
        <v>ST-LF-CHA</v>
      </c>
      <c r="F280" s="9" t="s">
        <v>566</v>
      </c>
      <c r="G280" s="9" t="s">
        <v>567</v>
      </c>
      <c r="H280" s="9" t="s">
        <v>568</v>
      </c>
      <c r="I280" s="11" t="s">
        <v>238</v>
      </c>
      <c r="J280" s="47" t="n">
        <f aca="false">Controls!B25</f>
        <v>0</v>
      </c>
      <c r="K280" s="47" t="str">
        <f aca="false">IF(J280=1,"ACCEPTED","OPEN")</f>
        <v>OPEN</v>
      </c>
    </row>
    <row r="281" customFormat="false" ht="15" hidden="false" customHeight="false" outlineLevel="0" collapsed="false">
      <c r="A281" s="19" t="str">
        <f aca="false">"PKT-"&amp;B281&amp;"-RECONSTRUCTION"</f>
        <v>PKT-REG-LF-CHA-RECONSTRUCTION</v>
      </c>
      <c r="B281" s="19" t="str">
        <f aca="false">'Lot Register'!A61</f>
        <v>REG-LF-CHA</v>
      </c>
      <c r="C281" s="19" t="str">
        <f aca="false">'Lot Register'!B61</f>
        <v>Regeneration tool</v>
      </c>
      <c r="D281" s="19" t="str">
        <f aca="false">'Lot Register'!D61</f>
        <v>MS-LF</v>
      </c>
      <c r="E281" s="19" t="str">
        <f aca="false">'Lot Register'!G61</f>
        <v>ST-LF-CHA</v>
      </c>
      <c r="F281" s="9" t="s">
        <v>282</v>
      </c>
      <c r="G281" s="9" t="s">
        <v>569</v>
      </c>
      <c r="H281" s="9" t="s">
        <v>570</v>
      </c>
      <c r="I281" s="11" t="s">
        <v>238</v>
      </c>
      <c r="J281" s="47" t="n">
        <f aca="false">Controls!B25</f>
        <v>0</v>
      </c>
      <c r="K281" s="47" t="str">
        <f aca="false">IF(J281=1,"ACCEPTED","OPEN")</f>
        <v>OPEN</v>
      </c>
    </row>
    <row r="282" customFormat="false" ht="15" hidden="false" customHeight="false" outlineLevel="0" collapsed="false">
      <c r="A282" s="19" t="str">
        <f aca="false">"PKT-"&amp;B282&amp;"-CONFIGURATION"</f>
        <v>PKT-INT-LF-CHA-CONFIGURATION</v>
      </c>
      <c r="B282" s="19" t="str">
        <f aca="false">'Lot Register'!A62</f>
        <v>INT-LF-CHA</v>
      </c>
      <c r="C282" s="19" t="str">
        <f aca="false">'Lot Register'!B62</f>
        <v>Station integration</v>
      </c>
      <c r="D282" s="19" t="str">
        <f aca="false">'Lot Register'!D62</f>
        <v>MS-LF</v>
      </c>
      <c r="E282" s="19" t="str">
        <f aca="false">'Lot Register'!G62</f>
        <v>ST-LF-CHA</v>
      </c>
      <c r="F282" s="9" t="s">
        <v>558</v>
      </c>
      <c r="G282" s="9" t="s">
        <v>559</v>
      </c>
      <c r="H282" s="9" t="s">
        <v>560</v>
      </c>
      <c r="I282" s="11" t="s">
        <v>238</v>
      </c>
      <c r="J282" s="47" t="n">
        <f aca="false">Controls!B25</f>
        <v>0</v>
      </c>
      <c r="K282" s="47" t="str">
        <f aca="false">IF(J282=1,"ACCEPTED","OPEN")</f>
        <v>OPEN</v>
      </c>
    </row>
    <row r="283" customFormat="false" ht="15" hidden="false" customHeight="false" outlineLevel="0" collapsed="false">
      <c r="A283" s="19" t="str">
        <f aca="false">"PKT-"&amp;B283&amp;"-CONTROL"</f>
        <v>PKT-INT-LF-CHA-CONTROL</v>
      </c>
      <c r="B283" s="19" t="str">
        <f aca="false">'Lot Register'!A62</f>
        <v>INT-LF-CHA</v>
      </c>
      <c r="C283" s="19" t="str">
        <f aca="false">'Lot Register'!B62</f>
        <v>Station integration</v>
      </c>
      <c r="D283" s="19" t="str">
        <f aca="false">'Lot Register'!D62</f>
        <v>MS-LF</v>
      </c>
      <c r="E283" s="19" t="str">
        <f aca="false">'Lot Register'!G62</f>
        <v>ST-LF-CHA</v>
      </c>
      <c r="F283" s="9" t="s">
        <v>271</v>
      </c>
      <c r="G283" s="9" t="s">
        <v>561</v>
      </c>
      <c r="H283" s="9" t="s">
        <v>562</v>
      </c>
      <c r="I283" s="11" t="s">
        <v>238</v>
      </c>
      <c r="J283" s="47" t="n">
        <f aca="false">Controls!B25</f>
        <v>0</v>
      </c>
      <c r="K283" s="47" t="str">
        <f aca="false">IF(J283=1,"ACCEPTED","OPEN")</f>
        <v>OPEN</v>
      </c>
    </row>
    <row r="284" customFormat="false" ht="15" hidden="false" customHeight="false" outlineLevel="0" collapsed="false">
      <c r="A284" s="19" t="str">
        <f aca="false">"PKT-"&amp;B284&amp;"-METROLOGY"</f>
        <v>PKT-INT-LF-CHA-METROLOGY</v>
      </c>
      <c r="B284" s="19" t="str">
        <f aca="false">'Lot Register'!A62</f>
        <v>INT-LF-CHA</v>
      </c>
      <c r="C284" s="19" t="str">
        <f aca="false">'Lot Register'!B62</f>
        <v>Station integration</v>
      </c>
      <c r="D284" s="19" t="str">
        <f aca="false">'Lot Register'!D62</f>
        <v>MS-LF</v>
      </c>
      <c r="E284" s="19" t="str">
        <f aca="false">'Lot Register'!G62</f>
        <v>ST-LF-CHA</v>
      </c>
      <c r="F284" s="9" t="s">
        <v>563</v>
      </c>
      <c r="G284" s="9" t="s">
        <v>564</v>
      </c>
      <c r="H284" s="9" t="s">
        <v>565</v>
      </c>
      <c r="I284" s="11" t="s">
        <v>238</v>
      </c>
      <c r="J284" s="47" t="n">
        <f aca="false">Controls!B25</f>
        <v>0</v>
      </c>
      <c r="K284" s="47" t="str">
        <f aca="false">IF(J284=1,"ACCEPTED","OPEN")</f>
        <v>OPEN</v>
      </c>
    </row>
    <row r="285" customFormat="false" ht="15" hidden="false" customHeight="false" outlineLevel="0" collapsed="false">
      <c r="A285" s="19" t="str">
        <f aca="false">"PKT-"&amp;B285&amp;"-SAFETY"</f>
        <v>PKT-INT-LF-CHA-SAFETY</v>
      </c>
      <c r="B285" s="19" t="str">
        <f aca="false">'Lot Register'!A62</f>
        <v>INT-LF-CHA</v>
      </c>
      <c r="C285" s="19" t="str">
        <f aca="false">'Lot Register'!B62</f>
        <v>Station integration</v>
      </c>
      <c r="D285" s="19" t="str">
        <f aca="false">'Lot Register'!D62</f>
        <v>MS-LF</v>
      </c>
      <c r="E285" s="19" t="str">
        <f aca="false">'Lot Register'!G62</f>
        <v>ST-LF-CHA</v>
      </c>
      <c r="F285" s="9" t="s">
        <v>566</v>
      </c>
      <c r="G285" s="9" t="s">
        <v>567</v>
      </c>
      <c r="H285" s="9" t="s">
        <v>568</v>
      </c>
      <c r="I285" s="11" t="s">
        <v>238</v>
      </c>
      <c r="J285" s="47" t="n">
        <f aca="false">Controls!B25</f>
        <v>0</v>
      </c>
      <c r="K285" s="47" t="str">
        <f aca="false">IF(J285=1,"ACCEPTED","OPEN")</f>
        <v>OPEN</v>
      </c>
    </row>
    <row r="286" customFormat="false" ht="15" hidden="false" customHeight="false" outlineLevel="0" collapsed="false">
      <c r="A286" s="19" t="str">
        <f aca="false">"PKT-"&amp;B286&amp;"-RECONSTRUCTION"</f>
        <v>PKT-INT-LF-CHA-RECONSTRUCTION</v>
      </c>
      <c r="B286" s="19" t="str">
        <f aca="false">'Lot Register'!A62</f>
        <v>INT-LF-CHA</v>
      </c>
      <c r="C286" s="19" t="str">
        <f aca="false">'Lot Register'!B62</f>
        <v>Station integration</v>
      </c>
      <c r="D286" s="19" t="str">
        <f aca="false">'Lot Register'!D62</f>
        <v>MS-LF</v>
      </c>
      <c r="E286" s="19" t="str">
        <f aca="false">'Lot Register'!G62</f>
        <v>ST-LF-CHA</v>
      </c>
      <c r="F286" s="9" t="s">
        <v>282</v>
      </c>
      <c r="G286" s="9" t="s">
        <v>569</v>
      </c>
      <c r="H286" s="9" t="s">
        <v>570</v>
      </c>
      <c r="I286" s="11" t="s">
        <v>238</v>
      </c>
      <c r="J286" s="47" t="n">
        <f aca="false">Controls!B25</f>
        <v>0</v>
      </c>
      <c r="K286" s="47" t="str">
        <f aca="false">IF(J286=1,"ACCEPTED","OPEN")</f>
        <v>OPEN</v>
      </c>
    </row>
    <row r="287" customFormat="false" ht="15" hidden="false" customHeight="false" outlineLevel="0" collapsed="false">
      <c r="A287" s="19" t="str">
        <f aca="false">"PKT-"&amp;B287&amp;"-CONFIGURATION"</f>
        <v>PKT-RIG-LF-CON-CONFIGURATION</v>
      </c>
      <c r="B287" s="19" t="str">
        <f aca="false">'Lot Register'!A63</f>
        <v>RIG-LF-CON</v>
      </c>
      <c r="C287" s="19" t="str">
        <f aca="false">'Lot Register'!B63</f>
        <v>Root-native rig</v>
      </c>
      <c r="D287" s="19" t="str">
        <f aca="false">'Lot Register'!D63</f>
        <v>MS-LF</v>
      </c>
      <c r="E287" s="19" t="str">
        <f aca="false">'Lot Register'!G63</f>
        <v>ST-LF-CON</v>
      </c>
      <c r="F287" s="9" t="s">
        <v>558</v>
      </c>
      <c r="G287" s="9" t="s">
        <v>559</v>
      </c>
      <c r="H287" s="9" t="s">
        <v>560</v>
      </c>
      <c r="I287" s="11" t="s">
        <v>238</v>
      </c>
      <c r="J287" s="47" t="n">
        <f aca="false">Controls!B25</f>
        <v>0</v>
      </c>
      <c r="K287" s="47" t="str">
        <f aca="false">IF(J287=1,"ACCEPTED","OPEN")</f>
        <v>OPEN</v>
      </c>
    </row>
    <row r="288" customFormat="false" ht="15" hidden="false" customHeight="false" outlineLevel="0" collapsed="false">
      <c r="A288" s="19" t="str">
        <f aca="false">"PKT-"&amp;B288&amp;"-CONTROL"</f>
        <v>PKT-RIG-LF-CON-CONTROL</v>
      </c>
      <c r="B288" s="19" t="str">
        <f aca="false">'Lot Register'!A63</f>
        <v>RIG-LF-CON</v>
      </c>
      <c r="C288" s="19" t="str">
        <f aca="false">'Lot Register'!B63</f>
        <v>Root-native rig</v>
      </c>
      <c r="D288" s="19" t="str">
        <f aca="false">'Lot Register'!D63</f>
        <v>MS-LF</v>
      </c>
      <c r="E288" s="19" t="str">
        <f aca="false">'Lot Register'!G63</f>
        <v>ST-LF-CON</v>
      </c>
      <c r="F288" s="9" t="s">
        <v>271</v>
      </c>
      <c r="G288" s="9" t="s">
        <v>561</v>
      </c>
      <c r="H288" s="9" t="s">
        <v>562</v>
      </c>
      <c r="I288" s="11" t="s">
        <v>238</v>
      </c>
      <c r="J288" s="47" t="n">
        <f aca="false">Controls!B25</f>
        <v>0</v>
      </c>
      <c r="K288" s="47" t="str">
        <f aca="false">IF(J288=1,"ACCEPTED","OPEN")</f>
        <v>OPEN</v>
      </c>
    </row>
    <row r="289" customFormat="false" ht="15" hidden="false" customHeight="false" outlineLevel="0" collapsed="false">
      <c r="A289" s="19" t="str">
        <f aca="false">"PKT-"&amp;B289&amp;"-METROLOGY"</f>
        <v>PKT-RIG-LF-CON-METROLOGY</v>
      </c>
      <c r="B289" s="19" t="str">
        <f aca="false">'Lot Register'!A63</f>
        <v>RIG-LF-CON</v>
      </c>
      <c r="C289" s="19" t="str">
        <f aca="false">'Lot Register'!B63</f>
        <v>Root-native rig</v>
      </c>
      <c r="D289" s="19" t="str">
        <f aca="false">'Lot Register'!D63</f>
        <v>MS-LF</v>
      </c>
      <c r="E289" s="19" t="str">
        <f aca="false">'Lot Register'!G63</f>
        <v>ST-LF-CON</v>
      </c>
      <c r="F289" s="9" t="s">
        <v>563</v>
      </c>
      <c r="G289" s="9" t="s">
        <v>564</v>
      </c>
      <c r="H289" s="9" t="s">
        <v>565</v>
      </c>
      <c r="I289" s="11" t="s">
        <v>238</v>
      </c>
      <c r="J289" s="47" t="n">
        <f aca="false">Controls!B25</f>
        <v>0</v>
      </c>
      <c r="K289" s="47" t="str">
        <f aca="false">IF(J289=1,"ACCEPTED","OPEN")</f>
        <v>OPEN</v>
      </c>
    </row>
    <row r="290" customFormat="false" ht="15" hidden="false" customHeight="false" outlineLevel="0" collapsed="false">
      <c r="A290" s="19" t="str">
        <f aca="false">"PKT-"&amp;B290&amp;"-SAFETY"</f>
        <v>PKT-RIG-LF-CON-SAFETY</v>
      </c>
      <c r="B290" s="19" t="str">
        <f aca="false">'Lot Register'!A63</f>
        <v>RIG-LF-CON</v>
      </c>
      <c r="C290" s="19" t="str">
        <f aca="false">'Lot Register'!B63</f>
        <v>Root-native rig</v>
      </c>
      <c r="D290" s="19" t="str">
        <f aca="false">'Lot Register'!D63</f>
        <v>MS-LF</v>
      </c>
      <c r="E290" s="19" t="str">
        <f aca="false">'Lot Register'!G63</f>
        <v>ST-LF-CON</v>
      </c>
      <c r="F290" s="9" t="s">
        <v>566</v>
      </c>
      <c r="G290" s="9" t="s">
        <v>567</v>
      </c>
      <c r="H290" s="9" t="s">
        <v>568</v>
      </c>
      <c r="I290" s="11" t="s">
        <v>238</v>
      </c>
      <c r="J290" s="47" t="n">
        <f aca="false">Controls!B25</f>
        <v>0</v>
      </c>
      <c r="K290" s="47" t="str">
        <f aca="false">IF(J290=1,"ACCEPTED","OPEN")</f>
        <v>OPEN</v>
      </c>
    </row>
    <row r="291" customFormat="false" ht="15" hidden="false" customHeight="false" outlineLevel="0" collapsed="false">
      <c r="A291" s="19" t="str">
        <f aca="false">"PKT-"&amp;B291&amp;"-RECONSTRUCTION"</f>
        <v>PKT-RIG-LF-CON-RECONSTRUCTION</v>
      </c>
      <c r="B291" s="19" t="str">
        <f aca="false">'Lot Register'!A63</f>
        <v>RIG-LF-CON</v>
      </c>
      <c r="C291" s="19" t="str">
        <f aca="false">'Lot Register'!B63</f>
        <v>Root-native rig</v>
      </c>
      <c r="D291" s="19" t="str">
        <f aca="false">'Lot Register'!D63</f>
        <v>MS-LF</v>
      </c>
      <c r="E291" s="19" t="str">
        <f aca="false">'Lot Register'!G63</f>
        <v>ST-LF-CON</v>
      </c>
      <c r="F291" s="9" t="s">
        <v>282</v>
      </c>
      <c r="G291" s="9" t="s">
        <v>569</v>
      </c>
      <c r="H291" s="9" t="s">
        <v>570</v>
      </c>
      <c r="I291" s="11" t="s">
        <v>238</v>
      </c>
      <c r="J291" s="47" t="n">
        <f aca="false">Controls!B25</f>
        <v>0</v>
      </c>
      <c r="K291" s="47" t="str">
        <f aca="false">IF(J291=1,"ACCEPTED","OPEN")</f>
        <v>OPEN</v>
      </c>
    </row>
    <row r="292" customFormat="false" ht="15" hidden="false" customHeight="false" outlineLevel="0" collapsed="false">
      <c r="A292" s="19" t="str">
        <f aca="false">"PKT-"&amp;B292&amp;"-CONFIGURATION"</f>
        <v>PKT-MTH-LF-CON-L1-CONFIGURATION</v>
      </c>
      <c r="B292" s="19" t="str">
        <f aca="false">'Lot Register'!A64</f>
        <v>MTH-LF-CON-L1</v>
      </c>
      <c r="C292" s="19" t="str">
        <f aca="false">'Lot Register'!B64</f>
        <v>Method lineage</v>
      </c>
      <c r="D292" s="19" t="str">
        <f aca="false">'Lot Register'!D64</f>
        <v>MS-LF</v>
      </c>
      <c r="E292" s="19" t="str">
        <f aca="false">'Lot Register'!G64</f>
        <v>ST-LF-CON</v>
      </c>
      <c r="F292" s="9" t="s">
        <v>558</v>
      </c>
      <c r="G292" s="9" t="s">
        <v>559</v>
      </c>
      <c r="H292" s="9" t="s">
        <v>560</v>
      </c>
      <c r="I292" s="11" t="s">
        <v>238</v>
      </c>
      <c r="J292" s="47" t="n">
        <f aca="false">Controls!B25</f>
        <v>0</v>
      </c>
      <c r="K292" s="47" t="str">
        <f aca="false">IF(J292=1,"ACCEPTED","OPEN")</f>
        <v>OPEN</v>
      </c>
    </row>
    <row r="293" customFormat="false" ht="15" hidden="false" customHeight="false" outlineLevel="0" collapsed="false">
      <c r="A293" s="19" t="str">
        <f aca="false">"PKT-"&amp;B293&amp;"-CONTROL"</f>
        <v>PKT-MTH-LF-CON-L1-CONTROL</v>
      </c>
      <c r="B293" s="19" t="str">
        <f aca="false">'Lot Register'!A64</f>
        <v>MTH-LF-CON-L1</v>
      </c>
      <c r="C293" s="19" t="str">
        <f aca="false">'Lot Register'!B64</f>
        <v>Method lineage</v>
      </c>
      <c r="D293" s="19" t="str">
        <f aca="false">'Lot Register'!D64</f>
        <v>MS-LF</v>
      </c>
      <c r="E293" s="19" t="str">
        <f aca="false">'Lot Register'!G64</f>
        <v>ST-LF-CON</v>
      </c>
      <c r="F293" s="9" t="s">
        <v>271</v>
      </c>
      <c r="G293" s="9" t="s">
        <v>561</v>
      </c>
      <c r="H293" s="9" t="s">
        <v>562</v>
      </c>
      <c r="I293" s="11" t="s">
        <v>238</v>
      </c>
      <c r="J293" s="47" t="n">
        <f aca="false">Controls!B25</f>
        <v>0</v>
      </c>
      <c r="K293" s="47" t="str">
        <f aca="false">IF(J293=1,"ACCEPTED","OPEN")</f>
        <v>OPEN</v>
      </c>
    </row>
    <row r="294" customFormat="false" ht="15" hidden="false" customHeight="false" outlineLevel="0" collapsed="false">
      <c r="A294" s="19" t="str">
        <f aca="false">"PKT-"&amp;B294&amp;"-METROLOGY"</f>
        <v>PKT-MTH-LF-CON-L1-METROLOGY</v>
      </c>
      <c r="B294" s="19" t="str">
        <f aca="false">'Lot Register'!A64</f>
        <v>MTH-LF-CON-L1</v>
      </c>
      <c r="C294" s="19" t="str">
        <f aca="false">'Lot Register'!B64</f>
        <v>Method lineage</v>
      </c>
      <c r="D294" s="19" t="str">
        <f aca="false">'Lot Register'!D64</f>
        <v>MS-LF</v>
      </c>
      <c r="E294" s="19" t="str">
        <f aca="false">'Lot Register'!G64</f>
        <v>ST-LF-CON</v>
      </c>
      <c r="F294" s="9" t="s">
        <v>563</v>
      </c>
      <c r="G294" s="9" t="s">
        <v>564</v>
      </c>
      <c r="H294" s="9" t="s">
        <v>565</v>
      </c>
      <c r="I294" s="11" t="s">
        <v>238</v>
      </c>
      <c r="J294" s="47" t="n">
        <f aca="false">Controls!B25</f>
        <v>0</v>
      </c>
      <c r="K294" s="47" t="str">
        <f aca="false">IF(J294=1,"ACCEPTED","OPEN")</f>
        <v>OPEN</v>
      </c>
    </row>
    <row r="295" customFormat="false" ht="15" hidden="false" customHeight="false" outlineLevel="0" collapsed="false">
      <c r="A295" s="19" t="str">
        <f aca="false">"PKT-"&amp;B295&amp;"-SAFETY"</f>
        <v>PKT-MTH-LF-CON-L1-SAFETY</v>
      </c>
      <c r="B295" s="19" t="str">
        <f aca="false">'Lot Register'!A64</f>
        <v>MTH-LF-CON-L1</v>
      </c>
      <c r="C295" s="19" t="str">
        <f aca="false">'Lot Register'!B64</f>
        <v>Method lineage</v>
      </c>
      <c r="D295" s="19" t="str">
        <f aca="false">'Lot Register'!D64</f>
        <v>MS-LF</v>
      </c>
      <c r="E295" s="19" t="str">
        <f aca="false">'Lot Register'!G64</f>
        <v>ST-LF-CON</v>
      </c>
      <c r="F295" s="9" t="s">
        <v>566</v>
      </c>
      <c r="G295" s="9" t="s">
        <v>567</v>
      </c>
      <c r="H295" s="9" t="s">
        <v>568</v>
      </c>
      <c r="I295" s="11" t="s">
        <v>238</v>
      </c>
      <c r="J295" s="47" t="n">
        <f aca="false">Controls!B25</f>
        <v>0</v>
      </c>
      <c r="K295" s="47" t="str">
        <f aca="false">IF(J295=1,"ACCEPTED","OPEN")</f>
        <v>OPEN</v>
      </c>
    </row>
    <row r="296" customFormat="false" ht="15" hidden="false" customHeight="false" outlineLevel="0" collapsed="false">
      <c r="A296" s="19" t="str">
        <f aca="false">"PKT-"&amp;B296&amp;"-RECONSTRUCTION"</f>
        <v>PKT-MTH-LF-CON-L1-RECONSTRUCTION</v>
      </c>
      <c r="B296" s="19" t="str">
        <f aca="false">'Lot Register'!A64</f>
        <v>MTH-LF-CON-L1</v>
      </c>
      <c r="C296" s="19" t="str">
        <f aca="false">'Lot Register'!B64</f>
        <v>Method lineage</v>
      </c>
      <c r="D296" s="19" t="str">
        <f aca="false">'Lot Register'!D64</f>
        <v>MS-LF</v>
      </c>
      <c r="E296" s="19" t="str">
        <f aca="false">'Lot Register'!G64</f>
        <v>ST-LF-CON</v>
      </c>
      <c r="F296" s="9" t="s">
        <v>282</v>
      </c>
      <c r="G296" s="9" t="s">
        <v>569</v>
      </c>
      <c r="H296" s="9" t="s">
        <v>570</v>
      </c>
      <c r="I296" s="11" t="s">
        <v>238</v>
      </c>
      <c r="J296" s="47" t="n">
        <f aca="false">Controls!B25</f>
        <v>0</v>
      </c>
      <c r="K296" s="47" t="str">
        <f aca="false">IF(J296=1,"ACCEPTED","OPEN")</f>
        <v>OPEN</v>
      </c>
    </row>
    <row r="297" customFormat="false" ht="15" hidden="false" customHeight="false" outlineLevel="0" collapsed="false">
      <c r="A297" s="19" t="str">
        <f aca="false">"PKT-"&amp;B297&amp;"-CONFIGURATION"</f>
        <v>PKT-MTH-LF-CON-L2-CONFIGURATION</v>
      </c>
      <c r="B297" s="19" t="str">
        <f aca="false">'Lot Register'!A65</f>
        <v>MTH-LF-CON-L2</v>
      </c>
      <c r="C297" s="19" t="str">
        <f aca="false">'Lot Register'!B65</f>
        <v>Method lineage</v>
      </c>
      <c r="D297" s="19" t="str">
        <f aca="false">'Lot Register'!D65</f>
        <v>MS-LF</v>
      </c>
      <c r="E297" s="19" t="str">
        <f aca="false">'Lot Register'!G65</f>
        <v>ST-LF-CON</v>
      </c>
      <c r="F297" s="9" t="s">
        <v>558</v>
      </c>
      <c r="G297" s="9" t="s">
        <v>559</v>
      </c>
      <c r="H297" s="9" t="s">
        <v>560</v>
      </c>
      <c r="I297" s="11" t="s">
        <v>238</v>
      </c>
      <c r="J297" s="47" t="n">
        <f aca="false">Controls!B25</f>
        <v>0</v>
      </c>
      <c r="K297" s="47" t="str">
        <f aca="false">IF(J297=1,"ACCEPTED","OPEN")</f>
        <v>OPEN</v>
      </c>
    </row>
    <row r="298" customFormat="false" ht="15" hidden="false" customHeight="false" outlineLevel="0" collapsed="false">
      <c r="A298" s="19" t="str">
        <f aca="false">"PKT-"&amp;B298&amp;"-CONTROL"</f>
        <v>PKT-MTH-LF-CON-L2-CONTROL</v>
      </c>
      <c r="B298" s="19" t="str">
        <f aca="false">'Lot Register'!A65</f>
        <v>MTH-LF-CON-L2</v>
      </c>
      <c r="C298" s="19" t="str">
        <f aca="false">'Lot Register'!B65</f>
        <v>Method lineage</v>
      </c>
      <c r="D298" s="19" t="str">
        <f aca="false">'Lot Register'!D65</f>
        <v>MS-LF</v>
      </c>
      <c r="E298" s="19" t="str">
        <f aca="false">'Lot Register'!G65</f>
        <v>ST-LF-CON</v>
      </c>
      <c r="F298" s="9" t="s">
        <v>271</v>
      </c>
      <c r="G298" s="9" t="s">
        <v>561</v>
      </c>
      <c r="H298" s="9" t="s">
        <v>562</v>
      </c>
      <c r="I298" s="11" t="s">
        <v>238</v>
      </c>
      <c r="J298" s="47" t="n">
        <f aca="false">Controls!B25</f>
        <v>0</v>
      </c>
      <c r="K298" s="47" t="str">
        <f aca="false">IF(J298=1,"ACCEPTED","OPEN")</f>
        <v>OPEN</v>
      </c>
    </row>
    <row r="299" customFormat="false" ht="15" hidden="false" customHeight="false" outlineLevel="0" collapsed="false">
      <c r="A299" s="19" t="str">
        <f aca="false">"PKT-"&amp;B299&amp;"-METROLOGY"</f>
        <v>PKT-MTH-LF-CON-L2-METROLOGY</v>
      </c>
      <c r="B299" s="19" t="str">
        <f aca="false">'Lot Register'!A65</f>
        <v>MTH-LF-CON-L2</v>
      </c>
      <c r="C299" s="19" t="str">
        <f aca="false">'Lot Register'!B65</f>
        <v>Method lineage</v>
      </c>
      <c r="D299" s="19" t="str">
        <f aca="false">'Lot Register'!D65</f>
        <v>MS-LF</v>
      </c>
      <c r="E299" s="19" t="str">
        <f aca="false">'Lot Register'!G65</f>
        <v>ST-LF-CON</v>
      </c>
      <c r="F299" s="9" t="s">
        <v>563</v>
      </c>
      <c r="G299" s="9" t="s">
        <v>564</v>
      </c>
      <c r="H299" s="9" t="s">
        <v>565</v>
      </c>
      <c r="I299" s="11" t="s">
        <v>238</v>
      </c>
      <c r="J299" s="47" t="n">
        <f aca="false">Controls!B25</f>
        <v>0</v>
      </c>
      <c r="K299" s="47" t="str">
        <f aca="false">IF(J299=1,"ACCEPTED","OPEN")</f>
        <v>OPEN</v>
      </c>
    </row>
    <row r="300" customFormat="false" ht="15" hidden="false" customHeight="false" outlineLevel="0" collapsed="false">
      <c r="A300" s="19" t="str">
        <f aca="false">"PKT-"&amp;B300&amp;"-SAFETY"</f>
        <v>PKT-MTH-LF-CON-L2-SAFETY</v>
      </c>
      <c r="B300" s="19" t="str">
        <f aca="false">'Lot Register'!A65</f>
        <v>MTH-LF-CON-L2</v>
      </c>
      <c r="C300" s="19" t="str">
        <f aca="false">'Lot Register'!B65</f>
        <v>Method lineage</v>
      </c>
      <c r="D300" s="19" t="str">
        <f aca="false">'Lot Register'!D65</f>
        <v>MS-LF</v>
      </c>
      <c r="E300" s="19" t="str">
        <f aca="false">'Lot Register'!G65</f>
        <v>ST-LF-CON</v>
      </c>
      <c r="F300" s="9" t="s">
        <v>566</v>
      </c>
      <c r="G300" s="9" t="s">
        <v>567</v>
      </c>
      <c r="H300" s="9" t="s">
        <v>568</v>
      </c>
      <c r="I300" s="11" t="s">
        <v>238</v>
      </c>
      <c r="J300" s="47" t="n">
        <f aca="false">Controls!B25</f>
        <v>0</v>
      </c>
      <c r="K300" s="47" t="str">
        <f aca="false">IF(J300=1,"ACCEPTED","OPEN")</f>
        <v>OPEN</v>
      </c>
    </row>
    <row r="301" customFormat="false" ht="15" hidden="false" customHeight="false" outlineLevel="0" collapsed="false">
      <c r="A301" s="19" t="str">
        <f aca="false">"PKT-"&amp;B301&amp;"-RECONSTRUCTION"</f>
        <v>PKT-MTH-LF-CON-L2-RECONSTRUCTION</v>
      </c>
      <c r="B301" s="19" t="str">
        <f aca="false">'Lot Register'!A65</f>
        <v>MTH-LF-CON-L2</v>
      </c>
      <c r="C301" s="19" t="str">
        <f aca="false">'Lot Register'!B65</f>
        <v>Method lineage</v>
      </c>
      <c r="D301" s="19" t="str">
        <f aca="false">'Lot Register'!D65</f>
        <v>MS-LF</v>
      </c>
      <c r="E301" s="19" t="str">
        <f aca="false">'Lot Register'!G65</f>
        <v>ST-LF-CON</v>
      </c>
      <c r="F301" s="9" t="s">
        <v>282</v>
      </c>
      <c r="G301" s="9" t="s">
        <v>569</v>
      </c>
      <c r="H301" s="9" t="s">
        <v>570</v>
      </c>
      <c r="I301" s="11" t="s">
        <v>238</v>
      </c>
      <c r="J301" s="47" t="n">
        <f aca="false">Controls!B25</f>
        <v>0</v>
      </c>
      <c r="K301" s="47" t="str">
        <f aca="false">IF(J301=1,"ACCEPTED","OPEN")</f>
        <v>OPEN</v>
      </c>
    </row>
    <row r="302" customFormat="false" ht="15" hidden="false" customHeight="false" outlineLevel="0" collapsed="false">
      <c r="A302" s="19" t="str">
        <f aca="false">"PKT-"&amp;B302&amp;"-CONFIGURATION"</f>
        <v>PKT-REG-LF-CON-CONFIGURATION</v>
      </c>
      <c r="B302" s="19" t="str">
        <f aca="false">'Lot Register'!A66</f>
        <v>REG-LF-CON</v>
      </c>
      <c r="C302" s="19" t="str">
        <f aca="false">'Lot Register'!B66</f>
        <v>Regeneration tool</v>
      </c>
      <c r="D302" s="19" t="str">
        <f aca="false">'Lot Register'!D66</f>
        <v>MS-LF</v>
      </c>
      <c r="E302" s="19" t="str">
        <f aca="false">'Lot Register'!G66</f>
        <v>ST-LF-CON</v>
      </c>
      <c r="F302" s="9" t="s">
        <v>558</v>
      </c>
      <c r="G302" s="9" t="s">
        <v>559</v>
      </c>
      <c r="H302" s="9" t="s">
        <v>560</v>
      </c>
      <c r="I302" s="11" t="s">
        <v>238</v>
      </c>
      <c r="J302" s="47" t="n">
        <f aca="false">Controls!B25</f>
        <v>0</v>
      </c>
      <c r="K302" s="47" t="str">
        <f aca="false">IF(J302=1,"ACCEPTED","OPEN")</f>
        <v>OPEN</v>
      </c>
    </row>
    <row r="303" customFormat="false" ht="15" hidden="false" customHeight="false" outlineLevel="0" collapsed="false">
      <c r="A303" s="19" t="str">
        <f aca="false">"PKT-"&amp;B303&amp;"-CONTROL"</f>
        <v>PKT-REG-LF-CON-CONTROL</v>
      </c>
      <c r="B303" s="19" t="str">
        <f aca="false">'Lot Register'!A66</f>
        <v>REG-LF-CON</v>
      </c>
      <c r="C303" s="19" t="str">
        <f aca="false">'Lot Register'!B66</f>
        <v>Regeneration tool</v>
      </c>
      <c r="D303" s="19" t="str">
        <f aca="false">'Lot Register'!D66</f>
        <v>MS-LF</v>
      </c>
      <c r="E303" s="19" t="str">
        <f aca="false">'Lot Register'!G66</f>
        <v>ST-LF-CON</v>
      </c>
      <c r="F303" s="9" t="s">
        <v>271</v>
      </c>
      <c r="G303" s="9" t="s">
        <v>561</v>
      </c>
      <c r="H303" s="9" t="s">
        <v>562</v>
      </c>
      <c r="I303" s="11" t="s">
        <v>238</v>
      </c>
      <c r="J303" s="47" t="n">
        <f aca="false">Controls!B25</f>
        <v>0</v>
      </c>
      <c r="K303" s="47" t="str">
        <f aca="false">IF(J303=1,"ACCEPTED","OPEN")</f>
        <v>OPEN</v>
      </c>
    </row>
    <row r="304" customFormat="false" ht="15" hidden="false" customHeight="false" outlineLevel="0" collapsed="false">
      <c r="A304" s="19" t="str">
        <f aca="false">"PKT-"&amp;B304&amp;"-METROLOGY"</f>
        <v>PKT-REG-LF-CON-METROLOGY</v>
      </c>
      <c r="B304" s="19" t="str">
        <f aca="false">'Lot Register'!A66</f>
        <v>REG-LF-CON</v>
      </c>
      <c r="C304" s="19" t="str">
        <f aca="false">'Lot Register'!B66</f>
        <v>Regeneration tool</v>
      </c>
      <c r="D304" s="19" t="str">
        <f aca="false">'Lot Register'!D66</f>
        <v>MS-LF</v>
      </c>
      <c r="E304" s="19" t="str">
        <f aca="false">'Lot Register'!G66</f>
        <v>ST-LF-CON</v>
      </c>
      <c r="F304" s="9" t="s">
        <v>563</v>
      </c>
      <c r="G304" s="9" t="s">
        <v>564</v>
      </c>
      <c r="H304" s="9" t="s">
        <v>565</v>
      </c>
      <c r="I304" s="11" t="s">
        <v>238</v>
      </c>
      <c r="J304" s="47" t="n">
        <f aca="false">Controls!B25</f>
        <v>0</v>
      </c>
      <c r="K304" s="47" t="str">
        <f aca="false">IF(J304=1,"ACCEPTED","OPEN")</f>
        <v>OPEN</v>
      </c>
    </row>
    <row r="305" customFormat="false" ht="15" hidden="false" customHeight="false" outlineLevel="0" collapsed="false">
      <c r="A305" s="19" t="str">
        <f aca="false">"PKT-"&amp;B305&amp;"-SAFETY"</f>
        <v>PKT-REG-LF-CON-SAFETY</v>
      </c>
      <c r="B305" s="19" t="str">
        <f aca="false">'Lot Register'!A66</f>
        <v>REG-LF-CON</v>
      </c>
      <c r="C305" s="19" t="str">
        <f aca="false">'Lot Register'!B66</f>
        <v>Regeneration tool</v>
      </c>
      <c r="D305" s="19" t="str">
        <f aca="false">'Lot Register'!D66</f>
        <v>MS-LF</v>
      </c>
      <c r="E305" s="19" t="str">
        <f aca="false">'Lot Register'!G66</f>
        <v>ST-LF-CON</v>
      </c>
      <c r="F305" s="9" t="s">
        <v>566</v>
      </c>
      <c r="G305" s="9" t="s">
        <v>567</v>
      </c>
      <c r="H305" s="9" t="s">
        <v>568</v>
      </c>
      <c r="I305" s="11" t="s">
        <v>238</v>
      </c>
      <c r="J305" s="47" t="n">
        <f aca="false">Controls!B25</f>
        <v>0</v>
      </c>
      <c r="K305" s="47" t="str">
        <f aca="false">IF(J305=1,"ACCEPTED","OPEN")</f>
        <v>OPEN</v>
      </c>
    </row>
    <row r="306" customFormat="false" ht="15" hidden="false" customHeight="false" outlineLevel="0" collapsed="false">
      <c r="A306" s="19" t="str">
        <f aca="false">"PKT-"&amp;B306&amp;"-RECONSTRUCTION"</f>
        <v>PKT-REG-LF-CON-RECONSTRUCTION</v>
      </c>
      <c r="B306" s="19" t="str">
        <f aca="false">'Lot Register'!A66</f>
        <v>REG-LF-CON</v>
      </c>
      <c r="C306" s="19" t="str">
        <f aca="false">'Lot Register'!B66</f>
        <v>Regeneration tool</v>
      </c>
      <c r="D306" s="19" t="str">
        <f aca="false">'Lot Register'!D66</f>
        <v>MS-LF</v>
      </c>
      <c r="E306" s="19" t="str">
        <f aca="false">'Lot Register'!G66</f>
        <v>ST-LF-CON</v>
      </c>
      <c r="F306" s="9" t="s">
        <v>282</v>
      </c>
      <c r="G306" s="9" t="s">
        <v>569</v>
      </c>
      <c r="H306" s="9" t="s">
        <v>570</v>
      </c>
      <c r="I306" s="11" t="s">
        <v>238</v>
      </c>
      <c r="J306" s="47" t="n">
        <f aca="false">Controls!B25</f>
        <v>0</v>
      </c>
      <c r="K306" s="47" t="str">
        <f aca="false">IF(J306=1,"ACCEPTED","OPEN")</f>
        <v>OPEN</v>
      </c>
    </row>
    <row r="307" customFormat="false" ht="15" hidden="false" customHeight="false" outlineLevel="0" collapsed="false">
      <c r="A307" s="19" t="str">
        <f aca="false">"PKT-"&amp;B307&amp;"-CONFIGURATION"</f>
        <v>PKT-INT-LF-CON-CONFIGURATION</v>
      </c>
      <c r="B307" s="19" t="str">
        <f aca="false">'Lot Register'!A67</f>
        <v>INT-LF-CON</v>
      </c>
      <c r="C307" s="19" t="str">
        <f aca="false">'Lot Register'!B67</f>
        <v>Station integration</v>
      </c>
      <c r="D307" s="19" t="str">
        <f aca="false">'Lot Register'!D67</f>
        <v>MS-LF</v>
      </c>
      <c r="E307" s="19" t="str">
        <f aca="false">'Lot Register'!G67</f>
        <v>ST-LF-CON</v>
      </c>
      <c r="F307" s="9" t="s">
        <v>558</v>
      </c>
      <c r="G307" s="9" t="s">
        <v>559</v>
      </c>
      <c r="H307" s="9" t="s">
        <v>560</v>
      </c>
      <c r="I307" s="11" t="s">
        <v>238</v>
      </c>
      <c r="J307" s="47" t="n">
        <f aca="false">Controls!B25</f>
        <v>0</v>
      </c>
      <c r="K307" s="47" t="str">
        <f aca="false">IF(J307=1,"ACCEPTED","OPEN")</f>
        <v>OPEN</v>
      </c>
    </row>
    <row r="308" customFormat="false" ht="15" hidden="false" customHeight="false" outlineLevel="0" collapsed="false">
      <c r="A308" s="19" t="str">
        <f aca="false">"PKT-"&amp;B308&amp;"-CONTROL"</f>
        <v>PKT-INT-LF-CON-CONTROL</v>
      </c>
      <c r="B308" s="19" t="str">
        <f aca="false">'Lot Register'!A67</f>
        <v>INT-LF-CON</v>
      </c>
      <c r="C308" s="19" t="str">
        <f aca="false">'Lot Register'!B67</f>
        <v>Station integration</v>
      </c>
      <c r="D308" s="19" t="str">
        <f aca="false">'Lot Register'!D67</f>
        <v>MS-LF</v>
      </c>
      <c r="E308" s="19" t="str">
        <f aca="false">'Lot Register'!G67</f>
        <v>ST-LF-CON</v>
      </c>
      <c r="F308" s="9" t="s">
        <v>271</v>
      </c>
      <c r="G308" s="9" t="s">
        <v>561</v>
      </c>
      <c r="H308" s="9" t="s">
        <v>562</v>
      </c>
      <c r="I308" s="11" t="s">
        <v>238</v>
      </c>
      <c r="J308" s="47" t="n">
        <f aca="false">Controls!B25</f>
        <v>0</v>
      </c>
      <c r="K308" s="47" t="str">
        <f aca="false">IF(J308=1,"ACCEPTED","OPEN")</f>
        <v>OPEN</v>
      </c>
    </row>
    <row r="309" customFormat="false" ht="15" hidden="false" customHeight="false" outlineLevel="0" collapsed="false">
      <c r="A309" s="19" t="str">
        <f aca="false">"PKT-"&amp;B309&amp;"-METROLOGY"</f>
        <v>PKT-INT-LF-CON-METROLOGY</v>
      </c>
      <c r="B309" s="19" t="str">
        <f aca="false">'Lot Register'!A67</f>
        <v>INT-LF-CON</v>
      </c>
      <c r="C309" s="19" t="str">
        <f aca="false">'Lot Register'!B67</f>
        <v>Station integration</v>
      </c>
      <c r="D309" s="19" t="str">
        <f aca="false">'Lot Register'!D67</f>
        <v>MS-LF</v>
      </c>
      <c r="E309" s="19" t="str">
        <f aca="false">'Lot Register'!G67</f>
        <v>ST-LF-CON</v>
      </c>
      <c r="F309" s="9" t="s">
        <v>563</v>
      </c>
      <c r="G309" s="9" t="s">
        <v>564</v>
      </c>
      <c r="H309" s="9" t="s">
        <v>565</v>
      </c>
      <c r="I309" s="11" t="s">
        <v>238</v>
      </c>
      <c r="J309" s="47" t="n">
        <f aca="false">Controls!B25</f>
        <v>0</v>
      </c>
      <c r="K309" s="47" t="str">
        <f aca="false">IF(J309=1,"ACCEPTED","OPEN")</f>
        <v>OPEN</v>
      </c>
    </row>
    <row r="310" customFormat="false" ht="15" hidden="false" customHeight="false" outlineLevel="0" collapsed="false">
      <c r="A310" s="19" t="str">
        <f aca="false">"PKT-"&amp;B310&amp;"-SAFETY"</f>
        <v>PKT-INT-LF-CON-SAFETY</v>
      </c>
      <c r="B310" s="19" t="str">
        <f aca="false">'Lot Register'!A67</f>
        <v>INT-LF-CON</v>
      </c>
      <c r="C310" s="19" t="str">
        <f aca="false">'Lot Register'!B67</f>
        <v>Station integration</v>
      </c>
      <c r="D310" s="19" t="str">
        <f aca="false">'Lot Register'!D67</f>
        <v>MS-LF</v>
      </c>
      <c r="E310" s="19" t="str">
        <f aca="false">'Lot Register'!G67</f>
        <v>ST-LF-CON</v>
      </c>
      <c r="F310" s="9" t="s">
        <v>566</v>
      </c>
      <c r="G310" s="9" t="s">
        <v>567</v>
      </c>
      <c r="H310" s="9" t="s">
        <v>568</v>
      </c>
      <c r="I310" s="11" t="s">
        <v>238</v>
      </c>
      <c r="J310" s="47" t="n">
        <f aca="false">Controls!B25</f>
        <v>0</v>
      </c>
      <c r="K310" s="47" t="str">
        <f aca="false">IF(J310=1,"ACCEPTED","OPEN")</f>
        <v>OPEN</v>
      </c>
    </row>
    <row r="311" customFormat="false" ht="15" hidden="false" customHeight="false" outlineLevel="0" collapsed="false">
      <c r="A311" s="19" t="str">
        <f aca="false">"PKT-"&amp;B311&amp;"-RECONSTRUCTION"</f>
        <v>PKT-INT-LF-CON-RECONSTRUCTION</v>
      </c>
      <c r="B311" s="19" t="str">
        <f aca="false">'Lot Register'!A67</f>
        <v>INT-LF-CON</v>
      </c>
      <c r="C311" s="19" t="str">
        <f aca="false">'Lot Register'!B67</f>
        <v>Station integration</v>
      </c>
      <c r="D311" s="19" t="str">
        <f aca="false">'Lot Register'!D67</f>
        <v>MS-LF</v>
      </c>
      <c r="E311" s="19" t="str">
        <f aca="false">'Lot Register'!G67</f>
        <v>ST-LF-CON</v>
      </c>
      <c r="F311" s="9" t="s">
        <v>282</v>
      </c>
      <c r="G311" s="9" t="s">
        <v>569</v>
      </c>
      <c r="H311" s="9" t="s">
        <v>570</v>
      </c>
      <c r="I311" s="11" t="s">
        <v>238</v>
      </c>
      <c r="J311" s="47" t="n">
        <f aca="false">Controls!B25</f>
        <v>0</v>
      </c>
      <c r="K311" s="47" t="str">
        <f aca="false">IF(J311=1,"ACCEPTED","OPEN")</f>
        <v>OPEN</v>
      </c>
    </row>
    <row r="312" customFormat="false" ht="15" hidden="false" customHeight="false" outlineLevel="0" collapsed="false">
      <c r="A312" s="19" t="str">
        <f aca="false">"PKT-"&amp;B312&amp;"-CONFIGURATION"</f>
        <v>PKT-RIG-LF-REC-CONFIGURATION</v>
      </c>
      <c r="B312" s="19" t="str">
        <f aca="false">'Lot Register'!A68</f>
        <v>RIG-LF-REC</v>
      </c>
      <c r="C312" s="19" t="str">
        <f aca="false">'Lot Register'!B68</f>
        <v>Root-native rig</v>
      </c>
      <c r="D312" s="19" t="str">
        <f aca="false">'Lot Register'!D68</f>
        <v>MS-LF</v>
      </c>
      <c r="E312" s="19" t="str">
        <f aca="false">'Lot Register'!G68</f>
        <v>ST-LF-REC</v>
      </c>
      <c r="F312" s="9" t="s">
        <v>558</v>
      </c>
      <c r="G312" s="9" t="s">
        <v>559</v>
      </c>
      <c r="H312" s="9" t="s">
        <v>560</v>
      </c>
      <c r="I312" s="11" t="s">
        <v>238</v>
      </c>
      <c r="J312" s="47" t="n">
        <f aca="false">Controls!B25</f>
        <v>0</v>
      </c>
      <c r="K312" s="47" t="str">
        <f aca="false">IF(J312=1,"ACCEPTED","OPEN")</f>
        <v>OPEN</v>
      </c>
    </row>
    <row r="313" customFormat="false" ht="15" hidden="false" customHeight="false" outlineLevel="0" collapsed="false">
      <c r="A313" s="19" t="str">
        <f aca="false">"PKT-"&amp;B313&amp;"-CONTROL"</f>
        <v>PKT-RIG-LF-REC-CONTROL</v>
      </c>
      <c r="B313" s="19" t="str">
        <f aca="false">'Lot Register'!A68</f>
        <v>RIG-LF-REC</v>
      </c>
      <c r="C313" s="19" t="str">
        <f aca="false">'Lot Register'!B68</f>
        <v>Root-native rig</v>
      </c>
      <c r="D313" s="19" t="str">
        <f aca="false">'Lot Register'!D68</f>
        <v>MS-LF</v>
      </c>
      <c r="E313" s="19" t="str">
        <f aca="false">'Lot Register'!G68</f>
        <v>ST-LF-REC</v>
      </c>
      <c r="F313" s="9" t="s">
        <v>271</v>
      </c>
      <c r="G313" s="9" t="s">
        <v>561</v>
      </c>
      <c r="H313" s="9" t="s">
        <v>562</v>
      </c>
      <c r="I313" s="11" t="s">
        <v>238</v>
      </c>
      <c r="J313" s="47" t="n">
        <f aca="false">Controls!B25</f>
        <v>0</v>
      </c>
      <c r="K313" s="47" t="str">
        <f aca="false">IF(J313=1,"ACCEPTED","OPEN")</f>
        <v>OPEN</v>
      </c>
    </row>
    <row r="314" customFormat="false" ht="15" hidden="false" customHeight="false" outlineLevel="0" collapsed="false">
      <c r="A314" s="19" t="str">
        <f aca="false">"PKT-"&amp;B314&amp;"-METROLOGY"</f>
        <v>PKT-RIG-LF-REC-METROLOGY</v>
      </c>
      <c r="B314" s="19" t="str">
        <f aca="false">'Lot Register'!A68</f>
        <v>RIG-LF-REC</v>
      </c>
      <c r="C314" s="19" t="str">
        <f aca="false">'Lot Register'!B68</f>
        <v>Root-native rig</v>
      </c>
      <c r="D314" s="19" t="str">
        <f aca="false">'Lot Register'!D68</f>
        <v>MS-LF</v>
      </c>
      <c r="E314" s="19" t="str">
        <f aca="false">'Lot Register'!G68</f>
        <v>ST-LF-REC</v>
      </c>
      <c r="F314" s="9" t="s">
        <v>563</v>
      </c>
      <c r="G314" s="9" t="s">
        <v>564</v>
      </c>
      <c r="H314" s="9" t="s">
        <v>565</v>
      </c>
      <c r="I314" s="11" t="s">
        <v>238</v>
      </c>
      <c r="J314" s="47" t="n">
        <f aca="false">Controls!B25</f>
        <v>0</v>
      </c>
      <c r="K314" s="47" t="str">
        <f aca="false">IF(J314=1,"ACCEPTED","OPEN")</f>
        <v>OPEN</v>
      </c>
    </row>
    <row r="315" customFormat="false" ht="15" hidden="false" customHeight="false" outlineLevel="0" collapsed="false">
      <c r="A315" s="19" t="str">
        <f aca="false">"PKT-"&amp;B315&amp;"-SAFETY"</f>
        <v>PKT-RIG-LF-REC-SAFETY</v>
      </c>
      <c r="B315" s="19" t="str">
        <f aca="false">'Lot Register'!A68</f>
        <v>RIG-LF-REC</v>
      </c>
      <c r="C315" s="19" t="str">
        <f aca="false">'Lot Register'!B68</f>
        <v>Root-native rig</v>
      </c>
      <c r="D315" s="19" t="str">
        <f aca="false">'Lot Register'!D68</f>
        <v>MS-LF</v>
      </c>
      <c r="E315" s="19" t="str">
        <f aca="false">'Lot Register'!G68</f>
        <v>ST-LF-REC</v>
      </c>
      <c r="F315" s="9" t="s">
        <v>566</v>
      </c>
      <c r="G315" s="9" t="s">
        <v>567</v>
      </c>
      <c r="H315" s="9" t="s">
        <v>568</v>
      </c>
      <c r="I315" s="11" t="s">
        <v>238</v>
      </c>
      <c r="J315" s="47" t="n">
        <f aca="false">Controls!B25</f>
        <v>0</v>
      </c>
      <c r="K315" s="47" t="str">
        <f aca="false">IF(J315=1,"ACCEPTED","OPEN")</f>
        <v>OPEN</v>
      </c>
    </row>
    <row r="316" customFormat="false" ht="15" hidden="false" customHeight="false" outlineLevel="0" collapsed="false">
      <c r="A316" s="19" t="str">
        <f aca="false">"PKT-"&amp;B316&amp;"-RECONSTRUCTION"</f>
        <v>PKT-RIG-LF-REC-RECONSTRUCTION</v>
      </c>
      <c r="B316" s="19" t="str">
        <f aca="false">'Lot Register'!A68</f>
        <v>RIG-LF-REC</v>
      </c>
      <c r="C316" s="19" t="str">
        <f aca="false">'Lot Register'!B68</f>
        <v>Root-native rig</v>
      </c>
      <c r="D316" s="19" t="str">
        <f aca="false">'Lot Register'!D68</f>
        <v>MS-LF</v>
      </c>
      <c r="E316" s="19" t="str">
        <f aca="false">'Lot Register'!G68</f>
        <v>ST-LF-REC</v>
      </c>
      <c r="F316" s="9" t="s">
        <v>282</v>
      </c>
      <c r="G316" s="9" t="s">
        <v>569</v>
      </c>
      <c r="H316" s="9" t="s">
        <v>570</v>
      </c>
      <c r="I316" s="11" t="s">
        <v>238</v>
      </c>
      <c r="J316" s="47" t="n">
        <f aca="false">Controls!B25</f>
        <v>0</v>
      </c>
      <c r="K316" s="47" t="str">
        <f aca="false">IF(J316=1,"ACCEPTED","OPEN")</f>
        <v>OPEN</v>
      </c>
    </row>
    <row r="317" customFormat="false" ht="15" hidden="false" customHeight="false" outlineLevel="0" collapsed="false">
      <c r="A317" s="19" t="str">
        <f aca="false">"PKT-"&amp;B317&amp;"-CONFIGURATION"</f>
        <v>PKT-MTH-LF-REC-L1-CONFIGURATION</v>
      </c>
      <c r="B317" s="19" t="str">
        <f aca="false">'Lot Register'!A69</f>
        <v>MTH-LF-REC-L1</v>
      </c>
      <c r="C317" s="19" t="str">
        <f aca="false">'Lot Register'!B69</f>
        <v>Method lineage</v>
      </c>
      <c r="D317" s="19" t="str">
        <f aca="false">'Lot Register'!D69</f>
        <v>MS-LF</v>
      </c>
      <c r="E317" s="19" t="str">
        <f aca="false">'Lot Register'!G69</f>
        <v>ST-LF-REC</v>
      </c>
      <c r="F317" s="9" t="s">
        <v>558</v>
      </c>
      <c r="G317" s="9" t="s">
        <v>559</v>
      </c>
      <c r="H317" s="9" t="s">
        <v>560</v>
      </c>
      <c r="I317" s="11" t="s">
        <v>238</v>
      </c>
      <c r="J317" s="47" t="n">
        <f aca="false">Controls!B25</f>
        <v>0</v>
      </c>
      <c r="K317" s="47" t="str">
        <f aca="false">IF(J317=1,"ACCEPTED","OPEN")</f>
        <v>OPEN</v>
      </c>
    </row>
    <row r="318" customFormat="false" ht="15" hidden="false" customHeight="false" outlineLevel="0" collapsed="false">
      <c r="A318" s="19" t="str">
        <f aca="false">"PKT-"&amp;B318&amp;"-CONTROL"</f>
        <v>PKT-MTH-LF-REC-L1-CONTROL</v>
      </c>
      <c r="B318" s="19" t="str">
        <f aca="false">'Lot Register'!A69</f>
        <v>MTH-LF-REC-L1</v>
      </c>
      <c r="C318" s="19" t="str">
        <f aca="false">'Lot Register'!B69</f>
        <v>Method lineage</v>
      </c>
      <c r="D318" s="19" t="str">
        <f aca="false">'Lot Register'!D69</f>
        <v>MS-LF</v>
      </c>
      <c r="E318" s="19" t="str">
        <f aca="false">'Lot Register'!G69</f>
        <v>ST-LF-REC</v>
      </c>
      <c r="F318" s="9" t="s">
        <v>271</v>
      </c>
      <c r="G318" s="9" t="s">
        <v>561</v>
      </c>
      <c r="H318" s="9" t="s">
        <v>562</v>
      </c>
      <c r="I318" s="11" t="s">
        <v>238</v>
      </c>
      <c r="J318" s="47" t="n">
        <f aca="false">Controls!B25</f>
        <v>0</v>
      </c>
      <c r="K318" s="47" t="str">
        <f aca="false">IF(J318=1,"ACCEPTED","OPEN")</f>
        <v>OPEN</v>
      </c>
    </row>
    <row r="319" customFormat="false" ht="15" hidden="false" customHeight="false" outlineLevel="0" collapsed="false">
      <c r="A319" s="19" t="str">
        <f aca="false">"PKT-"&amp;B319&amp;"-METROLOGY"</f>
        <v>PKT-MTH-LF-REC-L1-METROLOGY</v>
      </c>
      <c r="B319" s="19" t="str">
        <f aca="false">'Lot Register'!A69</f>
        <v>MTH-LF-REC-L1</v>
      </c>
      <c r="C319" s="19" t="str">
        <f aca="false">'Lot Register'!B69</f>
        <v>Method lineage</v>
      </c>
      <c r="D319" s="19" t="str">
        <f aca="false">'Lot Register'!D69</f>
        <v>MS-LF</v>
      </c>
      <c r="E319" s="19" t="str">
        <f aca="false">'Lot Register'!G69</f>
        <v>ST-LF-REC</v>
      </c>
      <c r="F319" s="9" t="s">
        <v>563</v>
      </c>
      <c r="G319" s="9" t="s">
        <v>564</v>
      </c>
      <c r="H319" s="9" t="s">
        <v>565</v>
      </c>
      <c r="I319" s="11" t="s">
        <v>238</v>
      </c>
      <c r="J319" s="47" t="n">
        <f aca="false">Controls!B25</f>
        <v>0</v>
      </c>
      <c r="K319" s="47" t="str">
        <f aca="false">IF(J319=1,"ACCEPTED","OPEN")</f>
        <v>OPEN</v>
      </c>
    </row>
    <row r="320" customFormat="false" ht="15" hidden="false" customHeight="false" outlineLevel="0" collapsed="false">
      <c r="A320" s="19" t="str">
        <f aca="false">"PKT-"&amp;B320&amp;"-SAFETY"</f>
        <v>PKT-MTH-LF-REC-L1-SAFETY</v>
      </c>
      <c r="B320" s="19" t="str">
        <f aca="false">'Lot Register'!A69</f>
        <v>MTH-LF-REC-L1</v>
      </c>
      <c r="C320" s="19" t="str">
        <f aca="false">'Lot Register'!B69</f>
        <v>Method lineage</v>
      </c>
      <c r="D320" s="19" t="str">
        <f aca="false">'Lot Register'!D69</f>
        <v>MS-LF</v>
      </c>
      <c r="E320" s="19" t="str">
        <f aca="false">'Lot Register'!G69</f>
        <v>ST-LF-REC</v>
      </c>
      <c r="F320" s="9" t="s">
        <v>566</v>
      </c>
      <c r="G320" s="9" t="s">
        <v>567</v>
      </c>
      <c r="H320" s="9" t="s">
        <v>568</v>
      </c>
      <c r="I320" s="11" t="s">
        <v>238</v>
      </c>
      <c r="J320" s="47" t="n">
        <f aca="false">Controls!B25</f>
        <v>0</v>
      </c>
      <c r="K320" s="47" t="str">
        <f aca="false">IF(J320=1,"ACCEPTED","OPEN")</f>
        <v>OPEN</v>
      </c>
    </row>
    <row r="321" customFormat="false" ht="15" hidden="false" customHeight="false" outlineLevel="0" collapsed="false">
      <c r="A321" s="19" t="str">
        <f aca="false">"PKT-"&amp;B321&amp;"-RECONSTRUCTION"</f>
        <v>PKT-MTH-LF-REC-L1-RECONSTRUCTION</v>
      </c>
      <c r="B321" s="19" t="str">
        <f aca="false">'Lot Register'!A69</f>
        <v>MTH-LF-REC-L1</v>
      </c>
      <c r="C321" s="19" t="str">
        <f aca="false">'Lot Register'!B69</f>
        <v>Method lineage</v>
      </c>
      <c r="D321" s="19" t="str">
        <f aca="false">'Lot Register'!D69</f>
        <v>MS-LF</v>
      </c>
      <c r="E321" s="19" t="str">
        <f aca="false">'Lot Register'!G69</f>
        <v>ST-LF-REC</v>
      </c>
      <c r="F321" s="9" t="s">
        <v>282</v>
      </c>
      <c r="G321" s="9" t="s">
        <v>569</v>
      </c>
      <c r="H321" s="9" t="s">
        <v>570</v>
      </c>
      <c r="I321" s="11" t="s">
        <v>238</v>
      </c>
      <c r="J321" s="47" t="n">
        <f aca="false">Controls!B25</f>
        <v>0</v>
      </c>
      <c r="K321" s="47" t="str">
        <f aca="false">IF(J321=1,"ACCEPTED","OPEN")</f>
        <v>OPEN</v>
      </c>
    </row>
    <row r="322" customFormat="false" ht="15" hidden="false" customHeight="false" outlineLevel="0" collapsed="false">
      <c r="A322" s="19" t="str">
        <f aca="false">"PKT-"&amp;B322&amp;"-CONFIGURATION"</f>
        <v>PKT-MTH-LF-REC-L2-CONFIGURATION</v>
      </c>
      <c r="B322" s="19" t="str">
        <f aca="false">'Lot Register'!A70</f>
        <v>MTH-LF-REC-L2</v>
      </c>
      <c r="C322" s="19" t="str">
        <f aca="false">'Lot Register'!B70</f>
        <v>Method lineage</v>
      </c>
      <c r="D322" s="19" t="str">
        <f aca="false">'Lot Register'!D70</f>
        <v>MS-LF</v>
      </c>
      <c r="E322" s="19" t="str">
        <f aca="false">'Lot Register'!G70</f>
        <v>ST-LF-REC</v>
      </c>
      <c r="F322" s="9" t="s">
        <v>558</v>
      </c>
      <c r="G322" s="9" t="s">
        <v>559</v>
      </c>
      <c r="H322" s="9" t="s">
        <v>560</v>
      </c>
      <c r="I322" s="11" t="s">
        <v>238</v>
      </c>
      <c r="J322" s="47" t="n">
        <f aca="false">Controls!B25</f>
        <v>0</v>
      </c>
      <c r="K322" s="47" t="str">
        <f aca="false">IF(J322=1,"ACCEPTED","OPEN")</f>
        <v>OPEN</v>
      </c>
    </row>
    <row r="323" customFormat="false" ht="15" hidden="false" customHeight="false" outlineLevel="0" collapsed="false">
      <c r="A323" s="19" t="str">
        <f aca="false">"PKT-"&amp;B323&amp;"-CONTROL"</f>
        <v>PKT-MTH-LF-REC-L2-CONTROL</v>
      </c>
      <c r="B323" s="19" t="str">
        <f aca="false">'Lot Register'!A70</f>
        <v>MTH-LF-REC-L2</v>
      </c>
      <c r="C323" s="19" t="str">
        <f aca="false">'Lot Register'!B70</f>
        <v>Method lineage</v>
      </c>
      <c r="D323" s="19" t="str">
        <f aca="false">'Lot Register'!D70</f>
        <v>MS-LF</v>
      </c>
      <c r="E323" s="19" t="str">
        <f aca="false">'Lot Register'!G70</f>
        <v>ST-LF-REC</v>
      </c>
      <c r="F323" s="9" t="s">
        <v>271</v>
      </c>
      <c r="G323" s="9" t="s">
        <v>561</v>
      </c>
      <c r="H323" s="9" t="s">
        <v>562</v>
      </c>
      <c r="I323" s="11" t="s">
        <v>238</v>
      </c>
      <c r="J323" s="47" t="n">
        <f aca="false">Controls!B25</f>
        <v>0</v>
      </c>
      <c r="K323" s="47" t="str">
        <f aca="false">IF(J323=1,"ACCEPTED","OPEN")</f>
        <v>OPEN</v>
      </c>
    </row>
    <row r="324" customFormat="false" ht="15" hidden="false" customHeight="false" outlineLevel="0" collapsed="false">
      <c r="A324" s="19" t="str">
        <f aca="false">"PKT-"&amp;B324&amp;"-METROLOGY"</f>
        <v>PKT-MTH-LF-REC-L2-METROLOGY</v>
      </c>
      <c r="B324" s="19" t="str">
        <f aca="false">'Lot Register'!A70</f>
        <v>MTH-LF-REC-L2</v>
      </c>
      <c r="C324" s="19" t="str">
        <f aca="false">'Lot Register'!B70</f>
        <v>Method lineage</v>
      </c>
      <c r="D324" s="19" t="str">
        <f aca="false">'Lot Register'!D70</f>
        <v>MS-LF</v>
      </c>
      <c r="E324" s="19" t="str">
        <f aca="false">'Lot Register'!G70</f>
        <v>ST-LF-REC</v>
      </c>
      <c r="F324" s="9" t="s">
        <v>563</v>
      </c>
      <c r="G324" s="9" t="s">
        <v>564</v>
      </c>
      <c r="H324" s="9" t="s">
        <v>565</v>
      </c>
      <c r="I324" s="11" t="s">
        <v>238</v>
      </c>
      <c r="J324" s="47" t="n">
        <f aca="false">Controls!B25</f>
        <v>0</v>
      </c>
      <c r="K324" s="47" t="str">
        <f aca="false">IF(J324=1,"ACCEPTED","OPEN")</f>
        <v>OPEN</v>
      </c>
    </row>
    <row r="325" customFormat="false" ht="15" hidden="false" customHeight="false" outlineLevel="0" collapsed="false">
      <c r="A325" s="19" t="str">
        <f aca="false">"PKT-"&amp;B325&amp;"-SAFETY"</f>
        <v>PKT-MTH-LF-REC-L2-SAFETY</v>
      </c>
      <c r="B325" s="19" t="str">
        <f aca="false">'Lot Register'!A70</f>
        <v>MTH-LF-REC-L2</v>
      </c>
      <c r="C325" s="19" t="str">
        <f aca="false">'Lot Register'!B70</f>
        <v>Method lineage</v>
      </c>
      <c r="D325" s="19" t="str">
        <f aca="false">'Lot Register'!D70</f>
        <v>MS-LF</v>
      </c>
      <c r="E325" s="19" t="str">
        <f aca="false">'Lot Register'!G70</f>
        <v>ST-LF-REC</v>
      </c>
      <c r="F325" s="9" t="s">
        <v>566</v>
      </c>
      <c r="G325" s="9" t="s">
        <v>567</v>
      </c>
      <c r="H325" s="9" t="s">
        <v>568</v>
      </c>
      <c r="I325" s="11" t="s">
        <v>238</v>
      </c>
      <c r="J325" s="47" t="n">
        <f aca="false">Controls!B25</f>
        <v>0</v>
      </c>
      <c r="K325" s="47" t="str">
        <f aca="false">IF(J325=1,"ACCEPTED","OPEN")</f>
        <v>OPEN</v>
      </c>
    </row>
    <row r="326" customFormat="false" ht="15" hidden="false" customHeight="false" outlineLevel="0" collapsed="false">
      <c r="A326" s="19" t="str">
        <f aca="false">"PKT-"&amp;B326&amp;"-RECONSTRUCTION"</f>
        <v>PKT-MTH-LF-REC-L2-RECONSTRUCTION</v>
      </c>
      <c r="B326" s="19" t="str">
        <f aca="false">'Lot Register'!A70</f>
        <v>MTH-LF-REC-L2</v>
      </c>
      <c r="C326" s="19" t="str">
        <f aca="false">'Lot Register'!B70</f>
        <v>Method lineage</v>
      </c>
      <c r="D326" s="19" t="str">
        <f aca="false">'Lot Register'!D70</f>
        <v>MS-LF</v>
      </c>
      <c r="E326" s="19" t="str">
        <f aca="false">'Lot Register'!G70</f>
        <v>ST-LF-REC</v>
      </c>
      <c r="F326" s="9" t="s">
        <v>282</v>
      </c>
      <c r="G326" s="9" t="s">
        <v>569</v>
      </c>
      <c r="H326" s="9" t="s">
        <v>570</v>
      </c>
      <c r="I326" s="11" t="s">
        <v>238</v>
      </c>
      <c r="J326" s="47" t="n">
        <f aca="false">Controls!B25</f>
        <v>0</v>
      </c>
      <c r="K326" s="47" t="str">
        <f aca="false">IF(J326=1,"ACCEPTED","OPEN")</f>
        <v>OPEN</v>
      </c>
    </row>
    <row r="327" customFormat="false" ht="15" hidden="false" customHeight="false" outlineLevel="0" collapsed="false">
      <c r="A327" s="19" t="str">
        <f aca="false">"PKT-"&amp;B327&amp;"-CONFIGURATION"</f>
        <v>PKT-REG-LF-REC-CONFIGURATION</v>
      </c>
      <c r="B327" s="19" t="str">
        <f aca="false">'Lot Register'!A71</f>
        <v>REG-LF-REC</v>
      </c>
      <c r="C327" s="19" t="str">
        <f aca="false">'Lot Register'!B71</f>
        <v>Regeneration tool</v>
      </c>
      <c r="D327" s="19" t="str">
        <f aca="false">'Lot Register'!D71</f>
        <v>MS-LF</v>
      </c>
      <c r="E327" s="19" t="str">
        <f aca="false">'Lot Register'!G71</f>
        <v>ST-LF-REC</v>
      </c>
      <c r="F327" s="9" t="s">
        <v>558</v>
      </c>
      <c r="G327" s="9" t="s">
        <v>559</v>
      </c>
      <c r="H327" s="9" t="s">
        <v>560</v>
      </c>
      <c r="I327" s="11" t="s">
        <v>238</v>
      </c>
      <c r="J327" s="47" t="n">
        <f aca="false">Controls!B25</f>
        <v>0</v>
      </c>
      <c r="K327" s="47" t="str">
        <f aca="false">IF(J327=1,"ACCEPTED","OPEN")</f>
        <v>OPEN</v>
      </c>
    </row>
    <row r="328" customFormat="false" ht="15" hidden="false" customHeight="false" outlineLevel="0" collapsed="false">
      <c r="A328" s="19" t="str">
        <f aca="false">"PKT-"&amp;B328&amp;"-CONTROL"</f>
        <v>PKT-REG-LF-REC-CONTROL</v>
      </c>
      <c r="B328" s="19" t="str">
        <f aca="false">'Lot Register'!A71</f>
        <v>REG-LF-REC</v>
      </c>
      <c r="C328" s="19" t="str">
        <f aca="false">'Lot Register'!B71</f>
        <v>Regeneration tool</v>
      </c>
      <c r="D328" s="19" t="str">
        <f aca="false">'Lot Register'!D71</f>
        <v>MS-LF</v>
      </c>
      <c r="E328" s="19" t="str">
        <f aca="false">'Lot Register'!G71</f>
        <v>ST-LF-REC</v>
      </c>
      <c r="F328" s="9" t="s">
        <v>271</v>
      </c>
      <c r="G328" s="9" t="s">
        <v>561</v>
      </c>
      <c r="H328" s="9" t="s">
        <v>562</v>
      </c>
      <c r="I328" s="11" t="s">
        <v>238</v>
      </c>
      <c r="J328" s="47" t="n">
        <f aca="false">Controls!B25</f>
        <v>0</v>
      </c>
      <c r="K328" s="47" t="str">
        <f aca="false">IF(J328=1,"ACCEPTED","OPEN")</f>
        <v>OPEN</v>
      </c>
    </row>
    <row r="329" customFormat="false" ht="15" hidden="false" customHeight="false" outlineLevel="0" collapsed="false">
      <c r="A329" s="19" t="str">
        <f aca="false">"PKT-"&amp;B329&amp;"-METROLOGY"</f>
        <v>PKT-REG-LF-REC-METROLOGY</v>
      </c>
      <c r="B329" s="19" t="str">
        <f aca="false">'Lot Register'!A71</f>
        <v>REG-LF-REC</v>
      </c>
      <c r="C329" s="19" t="str">
        <f aca="false">'Lot Register'!B71</f>
        <v>Regeneration tool</v>
      </c>
      <c r="D329" s="19" t="str">
        <f aca="false">'Lot Register'!D71</f>
        <v>MS-LF</v>
      </c>
      <c r="E329" s="19" t="str">
        <f aca="false">'Lot Register'!G71</f>
        <v>ST-LF-REC</v>
      </c>
      <c r="F329" s="9" t="s">
        <v>563</v>
      </c>
      <c r="G329" s="9" t="s">
        <v>564</v>
      </c>
      <c r="H329" s="9" t="s">
        <v>565</v>
      </c>
      <c r="I329" s="11" t="s">
        <v>238</v>
      </c>
      <c r="J329" s="47" t="n">
        <f aca="false">Controls!B25</f>
        <v>0</v>
      </c>
      <c r="K329" s="47" t="str">
        <f aca="false">IF(J329=1,"ACCEPTED","OPEN")</f>
        <v>OPEN</v>
      </c>
    </row>
    <row r="330" customFormat="false" ht="15" hidden="false" customHeight="false" outlineLevel="0" collapsed="false">
      <c r="A330" s="19" t="str">
        <f aca="false">"PKT-"&amp;B330&amp;"-SAFETY"</f>
        <v>PKT-REG-LF-REC-SAFETY</v>
      </c>
      <c r="B330" s="19" t="str">
        <f aca="false">'Lot Register'!A71</f>
        <v>REG-LF-REC</v>
      </c>
      <c r="C330" s="19" t="str">
        <f aca="false">'Lot Register'!B71</f>
        <v>Regeneration tool</v>
      </c>
      <c r="D330" s="19" t="str">
        <f aca="false">'Lot Register'!D71</f>
        <v>MS-LF</v>
      </c>
      <c r="E330" s="19" t="str">
        <f aca="false">'Lot Register'!G71</f>
        <v>ST-LF-REC</v>
      </c>
      <c r="F330" s="9" t="s">
        <v>566</v>
      </c>
      <c r="G330" s="9" t="s">
        <v>567</v>
      </c>
      <c r="H330" s="9" t="s">
        <v>568</v>
      </c>
      <c r="I330" s="11" t="s">
        <v>238</v>
      </c>
      <c r="J330" s="47" t="n">
        <f aca="false">Controls!B25</f>
        <v>0</v>
      </c>
      <c r="K330" s="47" t="str">
        <f aca="false">IF(J330=1,"ACCEPTED","OPEN")</f>
        <v>OPEN</v>
      </c>
    </row>
    <row r="331" customFormat="false" ht="15" hidden="false" customHeight="false" outlineLevel="0" collapsed="false">
      <c r="A331" s="19" t="str">
        <f aca="false">"PKT-"&amp;B331&amp;"-RECONSTRUCTION"</f>
        <v>PKT-REG-LF-REC-RECONSTRUCTION</v>
      </c>
      <c r="B331" s="19" t="str">
        <f aca="false">'Lot Register'!A71</f>
        <v>REG-LF-REC</v>
      </c>
      <c r="C331" s="19" t="str">
        <f aca="false">'Lot Register'!B71</f>
        <v>Regeneration tool</v>
      </c>
      <c r="D331" s="19" t="str">
        <f aca="false">'Lot Register'!D71</f>
        <v>MS-LF</v>
      </c>
      <c r="E331" s="19" t="str">
        <f aca="false">'Lot Register'!G71</f>
        <v>ST-LF-REC</v>
      </c>
      <c r="F331" s="9" t="s">
        <v>282</v>
      </c>
      <c r="G331" s="9" t="s">
        <v>569</v>
      </c>
      <c r="H331" s="9" t="s">
        <v>570</v>
      </c>
      <c r="I331" s="11" t="s">
        <v>238</v>
      </c>
      <c r="J331" s="47" t="n">
        <f aca="false">Controls!B25</f>
        <v>0</v>
      </c>
      <c r="K331" s="47" t="str">
        <f aca="false">IF(J331=1,"ACCEPTED","OPEN")</f>
        <v>OPEN</v>
      </c>
    </row>
    <row r="332" customFormat="false" ht="15" hidden="false" customHeight="false" outlineLevel="0" collapsed="false">
      <c r="A332" s="19" t="str">
        <f aca="false">"PKT-"&amp;B332&amp;"-CONFIGURATION"</f>
        <v>PKT-INT-LF-REC-CONFIGURATION</v>
      </c>
      <c r="B332" s="19" t="str">
        <f aca="false">'Lot Register'!A72</f>
        <v>INT-LF-REC</v>
      </c>
      <c r="C332" s="19" t="str">
        <f aca="false">'Lot Register'!B72</f>
        <v>Station integration</v>
      </c>
      <c r="D332" s="19" t="str">
        <f aca="false">'Lot Register'!D72</f>
        <v>MS-LF</v>
      </c>
      <c r="E332" s="19" t="str">
        <f aca="false">'Lot Register'!G72</f>
        <v>ST-LF-REC</v>
      </c>
      <c r="F332" s="9" t="s">
        <v>558</v>
      </c>
      <c r="G332" s="9" t="s">
        <v>559</v>
      </c>
      <c r="H332" s="9" t="s">
        <v>560</v>
      </c>
      <c r="I332" s="11" t="s">
        <v>238</v>
      </c>
      <c r="J332" s="47" t="n">
        <f aca="false">Controls!B25</f>
        <v>0</v>
      </c>
      <c r="K332" s="47" t="str">
        <f aca="false">IF(J332=1,"ACCEPTED","OPEN")</f>
        <v>OPEN</v>
      </c>
    </row>
    <row r="333" customFormat="false" ht="15" hidden="false" customHeight="false" outlineLevel="0" collapsed="false">
      <c r="A333" s="19" t="str">
        <f aca="false">"PKT-"&amp;B333&amp;"-CONTROL"</f>
        <v>PKT-INT-LF-REC-CONTROL</v>
      </c>
      <c r="B333" s="19" t="str">
        <f aca="false">'Lot Register'!A72</f>
        <v>INT-LF-REC</v>
      </c>
      <c r="C333" s="19" t="str">
        <f aca="false">'Lot Register'!B72</f>
        <v>Station integration</v>
      </c>
      <c r="D333" s="19" t="str">
        <f aca="false">'Lot Register'!D72</f>
        <v>MS-LF</v>
      </c>
      <c r="E333" s="19" t="str">
        <f aca="false">'Lot Register'!G72</f>
        <v>ST-LF-REC</v>
      </c>
      <c r="F333" s="9" t="s">
        <v>271</v>
      </c>
      <c r="G333" s="9" t="s">
        <v>561</v>
      </c>
      <c r="H333" s="9" t="s">
        <v>562</v>
      </c>
      <c r="I333" s="11" t="s">
        <v>238</v>
      </c>
      <c r="J333" s="47" t="n">
        <f aca="false">Controls!B25</f>
        <v>0</v>
      </c>
      <c r="K333" s="47" t="str">
        <f aca="false">IF(J333=1,"ACCEPTED","OPEN")</f>
        <v>OPEN</v>
      </c>
    </row>
    <row r="334" customFormat="false" ht="15" hidden="false" customHeight="false" outlineLevel="0" collapsed="false">
      <c r="A334" s="19" t="str">
        <f aca="false">"PKT-"&amp;B334&amp;"-METROLOGY"</f>
        <v>PKT-INT-LF-REC-METROLOGY</v>
      </c>
      <c r="B334" s="19" t="str">
        <f aca="false">'Lot Register'!A72</f>
        <v>INT-LF-REC</v>
      </c>
      <c r="C334" s="19" t="str">
        <f aca="false">'Lot Register'!B72</f>
        <v>Station integration</v>
      </c>
      <c r="D334" s="19" t="str">
        <f aca="false">'Lot Register'!D72</f>
        <v>MS-LF</v>
      </c>
      <c r="E334" s="19" t="str">
        <f aca="false">'Lot Register'!G72</f>
        <v>ST-LF-REC</v>
      </c>
      <c r="F334" s="9" t="s">
        <v>563</v>
      </c>
      <c r="G334" s="9" t="s">
        <v>564</v>
      </c>
      <c r="H334" s="9" t="s">
        <v>565</v>
      </c>
      <c r="I334" s="11" t="s">
        <v>238</v>
      </c>
      <c r="J334" s="47" t="n">
        <f aca="false">Controls!B25</f>
        <v>0</v>
      </c>
      <c r="K334" s="47" t="str">
        <f aca="false">IF(J334=1,"ACCEPTED","OPEN")</f>
        <v>OPEN</v>
      </c>
    </row>
    <row r="335" customFormat="false" ht="15" hidden="false" customHeight="false" outlineLevel="0" collapsed="false">
      <c r="A335" s="19" t="str">
        <f aca="false">"PKT-"&amp;B335&amp;"-SAFETY"</f>
        <v>PKT-INT-LF-REC-SAFETY</v>
      </c>
      <c r="B335" s="19" t="str">
        <f aca="false">'Lot Register'!A72</f>
        <v>INT-LF-REC</v>
      </c>
      <c r="C335" s="19" t="str">
        <f aca="false">'Lot Register'!B72</f>
        <v>Station integration</v>
      </c>
      <c r="D335" s="19" t="str">
        <f aca="false">'Lot Register'!D72</f>
        <v>MS-LF</v>
      </c>
      <c r="E335" s="19" t="str">
        <f aca="false">'Lot Register'!G72</f>
        <v>ST-LF-REC</v>
      </c>
      <c r="F335" s="9" t="s">
        <v>566</v>
      </c>
      <c r="G335" s="9" t="s">
        <v>567</v>
      </c>
      <c r="H335" s="9" t="s">
        <v>568</v>
      </c>
      <c r="I335" s="11" t="s">
        <v>238</v>
      </c>
      <c r="J335" s="47" t="n">
        <f aca="false">Controls!B25</f>
        <v>0</v>
      </c>
      <c r="K335" s="47" t="str">
        <f aca="false">IF(J335=1,"ACCEPTED","OPEN")</f>
        <v>OPEN</v>
      </c>
    </row>
    <row r="336" customFormat="false" ht="15" hidden="false" customHeight="false" outlineLevel="0" collapsed="false">
      <c r="A336" s="19" t="str">
        <f aca="false">"PKT-"&amp;B336&amp;"-RECONSTRUCTION"</f>
        <v>PKT-INT-LF-REC-RECONSTRUCTION</v>
      </c>
      <c r="B336" s="19" t="str">
        <f aca="false">'Lot Register'!A72</f>
        <v>INT-LF-REC</v>
      </c>
      <c r="C336" s="19" t="str">
        <f aca="false">'Lot Register'!B72</f>
        <v>Station integration</v>
      </c>
      <c r="D336" s="19" t="str">
        <f aca="false">'Lot Register'!D72</f>
        <v>MS-LF</v>
      </c>
      <c r="E336" s="19" t="str">
        <f aca="false">'Lot Register'!G72</f>
        <v>ST-LF-REC</v>
      </c>
      <c r="F336" s="9" t="s">
        <v>282</v>
      </c>
      <c r="G336" s="9" t="s">
        <v>569</v>
      </c>
      <c r="H336" s="9" t="s">
        <v>570</v>
      </c>
      <c r="I336" s="11" t="s">
        <v>238</v>
      </c>
      <c r="J336" s="47" t="n">
        <f aca="false">Controls!B25</f>
        <v>0</v>
      </c>
      <c r="K336" s="47" t="str">
        <f aca="false">IF(J336=1,"ACCEPTED","OPEN")</f>
        <v>OPEN</v>
      </c>
    </row>
    <row r="337" customFormat="false" ht="15" hidden="false" customHeight="false" outlineLevel="0" collapsed="false">
      <c r="A337" s="19" t="str">
        <f aca="false">"PKT-"&amp;B337&amp;"-CONFIGURATION"</f>
        <v>PKT-RIG-HU-CHA-CONFIGURATION</v>
      </c>
      <c r="B337" s="19" t="str">
        <f aca="false">'Lot Register'!A73</f>
        <v>RIG-HU-CHA</v>
      </c>
      <c r="C337" s="19" t="str">
        <f aca="false">'Lot Register'!B73</f>
        <v>Root-native rig</v>
      </c>
      <c r="D337" s="19" t="str">
        <f aca="false">'Lot Register'!D73</f>
        <v>MS-HU</v>
      </c>
      <c r="E337" s="19" t="str">
        <f aca="false">'Lot Register'!G73</f>
        <v>ST-HU-CHA</v>
      </c>
      <c r="F337" s="9" t="s">
        <v>558</v>
      </c>
      <c r="G337" s="9" t="s">
        <v>559</v>
      </c>
      <c r="H337" s="9" t="s">
        <v>560</v>
      </c>
      <c r="I337" s="11" t="s">
        <v>238</v>
      </c>
      <c r="J337" s="47" t="n">
        <f aca="false">Controls!B25</f>
        <v>0</v>
      </c>
      <c r="K337" s="47" t="str">
        <f aca="false">IF(J337=1,"ACCEPTED","OPEN")</f>
        <v>OPEN</v>
      </c>
    </row>
    <row r="338" customFormat="false" ht="15" hidden="false" customHeight="false" outlineLevel="0" collapsed="false">
      <c r="A338" s="19" t="str">
        <f aca="false">"PKT-"&amp;B338&amp;"-CONTROL"</f>
        <v>PKT-RIG-HU-CHA-CONTROL</v>
      </c>
      <c r="B338" s="19" t="str">
        <f aca="false">'Lot Register'!A73</f>
        <v>RIG-HU-CHA</v>
      </c>
      <c r="C338" s="19" t="str">
        <f aca="false">'Lot Register'!B73</f>
        <v>Root-native rig</v>
      </c>
      <c r="D338" s="19" t="str">
        <f aca="false">'Lot Register'!D73</f>
        <v>MS-HU</v>
      </c>
      <c r="E338" s="19" t="str">
        <f aca="false">'Lot Register'!G73</f>
        <v>ST-HU-CHA</v>
      </c>
      <c r="F338" s="9" t="s">
        <v>271</v>
      </c>
      <c r="G338" s="9" t="s">
        <v>561</v>
      </c>
      <c r="H338" s="9" t="s">
        <v>562</v>
      </c>
      <c r="I338" s="11" t="s">
        <v>238</v>
      </c>
      <c r="J338" s="47" t="n">
        <f aca="false">Controls!B25</f>
        <v>0</v>
      </c>
      <c r="K338" s="47" t="str">
        <f aca="false">IF(J338=1,"ACCEPTED","OPEN")</f>
        <v>OPEN</v>
      </c>
    </row>
    <row r="339" customFormat="false" ht="15" hidden="false" customHeight="false" outlineLevel="0" collapsed="false">
      <c r="A339" s="19" t="str">
        <f aca="false">"PKT-"&amp;B339&amp;"-METROLOGY"</f>
        <v>PKT-RIG-HU-CHA-METROLOGY</v>
      </c>
      <c r="B339" s="19" t="str">
        <f aca="false">'Lot Register'!A73</f>
        <v>RIG-HU-CHA</v>
      </c>
      <c r="C339" s="19" t="str">
        <f aca="false">'Lot Register'!B73</f>
        <v>Root-native rig</v>
      </c>
      <c r="D339" s="19" t="str">
        <f aca="false">'Lot Register'!D73</f>
        <v>MS-HU</v>
      </c>
      <c r="E339" s="19" t="str">
        <f aca="false">'Lot Register'!G73</f>
        <v>ST-HU-CHA</v>
      </c>
      <c r="F339" s="9" t="s">
        <v>563</v>
      </c>
      <c r="G339" s="9" t="s">
        <v>564</v>
      </c>
      <c r="H339" s="9" t="s">
        <v>565</v>
      </c>
      <c r="I339" s="11" t="s">
        <v>238</v>
      </c>
      <c r="J339" s="47" t="n">
        <f aca="false">Controls!B25</f>
        <v>0</v>
      </c>
      <c r="K339" s="47" t="str">
        <f aca="false">IF(J339=1,"ACCEPTED","OPEN")</f>
        <v>OPEN</v>
      </c>
    </row>
    <row r="340" customFormat="false" ht="15" hidden="false" customHeight="false" outlineLevel="0" collapsed="false">
      <c r="A340" s="19" t="str">
        <f aca="false">"PKT-"&amp;B340&amp;"-SAFETY"</f>
        <v>PKT-RIG-HU-CHA-SAFETY</v>
      </c>
      <c r="B340" s="19" t="str">
        <f aca="false">'Lot Register'!A73</f>
        <v>RIG-HU-CHA</v>
      </c>
      <c r="C340" s="19" t="str">
        <f aca="false">'Lot Register'!B73</f>
        <v>Root-native rig</v>
      </c>
      <c r="D340" s="19" t="str">
        <f aca="false">'Lot Register'!D73</f>
        <v>MS-HU</v>
      </c>
      <c r="E340" s="19" t="str">
        <f aca="false">'Lot Register'!G73</f>
        <v>ST-HU-CHA</v>
      </c>
      <c r="F340" s="9" t="s">
        <v>566</v>
      </c>
      <c r="G340" s="9" t="s">
        <v>567</v>
      </c>
      <c r="H340" s="9" t="s">
        <v>568</v>
      </c>
      <c r="I340" s="11" t="s">
        <v>238</v>
      </c>
      <c r="J340" s="47" t="n">
        <f aca="false">Controls!B25</f>
        <v>0</v>
      </c>
      <c r="K340" s="47" t="str">
        <f aca="false">IF(J340=1,"ACCEPTED","OPEN")</f>
        <v>OPEN</v>
      </c>
    </row>
    <row r="341" customFormat="false" ht="15" hidden="false" customHeight="false" outlineLevel="0" collapsed="false">
      <c r="A341" s="19" t="str">
        <f aca="false">"PKT-"&amp;B341&amp;"-RECONSTRUCTION"</f>
        <v>PKT-RIG-HU-CHA-RECONSTRUCTION</v>
      </c>
      <c r="B341" s="19" t="str">
        <f aca="false">'Lot Register'!A73</f>
        <v>RIG-HU-CHA</v>
      </c>
      <c r="C341" s="19" t="str">
        <f aca="false">'Lot Register'!B73</f>
        <v>Root-native rig</v>
      </c>
      <c r="D341" s="19" t="str">
        <f aca="false">'Lot Register'!D73</f>
        <v>MS-HU</v>
      </c>
      <c r="E341" s="19" t="str">
        <f aca="false">'Lot Register'!G73</f>
        <v>ST-HU-CHA</v>
      </c>
      <c r="F341" s="9" t="s">
        <v>282</v>
      </c>
      <c r="G341" s="9" t="s">
        <v>569</v>
      </c>
      <c r="H341" s="9" t="s">
        <v>570</v>
      </c>
      <c r="I341" s="11" t="s">
        <v>238</v>
      </c>
      <c r="J341" s="47" t="n">
        <f aca="false">Controls!B25</f>
        <v>0</v>
      </c>
      <c r="K341" s="47" t="str">
        <f aca="false">IF(J341=1,"ACCEPTED","OPEN")</f>
        <v>OPEN</v>
      </c>
    </row>
    <row r="342" customFormat="false" ht="15" hidden="false" customHeight="false" outlineLevel="0" collapsed="false">
      <c r="A342" s="19" t="str">
        <f aca="false">"PKT-"&amp;B342&amp;"-CONFIGURATION"</f>
        <v>PKT-MTH-HU-CHA-L1-CONFIGURATION</v>
      </c>
      <c r="B342" s="19" t="str">
        <f aca="false">'Lot Register'!A74</f>
        <v>MTH-HU-CHA-L1</v>
      </c>
      <c r="C342" s="19" t="str">
        <f aca="false">'Lot Register'!B74</f>
        <v>Method lineage</v>
      </c>
      <c r="D342" s="19" t="str">
        <f aca="false">'Lot Register'!D74</f>
        <v>MS-HU</v>
      </c>
      <c r="E342" s="19" t="str">
        <f aca="false">'Lot Register'!G74</f>
        <v>ST-HU-CHA</v>
      </c>
      <c r="F342" s="9" t="s">
        <v>558</v>
      </c>
      <c r="G342" s="9" t="s">
        <v>559</v>
      </c>
      <c r="H342" s="9" t="s">
        <v>560</v>
      </c>
      <c r="I342" s="11" t="s">
        <v>238</v>
      </c>
      <c r="J342" s="47" t="n">
        <f aca="false">Controls!B25</f>
        <v>0</v>
      </c>
      <c r="K342" s="47" t="str">
        <f aca="false">IF(J342=1,"ACCEPTED","OPEN")</f>
        <v>OPEN</v>
      </c>
    </row>
    <row r="343" customFormat="false" ht="15" hidden="false" customHeight="false" outlineLevel="0" collapsed="false">
      <c r="A343" s="19" t="str">
        <f aca="false">"PKT-"&amp;B343&amp;"-CONTROL"</f>
        <v>PKT-MTH-HU-CHA-L1-CONTROL</v>
      </c>
      <c r="B343" s="19" t="str">
        <f aca="false">'Lot Register'!A74</f>
        <v>MTH-HU-CHA-L1</v>
      </c>
      <c r="C343" s="19" t="str">
        <f aca="false">'Lot Register'!B74</f>
        <v>Method lineage</v>
      </c>
      <c r="D343" s="19" t="str">
        <f aca="false">'Lot Register'!D74</f>
        <v>MS-HU</v>
      </c>
      <c r="E343" s="19" t="str">
        <f aca="false">'Lot Register'!G74</f>
        <v>ST-HU-CHA</v>
      </c>
      <c r="F343" s="9" t="s">
        <v>271</v>
      </c>
      <c r="G343" s="9" t="s">
        <v>561</v>
      </c>
      <c r="H343" s="9" t="s">
        <v>562</v>
      </c>
      <c r="I343" s="11" t="s">
        <v>238</v>
      </c>
      <c r="J343" s="47" t="n">
        <f aca="false">Controls!B25</f>
        <v>0</v>
      </c>
      <c r="K343" s="47" t="str">
        <f aca="false">IF(J343=1,"ACCEPTED","OPEN")</f>
        <v>OPEN</v>
      </c>
    </row>
    <row r="344" customFormat="false" ht="15" hidden="false" customHeight="false" outlineLevel="0" collapsed="false">
      <c r="A344" s="19" t="str">
        <f aca="false">"PKT-"&amp;B344&amp;"-METROLOGY"</f>
        <v>PKT-MTH-HU-CHA-L1-METROLOGY</v>
      </c>
      <c r="B344" s="19" t="str">
        <f aca="false">'Lot Register'!A74</f>
        <v>MTH-HU-CHA-L1</v>
      </c>
      <c r="C344" s="19" t="str">
        <f aca="false">'Lot Register'!B74</f>
        <v>Method lineage</v>
      </c>
      <c r="D344" s="19" t="str">
        <f aca="false">'Lot Register'!D74</f>
        <v>MS-HU</v>
      </c>
      <c r="E344" s="19" t="str">
        <f aca="false">'Lot Register'!G74</f>
        <v>ST-HU-CHA</v>
      </c>
      <c r="F344" s="9" t="s">
        <v>563</v>
      </c>
      <c r="G344" s="9" t="s">
        <v>564</v>
      </c>
      <c r="H344" s="9" t="s">
        <v>565</v>
      </c>
      <c r="I344" s="11" t="s">
        <v>238</v>
      </c>
      <c r="J344" s="47" t="n">
        <f aca="false">Controls!B25</f>
        <v>0</v>
      </c>
      <c r="K344" s="47" t="str">
        <f aca="false">IF(J344=1,"ACCEPTED","OPEN")</f>
        <v>OPEN</v>
      </c>
    </row>
    <row r="345" customFormat="false" ht="15" hidden="false" customHeight="false" outlineLevel="0" collapsed="false">
      <c r="A345" s="19" t="str">
        <f aca="false">"PKT-"&amp;B345&amp;"-SAFETY"</f>
        <v>PKT-MTH-HU-CHA-L1-SAFETY</v>
      </c>
      <c r="B345" s="19" t="str">
        <f aca="false">'Lot Register'!A74</f>
        <v>MTH-HU-CHA-L1</v>
      </c>
      <c r="C345" s="19" t="str">
        <f aca="false">'Lot Register'!B74</f>
        <v>Method lineage</v>
      </c>
      <c r="D345" s="19" t="str">
        <f aca="false">'Lot Register'!D74</f>
        <v>MS-HU</v>
      </c>
      <c r="E345" s="19" t="str">
        <f aca="false">'Lot Register'!G74</f>
        <v>ST-HU-CHA</v>
      </c>
      <c r="F345" s="9" t="s">
        <v>566</v>
      </c>
      <c r="G345" s="9" t="s">
        <v>567</v>
      </c>
      <c r="H345" s="9" t="s">
        <v>568</v>
      </c>
      <c r="I345" s="11" t="s">
        <v>238</v>
      </c>
      <c r="J345" s="47" t="n">
        <f aca="false">Controls!B25</f>
        <v>0</v>
      </c>
      <c r="K345" s="47" t="str">
        <f aca="false">IF(J345=1,"ACCEPTED","OPEN")</f>
        <v>OPEN</v>
      </c>
    </row>
    <row r="346" customFormat="false" ht="15" hidden="false" customHeight="false" outlineLevel="0" collapsed="false">
      <c r="A346" s="19" t="str">
        <f aca="false">"PKT-"&amp;B346&amp;"-RECONSTRUCTION"</f>
        <v>PKT-MTH-HU-CHA-L1-RECONSTRUCTION</v>
      </c>
      <c r="B346" s="19" t="str">
        <f aca="false">'Lot Register'!A74</f>
        <v>MTH-HU-CHA-L1</v>
      </c>
      <c r="C346" s="19" t="str">
        <f aca="false">'Lot Register'!B74</f>
        <v>Method lineage</v>
      </c>
      <c r="D346" s="19" t="str">
        <f aca="false">'Lot Register'!D74</f>
        <v>MS-HU</v>
      </c>
      <c r="E346" s="19" t="str">
        <f aca="false">'Lot Register'!G74</f>
        <v>ST-HU-CHA</v>
      </c>
      <c r="F346" s="9" t="s">
        <v>282</v>
      </c>
      <c r="G346" s="9" t="s">
        <v>569</v>
      </c>
      <c r="H346" s="9" t="s">
        <v>570</v>
      </c>
      <c r="I346" s="11" t="s">
        <v>238</v>
      </c>
      <c r="J346" s="47" t="n">
        <f aca="false">Controls!B25</f>
        <v>0</v>
      </c>
      <c r="K346" s="47" t="str">
        <f aca="false">IF(J346=1,"ACCEPTED","OPEN")</f>
        <v>OPEN</v>
      </c>
    </row>
    <row r="347" customFormat="false" ht="15" hidden="false" customHeight="false" outlineLevel="0" collapsed="false">
      <c r="A347" s="19" t="str">
        <f aca="false">"PKT-"&amp;B347&amp;"-CONFIGURATION"</f>
        <v>PKT-MTH-HU-CHA-L2-CONFIGURATION</v>
      </c>
      <c r="B347" s="19" t="str">
        <f aca="false">'Lot Register'!A75</f>
        <v>MTH-HU-CHA-L2</v>
      </c>
      <c r="C347" s="19" t="str">
        <f aca="false">'Lot Register'!B75</f>
        <v>Method lineage</v>
      </c>
      <c r="D347" s="19" t="str">
        <f aca="false">'Lot Register'!D75</f>
        <v>MS-HU</v>
      </c>
      <c r="E347" s="19" t="str">
        <f aca="false">'Lot Register'!G75</f>
        <v>ST-HU-CHA</v>
      </c>
      <c r="F347" s="9" t="s">
        <v>558</v>
      </c>
      <c r="G347" s="9" t="s">
        <v>559</v>
      </c>
      <c r="H347" s="9" t="s">
        <v>560</v>
      </c>
      <c r="I347" s="11" t="s">
        <v>238</v>
      </c>
      <c r="J347" s="47" t="n">
        <f aca="false">Controls!B25</f>
        <v>0</v>
      </c>
      <c r="K347" s="47" t="str">
        <f aca="false">IF(J347=1,"ACCEPTED","OPEN")</f>
        <v>OPEN</v>
      </c>
    </row>
    <row r="348" customFormat="false" ht="15" hidden="false" customHeight="false" outlineLevel="0" collapsed="false">
      <c r="A348" s="19" t="str">
        <f aca="false">"PKT-"&amp;B348&amp;"-CONTROL"</f>
        <v>PKT-MTH-HU-CHA-L2-CONTROL</v>
      </c>
      <c r="B348" s="19" t="str">
        <f aca="false">'Lot Register'!A75</f>
        <v>MTH-HU-CHA-L2</v>
      </c>
      <c r="C348" s="19" t="str">
        <f aca="false">'Lot Register'!B75</f>
        <v>Method lineage</v>
      </c>
      <c r="D348" s="19" t="str">
        <f aca="false">'Lot Register'!D75</f>
        <v>MS-HU</v>
      </c>
      <c r="E348" s="19" t="str">
        <f aca="false">'Lot Register'!G75</f>
        <v>ST-HU-CHA</v>
      </c>
      <c r="F348" s="9" t="s">
        <v>271</v>
      </c>
      <c r="G348" s="9" t="s">
        <v>561</v>
      </c>
      <c r="H348" s="9" t="s">
        <v>562</v>
      </c>
      <c r="I348" s="11" t="s">
        <v>238</v>
      </c>
      <c r="J348" s="47" t="n">
        <f aca="false">Controls!B25</f>
        <v>0</v>
      </c>
      <c r="K348" s="47" t="str">
        <f aca="false">IF(J348=1,"ACCEPTED","OPEN")</f>
        <v>OPEN</v>
      </c>
    </row>
    <row r="349" customFormat="false" ht="15" hidden="false" customHeight="false" outlineLevel="0" collapsed="false">
      <c r="A349" s="19" t="str">
        <f aca="false">"PKT-"&amp;B349&amp;"-METROLOGY"</f>
        <v>PKT-MTH-HU-CHA-L2-METROLOGY</v>
      </c>
      <c r="B349" s="19" t="str">
        <f aca="false">'Lot Register'!A75</f>
        <v>MTH-HU-CHA-L2</v>
      </c>
      <c r="C349" s="19" t="str">
        <f aca="false">'Lot Register'!B75</f>
        <v>Method lineage</v>
      </c>
      <c r="D349" s="19" t="str">
        <f aca="false">'Lot Register'!D75</f>
        <v>MS-HU</v>
      </c>
      <c r="E349" s="19" t="str">
        <f aca="false">'Lot Register'!G75</f>
        <v>ST-HU-CHA</v>
      </c>
      <c r="F349" s="9" t="s">
        <v>563</v>
      </c>
      <c r="G349" s="9" t="s">
        <v>564</v>
      </c>
      <c r="H349" s="9" t="s">
        <v>565</v>
      </c>
      <c r="I349" s="11" t="s">
        <v>238</v>
      </c>
      <c r="J349" s="47" t="n">
        <f aca="false">Controls!B25</f>
        <v>0</v>
      </c>
      <c r="K349" s="47" t="str">
        <f aca="false">IF(J349=1,"ACCEPTED","OPEN")</f>
        <v>OPEN</v>
      </c>
    </row>
    <row r="350" customFormat="false" ht="15" hidden="false" customHeight="false" outlineLevel="0" collapsed="false">
      <c r="A350" s="19" t="str">
        <f aca="false">"PKT-"&amp;B350&amp;"-SAFETY"</f>
        <v>PKT-MTH-HU-CHA-L2-SAFETY</v>
      </c>
      <c r="B350" s="19" t="str">
        <f aca="false">'Lot Register'!A75</f>
        <v>MTH-HU-CHA-L2</v>
      </c>
      <c r="C350" s="19" t="str">
        <f aca="false">'Lot Register'!B75</f>
        <v>Method lineage</v>
      </c>
      <c r="D350" s="19" t="str">
        <f aca="false">'Lot Register'!D75</f>
        <v>MS-HU</v>
      </c>
      <c r="E350" s="19" t="str">
        <f aca="false">'Lot Register'!G75</f>
        <v>ST-HU-CHA</v>
      </c>
      <c r="F350" s="9" t="s">
        <v>566</v>
      </c>
      <c r="G350" s="9" t="s">
        <v>567</v>
      </c>
      <c r="H350" s="9" t="s">
        <v>568</v>
      </c>
      <c r="I350" s="11" t="s">
        <v>238</v>
      </c>
      <c r="J350" s="47" t="n">
        <f aca="false">Controls!B25</f>
        <v>0</v>
      </c>
      <c r="K350" s="47" t="str">
        <f aca="false">IF(J350=1,"ACCEPTED","OPEN")</f>
        <v>OPEN</v>
      </c>
    </row>
    <row r="351" customFormat="false" ht="15" hidden="false" customHeight="false" outlineLevel="0" collapsed="false">
      <c r="A351" s="19" t="str">
        <f aca="false">"PKT-"&amp;B351&amp;"-RECONSTRUCTION"</f>
        <v>PKT-MTH-HU-CHA-L2-RECONSTRUCTION</v>
      </c>
      <c r="B351" s="19" t="str">
        <f aca="false">'Lot Register'!A75</f>
        <v>MTH-HU-CHA-L2</v>
      </c>
      <c r="C351" s="19" t="str">
        <f aca="false">'Lot Register'!B75</f>
        <v>Method lineage</v>
      </c>
      <c r="D351" s="19" t="str">
        <f aca="false">'Lot Register'!D75</f>
        <v>MS-HU</v>
      </c>
      <c r="E351" s="19" t="str">
        <f aca="false">'Lot Register'!G75</f>
        <v>ST-HU-CHA</v>
      </c>
      <c r="F351" s="9" t="s">
        <v>282</v>
      </c>
      <c r="G351" s="9" t="s">
        <v>569</v>
      </c>
      <c r="H351" s="9" t="s">
        <v>570</v>
      </c>
      <c r="I351" s="11" t="s">
        <v>238</v>
      </c>
      <c r="J351" s="47" t="n">
        <f aca="false">Controls!B25</f>
        <v>0</v>
      </c>
      <c r="K351" s="47" t="str">
        <f aca="false">IF(J351=1,"ACCEPTED","OPEN")</f>
        <v>OPEN</v>
      </c>
    </row>
    <row r="352" customFormat="false" ht="15" hidden="false" customHeight="false" outlineLevel="0" collapsed="false">
      <c r="A352" s="19" t="str">
        <f aca="false">"PKT-"&amp;B352&amp;"-CONFIGURATION"</f>
        <v>PKT-REG-HU-CHA-CONFIGURATION</v>
      </c>
      <c r="B352" s="19" t="str">
        <f aca="false">'Lot Register'!A76</f>
        <v>REG-HU-CHA</v>
      </c>
      <c r="C352" s="19" t="str">
        <f aca="false">'Lot Register'!B76</f>
        <v>Regeneration tool</v>
      </c>
      <c r="D352" s="19" t="str">
        <f aca="false">'Lot Register'!D76</f>
        <v>MS-HU</v>
      </c>
      <c r="E352" s="19" t="str">
        <f aca="false">'Lot Register'!G76</f>
        <v>ST-HU-CHA</v>
      </c>
      <c r="F352" s="9" t="s">
        <v>558</v>
      </c>
      <c r="G352" s="9" t="s">
        <v>559</v>
      </c>
      <c r="H352" s="9" t="s">
        <v>560</v>
      </c>
      <c r="I352" s="11" t="s">
        <v>238</v>
      </c>
      <c r="J352" s="47" t="n">
        <f aca="false">Controls!B25</f>
        <v>0</v>
      </c>
      <c r="K352" s="47" t="str">
        <f aca="false">IF(J352=1,"ACCEPTED","OPEN")</f>
        <v>OPEN</v>
      </c>
    </row>
    <row r="353" customFormat="false" ht="15" hidden="false" customHeight="false" outlineLevel="0" collapsed="false">
      <c r="A353" s="19" t="str">
        <f aca="false">"PKT-"&amp;B353&amp;"-CONTROL"</f>
        <v>PKT-REG-HU-CHA-CONTROL</v>
      </c>
      <c r="B353" s="19" t="str">
        <f aca="false">'Lot Register'!A76</f>
        <v>REG-HU-CHA</v>
      </c>
      <c r="C353" s="19" t="str">
        <f aca="false">'Lot Register'!B76</f>
        <v>Regeneration tool</v>
      </c>
      <c r="D353" s="19" t="str">
        <f aca="false">'Lot Register'!D76</f>
        <v>MS-HU</v>
      </c>
      <c r="E353" s="19" t="str">
        <f aca="false">'Lot Register'!G76</f>
        <v>ST-HU-CHA</v>
      </c>
      <c r="F353" s="9" t="s">
        <v>271</v>
      </c>
      <c r="G353" s="9" t="s">
        <v>561</v>
      </c>
      <c r="H353" s="9" t="s">
        <v>562</v>
      </c>
      <c r="I353" s="11" t="s">
        <v>238</v>
      </c>
      <c r="J353" s="47" t="n">
        <f aca="false">Controls!B25</f>
        <v>0</v>
      </c>
      <c r="K353" s="47" t="str">
        <f aca="false">IF(J353=1,"ACCEPTED","OPEN")</f>
        <v>OPEN</v>
      </c>
    </row>
    <row r="354" customFormat="false" ht="15" hidden="false" customHeight="false" outlineLevel="0" collapsed="false">
      <c r="A354" s="19" t="str">
        <f aca="false">"PKT-"&amp;B354&amp;"-METROLOGY"</f>
        <v>PKT-REG-HU-CHA-METROLOGY</v>
      </c>
      <c r="B354" s="19" t="str">
        <f aca="false">'Lot Register'!A76</f>
        <v>REG-HU-CHA</v>
      </c>
      <c r="C354" s="19" t="str">
        <f aca="false">'Lot Register'!B76</f>
        <v>Regeneration tool</v>
      </c>
      <c r="D354" s="19" t="str">
        <f aca="false">'Lot Register'!D76</f>
        <v>MS-HU</v>
      </c>
      <c r="E354" s="19" t="str">
        <f aca="false">'Lot Register'!G76</f>
        <v>ST-HU-CHA</v>
      </c>
      <c r="F354" s="9" t="s">
        <v>563</v>
      </c>
      <c r="G354" s="9" t="s">
        <v>564</v>
      </c>
      <c r="H354" s="9" t="s">
        <v>565</v>
      </c>
      <c r="I354" s="11" t="s">
        <v>238</v>
      </c>
      <c r="J354" s="47" t="n">
        <f aca="false">Controls!B25</f>
        <v>0</v>
      </c>
      <c r="K354" s="47" t="str">
        <f aca="false">IF(J354=1,"ACCEPTED","OPEN")</f>
        <v>OPEN</v>
      </c>
    </row>
    <row r="355" customFormat="false" ht="15" hidden="false" customHeight="false" outlineLevel="0" collapsed="false">
      <c r="A355" s="19" t="str">
        <f aca="false">"PKT-"&amp;B355&amp;"-SAFETY"</f>
        <v>PKT-REG-HU-CHA-SAFETY</v>
      </c>
      <c r="B355" s="19" t="str">
        <f aca="false">'Lot Register'!A76</f>
        <v>REG-HU-CHA</v>
      </c>
      <c r="C355" s="19" t="str">
        <f aca="false">'Lot Register'!B76</f>
        <v>Regeneration tool</v>
      </c>
      <c r="D355" s="19" t="str">
        <f aca="false">'Lot Register'!D76</f>
        <v>MS-HU</v>
      </c>
      <c r="E355" s="19" t="str">
        <f aca="false">'Lot Register'!G76</f>
        <v>ST-HU-CHA</v>
      </c>
      <c r="F355" s="9" t="s">
        <v>566</v>
      </c>
      <c r="G355" s="9" t="s">
        <v>567</v>
      </c>
      <c r="H355" s="9" t="s">
        <v>568</v>
      </c>
      <c r="I355" s="11" t="s">
        <v>238</v>
      </c>
      <c r="J355" s="47" t="n">
        <f aca="false">Controls!B25</f>
        <v>0</v>
      </c>
      <c r="K355" s="47" t="str">
        <f aca="false">IF(J355=1,"ACCEPTED","OPEN")</f>
        <v>OPEN</v>
      </c>
    </row>
    <row r="356" customFormat="false" ht="15" hidden="false" customHeight="false" outlineLevel="0" collapsed="false">
      <c r="A356" s="19" t="str">
        <f aca="false">"PKT-"&amp;B356&amp;"-RECONSTRUCTION"</f>
        <v>PKT-REG-HU-CHA-RECONSTRUCTION</v>
      </c>
      <c r="B356" s="19" t="str">
        <f aca="false">'Lot Register'!A76</f>
        <v>REG-HU-CHA</v>
      </c>
      <c r="C356" s="19" t="str">
        <f aca="false">'Lot Register'!B76</f>
        <v>Regeneration tool</v>
      </c>
      <c r="D356" s="19" t="str">
        <f aca="false">'Lot Register'!D76</f>
        <v>MS-HU</v>
      </c>
      <c r="E356" s="19" t="str">
        <f aca="false">'Lot Register'!G76</f>
        <v>ST-HU-CHA</v>
      </c>
      <c r="F356" s="9" t="s">
        <v>282</v>
      </c>
      <c r="G356" s="9" t="s">
        <v>569</v>
      </c>
      <c r="H356" s="9" t="s">
        <v>570</v>
      </c>
      <c r="I356" s="11" t="s">
        <v>238</v>
      </c>
      <c r="J356" s="47" t="n">
        <f aca="false">Controls!B25</f>
        <v>0</v>
      </c>
      <c r="K356" s="47" t="str">
        <f aca="false">IF(J356=1,"ACCEPTED","OPEN")</f>
        <v>OPEN</v>
      </c>
    </row>
    <row r="357" customFormat="false" ht="15" hidden="false" customHeight="false" outlineLevel="0" collapsed="false">
      <c r="A357" s="19" t="str">
        <f aca="false">"PKT-"&amp;B357&amp;"-CONFIGURATION"</f>
        <v>PKT-INT-HU-CHA-CONFIGURATION</v>
      </c>
      <c r="B357" s="19" t="str">
        <f aca="false">'Lot Register'!A77</f>
        <v>INT-HU-CHA</v>
      </c>
      <c r="C357" s="19" t="str">
        <f aca="false">'Lot Register'!B77</f>
        <v>Station integration</v>
      </c>
      <c r="D357" s="19" t="str">
        <f aca="false">'Lot Register'!D77</f>
        <v>MS-HU</v>
      </c>
      <c r="E357" s="19" t="str">
        <f aca="false">'Lot Register'!G77</f>
        <v>ST-HU-CHA</v>
      </c>
      <c r="F357" s="9" t="s">
        <v>558</v>
      </c>
      <c r="G357" s="9" t="s">
        <v>559</v>
      </c>
      <c r="H357" s="9" t="s">
        <v>560</v>
      </c>
      <c r="I357" s="11" t="s">
        <v>238</v>
      </c>
      <c r="J357" s="47" t="n">
        <f aca="false">Controls!B25</f>
        <v>0</v>
      </c>
      <c r="K357" s="47" t="str">
        <f aca="false">IF(J357=1,"ACCEPTED","OPEN")</f>
        <v>OPEN</v>
      </c>
    </row>
    <row r="358" customFormat="false" ht="15" hidden="false" customHeight="false" outlineLevel="0" collapsed="false">
      <c r="A358" s="19" t="str">
        <f aca="false">"PKT-"&amp;B358&amp;"-CONTROL"</f>
        <v>PKT-INT-HU-CHA-CONTROL</v>
      </c>
      <c r="B358" s="19" t="str">
        <f aca="false">'Lot Register'!A77</f>
        <v>INT-HU-CHA</v>
      </c>
      <c r="C358" s="19" t="str">
        <f aca="false">'Lot Register'!B77</f>
        <v>Station integration</v>
      </c>
      <c r="D358" s="19" t="str">
        <f aca="false">'Lot Register'!D77</f>
        <v>MS-HU</v>
      </c>
      <c r="E358" s="19" t="str">
        <f aca="false">'Lot Register'!G77</f>
        <v>ST-HU-CHA</v>
      </c>
      <c r="F358" s="9" t="s">
        <v>271</v>
      </c>
      <c r="G358" s="9" t="s">
        <v>561</v>
      </c>
      <c r="H358" s="9" t="s">
        <v>562</v>
      </c>
      <c r="I358" s="11" t="s">
        <v>238</v>
      </c>
      <c r="J358" s="47" t="n">
        <f aca="false">Controls!B25</f>
        <v>0</v>
      </c>
      <c r="K358" s="47" t="str">
        <f aca="false">IF(J358=1,"ACCEPTED","OPEN")</f>
        <v>OPEN</v>
      </c>
    </row>
    <row r="359" customFormat="false" ht="15" hidden="false" customHeight="false" outlineLevel="0" collapsed="false">
      <c r="A359" s="19" t="str">
        <f aca="false">"PKT-"&amp;B359&amp;"-METROLOGY"</f>
        <v>PKT-INT-HU-CHA-METROLOGY</v>
      </c>
      <c r="B359" s="19" t="str">
        <f aca="false">'Lot Register'!A77</f>
        <v>INT-HU-CHA</v>
      </c>
      <c r="C359" s="19" t="str">
        <f aca="false">'Lot Register'!B77</f>
        <v>Station integration</v>
      </c>
      <c r="D359" s="19" t="str">
        <f aca="false">'Lot Register'!D77</f>
        <v>MS-HU</v>
      </c>
      <c r="E359" s="19" t="str">
        <f aca="false">'Lot Register'!G77</f>
        <v>ST-HU-CHA</v>
      </c>
      <c r="F359" s="9" t="s">
        <v>563</v>
      </c>
      <c r="G359" s="9" t="s">
        <v>564</v>
      </c>
      <c r="H359" s="9" t="s">
        <v>565</v>
      </c>
      <c r="I359" s="11" t="s">
        <v>238</v>
      </c>
      <c r="J359" s="47" t="n">
        <f aca="false">Controls!B25</f>
        <v>0</v>
      </c>
      <c r="K359" s="47" t="str">
        <f aca="false">IF(J359=1,"ACCEPTED","OPEN")</f>
        <v>OPEN</v>
      </c>
    </row>
    <row r="360" customFormat="false" ht="15" hidden="false" customHeight="false" outlineLevel="0" collapsed="false">
      <c r="A360" s="19" t="str">
        <f aca="false">"PKT-"&amp;B360&amp;"-SAFETY"</f>
        <v>PKT-INT-HU-CHA-SAFETY</v>
      </c>
      <c r="B360" s="19" t="str">
        <f aca="false">'Lot Register'!A77</f>
        <v>INT-HU-CHA</v>
      </c>
      <c r="C360" s="19" t="str">
        <f aca="false">'Lot Register'!B77</f>
        <v>Station integration</v>
      </c>
      <c r="D360" s="19" t="str">
        <f aca="false">'Lot Register'!D77</f>
        <v>MS-HU</v>
      </c>
      <c r="E360" s="19" t="str">
        <f aca="false">'Lot Register'!G77</f>
        <v>ST-HU-CHA</v>
      </c>
      <c r="F360" s="9" t="s">
        <v>566</v>
      </c>
      <c r="G360" s="9" t="s">
        <v>567</v>
      </c>
      <c r="H360" s="9" t="s">
        <v>568</v>
      </c>
      <c r="I360" s="11" t="s">
        <v>238</v>
      </c>
      <c r="J360" s="47" t="n">
        <f aca="false">Controls!B25</f>
        <v>0</v>
      </c>
      <c r="K360" s="47" t="str">
        <f aca="false">IF(J360=1,"ACCEPTED","OPEN")</f>
        <v>OPEN</v>
      </c>
    </row>
    <row r="361" customFormat="false" ht="15" hidden="false" customHeight="false" outlineLevel="0" collapsed="false">
      <c r="A361" s="19" t="str">
        <f aca="false">"PKT-"&amp;B361&amp;"-RECONSTRUCTION"</f>
        <v>PKT-INT-HU-CHA-RECONSTRUCTION</v>
      </c>
      <c r="B361" s="19" t="str">
        <f aca="false">'Lot Register'!A77</f>
        <v>INT-HU-CHA</v>
      </c>
      <c r="C361" s="19" t="str">
        <f aca="false">'Lot Register'!B77</f>
        <v>Station integration</v>
      </c>
      <c r="D361" s="19" t="str">
        <f aca="false">'Lot Register'!D77</f>
        <v>MS-HU</v>
      </c>
      <c r="E361" s="19" t="str">
        <f aca="false">'Lot Register'!G77</f>
        <v>ST-HU-CHA</v>
      </c>
      <c r="F361" s="9" t="s">
        <v>282</v>
      </c>
      <c r="G361" s="9" t="s">
        <v>569</v>
      </c>
      <c r="H361" s="9" t="s">
        <v>570</v>
      </c>
      <c r="I361" s="11" t="s">
        <v>238</v>
      </c>
      <c r="J361" s="47" t="n">
        <f aca="false">Controls!B25</f>
        <v>0</v>
      </c>
      <c r="K361" s="47" t="str">
        <f aca="false">IF(J361=1,"ACCEPTED","OPEN")</f>
        <v>OPEN</v>
      </c>
    </row>
    <row r="362" customFormat="false" ht="15" hidden="false" customHeight="false" outlineLevel="0" collapsed="false">
      <c r="A362" s="19" t="str">
        <f aca="false">"PKT-"&amp;B362&amp;"-CONFIGURATION"</f>
        <v>PKT-RIG-HU-CON-CONFIGURATION</v>
      </c>
      <c r="B362" s="19" t="str">
        <f aca="false">'Lot Register'!A78</f>
        <v>RIG-HU-CON</v>
      </c>
      <c r="C362" s="19" t="str">
        <f aca="false">'Lot Register'!B78</f>
        <v>Root-native rig</v>
      </c>
      <c r="D362" s="19" t="str">
        <f aca="false">'Lot Register'!D78</f>
        <v>MS-HU</v>
      </c>
      <c r="E362" s="19" t="str">
        <f aca="false">'Lot Register'!G78</f>
        <v>ST-HU-CON</v>
      </c>
      <c r="F362" s="9" t="s">
        <v>558</v>
      </c>
      <c r="G362" s="9" t="s">
        <v>559</v>
      </c>
      <c r="H362" s="9" t="s">
        <v>560</v>
      </c>
      <c r="I362" s="11" t="s">
        <v>238</v>
      </c>
      <c r="J362" s="47" t="n">
        <f aca="false">Controls!B25</f>
        <v>0</v>
      </c>
      <c r="K362" s="47" t="str">
        <f aca="false">IF(J362=1,"ACCEPTED","OPEN")</f>
        <v>OPEN</v>
      </c>
    </row>
    <row r="363" customFormat="false" ht="15" hidden="false" customHeight="false" outlineLevel="0" collapsed="false">
      <c r="A363" s="19" t="str">
        <f aca="false">"PKT-"&amp;B363&amp;"-CONTROL"</f>
        <v>PKT-RIG-HU-CON-CONTROL</v>
      </c>
      <c r="B363" s="19" t="str">
        <f aca="false">'Lot Register'!A78</f>
        <v>RIG-HU-CON</v>
      </c>
      <c r="C363" s="19" t="str">
        <f aca="false">'Lot Register'!B78</f>
        <v>Root-native rig</v>
      </c>
      <c r="D363" s="19" t="str">
        <f aca="false">'Lot Register'!D78</f>
        <v>MS-HU</v>
      </c>
      <c r="E363" s="19" t="str">
        <f aca="false">'Lot Register'!G78</f>
        <v>ST-HU-CON</v>
      </c>
      <c r="F363" s="9" t="s">
        <v>271</v>
      </c>
      <c r="G363" s="9" t="s">
        <v>561</v>
      </c>
      <c r="H363" s="9" t="s">
        <v>562</v>
      </c>
      <c r="I363" s="11" t="s">
        <v>238</v>
      </c>
      <c r="J363" s="47" t="n">
        <f aca="false">Controls!B25</f>
        <v>0</v>
      </c>
      <c r="K363" s="47" t="str">
        <f aca="false">IF(J363=1,"ACCEPTED","OPEN")</f>
        <v>OPEN</v>
      </c>
    </row>
    <row r="364" customFormat="false" ht="15" hidden="false" customHeight="false" outlineLevel="0" collapsed="false">
      <c r="A364" s="19" t="str">
        <f aca="false">"PKT-"&amp;B364&amp;"-METROLOGY"</f>
        <v>PKT-RIG-HU-CON-METROLOGY</v>
      </c>
      <c r="B364" s="19" t="str">
        <f aca="false">'Lot Register'!A78</f>
        <v>RIG-HU-CON</v>
      </c>
      <c r="C364" s="19" t="str">
        <f aca="false">'Lot Register'!B78</f>
        <v>Root-native rig</v>
      </c>
      <c r="D364" s="19" t="str">
        <f aca="false">'Lot Register'!D78</f>
        <v>MS-HU</v>
      </c>
      <c r="E364" s="19" t="str">
        <f aca="false">'Lot Register'!G78</f>
        <v>ST-HU-CON</v>
      </c>
      <c r="F364" s="9" t="s">
        <v>563</v>
      </c>
      <c r="G364" s="9" t="s">
        <v>564</v>
      </c>
      <c r="H364" s="9" t="s">
        <v>565</v>
      </c>
      <c r="I364" s="11" t="s">
        <v>238</v>
      </c>
      <c r="J364" s="47" t="n">
        <f aca="false">Controls!B25</f>
        <v>0</v>
      </c>
      <c r="K364" s="47" t="str">
        <f aca="false">IF(J364=1,"ACCEPTED","OPEN")</f>
        <v>OPEN</v>
      </c>
    </row>
    <row r="365" customFormat="false" ht="15" hidden="false" customHeight="false" outlineLevel="0" collapsed="false">
      <c r="A365" s="19" t="str">
        <f aca="false">"PKT-"&amp;B365&amp;"-SAFETY"</f>
        <v>PKT-RIG-HU-CON-SAFETY</v>
      </c>
      <c r="B365" s="19" t="str">
        <f aca="false">'Lot Register'!A78</f>
        <v>RIG-HU-CON</v>
      </c>
      <c r="C365" s="19" t="str">
        <f aca="false">'Lot Register'!B78</f>
        <v>Root-native rig</v>
      </c>
      <c r="D365" s="19" t="str">
        <f aca="false">'Lot Register'!D78</f>
        <v>MS-HU</v>
      </c>
      <c r="E365" s="19" t="str">
        <f aca="false">'Lot Register'!G78</f>
        <v>ST-HU-CON</v>
      </c>
      <c r="F365" s="9" t="s">
        <v>566</v>
      </c>
      <c r="G365" s="9" t="s">
        <v>567</v>
      </c>
      <c r="H365" s="9" t="s">
        <v>568</v>
      </c>
      <c r="I365" s="11" t="s">
        <v>238</v>
      </c>
      <c r="J365" s="47" t="n">
        <f aca="false">Controls!B25</f>
        <v>0</v>
      </c>
      <c r="K365" s="47" t="str">
        <f aca="false">IF(J365=1,"ACCEPTED","OPEN")</f>
        <v>OPEN</v>
      </c>
    </row>
    <row r="366" customFormat="false" ht="15" hidden="false" customHeight="false" outlineLevel="0" collapsed="false">
      <c r="A366" s="19" t="str">
        <f aca="false">"PKT-"&amp;B366&amp;"-RECONSTRUCTION"</f>
        <v>PKT-RIG-HU-CON-RECONSTRUCTION</v>
      </c>
      <c r="B366" s="19" t="str">
        <f aca="false">'Lot Register'!A78</f>
        <v>RIG-HU-CON</v>
      </c>
      <c r="C366" s="19" t="str">
        <f aca="false">'Lot Register'!B78</f>
        <v>Root-native rig</v>
      </c>
      <c r="D366" s="19" t="str">
        <f aca="false">'Lot Register'!D78</f>
        <v>MS-HU</v>
      </c>
      <c r="E366" s="19" t="str">
        <f aca="false">'Lot Register'!G78</f>
        <v>ST-HU-CON</v>
      </c>
      <c r="F366" s="9" t="s">
        <v>282</v>
      </c>
      <c r="G366" s="9" t="s">
        <v>569</v>
      </c>
      <c r="H366" s="9" t="s">
        <v>570</v>
      </c>
      <c r="I366" s="11" t="s">
        <v>238</v>
      </c>
      <c r="J366" s="47" t="n">
        <f aca="false">Controls!B25</f>
        <v>0</v>
      </c>
      <c r="K366" s="47" t="str">
        <f aca="false">IF(J366=1,"ACCEPTED","OPEN")</f>
        <v>OPEN</v>
      </c>
    </row>
    <row r="367" customFormat="false" ht="15" hidden="false" customHeight="false" outlineLevel="0" collapsed="false">
      <c r="A367" s="19" t="str">
        <f aca="false">"PKT-"&amp;B367&amp;"-CONFIGURATION"</f>
        <v>PKT-MTH-HU-CON-L1-CONFIGURATION</v>
      </c>
      <c r="B367" s="19" t="str">
        <f aca="false">'Lot Register'!A79</f>
        <v>MTH-HU-CON-L1</v>
      </c>
      <c r="C367" s="19" t="str">
        <f aca="false">'Lot Register'!B79</f>
        <v>Method lineage</v>
      </c>
      <c r="D367" s="19" t="str">
        <f aca="false">'Lot Register'!D79</f>
        <v>MS-HU</v>
      </c>
      <c r="E367" s="19" t="str">
        <f aca="false">'Lot Register'!G79</f>
        <v>ST-HU-CON</v>
      </c>
      <c r="F367" s="9" t="s">
        <v>558</v>
      </c>
      <c r="G367" s="9" t="s">
        <v>559</v>
      </c>
      <c r="H367" s="9" t="s">
        <v>560</v>
      </c>
      <c r="I367" s="11" t="s">
        <v>238</v>
      </c>
      <c r="J367" s="47" t="n">
        <f aca="false">Controls!B25</f>
        <v>0</v>
      </c>
      <c r="K367" s="47" t="str">
        <f aca="false">IF(J367=1,"ACCEPTED","OPEN")</f>
        <v>OPEN</v>
      </c>
    </row>
    <row r="368" customFormat="false" ht="15" hidden="false" customHeight="false" outlineLevel="0" collapsed="false">
      <c r="A368" s="19" t="str">
        <f aca="false">"PKT-"&amp;B368&amp;"-CONTROL"</f>
        <v>PKT-MTH-HU-CON-L1-CONTROL</v>
      </c>
      <c r="B368" s="19" t="str">
        <f aca="false">'Lot Register'!A79</f>
        <v>MTH-HU-CON-L1</v>
      </c>
      <c r="C368" s="19" t="str">
        <f aca="false">'Lot Register'!B79</f>
        <v>Method lineage</v>
      </c>
      <c r="D368" s="19" t="str">
        <f aca="false">'Lot Register'!D79</f>
        <v>MS-HU</v>
      </c>
      <c r="E368" s="19" t="str">
        <f aca="false">'Lot Register'!G79</f>
        <v>ST-HU-CON</v>
      </c>
      <c r="F368" s="9" t="s">
        <v>271</v>
      </c>
      <c r="G368" s="9" t="s">
        <v>561</v>
      </c>
      <c r="H368" s="9" t="s">
        <v>562</v>
      </c>
      <c r="I368" s="11" t="s">
        <v>238</v>
      </c>
      <c r="J368" s="47" t="n">
        <f aca="false">Controls!B25</f>
        <v>0</v>
      </c>
      <c r="K368" s="47" t="str">
        <f aca="false">IF(J368=1,"ACCEPTED","OPEN")</f>
        <v>OPEN</v>
      </c>
    </row>
    <row r="369" customFormat="false" ht="15" hidden="false" customHeight="false" outlineLevel="0" collapsed="false">
      <c r="A369" s="19" t="str">
        <f aca="false">"PKT-"&amp;B369&amp;"-METROLOGY"</f>
        <v>PKT-MTH-HU-CON-L1-METROLOGY</v>
      </c>
      <c r="B369" s="19" t="str">
        <f aca="false">'Lot Register'!A79</f>
        <v>MTH-HU-CON-L1</v>
      </c>
      <c r="C369" s="19" t="str">
        <f aca="false">'Lot Register'!B79</f>
        <v>Method lineage</v>
      </c>
      <c r="D369" s="19" t="str">
        <f aca="false">'Lot Register'!D79</f>
        <v>MS-HU</v>
      </c>
      <c r="E369" s="19" t="str">
        <f aca="false">'Lot Register'!G79</f>
        <v>ST-HU-CON</v>
      </c>
      <c r="F369" s="9" t="s">
        <v>563</v>
      </c>
      <c r="G369" s="9" t="s">
        <v>564</v>
      </c>
      <c r="H369" s="9" t="s">
        <v>565</v>
      </c>
      <c r="I369" s="11" t="s">
        <v>238</v>
      </c>
      <c r="J369" s="47" t="n">
        <f aca="false">Controls!B25</f>
        <v>0</v>
      </c>
      <c r="K369" s="47" t="str">
        <f aca="false">IF(J369=1,"ACCEPTED","OPEN")</f>
        <v>OPEN</v>
      </c>
    </row>
    <row r="370" customFormat="false" ht="15" hidden="false" customHeight="false" outlineLevel="0" collapsed="false">
      <c r="A370" s="19" t="str">
        <f aca="false">"PKT-"&amp;B370&amp;"-SAFETY"</f>
        <v>PKT-MTH-HU-CON-L1-SAFETY</v>
      </c>
      <c r="B370" s="19" t="str">
        <f aca="false">'Lot Register'!A79</f>
        <v>MTH-HU-CON-L1</v>
      </c>
      <c r="C370" s="19" t="str">
        <f aca="false">'Lot Register'!B79</f>
        <v>Method lineage</v>
      </c>
      <c r="D370" s="19" t="str">
        <f aca="false">'Lot Register'!D79</f>
        <v>MS-HU</v>
      </c>
      <c r="E370" s="19" t="str">
        <f aca="false">'Lot Register'!G79</f>
        <v>ST-HU-CON</v>
      </c>
      <c r="F370" s="9" t="s">
        <v>566</v>
      </c>
      <c r="G370" s="9" t="s">
        <v>567</v>
      </c>
      <c r="H370" s="9" t="s">
        <v>568</v>
      </c>
      <c r="I370" s="11" t="s">
        <v>238</v>
      </c>
      <c r="J370" s="47" t="n">
        <f aca="false">Controls!B25</f>
        <v>0</v>
      </c>
      <c r="K370" s="47" t="str">
        <f aca="false">IF(J370=1,"ACCEPTED","OPEN")</f>
        <v>OPEN</v>
      </c>
    </row>
    <row r="371" customFormat="false" ht="15" hidden="false" customHeight="false" outlineLevel="0" collapsed="false">
      <c r="A371" s="19" t="str">
        <f aca="false">"PKT-"&amp;B371&amp;"-RECONSTRUCTION"</f>
        <v>PKT-MTH-HU-CON-L1-RECONSTRUCTION</v>
      </c>
      <c r="B371" s="19" t="str">
        <f aca="false">'Lot Register'!A79</f>
        <v>MTH-HU-CON-L1</v>
      </c>
      <c r="C371" s="19" t="str">
        <f aca="false">'Lot Register'!B79</f>
        <v>Method lineage</v>
      </c>
      <c r="D371" s="19" t="str">
        <f aca="false">'Lot Register'!D79</f>
        <v>MS-HU</v>
      </c>
      <c r="E371" s="19" t="str">
        <f aca="false">'Lot Register'!G79</f>
        <v>ST-HU-CON</v>
      </c>
      <c r="F371" s="9" t="s">
        <v>282</v>
      </c>
      <c r="G371" s="9" t="s">
        <v>569</v>
      </c>
      <c r="H371" s="9" t="s">
        <v>570</v>
      </c>
      <c r="I371" s="11" t="s">
        <v>238</v>
      </c>
      <c r="J371" s="47" t="n">
        <f aca="false">Controls!B25</f>
        <v>0</v>
      </c>
      <c r="K371" s="47" t="str">
        <f aca="false">IF(J371=1,"ACCEPTED","OPEN")</f>
        <v>OPEN</v>
      </c>
    </row>
    <row r="372" customFormat="false" ht="15" hidden="false" customHeight="false" outlineLevel="0" collapsed="false">
      <c r="A372" s="19" t="str">
        <f aca="false">"PKT-"&amp;B372&amp;"-CONFIGURATION"</f>
        <v>PKT-MTH-HU-CON-L2-CONFIGURATION</v>
      </c>
      <c r="B372" s="19" t="str">
        <f aca="false">'Lot Register'!A80</f>
        <v>MTH-HU-CON-L2</v>
      </c>
      <c r="C372" s="19" t="str">
        <f aca="false">'Lot Register'!B80</f>
        <v>Method lineage</v>
      </c>
      <c r="D372" s="19" t="str">
        <f aca="false">'Lot Register'!D80</f>
        <v>MS-HU</v>
      </c>
      <c r="E372" s="19" t="str">
        <f aca="false">'Lot Register'!G80</f>
        <v>ST-HU-CON</v>
      </c>
      <c r="F372" s="9" t="s">
        <v>558</v>
      </c>
      <c r="G372" s="9" t="s">
        <v>559</v>
      </c>
      <c r="H372" s="9" t="s">
        <v>560</v>
      </c>
      <c r="I372" s="11" t="s">
        <v>238</v>
      </c>
      <c r="J372" s="47" t="n">
        <f aca="false">Controls!B25</f>
        <v>0</v>
      </c>
      <c r="K372" s="47" t="str">
        <f aca="false">IF(J372=1,"ACCEPTED","OPEN")</f>
        <v>OPEN</v>
      </c>
    </row>
    <row r="373" customFormat="false" ht="15" hidden="false" customHeight="false" outlineLevel="0" collapsed="false">
      <c r="A373" s="19" t="str">
        <f aca="false">"PKT-"&amp;B373&amp;"-CONTROL"</f>
        <v>PKT-MTH-HU-CON-L2-CONTROL</v>
      </c>
      <c r="B373" s="19" t="str">
        <f aca="false">'Lot Register'!A80</f>
        <v>MTH-HU-CON-L2</v>
      </c>
      <c r="C373" s="19" t="str">
        <f aca="false">'Lot Register'!B80</f>
        <v>Method lineage</v>
      </c>
      <c r="D373" s="19" t="str">
        <f aca="false">'Lot Register'!D80</f>
        <v>MS-HU</v>
      </c>
      <c r="E373" s="19" t="str">
        <f aca="false">'Lot Register'!G80</f>
        <v>ST-HU-CON</v>
      </c>
      <c r="F373" s="9" t="s">
        <v>271</v>
      </c>
      <c r="G373" s="9" t="s">
        <v>561</v>
      </c>
      <c r="H373" s="9" t="s">
        <v>562</v>
      </c>
      <c r="I373" s="11" t="s">
        <v>238</v>
      </c>
      <c r="J373" s="47" t="n">
        <f aca="false">Controls!B25</f>
        <v>0</v>
      </c>
      <c r="K373" s="47" t="str">
        <f aca="false">IF(J373=1,"ACCEPTED","OPEN")</f>
        <v>OPEN</v>
      </c>
    </row>
    <row r="374" customFormat="false" ht="15" hidden="false" customHeight="false" outlineLevel="0" collapsed="false">
      <c r="A374" s="19" t="str">
        <f aca="false">"PKT-"&amp;B374&amp;"-METROLOGY"</f>
        <v>PKT-MTH-HU-CON-L2-METROLOGY</v>
      </c>
      <c r="B374" s="19" t="str">
        <f aca="false">'Lot Register'!A80</f>
        <v>MTH-HU-CON-L2</v>
      </c>
      <c r="C374" s="19" t="str">
        <f aca="false">'Lot Register'!B80</f>
        <v>Method lineage</v>
      </c>
      <c r="D374" s="19" t="str">
        <f aca="false">'Lot Register'!D80</f>
        <v>MS-HU</v>
      </c>
      <c r="E374" s="19" t="str">
        <f aca="false">'Lot Register'!G80</f>
        <v>ST-HU-CON</v>
      </c>
      <c r="F374" s="9" t="s">
        <v>563</v>
      </c>
      <c r="G374" s="9" t="s">
        <v>564</v>
      </c>
      <c r="H374" s="9" t="s">
        <v>565</v>
      </c>
      <c r="I374" s="11" t="s">
        <v>238</v>
      </c>
      <c r="J374" s="47" t="n">
        <f aca="false">Controls!B25</f>
        <v>0</v>
      </c>
      <c r="K374" s="47" t="str">
        <f aca="false">IF(J374=1,"ACCEPTED","OPEN")</f>
        <v>OPEN</v>
      </c>
    </row>
    <row r="375" customFormat="false" ht="15" hidden="false" customHeight="false" outlineLevel="0" collapsed="false">
      <c r="A375" s="19" t="str">
        <f aca="false">"PKT-"&amp;B375&amp;"-SAFETY"</f>
        <v>PKT-MTH-HU-CON-L2-SAFETY</v>
      </c>
      <c r="B375" s="19" t="str">
        <f aca="false">'Lot Register'!A80</f>
        <v>MTH-HU-CON-L2</v>
      </c>
      <c r="C375" s="19" t="str">
        <f aca="false">'Lot Register'!B80</f>
        <v>Method lineage</v>
      </c>
      <c r="D375" s="19" t="str">
        <f aca="false">'Lot Register'!D80</f>
        <v>MS-HU</v>
      </c>
      <c r="E375" s="19" t="str">
        <f aca="false">'Lot Register'!G80</f>
        <v>ST-HU-CON</v>
      </c>
      <c r="F375" s="9" t="s">
        <v>566</v>
      </c>
      <c r="G375" s="9" t="s">
        <v>567</v>
      </c>
      <c r="H375" s="9" t="s">
        <v>568</v>
      </c>
      <c r="I375" s="11" t="s">
        <v>238</v>
      </c>
      <c r="J375" s="47" t="n">
        <f aca="false">Controls!B25</f>
        <v>0</v>
      </c>
      <c r="K375" s="47" t="str">
        <f aca="false">IF(J375=1,"ACCEPTED","OPEN")</f>
        <v>OPEN</v>
      </c>
    </row>
    <row r="376" customFormat="false" ht="15" hidden="false" customHeight="false" outlineLevel="0" collapsed="false">
      <c r="A376" s="19" t="str">
        <f aca="false">"PKT-"&amp;B376&amp;"-RECONSTRUCTION"</f>
        <v>PKT-MTH-HU-CON-L2-RECONSTRUCTION</v>
      </c>
      <c r="B376" s="19" t="str">
        <f aca="false">'Lot Register'!A80</f>
        <v>MTH-HU-CON-L2</v>
      </c>
      <c r="C376" s="19" t="str">
        <f aca="false">'Lot Register'!B80</f>
        <v>Method lineage</v>
      </c>
      <c r="D376" s="19" t="str">
        <f aca="false">'Lot Register'!D80</f>
        <v>MS-HU</v>
      </c>
      <c r="E376" s="19" t="str">
        <f aca="false">'Lot Register'!G80</f>
        <v>ST-HU-CON</v>
      </c>
      <c r="F376" s="9" t="s">
        <v>282</v>
      </c>
      <c r="G376" s="9" t="s">
        <v>569</v>
      </c>
      <c r="H376" s="9" t="s">
        <v>570</v>
      </c>
      <c r="I376" s="11" t="s">
        <v>238</v>
      </c>
      <c r="J376" s="47" t="n">
        <f aca="false">Controls!B25</f>
        <v>0</v>
      </c>
      <c r="K376" s="47" t="str">
        <f aca="false">IF(J376=1,"ACCEPTED","OPEN")</f>
        <v>OPEN</v>
      </c>
    </row>
    <row r="377" customFormat="false" ht="15" hidden="false" customHeight="false" outlineLevel="0" collapsed="false">
      <c r="A377" s="19" t="str">
        <f aca="false">"PKT-"&amp;B377&amp;"-CONFIGURATION"</f>
        <v>PKT-REG-HU-CON-CONFIGURATION</v>
      </c>
      <c r="B377" s="19" t="str">
        <f aca="false">'Lot Register'!A81</f>
        <v>REG-HU-CON</v>
      </c>
      <c r="C377" s="19" t="str">
        <f aca="false">'Lot Register'!B81</f>
        <v>Regeneration tool</v>
      </c>
      <c r="D377" s="19" t="str">
        <f aca="false">'Lot Register'!D81</f>
        <v>MS-HU</v>
      </c>
      <c r="E377" s="19" t="str">
        <f aca="false">'Lot Register'!G81</f>
        <v>ST-HU-CON</v>
      </c>
      <c r="F377" s="9" t="s">
        <v>558</v>
      </c>
      <c r="G377" s="9" t="s">
        <v>559</v>
      </c>
      <c r="H377" s="9" t="s">
        <v>560</v>
      </c>
      <c r="I377" s="11" t="s">
        <v>238</v>
      </c>
      <c r="J377" s="47" t="n">
        <f aca="false">Controls!B25</f>
        <v>0</v>
      </c>
      <c r="K377" s="47" t="str">
        <f aca="false">IF(J377=1,"ACCEPTED","OPEN")</f>
        <v>OPEN</v>
      </c>
    </row>
    <row r="378" customFormat="false" ht="15" hidden="false" customHeight="false" outlineLevel="0" collapsed="false">
      <c r="A378" s="19" t="str">
        <f aca="false">"PKT-"&amp;B378&amp;"-CONTROL"</f>
        <v>PKT-REG-HU-CON-CONTROL</v>
      </c>
      <c r="B378" s="19" t="str">
        <f aca="false">'Lot Register'!A81</f>
        <v>REG-HU-CON</v>
      </c>
      <c r="C378" s="19" t="str">
        <f aca="false">'Lot Register'!B81</f>
        <v>Regeneration tool</v>
      </c>
      <c r="D378" s="19" t="str">
        <f aca="false">'Lot Register'!D81</f>
        <v>MS-HU</v>
      </c>
      <c r="E378" s="19" t="str">
        <f aca="false">'Lot Register'!G81</f>
        <v>ST-HU-CON</v>
      </c>
      <c r="F378" s="9" t="s">
        <v>271</v>
      </c>
      <c r="G378" s="9" t="s">
        <v>561</v>
      </c>
      <c r="H378" s="9" t="s">
        <v>562</v>
      </c>
      <c r="I378" s="11" t="s">
        <v>238</v>
      </c>
      <c r="J378" s="47" t="n">
        <f aca="false">Controls!B25</f>
        <v>0</v>
      </c>
      <c r="K378" s="47" t="str">
        <f aca="false">IF(J378=1,"ACCEPTED","OPEN")</f>
        <v>OPEN</v>
      </c>
    </row>
    <row r="379" customFormat="false" ht="15" hidden="false" customHeight="false" outlineLevel="0" collapsed="false">
      <c r="A379" s="19" t="str">
        <f aca="false">"PKT-"&amp;B379&amp;"-METROLOGY"</f>
        <v>PKT-REG-HU-CON-METROLOGY</v>
      </c>
      <c r="B379" s="19" t="str">
        <f aca="false">'Lot Register'!A81</f>
        <v>REG-HU-CON</v>
      </c>
      <c r="C379" s="19" t="str">
        <f aca="false">'Lot Register'!B81</f>
        <v>Regeneration tool</v>
      </c>
      <c r="D379" s="19" t="str">
        <f aca="false">'Lot Register'!D81</f>
        <v>MS-HU</v>
      </c>
      <c r="E379" s="19" t="str">
        <f aca="false">'Lot Register'!G81</f>
        <v>ST-HU-CON</v>
      </c>
      <c r="F379" s="9" t="s">
        <v>563</v>
      </c>
      <c r="G379" s="9" t="s">
        <v>564</v>
      </c>
      <c r="H379" s="9" t="s">
        <v>565</v>
      </c>
      <c r="I379" s="11" t="s">
        <v>238</v>
      </c>
      <c r="J379" s="47" t="n">
        <f aca="false">Controls!B25</f>
        <v>0</v>
      </c>
      <c r="K379" s="47" t="str">
        <f aca="false">IF(J379=1,"ACCEPTED","OPEN")</f>
        <v>OPEN</v>
      </c>
    </row>
    <row r="380" customFormat="false" ht="15" hidden="false" customHeight="false" outlineLevel="0" collapsed="false">
      <c r="A380" s="19" t="str">
        <f aca="false">"PKT-"&amp;B380&amp;"-SAFETY"</f>
        <v>PKT-REG-HU-CON-SAFETY</v>
      </c>
      <c r="B380" s="19" t="str">
        <f aca="false">'Lot Register'!A81</f>
        <v>REG-HU-CON</v>
      </c>
      <c r="C380" s="19" t="str">
        <f aca="false">'Lot Register'!B81</f>
        <v>Regeneration tool</v>
      </c>
      <c r="D380" s="19" t="str">
        <f aca="false">'Lot Register'!D81</f>
        <v>MS-HU</v>
      </c>
      <c r="E380" s="19" t="str">
        <f aca="false">'Lot Register'!G81</f>
        <v>ST-HU-CON</v>
      </c>
      <c r="F380" s="9" t="s">
        <v>566</v>
      </c>
      <c r="G380" s="9" t="s">
        <v>567</v>
      </c>
      <c r="H380" s="9" t="s">
        <v>568</v>
      </c>
      <c r="I380" s="11" t="s">
        <v>238</v>
      </c>
      <c r="J380" s="47" t="n">
        <f aca="false">Controls!B25</f>
        <v>0</v>
      </c>
      <c r="K380" s="47" t="str">
        <f aca="false">IF(J380=1,"ACCEPTED","OPEN")</f>
        <v>OPEN</v>
      </c>
    </row>
    <row r="381" customFormat="false" ht="15" hidden="false" customHeight="false" outlineLevel="0" collapsed="false">
      <c r="A381" s="19" t="str">
        <f aca="false">"PKT-"&amp;B381&amp;"-RECONSTRUCTION"</f>
        <v>PKT-REG-HU-CON-RECONSTRUCTION</v>
      </c>
      <c r="B381" s="19" t="str">
        <f aca="false">'Lot Register'!A81</f>
        <v>REG-HU-CON</v>
      </c>
      <c r="C381" s="19" t="str">
        <f aca="false">'Lot Register'!B81</f>
        <v>Regeneration tool</v>
      </c>
      <c r="D381" s="19" t="str">
        <f aca="false">'Lot Register'!D81</f>
        <v>MS-HU</v>
      </c>
      <c r="E381" s="19" t="str">
        <f aca="false">'Lot Register'!G81</f>
        <v>ST-HU-CON</v>
      </c>
      <c r="F381" s="9" t="s">
        <v>282</v>
      </c>
      <c r="G381" s="9" t="s">
        <v>569</v>
      </c>
      <c r="H381" s="9" t="s">
        <v>570</v>
      </c>
      <c r="I381" s="11" t="s">
        <v>238</v>
      </c>
      <c r="J381" s="47" t="n">
        <f aca="false">Controls!B25</f>
        <v>0</v>
      </c>
      <c r="K381" s="47" t="str">
        <f aca="false">IF(J381=1,"ACCEPTED","OPEN")</f>
        <v>OPEN</v>
      </c>
    </row>
    <row r="382" customFormat="false" ht="15" hidden="false" customHeight="false" outlineLevel="0" collapsed="false">
      <c r="A382" s="19" t="str">
        <f aca="false">"PKT-"&amp;B382&amp;"-CONFIGURATION"</f>
        <v>PKT-INT-HU-CON-CONFIGURATION</v>
      </c>
      <c r="B382" s="19" t="str">
        <f aca="false">'Lot Register'!A82</f>
        <v>INT-HU-CON</v>
      </c>
      <c r="C382" s="19" t="str">
        <f aca="false">'Lot Register'!B82</f>
        <v>Station integration</v>
      </c>
      <c r="D382" s="19" t="str">
        <f aca="false">'Lot Register'!D82</f>
        <v>MS-HU</v>
      </c>
      <c r="E382" s="19" t="str">
        <f aca="false">'Lot Register'!G82</f>
        <v>ST-HU-CON</v>
      </c>
      <c r="F382" s="9" t="s">
        <v>558</v>
      </c>
      <c r="G382" s="9" t="s">
        <v>559</v>
      </c>
      <c r="H382" s="9" t="s">
        <v>560</v>
      </c>
      <c r="I382" s="11" t="s">
        <v>238</v>
      </c>
      <c r="J382" s="47" t="n">
        <f aca="false">Controls!B25</f>
        <v>0</v>
      </c>
      <c r="K382" s="47" t="str">
        <f aca="false">IF(J382=1,"ACCEPTED","OPEN")</f>
        <v>OPEN</v>
      </c>
    </row>
    <row r="383" customFormat="false" ht="15" hidden="false" customHeight="false" outlineLevel="0" collapsed="false">
      <c r="A383" s="19" t="str">
        <f aca="false">"PKT-"&amp;B383&amp;"-CONTROL"</f>
        <v>PKT-INT-HU-CON-CONTROL</v>
      </c>
      <c r="B383" s="19" t="str">
        <f aca="false">'Lot Register'!A82</f>
        <v>INT-HU-CON</v>
      </c>
      <c r="C383" s="19" t="str">
        <f aca="false">'Lot Register'!B82</f>
        <v>Station integration</v>
      </c>
      <c r="D383" s="19" t="str">
        <f aca="false">'Lot Register'!D82</f>
        <v>MS-HU</v>
      </c>
      <c r="E383" s="19" t="str">
        <f aca="false">'Lot Register'!G82</f>
        <v>ST-HU-CON</v>
      </c>
      <c r="F383" s="9" t="s">
        <v>271</v>
      </c>
      <c r="G383" s="9" t="s">
        <v>561</v>
      </c>
      <c r="H383" s="9" t="s">
        <v>562</v>
      </c>
      <c r="I383" s="11" t="s">
        <v>238</v>
      </c>
      <c r="J383" s="47" t="n">
        <f aca="false">Controls!B25</f>
        <v>0</v>
      </c>
      <c r="K383" s="47" t="str">
        <f aca="false">IF(J383=1,"ACCEPTED","OPEN")</f>
        <v>OPEN</v>
      </c>
    </row>
    <row r="384" customFormat="false" ht="15" hidden="false" customHeight="false" outlineLevel="0" collapsed="false">
      <c r="A384" s="19" t="str">
        <f aca="false">"PKT-"&amp;B384&amp;"-METROLOGY"</f>
        <v>PKT-INT-HU-CON-METROLOGY</v>
      </c>
      <c r="B384" s="19" t="str">
        <f aca="false">'Lot Register'!A82</f>
        <v>INT-HU-CON</v>
      </c>
      <c r="C384" s="19" t="str">
        <f aca="false">'Lot Register'!B82</f>
        <v>Station integration</v>
      </c>
      <c r="D384" s="19" t="str">
        <f aca="false">'Lot Register'!D82</f>
        <v>MS-HU</v>
      </c>
      <c r="E384" s="19" t="str">
        <f aca="false">'Lot Register'!G82</f>
        <v>ST-HU-CON</v>
      </c>
      <c r="F384" s="9" t="s">
        <v>563</v>
      </c>
      <c r="G384" s="9" t="s">
        <v>564</v>
      </c>
      <c r="H384" s="9" t="s">
        <v>565</v>
      </c>
      <c r="I384" s="11" t="s">
        <v>238</v>
      </c>
      <c r="J384" s="47" t="n">
        <f aca="false">Controls!B25</f>
        <v>0</v>
      </c>
      <c r="K384" s="47" t="str">
        <f aca="false">IF(J384=1,"ACCEPTED","OPEN")</f>
        <v>OPEN</v>
      </c>
    </row>
    <row r="385" customFormat="false" ht="15" hidden="false" customHeight="false" outlineLevel="0" collapsed="false">
      <c r="A385" s="19" t="str">
        <f aca="false">"PKT-"&amp;B385&amp;"-SAFETY"</f>
        <v>PKT-INT-HU-CON-SAFETY</v>
      </c>
      <c r="B385" s="19" t="str">
        <f aca="false">'Lot Register'!A82</f>
        <v>INT-HU-CON</v>
      </c>
      <c r="C385" s="19" t="str">
        <f aca="false">'Lot Register'!B82</f>
        <v>Station integration</v>
      </c>
      <c r="D385" s="19" t="str">
        <f aca="false">'Lot Register'!D82</f>
        <v>MS-HU</v>
      </c>
      <c r="E385" s="19" t="str">
        <f aca="false">'Lot Register'!G82</f>
        <v>ST-HU-CON</v>
      </c>
      <c r="F385" s="9" t="s">
        <v>566</v>
      </c>
      <c r="G385" s="9" t="s">
        <v>567</v>
      </c>
      <c r="H385" s="9" t="s">
        <v>568</v>
      </c>
      <c r="I385" s="11" t="s">
        <v>238</v>
      </c>
      <c r="J385" s="47" t="n">
        <f aca="false">Controls!B25</f>
        <v>0</v>
      </c>
      <c r="K385" s="47" t="str">
        <f aca="false">IF(J385=1,"ACCEPTED","OPEN")</f>
        <v>OPEN</v>
      </c>
    </row>
    <row r="386" customFormat="false" ht="15" hidden="false" customHeight="false" outlineLevel="0" collapsed="false">
      <c r="A386" s="19" t="str">
        <f aca="false">"PKT-"&amp;B386&amp;"-RECONSTRUCTION"</f>
        <v>PKT-INT-HU-CON-RECONSTRUCTION</v>
      </c>
      <c r="B386" s="19" t="str">
        <f aca="false">'Lot Register'!A82</f>
        <v>INT-HU-CON</v>
      </c>
      <c r="C386" s="19" t="str">
        <f aca="false">'Lot Register'!B82</f>
        <v>Station integration</v>
      </c>
      <c r="D386" s="19" t="str">
        <f aca="false">'Lot Register'!D82</f>
        <v>MS-HU</v>
      </c>
      <c r="E386" s="19" t="str">
        <f aca="false">'Lot Register'!G82</f>
        <v>ST-HU-CON</v>
      </c>
      <c r="F386" s="9" t="s">
        <v>282</v>
      </c>
      <c r="G386" s="9" t="s">
        <v>569</v>
      </c>
      <c r="H386" s="9" t="s">
        <v>570</v>
      </c>
      <c r="I386" s="11" t="s">
        <v>238</v>
      </c>
      <c r="J386" s="47" t="n">
        <f aca="false">Controls!B25</f>
        <v>0</v>
      </c>
      <c r="K386" s="47" t="str">
        <f aca="false">IF(J386=1,"ACCEPTED","OPEN")</f>
        <v>OPEN</v>
      </c>
    </row>
    <row r="387" customFormat="false" ht="15" hidden="false" customHeight="false" outlineLevel="0" collapsed="false">
      <c r="A387" s="19" t="str">
        <f aca="false">"PKT-"&amp;B387&amp;"-CONFIGURATION"</f>
        <v>PKT-RIG-HU-REC-CONFIGURATION</v>
      </c>
      <c r="B387" s="19" t="str">
        <f aca="false">'Lot Register'!A83</f>
        <v>RIG-HU-REC</v>
      </c>
      <c r="C387" s="19" t="str">
        <f aca="false">'Lot Register'!B83</f>
        <v>Root-native rig</v>
      </c>
      <c r="D387" s="19" t="str">
        <f aca="false">'Lot Register'!D83</f>
        <v>MS-HU</v>
      </c>
      <c r="E387" s="19" t="str">
        <f aca="false">'Lot Register'!G83</f>
        <v>ST-HU-REC</v>
      </c>
      <c r="F387" s="9" t="s">
        <v>558</v>
      </c>
      <c r="G387" s="9" t="s">
        <v>559</v>
      </c>
      <c r="H387" s="9" t="s">
        <v>560</v>
      </c>
      <c r="I387" s="11" t="s">
        <v>238</v>
      </c>
      <c r="J387" s="47" t="n">
        <f aca="false">Controls!B25</f>
        <v>0</v>
      </c>
      <c r="K387" s="47" t="str">
        <f aca="false">IF(J387=1,"ACCEPTED","OPEN")</f>
        <v>OPEN</v>
      </c>
    </row>
    <row r="388" customFormat="false" ht="15" hidden="false" customHeight="false" outlineLevel="0" collapsed="false">
      <c r="A388" s="19" t="str">
        <f aca="false">"PKT-"&amp;B388&amp;"-CONTROL"</f>
        <v>PKT-RIG-HU-REC-CONTROL</v>
      </c>
      <c r="B388" s="19" t="str">
        <f aca="false">'Lot Register'!A83</f>
        <v>RIG-HU-REC</v>
      </c>
      <c r="C388" s="19" t="str">
        <f aca="false">'Lot Register'!B83</f>
        <v>Root-native rig</v>
      </c>
      <c r="D388" s="19" t="str">
        <f aca="false">'Lot Register'!D83</f>
        <v>MS-HU</v>
      </c>
      <c r="E388" s="19" t="str">
        <f aca="false">'Lot Register'!G83</f>
        <v>ST-HU-REC</v>
      </c>
      <c r="F388" s="9" t="s">
        <v>271</v>
      </c>
      <c r="G388" s="9" t="s">
        <v>561</v>
      </c>
      <c r="H388" s="9" t="s">
        <v>562</v>
      </c>
      <c r="I388" s="11" t="s">
        <v>238</v>
      </c>
      <c r="J388" s="47" t="n">
        <f aca="false">Controls!B25</f>
        <v>0</v>
      </c>
      <c r="K388" s="47" t="str">
        <f aca="false">IF(J388=1,"ACCEPTED","OPEN")</f>
        <v>OPEN</v>
      </c>
    </row>
    <row r="389" customFormat="false" ht="15" hidden="false" customHeight="false" outlineLevel="0" collapsed="false">
      <c r="A389" s="19" t="str">
        <f aca="false">"PKT-"&amp;B389&amp;"-METROLOGY"</f>
        <v>PKT-RIG-HU-REC-METROLOGY</v>
      </c>
      <c r="B389" s="19" t="str">
        <f aca="false">'Lot Register'!A83</f>
        <v>RIG-HU-REC</v>
      </c>
      <c r="C389" s="19" t="str">
        <f aca="false">'Lot Register'!B83</f>
        <v>Root-native rig</v>
      </c>
      <c r="D389" s="19" t="str">
        <f aca="false">'Lot Register'!D83</f>
        <v>MS-HU</v>
      </c>
      <c r="E389" s="19" t="str">
        <f aca="false">'Lot Register'!G83</f>
        <v>ST-HU-REC</v>
      </c>
      <c r="F389" s="9" t="s">
        <v>563</v>
      </c>
      <c r="G389" s="9" t="s">
        <v>564</v>
      </c>
      <c r="H389" s="9" t="s">
        <v>565</v>
      </c>
      <c r="I389" s="11" t="s">
        <v>238</v>
      </c>
      <c r="J389" s="47" t="n">
        <f aca="false">Controls!B25</f>
        <v>0</v>
      </c>
      <c r="K389" s="47" t="str">
        <f aca="false">IF(J389=1,"ACCEPTED","OPEN")</f>
        <v>OPEN</v>
      </c>
    </row>
    <row r="390" customFormat="false" ht="15" hidden="false" customHeight="false" outlineLevel="0" collapsed="false">
      <c r="A390" s="19" t="str">
        <f aca="false">"PKT-"&amp;B390&amp;"-SAFETY"</f>
        <v>PKT-RIG-HU-REC-SAFETY</v>
      </c>
      <c r="B390" s="19" t="str">
        <f aca="false">'Lot Register'!A83</f>
        <v>RIG-HU-REC</v>
      </c>
      <c r="C390" s="19" t="str">
        <f aca="false">'Lot Register'!B83</f>
        <v>Root-native rig</v>
      </c>
      <c r="D390" s="19" t="str">
        <f aca="false">'Lot Register'!D83</f>
        <v>MS-HU</v>
      </c>
      <c r="E390" s="19" t="str">
        <f aca="false">'Lot Register'!G83</f>
        <v>ST-HU-REC</v>
      </c>
      <c r="F390" s="9" t="s">
        <v>566</v>
      </c>
      <c r="G390" s="9" t="s">
        <v>567</v>
      </c>
      <c r="H390" s="9" t="s">
        <v>568</v>
      </c>
      <c r="I390" s="11" t="s">
        <v>238</v>
      </c>
      <c r="J390" s="47" t="n">
        <f aca="false">Controls!B25</f>
        <v>0</v>
      </c>
      <c r="K390" s="47" t="str">
        <f aca="false">IF(J390=1,"ACCEPTED","OPEN")</f>
        <v>OPEN</v>
      </c>
    </row>
    <row r="391" customFormat="false" ht="15" hidden="false" customHeight="false" outlineLevel="0" collapsed="false">
      <c r="A391" s="19" t="str">
        <f aca="false">"PKT-"&amp;B391&amp;"-RECONSTRUCTION"</f>
        <v>PKT-RIG-HU-REC-RECONSTRUCTION</v>
      </c>
      <c r="B391" s="19" t="str">
        <f aca="false">'Lot Register'!A83</f>
        <v>RIG-HU-REC</v>
      </c>
      <c r="C391" s="19" t="str">
        <f aca="false">'Lot Register'!B83</f>
        <v>Root-native rig</v>
      </c>
      <c r="D391" s="19" t="str">
        <f aca="false">'Lot Register'!D83</f>
        <v>MS-HU</v>
      </c>
      <c r="E391" s="19" t="str">
        <f aca="false">'Lot Register'!G83</f>
        <v>ST-HU-REC</v>
      </c>
      <c r="F391" s="9" t="s">
        <v>282</v>
      </c>
      <c r="G391" s="9" t="s">
        <v>569</v>
      </c>
      <c r="H391" s="9" t="s">
        <v>570</v>
      </c>
      <c r="I391" s="11" t="s">
        <v>238</v>
      </c>
      <c r="J391" s="47" t="n">
        <f aca="false">Controls!B25</f>
        <v>0</v>
      </c>
      <c r="K391" s="47" t="str">
        <f aca="false">IF(J391=1,"ACCEPTED","OPEN")</f>
        <v>OPEN</v>
      </c>
    </row>
    <row r="392" customFormat="false" ht="15" hidden="false" customHeight="false" outlineLevel="0" collapsed="false">
      <c r="A392" s="19" t="str">
        <f aca="false">"PKT-"&amp;B392&amp;"-CONFIGURATION"</f>
        <v>PKT-MTH-HU-REC-L1-CONFIGURATION</v>
      </c>
      <c r="B392" s="19" t="str">
        <f aca="false">'Lot Register'!A84</f>
        <v>MTH-HU-REC-L1</v>
      </c>
      <c r="C392" s="19" t="str">
        <f aca="false">'Lot Register'!B84</f>
        <v>Method lineage</v>
      </c>
      <c r="D392" s="19" t="str">
        <f aca="false">'Lot Register'!D84</f>
        <v>MS-HU</v>
      </c>
      <c r="E392" s="19" t="str">
        <f aca="false">'Lot Register'!G84</f>
        <v>ST-HU-REC</v>
      </c>
      <c r="F392" s="9" t="s">
        <v>558</v>
      </c>
      <c r="G392" s="9" t="s">
        <v>559</v>
      </c>
      <c r="H392" s="9" t="s">
        <v>560</v>
      </c>
      <c r="I392" s="11" t="s">
        <v>238</v>
      </c>
      <c r="J392" s="47" t="n">
        <f aca="false">Controls!B25</f>
        <v>0</v>
      </c>
      <c r="K392" s="47" t="str">
        <f aca="false">IF(J392=1,"ACCEPTED","OPEN")</f>
        <v>OPEN</v>
      </c>
    </row>
    <row r="393" customFormat="false" ht="15" hidden="false" customHeight="false" outlineLevel="0" collapsed="false">
      <c r="A393" s="19" t="str">
        <f aca="false">"PKT-"&amp;B393&amp;"-CONTROL"</f>
        <v>PKT-MTH-HU-REC-L1-CONTROL</v>
      </c>
      <c r="B393" s="19" t="str">
        <f aca="false">'Lot Register'!A84</f>
        <v>MTH-HU-REC-L1</v>
      </c>
      <c r="C393" s="19" t="str">
        <f aca="false">'Lot Register'!B84</f>
        <v>Method lineage</v>
      </c>
      <c r="D393" s="19" t="str">
        <f aca="false">'Lot Register'!D84</f>
        <v>MS-HU</v>
      </c>
      <c r="E393" s="19" t="str">
        <f aca="false">'Lot Register'!G84</f>
        <v>ST-HU-REC</v>
      </c>
      <c r="F393" s="9" t="s">
        <v>271</v>
      </c>
      <c r="G393" s="9" t="s">
        <v>561</v>
      </c>
      <c r="H393" s="9" t="s">
        <v>562</v>
      </c>
      <c r="I393" s="11" t="s">
        <v>238</v>
      </c>
      <c r="J393" s="47" t="n">
        <f aca="false">Controls!B25</f>
        <v>0</v>
      </c>
      <c r="K393" s="47" t="str">
        <f aca="false">IF(J393=1,"ACCEPTED","OPEN")</f>
        <v>OPEN</v>
      </c>
    </row>
    <row r="394" customFormat="false" ht="15" hidden="false" customHeight="false" outlineLevel="0" collapsed="false">
      <c r="A394" s="19" t="str">
        <f aca="false">"PKT-"&amp;B394&amp;"-METROLOGY"</f>
        <v>PKT-MTH-HU-REC-L1-METROLOGY</v>
      </c>
      <c r="B394" s="19" t="str">
        <f aca="false">'Lot Register'!A84</f>
        <v>MTH-HU-REC-L1</v>
      </c>
      <c r="C394" s="19" t="str">
        <f aca="false">'Lot Register'!B84</f>
        <v>Method lineage</v>
      </c>
      <c r="D394" s="19" t="str">
        <f aca="false">'Lot Register'!D84</f>
        <v>MS-HU</v>
      </c>
      <c r="E394" s="19" t="str">
        <f aca="false">'Lot Register'!G84</f>
        <v>ST-HU-REC</v>
      </c>
      <c r="F394" s="9" t="s">
        <v>563</v>
      </c>
      <c r="G394" s="9" t="s">
        <v>564</v>
      </c>
      <c r="H394" s="9" t="s">
        <v>565</v>
      </c>
      <c r="I394" s="11" t="s">
        <v>238</v>
      </c>
      <c r="J394" s="47" t="n">
        <f aca="false">Controls!B25</f>
        <v>0</v>
      </c>
      <c r="K394" s="47" t="str">
        <f aca="false">IF(J394=1,"ACCEPTED","OPEN")</f>
        <v>OPEN</v>
      </c>
    </row>
    <row r="395" customFormat="false" ht="15" hidden="false" customHeight="false" outlineLevel="0" collapsed="false">
      <c r="A395" s="19" t="str">
        <f aca="false">"PKT-"&amp;B395&amp;"-SAFETY"</f>
        <v>PKT-MTH-HU-REC-L1-SAFETY</v>
      </c>
      <c r="B395" s="19" t="str">
        <f aca="false">'Lot Register'!A84</f>
        <v>MTH-HU-REC-L1</v>
      </c>
      <c r="C395" s="19" t="str">
        <f aca="false">'Lot Register'!B84</f>
        <v>Method lineage</v>
      </c>
      <c r="D395" s="19" t="str">
        <f aca="false">'Lot Register'!D84</f>
        <v>MS-HU</v>
      </c>
      <c r="E395" s="19" t="str">
        <f aca="false">'Lot Register'!G84</f>
        <v>ST-HU-REC</v>
      </c>
      <c r="F395" s="9" t="s">
        <v>566</v>
      </c>
      <c r="G395" s="9" t="s">
        <v>567</v>
      </c>
      <c r="H395" s="9" t="s">
        <v>568</v>
      </c>
      <c r="I395" s="11" t="s">
        <v>238</v>
      </c>
      <c r="J395" s="47" t="n">
        <f aca="false">Controls!B25</f>
        <v>0</v>
      </c>
      <c r="K395" s="47" t="str">
        <f aca="false">IF(J395=1,"ACCEPTED","OPEN")</f>
        <v>OPEN</v>
      </c>
    </row>
    <row r="396" customFormat="false" ht="15" hidden="false" customHeight="false" outlineLevel="0" collapsed="false">
      <c r="A396" s="19" t="str">
        <f aca="false">"PKT-"&amp;B396&amp;"-RECONSTRUCTION"</f>
        <v>PKT-MTH-HU-REC-L1-RECONSTRUCTION</v>
      </c>
      <c r="B396" s="19" t="str">
        <f aca="false">'Lot Register'!A84</f>
        <v>MTH-HU-REC-L1</v>
      </c>
      <c r="C396" s="19" t="str">
        <f aca="false">'Lot Register'!B84</f>
        <v>Method lineage</v>
      </c>
      <c r="D396" s="19" t="str">
        <f aca="false">'Lot Register'!D84</f>
        <v>MS-HU</v>
      </c>
      <c r="E396" s="19" t="str">
        <f aca="false">'Lot Register'!G84</f>
        <v>ST-HU-REC</v>
      </c>
      <c r="F396" s="9" t="s">
        <v>282</v>
      </c>
      <c r="G396" s="9" t="s">
        <v>569</v>
      </c>
      <c r="H396" s="9" t="s">
        <v>570</v>
      </c>
      <c r="I396" s="11" t="s">
        <v>238</v>
      </c>
      <c r="J396" s="47" t="n">
        <f aca="false">Controls!B25</f>
        <v>0</v>
      </c>
      <c r="K396" s="47" t="str">
        <f aca="false">IF(J396=1,"ACCEPTED","OPEN")</f>
        <v>OPEN</v>
      </c>
    </row>
    <row r="397" customFormat="false" ht="15" hidden="false" customHeight="false" outlineLevel="0" collapsed="false">
      <c r="A397" s="19" t="str">
        <f aca="false">"PKT-"&amp;B397&amp;"-CONFIGURATION"</f>
        <v>PKT-MTH-HU-REC-L2-CONFIGURATION</v>
      </c>
      <c r="B397" s="19" t="str">
        <f aca="false">'Lot Register'!A85</f>
        <v>MTH-HU-REC-L2</v>
      </c>
      <c r="C397" s="19" t="str">
        <f aca="false">'Lot Register'!B85</f>
        <v>Method lineage</v>
      </c>
      <c r="D397" s="19" t="str">
        <f aca="false">'Lot Register'!D85</f>
        <v>MS-HU</v>
      </c>
      <c r="E397" s="19" t="str">
        <f aca="false">'Lot Register'!G85</f>
        <v>ST-HU-REC</v>
      </c>
      <c r="F397" s="9" t="s">
        <v>558</v>
      </c>
      <c r="G397" s="9" t="s">
        <v>559</v>
      </c>
      <c r="H397" s="9" t="s">
        <v>560</v>
      </c>
      <c r="I397" s="11" t="s">
        <v>238</v>
      </c>
      <c r="J397" s="47" t="n">
        <f aca="false">Controls!B25</f>
        <v>0</v>
      </c>
      <c r="K397" s="47" t="str">
        <f aca="false">IF(J397=1,"ACCEPTED","OPEN")</f>
        <v>OPEN</v>
      </c>
    </row>
    <row r="398" customFormat="false" ht="15" hidden="false" customHeight="false" outlineLevel="0" collapsed="false">
      <c r="A398" s="19" t="str">
        <f aca="false">"PKT-"&amp;B398&amp;"-CONTROL"</f>
        <v>PKT-MTH-HU-REC-L2-CONTROL</v>
      </c>
      <c r="B398" s="19" t="str">
        <f aca="false">'Lot Register'!A85</f>
        <v>MTH-HU-REC-L2</v>
      </c>
      <c r="C398" s="19" t="str">
        <f aca="false">'Lot Register'!B85</f>
        <v>Method lineage</v>
      </c>
      <c r="D398" s="19" t="str">
        <f aca="false">'Lot Register'!D85</f>
        <v>MS-HU</v>
      </c>
      <c r="E398" s="19" t="str">
        <f aca="false">'Lot Register'!G85</f>
        <v>ST-HU-REC</v>
      </c>
      <c r="F398" s="9" t="s">
        <v>271</v>
      </c>
      <c r="G398" s="9" t="s">
        <v>561</v>
      </c>
      <c r="H398" s="9" t="s">
        <v>562</v>
      </c>
      <c r="I398" s="11" t="s">
        <v>238</v>
      </c>
      <c r="J398" s="47" t="n">
        <f aca="false">Controls!B25</f>
        <v>0</v>
      </c>
      <c r="K398" s="47" t="str">
        <f aca="false">IF(J398=1,"ACCEPTED","OPEN")</f>
        <v>OPEN</v>
      </c>
    </row>
    <row r="399" customFormat="false" ht="15" hidden="false" customHeight="false" outlineLevel="0" collapsed="false">
      <c r="A399" s="19" t="str">
        <f aca="false">"PKT-"&amp;B399&amp;"-METROLOGY"</f>
        <v>PKT-MTH-HU-REC-L2-METROLOGY</v>
      </c>
      <c r="B399" s="19" t="str">
        <f aca="false">'Lot Register'!A85</f>
        <v>MTH-HU-REC-L2</v>
      </c>
      <c r="C399" s="19" t="str">
        <f aca="false">'Lot Register'!B85</f>
        <v>Method lineage</v>
      </c>
      <c r="D399" s="19" t="str">
        <f aca="false">'Lot Register'!D85</f>
        <v>MS-HU</v>
      </c>
      <c r="E399" s="19" t="str">
        <f aca="false">'Lot Register'!G85</f>
        <v>ST-HU-REC</v>
      </c>
      <c r="F399" s="9" t="s">
        <v>563</v>
      </c>
      <c r="G399" s="9" t="s">
        <v>564</v>
      </c>
      <c r="H399" s="9" t="s">
        <v>565</v>
      </c>
      <c r="I399" s="11" t="s">
        <v>238</v>
      </c>
      <c r="J399" s="47" t="n">
        <f aca="false">Controls!B25</f>
        <v>0</v>
      </c>
      <c r="K399" s="47" t="str">
        <f aca="false">IF(J399=1,"ACCEPTED","OPEN")</f>
        <v>OPEN</v>
      </c>
    </row>
    <row r="400" customFormat="false" ht="15" hidden="false" customHeight="false" outlineLevel="0" collapsed="false">
      <c r="A400" s="19" t="str">
        <f aca="false">"PKT-"&amp;B400&amp;"-SAFETY"</f>
        <v>PKT-MTH-HU-REC-L2-SAFETY</v>
      </c>
      <c r="B400" s="19" t="str">
        <f aca="false">'Lot Register'!A85</f>
        <v>MTH-HU-REC-L2</v>
      </c>
      <c r="C400" s="19" t="str">
        <f aca="false">'Lot Register'!B85</f>
        <v>Method lineage</v>
      </c>
      <c r="D400" s="19" t="str">
        <f aca="false">'Lot Register'!D85</f>
        <v>MS-HU</v>
      </c>
      <c r="E400" s="19" t="str">
        <f aca="false">'Lot Register'!G85</f>
        <v>ST-HU-REC</v>
      </c>
      <c r="F400" s="9" t="s">
        <v>566</v>
      </c>
      <c r="G400" s="9" t="s">
        <v>567</v>
      </c>
      <c r="H400" s="9" t="s">
        <v>568</v>
      </c>
      <c r="I400" s="11" t="s">
        <v>238</v>
      </c>
      <c r="J400" s="47" t="n">
        <f aca="false">Controls!B25</f>
        <v>0</v>
      </c>
      <c r="K400" s="47" t="str">
        <f aca="false">IF(J400=1,"ACCEPTED","OPEN")</f>
        <v>OPEN</v>
      </c>
    </row>
    <row r="401" customFormat="false" ht="15" hidden="false" customHeight="false" outlineLevel="0" collapsed="false">
      <c r="A401" s="19" t="str">
        <f aca="false">"PKT-"&amp;B401&amp;"-RECONSTRUCTION"</f>
        <v>PKT-MTH-HU-REC-L2-RECONSTRUCTION</v>
      </c>
      <c r="B401" s="19" t="str">
        <f aca="false">'Lot Register'!A85</f>
        <v>MTH-HU-REC-L2</v>
      </c>
      <c r="C401" s="19" t="str">
        <f aca="false">'Lot Register'!B85</f>
        <v>Method lineage</v>
      </c>
      <c r="D401" s="19" t="str">
        <f aca="false">'Lot Register'!D85</f>
        <v>MS-HU</v>
      </c>
      <c r="E401" s="19" t="str">
        <f aca="false">'Lot Register'!G85</f>
        <v>ST-HU-REC</v>
      </c>
      <c r="F401" s="9" t="s">
        <v>282</v>
      </c>
      <c r="G401" s="9" t="s">
        <v>569</v>
      </c>
      <c r="H401" s="9" t="s">
        <v>570</v>
      </c>
      <c r="I401" s="11" t="s">
        <v>238</v>
      </c>
      <c r="J401" s="47" t="n">
        <f aca="false">Controls!B25</f>
        <v>0</v>
      </c>
      <c r="K401" s="47" t="str">
        <f aca="false">IF(J401=1,"ACCEPTED","OPEN")</f>
        <v>OPEN</v>
      </c>
    </row>
    <row r="402" customFormat="false" ht="15" hidden="false" customHeight="false" outlineLevel="0" collapsed="false">
      <c r="A402" s="19" t="str">
        <f aca="false">"PKT-"&amp;B402&amp;"-CONFIGURATION"</f>
        <v>PKT-REG-HU-REC-CONFIGURATION</v>
      </c>
      <c r="B402" s="19" t="str">
        <f aca="false">'Lot Register'!A86</f>
        <v>REG-HU-REC</v>
      </c>
      <c r="C402" s="19" t="str">
        <f aca="false">'Lot Register'!B86</f>
        <v>Regeneration tool</v>
      </c>
      <c r="D402" s="19" t="str">
        <f aca="false">'Lot Register'!D86</f>
        <v>MS-HU</v>
      </c>
      <c r="E402" s="19" t="str">
        <f aca="false">'Lot Register'!G86</f>
        <v>ST-HU-REC</v>
      </c>
      <c r="F402" s="9" t="s">
        <v>558</v>
      </c>
      <c r="G402" s="9" t="s">
        <v>559</v>
      </c>
      <c r="H402" s="9" t="s">
        <v>560</v>
      </c>
      <c r="I402" s="11" t="s">
        <v>238</v>
      </c>
      <c r="J402" s="47" t="n">
        <f aca="false">Controls!B25</f>
        <v>0</v>
      </c>
      <c r="K402" s="47" t="str">
        <f aca="false">IF(J402=1,"ACCEPTED","OPEN")</f>
        <v>OPEN</v>
      </c>
    </row>
    <row r="403" customFormat="false" ht="15" hidden="false" customHeight="false" outlineLevel="0" collapsed="false">
      <c r="A403" s="19" t="str">
        <f aca="false">"PKT-"&amp;B403&amp;"-CONTROL"</f>
        <v>PKT-REG-HU-REC-CONTROL</v>
      </c>
      <c r="B403" s="19" t="str">
        <f aca="false">'Lot Register'!A86</f>
        <v>REG-HU-REC</v>
      </c>
      <c r="C403" s="19" t="str">
        <f aca="false">'Lot Register'!B86</f>
        <v>Regeneration tool</v>
      </c>
      <c r="D403" s="19" t="str">
        <f aca="false">'Lot Register'!D86</f>
        <v>MS-HU</v>
      </c>
      <c r="E403" s="19" t="str">
        <f aca="false">'Lot Register'!G86</f>
        <v>ST-HU-REC</v>
      </c>
      <c r="F403" s="9" t="s">
        <v>271</v>
      </c>
      <c r="G403" s="9" t="s">
        <v>561</v>
      </c>
      <c r="H403" s="9" t="s">
        <v>562</v>
      </c>
      <c r="I403" s="11" t="s">
        <v>238</v>
      </c>
      <c r="J403" s="47" t="n">
        <f aca="false">Controls!B25</f>
        <v>0</v>
      </c>
      <c r="K403" s="47" t="str">
        <f aca="false">IF(J403=1,"ACCEPTED","OPEN")</f>
        <v>OPEN</v>
      </c>
    </row>
    <row r="404" customFormat="false" ht="15" hidden="false" customHeight="false" outlineLevel="0" collapsed="false">
      <c r="A404" s="19" t="str">
        <f aca="false">"PKT-"&amp;B404&amp;"-METROLOGY"</f>
        <v>PKT-REG-HU-REC-METROLOGY</v>
      </c>
      <c r="B404" s="19" t="str">
        <f aca="false">'Lot Register'!A86</f>
        <v>REG-HU-REC</v>
      </c>
      <c r="C404" s="19" t="str">
        <f aca="false">'Lot Register'!B86</f>
        <v>Regeneration tool</v>
      </c>
      <c r="D404" s="19" t="str">
        <f aca="false">'Lot Register'!D86</f>
        <v>MS-HU</v>
      </c>
      <c r="E404" s="19" t="str">
        <f aca="false">'Lot Register'!G86</f>
        <v>ST-HU-REC</v>
      </c>
      <c r="F404" s="9" t="s">
        <v>563</v>
      </c>
      <c r="G404" s="9" t="s">
        <v>564</v>
      </c>
      <c r="H404" s="9" t="s">
        <v>565</v>
      </c>
      <c r="I404" s="11" t="s">
        <v>238</v>
      </c>
      <c r="J404" s="47" t="n">
        <f aca="false">Controls!B25</f>
        <v>0</v>
      </c>
      <c r="K404" s="47" t="str">
        <f aca="false">IF(J404=1,"ACCEPTED","OPEN")</f>
        <v>OPEN</v>
      </c>
    </row>
    <row r="405" customFormat="false" ht="15" hidden="false" customHeight="false" outlineLevel="0" collapsed="false">
      <c r="A405" s="19" t="str">
        <f aca="false">"PKT-"&amp;B405&amp;"-SAFETY"</f>
        <v>PKT-REG-HU-REC-SAFETY</v>
      </c>
      <c r="B405" s="19" t="str">
        <f aca="false">'Lot Register'!A86</f>
        <v>REG-HU-REC</v>
      </c>
      <c r="C405" s="19" t="str">
        <f aca="false">'Lot Register'!B86</f>
        <v>Regeneration tool</v>
      </c>
      <c r="D405" s="19" t="str">
        <f aca="false">'Lot Register'!D86</f>
        <v>MS-HU</v>
      </c>
      <c r="E405" s="19" t="str">
        <f aca="false">'Lot Register'!G86</f>
        <v>ST-HU-REC</v>
      </c>
      <c r="F405" s="9" t="s">
        <v>566</v>
      </c>
      <c r="G405" s="9" t="s">
        <v>567</v>
      </c>
      <c r="H405" s="9" t="s">
        <v>568</v>
      </c>
      <c r="I405" s="11" t="s">
        <v>238</v>
      </c>
      <c r="J405" s="47" t="n">
        <f aca="false">Controls!B25</f>
        <v>0</v>
      </c>
      <c r="K405" s="47" t="str">
        <f aca="false">IF(J405=1,"ACCEPTED","OPEN")</f>
        <v>OPEN</v>
      </c>
    </row>
    <row r="406" customFormat="false" ht="15" hidden="false" customHeight="false" outlineLevel="0" collapsed="false">
      <c r="A406" s="19" t="str">
        <f aca="false">"PKT-"&amp;B406&amp;"-RECONSTRUCTION"</f>
        <v>PKT-REG-HU-REC-RECONSTRUCTION</v>
      </c>
      <c r="B406" s="19" t="str">
        <f aca="false">'Lot Register'!A86</f>
        <v>REG-HU-REC</v>
      </c>
      <c r="C406" s="19" t="str">
        <f aca="false">'Lot Register'!B86</f>
        <v>Regeneration tool</v>
      </c>
      <c r="D406" s="19" t="str">
        <f aca="false">'Lot Register'!D86</f>
        <v>MS-HU</v>
      </c>
      <c r="E406" s="19" t="str">
        <f aca="false">'Lot Register'!G86</f>
        <v>ST-HU-REC</v>
      </c>
      <c r="F406" s="9" t="s">
        <v>282</v>
      </c>
      <c r="G406" s="9" t="s">
        <v>569</v>
      </c>
      <c r="H406" s="9" t="s">
        <v>570</v>
      </c>
      <c r="I406" s="11" t="s">
        <v>238</v>
      </c>
      <c r="J406" s="47" t="n">
        <f aca="false">Controls!B25</f>
        <v>0</v>
      </c>
      <c r="K406" s="47" t="str">
        <f aca="false">IF(J406=1,"ACCEPTED","OPEN")</f>
        <v>OPEN</v>
      </c>
    </row>
    <row r="407" customFormat="false" ht="15" hidden="false" customHeight="false" outlineLevel="0" collapsed="false">
      <c r="A407" s="19" t="str">
        <f aca="false">"PKT-"&amp;B407&amp;"-CONFIGURATION"</f>
        <v>PKT-INT-HU-REC-CONFIGURATION</v>
      </c>
      <c r="B407" s="19" t="str">
        <f aca="false">'Lot Register'!A87</f>
        <v>INT-HU-REC</v>
      </c>
      <c r="C407" s="19" t="str">
        <f aca="false">'Lot Register'!B87</f>
        <v>Station integration</v>
      </c>
      <c r="D407" s="19" t="str">
        <f aca="false">'Lot Register'!D87</f>
        <v>MS-HU</v>
      </c>
      <c r="E407" s="19" t="str">
        <f aca="false">'Lot Register'!G87</f>
        <v>ST-HU-REC</v>
      </c>
      <c r="F407" s="9" t="s">
        <v>558</v>
      </c>
      <c r="G407" s="9" t="s">
        <v>559</v>
      </c>
      <c r="H407" s="9" t="s">
        <v>560</v>
      </c>
      <c r="I407" s="11" t="s">
        <v>238</v>
      </c>
      <c r="J407" s="47" t="n">
        <f aca="false">Controls!B25</f>
        <v>0</v>
      </c>
      <c r="K407" s="47" t="str">
        <f aca="false">IF(J407=1,"ACCEPTED","OPEN")</f>
        <v>OPEN</v>
      </c>
    </row>
    <row r="408" customFormat="false" ht="15" hidden="false" customHeight="false" outlineLevel="0" collapsed="false">
      <c r="A408" s="19" t="str">
        <f aca="false">"PKT-"&amp;B408&amp;"-CONTROL"</f>
        <v>PKT-INT-HU-REC-CONTROL</v>
      </c>
      <c r="B408" s="19" t="str">
        <f aca="false">'Lot Register'!A87</f>
        <v>INT-HU-REC</v>
      </c>
      <c r="C408" s="19" t="str">
        <f aca="false">'Lot Register'!B87</f>
        <v>Station integration</v>
      </c>
      <c r="D408" s="19" t="str">
        <f aca="false">'Lot Register'!D87</f>
        <v>MS-HU</v>
      </c>
      <c r="E408" s="19" t="str">
        <f aca="false">'Lot Register'!G87</f>
        <v>ST-HU-REC</v>
      </c>
      <c r="F408" s="9" t="s">
        <v>271</v>
      </c>
      <c r="G408" s="9" t="s">
        <v>561</v>
      </c>
      <c r="H408" s="9" t="s">
        <v>562</v>
      </c>
      <c r="I408" s="11" t="s">
        <v>238</v>
      </c>
      <c r="J408" s="47" t="n">
        <f aca="false">Controls!B25</f>
        <v>0</v>
      </c>
      <c r="K408" s="47" t="str">
        <f aca="false">IF(J408=1,"ACCEPTED","OPEN")</f>
        <v>OPEN</v>
      </c>
    </row>
    <row r="409" customFormat="false" ht="15" hidden="false" customHeight="false" outlineLevel="0" collapsed="false">
      <c r="A409" s="19" t="str">
        <f aca="false">"PKT-"&amp;B409&amp;"-METROLOGY"</f>
        <v>PKT-INT-HU-REC-METROLOGY</v>
      </c>
      <c r="B409" s="19" t="str">
        <f aca="false">'Lot Register'!A87</f>
        <v>INT-HU-REC</v>
      </c>
      <c r="C409" s="19" t="str">
        <f aca="false">'Lot Register'!B87</f>
        <v>Station integration</v>
      </c>
      <c r="D409" s="19" t="str">
        <f aca="false">'Lot Register'!D87</f>
        <v>MS-HU</v>
      </c>
      <c r="E409" s="19" t="str">
        <f aca="false">'Lot Register'!G87</f>
        <v>ST-HU-REC</v>
      </c>
      <c r="F409" s="9" t="s">
        <v>563</v>
      </c>
      <c r="G409" s="9" t="s">
        <v>564</v>
      </c>
      <c r="H409" s="9" t="s">
        <v>565</v>
      </c>
      <c r="I409" s="11" t="s">
        <v>238</v>
      </c>
      <c r="J409" s="47" t="n">
        <f aca="false">Controls!B25</f>
        <v>0</v>
      </c>
      <c r="K409" s="47" t="str">
        <f aca="false">IF(J409=1,"ACCEPTED","OPEN")</f>
        <v>OPEN</v>
      </c>
    </row>
    <row r="410" customFormat="false" ht="15" hidden="false" customHeight="false" outlineLevel="0" collapsed="false">
      <c r="A410" s="19" t="str">
        <f aca="false">"PKT-"&amp;B410&amp;"-SAFETY"</f>
        <v>PKT-INT-HU-REC-SAFETY</v>
      </c>
      <c r="B410" s="19" t="str">
        <f aca="false">'Lot Register'!A87</f>
        <v>INT-HU-REC</v>
      </c>
      <c r="C410" s="19" t="str">
        <f aca="false">'Lot Register'!B87</f>
        <v>Station integration</v>
      </c>
      <c r="D410" s="19" t="str">
        <f aca="false">'Lot Register'!D87</f>
        <v>MS-HU</v>
      </c>
      <c r="E410" s="19" t="str">
        <f aca="false">'Lot Register'!G87</f>
        <v>ST-HU-REC</v>
      </c>
      <c r="F410" s="9" t="s">
        <v>566</v>
      </c>
      <c r="G410" s="9" t="s">
        <v>567</v>
      </c>
      <c r="H410" s="9" t="s">
        <v>568</v>
      </c>
      <c r="I410" s="11" t="s">
        <v>238</v>
      </c>
      <c r="J410" s="47" t="n">
        <f aca="false">Controls!B25</f>
        <v>0</v>
      </c>
      <c r="K410" s="47" t="str">
        <f aca="false">IF(J410=1,"ACCEPTED","OPEN")</f>
        <v>OPEN</v>
      </c>
    </row>
    <row r="411" customFormat="false" ht="15" hidden="false" customHeight="false" outlineLevel="0" collapsed="false">
      <c r="A411" s="19" t="str">
        <f aca="false">"PKT-"&amp;B411&amp;"-RECONSTRUCTION"</f>
        <v>PKT-INT-HU-REC-RECONSTRUCTION</v>
      </c>
      <c r="B411" s="19" t="str">
        <f aca="false">'Lot Register'!A87</f>
        <v>INT-HU-REC</v>
      </c>
      <c r="C411" s="19" t="str">
        <f aca="false">'Lot Register'!B87</f>
        <v>Station integration</v>
      </c>
      <c r="D411" s="19" t="str">
        <f aca="false">'Lot Register'!D87</f>
        <v>MS-HU</v>
      </c>
      <c r="E411" s="19" t="str">
        <f aca="false">'Lot Register'!G87</f>
        <v>ST-HU-REC</v>
      </c>
      <c r="F411" s="9" t="s">
        <v>282</v>
      </c>
      <c r="G411" s="9" t="s">
        <v>569</v>
      </c>
      <c r="H411" s="9" t="s">
        <v>570</v>
      </c>
      <c r="I411" s="11" t="s">
        <v>238</v>
      </c>
      <c r="J411" s="47" t="n">
        <f aca="false">Controls!B25</f>
        <v>0</v>
      </c>
      <c r="K411" s="47" t="str">
        <f aca="false">IF(J411=1,"ACCEPTED","OPEN")</f>
        <v>OPEN</v>
      </c>
    </row>
    <row r="412" customFormat="false" ht="15" hidden="false" customHeight="false" outlineLevel="0" collapsed="false">
      <c r="A412" s="19" t="str">
        <f aca="false">"PKT-"&amp;B412&amp;"-CONFIGURATION"</f>
        <v>PKT-RIG-RT-CHA-CONFIGURATION</v>
      </c>
      <c r="B412" s="19" t="str">
        <f aca="false">'Lot Register'!A88</f>
        <v>RIG-RT-CHA</v>
      </c>
      <c r="C412" s="19" t="str">
        <f aca="false">'Lot Register'!B88</f>
        <v>Root-native rig</v>
      </c>
      <c r="D412" s="19" t="str">
        <f aca="false">'Lot Register'!D88</f>
        <v>MS-RT</v>
      </c>
      <c r="E412" s="19" t="str">
        <f aca="false">'Lot Register'!G88</f>
        <v>ST-RT-CHA</v>
      </c>
      <c r="F412" s="9" t="s">
        <v>558</v>
      </c>
      <c r="G412" s="9" t="s">
        <v>559</v>
      </c>
      <c r="H412" s="9" t="s">
        <v>560</v>
      </c>
      <c r="I412" s="11" t="s">
        <v>238</v>
      </c>
      <c r="J412" s="47" t="n">
        <f aca="false">Controls!B25</f>
        <v>0</v>
      </c>
      <c r="K412" s="47" t="str">
        <f aca="false">IF(J412=1,"ACCEPTED","OPEN")</f>
        <v>OPEN</v>
      </c>
    </row>
    <row r="413" customFormat="false" ht="15" hidden="false" customHeight="false" outlineLevel="0" collapsed="false">
      <c r="A413" s="19" t="str">
        <f aca="false">"PKT-"&amp;B413&amp;"-CONTROL"</f>
        <v>PKT-RIG-RT-CHA-CONTROL</v>
      </c>
      <c r="B413" s="19" t="str">
        <f aca="false">'Lot Register'!A88</f>
        <v>RIG-RT-CHA</v>
      </c>
      <c r="C413" s="19" t="str">
        <f aca="false">'Lot Register'!B88</f>
        <v>Root-native rig</v>
      </c>
      <c r="D413" s="19" t="str">
        <f aca="false">'Lot Register'!D88</f>
        <v>MS-RT</v>
      </c>
      <c r="E413" s="19" t="str">
        <f aca="false">'Lot Register'!G88</f>
        <v>ST-RT-CHA</v>
      </c>
      <c r="F413" s="9" t="s">
        <v>271</v>
      </c>
      <c r="G413" s="9" t="s">
        <v>561</v>
      </c>
      <c r="H413" s="9" t="s">
        <v>562</v>
      </c>
      <c r="I413" s="11" t="s">
        <v>238</v>
      </c>
      <c r="J413" s="47" t="n">
        <f aca="false">Controls!B25</f>
        <v>0</v>
      </c>
      <c r="K413" s="47" t="str">
        <f aca="false">IF(J413=1,"ACCEPTED","OPEN")</f>
        <v>OPEN</v>
      </c>
    </row>
    <row r="414" customFormat="false" ht="15" hidden="false" customHeight="false" outlineLevel="0" collapsed="false">
      <c r="A414" s="19" t="str">
        <f aca="false">"PKT-"&amp;B414&amp;"-METROLOGY"</f>
        <v>PKT-RIG-RT-CHA-METROLOGY</v>
      </c>
      <c r="B414" s="19" t="str">
        <f aca="false">'Lot Register'!A88</f>
        <v>RIG-RT-CHA</v>
      </c>
      <c r="C414" s="19" t="str">
        <f aca="false">'Lot Register'!B88</f>
        <v>Root-native rig</v>
      </c>
      <c r="D414" s="19" t="str">
        <f aca="false">'Lot Register'!D88</f>
        <v>MS-RT</v>
      </c>
      <c r="E414" s="19" t="str">
        <f aca="false">'Lot Register'!G88</f>
        <v>ST-RT-CHA</v>
      </c>
      <c r="F414" s="9" t="s">
        <v>563</v>
      </c>
      <c r="G414" s="9" t="s">
        <v>564</v>
      </c>
      <c r="H414" s="9" t="s">
        <v>565</v>
      </c>
      <c r="I414" s="11" t="s">
        <v>238</v>
      </c>
      <c r="J414" s="47" t="n">
        <f aca="false">Controls!B25</f>
        <v>0</v>
      </c>
      <c r="K414" s="47" t="str">
        <f aca="false">IF(J414=1,"ACCEPTED","OPEN")</f>
        <v>OPEN</v>
      </c>
    </row>
    <row r="415" customFormat="false" ht="15" hidden="false" customHeight="false" outlineLevel="0" collapsed="false">
      <c r="A415" s="19" t="str">
        <f aca="false">"PKT-"&amp;B415&amp;"-SAFETY"</f>
        <v>PKT-RIG-RT-CHA-SAFETY</v>
      </c>
      <c r="B415" s="19" t="str">
        <f aca="false">'Lot Register'!A88</f>
        <v>RIG-RT-CHA</v>
      </c>
      <c r="C415" s="19" t="str">
        <f aca="false">'Lot Register'!B88</f>
        <v>Root-native rig</v>
      </c>
      <c r="D415" s="19" t="str">
        <f aca="false">'Lot Register'!D88</f>
        <v>MS-RT</v>
      </c>
      <c r="E415" s="19" t="str">
        <f aca="false">'Lot Register'!G88</f>
        <v>ST-RT-CHA</v>
      </c>
      <c r="F415" s="9" t="s">
        <v>566</v>
      </c>
      <c r="G415" s="9" t="s">
        <v>567</v>
      </c>
      <c r="H415" s="9" t="s">
        <v>568</v>
      </c>
      <c r="I415" s="11" t="s">
        <v>238</v>
      </c>
      <c r="J415" s="47" t="n">
        <f aca="false">Controls!B25</f>
        <v>0</v>
      </c>
      <c r="K415" s="47" t="str">
        <f aca="false">IF(J415=1,"ACCEPTED","OPEN")</f>
        <v>OPEN</v>
      </c>
    </row>
    <row r="416" customFormat="false" ht="15" hidden="false" customHeight="false" outlineLevel="0" collapsed="false">
      <c r="A416" s="19" t="str">
        <f aca="false">"PKT-"&amp;B416&amp;"-RECONSTRUCTION"</f>
        <v>PKT-RIG-RT-CHA-RECONSTRUCTION</v>
      </c>
      <c r="B416" s="19" t="str">
        <f aca="false">'Lot Register'!A88</f>
        <v>RIG-RT-CHA</v>
      </c>
      <c r="C416" s="19" t="str">
        <f aca="false">'Lot Register'!B88</f>
        <v>Root-native rig</v>
      </c>
      <c r="D416" s="19" t="str">
        <f aca="false">'Lot Register'!D88</f>
        <v>MS-RT</v>
      </c>
      <c r="E416" s="19" t="str">
        <f aca="false">'Lot Register'!G88</f>
        <v>ST-RT-CHA</v>
      </c>
      <c r="F416" s="9" t="s">
        <v>282</v>
      </c>
      <c r="G416" s="9" t="s">
        <v>569</v>
      </c>
      <c r="H416" s="9" t="s">
        <v>570</v>
      </c>
      <c r="I416" s="11" t="s">
        <v>238</v>
      </c>
      <c r="J416" s="47" t="n">
        <f aca="false">Controls!B25</f>
        <v>0</v>
      </c>
      <c r="K416" s="47" t="str">
        <f aca="false">IF(J416=1,"ACCEPTED","OPEN")</f>
        <v>OPEN</v>
      </c>
    </row>
    <row r="417" customFormat="false" ht="15" hidden="false" customHeight="false" outlineLevel="0" collapsed="false">
      <c r="A417" s="19" t="str">
        <f aca="false">"PKT-"&amp;B417&amp;"-CONFIGURATION"</f>
        <v>PKT-MTH-RT-CHA-L1-CONFIGURATION</v>
      </c>
      <c r="B417" s="19" t="str">
        <f aca="false">'Lot Register'!A89</f>
        <v>MTH-RT-CHA-L1</v>
      </c>
      <c r="C417" s="19" t="str">
        <f aca="false">'Lot Register'!B89</f>
        <v>Method lineage</v>
      </c>
      <c r="D417" s="19" t="str">
        <f aca="false">'Lot Register'!D89</f>
        <v>MS-RT</v>
      </c>
      <c r="E417" s="19" t="str">
        <f aca="false">'Lot Register'!G89</f>
        <v>ST-RT-CHA</v>
      </c>
      <c r="F417" s="9" t="s">
        <v>558</v>
      </c>
      <c r="G417" s="9" t="s">
        <v>559</v>
      </c>
      <c r="H417" s="9" t="s">
        <v>560</v>
      </c>
      <c r="I417" s="11" t="s">
        <v>238</v>
      </c>
      <c r="J417" s="47" t="n">
        <f aca="false">Controls!B25</f>
        <v>0</v>
      </c>
      <c r="K417" s="47" t="str">
        <f aca="false">IF(J417=1,"ACCEPTED","OPEN")</f>
        <v>OPEN</v>
      </c>
    </row>
    <row r="418" customFormat="false" ht="15" hidden="false" customHeight="false" outlineLevel="0" collapsed="false">
      <c r="A418" s="19" t="str">
        <f aca="false">"PKT-"&amp;B418&amp;"-CONTROL"</f>
        <v>PKT-MTH-RT-CHA-L1-CONTROL</v>
      </c>
      <c r="B418" s="19" t="str">
        <f aca="false">'Lot Register'!A89</f>
        <v>MTH-RT-CHA-L1</v>
      </c>
      <c r="C418" s="19" t="str">
        <f aca="false">'Lot Register'!B89</f>
        <v>Method lineage</v>
      </c>
      <c r="D418" s="19" t="str">
        <f aca="false">'Lot Register'!D89</f>
        <v>MS-RT</v>
      </c>
      <c r="E418" s="19" t="str">
        <f aca="false">'Lot Register'!G89</f>
        <v>ST-RT-CHA</v>
      </c>
      <c r="F418" s="9" t="s">
        <v>271</v>
      </c>
      <c r="G418" s="9" t="s">
        <v>561</v>
      </c>
      <c r="H418" s="9" t="s">
        <v>562</v>
      </c>
      <c r="I418" s="11" t="s">
        <v>238</v>
      </c>
      <c r="J418" s="47" t="n">
        <f aca="false">Controls!B25</f>
        <v>0</v>
      </c>
      <c r="K418" s="47" t="str">
        <f aca="false">IF(J418=1,"ACCEPTED","OPEN")</f>
        <v>OPEN</v>
      </c>
    </row>
    <row r="419" customFormat="false" ht="15" hidden="false" customHeight="false" outlineLevel="0" collapsed="false">
      <c r="A419" s="19" t="str">
        <f aca="false">"PKT-"&amp;B419&amp;"-METROLOGY"</f>
        <v>PKT-MTH-RT-CHA-L1-METROLOGY</v>
      </c>
      <c r="B419" s="19" t="str">
        <f aca="false">'Lot Register'!A89</f>
        <v>MTH-RT-CHA-L1</v>
      </c>
      <c r="C419" s="19" t="str">
        <f aca="false">'Lot Register'!B89</f>
        <v>Method lineage</v>
      </c>
      <c r="D419" s="19" t="str">
        <f aca="false">'Lot Register'!D89</f>
        <v>MS-RT</v>
      </c>
      <c r="E419" s="19" t="str">
        <f aca="false">'Lot Register'!G89</f>
        <v>ST-RT-CHA</v>
      </c>
      <c r="F419" s="9" t="s">
        <v>563</v>
      </c>
      <c r="G419" s="9" t="s">
        <v>564</v>
      </c>
      <c r="H419" s="9" t="s">
        <v>565</v>
      </c>
      <c r="I419" s="11" t="s">
        <v>238</v>
      </c>
      <c r="J419" s="47" t="n">
        <f aca="false">Controls!B25</f>
        <v>0</v>
      </c>
      <c r="K419" s="47" t="str">
        <f aca="false">IF(J419=1,"ACCEPTED","OPEN")</f>
        <v>OPEN</v>
      </c>
    </row>
    <row r="420" customFormat="false" ht="15" hidden="false" customHeight="false" outlineLevel="0" collapsed="false">
      <c r="A420" s="19" t="str">
        <f aca="false">"PKT-"&amp;B420&amp;"-SAFETY"</f>
        <v>PKT-MTH-RT-CHA-L1-SAFETY</v>
      </c>
      <c r="B420" s="19" t="str">
        <f aca="false">'Lot Register'!A89</f>
        <v>MTH-RT-CHA-L1</v>
      </c>
      <c r="C420" s="19" t="str">
        <f aca="false">'Lot Register'!B89</f>
        <v>Method lineage</v>
      </c>
      <c r="D420" s="19" t="str">
        <f aca="false">'Lot Register'!D89</f>
        <v>MS-RT</v>
      </c>
      <c r="E420" s="19" t="str">
        <f aca="false">'Lot Register'!G89</f>
        <v>ST-RT-CHA</v>
      </c>
      <c r="F420" s="9" t="s">
        <v>566</v>
      </c>
      <c r="G420" s="9" t="s">
        <v>567</v>
      </c>
      <c r="H420" s="9" t="s">
        <v>568</v>
      </c>
      <c r="I420" s="11" t="s">
        <v>238</v>
      </c>
      <c r="J420" s="47" t="n">
        <f aca="false">Controls!B25</f>
        <v>0</v>
      </c>
      <c r="K420" s="47" t="str">
        <f aca="false">IF(J420=1,"ACCEPTED","OPEN")</f>
        <v>OPEN</v>
      </c>
    </row>
    <row r="421" customFormat="false" ht="15" hidden="false" customHeight="false" outlineLevel="0" collapsed="false">
      <c r="A421" s="19" t="str">
        <f aca="false">"PKT-"&amp;B421&amp;"-RECONSTRUCTION"</f>
        <v>PKT-MTH-RT-CHA-L1-RECONSTRUCTION</v>
      </c>
      <c r="B421" s="19" t="str">
        <f aca="false">'Lot Register'!A89</f>
        <v>MTH-RT-CHA-L1</v>
      </c>
      <c r="C421" s="19" t="str">
        <f aca="false">'Lot Register'!B89</f>
        <v>Method lineage</v>
      </c>
      <c r="D421" s="19" t="str">
        <f aca="false">'Lot Register'!D89</f>
        <v>MS-RT</v>
      </c>
      <c r="E421" s="19" t="str">
        <f aca="false">'Lot Register'!G89</f>
        <v>ST-RT-CHA</v>
      </c>
      <c r="F421" s="9" t="s">
        <v>282</v>
      </c>
      <c r="G421" s="9" t="s">
        <v>569</v>
      </c>
      <c r="H421" s="9" t="s">
        <v>570</v>
      </c>
      <c r="I421" s="11" t="s">
        <v>238</v>
      </c>
      <c r="J421" s="47" t="n">
        <f aca="false">Controls!B25</f>
        <v>0</v>
      </c>
      <c r="K421" s="47" t="str">
        <f aca="false">IF(J421=1,"ACCEPTED","OPEN")</f>
        <v>OPEN</v>
      </c>
    </row>
    <row r="422" customFormat="false" ht="15" hidden="false" customHeight="false" outlineLevel="0" collapsed="false">
      <c r="A422" s="19" t="str">
        <f aca="false">"PKT-"&amp;B422&amp;"-CONFIGURATION"</f>
        <v>PKT-MTH-RT-CHA-L2-CONFIGURATION</v>
      </c>
      <c r="B422" s="19" t="str">
        <f aca="false">'Lot Register'!A90</f>
        <v>MTH-RT-CHA-L2</v>
      </c>
      <c r="C422" s="19" t="str">
        <f aca="false">'Lot Register'!B90</f>
        <v>Method lineage</v>
      </c>
      <c r="D422" s="19" t="str">
        <f aca="false">'Lot Register'!D90</f>
        <v>MS-RT</v>
      </c>
      <c r="E422" s="19" t="str">
        <f aca="false">'Lot Register'!G90</f>
        <v>ST-RT-CHA</v>
      </c>
      <c r="F422" s="9" t="s">
        <v>558</v>
      </c>
      <c r="G422" s="9" t="s">
        <v>559</v>
      </c>
      <c r="H422" s="9" t="s">
        <v>560</v>
      </c>
      <c r="I422" s="11" t="s">
        <v>238</v>
      </c>
      <c r="J422" s="47" t="n">
        <f aca="false">Controls!B25</f>
        <v>0</v>
      </c>
      <c r="K422" s="47" t="str">
        <f aca="false">IF(J422=1,"ACCEPTED","OPEN")</f>
        <v>OPEN</v>
      </c>
    </row>
    <row r="423" customFormat="false" ht="15" hidden="false" customHeight="false" outlineLevel="0" collapsed="false">
      <c r="A423" s="19" t="str">
        <f aca="false">"PKT-"&amp;B423&amp;"-CONTROL"</f>
        <v>PKT-MTH-RT-CHA-L2-CONTROL</v>
      </c>
      <c r="B423" s="19" t="str">
        <f aca="false">'Lot Register'!A90</f>
        <v>MTH-RT-CHA-L2</v>
      </c>
      <c r="C423" s="19" t="str">
        <f aca="false">'Lot Register'!B90</f>
        <v>Method lineage</v>
      </c>
      <c r="D423" s="19" t="str">
        <f aca="false">'Lot Register'!D90</f>
        <v>MS-RT</v>
      </c>
      <c r="E423" s="19" t="str">
        <f aca="false">'Lot Register'!G90</f>
        <v>ST-RT-CHA</v>
      </c>
      <c r="F423" s="9" t="s">
        <v>271</v>
      </c>
      <c r="G423" s="9" t="s">
        <v>561</v>
      </c>
      <c r="H423" s="9" t="s">
        <v>562</v>
      </c>
      <c r="I423" s="11" t="s">
        <v>238</v>
      </c>
      <c r="J423" s="47" t="n">
        <f aca="false">Controls!B25</f>
        <v>0</v>
      </c>
      <c r="K423" s="47" t="str">
        <f aca="false">IF(J423=1,"ACCEPTED","OPEN")</f>
        <v>OPEN</v>
      </c>
    </row>
    <row r="424" customFormat="false" ht="15" hidden="false" customHeight="false" outlineLevel="0" collapsed="false">
      <c r="A424" s="19" t="str">
        <f aca="false">"PKT-"&amp;B424&amp;"-METROLOGY"</f>
        <v>PKT-MTH-RT-CHA-L2-METROLOGY</v>
      </c>
      <c r="B424" s="19" t="str">
        <f aca="false">'Lot Register'!A90</f>
        <v>MTH-RT-CHA-L2</v>
      </c>
      <c r="C424" s="19" t="str">
        <f aca="false">'Lot Register'!B90</f>
        <v>Method lineage</v>
      </c>
      <c r="D424" s="19" t="str">
        <f aca="false">'Lot Register'!D90</f>
        <v>MS-RT</v>
      </c>
      <c r="E424" s="19" t="str">
        <f aca="false">'Lot Register'!G90</f>
        <v>ST-RT-CHA</v>
      </c>
      <c r="F424" s="9" t="s">
        <v>563</v>
      </c>
      <c r="G424" s="9" t="s">
        <v>564</v>
      </c>
      <c r="H424" s="9" t="s">
        <v>565</v>
      </c>
      <c r="I424" s="11" t="s">
        <v>238</v>
      </c>
      <c r="J424" s="47" t="n">
        <f aca="false">Controls!B25</f>
        <v>0</v>
      </c>
      <c r="K424" s="47" t="str">
        <f aca="false">IF(J424=1,"ACCEPTED","OPEN")</f>
        <v>OPEN</v>
      </c>
    </row>
    <row r="425" customFormat="false" ht="15" hidden="false" customHeight="false" outlineLevel="0" collapsed="false">
      <c r="A425" s="19" t="str">
        <f aca="false">"PKT-"&amp;B425&amp;"-SAFETY"</f>
        <v>PKT-MTH-RT-CHA-L2-SAFETY</v>
      </c>
      <c r="B425" s="19" t="str">
        <f aca="false">'Lot Register'!A90</f>
        <v>MTH-RT-CHA-L2</v>
      </c>
      <c r="C425" s="19" t="str">
        <f aca="false">'Lot Register'!B90</f>
        <v>Method lineage</v>
      </c>
      <c r="D425" s="19" t="str">
        <f aca="false">'Lot Register'!D90</f>
        <v>MS-RT</v>
      </c>
      <c r="E425" s="19" t="str">
        <f aca="false">'Lot Register'!G90</f>
        <v>ST-RT-CHA</v>
      </c>
      <c r="F425" s="9" t="s">
        <v>566</v>
      </c>
      <c r="G425" s="9" t="s">
        <v>567</v>
      </c>
      <c r="H425" s="9" t="s">
        <v>568</v>
      </c>
      <c r="I425" s="11" t="s">
        <v>238</v>
      </c>
      <c r="J425" s="47" t="n">
        <f aca="false">Controls!B25</f>
        <v>0</v>
      </c>
      <c r="K425" s="47" t="str">
        <f aca="false">IF(J425=1,"ACCEPTED","OPEN")</f>
        <v>OPEN</v>
      </c>
    </row>
    <row r="426" customFormat="false" ht="15" hidden="false" customHeight="false" outlineLevel="0" collapsed="false">
      <c r="A426" s="19" t="str">
        <f aca="false">"PKT-"&amp;B426&amp;"-RECONSTRUCTION"</f>
        <v>PKT-MTH-RT-CHA-L2-RECONSTRUCTION</v>
      </c>
      <c r="B426" s="19" t="str">
        <f aca="false">'Lot Register'!A90</f>
        <v>MTH-RT-CHA-L2</v>
      </c>
      <c r="C426" s="19" t="str">
        <f aca="false">'Lot Register'!B90</f>
        <v>Method lineage</v>
      </c>
      <c r="D426" s="19" t="str">
        <f aca="false">'Lot Register'!D90</f>
        <v>MS-RT</v>
      </c>
      <c r="E426" s="19" t="str">
        <f aca="false">'Lot Register'!G90</f>
        <v>ST-RT-CHA</v>
      </c>
      <c r="F426" s="9" t="s">
        <v>282</v>
      </c>
      <c r="G426" s="9" t="s">
        <v>569</v>
      </c>
      <c r="H426" s="9" t="s">
        <v>570</v>
      </c>
      <c r="I426" s="11" t="s">
        <v>238</v>
      </c>
      <c r="J426" s="47" t="n">
        <f aca="false">Controls!B25</f>
        <v>0</v>
      </c>
      <c r="K426" s="47" t="str">
        <f aca="false">IF(J426=1,"ACCEPTED","OPEN")</f>
        <v>OPEN</v>
      </c>
    </row>
    <row r="427" customFormat="false" ht="15" hidden="false" customHeight="false" outlineLevel="0" collapsed="false">
      <c r="A427" s="19" t="str">
        <f aca="false">"PKT-"&amp;B427&amp;"-CONFIGURATION"</f>
        <v>PKT-REG-RT-CHA-CONFIGURATION</v>
      </c>
      <c r="B427" s="19" t="str">
        <f aca="false">'Lot Register'!A91</f>
        <v>REG-RT-CHA</v>
      </c>
      <c r="C427" s="19" t="str">
        <f aca="false">'Lot Register'!B91</f>
        <v>Regeneration tool</v>
      </c>
      <c r="D427" s="19" t="str">
        <f aca="false">'Lot Register'!D91</f>
        <v>MS-RT</v>
      </c>
      <c r="E427" s="19" t="str">
        <f aca="false">'Lot Register'!G91</f>
        <v>ST-RT-CHA</v>
      </c>
      <c r="F427" s="9" t="s">
        <v>558</v>
      </c>
      <c r="G427" s="9" t="s">
        <v>559</v>
      </c>
      <c r="H427" s="9" t="s">
        <v>560</v>
      </c>
      <c r="I427" s="11" t="s">
        <v>238</v>
      </c>
      <c r="J427" s="47" t="n">
        <f aca="false">Controls!B25</f>
        <v>0</v>
      </c>
      <c r="K427" s="47" t="str">
        <f aca="false">IF(J427=1,"ACCEPTED","OPEN")</f>
        <v>OPEN</v>
      </c>
    </row>
    <row r="428" customFormat="false" ht="15" hidden="false" customHeight="false" outlineLevel="0" collapsed="false">
      <c r="A428" s="19" t="str">
        <f aca="false">"PKT-"&amp;B428&amp;"-CONTROL"</f>
        <v>PKT-REG-RT-CHA-CONTROL</v>
      </c>
      <c r="B428" s="19" t="str">
        <f aca="false">'Lot Register'!A91</f>
        <v>REG-RT-CHA</v>
      </c>
      <c r="C428" s="19" t="str">
        <f aca="false">'Lot Register'!B91</f>
        <v>Regeneration tool</v>
      </c>
      <c r="D428" s="19" t="str">
        <f aca="false">'Lot Register'!D91</f>
        <v>MS-RT</v>
      </c>
      <c r="E428" s="19" t="str">
        <f aca="false">'Lot Register'!G91</f>
        <v>ST-RT-CHA</v>
      </c>
      <c r="F428" s="9" t="s">
        <v>271</v>
      </c>
      <c r="G428" s="9" t="s">
        <v>561</v>
      </c>
      <c r="H428" s="9" t="s">
        <v>562</v>
      </c>
      <c r="I428" s="11" t="s">
        <v>238</v>
      </c>
      <c r="J428" s="47" t="n">
        <f aca="false">Controls!B25</f>
        <v>0</v>
      </c>
      <c r="K428" s="47" t="str">
        <f aca="false">IF(J428=1,"ACCEPTED","OPEN")</f>
        <v>OPEN</v>
      </c>
    </row>
    <row r="429" customFormat="false" ht="15" hidden="false" customHeight="false" outlineLevel="0" collapsed="false">
      <c r="A429" s="19" t="str">
        <f aca="false">"PKT-"&amp;B429&amp;"-METROLOGY"</f>
        <v>PKT-REG-RT-CHA-METROLOGY</v>
      </c>
      <c r="B429" s="19" t="str">
        <f aca="false">'Lot Register'!A91</f>
        <v>REG-RT-CHA</v>
      </c>
      <c r="C429" s="19" t="str">
        <f aca="false">'Lot Register'!B91</f>
        <v>Regeneration tool</v>
      </c>
      <c r="D429" s="19" t="str">
        <f aca="false">'Lot Register'!D91</f>
        <v>MS-RT</v>
      </c>
      <c r="E429" s="19" t="str">
        <f aca="false">'Lot Register'!G91</f>
        <v>ST-RT-CHA</v>
      </c>
      <c r="F429" s="9" t="s">
        <v>563</v>
      </c>
      <c r="G429" s="9" t="s">
        <v>564</v>
      </c>
      <c r="H429" s="9" t="s">
        <v>565</v>
      </c>
      <c r="I429" s="11" t="s">
        <v>238</v>
      </c>
      <c r="J429" s="47" t="n">
        <f aca="false">Controls!B25</f>
        <v>0</v>
      </c>
      <c r="K429" s="47" t="str">
        <f aca="false">IF(J429=1,"ACCEPTED","OPEN")</f>
        <v>OPEN</v>
      </c>
    </row>
    <row r="430" customFormat="false" ht="15" hidden="false" customHeight="false" outlineLevel="0" collapsed="false">
      <c r="A430" s="19" t="str">
        <f aca="false">"PKT-"&amp;B430&amp;"-SAFETY"</f>
        <v>PKT-REG-RT-CHA-SAFETY</v>
      </c>
      <c r="B430" s="19" t="str">
        <f aca="false">'Lot Register'!A91</f>
        <v>REG-RT-CHA</v>
      </c>
      <c r="C430" s="19" t="str">
        <f aca="false">'Lot Register'!B91</f>
        <v>Regeneration tool</v>
      </c>
      <c r="D430" s="19" t="str">
        <f aca="false">'Lot Register'!D91</f>
        <v>MS-RT</v>
      </c>
      <c r="E430" s="19" t="str">
        <f aca="false">'Lot Register'!G91</f>
        <v>ST-RT-CHA</v>
      </c>
      <c r="F430" s="9" t="s">
        <v>566</v>
      </c>
      <c r="G430" s="9" t="s">
        <v>567</v>
      </c>
      <c r="H430" s="9" t="s">
        <v>568</v>
      </c>
      <c r="I430" s="11" t="s">
        <v>238</v>
      </c>
      <c r="J430" s="47" t="n">
        <f aca="false">Controls!B25</f>
        <v>0</v>
      </c>
      <c r="K430" s="47" t="str">
        <f aca="false">IF(J430=1,"ACCEPTED","OPEN")</f>
        <v>OPEN</v>
      </c>
    </row>
    <row r="431" customFormat="false" ht="15" hidden="false" customHeight="false" outlineLevel="0" collapsed="false">
      <c r="A431" s="19" t="str">
        <f aca="false">"PKT-"&amp;B431&amp;"-RECONSTRUCTION"</f>
        <v>PKT-REG-RT-CHA-RECONSTRUCTION</v>
      </c>
      <c r="B431" s="19" t="str">
        <f aca="false">'Lot Register'!A91</f>
        <v>REG-RT-CHA</v>
      </c>
      <c r="C431" s="19" t="str">
        <f aca="false">'Lot Register'!B91</f>
        <v>Regeneration tool</v>
      </c>
      <c r="D431" s="19" t="str">
        <f aca="false">'Lot Register'!D91</f>
        <v>MS-RT</v>
      </c>
      <c r="E431" s="19" t="str">
        <f aca="false">'Lot Register'!G91</f>
        <v>ST-RT-CHA</v>
      </c>
      <c r="F431" s="9" t="s">
        <v>282</v>
      </c>
      <c r="G431" s="9" t="s">
        <v>569</v>
      </c>
      <c r="H431" s="9" t="s">
        <v>570</v>
      </c>
      <c r="I431" s="11" t="s">
        <v>238</v>
      </c>
      <c r="J431" s="47" t="n">
        <f aca="false">Controls!B25</f>
        <v>0</v>
      </c>
      <c r="K431" s="47" t="str">
        <f aca="false">IF(J431=1,"ACCEPTED","OPEN")</f>
        <v>OPEN</v>
      </c>
    </row>
    <row r="432" customFormat="false" ht="15" hidden="false" customHeight="false" outlineLevel="0" collapsed="false">
      <c r="A432" s="19" t="str">
        <f aca="false">"PKT-"&amp;B432&amp;"-CONFIGURATION"</f>
        <v>PKT-INT-RT-CHA-CONFIGURATION</v>
      </c>
      <c r="B432" s="19" t="str">
        <f aca="false">'Lot Register'!A92</f>
        <v>INT-RT-CHA</v>
      </c>
      <c r="C432" s="19" t="str">
        <f aca="false">'Lot Register'!B92</f>
        <v>Station integration</v>
      </c>
      <c r="D432" s="19" t="str">
        <f aca="false">'Lot Register'!D92</f>
        <v>MS-RT</v>
      </c>
      <c r="E432" s="19" t="str">
        <f aca="false">'Lot Register'!G92</f>
        <v>ST-RT-CHA</v>
      </c>
      <c r="F432" s="9" t="s">
        <v>558</v>
      </c>
      <c r="G432" s="9" t="s">
        <v>559</v>
      </c>
      <c r="H432" s="9" t="s">
        <v>560</v>
      </c>
      <c r="I432" s="11" t="s">
        <v>238</v>
      </c>
      <c r="J432" s="47" t="n">
        <f aca="false">Controls!B25</f>
        <v>0</v>
      </c>
      <c r="K432" s="47" t="str">
        <f aca="false">IF(J432=1,"ACCEPTED","OPEN")</f>
        <v>OPEN</v>
      </c>
    </row>
    <row r="433" customFormat="false" ht="15" hidden="false" customHeight="false" outlineLevel="0" collapsed="false">
      <c r="A433" s="19" t="str">
        <f aca="false">"PKT-"&amp;B433&amp;"-CONTROL"</f>
        <v>PKT-INT-RT-CHA-CONTROL</v>
      </c>
      <c r="B433" s="19" t="str">
        <f aca="false">'Lot Register'!A92</f>
        <v>INT-RT-CHA</v>
      </c>
      <c r="C433" s="19" t="str">
        <f aca="false">'Lot Register'!B92</f>
        <v>Station integration</v>
      </c>
      <c r="D433" s="19" t="str">
        <f aca="false">'Lot Register'!D92</f>
        <v>MS-RT</v>
      </c>
      <c r="E433" s="19" t="str">
        <f aca="false">'Lot Register'!G92</f>
        <v>ST-RT-CHA</v>
      </c>
      <c r="F433" s="9" t="s">
        <v>271</v>
      </c>
      <c r="G433" s="9" t="s">
        <v>561</v>
      </c>
      <c r="H433" s="9" t="s">
        <v>562</v>
      </c>
      <c r="I433" s="11" t="s">
        <v>238</v>
      </c>
      <c r="J433" s="47" t="n">
        <f aca="false">Controls!B25</f>
        <v>0</v>
      </c>
      <c r="K433" s="47" t="str">
        <f aca="false">IF(J433=1,"ACCEPTED","OPEN")</f>
        <v>OPEN</v>
      </c>
    </row>
    <row r="434" customFormat="false" ht="15" hidden="false" customHeight="false" outlineLevel="0" collapsed="false">
      <c r="A434" s="19" t="str">
        <f aca="false">"PKT-"&amp;B434&amp;"-METROLOGY"</f>
        <v>PKT-INT-RT-CHA-METROLOGY</v>
      </c>
      <c r="B434" s="19" t="str">
        <f aca="false">'Lot Register'!A92</f>
        <v>INT-RT-CHA</v>
      </c>
      <c r="C434" s="19" t="str">
        <f aca="false">'Lot Register'!B92</f>
        <v>Station integration</v>
      </c>
      <c r="D434" s="19" t="str">
        <f aca="false">'Lot Register'!D92</f>
        <v>MS-RT</v>
      </c>
      <c r="E434" s="19" t="str">
        <f aca="false">'Lot Register'!G92</f>
        <v>ST-RT-CHA</v>
      </c>
      <c r="F434" s="9" t="s">
        <v>563</v>
      </c>
      <c r="G434" s="9" t="s">
        <v>564</v>
      </c>
      <c r="H434" s="9" t="s">
        <v>565</v>
      </c>
      <c r="I434" s="11" t="s">
        <v>238</v>
      </c>
      <c r="J434" s="47" t="n">
        <f aca="false">Controls!B25</f>
        <v>0</v>
      </c>
      <c r="K434" s="47" t="str">
        <f aca="false">IF(J434=1,"ACCEPTED","OPEN")</f>
        <v>OPEN</v>
      </c>
    </row>
    <row r="435" customFormat="false" ht="15" hidden="false" customHeight="false" outlineLevel="0" collapsed="false">
      <c r="A435" s="19" t="str">
        <f aca="false">"PKT-"&amp;B435&amp;"-SAFETY"</f>
        <v>PKT-INT-RT-CHA-SAFETY</v>
      </c>
      <c r="B435" s="19" t="str">
        <f aca="false">'Lot Register'!A92</f>
        <v>INT-RT-CHA</v>
      </c>
      <c r="C435" s="19" t="str">
        <f aca="false">'Lot Register'!B92</f>
        <v>Station integration</v>
      </c>
      <c r="D435" s="19" t="str">
        <f aca="false">'Lot Register'!D92</f>
        <v>MS-RT</v>
      </c>
      <c r="E435" s="19" t="str">
        <f aca="false">'Lot Register'!G92</f>
        <v>ST-RT-CHA</v>
      </c>
      <c r="F435" s="9" t="s">
        <v>566</v>
      </c>
      <c r="G435" s="9" t="s">
        <v>567</v>
      </c>
      <c r="H435" s="9" t="s">
        <v>568</v>
      </c>
      <c r="I435" s="11" t="s">
        <v>238</v>
      </c>
      <c r="J435" s="47" t="n">
        <f aca="false">Controls!B25</f>
        <v>0</v>
      </c>
      <c r="K435" s="47" t="str">
        <f aca="false">IF(J435=1,"ACCEPTED","OPEN")</f>
        <v>OPEN</v>
      </c>
    </row>
    <row r="436" customFormat="false" ht="15" hidden="false" customHeight="false" outlineLevel="0" collapsed="false">
      <c r="A436" s="19" t="str">
        <f aca="false">"PKT-"&amp;B436&amp;"-RECONSTRUCTION"</f>
        <v>PKT-INT-RT-CHA-RECONSTRUCTION</v>
      </c>
      <c r="B436" s="19" t="str">
        <f aca="false">'Lot Register'!A92</f>
        <v>INT-RT-CHA</v>
      </c>
      <c r="C436" s="19" t="str">
        <f aca="false">'Lot Register'!B92</f>
        <v>Station integration</v>
      </c>
      <c r="D436" s="19" t="str">
        <f aca="false">'Lot Register'!D92</f>
        <v>MS-RT</v>
      </c>
      <c r="E436" s="19" t="str">
        <f aca="false">'Lot Register'!G92</f>
        <v>ST-RT-CHA</v>
      </c>
      <c r="F436" s="9" t="s">
        <v>282</v>
      </c>
      <c r="G436" s="9" t="s">
        <v>569</v>
      </c>
      <c r="H436" s="9" t="s">
        <v>570</v>
      </c>
      <c r="I436" s="11" t="s">
        <v>238</v>
      </c>
      <c r="J436" s="47" t="n">
        <f aca="false">Controls!B25</f>
        <v>0</v>
      </c>
      <c r="K436" s="47" t="str">
        <f aca="false">IF(J436=1,"ACCEPTED","OPEN")</f>
        <v>OPEN</v>
      </c>
    </row>
    <row r="437" customFormat="false" ht="15" hidden="false" customHeight="false" outlineLevel="0" collapsed="false">
      <c r="A437" s="19" t="str">
        <f aca="false">"PKT-"&amp;B437&amp;"-CONFIGURATION"</f>
        <v>PKT-RIG-RT-CON-CONFIGURATION</v>
      </c>
      <c r="B437" s="19" t="str">
        <f aca="false">'Lot Register'!A93</f>
        <v>RIG-RT-CON</v>
      </c>
      <c r="C437" s="19" t="str">
        <f aca="false">'Lot Register'!B93</f>
        <v>Root-native rig</v>
      </c>
      <c r="D437" s="19" t="str">
        <f aca="false">'Lot Register'!D93</f>
        <v>MS-RT</v>
      </c>
      <c r="E437" s="19" t="str">
        <f aca="false">'Lot Register'!G93</f>
        <v>ST-RT-CON</v>
      </c>
      <c r="F437" s="9" t="s">
        <v>558</v>
      </c>
      <c r="G437" s="9" t="s">
        <v>559</v>
      </c>
      <c r="H437" s="9" t="s">
        <v>560</v>
      </c>
      <c r="I437" s="11" t="s">
        <v>238</v>
      </c>
      <c r="J437" s="47" t="n">
        <f aca="false">Controls!B25</f>
        <v>0</v>
      </c>
      <c r="K437" s="47" t="str">
        <f aca="false">IF(J437=1,"ACCEPTED","OPEN")</f>
        <v>OPEN</v>
      </c>
    </row>
    <row r="438" customFormat="false" ht="15" hidden="false" customHeight="false" outlineLevel="0" collapsed="false">
      <c r="A438" s="19" t="str">
        <f aca="false">"PKT-"&amp;B438&amp;"-CONTROL"</f>
        <v>PKT-RIG-RT-CON-CONTROL</v>
      </c>
      <c r="B438" s="19" t="str">
        <f aca="false">'Lot Register'!A93</f>
        <v>RIG-RT-CON</v>
      </c>
      <c r="C438" s="19" t="str">
        <f aca="false">'Lot Register'!B93</f>
        <v>Root-native rig</v>
      </c>
      <c r="D438" s="19" t="str">
        <f aca="false">'Lot Register'!D93</f>
        <v>MS-RT</v>
      </c>
      <c r="E438" s="19" t="str">
        <f aca="false">'Lot Register'!G93</f>
        <v>ST-RT-CON</v>
      </c>
      <c r="F438" s="9" t="s">
        <v>271</v>
      </c>
      <c r="G438" s="9" t="s">
        <v>561</v>
      </c>
      <c r="H438" s="9" t="s">
        <v>562</v>
      </c>
      <c r="I438" s="11" t="s">
        <v>238</v>
      </c>
      <c r="J438" s="47" t="n">
        <f aca="false">Controls!B25</f>
        <v>0</v>
      </c>
      <c r="K438" s="47" t="str">
        <f aca="false">IF(J438=1,"ACCEPTED","OPEN")</f>
        <v>OPEN</v>
      </c>
    </row>
    <row r="439" customFormat="false" ht="15" hidden="false" customHeight="false" outlineLevel="0" collapsed="false">
      <c r="A439" s="19" t="str">
        <f aca="false">"PKT-"&amp;B439&amp;"-METROLOGY"</f>
        <v>PKT-RIG-RT-CON-METROLOGY</v>
      </c>
      <c r="B439" s="19" t="str">
        <f aca="false">'Lot Register'!A93</f>
        <v>RIG-RT-CON</v>
      </c>
      <c r="C439" s="19" t="str">
        <f aca="false">'Lot Register'!B93</f>
        <v>Root-native rig</v>
      </c>
      <c r="D439" s="19" t="str">
        <f aca="false">'Lot Register'!D93</f>
        <v>MS-RT</v>
      </c>
      <c r="E439" s="19" t="str">
        <f aca="false">'Lot Register'!G93</f>
        <v>ST-RT-CON</v>
      </c>
      <c r="F439" s="9" t="s">
        <v>563</v>
      </c>
      <c r="G439" s="9" t="s">
        <v>564</v>
      </c>
      <c r="H439" s="9" t="s">
        <v>565</v>
      </c>
      <c r="I439" s="11" t="s">
        <v>238</v>
      </c>
      <c r="J439" s="47" t="n">
        <f aca="false">Controls!B25</f>
        <v>0</v>
      </c>
      <c r="K439" s="47" t="str">
        <f aca="false">IF(J439=1,"ACCEPTED","OPEN")</f>
        <v>OPEN</v>
      </c>
    </row>
    <row r="440" customFormat="false" ht="15" hidden="false" customHeight="false" outlineLevel="0" collapsed="false">
      <c r="A440" s="19" t="str">
        <f aca="false">"PKT-"&amp;B440&amp;"-SAFETY"</f>
        <v>PKT-RIG-RT-CON-SAFETY</v>
      </c>
      <c r="B440" s="19" t="str">
        <f aca="false">'Lot Register'!A93</f>
        <v>RIG-RT-CON</v>
      </c>
      <c r="C440" s="19" t="str">
        <f aca="false">'Lot Register'!B93</f>
        <v>Root-native rig</v>
      </c>
      <c r="D440" s="19" t="str">
        <f aca="false">'Lot Register'!D93</f>
        <v>MS-RT</v>
      </c>
      <c r="E440" s="19" t="str">
        <f aca="false">'Lot Register'!G93</f>
        <v>ST-RT-CON</v>
      </c>
      <c r="F440" s="9" t="s">
        <v>566</v>
      </c>
      <c r="G440" s="9" t="s">
        <v>567</v>
      </c>
      <c r="H440" s="9" t="s">
        <v>568</v>
      </c>
      <c r="I440" s="11" t="s">
        <v>238</v>
      </c>
      <c r="J440" s="47" t="n">
        <f aca="false">Controls!B25</f>
        <v>0</v>
      </c>
      <c r="K440" s="47" t="str">
        <f aca="false">IF(J440=1,"ACCEPTED","OPEN")</f>
        <v>OPEN</v>
      </c>
    </row>
    <row r="441" customFormat="false" ht="15" hidden="false" customHeight="false" outlineLevel="0" collapsed="false">
      <c r="A441" s="19" t="str">
        <f aca="false">"PKT-"&amp;B441&amp;"-RECONSTRUCTION"</f>
        <v>PKT-RIG-RT-CON-RECONSTRUCTION</v>
      </c>
      <c r="B441" s="19" t="str">
        <f aca="false">'Lot Register'!A93</f>
        <v>RIG-RT-CON</v>
      </c>
      <c r="C441" s="19" t="str">
        <f aca="false">'Lot Register'!B93</f>
        <v>Root-native rig</v>
      </c>
      <c r="D441" s="19" t="str">
        <f aca="false">'Lot Register'!D93</f>
        <v>MS-RT</v>
      </c>
      <c r="E441" s="19" t="str">
        <f aca="false">'Lot Register'!G93</f>
        <v>ST-RT-CON</v>
      </c>
      <c r="F441" s="9" t="s">
        <v>282</v>
      </c>
      <c r="G441" s="9" t="s">
        <v>569</v>
      </c>
      <c r="H441" s="9" t="s">
        <v>570</v>
      </c>
      <c r="I441" s="11" t="s">
        <v>238</v>
      </c>
      <c r="J441" s="47" t="n">
        <f aca="false">Controls!B25</f>
        <v>0</v>
      </c>
      <c r="K441" s="47" t="str">
        <f aca="false">IF(J441=1,"ACCEPTED","OPEN")</f>
        <v>OPEN</v>
      </c>
    </row>
    <row r="442" customFormat="false" ht="15" hidden="false" customHeight="false" outlineLevel="0" collapsed="false">
      <c r="A442" s="19" t="str">
        <f aca="false">"PKT-"&amp;B442&amp;"-CONFIGURATION"</f>
        <v>PKT-MTH-RT-CON-L1-CONFIGURATION</v>
      </c>
      <c r="B442" s="19" t="str">
        <f aca="false">'Lot Register'!A94</f>
        <v>MTH-RT-CON-L1</v>
      </c>
      <c r="C442" s="19" t="str">
        <f aca="false">'Lot Register'!B94</f>
        <v>Method lineage</v>
      </c>
      <c r="D442" s="19" t="str">
        <f aca="false">'Lot Register'!D94</f>
        <v>MS-RT</v>
      </c>
      <c r="E442" s="19" t="str">
        <f aca="false">'Lot Register'!G94</f>
        <v>ST-RT-CON</v>
      </c>
      <c r="F442" s="9" t="s">
        <v>558</v>
      </c>
      <c r="G442" s="9" t="s">
        <v>559</v>
      </c>
      <c r="H442" s="9" t="s">
        <v>560</v>
      </c>
      <c r="I442" s="11" t="s">
        <v>238</v>
      </c>
      <c r="J442" s="47" t="n">
        <f aca="false">Controls!B25</f>
        <v>0</v>
      </c>
      <c r="K442" s="47" t="str">
        <f aca="false">IF(J442=1,"ACCEPTED","OPEN")</f>
        <v>OPEN</v>
      </c>
    </row>
    <row r="443" customFormat="false" ht="15" hidden="false" customHeight="false" outlineLevel="0" collapsed="false">
      <c r="A443" s="19" t="str">
        <f aca="false">"PKT-"&amp;B443&amp;"-CONTROL"</f>
        <v>PKT-MTH-RT-CON-L1-CONTROL</v>
      </c>
      <c r="B443" s="19" t="str">
        <f aca="false">'Lot Register'!A94</f>
        <v>MTH-RT-CON-L1</v>
      </c>
      <c r="C443" s="19" t="str">
        <f aca="false">'Lot Register'!B94</f>
        <v>Method lineage</v>
      </c>
      <c r="D443" s="19" t="str">
        <f aca="false">'Lot Register'!D94</f>
        <v>MS-RT</v>
      </c>
      <c r="E443" s="19" t="str">
        <f aca="false">'Lot Register'!G94</f>
        <v>ST-RT-CON</v>
      </c>
      <c r="F443" s="9" t="s">
        <v>271</v>
      </c>
      <c r="G443" s="9" t="s">
        <v>561</v>
      </c>
      <c r="H443" s="9" t="s">
        <v>562</v>
      </c>
      <c r="I443" s="11" t="s">
        <v>238</v>
      </c>
      <c r="J443" s="47" t="n">
        <f aca="false">Controls!B25</f>
        <v>0</v>
      </c>
      <c r="K443" s="47" t="str">
        <f aca="false">IF(J443=1,"ACCEPTED","OPEN")</f>
        <v>OPEN</v>
      </c>
    </row>
    <row r="444" customFormat="false" ht="15" hidden="false" customHeight="false" outlineLevel="0" collapsed="false">
      <c r="A444" s="19" t="str">
        <f aca="false">"PKT-"&amp;B444&amp;"-METROLOGY"</f>
        <v>PKT-MTH-RT-CON-L1-METROLOGY</v>
      </c>
      <c r="B444" s="19" t="str">
        <f aca="false">'Lot Register'!A94</f>
        <v>MTH-RT-CON-L1</v>
      </c>
      <c r="C444" s="19" t="str">
        <f aca="false">'Lot Register'!B94</f>
        <v>Method lineage</v>
      </c>
      <c r="D444" s="19" t="str">
        <f aca="false">'Lot Register'!D94</f>
        <v>MS-RT</v>
      </c>
      <c r="E444" s="19" t="str">
        <f aca="false">'Lot Register'!G94</f>
        <v>ST-RT-CON</v>
      </c>
      <c r="F444" s="9" t="s">
        <v>563</v>
      </c>
      <c r="G444" s="9" t="s">
        <v>564</v>
      </c>
      <c r="H444" s="9" t="s">
        <v>565</v>
      </c>
      <c r="I444" s="11" t="s">
        <v>238</v>
      </c>
      <c r="J444" s="47" t="n">
        <f aca="false">Controls!B25</f>
        <v>0</v>
      </c>
      <c r="K444" s="47" t="str">
        <f aca="false">IF(J444=1,"ACCEPTED","OPEN")</f>
        <v>OPEN</v>
      </c>
    </row>
    <row r="445" customFormat="false" ht="15" hidden="false" customHeight="false" outlineLevel="0" collapsed="false">
      <c r="A445" s="19" t="str">
        <f aca="false">"PKT-"&amp;B445&amp;"-SAFETY"</f>
        <v>PKT-MTH-RT-CON-L1-SAFETY</v>
      </c>
      <c r="B445" s="19" t="str">
        <f aca="false">'Lot Register'!A94</f>
        <v>MTH-RT-CON-L1</v>
      </c>
      <c r="C445" s="19" t="str">
        <f aca="false">'Lot Register'!B94</f>
        <v>Method lineage</v>
      </c>
      <c r="D445" s="19" t="str">
        <f aca="false">'Lot Register'!D94</f>
        <v>MS-RT</v>
      </c>
      <c r="E445" s="19" t="str">
        <f aca="false">'Lot Register'!G94</f>
        <v>ST-RT-CON</v>
      </c>
      <c r="F445" s="9" t="s">
        <v>566</v>
      </c>
      <c r="G445" s="9" t="s">
        <v>567</v>
      </c>
      <c r="H445" s="9" t="s">
        <v>568</v>
      </c>
      <c r="I445" s="11" t="s">
        <v>238</v>
      </c>
      <c r="J445" s="47" t="n">
        <f aca="false">Controls!B25</f>
        <v>0</v>
      </c>
      <c r="K445" s="47" t="str">
        <f aca="false">IF(J445=1,"ACCEPTED","OPEN")</f>
        <v>OPEN</v>
      </c>
    </row>
    <row r="446" customFormat="false" ht="15" hidden="false" customHeight="false" outlineLevel="0" collapsed="false">
      <c r="A446" s="19" t="str">
        <f aca="false">"PKT-"&amp;B446&amp;"-RECONSTRUCTION"</f>
        <v>PKT-MTH-RT-CON-L1-RECONSTRUCTION</v>
      </c>
      <c r="B446" s="19" t="str">
        <f aca="false">'Lot Register'!A94</f>
        <v>MTH-RT-CON-L1</v>
      </c>
      <c r="C446" s="19" t="str">
        <f aca="false">'Lot Register'!B94</f>
        <v>Method lineage</v>
      </c>
      <c r="D446" s="19" t="str">
        <f aca="false">'Lot Register'!D94</f>
        <v>MS-RT</v>
      </c>
      <c r="E446" s="19" t="str">
        <f aca="false">'Lot Register'!G94</f>
        <v>ST-RT-CON</v>
      </c>
      <c r="F446" s="9" t="s">
        <v>282</v>
      </c>
      <c r="G446" s="9" t="s">
        <v>569</v>
      </c>
      <c r="H446" s="9" t="s">
        <v>570</v>
      </c>
      <c r="I446" s="11" t="s">
        <v>238</v>
      </c>
      <c r="J446" s="47" t="n">
        <f aca="false">Controls!B25</f>
        <v>0</v>
      </c>
      <c r="K446" s="47" t="str">
        <f aca="false">IF(J446=1,"ACCEPTED","OPEN")</f>
        <v>OPEN</v>
      </c>
    </row>
    <row r="447" customFormat="false" ht="15" hidden="false" customHeight="false" outlineLevel="0" collapsed="false">
      <c r="A447" s="19" t="str">
        <f aca="false">"PKT-"&amp;B447&amp;"-CONFIGURATION"</f>
        <v>PKT-MTH-RT-CON-L2-CONFIGURATION</v>
      </c>
      <c r="B447" s="19" t="str">
        <f aca="false">'Lot Register'!A95</f>
        <v>MTH-RT-CON-L2</v>
      </c>
      <c r="C447" s="19" t="str">
        <f aca="false">'Lot Register'!B95</f>
        <v>Method lineage</v>
      </c>
      <c r="D447" s="19" t="str">
        <f aca="false">'Lot Register'!D95</f>
        <v>MS-RT</v>
      </c>
      <c r="E447" s="19" t="str">
        <f aca="false">'Lot Register'!G95</f>
        <v>ST-RT-CON</v>
      </c>
      <c r="F447" s="9" t="s">
        <v>558</v>
      </c>
      <c r="G447" s="9" t="s">
        <v>559</v>
      </c>
      <c r="H447" s="9" t="s">
        <v>560</v>
      </c>
      <c r="I447" s="11" t="s">
        <v>238</v>
      </c>
      <c r="J447" s="47" t="n">
        <f aca="false">Controls!B25</f>
        <v>0</v>
      </c>
      <c r="K447" s="47" t="str">
        <f aca="false">IF(J447=1,"ACCEPTED","OPEN")</f>
        <v>OPEN</v>
      </c>
    </row>
    <row r="448" customFormat="false" ht="15" hidden="false" customHeight="false" outlineLevel="0" collapsed="false">
      <c r="A448" s="19" t="str">
        <f aca="false">"PKT-"&amp;B448&amp;"-CONTROL"</f>
        <v>PKT-MTH-RT-CON-L2-CONTROL</v>
      </c>
      <c r="B448" s="19" t="str">
        <f aca="false">'Lot Register'!A95</f>
        <v>MTH-RT-CON-L2</v>
      </c>
      <c r="C448" s="19" t="str">
        <f aca="false">'Lot Register'!B95</f>
        <v>Method lineage</v>
      </c>
      <c r="D448" s="19" t="str">
        <f aca="false">'Lot Register'!D95</f>
        <v>MS-RT</v>
      </c>
      <c r="E448" s="19" t="str">
        <f aca="false">'Lot Register'!G95</f>
        <v>ST-RT-CON</v>
      </c>
      <c r="F448" s="9" t="s">
        <v>271</v>
      </c>
      <c r="G448" s="9" t="s">
        <v>561</v>
      </c>
      <c r="H448" s="9" t="s">
        <v>562</v>
      </c>
      <c r="I448" s="11" t="s">
        <v>238</v>
      </c>
      <c r="J448" s="47" t="n">
        <f aca="false">Controls!B25</f>
        <v>0</v>
      </c>
      <c r="K448" s="47" t="str">
        <f aca="false">IF(J448=1,"ACCEPTED","OPEN")</f>
        <v>OPEN</v>
      </c>
    </row>
    <row r="449" customFormat="false" ht="15" hidden="false" customHeight="false" outlineLevel="0" collapsed="false">
      <c r="A449" s="19" t="str">
        <f aca="false">"PKT-"&amp;B449&amp;"-METROLOGY"</f>
        <v>PKT-MTH-RT-CON-L2-METROLOGY</v>
      </c>
      <c r="B449" s="19" t="str">
        <f aca="false">'Lot Register'!A95</f>
        <v>MTH-RT-CON-L2</v>
      </c>
      <c r="C449" s="19" t="str">
        <f aca="false">'Lot Register'!B95</f>
        <v>Method lineage</v>
      </c>
      <c r="D449" s="19" t="str">
        <f aca="false">'Lot Register'!D95</f>
        <v>MS-RT</v>
      </c>
      <c r="E449" s="19" t="str">
        <f aca="false">'Lot Register'!G95</f>
        <v>ST-RT-CON</v>
      </c>
      <c r="F449" s="9" t="s">
        <v>563</v>
      </c>
      <c r="G449" s="9" t="s">
        <v>564</v>
      </c>
      <c r="H449" s="9" t="s">
        <v>565</v>
      </c>
      <c r="I449" s="11" t="s">
        <v>238</v>
      </c>
      <c r="J449" s="47" t="n">
        <f aca="false">Controls!B25</f>
        <v>0</v>
      </c>
      <c r="K449" s="47" t="str">
        <f aca="false">IF(J449=1,"ACCEPTED","OPEN")</f>
        <v>OPEN</v>
      </c>
    </row>
    <row r="450" customFormat="false" ht="15" hidden="false" customHeight="false" outlineLevel="0" collapsed="false">
      <c r="A450" s="19" t="str">
        <f aca="false">"PKT-"&amp;B450&amp;"-SAFETY"</f>
        <v>PKT-MTH-RT-CON-L2-SAFETY</v>
      </c>
      <c r="B450" s="19" t="str">
        <f aca="false">'Lot Register'!A95</f>
        <v>MTH-RT-CON-L2</v>
      </c>
      <c r="C450" s="19" t="str">
        <f aca="false">'Lot Register'!B95</f>
        <v>Method lineage</v>
      </c>
      <c r="D450" s="19" t="str">
        <f aca="false">'Lot Register'!D95</f>
        <v>MS-RT</v>
      </c>
      <c r="E450" s="19" t="str">
        <f aca="false">'Lot Register'!G95</f>
        <v>ST-RT-CON</v>
      </c>
      <c r="F450" s="9" t="s">
        <v>566</v>
      </c>
      <c r="G450" s="9" t="s">
        <v>567</v>
      </c>
      <c r="H450" s="9" t="s">
        <v>568</v>
      </c>
      <c r="I450" s="11" t="s">
        <v>238</v>
      </c>
      <c r="J450" s="47" t="n">
        <f aca="false">Controls!B25</f>
        <v>0</v>
      </c>
      <c r="K450" s="47" t="str">
        <f aca="false">IF(J450=1,"ACCEPTED","OPEN")</f>
        <v>OPEN</v>
      </c>
    </row>
    <row r="451" customFormat="false" ht="15" hidden="false" customHeight="false" outlineLevel="0" collapsed="false">
      <c r="A451" s="19" t="str">
        <f aca="false">"PKT-"&amp;B451&amp;"-RECONSTRUCTION"</f>
        <v>PKT-MTH-RT-CON-L2-RECONSTRUCTION</v>
      </c>
      <c r="B451" s="19" t="str">
        <f aca="false">'Lot Register'!A95</f>
        <v>MTH-RT-CON-L2</v>
      </c>
      <c r="C451" s="19" t="str">
        <f aca="false">'Lot Register'!B95</f>
        <v>Method lineage</v>
      </c>
      <c r="D451" s="19" t="str">
        <f aca="false">'Lot Register'!D95</f>
        <v>MS-RT</v>
      </c>
      <c r="E451" s="19" t="str">
        <f aca="false">'Lot Register'!G95</f>
        <v>ST-RT-CON</v>
      </c>
      <c r="F451" s="9" t="s">
        <v>282</v>
      </c>
      <c r="G451" s="9" t="s">
        <v>569</v>
      </c>
      <c r="H451" s="9" t="s">
        <v>570</v>
      </c>
      <c r="I451" s="11" t="s">
        <v>238</v>
      </c>
      <c r="J451" s="47" t="n">
        <f aca="false">Controls!B25</f>
        <v>0</v>
      </c>
      <c r="K451" s="47" t="str">
        <f aca="false">IF(J451=1,"ACCEPTED","OPEN")</f>
        <v>OPEN</v>
      </c>
    </row>
    <row r="452" customFormat="false" ht="15" hidden="false" customHeight="false" outlineLevel="0" collapsed="false">
      <c r="A452" s="19" t="str">
        <f aca="false">"PKT-"&amp;B452&amp;"-CONFIGURATION"</f>
        <v>PKT-REG-RT-CON-CONFIGURATION</v>
      </c>
      <c r="B452" s="19" t="str">
        <f aca="false">'Lot Register'!A96</f>
        <v>REG-RT-CON</v>
      </c>
      <c r="C452" s="19" t="str">
        <f aca="false">'Lot Register'!B96</f>
        <v>Regeneration tool</v>
      </c>
      <c r="D452" s="19" t="str">
        <f aca="false">'Lot Register'!D96</f>
        <v>MS-RT</v>
      </c>
      <c r="E452" s="19" t="str">
        <f aca="false">'Lot Register'!G96</f>
        <v>ST-RT-CON</v>
      </c>
      <c r="F452" s="9" t="s">
        <v>558</v>
      </c>
      <c r="G452" s="9" t="s">
        <v>559</v>
      </c>
      <c r="H452" s="9" t="s">
        <v>560</v>
      </c>
      <c r="I452" s="11" t="s">
        <v>238</v>
      </c>
      <c r="J452" s="47" t="n">
        <f aca="false">Controls!B25</f>
        <v>0</v>
      </c>
      <c r="K452" s="47" t="str">
        <f aca="false">IF(J452=1,"ACCEPTED","OPEN")</f>
        <v>OPEN</v>
      </c>
    </row>
    <row r="453" customFormat="false" ht="15" hidden="false" customHeight="false" outlineLevel="0" collapsed="false">
      <c r="A453" s="19" t="str">
        <f aca="false">"PKT-"&amp;B453&amp;"-CONTROL"</f>
        <v>PKT-REG-RT-CON-CONTROL</v>
      </c>
      <c r="B453" s="19" t="str">
        <f aca="false">'Lot Register'!A96</f>
        <v>REG-RT-CON</v>
      </c>
      <c r="C453" s="19" t="str">
        <f aca="false">'Lot Register'!B96</f>
        <v>Regeneration tool</v>
      </c>
      <c r="D453" s="19" t="str">
        <f aca="false">'Lot Register'!D96</f>
        <v>MS-RT</v>
      </c>
      <c r="E453" s="19" t="str">
        <f aca="false">'Lot Register'!G96</f>
        <v>ST-RT-CON</v>
      </c>
      <c r="F453" s="9" t="s">
        <v>271</v>
      </c>
      <c r="G453" s="9" t="s">
        <v>561</v>
      </c>
      <c r="H453" s="9" t="s">
        <v>562</v>
      </c>
      <c r="I453" s="11" t="s">
        <v>238</v>
      </c>
      <c r="J453" s="47" t="n">
        <f aca="false">Controls!B25</f>
        <v>0</v>
      </c>
      <c r="K453" s="47" t="str">
        <f aca="false">IF(J453=1,"ACCEPTED","OPEN")</f>
        <v>OPEN</v>
      </c>
    </row>
    <row r="454" customFormat="false" ht="15" hidden="false" customHeight="false" outlineLevel="0" collapsed="false">
      <c r="A454" s="19" t="str">
        <f aca="false">"PKT-"&amp;B454&amp;"-METROLOGY"</f>
        <v>PKT-REG-RT-CON-METROLOGY</v>
      </c>
      <c r="B454" s="19" t="str">
        <f aca="false">'Lot Register'!A96</f>
        <v>REG-RT-CON</v>
      </c>
      <c r="C454" s="19" t="str">
        <f aca="false">'Lot Register'!B96</f>
        <v>Regeneration tool</v>
      </c>
      <c r="D454" s="19" t="str">
        <f aca="false">'Lot Register'!D96</f>
        <v>MS-RT</v>
      </c>
      <c r="E454" s="19" t="str">
        <f aca="false">'Lot Register'!G96</f>
        <v>ST-RT-CON</v>
      </c>
      <c r="F454" s="9" t="s">
        <v>563</v>
      </c>
      <c r="G454" s="9" t="s">
        <v>564</v>
      </c>
      <c r="H454" s="9" t="s">
        <v>565</v>
      </c>
      <c r="I454" s="11" t="s">
        <v>238</v>
      </c>
      <c r="J454" s="47" t="n">
        <f aca="false">Controls!B25</f>
        <v>0</v>
      </c>
      <c r="K454" s="47" t="str">
        <f aca="false">IF(J454=1,"ACCEPTED","OPEN")</f>
        <v>OPEN</v>
      </c>
    </row>
    <row r="455" customFormat="false" ht="15" hidden="false" customHeight="false" outlineLevel="0" collapsed="false">
      <c r="A455" s="19" t="str">
        <f aca="false">"PKT-"&amp;B455&amp;"-SAFETY"</f>
        <v>PKT-REG-RT-CON-SAFETY</v>
      </c>
      <c r="B455" s="19" t="str">
        <f aca="false">'Lot Register'!A96</f>
        <v>REG-RT-CON</v>
      </c>
      <c r="C455" s="19" t="str">
        <f aca="false">'Lot Register'!B96</f>
        <v>Regeneration tool</v>
      </c>
      <c r="D455" s="19" t="str">
        <f aca="false">'Lot Register'!D96</f>
        <v>MS-RT</v>
      </c>
      <c r="E455" s="19" t="str">
        <f aca="false">'Lot Register'!G96</f>
        <v>ST-RT-CON</v>
      </c>
      <c r="F455" s="9" t="s">
        <v>566</v>
      </c>
      <c r="G455" s="9" t="s">
        <v>567</v>
      </c>
      <c r="H455" s="9" t="s">
        <v>568</v>
      </c>
      <c r="I455" s="11" t="s">
        <v>238</v>
      </c>
      <c r="J455" s="47" t="n">
        <f aca="false">Controls!B25</f>
        <v>0</v>
      </c>
      <c r="K455" s="47" t="str">
        <f aca="false">IF(J455=1,"ACCEPTED","OPEN")</f>
        <v>OPEN</v>
      </c>
    </row>
    <row r="456" customFormat="false" ht="15" hidden="false" customHeight="false" outlineLevel="0" collapsed="false">
      <c r="A456" s="19" t="str">
        <f aca="false">"PKT-"&amp;B456&amp;"-RECONSTRUCTION"</f>
        <v>PKT-REG-RT-CON-RECONSTRUCTION</v>
      </c>
      <c r="B456" s="19" t="str">
        <f aca="false">'Lot Register'!A96</f>
        <v>REG-RT-CON</v>
      </c>
      <c r="C456" s="19" t="str">
        <f aca="false">'Lot Register'!B96</f>
        <v>Regeneration tool</v>
      </c>
      <c r="D456" s="19" t="str">
        <f aca="false">'Lot Register'!D96</f>
        <v>MS-RT</v>
      </c>
      <c r="E456" s="19" t="str">
        <f aca="false">'Lot Register'!G96</f>
        <v>ST-RT-CON</v>
      </c>
      <c r="F456" s="9" t="s">
        <v>282</v>
      </c>
      <c r="G456" s="9" t="s">
        <v>569</v>
      </c>
      <c r="H456" s="9" t="s">
        <v>570</v>
      </c>
      <c r="I456" s="11" t="s">
        <v>238</v>
      </c>
      <c r="J456" s="47" t="n">
        <f aca="false">Controls!B25</f>
        <v>0</v>
      </c>
      <c r="K456" s="47" t="str">
        <f aca="false">IF(J456=1,"ACCEPTED","OPEN")</f>
        <v>OPEN</v>
      </c>
    </row>
    <row r="457" customFormat="false" ht="15" hidden="false" customHeight="false" outlineLevel="0" collapsed="false">
      <c r="A457" s="19" t="str">
        <f aca="false">"PKT-"&amp;B457&amp;"-CONFIGURATION"</f>
        <v>PKT-INT-RT-CON-CONFIGURATION</v>
      </c>
      <c r="B457" s="19" t="str">
        <f aca="false">'Lot Register'!A97</f>
        <v>INT-RT-CON</v>
      </c>
      <c r="C457" s="19" t="str">
        <f aca="false">'Lot Register'!B97</f>
        <v>Station integration</v>
      </c>
      <c r="D457" s="19" t="str">
        <f aca="false">'Lot Register'!D97</f>
        <v>MS-RT</v>
      </c>
      <c r="E457" s="19" t="str">
        <f aca="false">'Lot Register'!G97</f>
        <v>ST-RT-CON</v>
      </c>
      <c r="F457" s="9" t="s">
        <v>558</v>
      </c>
      <c r="G457" s="9" t="s">
        <v>559</v>
      </c>
      <c r="H457" s="9" t="s">
        <v>560</v>
      </c>
      <c r="I457" s="11" t="s">
        <v>238</v>
      </c>
      <c r="J457" s="47" t="n">
        <f aca="false">Controls!B25</f>
        <v>0</v>
      </c>
      <c r="K457" s="47" t="str">
        <f aca="false">IF(J457=1,"ACCEPTED","OPEN")</f>
        <v>OPEN</v>
      </c>
    </row>
    <row r="458" customFormat="false" ht="15" hidden="false" customHeight="false" outlineLevel="0" collapsed="false">
      <c r="A458" s="19" t="str">
        <f aca="false">"PKT-"&amp;B458&amp;"-CONTROL"</f>
        <v>PKT-INT-RT-CON-CONTROL</v>
      </c>
      <c r="B458" s="19" t="str">
        <f aca="false">'Lot Register'!A97</f>
        <v>INT-RT-CON</v>
      </c>
      <c r="C458" s="19" t="str">
        <f aca="false">'Lot Register'!B97</f>
        <v>Station integration</v>
      </c>
      <c r="D458" s="19" t="str">
        <f aca="false">'Lot Register'!D97</f>
        <v>MS-RT</v>
      </c>
      <c r="E458" s="19" t="str">
        <f aca="false">'Lot Register'!G97</f>
        <v>ST-RT-CON</v>
      </c>
      <c r="F458" s="9" t="s">
        <v>271</v>
      </c>
      <c r="G458" s="9" t="s">
        <v>561</v>
      </c>
      <c r="H458" s="9" t="s">
        <v>562</v>
      </c>
      <c r="I458" s="11" t="s">
        <v>238</v>
      </c>
      <c r="J458" s="47" t="n">
        <f aca="false">Controls!B25</f>
        <v>0</v>
      </c>
      <c r="K458" s="47" t="str">
        <f aca="false">IF(J458=1,"ACCEPTED","OPEN")</f>
        <v>OPEN</v>
      </c>
    </row>
    <row r="459" customFormat="false" ht="15" hidden="false" customHeight="false" outlineLevel="0" collapsed="false">
      <c r="A459" s="19" t="str">
        <f aca="false">"PKT-"&amp;B459&amp;"-METROLOGY"</f>
        <v>PKT-INT-RT-CON-METROLOGY</v>
      </c>
      <c r="B459" s="19" t="str">
        <f aca="false">'Lot Register'!A97</f>
        <v>INT-RT-CON</v>
      </c>
      <c r="C459" s="19" t="str">
        <f aca="false">'Lot Register'!B97</f>
        <v>Station integration</v>
      </c>
      <c r="D459" s="19" t="str">
        <f aca="false">'Lot Register'!D97</f>
        <v>MS-RT</v>
      </c>
      <c r="E459" s="19" t="str">
        <f aca="false">'Lot Register'!G97</f>
        <v>ST-RT-CON</v>
      </c>
      <c r="F459" s="9" t="s">
        <v>563</v>
      </c>
      <c r="G459" s="9" t="s">
        <v>564</v>
      </c>
      <c r="H459" s="9" t="s">
        <v>565</v>
      </c>
      <c r="I459" s="11" t="s">
        <v>238</v>
      </c>
      <c r="J459" s="47" t="n">
        <f aca="false">Controls!B25</f>
        <v>0</v>
      </c>
      <c r="K459" s="47" t="str">
        <f aca="false">IF(J459=1,"ACCEPTED","OPEN")</f>
        <v>OPEN</v>
      </c>
    </row>
    <row r="460" customFormat="false" ht="15" hidden="false" customHeight="false" outlineLevel="0" collapsed="false">
      <c r="A460" s="19" t="str">
        <f aca="false">"PKT-"&amp;B460&amp;"-SAFETY"</f>
        <v>PKT-INT-RT-CON-SAFETY</v>
      </c>
      <c r="B460" s="19" t="str">
        <f aca="false">'Lot Register'!A97</f>
        <v>INT-RT-CON</v>
      </c>
      <c r="C460" s="19" t="str">
        <f aca="false">'Lot Register'!B97</f>
        <v>Station integration</v>
      </c>
      <c r="D460" s="19" t="str">
        <f aca="false">'Lot Register'!D97</f>
        <v>MS-RT</v>
      </c>
      <c r="E460" s="19" t="str">
        <f aca="false">'Lot Register'!G97</f>
        <v>ST-RT-CON</v>
      </c>
      <c r="F460" s="9" t="s">
        <v>566</v>
      </c>
      <c r="G460" s="9" t="s">
        <v>567</v>
      </c>
      <c r="H460" s="9" t="s">
        <v>568</v>
      </c>
      <c r="I460" s="11" t="s">
        <v>238</v>
      </c>
      <c r="J460" s="47" t="n">
        <f aca="false">Controls!B25</f>
        <v>0</v>
      </c>
      <c r="K460" s="47" t="str">
        <f aca="false">IF(J460=1,"ACCEPTED","OPEN")</f>
        <v>OPEN</v>
      </c>
    </row>
    <row r="461" customFormat="false" ht="15" hidden="false" customHeight="false" outlineLevel="0" collapsed="false">
      <c r="A461" s="19" t="str">
        <f aca="false">"PKT-"&amp;B461&amp;"-RECONSTRUCTION"</f>
        <v>PKT-INT-RT-CON-RECONSTRUCTION</v>
      </c>
      <c r="B461" s="19" t="str">
        <f aca="false">'Lot Register'!A97</f>
        <v>INT-RT-CON</v>
      </c>
      <c r="C461" s="19" t="str">
        <f aca="false">'Lot Register'!B97</f>
        <v>Station integration</v>
      </c>
      <c r="D461" s="19" t="str">
        <f aca="false">'Lot Register'!D97</f>
        <v>MS-RT</v>
      </c>
      <c r="E461" s="19" t="str">
        <f aca="false">'Lot Register'!G97</f>
        <v>ST-RT-CON</v>
      </c>
      <c r="F461" s="9" t="s">
        <v>282</v>
      </c>
      <c r="G461" s="9" t="s">
        <v>569</v>
      </c>
      <c r="H461" s="9" t="s">
        <v>570</v>
      </c>
      <c r="I461" s="11" t="s">
        <v>238</v>
      </c>
      <c r="J461" s="47" t="n">
        <f aca="false">Controls!B25</f>
        <v>0</v>
      </c>
      <c r="K461" s="47" t="str">
        <f aca="false">IF(J461=1,"ACCEPTED","OPEN")</f>
        <v>OPEN</v>
      </c>
    </row>
    <row r="462" customFormat="false" ht="15" hidden="false" customHeight="false" outlineLevel="0" collapsed="false">
      <c r="A462" s="19" t="str">
        <f aca="false">"PKT-"&amp;B462&amp;"-CONFIGURATION"</f>
        <v>PKT-RIG-RT-REC-CONFIGURATION</v>
      </c>
      <c r="B462" s="19" t="str">
        <f aca="false">'Lot Register'!A98</f>
        <v>RIG-RT-REC</v>
      </c>
      <c r="C462" s="19" t="str">
        <f aca="false">'Lot Register'!B98</f>
        <v>Root-native rig</v>
      </c>
      <c r="D462" s="19" t="str">
        <f aca="false">'Lot Register'!D98</f>
        <v>MS-RT</v>
      </c>
      <c r="E462" s="19" t="str">
        <f aca="false">'Lot Register'!G98</f>
        <v>ST-RT-REC</v>
      </c>
      <c r="F462" s="9" t="s">
        <v>558</v>
      </c>
      <c r="G462" s="9" t="s">
        <v>559</v>
      </c>
      <c r="H462" s="9" t="s">
        <v>560</v>
      </c>
      <c r="I462" s="11" t="s">
        <v>238</v>
      </c>
      <c r="J462" s="47" t="n">
        <f aca="false">Controls!B25</f>
        <v>0</v>
      </c>
      <c r="K462" s="47" t="str">
        <f aca="false">IF(J462=1,"ACCEPTED","OPEN")</f>
        <v>OPEN</v>
      </c>
    </row>
    <row r="463" customFormat="false" ht="15" hidden="false" customHeight="false" outlineLevel="0" collapsed="false">
      <c r="A463" s="19" t="str">
        <f aca="false">"PKT-"&amp;B463&amp;"-CONTROL"</f>
        <v>PKT-RIG-RT-REC-CONTROL</v>
      </c>
      <c r="B463" s="19" t="str">
        <f aca="false">'Lot Register'!A98</f>
        <v>RIG-RT-REC</v>
      </c>
      <c r="C463" s="19" t="str">
        <f aca="false">'Lot Register'!B98</f>
        <v>Root-native rig</v>
      </c>
      <c r="D463" s="19" t="str">
        <f aca="false">'Lot Register'!D98</f>
        <v>MS-RT</v>
      </c>
      <c r="E463" s="19" t="str">
        <f aca="false">'Lot Register'!G98</f>
        <v>ST-RT-REC</v>
      </c>
      <c r="F463" s="9" t="s">
        <v>271</v>
      </c>
      <c r="G463" s="9" t="s">
        <v>561</v>
      </c>
      <c r="H463" s="9" t="s">
        <v>562</v>
      </c>
      <c r="I463" s="11" t="s">
        <v>238</v>
      </c>
      <c r="J463" s="47" t="n">
        <f aca="false">Controls!B25</f>
        <v>0</v>
      </c>
      <c r="K463" s="47" t="str">
        <f aca="false">IF(J463=1,"ACCEPTED","OPEN")</f>
        <v>OPEN</v>
      </c>
    </row>
    <row r="464" customFormat="false" ht="15" hidden="false" customHeight="false" outlineLevel="0" collapsed="false">
      <c r="A464" s="19" t="str">
        <f aca="false">"PKT-"&amp;B464&amp;"-METROLOGY"</f>
        <v>PKT-RIG-RT-REC-METROLOGY</v>
      </c>
      <c r="B464" s="19" t="str">
        <f aca="false">'Lot Register'!A98</f>
        <v>RIG-RT-REC</v>
      </c>
      <c r="C464" s="19" t="str">
        <f aca="false">'Lot Register'!B98</f>
        <v>Root-native rig</v>
      </c>
      <c r="D464" s="19" t="str">
        <f aca="false">'Lot Register'!D98</f>
        <v>MS-RT</v>
      </c>
      <c r="E464" s="19" t="str">
        <f aca="false">'Lot Register'!G98</f>
        <v>ST-RT-REC</v>
      </c>
      <c r="F464" s="9" t="s">
        <v>563</v>
      </c>
      <c r="G464" s="9" t="s">
        <v>564</v>
      </c>
      <c r="H464" s="9" t="s">
        <v>565</v>
      </c>
      <c r="I464" s="11" t="s">
        <v>238</v>
      </c>
      <c r="J464" s="47" t="n">
        <f aca="false">Controls!B25</f>
        <v>0</v>
      </c>
      <c r="K464" s="47" t="str">
        <f aca="false">IF(J464=1,"ACCEPTED","OPEN")</f>
        <v>OPEN</v>
      </c>
    </row>
    <row r="465" customFormat="false" ht="15" hidden="false" customHeight="false" outlineLevel="0" collapsed="false">
      <c r="A465" s="19" t="str">
        <f aca="false">"PKT-"&amp;B465&amp;"-SAFETY"</f>
        <v>PKT-RIG-RT-REC-SAFETY</v>
      </c>
      <c r="B465" s="19" t="str">
        <f aca="false">'Lot Register'!A98</f>
        <v>RIG-RT-REC</v>
      </c>
      <c r="C465" s="19" t="str">
        <f aca="false">'Lot Register'!B98</f>
        <v>Root-native rig</v>
      </c>
      <c r="D465" s="19" t="str">
        <f aca="false">'Lot Register'!D98</f>
        <v>MS-RT</v>
      </c>
      <c r="E465" s="19" t="str">
        <f aca="false">'Lot Register'!G98</f>
        <v>ST-RT-REC</v>
      </c>
      <c r="F465" s="9" t="s">
        <v>566</v>
      </c>
      <c r="G465" s="9" t="s">
        <v>567</v>
      </c>
      <c r="H465" s="9" t="s">
        <v>568</v>
      </c>
      <c r="I465" s="11" t="s">
        <v>238</v>
      </c>
      <c r="J465" s="47" t="n">
        <f aca="false">Controls!B25</f>
        <v>0</v>
      </c>
      <c r="K465" s="47" t="str">
        <f aca="false">IF(J465=1,"ACCEPTED","OPEN")</f>
        <v>OPEN</v>
      </c>
    </row>
    <row r="466" customFormat="false" ht="15" hidden="false" customHeight="false" outlineLevel="0" collapsed="false">
      <c r="A466" s="19" t="str">
        <f aca="false">"PKT-"&amp;B466&amp;"-RECONSTRUCTION"</f>
        <v>PKT-RIG-RT-REC-RECONSTRUCTION</v>
      </c>
      <c r="B466" s="19" t="str">
        <f aca="false">'Lot Register'!A98</f>
        <v>RIG-RT-REC</v>
      </c>
      <c r="C466" s="19" t="str">
        <f aca="false">'Lot Register'!B98</f>
        <v>Root-native rig</v>
      </c>
      <c r="D466" s="19" t="str">
        <f aca="false">'Lot Register'!D98</f>
        <v>MS-RT</v>
      </c>
      <c r="E466" s="19" t="str">
        <f aca="false">'Lot Register'!G98</f>
        <v>ST-RT-REC</v>
      </c>
      <c r="F466" s="9" t="s">
        <v>282</v>
      </c>
      <c r="G466" s="9" t="s">
        <v>569</v>
      </c>
      <c r="H466" s="9" t="s">
        <v>570</v>
      </c>
      <c r="I466" s="11" t="s">
        <v>238</v>
      </c>
      <c r="J466" s="47" t="n">
        <f aca="false">Controls!B25</f>
        <v>0</v>
      </c>
      <c r="K466" s="47" t="str">
        <f aca="false">IF(J466=1,"ACCEPTED","OPEN")</f>
        <v>OPEN</v>
      </c>
    </row>
    <row r="467" customFormat="false" ht="15" hidden="false" customHeight="false" outlineLevel="0" collapsed="false">
      <c r="A467" s="19" t="str">
        <f aca="false">"PKT-"&amp;B467&amp;"-CONFIGURATION"</f>
        <v>PKT-MTH-RT-REC-L1-CONFIGURATION</v>
      </c>
      <c r="B467" s="19" t="str">
        <f aca="false">'Lot Register'!A99</f>
        <v>MTH-RT-REC-L1</v>
      </c>
      <c r="C467" s="19" t="str">
        <f aca="false">'Lot Register'!B99</f>
        <v>Method lineage</v>
      </c>
      <c r="D467" s="19" t="str">
        <f aca="false">'Lot Register'!D99</f>
        <v>MS-RT</v>
      </c>
      <c r="E467" s="19" t="str">
        <f aca="false">'Lot Register'!G99</f>
        <v>ST-RT-REC</v>
      </c>
      <c r="F467" s="9" t="s">
        <v>558</v>
      </c>
      <c r="G467" s="9" t="s">
        <v>559</v>
      </c>
      <c r="H467" s="9" t="s">
        <v>560</v>
      </c>
      <c r="I467" s="11" t="s">
        <v>238</v>
      </c>
      <c r="J467" s="47" t="n">
        <f aca="false">Controls!B25</f>
        <v>0</v>
      </c>
      <c r="K467" s="47" t="str">
        <f aca="false">IF(J467=1,"ACCEPTED","OPEN")</f>
        <v>OPEN</v>
      </c>
    </row>
    <row r="468" customFormat="false" ht="15" hidden="false" customHeight="false" outlineLevel="0" collapsed="false">
      <c r="A468" s="19" t="str">
        <f aca="false">"PKT-"&amp;B468&amp;"-CONTROL"</f>
        <v>PKT-MTH-RT-REC-L1-CONTROL</v>
      </c>
      <c r="B468" s="19" t="str">
        <f aca="false">'Lot Register'!A99</f>
        <v>MTH-RT-REC-L1</v>
      </c>
      <c r="C468" s="19" t="str">
        <f aca="false">'Lot Register'!B99</f>
        <v>Method lineage</v>
      </c>
      <c r="D468" s="19" t="str">
        <f aca="false">'Lot Register'!D99</f>
        <v>MS-RT</v>
      </c>
      <c r="E468" s="19" t="str">
        <f aca="false">'Lot Register'!G99</f>
        <v>ST-RT-REC</v>
      </c>
      <c r="F468" s="9" t="s">
        <v>271</v>
      </c>
      <c r="G468" s="9" t="s">
        <v>561</v>
      </c>
      <c r="H468" s="9" t="s">
        <v>562</v>
      </c>
      <c r="I468" s="11" t="s">
        <v>238</v>
      </c>
      <c r="J468" s="47" t="n">
        <f aca="false">Controls!B25</f>
        <v>0</v>
      </c>
      <c r="K468" s="47" t="str">
        <f aca="false">IF(J468=1,"ACCEPTED","OPEN")</f>
        <v>OPEN</v>
      </c>
    </row>
    <row r="469" customFormat="false" ht="15" hidden="false" customHeight="false" outlineLevel="0" collapsed="false">
      <c r="A469" s="19" t="str">
        <f aca="false">"PKT-"&amp;B469&amp;"-METROLOGY"</f>
        <v>PKT-MTH-RT-REC-L1-METROLOGY</v>
      </c>
      <c r="B469" s="19" t="str">
        <f aca="false">'Lot Register'!A99</f>
        <v>MTH-RT-REC-L1</v>
      </c>
      <c r="C469" s="19" t="str">
        <f aca="false">'Lot Register'!B99</f>
        <v>Method lineage</v>
      </c>
      <c r="D469" s="19" t="str">
        <f aca="false">'Lot Register'!D99</f>
        <v>MS-RT</v>
      </c>
      <c r="E469" s="19" t="str">
        <f aca="false">'Lot Register'!G99</f>
        <v>ST-RT-REC</v>
      </c>
      <c r="F469" s="9" t="s">
        <v>563</v>
      </c>
      <c r="G469" s="9" t="s">
        <v>564</v>
      </c>
      <c r="H469" s="9" t="s">
        <v>565</v>
      </c>
      <c r="I469" s="11" t="s">
        <v>238</v>
      </c>
      <c r="J469" s="47" t="n">
        <f aca="false">Controls!B25</f>
        <v>0</v>
      </c>
      <c r="K469" s="47" t="str">
        <f aca="false">IF(J469=1,"ACCEPTED","OPEN")</f>
        <v>OPEN</v>
      </c>
    </row>
    <row r="470" customFormat="false" ht="15" hidden="false" customHeight="false" outlineLevel="0" collapsed="false">
      <c r="A470" s="19" t="str">
        <f aca="false">"PKT-"&amp;B470&amp;"-SAFETY"</f>
        <v>PKT-MTH-RT-REC-L1-SAFETY</v>
      </c>
      <c r="B470" s="19" t="str">
        <f aca="false">'Lot Register'!A99</f>
        <v>MTH-RT-REC-L1</v>
      </c>
      <c r="C470" s="19" t="str">
        <f aca="false">'Lot Register'!B99</f>
        <v>Method lineage</v>
      </c>
      <c r="D470" s="19" t="str">
        <f aca="false">'Lot Register'!D99</f>
        <v>MS-RT</v>
      </c>
      <c r="E470" s="19" t="str">
        <f aca="false">'Lot Register'!G99</f>
        <v>ST-RT-REC</v>
      </c>
      <c r="F470" s="9" t="s">
        <v>566</v>
      </c>
      <c r="G470" s="9" t="s">
        <v>567</v>
      </c>
      <c r="H470" s="9" t="s">
        <v>568</v>
      </c>
      <c r="I470" s="11" t="s">
        <v>238</v>
      </c>
      <c r="J470" s="47" t="n">
        <f aca="false">Controls!B25</f>
        <v>0</v>
      </c>
      <c r="K470" s="47" t="str">
        <f aca="false">IF(J470=1,"ACCEPTED","OPEN")</f>
        <v>OPEN</v>
      </c>
    </row>
    <row r="471" customFormat="false" ht="15" hidden="false" customHeight="false" outlineLevel="0" collapsed="false">
      <c r="A471" s="19" t="str">
        <f aca="false">"PKT-"&amp;B471&amp;"-RECONSTRUCTION"</f>
        <v>PKT-MTH-RT-REC-L1-RECONSTRUCTION</v>
      </c>
      <c r="B471" s="19" t="str">
        <f aca="false">'Lot Register'!A99</f>
        <v>MTH-RT-REC-L1</v>
      </c>
      <c r="C471" s="19" t="str">
        <f aca="false">'Lot Register'!B99</f>
        <v>Method lineage</v>
      </c>
      <c r="D471" s="19" t="str">
        <f aca="false">'Lot Register'!D99</f>
        <v>MS-RT</v>
      </c>
      <c r="E471" s="19" t="str">
        <f aca="false">'Lot Register'!G99</f>
        <v>ST-RT-REC</v>
      </c>
      <c r="F471" s="9" t="s">
        <v>282</v>
      </c>
      <c r="G471" s="9" t="s">
        <v>569</v>
      </c>
      <c r="H471" s="9" t="s">
        <v>570</v>
      </c>
      <c r="I471" s="11" t="s">
        <v>238</v>
      </c>
      <c r="J471" s="47" t="n">
        <f aca="false">Controls!B25</f>
        <v>0</v>
      </c>
      <c r="K471" s="47" t="str">
        <f aca="false">IF(J471=1,"ACCEPTED","OPEN")</f>
        <v>OPEN</v>
      </c>
    </row>
    <row r="472" customFormat="false" ht="15" hidden="false" customHeight="false" outlineLevel="0" collapsed="false">
      <c r="A472" s="19" t="str">
        <f aca="false">"PKT-"&amp;B472&amp;"-CONFIGURATION"</f>
        <v>PKT-MTH-RT-REC-L2-CONFIGURATION</v>
      </c>
      <c r="B472" s="19" t="str">
        <f aca="false">'Lot Register'!A100</f>
        <v>MTH-RT-REC-L2</v>
      </c>
      <c r="C472" s="19" t="str">
        <f aca="false">'Lot Register'!B100</f>
        <v>Method lineage</v>
      </c>
      <c r="D472" s="19" t="str">
        <f aca="false">'Lot Register'!D100</f>
        <v>MS-RT</v>
      </c>
      <c r="E472" s="19" t="str">
        <f aca="false">'Lot Register'!G100</f>
        <v>ST-RT-REC</v>
      </c>
      <c r="F472" s="9" t="s">
        <v>558</v>
      </c>
      <c r="G472" s="9" t="s">
        <v>559</v>
      </c>
      <c r="H472" s="9" t="s">
        <v>560</v>
      </c>
      <c r="I472" s="11" t="s">
        <v>238</v>
      </c>
      <c r="J472" s="47" t="n">
        <f aca="false">Controls!B25</f>
        <v>0</v>
      </c>
      <c r="K472" s="47" t="str">
        <f aca="false">IF(J472=1,"ACCEPTED","OPEN")</f>
        <v>OPEN</v>
      </c>
    </row>
    <row r="473" customFormat="false" ht="15" hidden="false" customHeight="false" outlineLevel="0" collapsed="false">
      <c r="A473" s="19" t="str">
        <f aca="false">"PKT-"&amp;B473&amp;"-CONTROL"</f>
        <v>PKT-MTH-RT-REC-L2-CONTROL</v>
      </c>
      <c r="B473" s="19" t="str">
        <f aca="false">'Lot Register'!A100</f>
        <v>MTH-RT-REC-L2</v>
      </c>
      <c r="C473" s="19" t="str">
        <f aca="false">'Lot Register'!B100</f>
        <v>Method lineage</v>
      </c>
      <c r="D473" s="19" t="str">
        <f aca="false">'Lot Register'!D100</f>
        <v>MS-RT</v>
      </c>
      <c r="E473" s="19" t="str">
        <f aca="false">'Lot Register'!G100</f>
        <v>ST-RT-REC</v>
      </c>
      <c r="F473" s="9" t="s">
        <v>271</v>
      </c>
      <c r="G473" s="9" t="s">
        <v>561</v>
      </c>
      <c r="H473" s="9" t="s">
        <v>562</v>
      </c>
      <c r="I473" s="11" t="s">
        <v>238</v>
      </c>
      <c r="J473" s="47" t="n">
        <f aca="false">Controls!B25</f>
        <v>0</v>
      </c>
      <c r="K473" s="47" t="str">
        <f aca="false">IF(J473=1,"ACCEPTED","OPEN")</f>
        <v>OPEN</v>
      </c>
    </row>
    <row r="474" customFormat="false" ht="15" hidden="false" customHeight="false" outlineLevel="0" collapsed="false">
      <c r="A474" s="19" t="str">
        <f aca="false">"PKT-"&amp;B474&amp;"-METROLOGY"</f>
        <v>PKT-MTH-RT-REC-L2-METROLOGY</v>
      </c>
      <c r="B474" s="19" t="str">
        <f aca="false">'Lot Register'!A100</f>
        <v>MTH-RT-REC-L2</v>
      </c>
      <c r="C474" s="19" t="str">
        <f aca="false">'Lot Register'!B100</f>
        <v>Method lineage</v>
      </c>
      <c r="D474" s="19" t="str">
        <f aca="false">'Lot Register'!D100</f>
        <v>MS-RT</v>
      </c>
      <c r="E474" s="19" t="str">
        <f aca="false">'Lot Register'!G100</f>
        <v>ST-RT-REC</v>
      </c>
      <c r="F474" s="9" t="s">
        <v>563</v>
      </c>
      <c r="G474" s="9" t="s">
        <v>564</v>
      </c>
      <c r="H474" s="9" t="s">
        <v>565</v>
      </c>
      <c r="I474" s="11" t="s">
        <v>238</v>
      </c>
      <c r="J474" s="47" t="n">
        <f aca="false">Controls!B25</f>
        <v>0</v>
      </c>
      <c r="K474" s="47" t="str">
        <f aca="false">IF(J474=1,"ACCEPTED","OPEN")</f>
        <v>OPEN</v>
      </c>
    </row>
    <row r="475" customFormat="false" ht="15" hidden="false" customHeight="false" outlineLevel="0" collapsed="false">
      <c r="A475" s="19" t="str">
        <f aca="false">"PKT-"&amp;B475&amp;"-SAFETY"</f>
        <v>PKT-MTH-RT-REC-L2-SAFETY</v>
      </c>
      <c r="B475" s="19" t="str">
        <f aca="false">'Lot Register'!A100</f>
        <v>MTH-RT-REC-L2</v>
      </c>
      <c r="C475" s="19" t="str">
        <f aca="false">'Lot Register'!B100</f>
        <v>Method lineage</v>
      </c>
      <c r="D475" s="19" t="str">
        <f aca="false">'Lot Register'!D100</f>
        <v>MS-RT</v>
      </c>
      <c r="E475" s="19" t="str">
        <f aca="false">'Lot Register'!G100</f>
        <v>ST-RT-REC</v>
      </c>
      <c r="F475" s="9" t="s">
        <v>566</v>
      </c>
      <c r="G475" s="9" t="s">
        <v>567</v>
      </c>
      <c r="H475" s="9" t="s">
        <v>568</v>
      </c>
      <c r="I475" s="11" t="s">
        <v>238</v>
      </c>
      <c r="J475" s="47" t="n">
        <f aca="false">Controls!B25</f>
        <v>0</v>
      </c>
      <c r="K475" s="47" t="str">
        <f aca="false">IF(J475=1,"ACCEPTED","OPEN")</f>
        <v>OPEN</v>
      </c>
    </row>
    <row r="476" customFormat="false" ht="15" hidden="false" customHeight="false" outlineLevel="0" collapsed="false">
      <c r="A476" s="19" t="str">
        <f aca="false">"PKT-"&amp;B476&amp;"-RECONSTRUCTION"</f>
        <v>PKT-MTH-RT-REC-L2-RECONSTRUCTION</v>
      </c>
      <c r="B476" s="19" t="str">
        <f aca="false">'Lot Register'!A100</f>
        <v>MTH-RT-REC-L2</v>
      </c>
      <c r="C476" s="19" t="str">
        <f aca="false">'Lot Register'!B100</f>
        <v>Method lineage</v>
      </c>
      <c r="D476" s="19" t="str">
        <f aca="false">'Lot Register'!D100</f>
        <v>MS-RT</v>
      </c>
      <c r="E476" s="19" t="str">
        <f aca="false">'Lot Register'!G100</f>
        <v>ST-RT-REC</v>
      </c>
      <c r="F476" s="9" t="s">
        <v>282</v>
      </c>
      <c r="G476" s="9" t="s">
        <v>569</v>
      </c>
      <c r="H476" s="9" t="s">
        <v>570</v>
      </c>
      <c r="I476" s="11" t="s">
        <v>238</v>
      </c>
      <c r="J476" s="47" t="n">
        <f aca="false">Controls!B25</f>
        <v>0</v>
      </c>
      <c r="K476" s="47" t="str">
        <f aca="false">IF(J476=1,"ACCEPTED","OPEN")</f>
        <v>OPEN</v>
      </c>
    </row>
    <row r="477" customFormat="false" ht="15" hidden="false" customHeight="false" outlineLevel="0" collapsed="false">
      <c r="A477" s="19" t="str">
        <f aca="false">"PKT-"&amp;B477&amp;"-CONFIGURATION"</f>
        <v>PKT-REG-RT-REC-CONFIGURATION</v>
      </c>
      <c r="B477" s="19" t="str">
        <f aca="false">'Lot Register'!A101</f>
        <v>REG-RT-REC</v>
      </c>
      <c r="C477" s="19" t="str">
        <f aca="false">'Lot Register'!B101</f>
        <v>Regeneration tool</v>
      </c>
      <c r="D477" s="19" t="str">
        <f aca="false">'Lot Register'!D101</f>
        <v>MS-RT</v>
      </c>
      <c r="E477" s="19" t="str">
        <f aca="false">'Lot Register'!G101</f>
        <v>ST-RT-REC</v>
      </c>
      <c r="F477" s="9" t="s">
        <v>558</v>
      </c>
      <c r="G477" s="9" t="s">
        <v>559</v>
      </c>
      <c r="H477" s="9" t="s">
        <v>560</v>
      </c>
      <c r="I477" s="11" t="s">
        <v>238</v>
      </c>
      <c r="J477" s="47" t="n">
        <f aca="false">Controls!B25</f>
        <v>0</v>
      </c>
      <c r="K477" s="47" t="str">
        <f aca="false">IF(J477=1,"ACCEPTED","OPEN")</f>
        <v>OPEN</v>
      </c>
    </row>
    <row r="478" customFormat="false" ht="15" hidden="false" customHeight="false" outlineLevel="0" collapsed="false">
      <c r="A478" s="19" t="str">
        <f aca="false">"PKT-"&amp;B478&amp;"-CONTROL"</f>
        <v>PKT-REG-RT-REC-CONTROL</v>
      </c>
      <c r="B478" s="19" t="str">
        <f aca="false">'Lot Register'!A101</f>
        <v>REG-RT-REC</v>
      </c>
      <c r="C478" s="19" t="str">
        <f aca="false">'Lot Register'!B101</f>
        <v>Regeneration tool</v>
      </c>
      <c r="D478" s="19" t="str">
        <f aca="false">'Lot Register'!D101</f>
        <v>MS-RT</v>
      </c>
      <c r="E478" s="19" t="str">
        <f aca="false">'Lot Register'!G101</f>
        <v>ST-RT-REC</v>
      </c>
      <c r="F478" s="9" t="s">
        <v>271</v>
      </c>
      <c r="G478" s="9" t="s">
        <v>561</v>
      </c>
      <c r="H478" s="9" t="s">
        <v>562</v>
      </c>
      <c r="I478" s="11" t="s">
        <v>238</v>
      </c>
      <c r="J478" s="47" t="n">
        <f aca="false">Controls!B25</f>
        <v>0</v>
      </c>
      <c r="K478" s="47" t="str">
        <f aca="false">IF(J478=1,"ACCEPTED","OPEN")</f>
        <v>OPEN</v>
      </c>
    </row>
    <row r="479" customFormat="false" ht="15" hidden="false" customHeight="false" outlineLevel="0" collapsed="false">
      <c r="A479" s="19" t="str">
        <f aca="false">"PKT-"&amp;B479&amp;"-METROLOGY"</f>
        <v>PKT-REG-RT-REC-METROLOGY</v>
      </c>
      <c r="B479" s="19" t="str">
        <f aca="false">'Lot Register'!A101</f>
        <v>REG-RT-REC</v>
      </c>
      <c r="C479" s="19" t="str">
        <f aca="false">'Lot Register'!B101</f>
        <v>Regeneration tool</v>
      </c>
      <c r="D479" s="19" t="str">
        <f aca="false">'Lot Register'!D101</f>
        <v>MS-RT</v>
      </c>
      <c r="E479" s="19" t="str">
        <f aca="false">'Lot Register'!G101</f>
        <v>ST-RT-REC</v>
      </c>
      <c r="F479" s="9" t="s">
        <v>563</v>
      </c>
      <c r="G479" s="9" t="s">
        <v>564</v>
      </c>
      <c r="H479" s="9" t="s">
        <v>565</v>
      </c>
      <c r="I479" s="11" t="s">
        <v>238</v>
      </c>
      <c r="J479" s="47" t="n">
        <f aca="false">Controls!B25</f>
        <v>0</v>
      </c>
      <c r="K479" s="47" t="str">
        <f aca="false">IF(J479=1,"ACCEPTED","OPEN")</f>
        <v>OPEN</v>
      </c>
    </row>
    <row r="480" customFormat="false" ht="15" hidden="false" customHeight="false" outlineLevel="0" collapsed="false">
      <c r="A480" s="19" t="str">
        <f aca="false">"PKT-"&amp;B480&amp;"-SAFETY"</f>
        <v>PKT-REG-RT-REC-SAFETY</v>
      </c>
      <c r="B480" s="19" t="str">
        <f aca="false">'Lot Register'!A101</f>
        <v>REG-RT-REC</v>
      </c>
      <c r="C480" s="19" t="str">
        <f aca="false">'Lot Register'!B101</f>
        <v>Regeneration tool</v>
      </c>
      <c r="D480" s="19" t="str">
        <f aca="false">'Lot Register'!D101</f>
        <v>MS-RT</v>
      </c>
      <c r="E480" s="19" t="str">
        <f aca="false">'Lot Register'!G101</f>
        <v>ST-RT-REC</v>
      </c>
      <c r="F480" s="9" t="s">
        <v>566</v>
      </c>
      <c r="G480" s="9" t="s">
        <v>567</v>
      </c>
      <c r="H480" s="9" t="s">
        <v>568</v>
      </c>
      <c r="I480" s="11" t="s">
        <v>238</v>
      </c>
      <c r="J480" s="47" t="n">
        <f aca="false">Controls!B25</f>
        <v>0</v>
      </c>
      <c r="K480" s="47" t="str">
        <f aca="false">IF(J480=1,"ACCEPTED","OPEN")</f>
        <v>OPEN</v>
      </c>
    </row>
    <row r="481" customFormat="false" ht="15" hidden="false" customHeight="false" outlineLevel="0" collapsed="false">
      <c r="A481" s="19" t="str">
        <f aca="false">"PKT-"&amp;B481&amp;"-RECONSTRUCTION"</f>
        <v>PKT-REG-RT-REC-RECONSTRUCTION</v>
      </c>
      <c r="B481" s="19" t="str">
        <f aca="false">'Lot Register'!A101</f>
        <v>REG-RT-REC</v>
      </c>
      <c r="C481" s="19" t="str">
        <f aca="false">'Lot Register'!B101</f>
        <v>Regeneration tool</v>
      </c>
      <c r="D481" s="19" t="str">
        <f aca="false">'Lot Register'!D101</f>
        <v>MS-RT</v>
      </c>
      <c r="E481" s="19" t="str">
        <f aca="false">'Lot Register'!G101</f>
        <v>ST-RT-REC</v>
      </c>
      <c r="F481" s="9" t="s">
        <v>282</v>
      </c>
      <c r="G481" s="9" t="s">
        <v>569</v>
      </c>
      <c r="H481" s="9" t="s">
        <v>570</v>
      </c>
      <c r="I481" s="11" t="s">
        <v>238</v>
      </c>
      <c r="J481" s="47" t="n">
        <f aca="false">Controls!B25</f>
        <v>0</v>
      </c>
      <c r="K481" s="47" t="str">
        <f aca="false">IF(J481=1,"ACCEPTED","OPEN")</f>
        <v>OPEN</v>
      </c>
    </row>
    <row r="482" customFormat="false" ht="15" hidden="false" customHeight="false" outlineLevel="0" collapsed="false">
      <c r="A482" s="19" t="str">
        <f aca="false">"PKT-"&amp;B482&amp;"-CONFIGURATION"</f>
        <v>PKT-INT-RT-REC-CONFIGURATION</v>
      </c>
      <c r="B482" s="19" t="str">
        <f aca="false">'Lot Register'!A102</f>
        <v>INT-RT-REC</v>
      </c>
      <c r="C482" s="19" t="str">
        <f aca="false">'Lot Register'!B102</f>
        <v>Station integration</v>
      </c>
      <c r="D482" s="19" t="str">
        <f aca="false">'Lot Register'!D102</f>
        <v>MS-RT</v>
      </c>
      <c r="E482" s="19" t="str">
        <f aca="false">'Lot Register'!G102</f>
        <v>ST-RT-REC</v>
      </c>
      <c r="F482" s="9" t="s">
        <v>558</v>
      </c>
      <c r="G482" s="9" t="s">
        <v>559</v>
      </c>
      <c r="H482" s="9" t="s">
        <v>560</v>
      </c>
      <c r="I482" s="11" t="s">
        <v>238</v>
      </c>
      <c r="J482" s="47" t="n">
        <f aca="false">Controls!B25</f>
        <v>0</v>
      </c>
      <c r="K482" s="47" t="str">
        <f aca="false">IF(J482=1,"ACCEPTED","OPEN")</f>
        <v>OPEN</v>
      </c>
    </row>
    <row r="483" customFormat="false" ht="15" hidden="false" customHeight="false" outlineLevel="0" collapsed="false">
      <c r="A483" s="19" t="str">
        <f aca="false">"PKT-"&amp;B483&amp;"-CONTROL"</f>
        <v>PKT-INT-RT-REC-CONTROL</v>
      </c>
      <c r="B483" s="19" t="str">
        <f aca="false">'Lot Register'!A102</f>
        <v>INT-RT-REC</v>
      </c>
      <c r="C483" s="19" t="str">
        <f aca="false">'Lot Register'!B102</f>
        <v>Station integration</v>
      </c>
      <c r="D483" s="19" t="str">
        <f aca="false">'Lot Register'!D102</f>
        <v>MS-RT</v>
      </c>
      <c r="E483" s="19" t="str">
        <f aca="false">'Lot Register'!G102</f>
        <v>ST-RT-REC</v>
      </c>
      <c r="F483" s="9" t="s">
        <v>271</v>
      </c>
      <c r="G483" s="9" t="s">
        <v>561</v>
      </c>
      <c r="H483" s="9" t="s">
        <v>562</v>
      </c>
      <c r="I483" s="11" t="s">
        <v>238</v>
      </c>
      <c r="J483" s="47" t="n">
        <f aca="false">Controls!B25</f>
        <v>0</v>
      </c>
      <c r="K483" s="47" t="str">
        <f aca="false">IF(J483=1,"ACCEPTED","OPEN")</f>
        <v>OPEN</v>
      </c>
    </row>
    <row r="484" customFormat="false" ht="15" hidden="false" customHeight="false" outlineLevel="0" collapsed="false">
      <c r="A484" s="19" t="str">
        <f aca="false">"PKT-"&amp;B484&amp;"-METROLOGY"</f>
        <v>PKT-INT-RT-REC-METROLOGY</v>
      </c>
      <c r="B484" s="19" t="str">
        <f aca="false">'Lot Register'!A102</f>
        <v>INT-RT-REC</v>
      </c>
      <c r="C484" s="19" t="str">
        <f aca="false">'Lot Register'!B102</f>
        <v>Station integration</v>
      </c>
      <c r="D484" s="19" t="str">
        <f aca="false">'Lot Register'!D102</f>
        <v>MS-RT</v>
      </c>
      <c r="E484" s="19" t="str">
        <f aca="false">'Lot Register'!G102</f>
        <v>ST-RT-REC</v>
      </c>
      <c r="F484" s="9" t="s">
        <v>563</v>
      </c>
      <c r="G484" s="9" t="s">
        <v>564</v>
      </c>
      <c r="H484" s="9" t="s">
        <v>565</v>
      </c>
      <c r="I484" s="11" t="s">
        <v>238</v>
      </c>
      <c r="J484" s="47" t="n">
        <f aca="false">Controls!B25</f>
        <v>0</v>
      </c>
      <c r="K484" s="47" t="str">
        <f aca="false">IF(J484=1,"ACCEPTED","OPEN")</f>
        <v>OPEN</v>
      </c>
    </row>
    <row r="485" customFormat="false" ht="15" hidden="false" customHeight="false" outlineLevel="0" collapsed="false">
      <c r="A485" s="19" t="str">
        <f aca="false">"PKT-"&amp;B485&amp;"-SAFETY"</f>
        <v>PKT-INT-RT-REC-SAFETY</v>
      </c>
      <c r="B485" s="19" t="str">
        <f aca="false">'Lot Register'!A102</f>
        <v>INT-RT-REC</v>
      </c>
      <c r="C485" s="19" t="str">
        <f aca="false">'Lot Register'!B102</f>
        <v>Station integration</v>
      </c>
      <c r="D485" s="19" t="str">
        <f aca="false">'Lot Register'!D102</f>
        <v>MS-RT</v>
      </c>
      <c r="E485" s="19" t="str">
        <f aca="false">'Lot Register'!G102</f>
        <v>ST-RT-REC</v>
      </c>
      <c r="F485" s="9" t="s">
        <v>566</v>
      </c>
      <c r="G485" s="9" t="s">
        <v>567</v>
      </c>
      <c r="H485" s="9" t="s">
        <v>568</v>
      </c>
      <c r="I485" s="11" t="s">
        <v>238</v>
      </c>
      <c r="J485" s="47" t="n">
        <f aca="false">Controls!B25</f>
        <v>0</v>
      </c>
      <c r="K485" s="47" t="str">
        <f aca="false">IF(J485=1,"ACCEPTED","OPEN")</f>
        <v>OPEN</v>
      </c>
    </row>
    <row r="486" customFormat="false" ht="15" hidden="false" customHeight="false" outlineLevel="0" collapsed="false">
      <c r="A486" s="19" t="str">
        <f aca="false">"PKT-"&amp;B486&amp;"-RECONSTRUCTION"</f>
        <v>PKT-INT-RT-REC-RECONSTRUCTION</v>
      </c>
      <c r="B486" s="19" t="str">
        <f aca="false">'Lot Register'!A102</f>
        <v>INT-RT-REC</v>
      </c>
      <c r="C486" s="19" t="str">
        <f aca="false">'Lot Register'!B102</f>
        <v>Station integration</v>
      </c>
      <c r="D486" s="19" t="str">
        <f aca="false">'Lot Register'!D102</f>
        <v>MS-RT</v>
      </c>
      <c r="E486" s="19" t="str">
        <f aca="false">'Lot Register'!G102</f>
        <v>ST-RT-REC</v>
      </c>
      <c r="F486" s="9" t="s">
        <v>282</v>
      </c>
      <c r="G486" s="9" t="s">
        <v>569</v>
      </c>
      <c r="H486" s="9" t="s">
        <v>570</v>
      </c>
      <c r="I486" s="11" t="s">
        <v>238</v>
      </c>
      <c r="J486" s="47" t="n">
        <f aca="false">Controls!B25</f>
        <v>0</v>
      </c>
      <c r="K486" s="47" t="str">
        <f aca="false">IF(J486=1,"ACCEPTED","OPEN")</f>
        <v>OPEN</v>
      </c>
    </row>
    <row r="487" customFormat="false" ht="15" hidden="false" customHeight="false" outlineLevel="0" collapsed="false">
      <c r="A487" s="19" t="str">
        <f aca="false">"PKT-"&amp;B487&amp;"-CONFIGURATION"</f>
        <v>PKT-CAN-ET-A-CONFIGURATION</v>
      </c>
      <c r="B487" s="19" t="str">
        <f aca="false">'Lot Register'!A103</f>
        <v>CAN-ET-A</v>
      </c>
      <c r="C487" s="19" t="str">
        <f aca="false">'Lot Register'!B103</f>
        <v>Candidate mechanism</v>
      </c>
      <c r="D487" s="19" t="str">
        <f aca="false">'Lot Register'!D103</f>
        <v>MS-ET</v>
      </c>
      <c r="E487" s="19" t="str">
        <f aca="false">'Lot Register'!G103</f>
        <v>ET TRUTH TRAIN</v>
      </c>
      <c r="F487" s="9" t="s">
        <v>558</v>
      </c>
      <c r="G487" s="9" t="s">
        <v>559</v>
      </c>
      <c r="H487" s="9" t="s">
        <v>560</v>
      </c>
      <c r="I487" s="11" t="s">
        <v>238</v>
      </c>
      <c r="J487" s="47" t="n">
        <f aca="false">Controls!B25</f>
        <v>0</v>
      </c>
      <c r="K487" s="47" t="str">
        <f aca="false">IF(J487=1,"ACCEPTED","OPEN")</f>
        <v>OPEN</v>
      </c>
    </row>
    <row r="488" customFormat="false" ht="15" hidden="false" customHeight="false" outlineLevel="0" collapsed="false">
      <c r="A488" s="19" t="str">
        <f aca="false">"PKT-"&amp;B488&amp;"-CONTROL"</f>
        <v>PKT-CAN-ET-A-CONTROL</v>
      </c>
      <c r="B488" s="19" t="str">
        <f aca="false">'Lot Register'!A103</f>
        <v>CAN-ET-A</v>
      </c>
      <c r="C488" s="19" t="str">
        <f aca="false">'Lot Register'!B103</f>
        <v>Candidate mechanism</v>
      </c>
      <c r="D488" s="19" t="str">
        <f aca="false">'Lot Register'!D103</f>
        <v>MS-ET</v>
      </c>
      <c r="E488" s="19" t="str">
        <f aca="false">'Lot Register'!G103</f>
        <v>ET TRUTH TRAIN</v>
      </c>
      <c r="F488" s="9" t="s">
        <v>271</v>
      </c>
      <c r="G488" s="9" t="s">
        <v>561</v>
      </c>
      <c r="H488" s="9" t="s">
        <v>562</v>
      </c>
      <c r="I488" s="11" t="s">
        <v>238</v>
      </c>
      <c r="J488" s="47" t="n">
        <f aca="false">Controls!B25</f>
        <v>0</v>
      </c>
      <c r="K488" s="47" t="str">
        <f aca="false">IF(J488=1,"ACCEPTED","OPEN")</f>
        <v>OPEN</v>
      </c>
    </row>
    <row r="489" customFormat="false" ht="15" hidden="false" customHeight="false" outlineLevel="0" collapsed="false">
      <c r="A489" s="19" t="str">
        <f aca="false">"PKT-"&amp;B489&amp;"-METROLOGY"</f>
        <v>PKT-CAN-ET-A-METROLOGY</v>
      </c>
      <c r="B489" s="19" t="str">
        <f aca="false">'Lot Register'!A103</f>
        <v>CAN-ET-A</v>
      </c>
      <c r="C489" s="19" t="str">
        <f aca="false">'Lot Register'!B103</f>
        <v>Candidate mechanism</v>
      </c>
      <c r="D489" s="19" t="str">
        <f aca="false">'Lot Register'!D103</f>
        <v>MS-ET</v>
      </c>
      <c r="E489" s="19" t="str">
        <f aca="false">'Lot Register'!G103</f>
        <v>ET TRUTH TRAIN</v>
      </c>
      <c r="F489" s="9" t="s">
        <v>563</v>
      </c>
      <c r="G489" s="9" t="s">
        <v>564</v>
      </c>
      <c r="H489" s="9" t="s">
        <v>565</v>
      </c>
      <c r="I489" s="11" t="s">
        <v>238</v>
      </c>
      <c r="J489" s="47" t="n">
        <f aca="false">Controls!B25</f>
        <v>0</v>
      </c>
      <c r="K489" s="47" t="str">
        <f aca="false">IF(J489=1,"ACCEPTED","OPEN")</f>
        <v>OPEN</v>
      </c>
    </row>
    <row r="490" customFormat="false" ht="15" hidden="false" customHeight="false" outlineLevel="0" collapsed="false">
      <c r="A490" s="19" t="str">
        <f aca="false">"PKT-"&amp;B490&amp;"-SAFETY"</f>
        <v>PKT-CAN-ET-A-SAFETY</v>
      </c>
      <c r="B490" s="19" t="str">
        <f aca="false">'Lot Register'!A103</f>
        <v>CAN-ET-A</v>
      </c>
      <c r="C490" s="19" t="str">
        <f aca="false">'Lot Register'!B103</f>
        <v>Candidate mechanism</v>
      </c>
      <c r="D490" s="19" t="str">
        <f aca="false">'Lot Register'!D103</f>
        <v>MS-ET</v>
      </c>
      <c r="E490" s="19" t="str">
        <f aca="false">'Lot Register'!G103</f>
        <v>ET TRUTH TRAIN</v>
      </c>
      <c r="F490" s="9" t="s">
        <v>566</v>
      </c>
      <c r="G490" s="9" t="s">
        <v>567</v>
      </c>
      <c r="H490" s="9" t="s">
        <v>568</v>
      </c>
      <c r="I490" s="11" t="s">
        <v>238</v>
      </c>
      <c r="J490" s="47" t="n">
        <f aca="false">Controls!B25</f>
        <v>0</v>
      </c>
      <c r="K490" s="47" t="str">
        <f aca="false">IF(J490=1,"ACCEPTED","OPEN")</f>
        <v>OPEN</v>
      </c>
    </row>
    <row r="491" customFormat="false" ht="15" hidden="false" customHeight="false" outlineLevel="0" collapsed="false">
      <c r="A491" s="19" t="str">
        <f aca="false">"PKT-"&amp;B491&amp;"-RECONSTRUCTION"</f>
        <v>PKT-CAN-ET-A-RECONSTRUCTION</v>
      </c>
      <c r="B491" s="19" t="str">
        <f aca="false">'Lot Register'!A103</f>
        <v>CAN-ET-A</v>
      </c>
      <c r="C491" s="19" t="str">
        <f aca="false">'Lot Register'!B103</f>
        <v>Candidate mechanism</v>
      </c>
      <c r="D491" s="19" t="str">
        <f aca="false">'Lot Register'!D103</f>
        <v>MS-ET</v>
      </c>
      <c r="E491" s="19" t="str">
        <f aca="false">'Lot Register'!G103</f>
        <v>ET TRUTH TRAIN</v>
      </c>
      <c r="F491" s="9" t="s">
        <v>282</v>
      </c>
      <c r="G491" s="9" t="s">
        <v>569</v>
      </c>
      <c r="H491" s="9" t="s">
        <v>570</v>
      </c>
      <c r="I491" s="11" t="s">
        <v>238</v>
      </c>
      <c r="J491" s="47" t="n">
        <f aca="false">Controls!B25</f>
        <v>0</v>
      </c>
      <c r="K491" s="47" t="str">
        <f aca="false">IF(J491=1,"ACCEPTED","OPEN")</f>
        <v>OPEN</v>
      </c>
    </row>
    <row r="492" customFormat="false" ht="15" hidden="false" customHeight="false" outlineLevel="0" collapsed="false">
      <c r="A492" s="19" t="str">
        <f aca="false">"PKT-"&amp;B492&amp;"-CONFIGURATION"</f>
        <v>PKT-CAN-CT-C-CONFIGURATION</v>
      </c>
      <c r="B492" s="19" t="str">
        <f aca="false">'Lot Register'!A104</f>
        <v>CAN-CT-C</v>
      </c>
      <c r="C492" s="19" t="str">
        <f aca="false">'Lot Register'!B104</f>
        <v>Candidate mechanism</v>
      </c>
      <c r="D492" s="19" t="str">
        <f aca="false">'Lot Register'!D104</f>
        <v>MS-CT</v>
      </c>
      <c r="E492" s="19" t="str">
        <f aca="false">'Lot Register'!G104</f>
        <v>CT TRUTH TRAIN</v>
      </c>
      <c r="F492" s="9" t="s">
        <v>558</v>
      </c>
      <c r="G492" s="9" t="s">
        <v>559</v>
      </c>
      <c r="H492" s="9" t="s">
        <v>560</v>
      </c>
      <c r="I492" s="11" t="s">
        <v>238</v>
      </c>
      <c r="J492" s="47" t="n">
        <f aca="false">Controls!B25</f>
        <v>0</v>
      </c>
      <c r="K492" s="47" t="str">
        <f aca="false">IF(J492=1,"ACCEPTED","OPEN")</f>
        <v>OPEN</v>
      </c>
    </row>
    <row r="493" customFormat="false" ht="15" hidden="false" customHeight="false" outlineLevel="0" collapsed="false">
      <c r="A493" s="19" t="str">
        <f aca="false">"PKT-"&amp;B493&amp;"-CONTROL"</f>
        <v>PKT-CAN-CT-C-CONTROL</v>
      </c>
      <c r="B493" s="19" t="str">
        <f aca="false">'Lot Register'!A104</f>
        <v>CAN-CT-C</v>
      </c>
      <c r="C493" s="19" t="str">
        <f aca="false">'Lot Register'!B104</f>
        <v>Candidate mechanism</v>
      </c>
      <c r="D493" s="19" t="str">
        <f aca="false">'Lot Register'!D104</f>
        <v>MS-CT</v>
      </c>
      <c r="E493" s="19" t="str">
        <f aca="false">'Lot Register'!G104</f>
        <v>CT TRUTH TRAIN</v>
      </c>
      <c r="F493" s="9" t="s">
        <v>271</v>
      </c>
      <c r="G493" s="9" t="s">
        <v>561</v>
      </c>
      <c r="H493" s="9" t="s">
        <v>562</v>
      </c>
      <c r="I493" s="11" t="s">
        <v>238</v>
      </c>
      <c r="J493" s="47" t="n">
        <f aca="false">Controls!B25</f>
        <v>0</v>
      </c>
      <c r="K493" s="47" t="str">
        <f aca="false">IF(J493=1,"ACCEPTED","OPEN")</f>
        <v>OPEN</v>
      </c>
    </row>
    <row r="494" customFormat="false" ht="15" hidden="false" customHeight="false" outlineLevel="0" collapsed="false">
      <c r="A494" s="19" t="str">
        <f aca="false">"PKT-"&amp;B494&amp;"-METROLOGY"</f>
        <v>PKT-CAN-CT-C-METROLOGY</v>
      </c>
      <c r="B494" s="19" t="str">
        <f aca="false">'Lot Register'!A104</f>
        <v>CAN-CT-C</v>
      </c>
      <c r="C494" s="19" t="str">
        <f aca="false">'Lot Register'!B104</f>
        <v>Candidate mechanism</v>
      </c>
      <c r="D494" s="19" t="str">
        <f aca="false">'Lot Register'!D104</f>
        <v>MS-CT</v>
      </c>
      <c r="E494" s="19" t="str">
        <f aca="false">'Lot Register'!G104</f>
        <v>CT TRUTH TRAIN</v>
      </c>
      <c r="F494" s="9" t="s">
        <v>563</v>
      </c>
      <c r="G494" s="9" t="s">
        <v>564</v>
      </c>
      <c r="H494" s="9" t="s">
        <v>565</v>
      </c>
      <c r="I494" s="11" t="s">
        <v>238</v>
      </c>
      <c r="J494" s="47" t="n">
        <f aca="false">Controls!B25</f>
        <v>0</v>
      </c>
      <c r="K494" s="47" t="str">
        <f aca="false">IF(J494=1,"ACCEPTED","OPEN")</f>
        <v>OPEN</v>
      </c>
    </row>
    <row r="495" customFormat="false" ht="15" hidden="false" customHeight="false" outlineLevel="0" collapsed="false">
      <c r="A495" s="19" t="str">
        <f aca="false">"PKT-"&amp;B495&amp;"-SAFETY"</f>
        <v>PKT-CAN-CT-C-SAFETY</v>
      </c>
      <c r="B495" s="19" t="str">
        <f aca="false">'Lot Register'!A104</f>
        <v>CAN-CT-C</v>
      </c>
      <c r="C495" s="19" t="str">
        <f aca="false">'Lot Register'!B104</f>
        <v>Candidate mechanism</v>
      </c>
      <c r="D495" s="19" t="str">
        <f aca="false">'Lot Register'!D104</f>
        <v>MS-CT</v>
      </c>
      <c r="E495" s="19" t="str">
        <f aca="false">'Lot Register'!G104</f>
        <v>CT TRUTH TRAIN</v>
      </c>
      <c r="F495" s="9" t="s">
        <v>566</v>
      </c>
      <c r="G495" s="9" t="s">
        <v>567</v>
      </c>
      <c r="H495" s="9" t="s">
        <v>568</v>
      </c>
      <c r="I495" s="11" t="s">
        <v>238</v>
      </c>
      <c r="J495" s="47" t="n">
        <f aca="false">Controls!B25</f>
        <v>0</v>
      </c>
      <c r="K495" s="47" t="str">
        <f aca="false">IF(J495=1,"ACCEPTED","OPEN")</f>
        <v>OPEN</v>
      </c>
    </row>
    <row r="496" customFormat="false" ht="15" hidden="false" customHeight="false" outlineLevel="0" collapsed="false">
      <c r="A496" s="19" t="str">
        <f aca="false">"PKT-"&amp;B496&amp;"-RECONSTRUCTION"</f>
        <v>PKT-CAN-CT-C-RECONSTRUCTION</v>
      </c>
      <c r="B496" s="19" t="str">
        <f aca="false">'Lot Register'!A104</f>
        <v>CAN-CT-C</v>
      </c>
      <c r="C496" s="19" t="str">
        <f aca="false">'Lot Register'!B104</f>
        <v>Candidate mechanism</v>
      </c>
      <c r="D496" s="19" t="str">
        <f aca="false">'Lot Register'!D104</f>
        <v>MS-CT</v>
      </c>
      <c r="E496" s="19" t="str">
        <f aca="false">'Lot Register'!G104</f>
        <v>CT TRUTH TRAIN</v>
      </c>
      <c r="F496" s="9" t="s">
        <v>282</v>
      </c>
      <c r="G496" s="9" t="s">
        <v>569</v>
      </c>
      <c r="H496" s="9" t="s">
        <v>570</v>
      </c>
      <c r="I496" s="11" t="s">
        <v>238</v>
      </c>
      <c r="J496" s="47" t="n">
        <f aca="false">Controls!B25</f>
        <v>0</v>
      </c>
      <c r="K496" s="47" t="str">
        <f aca="false">IF(J496=1,"ACCEPTED","OPEN")</f>
        <v>OPEN</v>
      </c>
    </row>
    <row r="497" customFormat="false" ht="15" hidden="false" customHeight="false" outlineLevel="0" collapsed="false">
      <c r="A497" s="19" t="str">
        <f aca="false">"PKT-"&amp;B497&amp;"-CONFIGURATION"</f>
        <v>PKT-CAN-HC-A-CONFIGURATION</v>
      </c>
      <c r="B497" s="19" t="str">
        <f aca="false">'Lot Register'!A105</f>
        <v>CAN-HC-A</v>
      </c>
      <c r="C497" s="19" t="str">
        <f aca="false">'Lot Register'!B105</f>
        <v>Candidate mechanism</v>
      </c>
      <c r="D497" s="19" t="str">
        <f aca="false">'Lot Register'!D105</f>
        <v>MS-HC</v>
      </c>
      <c r="E497" s="19" t="str">
        <f aca="false">'Lot Register'!G105</f>
        <v>HC TRUTH TRAIN</v>
      </c>
      <c r="F497" s="9" t="s">
        <v>558</v>
      </c>
      <c r="G497" s="9" t="s">
        <v>559</v>
      </c>
      <c r="H497" s="9" t="s">
        <v>560</v>
      </c>
      <c r="I497" s="11" t="s">
        <v>238</v>
      </c>
      <c r="J497" s="47" t="n">
        <f aca="false">Controls!B25</f>
        <v>0</v>
      </c>
      <c r="K497" s="47" t="str">
        <f aca="false">IF(J497=1,"ACCEPTED","OPEN")</f>
        <v>OPEN</v>
      </c>
    </row>
    <row r="498" customFormat="false" ht="15" hidden="false" customHeight="false" outlineLevel="0" collapsed="false">
      <c r="A498" s="19" t="str">
        <f aca="false">"PKT-"&amp;B498&amp;"-CONTROL"</f>
        <v>PKT-CAN-HC-A-CONTROL</v>
      </c>
      <c r="B498" s="19" t="str">
        <f aca="false">'Lot Register'!A105</f>
        <v>CAN-HC-A</v>
      </c>
      <c r="C498" s="19" t="str">
        <f aca="false">'Lot Register'!B105</f>
        <v>Candidate mechanism</v>
      </c>
      <c r="D498" s="19" t="str">
        <f aca="false">'Lot Register'!D105</f>
        <v>MS-HC</v>
      </c>
      <c r="E498" s="19" t="str">
        <f aca="false">'Lot Register'!G105</f>
        <v>HC TRUTH TRAIN</v>
      </c>
      <c r="F498" s="9" t="s">
        <v>271</v>
      </c>
      <c r="G498" s="9" t="s">
        <v>561</v>
      </c>
      <c r="H498" s="9" t="s">
        <v>562</v>
      </c>
      <c r="I498" s="11" t="s">
        <v>238</v>
      </c>
      <c r="J498" s="47" t="n">
        <f aca="false">Controls!B25</f>
        <v>0</v>
      </c>
      <c r="K498" s="47" t="str">
        <f aca="false">IF(J498=1,"ACCEPTED","OPEN")</f>
        <v>OPEN</v>
      </c>
    </row>
    <row r="499" customFormat="false" ht="15" hidden="false" customHeight="false" outlineLevel="0" collapsed="false">
      <c r="A499" s="19" t="str">
        <f aca="false">"PKT-"&amp;B499&amp;"-METROLOGY"</f>
        <v>PKT-CAN-HC-A-METROLOGY</v>
      </c>
      <c r="B499" s="19" t="str">
        <f aca="false">'Lot Register'!A105</f>
        <v>CAN-HC-A</v>
      </c>
      <c r="C499" s="19" t="str">
        <f aca="false">'Lot Register'!B105</f>
        <v>Candidate mechanism</v>
      </c>
      <c r="D499" s="19" t="str">
        <f aca="false">'Lot Register'!D105</f>
        <v>MS-HC</v>
      </c>
      <c r="E499" s="19" t="str">
        <f aca="false">'Lot Register'!G105</f>
        <v>HC TRUTH TRAIN</v>
      </c>
      <c r="F499" s="9" t="s">
        <v>563</v>
      </c>
      <c r="G499" s="9" t="s">
        <v>564</v>
      </c>
      <c r="H499" s="9" t="s">
        <v>565</v>
      </c>
      <c r="I499" s="11" t="s">
        <v>238</v>
      </c>
      <c r="J499" s="47" t="n">
        <f aca="false">Controls!B25</f>
        <v>0</v>
      </c>
      <c r="K499" s="47" t="str">
        <f aca="false">IF(J499=1,"ACCEPTED","OPEN")</f>
        <v>OPEN</v>
      </c>
    </row>
    <row r="500" customFormat="false" ht="15" hidden="false" customHeight="false" outlineLevel="0" collapsed="false">
      <c r="A500" s="19" t="str">
        <f aca="false">"PKT-"&amp;B500&amp;"-SAFETY"</f>
        <v>PKT-CAN-HC-A-SAFETY</v>
      </c>
      <c r="B500" s="19" t="str">
        <f aca="false">'Lot Register'!A105</f>
        <v>CAN-HC-A</v>
      </c>
      <c r="C500" s="19" t="str">
        <f aca="false">'Lot Register'!B105</f>
        <v>Candidate mechanism</v>
      </c>
      <c r="D500" s="19" t="str">
        <f aca="false">'Lot Register'!D105</f>
        <v>MS-HC</v>
      </c>
      <c r="E500" s="19" t="str">
        <f aca="false">'Lot Register'!G105</f>
        <v>HC TRUTH TRAIN</v>
      </c>
      <c r="F500" s="9" t="s">
        <v>566</v>
      </c>
      <c r="G500" s="9" t="s">
        <v>567</v>
      </c>
      <c r="H500" s="9" t="s">
        <v>568</v>
      </c>
      <c r="I500" s="11" t="s">
        <v>238</v>
      </c>
      <c r="J500" s="47" t="n">
        <f aca="false">Controls!B25</f>
        <v>0</v>
      </c>
      <c r="K500" s="47" t="str">
        <f aca="false">IF(J500=1,"ACCEPTED","OPEN")</f>
        <v>OPEN</v>
      </c>
    </row>
    <row r="501" customFormat="false" ht="15" hidden="false" customHeight="false" outlineLevel="0" collapsed="false">
      <c r="A501" s="19" t="str">
        <f aca="false">"PKT-"&amp;B501&amp;"-RECONSTRUCTION"</f>
        <v>PKT-CAN-HC-A-RECONSTRUCTION</v>
      </c>
      <c r="B501" s="19" t="str">
        <f aca="false">'Lot Register'!A105</f>
        <v>CAN-HC-A</v>
      </c>
      <c r="C501" s="19" t="str">
        <f aca="false">'Lot Register'!B105</f>
        <v>Candidate mechanism</v>
      </c>
      <c r="D501" s="19" t="str">
        <f aca="false">'Lot Register'!D105</f>
        <v>MS-HC</v>
      </c>
      <c r="E501" s="19" t="str">
        <f aca="false">'Lot Register'!G105</f>
        <v>HC TRUTH TRAIN</v>
      </c>
      <c r="F501" s="9" t="s">
        <v>282</v>
      </c>
      <c r="G501" s="9" t="s">
        <v>569</v>
      </c>
      <c r="H501" s="9" t="s">
        <v>570</v>
      </c>
      <c r="I501" s="11" t="s">
        <v>238</v>
      </c>
      <c r="J501" s="47" t="n">
        <f aca="false">Controls!B25</f>
        <v>0</v>
      </c>
      <c r="K501" s="47" t="str">
        <f aca="false">IF(J501=1,"ACCEPTED","OPEN")</f>
        <v>OPEN</v>
      </c>
    </row>
    <row r="502" customFormat="false" ht="15" hidden="false" customHeight="false" outlineLevel="0" collapsed="false">
      <c r="A502" s="19" t="str">
        <f aca="false">"PKT-"&amp;B502&amp;"-CONFIGURATION"</f>
        <v>PKT-CAN-LF-B-CONFIGURATION</v>
      </c>
      <c r="B502" s="19" t="str">
        <f aca="false">'Lot Register'!A106</f>
        <v>CAN-LF-B</v>
      </c>
      <c r="C502" s="19" t="str">
        <f aca="false">'Lot Register'!B106</f>
        <v>Candidate mechanism</v>
      </c>
      <c r="D502" s="19" t="str">
        <f aca="false">'Lot Register'!D106</f>
        <v>MS-LF</v>
      </c>
      <c r="E502" s="19" t="str">
        <f aca="false">'Lot Register'!G106</f>
        <v>LF TRUTH TRAIN</v>
      </c>
      <c r="F502" s="9" t="s">
        <v>558</v>
      </c>
      <c r="G502" s="9" t="s">
        <v>559</v>
      </c>
      <c r="H502" s="9" t="s">
        <v>560</v>
      </c>
      <c r="I502" s="11" t="s">
        <v>238</v>
      </c>
      <c r="J502" s="47" t="n">
        <f aca="false">Controls!B25</f>
        <v>0</v>
      </c>
      <c r="K502" s="47" t="str">
        <f aca="false">IF(J502=1,"ACCEPTED","OPEN")</f>
        <v>OPEN</v>
      </c>
    </row>
    <row r="503" customFormat="false" ht="15" hidden="false" customHeight="false" outlineLevel="0" collapsed="false">
      <c r="A503" s="19" t="str">
        <f aca="false">"PKT-"&amp;B503&amp;"-CONTROL"</f>
        <v>PKT-CAN-LF-B-CONTROL</v>
      </c>
      <c r="B503" s="19" t="str">
        <f aca="false">'Lot Register'!A106</f>
        <v>CAN-LF-B</v>
      </c>
      <c r="C503" s="19" t="str">
        <f aca="false">'Lot Register'!B106</f>
        <v>Candidate mechanism</v>
      </c>
      <c r="D503" s="19" t="str">
        <f aca="false">'Lot Register'!D106</f>
        <v>MS-LF</v>
      </c>
      <c r="E503" s="19" t="str">
        <f aca="false">'Lot Register'!G106</f>
        <v>LF TRUTH TRAIN</v>
      </c>
      <c r="F503" s="9" t="s">
        <v>271</v>
      </c>
      <c r="G503" s="9" t="s">
        <v>561</v>
      </c>
      <c r="H503" s="9" t="s">
        <v>562</v>
      </c>
      <c r="I503" s="11" t="s">
        <v>238</v>
      </c>
      <c r="J503" s="47" t="n">
        <f aca="false">Controls!B25</f>
        <v>0</v>
      </c>
      <c r="K503" s="47" t="str">
        <f aca="false">IF(J503=1,"ACCEPTED","OPEN")</f>
        <v>OPEN</v>
      </c>
    </row>
    <row r="504" customFormat="false" ht="15" hidden="false" customHeight="false" outlineLevel="0" collapsed="false">
      <c r="A504" s="19" t="str">
        <f aca="false">"PKT-"&amp;B504&amp;"-METROLOGY"</f>
        <v>PKT-CAN-LF-B-METROLOGY</v>
      </c>
      <c r="B504" s="19" t="str">
        <f aca="false">'Lot Register'!A106</f>
        <v>CAN-LF-B</v>
      </c>
      <c r="C504" s="19" t="str">
        <f aca="false">'Lot Register'!B106</f>
        <v>Candidate mechanism</v>
      </c>
      <c r="D504" s="19" t="str">
        <f aca="false">'Lot Register'!D106</f>
        <v>MS-LF</v>
      </c>
      <c r="E504" s="19" t="str">
        <f aca="false">'Lot Register'!G106</f>
        <v>LF TRUTH TRAIN</v>
      </c>
      <c r="F504" s="9" t="s">
        <v>563</v>
      </c>
      <c r="G504" s="9" t="s">
        <v>564</v>
      </c>
      <c r="H504" s="9" t="s">
        <v>565</v>
      </c>
      <c r="I504" s="11" t="s">
        <v>238</v>
      </c>
      <c r="J504" s="47" t="n">
        <f aca="false">Controls!B25</f>
        <v>0</v>
      </c>
      <c r="K504" s="47" t="str">
        <f aca="false">IF(J504=1,"ACCEPTED","OPEN")</f>
        <v>OPEN</v>
      </c>
    </row>
    <row r="505" customFormat="false" ht="15" hidden="false" customHeight="false" outlineLevel="0" collapsed="false">
      <c r="A505" s="19" t="str">
        <f aca="false">"PKT-"&amp;B505&amp;"-SAFETY"</f>
        <v>PKT-CAN-LF-B-SAFETY</v>
      </c>
      <c r="B505" s="19" t="str">
        <f aca="false">'Lot Register'!A106</f>
        <v>CAN-LF-B</v>
      </c>
      <c r="C505" s="19" t="str">
        <f aca="false">'Lot Register'!B106</f>
        <v>Candidate mechanism</v>
      </c>
      <c r="D505" s="19" t="str">
        <f aca="false">'Lot Register'!D106</f>
        <v>MS-LF</v>
      </c>
      <c r="E505" s="19" t="str">
        <f aca="false">'Lot Register'!G106</f>
        <v>LF TRUTH TRAIN</v>
      </c>
      <c r="F505" s="9" t="s">
        <v>566</v>
      </c>
      <c r="G505" s="9" t="s">
        <v>567</v>
      </c>
      <c r="H505" s="9" t="s">
        <v>568</v>
      </c>
      <c r="I505" s="11" t="s">
        <v>238</v>
      </c>
      <c r="J505" s="47" t="n">
        <f aca="false">Controls!B25</f>
        <v>0</v>
      </c>
      <c r="K505" s="47" t="str">
        <f aca="false">IF(J505=1,"ACCEPTED","OPEN")</f>
        <v>OPEN</v>
      </c>
    </row>
    <row r="506" customFormat="false" ht="15" hidden="false" customHeight="false" outlineLevel="0" collapsed="false">
      <c r="A506" s="19" t="str">
        <f aca="false">"PKT-"&amp;B506&amp;"-RECONSTRUCTION"</f>
        <v>PKT-CAN-LF-B-RECONSTRUCTION</v>
      </c>
      <c r="B506" s="19" t="str">
        <f aca="false">'Lot Register'!A106</f>
        <v>CAN-LF-B</v>
      </c>
      <c r="C506" s="19" t="str">
        <f aca="false">'Lot Register'!B106</f>
        <v>Candidate mechanism</v>
      </c>
      <c r="D506" s="19" t="str">
        <f aca="false">'Lot Register'!D106</f>
        <v>MS-LF</v>
      </c>
      <c r="E506" s="19" t="str">
        <f aca="false">'Lot Register'!G106</f>
        <v>LF TRUTH TRAIN</v>
      </c>
      <c r="F506" s="9" t="s">
        <v>282</v>
      </c>
      <c r="G506" s="9" t="s">
        <v>569</v>
      </c>
      <c r="H506" s="9" t="s">
        <v>570</v>
      </c>
      <c r="I506" s="11" t="s">
        <v>238</v>
      </c>
      <c r="J506" s="47" t="n">
        <f aca="false">Controls!B25</f>
        <v>0</v>
      </c>
      <c r="K506" s="47" t="str">
        <f aca="false">IF(J506=1,"ACCEPTED","OPEN")</f>
        <v>OPEN</v>
      </c>
    </row>
    <row r="507" customFormat="false" ht="15" hidden="false" customHeight="false" outlineLevel="0" collapsed="false">
      <c r="A507" s="19" t="str">
        <f aca="false">"PKT-"&amp;B507&amp;"-CONFIGURATION"</f>
        <v>PKT-CAN-HU-A-CONFIGURATION</v>
      </c>
      <c r="B507" s="19" t="str">
        <f aca="false">'Lot Register'!A107</f>
        <v>CAN-HU-A</v>
      </c>
      <c r="C507" s="19" t="str">
        <f aca="false">'Lot Register'!B107</f>
        <v>Candidate mechanism</v>
      </c>
      <c r="D507" s="19" t="str">
        <f aca="false">'Lot Register'!D107</f>
        <v>MS-HU</v>
      </c>
      <c r="E507" s="19" t="str">
        <f aca="false">'Lot Register'!G107</f>
        <v>HU TRUTH TRAIN</v>
      </c>
      <c r="F507" s="9" t="s">
        <v>558</v>
      </c>
      <c r="G507" s="9" t="s">
        <v>559</v>
      </c>
      <c r="H507" s="9" t="s">
        <v>560</v>
      </c>
      <c r="I507" s="11" t="s">
        <v>238</v>
      </c>
      <c r="J507" s="47" t="n">
        <f aca="false">Controls!B25</f>
        <v>0</v>
      </c>
      <c r="K507" s="47" t="str">
        <f aca="false">IF(J507=1,"ACCEPTED","OPEN")</f>
        <v>OPEN</v>
      </c>
    </row>
    <row r="508" customFormat="false" ht="15" hidden="false" customHeight="false" outlineLevel="0" collapsed="false">
      <c r="A508" s="19" t="str">
        <f aca="false">"PKT-"&amp;B508&amp;"-CONTROL"</f>
        <v>PKT-CAN-HU-A-CONTROL</v>
      </c>
      <c r="B508" s="19" t="str">
        <f aca="false">'Lot Register'!A107</f>
        <v>CAN-HU-A</v>
      </c>
      <c r="C508" s="19" t="str">
        <f aca="false">'Lot Register'!B107</f>
        <v>Candidate mechanism</v>
      </c>
      <c r="D508" s="19" t="str">
        <f aca="false">'Lot Register'!D107</f>
        <v>MS-HU</v>
      </c>
      <c r="E508" s="19" t="str">
        <f aca="false">'Lot Register'!G107</f>
        <v>HU TRUTH TRAIN</v>
      </c>
      <c r="F508" s="9" t="s">
        <v>271</v>
      </c>
      <c r="G508" s="9" t="s">
        <v>561</v>
      </c>
      <c r="H508" s="9" t="s">
        <v>562</v>
      </c>
      <c r="I508" s="11" t="s">
        <v>238</v>
      </c>
      <c r="J508" s="47" t="n">
        <f aca="false">Controls!B25</f>
        <v>0</v>
      </c>
      <c r="K508" s="47" t="str">
        <f aca="false">IF(J508=1,"ACCEPTED","OPEN")</f>
        <v>OPEN</v>
      </c>
    </row>
    <row r="509" customFormat="false" ht="15" hidden="false" customHeight="false" outlineLevel="0" collapsed="false">
      <c r="A509" s="19" t="str">
        <f aca="false">"PKT-"&amp;B509&amp;"-METROLOGY"</f>
        <v>PKT-CAN-HU-A-METROLOGY</v>
      </c>
      <c r="B509" s="19" t="str">
        <f aca="false">'Lot Register'!A107</f>
        <v>CAN-HU-A</v>
      </c>
      <c r="C509" s="19" t="str">
        <f aca="false">'Lot Register'!B107</f>
        <v>Candidate mechanism</v>
      </c>
      <c r="D509" s="19" t="str">
        <f aca="false">'Lot Register'!D107</f>
        <v>MS-HU</v>
      </c>
      <c r="E509" s="19" t="str">
        <f aca="false">'Lot Register'!G107</f>
        <v>HU TRUTH TRAIN</v>
      </c>
      <c r="F509" s="9" t="s">
        <v>563</v>
      </c>
      <c r="G509" s="9" t="s">
        <v>564</v>
      </c>
      <c r="H509" s="9" t="s">
        <v>565</v>
      </c>
      <c r="I509" s="11" t="s">
        <v>238</v>
      </c>
      <c r="J509" s="47" t="n">
        <f aca="false">Controls!B25</f>
        <v>0</v>
      </c>
      <c r="K509" s="47" t="str">
        <f aca="false">IF(J509=1,"ACCEPTED","OPEN")</f>
        <v>OPEN</v>
      </c>
    </row>
    <row r="510" customFormat="false" ht="15" hidden="false" customHeight="false" outlineLevel="0" collapsed="false">
      <c r="A510" s="19" t="str">
        <f aca="false">"PKT-"&amp;B510&amp;"-SAFETY"</f>
        <v>PKT-CAN-HU-A-SAFETY</v>
      </c>
      <c r="B510" s="19" t="str">
        <f aca="false">'Lot Register'!A107</f>
        <v>CAN-HU-A</v>
      </c>
      <c r="C510" s="19" t="str">
        <f aca="false">'Lot Register'!B107</f>
        <v>Candidate mechanism</v>
      </c>
      <c r="D510" s="19" t="str">
        <f aca="false">'Lot Register'!D107</f>
        <v>MS-HU</v>
      </c>
      <c r="E510" s="19" t="str">
        <f aca="false">'Lot Register'!G107</f>
        <v>HU TRUTH TRAIN</v>
      </c>
      <c r="F510" s="9" t="s">
        <v>566</v>
      </c>
      <c r="G510" s="9" t="s">
        <v>567</v>
      </c>
      <c r="H510" s="9" t="s">
        <v>568</v>
      </c>
      <c r="I510" s="11" t="s">
        <v>238</v>
      </c>
      <c r="J510" s="47" t="n">
        <f aca="false">Controls!B25</f>
        <v>0</v>
      </c>
      <c r="K510" s="47" t="str">
        <f aca="false">IF(J510=1,"ACCEPTED","OPEN")</f>
        <v>OPEN</v>
      </c>
    </row>
    <row r="511" customFormat="false" ht="15" hidden="false" customHeight="false" outlineLevel="0" collapsed="false">
      <c r="A511" s="19" t="str">
        <f aca="false">"PKT-"&amp;B511&amp;"-RECONSTRUCTION"</f>
        <v>PKT-CAN-HU-A-RECONSTRUCTION</v>
      </c>
      <c r="B511" s="19" t="str">
        <f aca="false">'Lot Register'!A107</f>
        <v>CAN-HU-A</v>
      </c>
      <c r="C511" s="19" t="str">
        <f aca="false">'Lot Register'!B107</f>
        <v>Candidate mechanism</v>
      </c>
      <c r="D511" s="19" t="str">
        <f aca="false">'Lot Register'!D107</f>
        <v>MS-HU</v>
      </c>
      <c r="E511" s="19" t="str">
        <f aca="false">'Lot Register'!G107</f>
        <v>HU TRUTH TRAIN</v>
      </c>
      <c r="F511" s="9" t="s">
        <v>282</v>
      </c>
      <c r="G511" s="9" t="s">
        <v>569</v>
      </c>
      <c r="H511" s="9" t="s">
        <v>570</v>
      </c>
      <c r="I511" s="11" t="s">
        <v>238</v>
      </c>
      <c r="J511" s="47" t="n">
        <f aca="false">Controls!B25</f>
        <v>0</v>
      </c>
      <c r="K511" s="47" t="str">
        <f aca="false">IF(J511=1,"ACCEPTED","OPEN")</f>
        <v>OPEN</v>
      </c>
    </row>
    <row r="512" customFormat="false" ht="15" hidden="false" customHeight="false" outlineLevel="0" collapsed="false">
      <c r="A512" s="19" t="str">
        <f aca="false">"PKT-"&amp;B512&amp;"-CONFIGURATION"</f>
        <v>PKT-CAN-RT-B-CONFIGURATION</v>
      </c>
      <c r="B512" s="19" t="str">
        <f aca="false">'Lot Register'!A108</f>
        <v>CAN-RT-B</v>
      </c>
      <c r="C512" s="19" t="str">
        <f aca="false">'Lot Register'!B108</f>
        <v>Candidate mechanism</v>
      </c>
      <c r="D512" s="19" t="str">
        <f aca="false">'Lot Register'!D108</f>
        <v>MS-RT</v>
      </c>
      <c r="E512" s="19" t="str">
        <f aca="false">'Lot Register'!G108</f>
        <v>RT TRUTH TRAIN</v>
      </c>
      <c r="F512" s="9" t="s">
        <v>558</v>
      </c>
      <c r="G512" s="9" t="s">
        <v>559</v>
      </c>
      <c r="H512" s="9" t="s">
        <v>560</v>
      </c>
      <c r="I512" s="11" t="s">
        <v>238</v>
      </c>
      <c r="J512" s="47" t="n">
        <f aca="false">Controls!B25</f>
        <v>0</v>
      </c>
      <c r="K512" s="47" t="str">
        <f aca="false">IF(J512=1,"ACCEPTED","OPEN")</f>
        <v>OPEN</v>
      </c>
    </row>
    <row r="513" customFormat="false" ht="15" hidden="false" customHeight="false" outlineLevel="0" collapsed="false">
      <c r="A513" s="19" t="str">
        <f aca="false">"PKT-"&amp;B513&amp;"-CONTROL"</f>
        <v>PKT-CAN-RT-B-CONTROL</v>
      </c>
      <c r="B513" s="19" t="str">
        <f aca="false">'Lot Register'!A108</f>
        <v>CAN-RT-B</v>
      </c>
      <c r="C513" s="19" t="str">
        <f aca="false">'Lot Register'!B108</f>
        <v>Candidate mechanism</v>
      </c>
      <c r="D513" s="19" t="str">
        <f aca="false">'Lot Register'!D108</f>
        <v>MS-RT</v>
      </c>
      <c r="E513" s="19" t="str">
        <f aca="false">'Lot Register'!G108</f>
        <v>RT TRUTH TRAIN</v>
      </c>
      <c r="F513" s="9" t="s">
        <v>271</v>
      </c>
      <c r="G513" s="9" t="s">
        <v>561</v>
      </c>
      <c r="H513" s="9" t="s">
        <v>562</v>
      </c>
      <c r="I513" s="11" t="s">
        <v>238</v>
      </c>
      <c r="J513" s="47" t="n">
        <f aca="false">Controls!B25</f>
        <v>0</v>
      </c>
      <c r="K513" s="47" t="str">
        <f aca="false">IF(J513=1,"ACCEPTED","OPEN")</f>
        <v>OPEN</v>
      </c>
    </row>
    <row r="514" customFormat="false" ht="15" hidden="false" customHeight="false" outlineLevel="0" collapsed="false">
      <c r="A514" s="19" t="str">
        <f aca="false">"PKT-"&amp;B514&amp;"-METROLOGY"</f>
        <v>PKT-CAN-RT-B-METROLOGY</v>
      </c>
      <c r="B514" s="19" t="str">
        <f aca="false">'Lot Register'!A108</f>
        <v>CAN-RT-B</v>
      </c>
      <c r="C514" s="19" t="str">
        <f aca="false">'Lot Register'!B108</f>
        <v>Candidate mechanism</v>
      </c>
      <c r="D514" s="19" t="str">
        <f aca="false">'Lot Register'!D108</f>
        <v>MS-RT</v>
      </c>
      <c r="E514" s="19" t="str">
        <f aca="false">'Lot Register'!G108</f>
        <v>RT TRUTH TRAIN</v>
      </c>
      <c r="F514" s="9" t="s">
        <v>563</v>
      </c>
      <c r="G514" s="9" t="s">
        <v>564</v>
      </c>
      <c r="H514" s="9" t="s">
        <v>565</v>
      </c>
      <c r="I514" s="11" t="s">
        <v>238</v>
      </c>
      <c r="J514" s="47" t="n">
        <f aca="false">Controls!B25</f>
        <v>0</v>
      </c>
      <c r="K514" s="47" t="str">
        <f aca="false">IF(J514=1,"ACCEPTED","OPEN")</f>
        <v>OPEN</v>
      </c>
    </row>
    <row r="515" customFormat="false" ht="15" hidden="false" customHeight="false" outlineLevel="0" collapsed="false">
      <c r="A515" s="19" t="str">
        <f aca="false">"PKT-"&amp;B515&amp;"-SAFETY"</f>
        <v>PKT-CAN-RT-B-SAFETY</v>
      </c>
      <c r="B515" s="19" t="str">
        <f aca="false">'Lot Register'!A108</f>
        <v>CAN-RT-B</v>
      </c>
      <c r="C515" s="19" t="str">
        <f aca="false">'Lot Register'!B108</f>
        <v>Candidate mechanism</v>
      </c>
      <c r="D515" s="19" t="str">
        <f aca="false">'Lot Register'!D108</f>
        <v>MS-RT</v>
      </c>
      <c r="E515" s="19" t="str">
        <f aca="false">'Lot Register'!G108</f>
        <v>RT TRUTH TRAIN</v>
      </c>
      <c r="F515" s="9" t="s">
        <v>566</v>
      </c>
      <c r="G515" s="9" t="s">
        <v>567</v>
      </c>
      <c r="H515" s="9" t="s">
        <v>568</v>
      </c>
      <c r="I515" s="11" t="s">
        <v>238</v>
      </c>
      <c r="J515" s="47" t="n">
        <f aca="false">Controls!B25</f>
        <v>0</v>
      </c>
      <c r="K515" s="47" t="str">
        <f aca="false">IF(J515=1,"ACCEPTED","OPEN")</f>
        <v>OPEN</v>
      </c>
    </row>
    <row r="516" customFormat="false" ht="15" hidden="false" customHeight="false" outlineLevel="0" collapsed="false">
      <c r="A516" s="20" t="str">
        <f aca="false">"PKT-"&amp;B516&amp;"-RECONSTRUCTION"</f>
        <v>PKT-CAN-RT-B-RECONSTRUCTION</v>
      </c>
      <c r="B516" s="20" t="str">
        <f aca="false">'Lot Register'!A108</f>
        <v>CAN-RT-B</v>
      </c>
      <c r="C516" s="20" t="str">
        <f aca="false">'Lot Register'!B108</f>
        <v>Candidate mechanism</v>
      </c>
      <c r="D516" s="20" t="str">
        <f aca="false">'Lot Register'!D108</f>
        <v>MS-RT</v>
      </c>
      <c r="E516" s="20" t="str">
        <f aca="false">'Lot Register'!G108</f>
        <v>RT TRUTH TRAIN</v>
      </c>
      <c r="F516" s="12" t="s">
        <v>282</v>
      </c>
      <c r="G516" s="12" t="s">
        <v>569</v>
      </c>
      <c r="H516" s="12" t="s">
        <v>570</v>
      </c>
      <c r="I516" s="14" t="s">
        <v>238</v>
      </c>
      <c r="J516" s="48" t="n">
        <f aca="false">Controls!B25</f>
        <v>0</v>
      </c>
      <c r="K516" s="48" t="str">
        <f aca="false">IF(J516=1,"ACCEPTED","OPEN")</f>
        <v>OPEN</v>
      </c>
    </row>
  </sheetData>
  <mergeCells count="2">
    <mergeCell ref="A2:K2"/>
    <mergeCell ref="A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7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3"/>
    <col collapsed="false" customWidth="true" hidden="false" outlineLevel="0" max="3" min="3" style="0" width="28"/>
    <col collapsed="false" customWidth="true" hidden="false" outlineLevel="0" max="4" min="4" style="0" width="13"/>
    <col collapsed="false" customWidth="true" hidden="false" outlineLevel="0" max="5" min="5" style="0" width="53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57"/>
    <col collapsed="false" customWidth="true" hidden="false" outlineLevel="0" max="9" min="9" style="0" width="27"/>
    <col collapsed="false" customWidth="true" hidden="false" outlineLevel="0" max="10" min="10" style="0" width="21"/>
    <col collapsed="false" customWidth="true" hidden="false" outlineLevel="0" max="11" min="11" style="0" width="12"/>
    <col collapsed="false" customWidth="true" hidden="false" outlineLevel="0" max="12" min="12" style="0" width="14"/>
  </cols>
  <sheetData>
    <row r="2" customFormat="false" ht="24" hidden="false" customHeight="true" outlineLevel="0" collapsed="false">
      <c r="A2" s="1" t="s">
        <v>571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3" t="s">
        <v>572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3" hidden="false" customHeight="true" outlineLevel="0" collapsed="false">
      <c r="A6" s="5" t="s">
        <v>573</v>
      </c>
      <c r="B6" s="6" t="s">
        <v>217</v>
      </c>
      <c r="C6" s="6" t="s">
        <v>552</v>
      </c>
      <c r="D6" s="6" t="s">
        <v>218</v>
      </c>
      <c r="E6" s="6" t="s">
        <v>221</v>
      </c>
      <c r="F6" s="6" t="s">
        <v>574</v>
      </c>
      <c r="G6" s="6" t="s">
        <v>575</v>
      </c>
      <c r="H6" s="6" t="s">
        <v>576</v>
      </c>
      <c r="I6" s="6" t="s">
        <v>555</v>
      </c>
      <c r="J6" s="6" t="s">
        <v>577</v>
      </c>
      <c r="K6" s="6" t="s">
        <v>557</v>
      </c>
      <c r="L6" s="7" t="s">
        <v>5</v>
      </c>
    </row>
    <row r="7" customFormat="false" ht="15" hidden="false" customHeight="false" outlineLevel="0" collapsed="false">
      <c r="A7" s="18" t="str">
        <f aca="false">"DEC-"&amp;B7&amp;"-G1"</f>
        <v>DEC-SUB-01-G1</v>
      </c>
      <c r="B7" s="18" t="str">
        <f aca="false">'Lot Register'!A7</f>
        <v>SUB-01</v>
      </c>
      <c r="C7" s="18" t="str">
        <f aca="false">'Lot Register'!B7</f>
        <v>Civil substrate</v>
      </c>
      <c r="D7" s="18" t="str">
        <f aca="false">'Lot Register'!D7</f>
        <v>MULTI</v>
      </c>
      <c r="E7" s="18" t="str">
        <f aca="false">'Lot Register'!G7</f>
        <v>ST-ET-CHA · ST-HC-REC · ST-HU-CON</v>
      </c>
      <c r="F7" s="8" t="s">
        <v>578</v>
      </c>
      <c r="G7" s="8" t="s">
        <v>579</v>
      </c>
      <c r="H7" s="8" t="s">
        <v>580</v>
      </c>
      <c r="I7" s="8" t="s">
        <v>562</v>
      </c>
      <c r="J7" s="40" t="s">
        <v>238</v>
      </c>
      <c r="K7" s="46" t="n">
        <f aca="false">Controls!B26</f>
        <v>0</v>
      </c>
      <c r="L7" s="46" t="str">
        <f aca="false">IF(K7=1,"PASS","OPEN")</f>
        <v>OPEN</v>
      </c>
    </row>
    <row r="8" customFormat="false" ht="15" hidden="false" customHeight="false" outlineLevel="0" collapsed="false">
      <c r="A8" s="19" t="str">
        <f aca="false">"DEC-"&amp;B8&amp;"-G2"</f>
        <v>DEC-SUB-01-G2</v>
      </c>
      <c r="B8" s="19" t="str">
        <f aca="false">'Lot Register'!A7</f>
        <v>SUB-01</v>
      </c>
      <c r="C8" s="19" t="str">
        <f aca="false">'Lot Register'!B7</f>
        <v>Civil substrate</v>
      </c>
      <c r="D8" s="19" t="str">
        <f aca="false">'Lot Register'!D7</f>
        <v>MULTI</v>
      </c>
      <c r="E8" s="19" t="str">
        <f aca="false">'Lot Register'!G7</f>
        <v>ST-ET-CHA · ST-HC-REC · ST-HU-CON</v>
      </c>
      <c r="F8" s="9" t="s">
        <v>581</v>
      </c>
      <c r="G8" s="9" t="s">
        <v>582</v>
      </c>
      <c r="H8" s="9" t="s">
        <v>583</v>
      </c>
      <c r="I8" s="9" t="s">
        <v>560</v>
      </c>
      <c r="J8" s="11" t="s">
        <v>238</v>
      </c>
      <c r="K8" s="47" t="n">
        <f aca="false">Controls!B26</f>
        <v>0</v>
      </c>
      <c r="L8" s="47" t="str">
        <f aca="false">IF(K8=1,"PASS","OPEN")</f>
        <v>OPEN</v>
      </c>
    </row>
    <row r="9" customFormat="false" ht="15" hidden="false" customHeight="false" outlineLevel="0" collapsed="false">
      <c r="A9" s="19" t="str">
        <f aca="false">"DEC-"&amp;B9&amp;"-G3"</f>
        <v>DEC-SUB-01-G3</v>
      </c>
      <c r="B9" s="19" t="str">
        <f aca="false">'Lot Register'!A7</f>
        <v>SUB-01</v>
      </c>
      <c r="C9" s="19" t="str">
        <f aca="false">'Lot Register'!B7</f>
        <v>Civil substrate</v>
      </c>
      <c r="D9" s="19" t="str">
        <f aca="false">'Lot Register'!D7</f>
        <v>MULTI</v>
      </c>
      <c r="E9" s="19" t="str">
        <f aca="false">'Lot Register'!G7</f>
        <v>ST-ET-CHA · ST-HC-REC · ST-HU-CON</v>
      </c>
      <c r="F9" s="9" t="s">
        <v>584</v>
      </c>
      <c r="G9" s="9" t="s">
        <v>585</v>
      </c>
      <c r="H9" s="9" t="s">
        <v>586</v>
      </c>
      <c r="I9" s="9" t="s">
        <v>565</v>
      </c>
      <c r="J9" s="11" t="s">
        <v>238</v>
      </c>
      <c r="K9" s="47" t="n">
        <f aca="false">Controls!B26</f>
        <v>0</v>
      </c>
      <c r="L9" s="47" t="str">
        <f aca="false">IF(K9=1,"PASS","OPEN")</f>
        <v>OPEN</v>
      </c>
    </row>
    <row r="10" customFormat="false" ht="15" hidden="false" customHeight="false" outlineLevel="0" collapsed="false">
      <c r="A10" s="19" t="str">
        <f aca="false">"DEC-"&amp;B10&amp;"-G4"</f>
        <v>DEC-SUB-01-G4</v>
      </c>
      <c r="B10" s="19" t="str">
        <f aca="false">'Lot Register'!A7</f>
        <v>SUB-01</v>
      </c>
      <c r="C10" s="19" t="str">
        <f aca="false">'Lot Register'!B7</f>
        <v>Civil substrate</v>
      </c>
      <c r="D10" s="19" t="str">
        <f aca="false">'Lot Register'!D7</f>
        <v>MULTI</v>
      </c>
      <c r="E10" s="19" t="str">
        <f aca="false">'Lot Register'!G7</f>
        <v>ST-ET-CHA · ST-HC-REC · ST-HU-CON</v>
      </c>
      <c r="F10" s="9" t="s">
        <v>587</v>
      </c>
      <c r="G10" s="9" t="s">
        <v>588</v>
      </c>
      <c r="H10" s="9" t="s">
        <v>589</v>
      </c>
      <c r="I10" s="9" t="s">
        <v>562</v>
      </c>
      <c r="J10" s="11" t="s">
        <v>238</v>
      </c>
      <c r="K10" s="47" t="n">
        <f aca="false">Controls!B26</f>
        <v>0</v>
      </c>
      <c r="L10" s="47" t="str">
        <f aca="false">IF(K10=1,"PASS","OPEN")</f>
        <v>OPEN</v>
      </c>
    </row>
    <row r="11" customFormat="false" ht="15" hidden="false" customHeight="false" outlineLevel="0" collapsed="false">
      <c r="A11" s="19" t="str">
        <f aca="false">"DEC-"&amp;B11&amp;"-G5"</f>
        <v>DEC-SUB-01-G5</v>
      </c>
      <c r="B11" s="19" t="str">
        <f aca="false">'Lot Register'!A7</f>
        <v>SUB-01</v>
      </c>
      <c r="C11" s="19" t="str">
        <f aca="false">'Lot Register'!B7</f>
        <v>Civil substrate</v>
      </c>
      <c r="D11" s="19" t="str">
        <f aca="false">'Lot Register'!D7</f>
        <v>MULTI</v>
      </c>
      <c r="E11" s="19" t="str">
        <f aca="false">'Lot Register'!G7</f>
        <v>ST-ET-CHA · ST-HC-REC · ST-HU-CON</v>
      </c>
      <c r="F11" s="9" t="s">
        <v>590</v>
      </c>
      <c r="G11" s="9" t="s">
        <v>591</v>
      </c>
      <c r="H11" s="9" t="s">
        <v>592</v>
      </c>
      <c r="I11" s="9" t="s">
        <v>565</v>
      </c>
      <c r="J11" s="11" t="s">
        <v>238</v>
      </c>
      <c r="K11" s="47" t="n">
        <f aca="false">Controls!B26</f>
        <v>0</v>
      </c>
      <c r="L11" s="47" t="str">
        <f aca="false">IF(K11=1,"PASS","OPEN")</f>
        <v>OPEN</v>
      </c>
    </row>
    <row r="12" customFormat="false" ht="15" hidden="false" customHeight="false" outlineLevel="0" collapsed="false">
      <c r="A12" s="19" t="str">
        <f aca="false">"DEC-"&amp;B12&amp;"-G6"</f>
        <v>DEC-SUB-01-G6</v>
      </c>
      <c r="B12" s="19" t="str">
        <f aca="false">'Lot Register'!A7</f>
        <v>SUB-01</v>
      </c>
      <c r="C12" s="19" t="str">
        <f aca="false">'Lot Register'!B7</f>
        <v>Civil substrate</v>
      </c>
      <c r="D12" s="19" t="str">
        <f aca="false">'Lot Register'!D7</f>
        <v>MULTI</v>
      </c>
      <c r="E12" s="19" t="str">
        <f aca="false">'Lot Register'!G7</f>
        <v>ST-ET-CHA · ST-HC-REC · ST-HU-CON</v>
      </c>
      <c r="F12" s="9" t="s">
        <v>593</v>
      </c>
      <c r="G12" s="9" t="s">
        <v>594</v>
      </c>
      <c r="H12" s="9" t="s">
        <v>595</v>
      </c>
      <c r="I12" s="9" t="s">
        <v>570</v>
      </c>
      <c r="J12" s="11" t="s">
        <v>238</v>
      </c>
      <c r="K12" s="47" t="n">
        <f aca="false">Controls!B26</f>
        <v>0</v>
      </c>
      <c r="L12" s="47" t="str">
        <f aca="false">IF(K12=1,"PASS","OPEN")</f>
        <v>OPEN</v>
      </c>
    </row>
    <row r="13" customFormat="false" ht="15" hidden="false" customHeight="false" outlineLevel="0" collapsed="false">
      <c r="A13" s="19" t="str">
        <f aca="false">"DEC-"&amp;B13&amp;"-G7"</f>
        <v>DEC-SUB-01-G7</v>
      </c>
      <c r="B13" s="19" t="str">
        <f aca="false">'Lot Register'!A7</f>
        <v>SUB-01</v>
      </c>
      <c r="C13" s="19" t="str">
        <f aca="false">'Lot Register'!B7</f>
        <v>Civil substrate</v>
      </c>
      <c r="D13" s="19" t="str">
        <f aca="false">'Lot Register'!D7</f>
        <v>MULTI</v>
      </c>
      <c r="E13" s="19" t="str">
        <f aca="false">'Lot Register'!G7</f>
        <v>ST-ET-CHA · ST-HC-REC · ST-HU-CON</v>
      </c>
      <c r="F13" s="9" t="s">
        <v>596</v>
      </c>
      <c r="G13" s="9" t="s">
        <v>597</v>
      </c>
      <c r="H13" s="9" t="s">
        <v>598</v>
      </c>
      <c r="I13" s="9" t="s">
        <v>570</v>
      </c>
      <c r="J13" s="11" t="s">
        <v>238</v>
      </c>
      <c r="K13" s="47" t="n">
        <f aca="false">Controls!B26</f>
        <v>0</v>
      </c>
      <c r="L13" s="47" t="str">
        <f aca="false">IF(K13=1,"PASS","OPEN")</f>
        <v>OPEN</v>
      </c>
    </row>
    <row r="14" customFormat="false" ht="15" hidden="false" customHeight="false" outlineLevel="0" collapsed="false">
      <c r="A14" s="19" t="str">
        <f aca="false">"DEC-"&amp;B14&amp;"-G1"</f>
        <v>DEC-SUB-02-G1</v>
      </c>
      <c r="B14" s="19" t="str">
        <f aca="false">'Lot Register'!A8</f>
        <v>SUB-02</v>
      </c>
      <c r="C14" s="19" t="str">
        <f aca="false">'Lot Register'!B8</f>
        <v>Civil substrate</v>
      </c>
      <c r="D14" s="19" t="str">
        <f aca="false">'Lot Register'!D8</f>
        <v>MULTI</v>
      </c>
      <c r="E14" s="19" t="str">
        <f aca="false">'Lot Register'!G8</f>
        <v>ST-CT-CHA · ST-LF-REC · ST-RT-CON</v>
      </c>
      <c r="F14" s="9" t="s">
        <v>578</v>
      </c>
      <c r="G14" s="9" t="s">
        <v>579</v>
      </c>
      <c r="H14" s="9" t="s">
        <v>580</v>
      </c>
      <c r="I14" s="9" t="s">
        <v>562</v>
      </c>
      <c r="J14" s="11" t="s">
        <v>238</v>
      </c>
      <c r="K14" s="47" t="n">
        <f aca="false">Controls!B26</f>
        <v>0</v>
      </c>
      <c r="L14" s="47" t="str">
        <f aca="false">IF(K14=1,"PASS","OPEN")</f>
        <v>OPEN</v>
      </c>
    </row>
    <row r="15" customFormat="false" ht="15" hidden="false" customHeight="false" outlineLevel="0" collapsed="false">
      <c r="A15" s="19" t="str">
        <f aca="false">"DEC-"&amp;B15&amp;"-G2"</f>
        <v>DEC-SUB-02-G2</v>
      </c>
      <c r="B15" s="19" t="str">
        <f aca="false">'Lot Register'!A8</f>
        <v>SUB-02</v>
      </c>
      <c r="C15" s="19" t="str">
        <f aca="false">'Lot Register'!B8</f>
        <v>Civil substrate</v>
      </c>
      <c r="D15" s="19" t="str">
        <f aca="false">'Lot Register'!D8</f>
        <v>MULTI</v>
      </c>
      <c r="E15" s="19" t="str">
        <f aca="false">'Lot Register'!G8</f>
        <v>ST-CT-CHA · ST-LF-REC · ST-RT-CON</v>
      </c>
      <c r="F15" s="9" t="s">
        <v>581</v>
      </c>
      <c r="G15" s="9" t="s">
        <v>582</v>
      </c>
      <c r="H15" s="9" t="s">
        <v>583</v>
      </c>
      <c r="I15" s="9" t="s">
        <v>560</v>
      </c>
      <c r="J15" s="11" t="s">
        <v>238</v>
      </c>
      <c r="K15" s="47" t="n">
        <f aca="false">Controls!B26</f>
        <v>0</v>
      </c>
      <c r="L15" s="47" t="str">
        <f aca="false">IF(K15=1,"PASS","OPEN")</f>
        <v>OPEN</v>
      </c>
    </row>
    <row r="16" customFormat="false" ht="15" hidden="false" customHeight="false" outlineLevel="0" collapsed="false">
      <c r="A16" s="19" t="str">
        <f aca="false">"DEC-"&amp;B16&amp;"-G3"</f>
        <v>DEC-SUB-02-G3</v>
      </c>
      <c r="B16" s="19" t="str">
        <f aca="false">'Lot Register'!A8</f>
        <v>SUB-02</v>
      </c>
      <c r="C16" s="19" t="str">
        <f aca="false">'Lot Register'!B8</f>
        <v>Civil substrate</v>
      </c>
      <c r="D16" s="19" t="str">
        <f aca="false">'Lot Register'!D8</f>
        <v>MULTI</v>
      </c>
      <c r="E16" s="19" t="str">
        <f aca="false">'Lot Register'!G8</f>
        <v>ST-CT-CHA · ST-LF-REC · ST-RT-CON</v>
      </c>
      <c r="F16" s="9" t="s">
        <v>584</v>
      </c>
      <c r="G16" s="9" t="s">
        <v>585</v>
      </c>
      <c r="H16" s="9" t="s">
        <v>586</v>
      </c>
      <c r="I16" s="9" t="s">
        <v>565</v>
      </c>
      <c r="J16" s="11" t="s">
        <v>238</v>
      </c>
      <c r="K16" s="47" t="n">
        <f aca="false">Controls!B26</f>
        <v>0</v>
      </c>
      <c r="L16" s="47" t="str">
        <f aca="false">IF(K16=1,"PASS","OPEN")</f>
        <v>OPEN</v>
      </c>
    </row>
    <row r="17" customFormat="false" ht="15" hidden="false" customHeight="false" outlineLevel="0" collapsed="false">
      <c r="A17" s="19" t="str">
        <f aca="false">"DEC-"&amp;B17&amp;"-G4"</f>
        <v>DEC-SUB-02-G4</v>
      </c>
      <c r="B17" s="19" t="str">
        <f aca="false">'Lot Register'!A8</f>
        <v>SUB-02</v>
      </c>
      <c r="C17" s="19" t="str">
        <f aca="false">'Lot Register'!B8</f>
        <v>Civil substrate</v>
      </c>
      <c r="D17" s="19" t="str">
        <f aca="false">'Lot Register'!D8</f>
        <v>MULTI</v>
      </c>
      <c r="E17" s="19" t="str">
        <f aca="false">'Lot Register'!G8</f>
        <v>ST-CT-CHA · ST-LF-REC · ST-RT-CON</v>
      </c>
      <c r="F17" s="9" t="s">
        <v>587</v>
      </c>
      <c r="G17" s="9" t="s">
        <v>588</v>
      </c>
      <c r="H17" s="9" t="s">
        <v>589</v>
      </c>
      <c r="I17" s="9" t="s">
        <v>562</v>
      </c>
      <c r="J17" s="11" t="s">
        <v>238</v>
      </c>
      <c r="K17" s="47" t="n">
        <f aca="false">Controls!B26</f>
        <v>0</v>
      </c>
      <c r="L17" s="47" t="str">
        <f aca="false">IF(K17=1,"PASS","OPEN")</f>
        <v>OPEN</v>
      </c>
    </row>
    <row r="18" customFormat="false" ht="15" hidden="false" customHeight="false" outlineLevel="0" collapsed="false">
      <c r="A18" s="19" t="str">
        <f aca="false">"DEC-"&amp;B18&amp;"-G5"</f>
        <v>DEC-SUB-02-G5</v>
      </c>
      <c r="B18" s="19" t="str">
        <f aca="false">'Lot Register'!A8</f>
        <v>SUB-02</v>
      </c>
      <c r="C18" s="19" t="str">
        <f aca="false">'Lot Register'!B8</f>
        <v>Civil substrate</v>
      </c>
      <c r="D18" s="19" t="str">
        <f aca="false">'Lot Register'!D8</f>
        <v>MULTI</v>
      </c>
      <c r="E18" s="19" t="str">
        <f aca="false">'Lot Register'!G8</f>
        <v>ST-CT-CHA · ST-LF-REC · ST-RT-CON</v>
      </c>
      <c r="F18" s="9" t="s">
        <v>590</v>
      </c>
      <c r="G18" s="9" t="s">
        <v>591</v>
      </c>
      <c r="H18" s="9" t="s">
        <v>592</v>
      </c>
      <c r="I18" s="9" t="s">
        <v>565</v>
      </c>
      <c r="J18" s="11" t="s">
        <v>238</v>
      </c>
      <c r="K18" s="47" t="n">
        <f aca="false">Controls!B26</f>
        <v>0</v>
      </c>
      <c r="L18" s="47" t="str">
        <f aca="false">IF(K18=1,"PASS","OPEN")</f>
        <v>OPEN</v>
      </c>
    </row>
    <row r="19" customFormat="false" ht="15" hidden="false" customHeight="false" outlineLevel="0" collapsed="false">
      <c r="A19" s="19" t="str">
        <f aca="false">"DEC-"&amp;B19&amp;"-G6"</f>
        <v>DEC-SUB-02-G6</v>
      </c>
      <c r="B19" s="19" t="str">
        <f aca="false">'Lot Register'!A8</f>
        <v>SUB-02</v>
      </c>
      <c r="C19" s="19" t="str">
        <f aca="false">'Lot Register'!B8</f>
        <v>Civil substrate</v>
      </c>
      <c r="D19" s="19" t="str">
        <f aca="false">'Lot Register'!D8</f>
        <v>MULTI</v>
      </c>
      <c r="E19" s="19" t="str">
        <f aca="false">'Lot Register'!G8</f>
        <v>ST-CT-CHA · ST-LF-REC · ST-RT-CON</v>
      </c>
      <c r="F19" s="9" t="s">
        <v>593</v>
      </c>
      <c r="G19" s="9" t="s">
        <v>594</v>
      </c>
      <c r="H19" s="9" t="s">
        <v>595</v>
      </c>
      <c r="I19" s="9" t="s">
        <v>570</v>
      </c>
      <c r="J19" s="11" t="s">
        <v>238</v>
      </c>
      <c r="K19" s="47" t="n">
        <f aca="false">Controls!B26</f>
        <v>0</v>
      </c>
      <c r="L19" s="47" t="str">
        <f aca="false">IF(K19=1,"PASS","OPEN")</f>
        <v>OPEN</v>
      </c>
    </row>
    <row r="20" customFormat="false" ht="15" hidden="false" customHeight="false" outlineLevel="0" collapsed="false">
      <c r="A20" s="19" t="str">
        <f aca="false">"DEC-"&amp;B20&amp;"-G7"</f>
        <v>DEC-SUB-02-G7</v>
      </c>
      <c r="B20" s="19" t="str">
        <f aca="false">'Lot Register'!A8</f>
        <v>SUB-02</v>
      </c>
      <c r="C20" s="19" t="str">
        <f aca="false">'Lot Register'!B8</f>
        <v>Civil substrate</v>
      </c>
      <c r="D20" s="19" t="str">
        <f aca="false">'Lot Register'!D8</f>
        <v>MULTI</v>
      </c>
      <c r="E20" s="19" t="str">
        <f aca="false">'Lot Register'!G8</f>
        <v>ST-CT-CHA · ST-LF-REC · ST-RT-CON</v>
      </c>
      <c r="F20" s="9" t="s">
        <v>596</v>
      </c>
      <c r="G20" s="9" t="s">
        <v>597</v>
      </c>
      <c r="H20" s="9" t="s">
        <v>598</v>
      </c>
      <c r="I20" s="9" t="s">
        <v>570</v>
      </c>
      <c r="J20" s="11" t="s">
        <v>238</v>
      </c>
      <c r="K20" s="47" t="n">
        <f aca="false">Controls!B26</f>
        <v>0</v>
      </c>
      <c r="L20" s="47" t="str">
        <f aca="false">IF(K20=1,"PASS","OPEN")</f>
        <v>OPEN</v>
      </c>
    </row>
    <row r="21" customFormat="false" ht="15" hidden="false" customHeight="false" outlineLevel="0" collapsed="false">
      <c r="A21" s="19" t="str">
        <f aca="false">"DEC-"&amp;B21&amp;"-G1"</f>
        <v>DEC-SUB-03-G1</v>
      </c>
      <c r="B21" s="19" t="str">
        <f aca="false">'Lot Register'!A9</f>
        <v>SUB-03</v>
      </c>
      <c r="C21" s="19" t="str">
        <f aca="false">'Lot Register'!B9</f>
        <v>Civil substrate</v>
      </c>
      <c r="D21" s="19" t="str">
        <f aca="false">'Lot Register'!D9</f>
        <v>MULTI</v>
      </c>
      <c r="E21" s="19" t="str">
        <f aca="false">'Lot Register'!G9</f>
        <v>ST-ET-CON · ST-HC-CHA · ST-HU-REC</v>
      </c>
      <c r="F21" s="9" t="s">
        <v>578</v>
      </c>
      <c r="G21" s="9" t="s">
        <v>579</v>
      </c>
      <c r="H21" s="9" t="s">
        <v>580</v>
      </c>
      <c r="I21" s="9" t="s">
        <v>562</v>
      </c>
      <c r="J21" s="11" t="s">
        <v>238</v>
      </c>
      <c r="K21" s="47" t="n">
        <f aca="false">Controls!B26</f>
        <v>0</v>
      </c>
      <c r="L21" s="47" t="str">
        <f aca="false">IF(K21=1,"PASS","OPEN")</f>
        <v>OPEN</v>
      </c>
    </row>
    <row r="22" customFormat="false" ht="15" hidden="false" customHeight="false" outlineLevel="0" collapsed="false">
      <c r="A22" s="19" t="str">
        <f aca="false">"DEC-"&amp;B22&amp;"-G2"</f>
        <v>DEC-SUB-03-G2</v>
      </c>
      <c r="B22" s="19" t="str">
        <f aca="false">'Lot Register'!A9</f>
        <v>SUB-03</v>
      </c>
      <c r="C22" s="19" t="str">
        <f aca="false">'Lot Register'!B9</f>
        <v>Civil substrate</v>
      </c>
      <c r="D22" s="19" t="str">
        <f aca="false">'Lot Register'!D9</f>
        <v>MULTI</v>
      </c>
      <c r="E22" s="19" t="str">
        <f aca="false">'Lot Register'!G9</f>
        <v>ST-ET-CON · ST-HC-CHA · ST-HU-REC</v>
      </c>
      <c r="F22" s="9" t="s">
        <v>581</v>
      </c>
      <c r="G22" s="9" t="s">
        <v>582</v>
      </c>
      <c r="H22" s="9" t="s">
        <v>583</v>
      </c>
      <c r="I22" s="9" t="s">
        <v>560</v>
      </c>
      <c r="J22" s="11" t="s">
        <v>238</v>
      </c>
      <c r="K22" s="47" t="n">
        <f aca="false">Controls!B26</f>
        <v>0</v>
      </c>
      <c r="L22" s="47" t="str">
        <f aca="false">IF(K22=1,"PASS","OPEN")</f>
        <v>OPEN</v>
      </c>
    </row>
    <row r="23" customFormat="false" ht="15" hidden="false" customHeight="false" outlineLevel="0" collapsed="false">
      <c r="A23" s="19" t="str">
        <f aca="false">"DEC-"&amp;B23&amp;"-G3"</f>
        <v>DEC-SUB-03-G3</v>
      </c>
      <c r="B23" s="19" t="str">
        <f aca="false">'Lot Register'!A9</f>
        <v>SUB-03</v>
      </c>
      <c r="C23" s="19" t="str">
        <f aca="false">'Lot Register'!B9</f>
        <v>Civil substrate</v>
      </c>
      <c r="D23" s="19" t="str">
        <f aca="false">'Lot Register'!D9</f>
        <v>MULTI</v>
      </c>
      <c r="E23" s="19" t="str">
        <f aca="false">'Lot Register'!G9</f>
        <v>ST-ET-CON · ST-HC-CHA · ST-HU-REC</v>
      </c>
      <c r="F23" s="9" t="s">
        <v>584</v>
      </c>
      <c r="G23" s="9" t="s">
        <v>585</v>
      </c>
      <c r="H23" s="9" t="s">
        <v>586</v>
      </c>
      <c r="I23" s="9" t="s">
        <v>565</v>
      </c>
      <c r="J23" s="11" t="s">
        <v>238</v>
      </c>
      <c r="K23" s="47" t="n">
        <f aca="false">Controls!B26</f>
        <v>0</v>
      </c>
      <c r="L23" s="47" t="str">
        <f aca="false">IF(K23=1,"PASS","OPEN")</f>
        <v>OPEN</v>
      </c>
    </row>
    <row r="24" customFormat="false" ht="15" hidden="false" customHeight="false" outlineLevel="0" collapsed="false">
      <c r="A24" s="19" t="str">
        <f aca="false">"DEC-"&amp;B24&amp;"-G4"</f>
        <v>DEC-SUB-03-G4</v>
      </c>
      <c r="B24" s="19" t="str">
        <f aca="false">'Lot Register'!A9</f>
        <v>SUB-03</v>
      </c>
      <c r="C24" s="19" t="str">
        <f aca="false">'Lot Register'!B9</f>
        <v>Civil substrate</v>
      </c>
      <c r="D24" s="19" t="str">
        <f aca="false">'Lot Register'!D9</f>
        <v>MULTI</v>
      </c>
      <c r="E24" s="19" t="str">
        <f aca="false">'Lot Register'!G9</f>
        <v>ST-ET-CON · ST-HC-CHA · ST-HU-REC</v>
      </c>
      <c r="F24" s="9" t="s">
        <v>587</v>
      </c>
      <c r="G24" s="9" t="s">
        <v>588</v>
      </c>
      <c r="H24" s="9" t="s">
        <v>589</v>
      </c>
      <c r="I24" s="9" t="s">
        <v>562</v>
      </c>
      <c r="J24" s="11" t="s">
        <v>238</v>
      </c>
      <c r="K24" s="47" t="n">
        <f aca="false">Controls!B26</f>
        <v>0</v>
      </c>
      <c r="L24" s="47" t="str">
        <f aca="false">IF(K24=1,"PASS","OPEN")</f>
        <v>OPEN</v>
      </c>
    </row>
    <row r="25" customFormat="false" ht="15" hidden="false" customHeight="false" outlineLevel="0" collapsed="false">
      <c r="A25" s="19" t="str">
        <f aca="false">"DEC-"&amp;B25&amp;"-G5"</f>
        <v>DEC-SUB-03-G5</v>
      </c>
      <c r="B25" s="19" t="str">
        <f aca="false">'Lot Register'!A9</f>
        <v>SUB-03</v>
      </c>
      <c r="C25" s="19" t="str">
        <f aca="false">'Lot Register'!B9</f>
        <v>Civil substrate</v>
      </c>
      <c r="D25" s="19" t="str">
        <f aca="false">'Lot Register'!D9</f>
        <v>MULTI</v>
      </c>
      <c r="E25" s="19" t="str">
        <f aca="false">'Lot Register'!G9</f>
        <v>ST-ET-CON · ST-HC-CHA · ST-HU-REC</v>
      </c>
      <c r="F25" s="9" t="s">
        <v>590</v>
      </c>
      <c r="G25" s="9" t="s">
        <v>591</v>
      </c>
      <c r="H25" s="9" t="s">
        <v>592</v>
      </c>
      <c r="I25" s="9" t="s">
        <v>565</v>
      </c>
      <c r="J25" s="11" t="s">
        <v>238</v>
      </c>
      <c r="K25" s="47" t="n">
        <f aca="false">Controls!B26</f>
        <v>0</v>
      </c>
      <c r="L25" s="47" t="str">
        <f aca="false">IF(K25=1,"PASS","OPEN")</f>
        <v>OPEN</v>
      </c>
    </row>
    <row r="26" customFormat="false" ht="15" hidden="false" customHeight="false" outlineLevel="0" collapsed="false">
      <c r="A26" s="19" t="str">
        <f aca="false">"DEC-"&amp;B26&amp;"-G6"</f>
        <v>DEC-SUB-03-G6</v>
      </c>
      <c r="B26" s="19" t="str">
        <f aca="false">'Lot Register'!A9</f>
        <v>SUB-03</v>
      </c>
      <c r="C26" s="19" t="str">
        <f aca="false">'Lot Register'!B9</f>
        <v>Civil substrate</v>
      </c>
      <c r="D26" s="19" t="str">
        <f aca="false">'Lot Register'!D9</f>
        <v>MULTI</v>
      </c>
      <c r="E26" s="19" t="str">
        <f aca="false">'Lot Register'!G9</f>
        <v>ST-ET-CON · ST-HC-CHA · ST-HU-REC</v>
      </c>
      <c r="F26" s="9" t="s">
        <v>593</v>
      </c>
      <c r="G26" s="9" t="s">
        <v>594</v>
      </c>
      <c r="H26" s="9" t="s">
        <v>595</v>
      </c>
      <c r="I26" s="9" t="s">
        <v>570</v>
      </c>
      <c r="J26" s="11" t="s">
        <v>238</v>
      </c>
      <c r="K26" s="47" t="n">
        <f aca="false">Controls!B26</f>
        <v>0</v>
      </c>
      <c r="L26" s="47" t="str">
        <f aca="false">IF(K26=1,"PASS","OPEN")</f>
        <v>OPEN</v>
      </c>
    </row>
    <row r="27" customFormat="false" ht="15" hidden="false" customHeight="false" outlineLevel="0" collapsed="false">
      <c r="A27" s="19" t="str">
        <f aca="false">"DEC-"&amp;B27&amp;"-G7"</f>
        <v>DEC-SUB-03-G7</v>
      </c>
      <c r="B27" s="19" t="str">
        <f aca="false">'Lot Register'!A9</f>
        <v>SUB-03</v>
      </c>
      <c r="C27" s="19" t="str">
        <f aca="false">'Lot Register'!B9</f>
        <v>Civil substrate</v>
      </c>
      <c r="D27" s="19" t="str">
        <f aca="false">'Lot Register'!D9</f>
        <v>MULTI</v>
      </c>
      <c r="E27" s="19" t="str">
        <f aca="false">'Lot Register'!G9</f>
        <v>ST-ET-CON · ST-HC-CHA · ST-HU-REC</v>
      </c>
      <c r="F27" s="9" t="s">
        <v>596</v>
      </c>
      <c r="G27" s="9" t="s">
        <v>597</v>
      </c>
      <c r="H27" s="9" t="s">
        <v>598</v>
      </c>
      <c r="I27" s="9" t="s">
        <v>570</v>
      </c>
      <c r="J27" s="11" t="s">
        <v>238</v>
      </c>
      <c r="K27" s="47" t="n">
        <f aca="false">Controls!B26</f>
        <v>0</v>
      </c>
      <c r="L27" s="47" t="str">
        <f aca="false">IF(K27=1,"PASS","OPEN")</f>
        <v>OPEN</v>
      </c>
    </row>
    <row r="28" customFormat="false" ht="15" hidden="false" customHeight="false" outlineLevel="0" collapsed="false">
      <c r="A28" s="19" t="str">
        <f aca="false">"DEC-"&amp;B28&amp;"-G1"</f>
        <v>DEC-SUB-04-G1</v>
      </c>
      <c r="B28" s="19" t="str">
        <f aca="false">'Lot Register'!A10</f>
        <v>SUB-04</v>
      </c>
      <c r="C28" s="19" t="str">
        <f aca="false">'Lot Register'!B10</f>
        <v>Civil substrate</v>
      </c>
      <c r="D28" s="19" t="str">
        <f aca="false">'Lot Register'!D10</f>
        <v>MULTI</v>
      </c>
      <c r="E28" s="19" t="str">
        <f aca="false">'Lot Register'!G10</f>
        <v>ST-CT-CON · ST-LF-CHA · ST-RT-REC</v>
      </c>
      <c r="F28" s="9" t="s">
        <v>578</v>
      </c>
      <c r="G28" s="9" t="s">
        <v>579</v>
      </c>
      <c r="H28" s="9" t="s">
        <v>580</v>
      </c>
      <c r="I28" s="9" t="s">
        <v>562</v>
      </c>
      <c r="J28" s="11" t="s">
        <v>238</v>
      </c>
      <c r="K28" s="47" t="n">
        <f aca="false">Controls!B26</f>
        <v>0</v>
      </c>
      <c r="L28" s="47" t="str">
        <f aca="false">IF(K28=1,"PASS","OPEN")</f>
        <v>OPEN</v>
      </c>
    </row>
    <row r="29" customFormat="false" ht="15" hidden="false" customHeight="false" outlineLevel="0" collapsed="false">
      <c r="A29" s="19" t="str">
        <f aca="false">"DEC-"&amp;B29&amp;"-G2"</f>
        <v>DEC-SUB-04-G2</v>
      </c>
      <c r="B29" s="19" t="str">
        <f aca="false">'Lot Register'!A10</f>
        <v>SUB-04</v>
      </c>
      <c r="C29" s="19" t="str">
        <f aca="false">'Lot Register'!B10</f>
        <v>Civil substrate</v>
      </c>
      <c r="D29" s="19" t="str">
        <f aca="false">'Lot Register'!D10</f>
        <v>MULTI</v>
      </c>
      <c r="E29" s="19" t="str">
        <f aca="false">'Lot Register'!G10</f>
        <v>ST-CT-CON · ST-LF-CHA · ST-RT-REC</v>
      </c>
      <c r="F29" s="9" t="s">
        <v>581</v>
      </c>
      <c r="G29" s="9" t="s">
        <v>582</v>
      </c>
      <c r="H29" s="9" t="s">
        <v>583</v>
      </c>
      <c r="I29" s="9" t="s">
        <v>560</v>
      </c>
      <c r="J29" s="11" t="s">
        <v>238</v>
      </c>
      <c r="K29" s="47" t="n">
        <f aca="false">Controls!B26</f>
        <v>0</v>
      </c>
      <c r="L29" s="47" t="str">
        <f aca="false">IF(K29=1,"PASS","OPEN")</f>
        <v>OPEN</v>
      </c>
    </row>
    <row r="30" customFormat="false" ht="15" hidden="false" customHeight="false" outlineLevel="0" collapsed="false">
      <c r="A30" s="19" t="str">
        <f aca="false">"DEC-"&amp;B30&amp;"-G3"</f>
        <v>DEC-SUB-04-G3</v>
      </c>
      <c r="B30" s="19" t="str">
        <f aca="false">'Lot Register'!A10</f>
        <v>SUB-04</v>
      </c>
      <c r="C30" s="19" t="str">
        <f aca="false">'Lot Register'!B10</f>
        <v>Civil substrate</v>
      </c>
      <c r="D30" s="19" t="str">
        <f aca="false">'Lot Register'!D10</f>
        <v>MULTI</v>
      </c>
      <c r="E30" s="19" t="str">
        <f aca="false">'Lot Register'!G10</f>
        <v>ST-CT-CON · ST-LF-CHA · ST-RT-REC</v>
      </c>
      <c r="F30" s="9" t="s">
        <v>584</v>
      </c>
      <c r="G30" s="9" t="s">
        <v>585</v>
      </c>
      <c r="H30" s="9" t="s">
        <v>586</v>
      </c>
      <c r="I30" s="9" t="s">
        <v>565</v>
      </c>
      <c r="J30" s="11" t="s">
        <v>238</v>
      </c>
      <c r="K30" s="47" t="n">
        <f aca="false">Controls!B26</f>
        <v>0</v>
      </c>
      <c r="L30" s="47" t="str">
        <f aca="false">IF(K30=1,"PASS","OPEN")</f>
        <v>OPEN</v>
      </c>
    </row>
    <row r="31" customFormat="false" ht="15" hidden="false" customHeight="false" outlineLevel="0" collapsed="false">
      <c r="A31" s="19" t="str">
        <f aca="false">"DEC-"&amp;B31&amp;"-G4"</f>
        <v>DEC-SUB-04-G4</v>
      </c>
      <c r="B31" s="19" t="str">
        <f aca="false">'Lot Register'!A10</f>
        <v>SUB-04</v>
      </c>
      <c r="C31" s="19" t="str">
        <f aca="false">'Lot Register'!B10</f>
        <v>Civil substrate</v>
      </c>
      <c r="D31" s="19" t="str">
        <f aca="false">'Lot Register'!D10</f>
        <v>MULTI</v>
      </c>
      <c r="E31" s="19" t="str">
        <f aca="false">'Lot Register'!G10</f>
        <v>ST-CT-CON · ST-LF-CHA · ST-RT-REC</v>
      </c>
      <c r="F31" s="9" t="s">
        <v>587</v>
      </c>
      <c r="G31" s="9" t="s">
        <v>588</v>
      </c>
      <c r="H31" s="9" t="s">
        <v>589</v>
      </c>
      <c r="I31" s="9" t="s">
        <v>562</v>
      </c>
      <c r="J31" s="11" t="s">
        <v>238</v>
      </c>
      <c r="K31" s="47" t="n">
        <f aca="false">Controls!B26</f>
        <v>0</v>
      </c>
      <c r="L31" s="47" t="str">
        <f aca="false">IF(K31=1,"PASS","OPEN")</f>
        <v>OPEN</v>
      </c>
    </row>
    <row r="32" customFormat="false" ht="15" hidden="false" customHeight="false" outlineLevel="0" collapsed="false">
      <c r="A32" s="19" t="str">
        <f aca="false">"DEC-"&amp;B32&amp;"-G5"</f>
        <v>DEC-SUB-04-G5</v>
      </c>
      <c r="B32" s="19" t="str">
        <f aca="false">'Lot Register'!A10</f>
        <v>SUB-04</v>
      </c>
      <c r="C32" s="19" t="str">
        <f aca="false">'Lot Register'!B10</f>
        <v>Civil substrate</v>
      </c>
      <c r="D32" s="19" t="str">
        <f aca="false">'Lot Register'!D10</f>
        <v>MULTI</v>
      </c>
      <c r="E32" s="19" t="str">
        <f aca="false">'Lot Register'!G10</f>
        <v>ST-CT-CON · ST-LF-CHA · ST-RT-REC</v>
      </c>
      <c r="F32" s="9" t="s">
        <v>590</v>
      </c>
      <c r="G32" s="9" t="s">
        <v>591</v>
      </c>
      <c r="H32" s="9" t="s">
        <v>592</v>
      </c>
      <c r="I32" s="9" t="s">
        <v>565</v>
      </c>
      <c r="J32" s="11" t="s">
        <v>238</v>
      </c>
      <c r="K32" s="47" t="n">
        <f aca="false">Controls!B26</f>
        <v>0</v>
      </c>
      <c r="L32" s="47" t="str">
        <f aca="false">IF(K32=1,"PASS","OPEN")</f>
        <v>OPEN</v>
      </c>
    </row>
    <row r="33" customFormat="false" ht="15" hidden="false" customHeight="false" outlineLevel="0" collapsed="false">
      <c r="A33" s="19" t="str">
        <f aca="false">"DEC-"&amp;B33&amp;"-G6"</f>
        <v>DEC-SUB-04-G6</v>
      </c>
      <c r="B33" s="19" t="str">
        <f aca="false">'Lot Register'!A10</f>
        <v>SUB-04</v>
      </c>
      <c r="C33" s="19" t="str">
        <f aca="false">'Lot Register'!B10</f>
        <v>Civil substrate</v>
      </c>
      <c r="D33" s="19" t="str">
        <f aca="false">'Lot Register'!D10</f>
        <v>MULTI</v>
      </c>
      <c r="E33" s="19" t="str">
        <f aca="false">'Lot Register'!G10</f>
        <v>ST-CT-CON · ST-LF-CHA · ST-RT-REC</v>
      </c>
      <c r="F33" s="9" t="s">
        <v>593</v>
      </c>
      <c r="G33" s="9" t="s">
        <v>594</v>
      </c>
      <c r="H33" s="9" t="s">
        <v>595</v>
      </c>
      <c r="I33" s="9" t="s">
        <v>570</v>
      </c>
      <c r="J33" s="11" t="s">
        <v>238</v>
      </c>
      <c r="K33" s="47" t="n">
        <f aca="false">Controls!B26</f>
        <v>0</v>
      </c>
      <c r="L33" s="47" t="str">
        <f aca="false">IF(K33=1,"PASS","OPEN")</f>
        <v>OPEN</v>
      </c>
    </row>
    <row r="34" customFormat="false" ht="15" hidden="false" customHeight="false" outlineLevel="0" collapsed="false">
      <c r="A34" s="19" t="str">
        <f aca="false">"DEC-"&amp;B34&amp;"-G7"</f>
        <v>DEC-SUB-04-G7</v>
      </c>
      <c r="B34" s="19" t="str">
        <f aca="false">'Lot Register'!A10</f>
        <v>SUB-04</v>
      </c>
      <c r="C34" s="19" t="str">
        <f aca="false">'Lot Register'!B10</f>
        <v>Civil substrate</v>
      </c>
      <c r="D34" s="19" t="str">
        <f aca="false">'Lot Register'!D10</f>
        <v>MULTI</v>
      </c>
      <c r="E34" s="19" t="str">
        <f aca="false">'Lot Register'!G10</f>
        <v>ST-CT-CON · ST-LF-CHA · ST-RT-REC</v>
      </c>
      <c r="F34" s="9" t="s">
        <v>596</v>
      </c>
      <c r="G34" s="9" t="s">
        <v>597</v>
      </c>
      <c r="H34" s="9" t="s">
        <v>598</v>
      </c>
      <c r="I34" s="9" t="s">
        <v>570</v>
      </c>
      <c r="J34" s="11" t="s">
        <v>238</v>
      </c>
      <c r="K34" s="47" t="n">
        <f aca="false">Controls!B26</f>
        <v>0</v>
      </c>
      <c r="L34" s="47" t="str">
        <f aca="false">IF(K34=1,"PASS","OPEN")</f>
        <v>OPEN</v>
      </c>
    </row>
    <row r="35" customFormat="false" ht="15" hidden="false" customHeight="false" outlineLevel="0" collapsed="false">
      <c r="A35" s="19" t="str">
        <f aca="false">"DEC-"&amp;B35&amp;"-G1"</f>
        <v>DEC-SUB-05-G1</v>
      </c>
      <c r="B35" s="19" t="str">
        <f aca="false">'Lot Register'!A11</f>
        <v>SUB-05</v>
      </c>
      <c r="C35" s="19" t="str">
        <f aca="false">'Lot Register'!B11</f>
        <v>Civil substrate</v>
      </c>
      <c r="D35" s="19" t="str">
        <f aca="false">'Lot Register'!D11</f>
        <v>MULTI</v>
      </c>
      <c r="E35" s="19" t="str">
        <f aca="false">'Lot Register'!G11</f>
        <v>ST-ET-REC · ST-HC-CON · ST-HU-CHA</v>
      </c>
      <c r="F35" s="9" t="s">
        <v>578</v>
      </c>
      <c r="G35" s="9" t="s">
        <v>579</v>
      </c>
      <c r="H35" s="9" t="s">
        <v>580</v>
      </c>
      <c r="I35" s="9" t="s">
        <v>562</v>
      </c>
      <c r="J35" s="11" t="s">
        <v>238</v>
      </c>
      <c r="K35" s="47" t="n">
        <f aca="false">Controls!B26</f>
        <v>0</v>
      </c>
      <c r="L35" s="47" t="str">
        <f aca="false">IF(K35=1,"PASS","OPEN")</f>
        <v>OPEN</v>
      </c>
    </row>
    <row r="36" customFormat="false" ht="15" hidden="false" customHeight="false" outlineLevel="0" collapsed="false">
      <c r="A36" s="19" t="str">
        <f aca="false">"DEC-"&amp;B36&amp;"-G2"</f>
        <v>DEC-SUB-05-G2</v>
      </c>
      <c r="B36" s="19" t="str">
        <f aca="false">'Lot Register'!A11</f>
        <v>SUB-05</v>
      </c>
      <c r="C36" s="19" t="str">
        <f aca="false">'Lot Register'!B11</f>
        <v>Civil substrate</v>
      </c>
      <c r="D36" s="19" t="str">
        <f aca="false">'Lot Register'!D11</f>
        <v>MULTI</v>
      </c>
      <c r="E36" s="19" t="str">
        <f aca="false">'Lot Register'!G11</f>
        <v>ST-ET-REC · ST-HC-CON · ST-HU-CHA</v>
      </c>
      <c r="F36" s="9" t="s">
        <v>581</v>
      </c>
      <c r="G36" s="9" t="s">
        <v>582</v>
      </c>
      <c r="H36" s="9" t="s">
        <v>583</v>
      </c>
      <c r="I36" s="9" t="s">
        <v>560</v>
      </c>
      <c r="J36" s="11" t="s">
        <v>238</v>
      </c>
      <c r="K36" s="47" t="n">
        <f aca="false">Controls!B26</f>
        <v>0</v>
      </c>
      <c r="L36" s="47" t="str">
        <f aca="false">IF(K36=1,"PASS","OPEN")</f>
        <v>OPEN</v>
      </c>
    </row>
    <row r="37" customFormat="false" ht="15" hidden="false" customHeight="false" outlineLevel="0" collapsed="false">
      <c r="A37" s="19" t="str">
        <f aca="false">"DEC-"&amp;B37&amp;"-G3"</f>
        <v>DEC-SUB-05-G3</v>
      </c>
      <c r="B37" s="19" t="str">
        <f aca="false">'Lot Register'!A11</f>
        <v>SUB-05</v>
      </c>
      <c r="C37" s="19" t="str">
        <f aca="false">'Lot Register'!B11</f>
        <v>Civil substrate</v>
      </c>
      <c r="D37" s="19" t="str">
        <f aca="false">'Lot Register'!D11</f>
        <v>MULTI</v>
      </c>
      <c r="E37" s="19" t="str">
        <f aca="false">'Lot Register'!G11</f>
        <v>ST-ET-REC · ST-HC-CON · ST-HU-CHA</v>
      </c>
      <c r="F37" s="9" t="s">
        <v>584</v>
      </c>
      <c r="G37" s="9" t="s">
        <v>585</v>
      </c>
      <c r="H37" s="9" t="s">
        <v>586</v>
      </c>
      <c r="I37" s="9" t="s">
        <v>565</v>
      </c>
      <c r="J37" s="11" t="s">
        <v>238</v>
      </c>
      <c r="K37" s="47" t="n">
        <f aca="false">Controls!B26</f>
        <v>0</v>
      </c>
      <c r="L37" s="47" t="str">
        <f aca="false">IF(K37=1,"PASS","OPEN")</f>
        <v>OPEN</v>
      </c>
    </row>
    <row r="38" customFormat="false" ht="15" hidden="false" customHeight="false" outlineLevel="0" collapsed="false">
      <c r="A38" s="19" t="str">
        <f aca="false">"DEC-"&amp;B38&amp;"-G4"</f>
        <v>DEC-SUB-05-G4</v>
      </c>
      <c r="B38" s="19" t="str">
        <f aca="false">'Lot Register'!A11</f>
        <v>SUB-05</v>
      </c>
      <c r="C38" s="19" t="str">
        <f aca="false">'Lot Register'!B11</f>
        <v>Civil substrate</v>
      </c>
      <c r="D38" s="19" t="str">
        <f aca="false">'Lot Register'!D11</f>
        <v>MULTI</v>
      </c>
      <c r="E38" s="19" t="str">
        <f aca="false">'Lot Register'!G11</f>
        <v>ST-ET-REC · ST-HC-CON · ST-HU-CHA</v>
      </c>
      <c r="F38" s="9" t="s">
        <v>587</v>
      </c>
      <c r="G38" s="9" t="s">
        <v>588</v>
      </c>
      <c r="H38" s="9" t="s">
        <v>589</v>
      </c>
      <c r="I38" s="9" t="s">
        <v>562</v>
      </c>
      <c r="J38" s="11" t="s">
        <v>238</v>
      </c>
      <c r="K38" s="47" t="n">
        <f aca="false">Controls!B26</f>
        <v>0</v>
      </c>
      <c r="L38" s="47" t="str">
        <f aca="false">IF(K38=1,"PASS","OPEN")</f>
        <v>OPEN</v>
      </c>
    </row>
    <row r="39" customFormat="false" ht="15" hidden="false" customHeight="false" outlineLevel="0" collapsed="false">
      <c r="A39" s="19" t="str">
        <f aca="false">"DEC-"&amp;B39&amp;"-G5"</f>
        <v>DEC-SUB-05-G5</v>
      </c>
      <c r="B39" s="19" t="str">
        <f aca="false">'Lot Register'!A11</f>
        <v>SUB-05</v>
      </c>
      <c r="C39" s="19" t="str">
        <f aca="false">'Lot Register'!B11</f>
        <v>Civil substrate</v>
      </c>
      <c r="D39" s="19" t="str">
        <f aca="false">'Lot Register'!D11</f>
        <v>MULTI</v>
      </c>
      <c r="E39" s="19" t="str">
        <f aca="false">'Lot Register'!G11</f>
        <v>ST-ET-REC · ST-HC-CON · ST-HU-CHA</v>
      </c>
      <c r="F39" s="9" t="s">
        <v>590</v>
      </c>
      <c r="G39" s="9" t="s">
        <v>591</v>
      </c>
      <c r="H39" s="9" t="s">
        <v>592</v>
      </c>
      <c r="I39" s="9" t="s">
        <v>565</v>
      </c>
      <c r="J39" s="11" t="s">
        <v>238</v>
      </c>
      <c r="K39" s="47" t="n">
        <f aca="false">Controls!B26</f>
        <v>0</v>
      </c>
      <c r="L39" s="47" t="str">
        <f aca="false">IF(K39=1,"PASS","OPEN")</f>
        <v>OPEN</v>
      </c>
    </row>
    <row r="40" customFormat="false" ht="15" hidden="false" customHeight="false" outlineLevel="0" collapsed="false">
      <c r="A40" s="19" t="str">
        <f aca="false">"DEC-"&amp;B40&amp;"-G6"</f>
        <v>DEC-SUB-05-G6</v>
      </c>
      <c r="B40" s="19" t="str">
        <f aca="false">'Lot Register'!A11</f>
        <v>SUB-05</v>
      </c>
      <c r="C40" s="19" t="str">
        <f aca="false">'Lot Register'!B11</f>
        <v>Civil substrate</v>
      </c>
      <c r="D40" s="19" t="str">
        <f aca="false">'Lot Register'!D11</f>
        <v>MULTI</v>
      </c>
      <c r="E40" s="19" t="str">
        <f aca="false">'Lot Register'!G11</f>
        <v>ST-ET-REC · ST-HC-CON · ST-HU-CHA</v>
      </c>
      <c r="F40" s="9" t="s">
        <v>593</v>
      </c>
      <c r="G40" s="9" t="s">
        <v>594</v>
      </c>
      <c r="H40" s="9" t="s">
        <v>595</v>
      </c>
      <c r="I40" s="9" t="s">
        <v>570</v>
      </c>
      <c r="J40" s="11" t="s">
        <v>238</v>
      </c>
      <c r="K40" s="47" t="n">
        <f aca="false">Controls!B26</f>
        <v>0</v>
      </c>
      <c r="L40" s="47" t="str">
        <f aca="false">IF(K40=1,"PASS","OPEN")</f>
        <v>OPEN</v>
      </c>
    </row>
    <row r="41" customFormat="false" ht="15" hidden="false" customHeight="false" outlineLevel="0" collapsed="false">
      <c r="A41" s="19" t="str">
        <f aca="false">"DEC-"&amp;B41&amp;"-G7"</f>
        <v>DEC-SUB-05-G7</v>
      </c>
      <c r="B41" s="19" t="str">
        <f aca="false">'Lot Register'!A11</f>
        <v>SUB-05</v>
      </c>
      <c r="C41" s="19" t="str">
        <f aca="false">'Lot Register'!B11</f>
        <v>Civil substrate</v>
      </c>
      <c r="D41" s="19" t="str">
        <f aca="false">'Lot Register'!D11</f>
        <v>MULTI</v>
      </c>
      <c r="E41" s="19" t="str">
        <f aca="false">'Lot Register'!G11</f>
        <v>ST-ET-REC · ST-HC-CON · ST-HU-CHA</v>
      </c>
      <c r="F41" s="9" t="s">
        <v>596</v>
      </c>
      <c r="G41" s="9" t="s">
        <v>597</v>
      </c>
      <c r="H41" s="9" t="s">
        <v>598</v>
      </c>
      <c r="I41" s="9" t="s">
        <v>570</v>
      </c>
      <c r="J41" s="11" t="s">
        <v>238</v>
      </c>
      <c r="K41" s="47" t="n">
        <f aca="false">Controls!B26</f>
        <v>0</v>
      </c>
      <c r="L41" s="47" t="str">
        <f aca="false">IF(K41=1,"PASS","OPEN")</f>
        <v>OPEN</v>
      </c>
    </row>
    <row r="42" customFormat="false" ht="15" hidden="false" customHeight="false" outlineLevel="0" collapsed="false">
      <c r="A42" s="19" t="str">
        <f aca="false">"DEC-"&amp;B42&amp;"-G1"</f>
        <v>DEC-SUB-06-G1</v>
      </c>
      <c r="B42" s="19" t="str">
        <f aca="false">'Lot Register'!A12</f>
        <v>SUB-06</v>
      </c>
      <c r="C42" s="19" t="str">
        <f aca="false">'Lot Register'!B12</f>
        <v>Civil substrate</v>
      </c>
      <c r="D42" s="19" t="str">
        <f aca="false">'Lot Register'!D12</f>
        <v>MULTI</v>
      </c>
      <c r="E42" s="19" t="str">
        <f aca="false">'Lot Register'!G12</f>
        <v>ST-CT-REC · ST-LF-CON · ST-RT-CHA</v>
      </c>
      <c r="F42" s="9" t="s">
        <v>578</v>
      </c>
      <c r="G42" s="9" t="s">
        <v>579</v>
      </c>
      <c r="H42" s="9" t="s">
        <v>580</v>
      </c>
      <c r="I42" s="9" t="s">
        <v>562</v>
      </c>
      <c r="J42" s="11" t="s">
        <v>238</v>
      </c>
      <c r="K42" s="47" t="n">
        <f aca="false">Controls!B26</f>
        <v>0</v>
      </c>
      <c r="L42" s="47" t="str">
        <f aca="false">IF(K42=1,"PASS","OPEN")</f>
        <v>OPEN</v>
      </c>
    </row>
    <row r="43" customFormat="false" ht="15" hidden="false" customHeight="false" outlineLevel="0" collapsed="false">
      <c r="A43" s="19" t="str">
        <f aca="false">"DEC-"&amp;B43&amp;"-G2"</f>
        <v>DEC-SUB-06-G2</v>
      </c>
      <c r="B43" s="19" t="str">
        <f aca="false">'Lot Register'!A12</f>
        <v>SUB-06</v>
      </c>
      <c r="C43" s="19" t="str">
        <f aca="false">'Lot Register'!B12</f>
        <v>Civil substrate</v>
      </c>
      <c r="D43" s="19" t="str">
        <f aca="false">'Lot Register'!D12</f>
        <v>MULTI</v>
      </c>
      <c r="E43" s="19" t="str">
        <f aca="false">'Lot Register'!G12</f>
        <v>ST-CT-REC · ST-LF-CON · ST-RT-CHA</v>
      </c>
      <c r="F43" s="9" t="s">
        <v>581</v>
      </c>
      <c r="G43" s="9" t="s">
        <v>582</v>
      </c>
      <c r="H43" s="9" t="s">
        <v>583</v>
      </c>
      <c r="I43" s="9" t="s">
        <v>560</v>
      </c>
      <c r="J43" s="11" t="s">
        <v>238</v>
      </c>
      <c r="K43" s="47" t="n">
        <f aca="false">Controls!B26</f>
        <v>0</v>
      </c>
      <c r="L43" s="47" t="str">
        <f aca="false">IF(K43=1,"PASS","OPEN")</f>
        <v>OPEN</v>
      </c>
    </row>
    <row r="44" customFormat="false" ht="15" hidden="false" customHeight="false" outlineLevel="0" collapsed="false">
      <c r="A44" s="19" t="str">
        <f aca="false">"DEC-"&amp;B44&amp;"-G3"</f>
        <v>DEC-SUB-06-G3</v>
      </c>
      <c r="B44" s="19" t="str">
        <f aca="false">'Lot Register'!A12</f>
        <v>SUB-06</v>
      </c>
      <c r="C44" s="19" t="str">
        <f aca="false">'Lot Register'!B12</f>
        <v>Civil substrate</v>
      </c>
      <c r="D44" s="19" t="str">
        <f aca="false">'Lot Register'!D12</f>
        <v>MULTI</v>
      </c>
      <c r="E44" s="19" t="str">
        <f aca="false">'Lot Register'!G12</f>
        <v>ST-CT-REC · ST-LF-CON · ST-RT-CHA</v>
      </c>
      <c r="F44" s="9" t="s">
        <v>584</v>
      </c>
      <c r="G44" s="9" t="s">
        <v>585</v>
      </c>
      <c r="H44" s="9" t="s">
        <v>586</v>
      </c>
      <c r="I44" s="9" t="s">
        <v>565</v>
      </c>
      <c r="J44" s="11" t="s">
        <v>238</v>
      </c>
      <c r="K44" s="47" t="n">
        <f aca="false">Controls!B26</f>
        <v>0</v>
      </c>
      <c r="L44" s="47" t="str">
        <f aca="false">IF(K44=1,"PASS","OPEN")</f>
        <v>OPEN</v>
      </c>
    </row>
    <row r="45" customFormat="false" ht="15" hidden="false" customHeight="false" outlineLevel="0" collapsed="false">
      <c r="A45" s="19" t="str">
        <f aca="false">"DEC-"&amp;B45&amp;"-G4"</f>
        <v>DEC-SUB-06-G4</v>
      </c>
      <c r="B45" s="19" t="str">
        <f aca="false">'Lot Register'!A12</f>
        <v>SUB-06</v>
      </c>
      <c r="C45" s="19" t="str">
        <f aca="false">'Lot Register'!B12</f>
        <v>Civil substrate</v>
      </c>
      <c r="D45" s="19" t="str">
        <f aca="false">'Lot Register'!D12</f>
        <v>MULTI</v>
      </c>
      <c r="E45" s="19" t="str">
        <f aca="false">'Lot Register'!G12</f>
        <v>ST-CT-REC · ST-LF-CON · ST-RT-CHA</v>
      </c>
      <c r="F45" s="9" t="s">
        <v>587</v>
      </c>
      <c r="G45" s="9" t="s">
        <v>588</v>
      </c>
      <c r="H45" s="9" t="s">
        <v>589</v>
      </c>
      <c r="I45" s="9" t="s">
        <v>562</v>
      </c>
      <c r="J45" s="11" t="s">
        <v>238</v>
      </c>
      <c r="K45" s="47" t="n">
        <f aca="false">Controls!B26</f>
        <v>0</v>
      </c>
      <c r="L45" s="47" t="str">
        <f aca="false">IF(K45=1,"PASS","OPEN")</f>
        <v>OPEN</v>
      </c>
    </row>
    <row r="46" customFormat="false" ht="15" hidden="false" customHeight="false" outlineLevel="0" collapsed="false">
      <c r="A46" s="19" t="str">
        <f aca="false">"DEC-"&amp;B46&amp;"-G5"</f>
        <v>DEC-SUB-06-G5</v>
      </c>
      <c r="B46" s="19" t="str">
        <f aca="false">'Lot Register'!A12</f>
        <v>SUB-06</v>
      </c>
      <c r="C46" s="19" t="str">
        <f aca="false">'Lot Register'!B12</f>
        <v>Civil substrate</v>
      </c>
      <c r="D46" s="19" t="str">
        <f aca="false">'Lot Register'!D12</f>
        <v>MULTI</v>
      </c>
      <c r="E46" s="19" t="str">
        <f aca="false">'Lot Register'!G12</f>
        <v>ST-CT-REC · ST-LF-CON · ST-RT-CHA</v>
      </c>
      <c r="F46" s="9" t="s">
        <v>590</v>
      </c>
      <c r="G46" s="9" t="s">
        <v>591</v>
      </c>
      <c r="H46" s="9" t="s">
        <v>592</v>
      </c>
      <c r="I46" s="9" t="s">
        <v>565</v>
      </c>
      <c r="J46" s="11" t="s">
        <v>238</v>
      </c>
      <c r="K46" s="47" t="n">
        <f aca="false">Controls!B26</f>
        <v>0</v>
      </c>
      <c r="L46" s="47" t="str">
        <f aca="false">IF(K46=1,"PASS","OPEN")</f>
        <v>OPEN</v>
      </c>
    </row>
    <row r="47" customFormat="false" ht="15" hidden="false" customHeight="false" outlineLevel="0" collapsed="false">
      <c r="A47" s="19" t="str">
        <f aca="false">"DEC-"&amp;B47&amp;"-G6"</f>
        <v>DEC-SUB-06-G6</v>
      </c>
      <c r="B47" s="19" t="str">
        <f aca="false">'Lot Register'!A12</f>
        <v>SUB-06</v>
      </c>
      <c r="C47" s="19" t="str">
        <f aca="false">'Lot Register'!B12</f>
        <v>Civil substrate</v>
      </c>
      <c r="D47" s="19" t="str">
        <f aca="false">'Lot Register'!D12</f>
        <v>MULTI</v>
      </c>
      <c r="E47" s="19" t="str">
        <f aca="false">'Lot Register'!G12</f>
        <v>ST-CT-REC · ST-LF-CON · ST-RT-CHA</v>
      </c>
      <c r="F47" s="9" t="s">
        <v>593</v>
      </c>
      <c r="G47" s="9" t="s">
        <v>594</v>
      </c>
      <c r="H47" s="9" t="s">
        <v>595</v>
      </c>
      <c r="I47" s="9" t="s">
        <v>570</v>
      </c>
      <c r="J47" s="11" t="s">
        <v>238</v>
      </c>
      <c r="K47" s="47" t="n">
        <f aca="false">Controls!B26</f>
        <v>0</v>
      </c>
      <c r="L47" s="47" t="str">
        <f aca="false">IF(K47=1,"PASS","OPEN")</f>
        <v>OPEN</v>
      </c>
    </row>
    <row r="48" customFormat="false" ht="15" hidden="false" customHeight="false" outlineLevel="0" collapsed="false">
      <c r="A48" s="19" t="str">
        <f aca="false">"DEC-"&amp;B48&amp;"-G7"</f>
        <v>DEC-SUB-06-G7</v>
      </c>
      <c r="B48" s="19" t="str">
        <f aca="false">'Lot Register'!A12</f>
        <v>SUB-06</v>
      </c>
      <c r="C48" s="19" t="str">
        <f aca="false">'Lot Register'!B12</f>
        <v>Civil substrate</v>
      </c>
      <c r="D48" s="19" t="str">
        <f aca="false">'Lot Register'!D12</f>
        <v>MULTI</v>
      </c>
      <c r="E48" s="19" t="str">
        <f aca="false">'Lot Register'!G12</f>
        <v>ST-CT-REC · ST-LF-CON · ST-RT-CHA</v>
      </c>
      <c r="F48" s="9" t="s">
        <v>596</v>
      </c>
      <c r="G48" s="9" t="s">
        <v>597</v>
      </c>
      <c r="H48" s="9" t="s">
        <v>598</v>
      </c>
      <c r="I48" s="9" t="s">
        <v>570</v>
      </c>
      <c r="J48" s="11" t="s">
        <v>238</v>
      </c>
      <c r="K48" s="47" t="n">
        <f aca="false">Controls!B26</f>
        <v>0</v>
      </c>
      <c r="L48" s="47" t="str">
        <f aca="false">IF(K48=1,"PASS","OPEN")</f>
        <v>OPEN</v>
      </c>
    </row>
    <row r="49" customFormat="false" ht="15" hidden="false" customHeight="false" outlineLevel="0" collapsed="false">
      <c r="A49" s="19" t="str">
        <f aca="false">"DEC-"&amp;B49&amp;"-G1"</f>
        <v>DEC-RIG-ET-CHA-G1</v>
      </c>
      <c r="B49" s="19" t="str">
        <f aca="false">'Lot Register'!A13</f>
        <v>RIG-ET-CHA</v>
      </c>
      <c r="C49" s="19" t="str">
        <f aca="false">'Lot Register'!B13</f>
        <v>Root-native rig</v>
      </c>
      <c r="D49" s="19" t="str">
        <f aca="false">'Lot Register'!D13</f>
        <v>MS-ET</v>
      </c>
      <c r="E49" s="19" t="str">
        <f aca="false">'Lot Register'!G13</f>
        <v>ST-ET-CHA</v>
      </c>
      <c r="F49" s="9" t="s">
        <v>578</v>
      </c>
      <c r="G49" s="9" t="s">
        <v>579</v>
      </c>
      <c r="H49" s="9" t="s">
        <v>580</v>
      </c>
      <c r="I49" s="9" t="s">
        <v>562</v>
      </c>
      <c r="J49" s="11" t="s">
        <v>238</v>
      </c>
      <c r="K49" s="47" t="n">
        <f aca="false">Controls!B26</f>
        <v>0</v>
      </c>
      <c r="L49" s="47" t="str">
        <f aca="false">IF(K49=1,"PASS","OPEN")</f>
        <v>OPEN</v>
      </c>
    </row>
    <row r="50" customFormat="false" ht="15" hidden="false" customHeight="false" outlineLevel="0" collapsed="false">
      <c r="A50" s="19" t="str">
        <f aca="false">"DEC-"&amp;B50&amp;"-G2"</f>
        <v>DEC-RIG-ET-CHA-G2</v>
      </c>
      <c r="B50" s="19" t="str">
        <f aca="false">'Lot Register'!A13</f>
        <v>RIG-ET-CHA</v>
      </c>
      <c r="C50" s="19" t="str">
        <f aca="false">'Lot Register'!B13</f>
        <v>Root-native rig</v>
      </c>
      <c r="D50" s="19" t="str">
        <f aca="false">'Lot Register'!D13</f>
        <v>MS-ET</v>
      </c>
      <c r="E50" s="19" t="str">
        <f aca="false">'Lot Register'!G13</f>
        <v>ST-ET-CHA</v>
      </c>
      <c r="F50" s="9" t="s">
        <v>581</v>
      </c>
      <c r="G50" s="9" t="s">
        <v>582</v>
      </c>
      <c r="H50" s="9" t="s">
        <v>583</v>
      </c>
      <c r="I50" s="9" t="s">
        <v>560</v>
      </c>
      <c r="J50" s="11" t="s">
        <v>238</v>
      </c>
      <c r="K50" s="47" t="n">
        <f aca="false">Controls!B26</f>
        <v>0</v>
      </c>
      <c r="L50" s="47" t="str">
        <f aca="false">IF(K50=1,"PASS","OPEN")</f>
        <v>OPEN</v>
      </c>
    </row>
    <row r="51" customFormat="false" ht="15" hidden="false" customHeight="false" outlineLevel="0" collapsed="false">
      <c r="A51" s="19" t="str">
        <f aca="false">"DEC-"&amp;B51&amp;"-G3"</f>
        <v>DEC-RIG-ET-CHA-G3</v>
      </c>
      <c r="B51" s="19" t="str">
        <f aca="false">'Lot Register'!A13</f>
        <v>RIG-ET-CHA</v>
      </c>
      <c r="C51" s="19" t="str">
        <f aca="false">'Lot Register'!B13</f>
        <v>Root-native rig</v>
      </c>
      <c r="D51" s="19" t="str">
        <f aca="false">'Lot Register'!D13</f>
        <v>MS-ET</v>
      </c>
      <c r="E51" s="19" t="str">
        <f aca="false">'Lot Register'!G13</f>
        <v>ST-ET-CHA</v>
      </c>
      <c r="F51" s="9" t="s">
        <v>584</v>
      </c>
      <c r="G51" s="9" t="s">
        <v>585</v>
      </c>
      <c r="H51" s="9" t="s">
        <v>586</v>
      </c>
      <c r="I51" s="9" t="s">
        <v>565</v>
      </c>
      <c r="J51" s="11" t="s">
        <v>238</v>
      </c>
      <c r="K51" s="47" t="n">
        <f aca="false">Controls!B26</f>
        <v>0</v>
      </c>
      <c r="L51" s="47" t="str">
        <f aca="false">IF(K51=1,"PASS","OPEN")</f>
        <v>OPEN</v>
      </c>
    </row>
    <row r="52" customFormat="false" ht="15" hidden="false" customHeight="false" outlineLevel="0" collapsed="false">
      <c r="A52" s="19" t="str">
        <f aca="false">"DEC-"&amp;B52&amp;"-G4"</f>
        <v>DEC-RIG-ET-CHA-G4</v>
      </c>
      <c r="B52" s="19" t="str">
        <f aca="false">'Lot Register'!A13</f>
        <v>RIG-ET-CHA</v>
      </c>
      <c r="C52" s="19" t="str">
        <f aca="false">'Lot Register'!B13</f>
        <v>Root-native rig</v>
      </c>
      <c r="D52" s="19" t="str">
        <f aca="false">'Lot Register'!D13</f>
        <v>MS-ET</v>
      </c>
      <c r="E52" s="19" t="str">
        <f aca="false">'Lot Register'!G13</f>
        <v>ST-ET-CHA</v>
      </c>
      <c r="F52" s="9" t="s">
        <v>587</v>
      </c>
      <c r="G52" s="9" t="s">
        <v>588</v>
      </c>
      <c r="H52" s="9" t="s">
        <v>589</v>
      </c>
      <c r="I52" s="9" t="s">
        <v>562</v>
      </c>
      <c r="J52" s="11" t="s">
        <v>238</v>
      </c>
      <c r="K52" s="47" t="n">
        <f aca="false">Controls!B26</f>
        <v>0</v>
      </c>
      <c r="L52" s="47" t="str">
        <f aca="false">IF(K52=1,"PASS","OPEN")</f>
        <v>OPEN</v>
      </c>
    </row>
    <row r="53" customFormat="false" ht="15" hidden="false" customHeight="false" outlineLevel="0" collapsed="false">
      <c r="A53" s="19" t="str">
        <f aca="false">"DEC-"&amp;B53&amp;"-G5"</f>
        <v>DEC-RIG-ET-CHA-G5</v>
      </c>
      <c r="B53" s="19" t="str">
        <f aca="false">'Lot Register'!A13</f>
        <v>RIG-ET-CHA</v>
      </c>
      <c r="C53" s="19" t="str">
        <f aca="false">'Lot Register'!B13</f>
        <v>Root-native rig</v>
      </c>
      <c r="D53" s="19" t="str">
        <f aca="false">'Lot Register'!D13</f>
        <v>MS-ET</v>
      </c>
      <c r="E53" s="19" t="str">
        <f aca="false">'Lot Register'!G13</f>
        <v>ST-ET-CHA</v>
      </c>
      <c r="F53" s="9" t="s">
        <v>590</v>
      </c>
      <c r="G53" s="9" t="s">
        <v>591</v>
      </c>
      <c r="H53" s="9" t="s">
        <v>592</v>
      </c>
      <c r="I53" s="9" t="s">
        <v>565</v>
      </c>
      <c r="J53" s="11" t="s">
        <v>238</v>
      </c>
      <c r="K53" s="47" t="n">
        <f aca="false">Controls!B26</f>
        <v>0</v>
      </c>
      <c r="L53" s="47" t="str">
        <f aca="false">IF(K53=1,"PASS","OPEN")</f>
        <v>OPEN</v>
      </c>
    </row>
    <row r="54" customFormat="false" ht="15" hidden="false" customHeight="false" outlineLevel="0" collapsed="false">
      <c r="A54" s="19" t="str">
        <f aca="false">"DEC-"&amp;B54&amp;"-G6"</f>
        <v>DEC-RIG-ET-CHA-G6</v>
      </c>
      <c r="B54" s="19" t="str">
        <f aca="false">'Lot Register'!A13</f>
        <v>RIG-ET-CHA</v>
      </c>
      <c r="C54" s="19" t="str">
        <f aca="false">'Lot Register'!B13</f>
        <v>Root-native rig</v>
      </c>
      <c r="D54" s="19" t="str">
        <f aca="false">'Lot Register'!D13</f>
        <v>MS-ET</v>
      </c>
      <c r="E54" s="19" t="str">
        <f aca="false">'Lot Register'!G13</f>
        <v>ST-ET-CHA</v>
      </c>
      <c r="F54" s="9" t="s">
        <v>593</v>
      </c>
      <c r="G54" s="9" t="s">
        <v>594</v>
      </c>
      <c r="H54" s="9" t="s">
        <v>595</v>
      </c>
      <c r="I54" s="9" t="s">
        <v>570</v>
      </c>
      <c r="J54" s="11" t="s">
        <v>238</v>
      </c>
      <c r="K54" s="47" t="n">
        <f aca="false">Controls!B26</f>
        <v>0</v>
      </c>
      <c r="L54" s="47" t="str">
        <f aca="false">IF(K54=1,"PASS","OPEN")</f>
        <v>OPEN</v>
      </c>
    </row>
    <row r="55" customFormat="false" ht="15" hidden="false" customHeight="false" outlineLevel="0" collapsed="false">
      <c r="A55" s="19" t="str">
        <f aca="false">"DEC-"&amp;B55&amp;"-G7"</f>
        <v>DEC-RIG-ET-CHA-G7</v>
      </c>
      <c r="B55" s="19" t="str">
        <f aca="false">'Lot Register'!A13</f>
        <v>RIG-ET-CHA</v>
      </c>
      <c r="C55" s="19" t="str">
        <f aca="false">'Lot Register'!B13</f>
        <v>Root-native rig</v>
      </c>
      <c r="D55" s="19" t="str">
        <f aca="false">'Lot Register'!D13</f>
        <v>MS-ET</v>
      </c>
      <c r="E55" s="19" t="str">
        <f aca="false">'Lot Register'!G13</f>
        <v>ST-ET-CHA</v>
      </c>
      <c r="F55" s="9" t="s">
        <v>596</v>
      </c>
      <c r="G55" s="9" t="s">
        <v>597</v>
      </c>
      <c r="H55" s="9" t="s">
        <v>598</v>
      </c>
      <c r="I55" s="9" t="s">
        <v>570</v>
      </c>
      <c r="J55" s="11" t="s">
        <v>238</v>
      </c>
      <c r="K55" s="47" t="n">
        <f aca="false">Controls!B26</f>
        <v>0</v>
      </c>
      <c r="L55" s="47" t="str">
        <f aca="false">IF(K55=1,"PASS","OPEN")</f>
        <v>OPEN</v>
      </c>
    </row>
    <row r="56" customFormat="false" ht="15" hidden="false" customHeight="false" outlineLevel="0" collapsed="false">
      <c r="A56" s="19" t="str">
        <f aca="false">"DEC-"&amp;B56&amp;"-G1"</f>
        <v>DEC-MTH-ET-CHA-L1-G1</v>
      </c>
      <c r="B56" s="19" t="str">
        <f aca="false">'Lot Register'!A14</f>
        <v>MTH-ET-CHA-L1</v>
      </c>
      <c r="C56" s="19" t="str">
        <f aca="false">'Lot Register'!B14</f>
        <v>Method lineage</v>
      </c>
      <c r="D56" s="19" t="str">
        <f aca="false">'Lot Register'!D14</f>
        <v>MS-ET</v>
      </c>
      <c r="E56" s="19" t="str">
        <f aca="false">'Lot Register'!G14</f>
        <v>ST-ET-CHA</v>
      </c>
      <c r="F56" s="9" t="s">
        <v>578</v>
      </c>
      <c r="G56" s="9" t="s">
        <v>579</v>
      </c>
      <c r="H56" s="9" t="s">
        <v>580</v>
      </c>
      <c r="I56" s="9" t="s">
        <v>562</v>
      </c>
      <c r="J56" s="11" t="s">
        <v>238</v>
      </c>
      <c r="K56" s="47" t="n">
        <f aca="false">Controls!B26</f>
        <v>0</v>
      </c>
      <c r="L56" s="47" t="str">
        <f aca="false">IF(K56=1,"PASS","OPEN")</f>
        <v>OPEN</v>
      </c>
    </row>
    <row r="57" customFormat="false" ht="15" hidden="false" customHeight="false" outlineLevel="0" collapsed="false">
      <c r="A57" s="19" t="str">
        <f aca="false">"DEC-"&amp;B57&amp;"-G2"</f>
        <v>DEC-MTH-ET-CHA-L1-G2</v>
      </c>
      <c r="B57" s="19" t="str">
        <f aca="false">'Lot Register'!A14</f>
        <v>MTH-ET-CHA-L1</v>
      </c>
      <c r="C57" s="19" t="str">
        <f aca="false">'Lot Register'!B14</f>
        <v>Method lineage</v>
      </c>
      <c r="D57" s="19" t="str">
        <f aca="false">'Lot Register'!D14</f>
        <v>MS-ET</v>
      </c>
      <c r="E57" s="19" t="str">
        <f aca="false">'Lot Register'!G14</f>
        <v>ST-ET-CHA</v>
      </c>
      <c r="F57" s="9" t="s">
        <v>581</v>
      </c>
      <c r="G57" s="9" t="s">
        <v>582</v>
      </c>
      <c r="H57" s="9" t="s">
        <v>583</v>
      </c>
      <c r="I57" s="9" t="s">
        <v>560</v>
      </c>
      <c r="J57" s="11" t="s">
        <v>238</v>
      </c>
      <c r="K57" s="47" t="n">
        <f aca="false">Controls!B26</f>
        <v>0</v>
      </c>
      <c r="L57" s="47" t="str">
        <f aca="false">IF(K57=1,"PASS","OPEN")</f>
        <v>OPEN</v>
      </c>
    </row>
    <row r="58" customFormat="false" ht="15" hidden="false" customHeight="false" outlineLevel="0" collapsed="false">
      <c r="A58" s="19" t="str">
        <f aca="false">"DEC-"&amp;B58&amp;"-G3"</f>
        <v>DEC-MTH-ET-CHA-L1-G3</v>
      </c>
      <c r="B58" s="19" t="str">
        <f aca="false">'Lot Register'!A14</f>
        <v>MTH-ET-CHA-L1</v>
      </c>
      <c r="C58" s="19" t="str">
        <f aca="false">'Lot Register'!B14</f>
        <v>Method lineage</v>
      </c>
      <c r="D58" s="19" t="str">
        <f aca="false">'Lot Register'!D14</f>
        <v>MS-ET</v>
      </c>
      <c r="E58" s="19" t="str">
        <f aca="false">'Lot Register'!G14</f>
        <v>ST-ET-CHA</v>
      </c>
      <c r="F58" s="9" t="s">
        <v>584</v>
      </c>
      <c r="G58" s="9" t="s">
        <v>585</v>
      </c>
      <c r="H58" s="9" t="s">
        <v>586</v>
      </c>
      <c r="I58" s="9" t="s">
        <v>565</v>
      </c>
      <c r="J58" s="11" t="s">
        <v>238</v>
      </c>
      <c r="K58" s="47" t="n">
        <f aca="false">Controls!B26</f>
        <v>0</v>
      </c>
      <c r="L58" s="47" t="str">
        <f aca="false">IF(K58=1,"PASS","OPEN")</f>
        <v>OPEN</v>
      </c>
    </row>
    <row r="59" customFormat="false" ht="15" hidden="false" customHeight="false" outlineLevel="0" collapsed="false">
      <c r="A59" s="19" t="str">
        <f aca="false">"DEC-"&amp;B59&amp;"-G4"</f>
        <v>DEC-MTH-ET-CHA-L1-G4</v>
      </c>
      <c r="B59" s="19" t="str">
        <f aca="false">'Lot Register'!A14</f>
        <v>MTH-ET-CHA-L1</v>
      </c>
      <c r="C59" s="19" t="str">
        <f aca="false">'Lot Register'!B14</f>
        <v>Method lineage</v>
      </c>
      <c r="D59" s="19" t="str">
        <f aca="false">'Lot Register'!D14</f>
        <v>MS-ET</v>
      </c>
      <c r="E59" s="19" t="str">
        <f aca="false">'Lot Register'!G14</f>
        <v>ST-ET-CHA</v>
      </c>
      <c r="F59" s="9" t="s">
        <v>587</v>
      </c>
      <c r="G59" s="9" t="s">
        <v>588</v>
      </c>
      <c r="H59" s="9" t="s">
        <v>589</v>
      </c>
      <c r="I59" s="9" t="s">
        <v>562</v>
      </c>
      <c r="J59" s="11" t="s">
        <v>238</v>
      </c>
      <c r="K59" s="47" t="n">
        <f aca="false">Controls!B26</f>
        <v>0</v>
      </c>
      <c r="L59" s="47" t="str">
        <f aca="false">IF(K59=1,"PASS","OPEN")</f>
        <v>OPEN</v>
      </c>
    </row>
    <row r="60" customFormat="false" ht="15" hidden="false" customHeight="false" outlineLevel="0" collapsed="false">
      <c r="A60" s="19" t="str">
        <f aca="false">"DEC-"&amp;B60&amp;"-G5"</f>
        <v>DEC-MTH-ET-CHA-L1-G5</v>
      </c>
      <c r="B60" s="19" t="str">
        <f aca="false">'Lot Register'!A14</f>
        <v>MTH-ET-CHA-L1</v>
      </c>
      <c r="C60" s="19" t="str">
        <f aca="false">'Lot Register'!B14</f>
        <v>Method lineage</v>
      </c>
      <c r="D60" s="19" t="str">
        <f aca="false">'Lot Register'!D14</f>
        <v>MS-ET</v>
      </c>
      <c r="E60" s="19" t="str">
        <f aca="false">'Lot Register'!G14</f>
        <v>ST-ET-CHA</v>
      </c>
      <c r="F60" s="9" t="s">
        <v>590</v>
      </c>
      <c r="G60" s="9" t="s">
        <v>591</v>
      </c>
      <c r="H60" s="9" t="s">
        <v>592</v>
      </c>
      <c r="I60" s="9" t="s">
        <v>565</v>
      </c>
      <c r="J60" s="11" t="s">
        <v>238</v>
      </c>
      <c r="K60" s="47" t="n">
        <f aca="false">Controls!B26</f>
        <v>0</v>
      </c>
      <c r="L60" s="47" t="str">
        <f aca="false">IF(K60=1,"PASS","OPEN")</f>
        <v>OPEN</v>
      </c>
    </row>
    <row r="61" customFormat="false" ht="15" hidden="false" customHeight="false" outlineLevel="0" collapsed="false">
      <c r="A61" s="19" t="str">
        <f aca="false">"DEC-"&amp;B61&amp;"-G6"</f>
        <v>DEC-MTH-ET-CHA-L1-G6</v>
      </c>
      <c r="B61" s="19" t="str">
        <f aca="false">'Lot Register'!A14</f>
        <v>MTH-ET-CHA-L1</v>
      </c>
      <c r="C61" s="19" t="str">
        <f aca="false">'Lot Register'!B14</f>
        <v>Method lineage</v>
      </c>
      <c r="D61" s="19" t="str">
        <f aca="false">'Lot Register'!D14</f>
        <v>MS-ET</v>
      </c>
      <c r="E61" s="19" t="str">
        <f aca="false">'Lot Register'!G14</f>
        <v>ST-ET-CHA</v>
      </c>
      <c r="F61" s="9" t="s">
        <v>593</v>
      </c>
      <c r="G61" s="9" t="s">
        <v>594</v>
      </c>
      <c r="H61" s="9" t="s">
        <v>595</v>
      </c>
      <c r="I61" s="9" t="s">
        <v>570</v>
      </c>
      <c r="J61" s="11" t="s">
        <v>238</v>
      </c>
      <c r="K61" s="47" t="n">
        <f aca="false">Controls!B26</f>
        <v>0</v>
      </c>
      <c r="L61" s="47" t="str">
        <f aca="false">IF(K61=1,"PASS","OPEN")</f>
        <v>OPEN</v>
      </c>
    </row>
    <row r="62" customFormat="false" ht="15" hidden="false" customHeight="false" outlineLevel="0" collapsed="false">
      <c r="A62" s="19" t="str">
        <f aca="false">"DEC-"&amp;B62&amp;"-G7"</f>
        <v>DEC-MTH-ET-CHA-L1-G7</v>
      </c>
      <c r="B62" s="19" t="str">
        <f aca="false">'Lot Register'!A14</f>
        <v>MTH-ET-CHA-L1</v>
      </c>
      <c r="C62" s="19" t="str">
        <f aca="false">'Lot Register'!B14</f>
        <v>Method lineage</v>
      </c>
      <c r="D62" s="19" t="str">
        <f aca="false">'Lot Register'!D14</f>
        <v>MS-ET</v>
      </c>
      <c r="E62" s="19" t="str">
        <f aca="false">'Lot Register'!G14</f>
        <v>ST-ET-CHA</v>
      </c>
      <c r="F62" s="9" t="s">
        <v>596</v>
      </c>
      <c r="G62" s="9" t="s">
        <v>597</v>
      </c>
      <c r="H62" s="9" t="s">
        <v>598</v>
      </c>
      <c r="I62" s="9" t="s">
        <v>570</v>
      </c>
      <c r="J62" s="11" t="s">
        <v>238</v>
      </c>
      <c r="K62" s="47" t="n">
        <f aca="false">Controls!B26</f>
        <v>0</v>
      </c>
      <c r="L62" s="47" t="str">
        <f aca="false">IF(K62=1,"PASS","OPEN")</f>
        <v>OPEN</v>
      </c>
    </row>
    <row r="63" customFormat="false" ht="15" hidden="false" customHeight="false" outlineLevel="0" collapsed="false">
      <c r="A63" s="19" t="str">
        <f aca="false">"DEC-"&amp;B63&amp;"-G1"</f>
        <v>DEC-MTH-ET-CHA-L2-G1</v>
      </c>
      <c r="B63" s="19" t="str">
        <f aca="false">'Lot Register'!A15</f>
        <v>MTH-ET-CHA-L2</v>
      </c>
      <c r="C63" s="19" t="str">
        <f aca="false">'Lot Register'!B15</f>
        <v>Method lineage</v>
      </c>
      <c r="D63" s="19" t="str">
        <f aca="false">'Lot Register'!D15</f>
        <v>MS-ET</v>
      </c>
      <c r="E63" s="19" t="str">
        <f aca="false">'Lot Register'!G15</f>
        <v>ST-ET-CHA</v>
      </c>
      <c r="F63" s="9" t="s">
        <v>578</v>
      </c>
      <c r="G63" s="9" t="s">
        <v>579</v>
      </c>
      <c r="H63" s="9" t="s">
        <v>580</v>
      </c>
      <c r="I63" s="9" t="s">
        <v>562</v>
      </c>
      <c r="J63" s="11" t="s">
        <v>238</v>
      </c>
      <c r="K63" s="47" t="n">
        <f aca="false">Controls!B26</f>
        <v>0</v>
      </c>
      <c r="L63" s="47" t="str">
        <f aca="false">IF(K63=1,"PASS","OPEN")</f>
        <v>OPEN</v>
      </c>
    </row>
    <row r="64" customFormat="false" ht="15" hidden="false" customHeight="false" outlineLevel="0" collapsed="false">
      <c r="A64" s="19" t="str">
        <f aca="false">"DEC-"&amp;B64&amp;"-G2"</f>
        <v>DEC-MTH-ET-CHA-L2-G2</v>
      </c>
      <c r="B64" s="19" t="str">
        <f aca="false">'Lot Register'!A15</f>
        <v>MTH-ET-CHA-L2</v>
      </c>
      <c r="C64" s="19" t="str">
        <f aca="false">'Lot Register'!B15</f>
        <v>Method lineage</v>
      </c>
      <c r="D64" s="19" t="str">
        <f aca="false">'Lot Register'!D15</f>
        <v>MS-ET</v>
      </c>
      <c r="E64" s="19" t="str">
        <f aca="false">'Lot Register'!G15</f>
        <v>ST-ET-CHA</v>
      </c>
      <c r="F64" s="9" t="s">
        <v>581</v>
      </c>
      <c r="G64" s="9" t="s">
        <v>582</v>
      </c>
      <c r="H64" s="9" t="s">
        <v>583</v>
      </c>
      <c r="I64" s="9" t="s">
        <v>560</v>
      </c>
      <c r="J64" s="11" t="s">
        <v>238</v>
      </c>
      <c r="K64" s="47" t="n">
        <f aca="false">Controls!B26</f>
        <v>0</v>
      </c>
      <c r="L64" s="47" t="str">
        <f aca="false">IF(K64=1,"PASS","OPEN")</f>
        <v>OPEN</v>
      </c>
    </row>
    <row r="65" customFormat="false" ht="15" hidden="false" customHeight="false" outlineLevel="0" collapsed="false">
      <c r="A65" s="19" t="str">
        <f aca="false">"DEC-"&amp;B65&amp;"-G3"</f>
        <v>DEC-MTH-ET-CHA-L2-G3</v>
      </c>
      <c r="B65" s="19" t="str">
        <f aca="false">'Lot Register'!A15</f>
        <v>MTH-ET-CHA-L2</v>
      </c>
      <c r="C65" s="19" t="str">
        <f aca="false">'Lot Register'!B15</f>
        <v>Method lineage</v>
      </c>
      <c r="D65" s="19" t="str">
        <f aca="false">'Lot Register'!D15</f>
        <v>MS-ET</v>
      </c>
      <c r="E65" s="19" t="str">
        <f aca="false">'Lot Register'!G15</f>
        <v>ST-ET-CHA</v>
      </c>
      <c r="F65" s="9" t="s">
        <v>584</v>
      </c>
      <c r="G65" s="9" t="s">
        <v>585</v>
      </c>
      <c r="H65" s="9" t="s">
        <v>586</v>
      </c>
      <c r="I65" s="9" t="s">
        <v>565</v>
      </c>
      <c r="J65" s="11" t="s">
        <v>238</v>
      </c>
      <c r="K65" s="47" t="n">
        <f aca="false">Controls!B26</f>
        <v>0</v>
      </c>
      <c r="L65" s="47" t="str">
        <f aca="false">IF(K65=1,"PASS","OPEN")</f>
        <v>OPEN</v>
      </c>
    </row>
    <row r="66" customFormat="false" ht="15" hidden="false" customHeight="false" outlineLevel="0" collapsed="false">
      <c r="A66" s="19" t="str">
        <f aca="false">"DEC-"&amp;B66&amp;"-G4"</f>
        <v>DEC-MTH-ET-CHA-L2-G4</v>
      </c>
      <c r="B66" s="19" t="str">
        <f aca="false">'Lot Register'!A15</f>
        <v>MTH-ET-CHA-L2</v>
      </c>
      <c r="C66" s="19" t="str">
        <f aca="false">'Lot Register'!B15</f>
        <v>Method lineage</v>
      </c>
      <c r="D66" s="19" t="str">
        <f aca="false">'Lot Register'!D15</f>
        <v>MS-ET</v>
      </c>
      <c r="E66" s="19" t="str">
        <f aca="false">'Lot Register'!G15</f>
        <v>ST-ET-CHA</v>
      </c>
      <c r="F66" s="9" t="s">
        <v>587</v>
      </c>
      <c r="G66" s="9" t="s">
        <v>588</v>
      </c>
      <c r="H66" s="9" t="s">
        <v>589</v>
      </c>
      <c r="I66" s="9" t="s">
        <v>562</v>
      </c>
      <c r="J66" s="11" t="s">
        <v>238</v>
      </c>
      <c r="K66" s="47" t="n">
        <f aca="false">Controls!B26</f>
        <v>0</v>
      </c>
      <c r="L66" s="47" t="str">
        <f aca="false">IF(K66=1,"PASS","OPEN")</f>
        <v>OPEN</v>
      </c>
    </row>
    <row r="67" customFormat="false" ht="15" hidden="false" customHeight="false" outlineLevel="0" collapsed="false">
      <c r="A67" s="19" t="str">
        <f aca="false">"DEC-"&amp;B67&amp;"-G5"</f>
        <v>DEC-MTH-ET-CHA-L2-G5</v>
      </c>
      <c r="B67" s="19" t="str">
        <f aca="false">'Lot Register'!A15</f>
        <v>MTH-ET-CHA-L2</v>
      </c>
      <c r="C67" s="19" t="str">
        <f aca="false">'Lot Register'!B15</f>
        <v>Method lineage</v>
      </c>
      <c r="D67" s="19" t="str">
        <f aca="false">'Lot Register'!D15</f>
        <v>MS-ET</v>
      </c>
      <c r="E67" s="19" t="str">
        <f aca="false">'Lot Register'!G15</f>
        <v>ST-ET-CHA</v>
      </c>
      <c r="F67" s="9" t="s">
        <v>590</v>
      </c>
      <c r="G67" s="9" t="s">
        <v>591</v>
      </c>
      <c r="H67" s="9" t="s">
        <v>592</v>
      </c>
      <c r="I67" s="9" t="s">
        <v>565</v>
      </c>
      <c r="J67" s="11" t="s">
        <v>238</v>
      </c>
      <c r="K67" s="47" t="n">
        <f aca="false">Controls!B26</f>
        <v>0</v>
      </c>
      <c r="L67" s="47" t="str">
        <f aca="false">IF(K67=1,"PASS","OPEN")</f>
        <v>OPEN</v>
      </c>
    </row>
    <row r="68" customFormat="false" ht="15" hidden="false" customHeight="false" outlineLevel="0" collapsed="false">
      <c r="A68" s="19" t="str">
        <f aca="false">"DEC-"&amp;B68&amp;"-G6"</f>
        <v>DEC-MTH-ET-CHA-L2-G6</v>
      </c>
      <c r="B68" s="19" t="str">
        <f aca="false">'Lot Register'!A15</f>
        <v>MTH-ET-CHA-L2</v>
      </c>
      <c r="C68" s="19" t="str">
        <f aca="false">'Lot Register'!B15</f>
        <v>Method lineage</v>
      </c>
      <c r="D68" s="19" t="str">
        <f aca="false">'Lot Register'!D15</f>
        <v>MS-ET</v>
      </c>
      <c r="E68" s="19" t="str">
        <f aca="false">'Lot Register'!G15</f>
        <v>ST-ET-CHA</v>
      </c>
      <c r="F68" s="9" t="s">
        <v>593</v>
      </c>
      <c r="G68" s="9" t="s">
        <v>594</v>
      </c>
      <c r="H68" s="9" t="s">
        <v>595</v>
      </c>
      <c r="I68" s="9" t="s">
        <v>570</v>
      </c>
      <c r="J68" s="11" t="s">
        <v>238</v>
      </c>
      <c r="K68" s="47" t="n">
        <f aca="false">Controls!B26</f>
        <v>0</v>
      </c>
      <c r="L68" s="47" t="str">
        <f aca="false">IF(K68=1,"PASS","OPEN")</f>
        <v>OPEN</v>
      </c>
    </row>
    <row r="69" customFormat="false" ht="15" hidden="false" customHeight="false" outlineLevel="0" collapsed="false">
      <c r="A69" s="19" t="str">
        <f aca="false">"DEC-"&amp;B69&amp;"-G7"</f>
        <v>DEC-MTH-ET-CHA-L2-G7</v>
      </c>
      <c r="B69" s="19" t="str">
        <f aca="false">'Lot Register'!A15</f>
        <v>MTH-ET-CHA-L2</v>
      </c>
      <c r="C69" s="19" t="str">
        <f aca="false">'Lot Register'!B15</f>
        <v>Method lineage</v>
      </c>
      <c r="D69" s="19" t="str">
        <f aca="false">'Lot Register'!D15</f>
        <v>MS-ET</v>
      </c>
      <c r="E69" s="19" t="str">
        <f aca="false">'Lot Register'!G15</f>
        <v>ST-ET-CHA</v>
      </c>
      <c r="F69" s="9" t="s">
        <v>596</v>
      </c>
      <c r="G69" s="9" t="s">
        <v>597</v>
      </c>
      <c r="H69" s="9" t="s">
        <v>598</v>
      </c>
      <c r="I69" s="9" t="s">
        <v>570</v>
      </c>
      <c r="J69" s="11" t="s">
        <v>238</v>
      </c>
      <c r="K69" s="47" t="n">
        <f aca="false">Controls!B26</f>
        <v>0</v>
      </c>
      <c r="L69" s="47" t="str">
        <f aca="false">IF(K69=1,"PASS","OPEN")</f>
        <v>OPEN</v>
      </c>
    </row>
    <row r="70" customFormat="false" ht="15" hidden="false" customHeight="false" outlineLevel="0" collapsed="false">
      <c r="A70" s="19" t="str">
        <f aca="false">"DEC-"&amp;B70&amp;"-G1"</f>
        <v>DEC-REG-ET-CHA-G1</v>
      </c>
      <c r="B70" s="19" t="str">
        <f aca="false">'Lot Register'!A16</f>
        <v>REG-ET-CHA</v>
      </c>
      <c r="C70" s="19" t="str">
        <f aca="false">'Lot Register'!B16</f>
        <v>Regeneration tool</v>
      </c>
      <c r="D70" s="19" t="str">
        <f aca="false">'Lot Register'!D16</f>
        <v>MS-ET</v>
      </c>
      <c r="E70" s="19" t="str">
        <f aca="false">'Lot Register'!G16</f>
        <v>ST-ET-CHA</v>
      </c>
      <c r="F70" s="9" t="s">
        <v>578</v>
      </c>
      <c r="G70" s="9" t="s">
        <v>579</v>
      </c>
      <c r="H70" s="9" t="s">
        <v>580</v>
      </c>
      <c r="I70" s="9" t="s">
        <v>562</v>
      </c>
      <c r="J70" s="11" t="s">
        <v>238</v>
      </c>
      <c r="K70" s="47" t="n">
        <f aca="false">Controls!B26</f>
        <v>0</v>
      </c>
      <c r="L70" s="47" t="str">
        <f aca="false">IF(K70=1,"PASS","OPEN")</f>
        <v>OPEN</v>
      </c>
    </row>
    <row r="71" customFormat="false" ht="15" hidden="false" customHeight="false" outlineLevel="0" collapsed="false">
      <c r="A71" s="19" t="str">
        <f aca="false">"DEC-"&amp;B71&amp;"-G2"</f>
        <v>DEC-REG-ET-CHA-G2</v>
      </c>
      <c r="B71" s="19" t="str">
        <f aca="false">'Lot Register'!A16</f>
        <v>REG-ET-CHA</v>
      </c>
      <c r="C71" s="19" t="str">
        <f aca="false">'Lot Register'!B16</f>
        <v>Regeneration tool</v>
      </c>
      <c r="D71" s="19" t="str">
        <f aca="false">'Lot Register'!D16</f>
        <v>MS-ET</v>
      </c>
      <c r="E71" s="19" t="str">
        <f aca="false">'Lot Register'!G16</f>
        <v>ST-ET-CHA</v>
      </c>
      <c r="F71" s="9" t="s">
        <v>581</v>
      </c>
      <c r="G71" s="9" t="s">
        <v>582</v>
      </c>
      <c r="H71" s="9" t="s">
        <v>583</v>
      </c>
      <c r="I71" s="9" t="s">
        <v>560</v>
      </c>
      <c r="J71" s="11" t="s">
        <v>238</v>
      </c>
      <c r="K71" s="47" t="n">
        <f aca="false">Controls!B26</f>
        <v>0</v>
      </c>
      <c r="L71" s="47" t="str">
        <f aca="false">IF(K71=1,"PASS","OPEN")</f>
        <v>OPEN</v>
      </c>
    </row>
    <row r="72" customFormat="false" ht="15" hidden="false" customHeight="false" outlineLevel="0" collapsed="false">
      <c r="A72" s="19" t="str">
        <f aca="false">"DEC-"&amp;B72&amp;"-G3"</f>
        <v>DEC-REG-ET-CHA-G3</v>
      </c>
      <c r="B72" s="19" t="str">
        <f aca="false">'Lot Register'!A16</f>
        <v>REG-ET-CHA</v>
      </c>
      <c r="C72" s="19" t="str">
        <f aca="false">'Lot Register'!B16</f>
        <v>Regeneration tool</v>
      </c>
      <c r="D72" s="19" t="str">
        <f aca="false">'Lot Register'!D16</f>
        <v>MS-ET</v>
      </c>
      <c r="E72" s="19" t="str">
        <f aca="false">'Lot Register'!G16</f>
        <v>ST-ET-CHA</v>
      </c>
      <c r="F72" s="9" t="s">
        <v>584</v>
      </c>
      <c r="G72" s="9" t="s">
        <v>585</v>
      </c>
      <c r="H72" s="9" t="s">
        <v>586</v>
      </c>
      <c r="I72" s="9" t="s">
        <v>565</v>
      </c>
      <c r="J72" s="11" t="s">
        <v>238</v>
      </c>
      <c r="K72" s="47" t="n">
        <f aca="false">Controls!B26</f>
        <v>0</v>
      </c>
      <c r="L72" s="47" t="str">
        <f aca="false">IF(K72=1,"PASS","OPEN")</f>
        <v>OPEN</v>
      </c>
    </row>
    <row r="73" customFormat="false" ht="15" hidden="false" customHeight="false" outlineLevel="0" collapsed="false">
      <c r="A73" s="19" t="str">
        <f aca="false">"DEC-"&amp;B73&amp;"-G4"</f>
        <v>DEC-REG-ET-CHA-G4</v>
      </c>
      <c r="B73" s="19" t="str">
        <f aca="false">'Lot Register'!A16</f>
        <v>REG-ET-CHA</v>
      </c>
      <c r="C73" s="19" t="str">
        <f aca="false">'Lot Register'!B16</f>
        <v>Regeneration tool</v>
      </c>
      <c r="D73" s="19" t="str">
        <f aca="false">'Lot Register'!D16</f>
        <v>MS-ET</v>
      </c>
      <c r="E73" s="19" t="str">
        <f aca="false">'Lot Register'!G16</f>
        <v>ST-ET-CHA</v>
      </c>
      <c r="F73" s="9" t="s">
        <v>587</v>
      </c>
      <c r="G73" s="9" t="s">
        <v>588</v>
      </c>
      <c r="H73" s="9" t="s">
        <v>589</v>
      </c>
      <c r="I73" s="9" t="s">
        <v>562</v>
      </c>
      <c r="J73" s="11" t="s">
        <v>238</v>
      </c>
      <c r="K73" s="47" t="n">
        <f aca="false">Controls!B26</f>
        <v>0</v>
      </c>
      <c r="L73" s="47" t="str">
        <f aca="false">IF(K73=1,"PASS","OPEN")</f>
        <v>OPEN</v>
      </c>
    </row>
    <row r="74" customFormat="false" ht="15" hidden="false" customHeight="false" outlineLevel="0" collapsed="false">
      <c r="A74" s="19" t="str">
        <f aca="false">"DEC-"&amp;B74&amp;"-G5"</f>
        <v>DEC-REG-ET-CHA-G5</v>
      </c>
      <c r="B74" s="19" t="str">
        <f aca="false">'Lot Register'!A16</f>
        <v>REG-ET-CHA</v>
      </c>
      <c r="C74" s="19" t="str">
        <f aca="false">'Lot Register'!B16</f>
        <v>Regeneration tool</v>
      </c>
      <c r="D74" s="19" t="str">
        <f aca="false">'Lot Register'!D16</f>
        <v>MS-ET</v>
      </c>
      <c r="E74" s="19" t="str">
        <f aca="false">'Lot Register'!G16</f>
        <v>ST-ET-CHA</v>
      </c>
      <c r="F74" s="9" t="s">
        <v>590</v>
      </c>
      <c r="G74" s="9" t="s">
        <v>591</v>
      </c>
      <c r="H74" s="9" t="s">
        <v>592</v>
      </c>
      <c r="I74" s="9" t="s">
        <v>565</v>
      </c>
      <c r="J74" s="11" t="s">
        <v>238</v>
      </c>
      <c r="K74" s="47" t="n">
        <f aca="false">Controls!B26</f>
        <v>0</v>
      </c>
      <c r="L74" s="47" t="str">
        <f aca="false">IF(K74=1,"PASS","OPEN")</f>
        <v>OPEN</v>
      </c>
    </row>
    <row r="75" customFormat="false" ht="15" hidden="false" customHeight="false" outlineLevel="0" collapsed="false">
      <c r="A75" s="19" t="str">
        <f aca="false">"DEC-"&amp;B75&amp;"-G6"</f>
        <v>DEC-REG-ET-CHA-G6</v>
      </c>
      <c r="B75" s="19" t="str">
        <f aca="false">'Lot Register'!A16</f>
        <v>REG-ET-CHA</v>
      </c>
      <c r="C75" s="19" t="str">
        <f aca="false">'Lot Register'!B16</f>
        <v>Regeneration tool</v>
      </c>
      <c r="D75" s="19" t="str">
        <f aca="false">'Lot Register'!D16</f>
        <v>MS-ET</v>
      </c>
      <c r="E75" s="19" t="str">
        <f aca="false">'Lot Register'!G16</f>
        <v>ST-ET-CHA</v>
      </c>
      <c r="F75" s="9" t="s">
        <v>593</v>
      </c>
      <c r="G75" s="9" t="s">
        <v>594</v>
      </c>
      <c r="H75" s="9" t="s">
        <v>595</v>
      </c>
      <c r="I75" s="9" t="s">
        <v>570</v>
      </c>
      <c r="J75" s="11" t="s">
        <v>238</v>
      </c>
      <c r="K75" s="47" t="n">
        <f aca="false">Controls!B26</f>
        <v>0</v>
      </c>
      <c r="L75" s="47" t="str">
        <f aca="false">IF(K75=1,"PASS","OPEN")</f>
        <v>OPEN</v>
      </c>
    </row>
    <row r="76" customFormat="false" ht="15" hidden="false" customHeight="false" outlineLevel="0" collapsed="false">
      <c r="A76" s="19" t="str">
        <f aca="false">"DEC-"&amp;B76&amp;"-G7"</f>
        <v>DEC-REG-ET-CHA-G7</v>
      </c>
      <c r="B76" s="19" t="str">
        <f aca="false">'Lot Register'!A16</f>
        <v>REG-ET-CHA</v>
      </c>
      <c r="C76" s="19" t="str">
        <f aca="false">'Lot Register'!B16</f>
        <v>Regeneration tool</v>
      </c>
      <c r="D76" s="19" t="str">
        <f aca="false">'Lot Register'!D16</f>
        <v>MS-ET</v>
      </c>
      <c r="E76" s="19" t="str">
        <f aca="false">'Lot Register'!G16</f>
        <v>ST-ET-CHA</v>
      </c>
      <c r="F76" s="9" t="s">
        <v>596</v>
      </c>
      <c r="G76" s="9" t="s">
        <v>597</v>
      </c>
      <c r="H76" s="9" t="s">
        <v>598</v>
      </c>
      <c r="I76" s="9" t="s">
        <v>570</v>
      </c>
      <c r="J76" s="11" t="s">
        <v>238</v>
      </c>
      <c r="K76" s="47" t="n">
        <f aca="false">Controls!B26</f>
        <v>0</v>
      </c>
      <c r="L76" s="47" t="str">
        <f aca="false">IF(K76=1,"PASS","OPEN")</f>
        <v>OPEN</v>
      </c>
    </row>
    <row r="77" customFormat="false" ht="15" hidden="false" customHeight="false" outlineLevel="0" collapsed="false">
      <c r="A77" s="19" t="str">
        <f aca="false">"DEC-"&amp;B77&amp;"-G1"</f>
        <v>DEC-INT-ET-CHA-G1</v>
      </c>
      <c r="B77" s="19" t="str">
        <f aca="false">'Lot Register'!A17</f>
        <v>INT-ET-CHA</v>
      </c>
      <c r="C77" s="19" t="str">
        <f aca="false">'Lot Register'!B17</f>
        <v>Station integration</v>
      </c>
      <c r="D77" s="19" t="str">
        <f aca="false">'Lot Register'!D17</f>
        <v>MS-ET</v>
      </c>
      <c r="E77" s="19" t="str">
        <f aca="false">'Lot Register'!G17</f>
        <v>ST-ET-CHA</v>
      </c>
      <c r="F77" s="9" t="s">
        <v>578</v>
      </c>
      <c r="G77" s="9" t="s">
        <v>579</v>
      </c>
      <c r="H77" s="9" t="s">
        <v>580</v>
      </c>
      <c r="I77" s="9" t="s">
        <v>562</v>
      </c>
      <c r="J77" s="11" t="s">
        <v>238</v>
      </c>
      <c r="K77" s="47" t="n">
        <f aca="false">Controls!B26</f>
        <v>0</v>
      </c>
      <c r="L77" s="47" t="str">
        <f aca="false">IF(K77=1,"PASS","OPEN")</f>
        <v>OPEN</v>
      </c>
    </row>
    <row r="78" customFormat="false" ht="15" hidden="false" customHeight="false" outlineLevel="0" collapsed="false">
      <c r="A78" s="19" t="str">
        <f aca="false">"DEC-"&amp;B78&amp;"-G2"</f>
        <v>DEC-INT-ET-CHA-G2</v>
      </c>
      <c r="B78" s="19" t="str">
        <f aca="false">'Lot Register'!A17</f>
        <v>INT-ET-CHA</v>
      </c>
      <c r="C78" s="19" t="str">
        <f aca="false">'Lot Register'!B17</f>
        <v>Station integration</v>
      </c>
      <c r="D78" s="19" t="str">
        <f aca="false">'Lot Register'!D17</f>
        <v>MS-ET</v>
      </c>
      <c r="E78" s="19" t="str">
        <f aca="false">'Lot Register'!G17</f>
        <v>ST-ET-CHA</v>
      </c>
      <c r="F78" s="9" t="s">
        <v>581</v>
      </c>
      <c r="G78" s="9" t="s">
        <v>582</v>
      </c>
      <c r="H78" s="9" t="s">
        <v>583</v>
      </c>
      <c r="I78" s="9" t="s">
        <v>560</v>
      </c>
      <c r="J78" s="11" t="s">
        <v>238</v>
      </c>
      <c r="K78" s="47" t="n">
        <f aca="false">Controls!B26</f>
        <v>0</v>
      </c>
      <c r="L78" s="47" t="str">
        <f aca="false">IF(K78=1,"PASS","OPEN")</f>
        <v>OPEN</v>
      </c>
    </row>
    <row r="79" customFormat="false" ht="15" hidden="false" customHeight="false" outlineLevel="0" collapsed="false">
      <c r="A79" s="19" t="str">
        <f aca="false">"DEC-"&amp;B79&amp;"-G3"</f>
        <v>DEC-INT-ET-CHA-G3</v>
      </c>
      <c r="B79" s="19" t="str">
        <f aca="false">'Lot Register'!A17</f>
        <v>INT-ET-CHA</v>
      </c>
      <c r="C79" s="19" t="str">
        <f aca="false">'Lot Register'!B17</f>
        <v>Station integration</v>
      </c>
      <c r="D79" s="19" t="str">
        <f aca="false">'Lot Register'!D17</f>
        <v>MS-ET</v>
      </c>
      <c r="E79" s="19" t="str">
        <f aca="false">'Lot Register'!G17</f>
        <v>ST-ET-CHA</v>
      </c>
      <c r="F79" s="9" t="s">
        <v>584</v>
      </c>
      <c r="G79" s="9" t="s">
        <v>585</v>
      </c>
      <c r="H79" s="9" t="s">
        <v>586</v>
      </c>
      <c r="I79" s="9" t="s">
        <v>565</v>
      </c>
      <c r="J79" s="11" t="s">
        <v>238</v>
      </c>
      <c r="K79" s="47" t="n">
        <f aca="false">Controls!B26</f>
        <v>0</v>
      </c>
      <c r="L79" s="47" t="str">
        <f aca="false">IF(K79=1,"PASS","OPEN")</f>
        <v>OPEN</v>
      </c>
    </row>
    <row r="80" customFormat="false" ht="15" hidden="false" customHeight="false" outlineLevel="0" collapsed="false">
      <c r="A80" s="19" t="str">
        <f aca="false">"DEC-"&amp;B80&amp;"-G4"</f>
        <v>DEC-INT-ET-CHA-G4</v>
      </c>
      <c r="B80" s="19" t="str">
        <f aca="false">'Lot Register'!A17</f>
        <v>INT-ET-CHA</v>
      </c>
      <c r="C80" s="19" t="str">
        <f aca="false">'Lot Register'!B17</f>
        <v>Station integration</v>
      </c>
      <c r="D80" s="19" t="str">
        <f aca="false">'Lot Register'!D17</f>
        <v>MS-ET</v>
      </c>
      <c r="E80" s="19" t="str">
        <f aca="false">'Lot Register'!G17</f>
        <v>ST-ET-CHA</v>
      </c>
      <c r="F80" s="9" t="s">
        <v>587</v>
      </c>
      <c r="G80" s="9" t="s">
        <v>588</v>
      </c>
      <c r="H80" s="9" t="s">
        <v>589</v>
      </c>
      <c r="I80" s="9" t="s">
        <v>562</v>
      </c>
      <c r="J80" s="11" t="s">
        <v>238</v>
      </c>
      <c r="K80" s="47" t="n">
        <f aca="false">Controls!B26</f>
        <v>0</v>
      </c>
      <c r="L80" s="47" t="str">
        <f aca="false">IF(K80=1,"PASS","OPEN")</f>
        <v>OPEN</v>
      </c>
    </row>
    <row r="81" customFormat="false" ht="15" hidden="false" customHeight="false" outlineLevel="0" collapsed="false">
      <c r="A81" s="19" t="str">
        <f aca="false">"DEC-"&amp;B81&amp;"-G5"</f>
        <v>DEC-INT-ET-CHA-G5</v>
      </c>
      <c r="B81" s="19" t="str">
        <f aca="false">'Lot Register'!A17</f>
        <v>INT-ET-CHA</v>
      </c>
      <c r="C81" s="19" t="str">
        <f aca="false">'Lot Register'!B17</f>
        <v>Station integration</v>
      </c>
      <c r="D81" s="19" t="str">
        <f aca="false">'Lot Register'!D17</f>
        <v>MS-ET</v>
      </c>
      <c r="E81" s="19" t="str">
        <f aca="false">'Lot Register'!G17</f>
        <v>ST-ET-CHA</v>
      </c>
      <c r="F81" s="9" t="s">
        <v>590</v>
      </c>
      <c r="G81" s="9" t="s">
        <v>591</v>
      </c>
      <c r="H81" s="9" t="s">
        <v>592</v>
      </c>
      <c r="I81" s="9" t="s">
        <v>565</v>
      </c>
      <c r="J81" s="11" t="s">
        <v>238</v>
      </c>
      <c r="K81" s="47" t="n">
        <f aca="false">Controls!B26</f>
        <v>0</v>
      </c>
      <c r="L81" s="47" t="str">
        <f aca="false">IF(K81=1,"PASS","OPEN")</f>
        <v>OPEN</v>
      </c>
    </row>
    <row r="82" customFormat="false" ht="15" hidden="false" customHeight="false" outlineLevel="0" collapsed="false">
      <c r="A82" s="19" t="str">
        <f aca="false">"DEC-"&amp;B82&amp;"-G6"</f>
        <v>DEC-INT-ET-CHA-G6</v>
      </c>
      <c r="B82" s="19" t="str">
        <f aca="false">'Lot Register'!A17</f>
        <v>INT-ET-CHA</v>
      </c>
      <c r="C82" s="19" t="str">
        <f aca="false">'Lot Register'!B17</f>
        <v>Station integration</v>
      </c>
      <c r="D82" s="19" t="str">
        <f aca="false">'Lot Register'!D17</f>
        <v>MS-ET</v>
      </c>
      <c r="E82" s="19" t="str">
        <f aca="false">'Lot Register'!G17</f>
        <v>ST-ET-CHA</v>
      </c>
      <c r="F82" s="9" t="s">
        <v>593</v>
      </c>
      <c r="G82" s="9" t="s">
        <v>594</v>
      </c>
      <c r="H82" s="9" t="s">
        <v>595</v>
      </c>
      <c r="I82" s="9" t="s">
        <v>570</v>
      </c>
      <c r="J82" s="11" t="s">
        <v>238</v>
      </c>
      <c r="K82" s="47" t="n">
        <f aca="false">Controls!B26</f>
        <v>0</v>
      </c>
      <c r="L82" s="47" t="str">
        <f aca="false">IF(K82=1,"PASS","OPEN")</f>
        <v>OPEN</v>
      </c>
    </row>
    <row r="83" customFormat="false" ht="15" hidden="false" customHeight="false" outlineLevel="0" collapsed="false">
      <c r="A83" s="19" t="str">
        <f aca="false">"DEC-"&amp;B83&amp;"-G7"</f>
        <v>DEC-INT-ET-CHA-G7</v>
      </c>
      <c r="B83" s="19" t="str">
        <f aca="false">'Lot Register'!A17</f>
        <v>INT-ET-CHA</v>
      </c>
      <c r="C83" s="19" t="str">
        <f aca="false">'Lot Register'!B17</f>
        <v>Station integration</v>
      </c>
      <c r="D83" s="19" t="str">
        <f aca="false">'Lot Register'!D17</f>
        <v>MS-ET</v>
      </c>
      <c r="E83" s="19" t="str">
        <f aca="false">'Lot Register'!G17</f>
        <v>ST-ET-CHA</v>
      </c>
      <c r="F83" s="9" t="s">
        <v>596</v>
      </c>
      <c r="G83" s="9" t="s">
        <v>597</v>
      </c>
      <c r="H83" s="9" t="s">
        <v>598</v>
      </c>
      <c r="I83" s="9" t="s">
        <v>570</v>
      </c>
      <c r="J83" s="11" t="s">
        <v>238</v>
      </c>
      <c r="K83" s="47" t="n">
        <f aca="false">Controls!B26</f>
        <v>0</v>
      </c>
      <c r="L83" s="47" t="str">
        <f aca="false">IF(K83=1,"PASS","OPEN")</f>
        <v>OPEN</v>
      </c>
    </row>
    <row r="84" customFormat="false" ht="15" hidden="false" customHeight="false" outlineLevel="0" collapsed="false">
      <c r="A84" s="19" t="str">
        <f aca="false">"DEC-"&amp;B84&amp;"-G1"</f>
        <v>DEC-RIG-ET-CON-G1</v>
      </c>
      <c r="B84" s="19" t="str">
        <f aca="false">'Lot Register'!A18</f>
        <v>RIG-ET-CON</v>
      </c>
      <c r="C84" s="19" t="str">
        <f aca="false">'Lot Register'!B18</f>
        <v>Root-native rig</v>
      </c>
      <c r="D84" s="19" t="str">
        <f aca="false">'Lot Register'!D18</f>
        <v>MS-ET</v>
      </c>
      <c r="E84" s="19" t="str">
        <f aca="false">'Lot Register'!G18</f>
        <v>ST-ET-CON</v>
      </c>
      <c r="F84" s="9" t="s">
        <v>578</v>
      </c>
      <c r="G84" s="9" t="s">
        <v>579</v>
      </c>
      <c r="H84" s="9" t="s">
        <v>580</v>
      </c>
      <c r="I84" s="9" t="s">
        <v>562</v>
      </c>
      <c r="J84" s="11" t="s">
        <v>238</v>
      </c>
      <c r="K84" s="47" t="n">
        <f aca="false">Controls!B26</f>
        <v>0</v>
      </c>
      <c r="L84" s="47" t="str">
        <f aca="false">IF(K84=1,"PASS","OPEN")</f>
        <v>OPEN</v>
      </c>
    </row>
    <row r="85" customFormat="false" ht="15" hidden="false" customHeight="false" outlineLevel="0" collapsed="false">
      <c r="A85" s="19" t="str">
        <f aca="false">"DEC-"&amp;B85&amp;"-G2"</f>
        <v>DEC-RIG-ET-CON-G2</v>
      </c>
      <c r="B85" s="19" t="str">
        <f aca="false">'Lot Register'!A18</f>
        <v>RIG-ET-CON</v>
      </c>
      <c r="C85" s="19" t="str">
        <f aca="false">'Lot Register'!B18</f>
        <v>Root-native rig</v>
      </c>
      <c r="D85" s="19" t="str">
        <f aca="false">'Lot Register'!D18</f>
        <v>MS-ET</v>
      </c>
      <c r="E85" s="19" t="str">
        <f aca="false">'Lot Register'!G18</f>
        <v>ST-ET-CON</v>
      </c>
      <c r="F85" s="9" t="s">
        <v>581</v>
      </c>
      <c r="G85" s="9" t="s">
        <v>582</v>
      </c>
      <c r="H85" s="9" t="s">
        <v>583</v>
      </c>
      <c r="I85" s="9" t="s">
        <v>560</v>
      </c>
      <c r="J85" s="11" t="s">
        <v>238</v>
      </c>
      <c r="K85" s="47" t="n">
        <f aca="false">Controls!B26</f>
        <v>0</v>
      </c>
      <c r="L85" s="47" t="str">
        <f aca="false">IF(K85=1,"PASS","OPEN")</f>
        <v>OPEN</v>
      </c>
    </row>
    <row r="86" customFormat="false" ht="15" hidden="false" customHeight="false" outlineLevel="0" collapsed="false">
      <c r="A86" s="19" t="str">
        <f aca="false">"DEC-"&amp;B86&amp;"-G3"</f>
        <v>DEC-RIG-ET-CON-G3</v>
      </c>
      <c r="B86" s="19" t="str">
        <f aca="false">'Lot Register'!A18</f>
        <v>RIG-ET-CON</v>
      </c>
      <c r="C86" s="19" t="str">
        <f aca="false">'Lot Register'!B18</f>
        <v>Root-native rig</v>
      </c>
      <c r="D86" s="19" t="str">
        <f aca="false">'Lot Register'!D18</f>
        <v>MS-ET</v>
      </c>
      <c r="E86" s="19" t="str">
        <f aca="false">'Lot Register'!G18</f>
        <v>ST-ET-CON</v>
      </c>
      <c r="F86" s="9" t="s">
        <v>584</v>
      </c>
      <c r="G86" s="9" t="s">
        <v>585</v>
      </c>
      <c r="H86" s="9" t="s">
        <v>586</v>
      </c>
      <c r="I86" s="9" t="s">
        <v>565</v>
      </c>
      <c r="J86" s="11" t="s">
        <v>238</v>
      </c>
      <c r="K86" s="47" t="n">
        <f aca="false">Controls!B26</f>
        <v>0</v>
      </c>
      <c r="L86" s="47" t="str">
        <f aca="false">IF(K86=1,"PASS","OPEN")</f>
        <v>OPEN</v>
      </c>
    </row>
    <row r="87" customFormat="false" ht="15" hidden="false" customHeight="false" outlineLevel="0" collapsed="false">
      <c r="A87" s="19" t="str">
        <f aca="false">"DEC-"&amp;B87&amp;"-G4"</f>
        <v>DEC-RIG-ET-CON-G4</v>
      </c>
      <c r="B87" s="19" t="str">
        <f aca="false">'Lot Register'!A18</f>
        <v>RIG-ET-CON</v>
      </c>
      <c r="C87" s="19" t="str">
        <f aca="false">'Lot Register'!B18</f>
        <v>Root-native rig</v>
      </c>
      <c r="D87" s="19" t="str">
        <f aca="false">'Lot Register'!D18</f>
        <v>MS-ET</v>
      </c>
      <c r="E87" s="19" t="str">
        <f aca="false">'Lot Register'!G18</f>
        <v>ST-ET-CON</v>
      </c>
      <c r="F87" s="9" t="s">
        <v>587</v>
      </c>
      <c r="G87" s="9" t="s">
        <v>588</v>
      </c>
      <c r="H87" s="9" t="s">
        <v>589</v>
      </c>
      <c r="I87" s="9" t="s">
        <v>562</v>
      </c>
      <c r="J87" s="11" t="s">
        <v>238</v>
      </c>
      <c r="K87" s="47" t="n">
        <f aca="false">Controls!B26</f>
        <v>0</v>
      </c>
      <c r="L87" s="47" t="str">
        <f aca="false">IF(K87=1,"PASS","OPEN")</f>
        <v>OPEN</v>
      </c>
    </row>
    <row r="88" customFormat="false" ht="15" hidden="false" customHeight="false" outlineLevel="0" collapsed="false">
      <c r="A88" s="19" t="str">
        <f aca="false">"DEC-"&amp;B88&amp;"-G5"</f>
        <v>DEC-RIG-ET-CON-G5</v>
      </c>
      <c r="B88" s="19" t="str">
        <f aca="false">'Lot Register'!A18</f>
        <v>RIG-ET-CON</v>
      </c>
      <c r="C88" s="19" t="str">
        <f aca="false">'Lot Register'!B18</f>
        <v>Root-native rig</v>
      </c>
      <c r="D88" s="19" t="str">
        <f aca="false">'Lot Register'!D18</f>
        <v>MS-ET</v>
      </c>
      <c r="E88" s="19" t="str">
        <f aca="false">'Lot Register'!G18</f>
        <v>ST-ET-CON</v>
      </c>
      <c r="F88" s="9" t="s">
        <v>590</v>
      </c>
      <c r="G88" s="9" t="s">
        <v>591</v>
      </c>
      <c r="H88" s="9" t="s">
        <v>592</v>
      </c>
      <c r="I88" s="9" t="s">
        <v>565</v>
      </c>
      <c r="J88" s="11" t="s">
        <v>238</v>
      </c>
      <c r="K88" s="47" t="n">
        <f aca="false">Controls!B26</f>
        <v>0</v>
      </c>
      <c r="L88" s="47" t="str">
        <f aca="false">IF(K88=1,"PASS","OPEN")</f>
        <v>OPEN</v>
      </c>
    </row>
    <row r="89" customFormat="false" ht="15" hidden="false" customHeight="false" outlineLevel="0" collapsed="false">
      <c r="A89" s="19" t="str">
        <f aca="false">"DEC-"&amp;B89&amp;"-G6"</f>
        <v>DEC-RIG-ET-CON-G6</v>
      </c>
      <c r="B89" s="19" t="str">
        <f aca="false">'Lot Register'!A18</f>
        <v>RIG-ET-CON</v>
      </c>
      <c r="C89" s="19" t="str">
        <f aca="false">'Lot Register'!B18</f>
        <v>Root-native rig</v>
      </c>
      <c r="D89" s="19" t="str">
        <f aca="false">'Lot Register'!D18</f>
        <v>MS-ET</v>
      </c>
      <c r="E89" s="19" t="str">
        <f aca="false">'Lot Register'!G18</f>
        <v>ST-ET-CON</v>
      </c>
      <c r="F89" s="9" t="s">
        <v>593</v>
      </c>
      <c r="G89" s="9" t="s">
        <v>594</v>
      </c>
      <c r="H89" s="9" t="s">
        <v>595</v>
      </c>
      <c r="I89" s="9" t="s">
        <v>570</v>
      </c>
      <c r="J89" s="11" t="s">
        <v>238</v>
      </c>
      <c r="K89" s="47" t="n">
        <f aca="false">Controls!B26</f>
        <v>0</v>
      </c>
      <c r="L89" s="47" t="str">
        <f aca="false">IF(K89=1,"PASS","OPEN")</f>
        <v>OPEN</v>
      </c>
    </row>
    <row r="90" customFormat="false" ht="15" hidden="false" customHeight="false" outlineLevel="0" collapsed="false">
      <c r="A90" s="19" t="str">
        <f aca="false">"DEC-"&amp;B90&amp;"-G7"</f>
        <v>DEC-RIG-ET-CON-G7</v>
      </c>
      <c r="B90" s="19" t="str">
        <f aca="false">'Lot Register'!A18</f>
        <v>RIG-ET-CON</v>
      </c>
      <c r="C90" s="19" t="str">
        <f aca="false">'Lot Register'!B18</f>
        <v>Root-native rig</v>
      </c>
      <c r="D90" s="19" t="str">
        <f aca="false">'Lot Register'!D18</f>
        <v>MS-ET</v>
      </c>
      <c r="E90" s="19" t="str">
        <f aca="false">'Lot Register'!G18</f>
        <v>ST-ET-CON</v>
      </c>
      <c r="F90" s="9" t="s">
        <v>596</v>
      </c>
      <c r="G90" s="9" t="s">
        <v>597</v>
      </c>
      <c r="H90" s="9" t="s">
        <v>598</v>
      </c>
      <c r="I90" s="9" t="s">
        <v>570</v>
      </c>
      <c r="J90" s="11" t="s">
        <v>238</v>
      </c>
      <c r="K90" s="47" t="n">
        <f aca="false">Controls!B26</f>
        <v>0</v>
      </c>
      <c r="L90" s="47" t="str">
        <f aca="false">IF(K90=1,"PASS","OPEN")</f>
        <v>OPEN</v>
      </c>
    </row>
    <row r="91" customFormat="false" ht="15" hidden="false" customHeight="false" outlineLevel="0" collapsed="false">
      <c r="A91" s="19" t="str">
        <f aca="false">"DEC-"&amp;B91&amp;"-G1"</f>
        <v>DEC-MTH-ET-CON-L1-G1</v>
      </c>
      <c r="B91" s="19" t="str">
        <f aca="false">'Lot Register'!A19</f>
        <v>MTH-ET-CON-L1</v>
      </c>
      <c r="C91" s="19" t="str">
        <f aca="false">'Lot Register'!B19</f>
        <v>Method lineage</v>
      </c>
      <c r="D91" s="19" t="str">
        <f aca="false">'Lot Register'!D19</f>
        <v>MS-ET</v>
      </c>
      <c r="E91" s="19" t="str">
        <f aca="false">'Lot Register'!G19</f>
        <v>ST-ET-CON</v>
      </c>
      <c r="F91" s="9" t="s">
        <v>578</v>
      </c>
      <c r="G91" s="9" t="s">
        <v>579</v>
      </c>
      <c r="H91" s="9" t="s">
        <v>580</v>
      </c>
      <c r="I91" s="9" t="s">
        <v>562</v>
      </c>
      <c r="J91" s="11" t="s">
        <v>238</v>
      </c>
      <c r="K91" s="47" t="n">
        <f aca="false">Controls!B26</f>
        <v>0</v>
      </c>
      <c r="L91" s="47" t="str">
        <f aca="false">IF(K91=1,"PASS","OPEN")</f>
        <v>OPEN</v>
      </c>
    </row>
    <row r="92" customFormat="false" ht="15" hidden="false" customHeight="false" outlineLevel="0" collapsed="false">
      <c r="A92" s="19" t="str">
        <f aca="false">"DEC-"&amp;B92&amp;"-G2"</f>
        <v>DEC-MTH-ET-CON-L1-G2</v>
      </c>
      <c r="B92" s="19" t="str">
        <f aca="false">'Lot Register'!A19</f>
        <v>MTH-ET-CON-L1</v>
      </c>
      <c r="C92" s="19" t="str">
        <f aca="false">'Lot Register'!B19</f>
        <v>Method lineage</v>
      </c>
      <c r="D92" s="19" t="str">
        <f aca="false">'Lot Register'!D19</f>
        <v>MS-ET</v>
      </c>
      <c r="E92" s="19" t="str">
        <f aca="false">'Lot Register'!G19</f>
        <v>ST-ET-CON</v>
      </c>
      <c r="F92" s="9" t="s">
        <v>581</v>
      </c>
      <c r="G92" s="9" t="s">
        <v>582</v>
      </c>
      <c r="H92" s="9" t="s">
        <v>583</v>
      </c>
      <c r="I92" s="9" t="s">
        <v>560</v>
      </c>
      <c r="J92" s="11" t="s">
        <v>238</v>
      </c>
      <c r="K92" s="47" t="n">
        <f aca="false">Controls!B26</f>
        <v>0</v>
      </c>
      <c r="L92" s="47" t="str">
        <f aca="false">IF(K92=1,"PASS","OPEN")</f>
        <v>OPEN</v>
      </c>
    </row>
    <row r="93" customFormat="false" ht="15" hidden="false" customHeight="false" outlineLevel="0" collapsed="false">
      <c r="A93" s="19" t="str">
        <f aca="false">"DEC-"&amp;B93&amp;"-G3"</f>
        <v>DEC-MTH-ET-CON-L1-G3</v>
      </c>
      <c r="B93" s="19" t="str">
        <f aca="false">'Lot Register'!A19</f>
        <v>MTH-ET-CON-L1</v>
      </c>
      <c r="C93" s="19" t="str">
        <f aca="false">'Lot Register'!B19</f>
        <v>Method lineage</v>
      </c>
      <c r="D93" s="19" t="str">
        <f aca="false">'Lot Register'!D19</f>
        <v>MS-ET</v>
      </c>
      <c r="E93" s="19" t="str">
        <f aca="false">'Lot Register'!G19</f>
        <v>ST-ET-CON</v>
      </c>
      <c r="F93" s="9" t="s">
        <v>584</v>
      </c>
      <c r="G93" s="9" t="s">
        <v>585</v>
      </c>
      <c r="H93" s="9" t="s">
        <v>586</v>
      </c>
      <c r="I93" s="9" t="s">
        <v>565</v>
      </c>
      <c r="J93" s="11" t="s">
        <v>238</v>
      </c>
      <c r="K93" s="47" t="n">
        <f aca="false">Controls!B26</f>
        <v>0</v>
      </c>
      <c r="L93" s="47" t="str">
        <f aca="false">IF(K93=1,"PASS","OPEN")</f>
        <v>OPEN</v>
      </c>
    </row>
    <row r="94" customFormat="false" ht="15" hidden="false" customHeight="false" outlineLevel="0" collapsed="false">
      <c r="A94" s="19" t="str">
        <f aca="false">"DEC-"&amp;B94&amp;"-G4"</f>
        <v>DEC-MTH-ET-CON-L1-G4</v>
      </c>
      <c r="B94" s="19" t="str">
        <f aca="false">'Lot Register'!A19</f>
        <v>MTH-ET-CON-L1</v>
      </c>
      <c r="C94" s="19" t="str">
        <f aca="false">'Lot Register'!B19</f>
        <v>Method lineage</v>
      </c>
      <c r="D94" s="19" t="str">
        <f aca="false">'Lot Register'!D19</f>
        <v>MS-ET</v>
      </c>
      <c r="E94" s="19" t="str">
        <f aca="false">'Lot Register'!G19</f>
        <v>ST-ET-CON</v>
      </c>
      <c r="F94" s="9" t="s">
        <v>587</v>
      </c>
      <c r="G94" s="9" t="s">
        <v>588</v>
      </c>
      <c r="H94" s="9" t="s">
        <v>589</v>
      </c>
      <c r="I94" s="9" t="s">
        <v>562</v>
      </c>
      <c r="J94" s="11" t="s">
        <v>238</v>
      </c>
      <c r="K94" s="47" t="n">
        <f aca="false">Controls!B26</f>
        <v>0</v>
      </c>
      <c r="L94" s="47" t="str">
        <f aca="false">IF(K94=1,"PASS","OPEN")</f>
        <v>OPEN</v>
      </c>
    </row>
    <row r="95" customFormat="false" ht="15" hidden="false" customHeight="false" outlineLevel="0" collapsed="false">
      <c r="A95" s="19" t="str">
        <f aca="false">"DEC-"&amp;B95&amp;"-G5"</f>
        <v>DEC-MTH-ET-CON-L1-G5</v>
      </c>
      <c r="B95" s="19" t="str">
        <f aca="false">'Lot Register'!A19</f>
        <v>MTH-ET-CON-L1</v>
      </c>
      <c r="C95" s="19" t="str">
        <f aca="false">'Lot Register'!B19</f>
        <v>Method lineage</v>
      </c>
      <c r="D95" s="19" t="str">
        <f aca="false">'Lot Register'!D19</f>
        <v>MS-ET</v>
      </c>
      <c r="E95" s="19" t="str">
        <f aca="false">'Lot Register'!G19</f>
        <v>ST-ET-CON</v>
      </c>
      <c r="F95" s="9" t="s">
        <v>590</v>
      </c>
      <c r="G95" s="9" t="s">
        <v>591</v>
      </c>
      <c r="H95" s="9" t="s">
        <v>592</v>
      </c>
      <c r="I95" s="9" t="s">
        <v>565</v>
      </c>
      <c r="J95" s="11" t="s">
        <v>238</v>
      </c>
      <c r="K95" s="47" t="n">
        <f aca="false">Controls!B26</f>
        <v>0</v>
      </c>
      <c r="L95" s="47" t="str">
        <f aca="false">IF(K95=1,"PASS","OPEN")</f>
        <v>OPEN</v>
      </c>
    </row>
    <row r="96" customFormat="false" ht="15" hidden="false" customHeight="false" outlineLevel="0" collapsed="false">
      <c r="A96" s="19" t="str">
        <f aca="false">"DEC-"&amp;B96&amp;"-G6"</f>
        <v>DEC-MTH-ET-CON-L1-G6</v>
      </c>
      <c r="B96" s="19" t="str">
        <f aca="false">'Lot Register'!A19</f>
        <v>MTH-ET-CON-L1</v>
      </c>
      <c r="C96" s="19" t="str">
        <f aca="false">'Lot Register'!B19</f>
        <v>Method lineage</v>
      </c>
      <c r="D96" s="19" t="str">
        <f aca="false">'Lot Register'!D19</f>
        <v>MS-ET</v>
      </c>
      <c r="E96" s="19" t="str">
        <f aca="false">'Lot Register'!G19</f>
        <v>ST-ET-CON</v>
      </c>
      <c r="F96" s="9" t="s">
        <v>593</v>
      </c>
      <c r="G96" s="9" t="s">
        <v>594</v>
      </c>
      <c r="H96" s="9" t="s">
        <v>595</v>
      </c>
      <c r="I96" s="9" t="s">
        <v>570</v>
      </c>
      <c r="J96" s="11" t="s">
        <v>238</v>
      </c>
      <c r="K96" s="47" t="n">
        <f aca="false">Controls!B26</f>
        <v>0</v>
      </c>
      <c r="L96" s="47" t="str">
        <f aca="false">IF(K96=1,"PASS","OPEN")</f>
        <v>OPEN</v>
      </c>
    </row>
    <row r="97" customFormat="false" ht="15" hidden="false" customHeight="false" outlineLevel="0" collapsed="false">
      <c r="A97" s="19" t="str">
        <f aca="false">"DEC-"&amp;B97&amp;"-G7"</f>
        <v>DEC-MTH-ET-CON-L1-G7</v>
      </c>
      <c r="B97" s="19" t="str">
        <f aca="false">'Lot Register'!A19</f>
        <v>MTH-ET-CON-L1</v>
      </c>
      <c r="C97" s="19" t="str">
        <f aca="false">'Lot Register'!B19</f>
        <v>Method lineage</v>
      </c>
      <c r="D97" s="19" t="str">
        <f aca="false">'Lot Register'!D19</f>
        <v>MS-ET</v>
      </c>
      <c r="E97" s="19" t="str">
        <f aca="false">'Lot Register'!G19</f>
        <v>ST-ET-CON</v>
      </c>
      <c r="F97" s="9" t="s">
        <v>596</v>
      </c>
      <c r="G97" s="9" t="s">
        <v>597</v>
      </c>
      <c r="H97" s="9" t="s">
        <v>598</v>
      </c>
      <c r="I97" s="9" t="s">
        <v>570</v>
      </c>
      <c r="J97" s="11" t="s">
        <v>238</v>
      </c>
      <c r="K97" s="47" t="n">
        <f aca="false">Controls!B26</f>
        <v>0</v>
      </c>
      <c r="L97" s="47" t="str">
        <f aca="false">IF(K97=1,"PASS","OPEN")</f>
        <v>OPEN</v>
      </c>
    </row>
    <row r="98" customFormat="false" ht="15" hidden="false" customHeight="false" outlineLevel="0" collapsed="false">
      <c r="A98" s="19" t="str">
        <f aca="false">"DEC-"&amp;B98&amp;"-G1"</f>
        <v>DEC-MTH-ET-CON-L2-G1</v>
      </c>
      <c r="B98" s="19" t="str">
        <f aca="false">'Lot Register'!A20</f>
        <v>MTH-ET-CON-L2</v>
      </c>
      <c r="C98" s="19" t="str">
        <f aca="false">'Lot Register'!B20</f>
        <v>Method lineage</v>
      </c>
      <c r="D98" s="19" t="str">
        <f aca="false">'Lot Register'!D20</f>
        <v>MS-ET</v>
      </c>
      <c r="E98" s="19" t="str">
        <f aca="false">'Lot Register'!G20</f>
        <v>ST-ET-CON</v>
      </c>
      <c r="F98" s="9" t="s">
        <v>578</v>
      </c>
      <c r="G98" s="9" t="s">
        <v>579</v>
      </c>
      <c r="H98" s="9" t="s">
        <v>580</v>
      </c>
      <c r="I98" s="9" t="s">
        <v>562</v>
      </c>
      <c r="J98" s="11" t="s">
        <v>238</v>
      </c>
      <c r="K98" s="47" t="n">
        <f aca="false">Controls!B26</f>
        <v>0</v>
      </c>
      <c r="L98" s="47" t="str">
        <f aca="false">IF(K98=1,"PASS","OPEN")</f>
        <v>OPEN</v>
      </c>
    </row>
    <row r="99" customFormat="false" ht="15" hidden="false" customHeight="false" outlineLevel="0" collapsed="false">
      <c r="A99" s="19" t="str">
        <f aca="false">"DEC-"&amp;B99&amp;"-G2"</f>
        <v>DEC-MTH-ET-CON-L2-G2</v>
      </c>
      <c r="B99" s="19" t="str">
        <f aca="false">'Lot Register'!A20</f>
        <v>MTH-ET-CON-L2</v>
      </c>
      <c r="C99" s="19" t="str">
        <f aca="false">'Lot Register'!B20</f>
        <v>Method lineage</v>
      </c>
      <c r="D99" s="19" t="str">
        <f aca="false">'Lot Register'!D20</f>
        <v>MS-ET</v>
      </c>
      <c r="E99" s="19" t="str">
        <f aca="false">'Lot Register'!G20</f>
        <v>ST-ET-CON</v>
      </c>
      <c r="F99" s="9" t="s">
        <v>581</v>
      </c>
      <c r="G99" s="9" t="s">
        <v>582</v>
      </c>
      <c r="H99" s="9" t="s">
        <v>583</v>
      </c>
      <c r="I99" s="9" t="s">
        <v>560</v>
      </c>
      <c r="J99" s="11" t="s">
        <v>238</v>
      </c>
      <c r="K99" s="47" t="n">
        <f aca="false">Controls!B26</f>
        <v>0</v>
      </c>
      <c r="L99" s="47" t="str">
        <f aca="false">IF(K99=1,"PASS","OPEN")</f>
        <v>OPEN</v>
      </c>
    </row>
    <row r="100" customFormat="false" ht="15" hidden="false" customHeight="false" outlineLevel="0" collapsed="false">
      <c r="A100" s="19" t="str">
        <f aca="false">"DEC-"&amp;B100&amp;"-G3"</f>
        <v>DEC-MTH-ET-CON-L2-G3</v>
      </c>
      <c r="B100" s="19" t="str">
        <f aca="false">'Lot Register'!A20</f>
        <v>MTH-ET-CON-L2</v>
      </c>
      <c r="C100" s="19" t="str">
        <f aca="false">'Lot Register'!B20</f>
        <v>Method lineage</v>
      </c>
      <c r="D100" s="19" t="str">
        <f aca="false">'Lot Register'!D20</f>
        <v>MS-ET</v>
      </c>
      <c r="E100" s="19" t="str">
        <f aca="false">'Lot Register'!G20</f>
        <v>ST-ET-CON</v>
      </c>
      <c r="F100" s="9" t="s">
        <v>584</v>
      </c>
      <c r="G100" s="9" t="s">
        <v>585</v>
      </c>
      <c r="H100" s="9" t="s">
        <v>586</v>
      </c>
      <c r="I100" s="9" t="s">
        <v>565</v>
      </c>
      <c r="J100" s="11" t="s">
        <v>238</v>
      </c>
      <c r="K100" s="47" t="n">
        <f aca="false">Controls!B26</f>
        <v>0</v>
      </c>
      <c r="L100" s="47" t="str">
        <f aca="false">IF(K100=1,"PASS","OPEN")</f>
        <v>OPEN</v>
      </c>
    </row>
    <row r="101" customFormat="false" ht="15" hidden="false" customHeight="false" outlineLevel="0" collapsed="false">
      <c r="A101" s="19" t="str">
        <f aca="false">"DEC-"&amp;B101&amp;"-G4"</f>
        <v>DEC-MTH-ET-CON-L2-G4</v>
      </c>
      <c r="B101" s="19" t="str">
        <f aca="false">'Lot Register'!A20</f>
        <v>MTH-ET-CON-L2</v>
      </c>
      <c r="C101" s="19" t="str">
        <f aca="false">'Lot Register'!B20</f>
        <v>Method lineage</v>
      </c>
      <c r="D101" s="19" t="str">
        <f aca="false">'Lot Register'!D20</f>
        <v>MS-ET</v>
      </c>
      <c r="E101" s="19" t="str">
        <f aca="false">'Lot Register'!G20</f>
        <v>ST-ET-CON</v>
      </c>
      <c r="F101" s="9" t="s">
        <v>587</v>
      </c>
      <c r="G101" s="9" t="s">
        <v>588</v>
      </c>
      <c r="H101" s="9" t="s">
        <v>589</v>
      </c>
      <c r="I101" s="9" t="s">
        <v>562</v>
      </c>
      <c r="J101" s="11" t="s">
        <v>238</v>
      </c>
      <c r="K101" s="47" t="n">
        <f aca="false">Controls!B26</f>
        <v>0</v>
      </c>
      <c r="L101" s="47" t="str">
        <f aca="false">IF(K101=1,"PASS","OPEN")</f>
        <v>OPEN</v>
      </c>
    </row>
    <row r="102" customFormat="false" ht="15" hidden="false" customHeight="false" outlineLevel="0" collapsed="false">
      <c r="A102" s="19" t="str">
        <f aca="false">"DEC-"&amp;B102&amp;"-G5"</f>
        <v>DEC-MTH-ET-CON-L2-G5</v>
      </c>
      <c r="B102" s="19" t="str">
        <f aca="false">'Lot Register'!A20</f>
        <v>MTH-ET-CON-L2</v>
      </c>
      <c r="C102" s="19" t="str">
        <f aca="false">'Lot Register'!B20</f>
        <v>Method lineage</v>
      </c>
      <c r="D102" s="19" t="str">
        <f aca="false">'Lot Register'!D20</f>
        <v>MS-ET</v>
      </c>
      <c r="E102" s="19" t="str">
        <f aca="false">'Lot Register'!G20</f>
        <v>ST-ET-CON</v>
      </c>
      <c r="F102" s="9" t="s">
        <v>590</v>
      </c>
      <c r="G102" s="9" t="s">
        <v>591</v>
      </c>
      <c r="H102" s="9" t="s">
        <v>592</v>
      </c>
      <c r="I102" s="9" t="s">
        <v>565</v>
      </c>
      <c r="J102" s="11" t="s">
        <v>238</v>
      </c>
      <c r="K102" s="47" t="n">
        <f aca="false">Controls!B26</f>
        <v>0</v>
      </c>
      <c r="L102" s="47" t="str">
        <f aca="false">IF(K102=1,"PASS","OPEN")</f>
        <v>OPEN</v>
      </c>
    </row>
    <row r="103" customFormat="false" ht="15" hidden="false" customHeight="false" outlineLevel="0" collapsed="false">
      <c r="A103" s="19" t="str">
        <f aca="false">"DEC-"&amp;B103&amp;"-G6"</f>
        <v>DEC-MTH-ET-CON-L2-G6</v>
      </c>
      <c r="B103" s="19" t="str">
        <f aca="false">'Lot Register'!A20</f>
        <v>MTH-ET-CON-L2</v>
      </c>
      <c r="C103" s="19" t="str">
        <f aca="false">'Lot Register'!B20</f>
        <v>Method lineage</v>
      </c>
      <c r="D103" s="19" t="str">
        <f aca="false">'Lot Register'!D20</f>
        <v>MS-ET</v>
      </c>
      <c r="E103" s="19" t="str">
        <f aca="false">'Lot Register'!G20</f>
        <v>ST-ET-CON</v>
      </c>
      <c r="F103" s="9" t="s">
        <v>593</v>
      </c>
      <c r="G103" s="9" t="s">
        <v>594</v>
      </c>
      <c r="H103" s="9" t="s">
        <v>595</v>
      </c>
      <c r="I103" s="9" t="s">
        <v>570</v>
      </c>
      <c r="J103" s="11" t="s">
        <v>238</v>
      </c>
      <c r="K103" s="47" t="n">
        <f aca="false">Controls!B26</f>
        <v>0</v>
      </c>
      <c r="L103" s="47" t="str">
        <f aca="false">IF(K103=1,"PASS","OPEN")</f>
        <v>OPEN</v>
      </c>
    </row>
    <row r="104" customFormat="false" ht="15" hidden="false" customHeight="false" outlineLevel="0" collapsed="false">
      <c r="A104" s="19" t="str">
        <f aca="false">"DEC-"&amp;B104&amp;"-G7"</f>
        <v>DEC-MTH-ET-CON-L2-G7</v>
      </c>
      <c r="B104" s="19" t="str">
        <f aca="false">'Lot Register'!A20</f>
        <v>MTH-ET-CON-L2</v>
      </c>
      <c r="C104" s="19" t="str">
        <f aca="false">'Lot Register'!B20</f>
        <v>Method lineage</v>
      </c>
      <c r="D104" s="19" t="str">
        <f aca="false">'Lot Register'!D20</f>
        <v>MS-ET</v>
      </c>
      <c r="E104" s="19" t="str">
        <f aca="false">'Lot Register'!G20</f>
        <v>ST-ET-CON</v>
      </c>
      <c r="F104" s="9" t="s">
        <v>596</v>
      </c>
      <c r="G104" s="9" t="s">
        <v>597</v>
      </c>
      <c r="H104" s="9" t="s">
        <v>598</v>
      </c>
      <c r="I104" s="9" t="s">
        <v>570</v>
      </c>
      <c r="J104" s="11" t="s">
        <v>238</v>
      </c>
      <c r="K104" s="47" t="n">
        <f aca="false">Controls!B26</f>
        <v>0</v>
      </c>
      <c r="L104" s="47" t="str">
        <f aca="false">IF(K104=1,"PASS","OPEN")</f>
        <v>OPEN</v>
      </c>
    </row>
    <row r="105" customFormat="false" ht="15" hidden="false" customHeight="false" outlineLevel="0" collapsed="false">
      <c r="A105" s="19" t="str">
        <f aca="false">"DEC-"&amp;B105&amp;"-G1"</f>
        <v>DEC-REG-ET-CON-G1</v>
      </c>
      <c r="B105" s="19" t="str">
        <f aca="false">'Lot Register'!A21</f>
        <v>REG-ET-CON</v>
      </c>
      <c r="C105" s="19" t="str">
        <f aca="false">'Lot Register'!B21</f>
        <v>Regeneration tool</v>
      </c>
      <c r="D105" s="19" t="str">
        <f aca="false">'Lot Register'!D21</f>
        <v>MS-ET</v>
      </c>
      <c r="E105" s="19" t="str">
        <f aca="false">'Lot Register'!G21</f>
        <v>ST-ET-CON</v>
      </c>
      <c r="F105" s="9" t="s">
        <v>578</v>
      </c>
      <c r="G105" s="9" t="s">
        <v>579</v>
      </c>
      <c r="H105" s="9" t="s">
        <v>580</v>
      </c>
      <c r="I105" s="9" t="s">
        <v>562</v>
      </c>
      <c r="J105" s="11" t="s">
        <v>238</v>
      </c>
      <c r="K105" s="47" t="n">
        <f aca="false">Controls!B26</f>
        <v>0</v>
      </c>
      <c r="L105" s="47" t="str">
        <f aca="false">IF(K105=1,"PASS","OPEN")</f>
        <v>OPEN</v>
      </c>
    </row>
    <row r="106" customFormat="false" ht="15" hidden="false" customHeight="false" outlineLevel="0" collapsed="false">
      <c r="A106" s="19" t="str">
        <f aca="false">"DEC-"&amp;B106&amp;"-G2"</f>
        <v>DEC-REG-ET-CON-G2</v>
      </c>
      <c r="B106" s="19" t="str">
        <f aca="false">'Lot Register'!A21</f>
        <v>REG-ET-CON</v>
      </c>
      <c r="C106" s="19" t="str">
        <f aca="false">'Lot Register'!B21</f>
        <v>Regeneration tool</v>
      </c>
      <c r="D106" s="19" t="str">
        <f aca="false">'Lot Register'!D21</f>
        <v>MS-ET</v>
      </c>
      <c r="E106" s="19" t="str">
        <f aca="false">'Lot Register'!G21</f>
        <v>ST-ET-CON</v>
      </c>
      <c r="F106" s="9" t="s">
        <v>581</v>
      </c>
      <c r="G106" s="9" t="s">
        <v>582</v>
      </c>
      <c r="H106" s="9" t="s">
        <v>583</v>
      </c>
      <c r="I106" s="9" t="s">
        <v>560</v>
      </c>
      <c r="J106" s="11" t="s">
        <v>238</v>
      </c>
      <c r="K106" s="47" t="n">
        <f aca="false">Controls!B26</f>
        <v>0</v>
      </c>
      <c r="L106" s="47" t="str">
        <f aca="false">IF(K106=1,"PASS","OPEN")</f>
        <v>OPEN</v>
      </c>
    </row>
    <row r="107" customFormat="false" ht="15" hidden="false" customHeight="false" outlineLevel="0" collapsed="false">
      <c r="A107" s="19" t="str">
        <f aca="false">"DEC-"&amp;B107&amp;"-G3"</f>
        <v>DEC-REG-ET-CON-G3</v>
      </c>
      <c r="B107" s="19" t="str">
        <f aca="false">'Lot Register'!A21</f>
        <v>REG-ET-CON</v>
      </c>
      <c r="C107" s="19" t="str">
        <f aca="false">'Lot Register'!B21</f>
        <v>Regeneration tool</v>
      </c>
      <c r="D107" s="19" t="str">
        <f aca="false">'Lot Register'!D21</f>
        <v>MS-ET</v>
      </c>
      <c r="E107" s="19" t="str">
        <f aca="false">'Lot Register'!G21</f>
        <v>ST-ET-CON</v>
      </c>
      <c r="F107" s="9" t="s">
        <v>584</v>
      </c>
      <c r="G107" s="9" t="s">
        <v>585</v>
      </c>
      <c r="H107" s="9" t="s">
        <v>586</v>
      </c>
      <c r="I107" s="9" t="s">
        <v>565</v>
      </c>
      <c r="J107" s="11" t="s">
        <v>238</v>
      </c>
      <c r="K107" s="47" t="n">
        <f aca="false">Controls!B26</f>
        <v>0</v>
      </c>
      <c r="L107" s="47" t="str">
        <f aca="false">IF(K107=1,"PASS","OPEN")</f>
        <v>OPEN</v>
      </c>
    </row>
    <row r="108" customFormat="false" ht="15" hidden="false" customHeight="false" outlineLevel="0" collapsed="false">
      <c r="A108" s="19" t="str">
        <f aca="false">"DEC-"&amp;B108&amp;"-G4"</f>
        <v>DEC-REG-ET-CON-G4</v>
      </c>
      <c r="B108" s="19" t="str">
        <f aca="false">'Lot Register'!A21</f>
        <v>REG-ET-CON</v>
      </c>
      <c r="C108" s="19" t="str">
        <f aca="false">'Lot Register'!B21</f>
        <v>Regeneration tool</v>
      </c>
      <c r="D108" s="19" t="str">
        <f aca="false">'Lot Register'!D21</f>
        <v>MS-ET</v>
      </c>
      <c r="E108" s="19" t="str">
        <f aca="false">'Lot Register'!G21</f>
        <v>ST-ET-CON</v>
      </c>
      <c r="F108" s="9" t="s">
        <v>587</v>
      </c>
      <c r="G108" s="9" t="s">
        <v>588</v>
      </c>
      <c r="H108" s="9" t="s">
        <v>589</v>
      </c>
      <c r="I108" s="9" t="s">
        <v>562</v>
      </c>
      <c r="J108" s="11" t="s">
        <v>238</v>
      </c>
      <c r="K108" s="47" t="n">
        <f aca="false">Controls!B26</f>
        <v>0</v>
      </c>
      <c r="L108" s="47" t="str">
        <f aca="false">IF(K108=1,"PASS","OPEN")</f>
        <v>OPEN</v>
      </c>
    </row>
    <row r="109" customFormat="false" ht="15" hidden="false" customHeight="false" outlineLevel="0" collapsed="false">
      <c r="A109" s="19" t="str">
        <f aca="false">"DEC-"&amp;B109&amp;"-G5"</f>
        <v>DEC-REG-ET-CON-G5</v>
      </c>
      <c r="B109" s="19" t="str">
        <f aca="false">'Lot Register'!A21</f>
        <v>REG-ET-CON</v>
      </c>
      <c r="C109" s="19" t="str">
        <f aca="false">'Lot Register'!B21</f>
        <v>Regeneration tool</v>
      </c>
      <c r="D109" s="19" t="str">
        <f aca="false">'Lot Register'!D21</f>
        <v>MS-ET</v>
      </c>
      <c r="E109" s="19" t="str">
        <f aca="false">'Lot Register'!G21</f>
        <v>ST-ET-CON</v>
      </c>
      <c r="F109" s="9" t="s">
        <v>590</v>
      </c>
      <c r="G109" s="9" t="s">
        <v>591</v>
      </c>
      <c r="H109" s="9" t="s">
        <v>592</v>
      </c>
      <c r="I109" s="9" t="s">
        <v>565</v>
      </c>
      <c r="J109" s="11" t="s">
        <v>238</v>
      </c>
      <c r="K109" s="47" t="n">
        <f aca="false">Controls!B26</f>
        <v>0</v>
      </c>
      <c r="L109" s="47" t="str">
        <f aca="false">IF(K109=1,"PASS","OPEN")</f>
        <v>OPEN</v>
      </c>
    </row>
    <row r="110" customFormat="false" ht="15" hidden="false" customHeight="false" outlineLevel="0" collapsed="false">
      <c r="A110" s="19" t="str">
        <f aca="false">"DEC-"&amp;B110&amp;"-G6"</f>
        <v>DEC-REG-ET-CON-G6</v>
      </c>
      <c r="B110" s="19" t="str">
        <f aca="false">'Lot Register'!A21</f>
        <v>REG-ET-CON</v>
      </c>
      <c r="C110" s="19" t="str">
        <f aca="false">'Lot Register'!B21</f>
        <v>Regeneration tool</v>
      </c>
      <c r="D110" s="19" t="str">
        <f aca="false">'Lot Register'!D21</f>
        <v>MS-ET</v>
      </c>
      <c r="E110" s="19" t="str">
        <f aca="false">'Lot Register'!G21</f>
        <v>ST-ET-CON</v>
      </c>
      <c r="F110" s="9" t="s">
        <v>593</v>
      </c>
      <c r="G110" s="9" t="s">
        <v>594</v>
      </c>
      <c r="H110" s="9" t="s">
        <v>595</v>
      </c>
      <c r="I110" s="9" t="s">
        <v>570</v>
      </c>
      <c r="J110" s="11" t="s">
        <v>238</v>
      </c>
      <c r="K110" s="47" t="n">
        <f aca="false">Controls!B26</f>
        <v>0</v>
      </c>
      <c r="L110" s="47" t="str">
        <f aca="false">IF(K110=1,"PASS","OPEN")</f>
        <v>OPEN</v>
      </c>
    </row>
    <row r="111" customFormat="false" ht="15" hidden="false" customHeight="false" outlineLevel="0" collapsed="false">
      <c r="A111" s="19" t="str">
        <f aca="false">"DEC-"&amp;B111&amp;"-G7"</f>
        <v>DEC-REG-ET-CON-G7</v>
      </c>
      <c r="B111" s="19" t="str">
        <f aca="false">'Lot Register'!A21</f>
        <v>REG-ET-CON</v>
      </c>
      <c r="C111" s="19" t="str">
        <f aca="false">'Lot Register'!B21</f>
        <v>Regeneration tool</v>
      </c>
      <c r="D111" s="19" t="str">
        <f aca="false">'Lot Register'!D21</f>
        <v>MS-ET</v>
      </c>
      <c r="E111" s="19" t="str">
        <f aca="false">'Lot Register'!G21</f>
        <v>ST-ET-CON</v>
      </c>
      <c r="F111" s="9" t="s">
        <v>596</v>
      </c>
      <c r="G111" s="9" t="s">
        <v>597</v>
      </c>
      <c r="H111" s="9" t="s">
        <v>598</v>
      </c>
      <c r="I111" s="9" t="s">
        <v>570</v>
      </c>
      <c r="J111" s="11" t="s">
        <v>238</v>
      </c>
      <c r="K111" s="47" t="n">
        <f aca="false">Controls!B26</f>
        <v>0</v>
      </c>
      <c r="L111" s="47" t="str">
        <f aca="false">IF(K111=1,"PASS","OPEN")</f>
        <v>OPEN</v>
      </c>
    </row>
    <row r="112" customFormat="false" ht="15" hidden="false" customHeight="false" outlineLevel="0" collapsed="false">
      <c r="A112" s="19" t="str">
        <f aca="false">"DEC-"&amp;B112&amp;"-G1"</f>
        <v>DEC-INT-ET-CON-G1</v>
      </c>
      <c r="B112" s="19" t="str">
        <f aca="false">'Lot Register'!A22</f>
        <v>INT-ET-CON</v>
      </c>
      <c r="C112" s="19" t="str">
        <f aca="false">'Lot Register'!B22</f>
        <v>Station integration</v>
      </c>
      <c r="D112" s="19" t="str">
        <f aca="false">'Lot Register'!D22</f>
        <v>MS-ET</v>
      </c>
      <c r="E112" s="19" t="str">
        <f aca="false">'Lot Register'!G22</f>
        <v>ST-ET-CON</v>
      </c>
      <c r="F112" s="9" t="s">
        <v>578</v>
      </c>
      <c r="G112" s="9" t="s">
        <v>579</v>
      </c>
      <c r="H112" s="9" t="s">
        <v>580</v>
      </c>
      <c r="I112" s="9" t="s">
        <v>562</v>
      </c>
      <c r="J112" s="11" t="s">
        <v>238</v>
      </c>
      <c r="K112" s="47" t="n">
        <f aca="false">Controls!B26</f>
        <v>0</v>
      </c>
      <c r="L112" s="47" t="str">
        <f aca="false">IF(K112=1,"PASS","OPEN")</f>
        <v>OPEN</v>
      </c>
    </row>
    <row r="113" customFormat="false" ht="15" hidden="false" customHeight="false" outlineLevel="0" collapsed="false">
      <c r="A113" s="19" t="str">
        <f aca="false">"DEC-"&amp;B113&amp;"-G2"</f>
        <v>DEC-INT-ET-CON-G2</v>
      </c>
      <c r="B113" s="19" t="str">
        <f aca="false">'Lot Register'!A22</f>
        <v>INT-ET-CON</v>
      </c>
      <c r="C113" s="19" t="str">
        <f aca="false">'Lot Register'!B22</f>
        <v>Station integration</v>
      </c>
      <c r="D113" s="19" t="str">
        <f aca="false">'Lot Register'!D22</f>
        <v>MS-ET</v>
      </c>
      <c r="E113" s="19" t="str">
        <f aca="false">'Lot Register'!G22</f>
        <v>ST-ET-CON</v>
      </c>
      <c r="F113" s="9" t="s">
        <v>581</v>
      </c>
      <c r="G113" s="9" t="s">
        <v>582</v>
      </c>
      <c r="H113" s="9" t="s">
        <v>583</v>
      </c>
      <c r="I113" s="9" t="s">
        <v>560</v>
      </c>
      <c r="J113" s="11" t="s">
        <v>238</v>
      </c>
      <c r="K113" s="47" t="n">
        <f aca="false">Controls!B26</f>
        <v>0</v>
      </c>
      <c r="L113" s="47" t="str">
        <f aca="false">IF(K113=1,"PASS","OPEN")</f>
        <v>OPEN</v>
      </c>
    </row>
    <row r="114" customFormat="false" ht="15" hidden="false" customHeight="false" outlineLevel="0" collapsed="false">
      <c r="A114" s="19" t="str">
        <f aca="false">"DEC-"&amp;B114&amp;"-G3"</f>
        <v>DEC-INT-ET-CON-G3</v>
      </c>
      <c r="B114" s="19" t="str">
        <f aca="false">'Lot Register'!A22</f>
        <v>INT-ET-CON</v>
      </c>
      <c r="C114" s="19" t="str">
        <f aca="false">'Lot Register'!B22</f>
        <v>Station integration</v>
      </c>
      <c r="D114" s="19" t="str">
        <f aca="false">'Lot Register'!D22</f>
        <v>MS-ET</v>
      </c>
      <c r="E114" s="19" t="str">
        <f aca="false">'Lot Register'!G22</f>
        <v>ST-ET-CON</v>
      </c>
      <c r="F114" s="9" t="s">
        <v>584</v>
      </c>
      <c r="G114" s="9" t="s">
        <v>585</v>
      </c>
      <c r="H114" s="9" t="s">
        <v>586</v>
      </c>
      <c r="I114" s="9" t="s">
        <v>565</v>
      </c>
      <c r="J114" s="11" t="s">
        <v>238</v>
      </c>
      <c r="K114" s="47" t="n">
        <f aca="false">Controls!B26</f>
        <v>0</v>
      </c>
      <c r="L114" s="47" t="str">
        <f aca="false">IF(K114=1,"PASS","OPEN")</f>
        <v>OPEN</v>
      </c>
    </row>
    <row r="115" customFormat="false" ht="15" hidden="false" customHeight="false" outlineLevel="0" collapsed="false">
      <c r="A115" s="19" t="str">
        <f aca="false">"DEC-"&amp;B115&amp;"-G4"</f>
        <v>DEC-INT-ET-CON-G4</v>
      </c>
      <c r="B115" s="19" t="str">
        <f aca="false">'Lot Register'!A22</f>
        <v>INT-ET-CON</v>
      </c>
      <c r="C115" s="19" t="str">
        <f aca="false">'Lot Register'!B22</f>
        <v>Station integration</v>
      </c>
      <c r="D115" s="19" t="str">
        <f aca="false">'Lot Register'!D22</f>
        <v>MS-ET</v>
      </c>
      <c r="E115" s="19" t="str">
        <f aca="false">'Lot Register'!G22</f>
        <v>ST-ET-CON</v>
      </c>
      <c r="F115" s="9" t="s">
        <v>587</v>
      </c>
      <c r="G115" s="9" t="s">
        <v>588</v>
      </c>
      <c r="H115" s="9" t="s">
        <v>589</v>
      </c>
      <c r="I115" s="9" t="s">
        <v>562</v>
      </c>
      <c r="J115" s="11" t="s">
        <v>238</v>
      </c>
      <c r="K115" s="47" t="n">
        <f aca="false">Controls!B26</f>
        <v>0</v>
      </c>
      <c r="L115" s="47" t="str">
        <f aca="false">IF(K115=1,"PASS","OPEN")</f>
        <v>OPEN</v>
      </c>
    </row>
    <row r="116" customFormat="false" ht="15" hidden="false" customHeight="false" outlineLevel="0" collapsed="false">
      <c r="A116" s="19" t="str">
        <f aca="false">"DEC-"&amp;B116&amp;"-G5"</f>
        <v>DEC-INT-ET-CON-G5</v>
      </c>
      <c r="B116" s="19" t="str">
        <f aca="false">'Lot Register'!A22</f>
        <v>INT-ET-CON</v>
      </c>
      <c r="C116" s="19" t="str">
        <f aca="false">'Lot Register'!B22</f>
        <v>Station integration</v>
      </c>
      <c r="D116" s="19" t="str">
        <f aca="false">'Lot Register'!D22</f>
        <v>MS-ET</v>
      </c>
      <c r="E116" s="19" t="str">
        <f aca="false">'Lot Register'!G22</f>
        <v>ST-ET-CON</v>
      </c>
      <c r="F116" s="9" t="s">
        <v>590</v>
      </c>
      <c r="G116" s="9" t="s">
        <v>591</v>
      </c>
      <c r="H116" s="9" t="s">
        <v>592</v>
      </c>
      <c r="I116" s="9" t="s">
        <v>565</v>
      </c>
      <c r="J116" s="11" t="s">
        <v>238</v>
      </c>
      <c r="K116" s="47" t="n">
        <f aca="false">Controls!B26</f>
        <v>0</v>
      </c>
      <c r="L116" s="47" t="str">
        <f aca="false">IF(K116=1,"PASS","OPEN")</f>
        <v>OPEN</v>
      </c>
    </row>
    <row r="117" customFormat="false" ht="15" hidden="false" customHeight="false" outlineLevel="0" collapsed="false">
      <c r="A117" s="19" t="str">
        <f aca="false">"DEC-"&amp;B117&amp;"-G6"</f>
        <v>DEC-INT-ET-CON-G6</v>
      </c>
      <c r="B117" s="19" t="str">
        <f aca="false">'Lot Register'!A22</f>
        <v>INT-ET-CON</v>
      </c>
      <c r="C117" s="19" t="str">
        <f aca="false">'Lot Register'!B22</f>
        <v>Station integration</v>
      </c>
      <c r="D117" s="19" t="str">
        <f aca="false">'Lot Register'!D22</f>
        <v>MS-ET</v>
      </c>
      <c r="E117" s="19" t="str">
        <f aca="false">'Lot Register'!G22</f>
        <v>ST-ET-CON</v>
      </c>
      <c r="F117" s="9" t="s">
        <v>593</v>
      </c>
      <c r="G117" s="9" t="s">
        <v>594</v>
      </c>
      <c r="H117" s="9" t="s">
        <v>595</v>
      </c>
      <c r="I117" s="9" t="s">
        <v>570</v>
      </c>
      <c r="J117" s="11" t="s">
        <v>238</v>
      </c>
      <c r="K117" s="47" t="n">
        <f aca="false">Controls!B26</f>
        <v>0</v>
      </c>
      <c r="L117" s="47" t="str">
        <f aca="false">IF(K117=1,"PASS","OPEN")</f>
        <v>OPEN</v>
      </c>
    </row>
    <row r="118" customFormat="false" ht="15" hidden="false" customHeight="false" outlineLevel="0" collapsed="false">
      <c r="A118" s="19" t="str">
        <f aca="false">"DEC-"&amp;B118&amp;"-G7"</f>
        <v>DEC-INT-ET-CON-G7</v>
      </c>
      <c r="B118" s="19" t="str">
        <f aca="false">'Lot Register'!A22</f>
        <v>INT-ET-CON</v>
      </c>
      <c r="C118" s="19" t="str">
        <f aca="false">'Lot Register'!B22</f>
        <v>Station integration</v>
      </c>
      <c r="D118" s="19" t="str">
        <f aca="false">'Lot Register'!D22</f>
        <v>MS-ET</v>
      </c>
      <c r="E118" s="19" t="str">
        <f aca="false">'Lot Register'!G22</f>
        <v>ST-ET-CON</v>
      </c>
      <c r="F118" s="9" t="s">
        <v>596</v>
      </c>
      <c r="G118" s="9" t="s">
        <v>597</v>
      </c>
      <c r="H118" s="9" t="s">
        <v>598</v>
      </c>
      <c r="I118" s="9" t="s">
        <v>570</v>
      </c>
      <c r="J118" s="11" t="s">
        <v>238</v>
      </c>
      <c r="K118" s="47" t="n">
        <f aca="false">Controls!B26</f>
        <v>0</v>
      </c>
      <c r="L118" s="47" t="str">
        <f aca="false">IF(K118=1,"PASS","OPEN")</f>
        <v>OPEN</v>
      </c>
    </row>
    <row r="119" customFormat="false" ht="15" hidden="false" customHeight="false" outlineLevel="0" collapsed="false">
      <c r="A119" s="19" t="str">
        <f aca="false">"DEC-"&amp;B119&amp;"-G1"</f>
        <v>DEC-RIG-ET-REC-G1</v>
      </c>
      <c r="B119" s="19" t="str">
        <f aca="false">'Lot Register'!A23</f>
        <v>RIG-ET-REC</v>
      </c>
      <c r="C119" s="19" t="str">
        <f aca="false">'Lot Register'!B23</f>
        <v>Root-native rig</v>
      </c>
      <c r="D119" s="19" t="str">
        <f aca="false">'Lot Register'!D23</f>
        <v>MS-ET</v>
      </c>
      <c r="E119" s="19" t="str">
        <f aca="false">'Lot Register'!G23</f>
        <v>ST-ET-REC</v>
      </c>
      <c r="F119" s="9" t="s">
        <v>578</v>
      </c>
      <c r="G119" s="9" t="s">
        <v>579</v>
      </c>
      <c r="H119" s="9" t="s">
        <v>580</v>
      </c>
      <c r="I119" s="9" t="s">
        <v>562</v>
      </c>
      <c r="J119" s="11" t="s">
        <v>238</v>
      </c>
      <c r="K119" s="47" t="n">
        <f aca="false">Controls!B26</f>
        <v>0</v>
      </c>
      <c r="L119" s="47" t="str">
        <f aca="false">IF(K119=1,"PASS","OPEN")</f>
        <v>OPEN</v>
      </c>
    </row>
    <row r="120" customFormat="false" ht="15" hidden="false" customHeight="false" outlineLevel="0" collapsed="false">
      <c r="A120" s="19" t="str">
        <f aca="false">"DEC-"&amp;B120&amp;"-G2"</f>
        <v>DEC-RIG-ET-REC-G2</v>
      </c>
      <c r="B120" s="19" t="str">
        <f aca="false">'Lot Register'!A23</f>
        <v>RIG-ET-REC</v>
      </c>
      <c r="C120" s="19" t="str">
        <f aca="false">'Lot Register'!B23</f>
        <v>Root-native rig</v>
      </c>
      <c r="D120" s="19" t="str">
        <f aca="false">'Lot Register'!D23</f>
        <v>MS-ET</v>
      </c>
      <c r="E120" s="19" t="str">
        <f aca="false">'Lot Register'!G23</f>
        <v>ST-ET-REC</v>
      </c>
      <c r="F120" s="9" t="s">
        <v>581</v>
      </c>
      <c r="G120" s="9" t="s">
        <v>582</v>
      </c>
      <c r="H120" s="9" t="s">
        <v>583</v>
      </c>
      <c r="I120" s="9" t="s">
        <v>560</v>
      </c>
      <c r="J120" s="11" t="s">
        <v>238</v>
      </c>
      <c r="K120" s="47" t="n">
        <f aca="false">Controls!B26</f>
        <v>0</v>
      </c>
      <c r="L120" s="47" t="str">
        <f aca="false">IF(K120=1,"PASS","OPEN")</f>
        <v>OPEN</v>
      </c>
    </row>
    <row r="121" customFormat="false" ht="15" hidden="false" customHeight="false" outlineLevel="0" collapsed="false">
      <c r="A121" s="19" t="str">
        <f aca="false">"DEC-"&amp;B121&amp;"-G3"</f>
        <v>DEC-RIG-ET-REC-G3</v>
      </c>
      <c r="B121" s="19" t="str">
        <f aca="false">'Lot Register'!A23</f>
        <v>RIG-ET-REC</v>
      </c>
      <c r="C121" s="19" t="str">
        <f aca="false">'Lot Register'!B23</f>
        <v>Root-native rig</v>
      </c>
      <c r="D121" s="19" t="str">
        <f aca="false">'Lot Register'!D23</f>
        <v>MS-ET</v>
      </c>
      <c r="E121" s="19" t="str">
        <f aca="false">'Lot Register'!G23</f>
        <v>ST-ET-REC</v>
      </c>
      <c r="F121" s="9" t="s">
        <v>584</v>
      </c>
      <c r="G121" s="9" t="s">
        <v>585</v>
      </c>
      <c r="H121" s="9" t="s">
        <v>586</v>
      </c>
      <c r="I121" s="9" t="s">
        <v>565</v>
      </c>
      <c r="J121" s="11" t="s">
        <v>238</v>
      </c>
      <c r="K121" s="47" t="n">
        <f aca="false">Controls!B26</f>
        <v>0</v>
      </c>
      <c r="L121" s="47" t="str">
        <f aca="false">IF(K121=1,"PASS","OPEN")</f>
        <v>OPEN</v>
      </c>
    </row>
    <row r="122" customFormat="false" ht="15" hidden="false" customHeight="false" outlineLevel="0" collapsed="false">
      <c r="A122" s="19" t="str">
        <f aca="false">"DEC-"&amp;B122&amp;"-G4"</f>
        <v>DEC-RIG-ET-REC-G4</v>
      </c>
      <c r="B122" s="19" t="str">
        <f aca="false">'Lot Register'!A23</f>
        <v>RIG-ET-REC</v>
      </c>
      <c r="C122" s="19" t="str">
        <f aca="false">'Lot Register'!B23</f>
        <v>Root-native rig</v>
      </c>
      <c r="D122" s="19" t="str">
        <f aca="false">'Lot Register'!D23</f>
        <v>MS-ET</v>
      </c>
      <c r="E122" s="19" t="str">
        <f aca="false">'Lot Register'!G23</f>
        <v>ST-ET-REC</v>
      </c>
      <c r="F122" s="9" t="s">
        <v>587</v>
      </c>
      <c r="G122" s="9" t="s">
        <v>588</v>
      </c>
      <c r="H122" s="9" t="s">
        <v>589</v>
      </c>
      <c r="I122" s="9" t="s">
        <v>562</v>
      </c>
      <c r="J122" s="11" t="s">
        <v>238</v>
      </c>
      <c r="K122" s="47" t="n">
        <f aca="false">Controls!B26</f>
        <v>0</v>
      </c>
      <c r="L122" s="47" t="str">
        <f aca="false">IF(K122=1,"PASS","OPEN")</f>
        <v>OPEN</v>
      </c>
    </row>
    <row r="123" customFormat="false" ht="15" hidden="false" customHeight="false" outlineLevel="0" collapsed="false">
      <c r="A123" s="19" t="str">
        <f aca="false">"DEC-"&amp;B123&amp;"-G5"</f>
        <v>DEC-RIG-ET-REC-G5</v>
      </c>
      <c r="B123" s="19" t="str">
        <f aca="false">'Lot Register'!A23</f>
        <v>RIG-ET-REC</v>
      </c>
      <c r="C123" s="19" t="str">
        <f aca="false">'Lot Register'!B23</f>
        <v>Root-native rig</v>
      </c>
      <c r="D123" s="19" t="str">
        <f aca="false">'Lot Register'!D23</f>
        <v>MS-ET</v>
      </c>
      <c r="E123" s="19" t="str">
        <f aca="false">'Lot Register'!G23</f>
        <v>ST-ET-REC</v>
      </c>
      <c r="F123" s="9" t="s">
        <v>590</v>
      </c>
      <c r="G123" s="9" t="s">
        <v>591</v>
      </c>
      <c r="H123" s="9" t="s">
        <v>592</v>
      </c>
      <c r="I123" s="9" t="s">
        <v>565</v>
      </c>
      <c r="J123" s="11" t="s">
        <v>238</v>
      </c>
      <c r="K123" s="47" t="n">
        <f aca="false">Controls!B26</f>
        <v>0</v>
      </c>
      <c r="L123" s="47" t="str">
        <f aca="false">IF(K123=1,"PASS","OPEN")</f>
        <v>OPEN</v>
      </c>
    </row>
    <row r="124" customFormat="false" ht="15" hidden="false" customHeight="false" outlineLevel="0" collapsed="false">
      <c r="A124" s="19" t="str">
        <f aca="false">"DEC-"&amp;B124&amp;"-G6"</f>
        <v>DEC-RIG-ET-REC-G6</v>
      </c>
      <c r="B124" s="19" t="str">
        <f aca="false">'Lot Register'!A23</f>
        <v>RIG-ET-REC</v>
      </c>
      <c r="C124" s="19" t="str">
        <f aca="false">'Lot Register'!B23</f>
        <v>Root-native rig</v>
      </c>
      <c r="D124" s="19" t="str">
        <f aca="false">'Lot Register'!D23</f>
        <v>MS-ET</v>
      </c>
      <c r="E124" s="19" t="str">
        <f aca="false">'Lot Register'!G23</f>
        <v>ST-ET-REC</v>
      </c>
      <c r="F124" s="9" t="s">
        <v>593</v>
      </c>
      <c r="G124" s="9" t="s">
        <v>594</v>
      </c>
      <c r="H124" s="9" t="s">
        <v>595</v>
      </c>
      <c r="I124" s="9" t="s">
        <v>570</v>
      </c>
      <c r="J124" s="11" t="s">
        <v>238</v>
      </c>
      <c r="K124" s="47" t="n">
        <f aca="false">Controls!B26</f>
        <v>0</v>
      </c>
      <c r="L124" s="47" t="str">
        <f aca="false">IF(K124=1,"PASS","OPEN")</f>
        <v>OPEN</v>
      </c>
    </row>
    <row r="125" customFormat="false" ht="15" hidden="false" customHeight="false" outlineLevel="0" collapsed="false">
      <c r="A125" s="19" t="str">
        <f aca="false">"DEC-"&amp;B125&amp;"-G7"</f>
        <v>DEC-RIG-ET-REC-G7</v>
      </c>
      <c r="B125" s="19" t="str">
        <f aca="false">'Lot Register'!A23</f>
        <v>RIG-ET-REC</v>
      </c>
      <c r="C125" s="19" t="str">
        <f aca="false">'Lot Register'!B23</f>
        <v>Root-native rig</v>
      </c>
      <c r="D125" s="19" t="str">
        <f aca="false">'Lot Register'!D23</f>
        <v>MS-ET</v>
      </c>
      <c r="E125" s="19" t="str">
        <f aca="false">'Lot Register'!G23</f>
        <v>ST-ET-REC</v>
      </c>
      <c r="F125" s="9" t="s">
        <v>596</v>
      </c>
      <c r="G125" s="9" t="s">
        <v>597</v>
      </c>
      <c r="H125" s="9" t="s">
        <v>598</v>
      </c>
      <c r="I125" s="9" t="s">
        <v>570</v>
      </c>
      <c r="J125" s="11" t="s">
        <v>238</v>
      </c>
      <c r="K125" s="47" t="n">
        <f aca="false">Controls!B26</f>
        <v>0</v>
      </c>
      <c r="L125" s="47" t="str">
        <f aca="false">IF(K125=1,"PASS","OPEN")</f>
        <v>OPEN</v>
      </c>
    </row>
    <row r="126" customFormat="false" ht="15" hidden="false" customHeight="false" outlineLevel="0" collapsed="false">
      <c r="A126" s="19" t="str">
        <f aca="false">"DEC-"&amp;B126&amp;"-G1"</f>
        <v>DEC-MTH-ET-REC-L1-G1</v>
      </c>
      <c r="B126" s="19" t="str">
        <f aca="false">'Lot Register'!A24</f>
        <v>MTH-ET-REC-L1</v>
      </c>
      <c r="C126" s="19" t="str">
        <f aca="false">'Lot Register'!B24</f>
        <v>Method lineage</v>
      </c>
      <c r="D126" s="19" t="str">
        <f aca="false">'Lot Register'!D24</f>
        <v>MS-ET</v>
      </c>
      <c r="E126" s="19" t="str">
        <f aca="false">'Lot Register'!G24</f>
        <v>ST-ET-REC</v>
      </c>
      <c r="F126" s="9" t="s">
        <v>578</v>
      </c>
      <c r="G126" s="9" t="s">
        <v>579</v>
      </c>
      <c r="H126" s="9" t="s">
        <v>580</v>
      </c>
      <c r="I126" s="9" t="s">
        <v>562</v>
      </c>
      <c r="J126" s="11" t="s">
        <v>238</v>
      </c>
      <c r="K126" s="47" t="n">
        <f aca="false">Controls!B26</f>
        <v>0</v>
      </c>
      <c r="L126" s="47" t="str">
        <f aca="false">IF(K126=1,"PASS","OPEN")</f>
        <v>OPEN</v>
      </c>
    </row>
    <row r="127" customFormat="false" ht="15" hidden="false" customHeight="false" outlineLevel="0" collapsed="false">
      <c r="A127" s="19" t="str">
        <f aca="false">"DEC-"&amp;B127&amp;"-G2"</f>
        <v>DEC-MTH-ET-REC-L1-G2</v>
      </c>
      <c r="B127" s="19" t="str">
        <f aca="false">'Lot Register'!A24</f>
        <v>MTH-ET-REC-L1</v>
      </c>
      <c r="C127" s="19" t="str">
        <f aca="false">'Lot Register'!B24</f>
        <v>Method lineage</v>
      </c>
      <c r="D127" s="19" t="str">
        <f aca="false">'Lot Register'!D24</f>
        <v>MS-ET</v>
      </c>
      <c r="E127" s="19" t="str">
        <f aca="false">'Lot Register'!G24</f>
        <v>ST-ET-REC</v>
      </c>
      <c r="F127" s="9" t="s">
        <v>581</v>
      </c>
      <c r="G127" s="9" t="s">
        <v>582</v>
      </c>
      <c r="H127" s="9" t="s">
        <v>583</v>
      </c>
      <c r="I127" s="9" t="s">
        <v>560</v>
      </c>
      <c r="J127" s="11" t="s">
        <v>238</v>
      </c>
      <c r="K127" s="47" t="n">
        <f aca="false">Controls!B26</f>
        <v>0</v>
      </c>
      <c r="L127" s="47" t="str">
        <f aca="false">IF(K127=1,"PASS","OPEN")</f>
        <v>OPEN</v>
      </c>
    </row>
    <row r="128" customFormat="false" ht="15" hidden="false" customHeight="false" outlineLevel="0" collapsed="false">
      <c r="A128" s="19" t="str">
        <f aca="false">"DEC-"&amp;B128&amp;"-G3"</f>
        <v>DEC-MTH-ET-REC-L1-G3</v>
      </c>
      <c r="B128" s="19" t="str">
        <f aca="false">'Lot Register'!A24</f>
        <v>MTH-ET-REC-L1</v>
      </c>
      <c r="C128" s="19" t="str">
        <f aca="false">'Lot Register'!B24</f>
        <v>Method lineage</v>
      </c>
      <c r="D128" s="19" t="str">
        <f aca="false">'Lot Register'!D24</f>
        <v>MS-ET</v>
      </c>
      <c r="E128" s="19" t="str">
        <f aca="false">'Lot Register'!G24</f>
        <v>ST-ET-REC</v>
      </c>
      <c r="F128" s="9" t="s">
        <v>584</v>
      </c>
      <c r="G128" s="9" t="s">
        <v>585</v>
      </c>
      <c r="H128" s="9" t="s">
        <v>586</v>
      </c>
      <c r="I128" s="9" t="s">
        <v>565</v>
      </c>
      <c r="J128" s="11" t="s">
        <v>238</v>
      </c>
      <c r="K128" s="47" t="n">
        <f aca="false">Controls!B26</f>
        <v>0</v>
      </c>
      <c r="L128" s="47" t="str">
        <f aca="false">IF(K128=1,"PASS","OPEN")</f>
        <v>OPEN</v>
      </c>
    </row>
    <row r="129" customFormat="false" ht="15" hidden="false" customHeight="false" outlineLevel="0" collapsed="false">
      <c r="A129" s="19" t="str">
        <f aca="false">"DEC-"&amp;B129&amp;"-G4"</f>
        <v>DEC-MTH-ET-REC-L1-G4</v>
      </c>
      <c r="B129" s="19" t="str">
        <f aca="false">'Lot Register'!A24</f>
        <v>MTH-ET-REC-L1</v>
      </c>
      <c r="C129" s="19" t="str">
        <f aca="false">'Lot Register'!B24</f>
        <v>Method lineage</v>
      </c>
      <c r="D129" s="19" t="str">
        <f aca="false">'Lot Register'!D24</f>
        <v>MS-ET</v>
      </c>
      <c r="E129" s="19" t="str">
        <f aca="false">'Lot Register'!G24</f>
        <v>ST-ET-REC</v>
      </c>
      <c r="F129" s="9" t="s">
        <v>587</v>
      </c>
      <c r="G129" s="9" t="s">
        <v>588</v>
      </c>
      <c r="H129" s="9" t="s">
        <v>589</v>
      </c>
      <c r="I129" s="9" t="s">
        <v>562</v>
      </c>
      <c r="J129" s="11" t="s">
        <v>238</v>
      </c>
      <c r="K129" s="47" t="n">
        <f aca="false">Controls!B26</f>
        <v>0</v>
      </c>
      <c r="L129" s="47" t="str">
        <f aca="false">IF(K129=1,"PASS","OPEN")</f>
        <v>OPEN</v>
      </c>
    </row>
    <row r="130" customFormat="false" ht="15" hidden="false" customHeight="false" outlineLevel="0" collapsed="false">
      <c r="A130" s="19" t="str">
        <f aca="false">"DEC-"&amp;B130&amp;"-G5"</f>
        <v>DEC-MTH-ET-REC-L1-G5</v>
      </c>
      <c r="B130" s="19" t="str">
        <f aca="false">'Lot Register'!A24</f>
        <v>MTH-ET-REC-L1</v>
      </c>
      <c r="C130" s="19" t="str">
        <f aca="false">'Lot Register'!B24</f>
        <v>Method lineage</v>
      </c>
      <c r="D130" s="19" t="str">
        <f aca="false">'Lot Register'!D24</f>
        <v>MS-ET</v>
      </c>
      <c r="E130" s="19" t="str">
        <f aca="false">'Lot Register'!G24</f>
        <v>ST-ET-REC</v>
      </c>
      <c r="F130" s="9" t="s">
        <v>590</v>
      </c>
      <c r="G130" s="9" t="s">
        <v>591</v>
      </c>
      <c r="H130" s="9" t="s">
        <v>592</v>
      </c>
      <c r="I130" s="9" t="s">
        <v>565</v>
      </c>
      <c r="J130" s="11" t="s">
        <v>238</v>
      </c>
      <c r="K130" s="47" t="n">
        <f aca="false">Controls!B26</f>
        <v>0</v>
      </c>
      <c r="L130" s="47" t="str">
        <f aca="false">IF(K130=1,"PASS","OPEN")</f>
        <v>OPEN</v>
      </c>
    </row>
    <row r="131" customFormat="false" ht="15" hidden="false" customHeight="false" outlineLevel="0" collapsed="false">
      <c r="A131" s="19" t="str">
        <f aca="false">"DEC-"&amp;B131&amp;"-G6"</f>
        <v>DEC-MTH-ET-REC-L1-G6</v>
      </c>
      <c r="B131" s="19" t="str">
        <f aca="false">'Lot Register'!A24</f>
        <v>MTH-ET-REC-L1</v>
      </c>
      <c r="C131" s="19" t="str">
        <f aca="false">'Lot Register'!B24</f>
        <v>Method lineage</v>
      </c>
      <c r="D131" s="19" t="str">
        <f aca="false">'Lot Register'!D24</f>
        <v>MS-ET</v>
      </c>
      <c r="E131" s="19" t="str">
        <f aca="false">'Lot Register'!G24</f>
        <v>ST-ET-REC</v>
      </c>
      <c r="F131" s="9" t="s">
        <v>593</v>
      </c>
      <c r="G131" s="9" t="s">
        <v>594</v>
      </c>
      <c r="H131" s="9" t="s">
        <v>595</v>
      </c>
      <c r="I131" s="9" t="s">
        <v>570</v>
      </c>
      <c r="J131" s="11" t="s">
        <v>238</v>
      </c>
      <c r="K131" s="47" t="n">
        <f aca="false">Controls!B26</f>
        <v>0</v>
      </c>
      <c r="L131" s="47" t="str">
        <f aca="false">IF(K131=1,"PASS","OPEN")</f>
        <v>OPEN</v>
      </c>
    </row>
    <row r="132" customFormat="false" ht="15" hidden="false" customHeight="false" outlineLevel="0" collapsed="false">
      <c r="A132" s="19" t="str">
        <f aca="false">"DEC-"&amp;B132&amp;"-G7"</f>
        <v>DEC-MTH-ET-REC-L1-G7</v>
      </c>
      <c r="B132" s="19" t="str">
        <f aca="false">'Lot Register'!A24</f>
        <v>MTH-ET-REC-L1</v>
      </c>
      <c r="C132" s="19" t="str">
        <f aca="false">'Lot Register'!B24</f>
        <v>Method lineage</v>
      </c>
      <c r="D132" s="19" t="str">
        <f aca="false">'Lot Register'!D24</f>
        <v>MS-ET</v>
      </c>
      <c r="E132" s="19" t="str">
        <f aca="false">'Lot Register'!G24</f>
        <v>ST-ET-REC</v>
      </c>
      <c r="F132" s="9" t="s">
        <v>596</v>
      </c>
      <c r="G132" s="9" t="s">
        <v>597</v>
      </c>
      <c r="H132" s="9" t="s">
        <v>598</v>
      </c>
      <c r="I132" s="9" t="s">
        <v>570</v>
      </c>
      <c r="J132" s="11" t="s">
        <v>238</v>
      </c>
      <c r="K132" s="47" t="n">
        <f aca="false">Controls!B26</f>
        <v>0</v>
      </c>
      <c r="L132" s="47" t="str">
        <f aca="false">IF(K132=1,"PASS","OPEN")</f>
        <v>OPEN</v>
      </c>
    </row>
    <row r="133" customFormat="false" ht="15" hidden="false" customHeight="false" outlineLevel="0" collapsed="false">
      <c r="A133" s="19" t="str">
        <f aca="false">"DEC-"&amp;B133&amp;"-G1"</f>
        <v>DEC-MTH-ET-REC-L2-G1</v>
      </c>
      <c r="B133" s="19" t="str">
        <f aca="false">'Lot Register'!A25</f>
        <v>MTH-ET-REC-L2</v>
      </c>
      <c r="C133" s="19" t="str">
        <f aca="false">'Lot Register'!B25</f>
        <v>Method lineage</v>
      </c>
      <c r="D133" s="19" t="str">
        <f aca="false">'Lot Register'!D25</f>
        <v>MS-ET</v>
      </c>
      <c r="E133" s="19" t="str">
        <f aca="false">'Lot Register'!G25</f>
        <v>ST-ET-REC</v>
      </c>
      <c r="F133" s="9" t="s">
        <v>578</v>
      </c>
      <c r="G133" s="9" t="s">
        <v>579</v>
      </c>
      <c r="H133" s="9" t="s">
        <v>580</v>
      </c>
      <c r="I133" s="9" t="s">
        <v>562</v>
      </c>
      <c r="J133" s="11" t="s">
        <v>238</v>
      </c>
      <c r="K133" s="47" t="n">
        <f aca="false">Controls!B26</f>
        <v>0</v>
      </c>
      <c r="L133" s="47" t="str">
        <f aca="false">IF(K133=1,"PASS","OPEN")</f>
        <v>OPEN</v>
      </c>
    </row>
    <row r="134" customFormat="false" ht="15" hidden="false" customHeight="false" outlineLevel="0" collapsed="false">
      <c r="A134" s="19" t="str">
        <f aca="false">"DEC-"&amp;B134&amp;"-G2"</f>
        <v>DEC-MTH-ET-REC-L2-G2</v>
      </c>
      <c r="B134" s="19" t="str">
        <f aca="false">'Lot Register'!A25</f>
        <v>MTH-ET-REC-L2</v>
      </c>
      <c r="C134" s="19" t="str">
        <f aca="false">'Lot Register'!B25</f>
        <v>Method lineage</v>
      </c>
      <c r="D134" s="19" t="str">
        <f aca="false">'Lot Register'!D25</f>
        <v>MS-ET</v>
      </c>
      <c r="E134" s="19" t="str">
        <f aca="false">'Lot Register'!G25</f>
        <v>ST-ET-REC</v>
      </c>
      <c r="F134" s="9" t="s">
        <v>581</v>
      </c>
      <c r="G134" s="9" t="s">
        <v>582</v>
      </c>
      <c r="H134" s="9" t="s">
        <v>583</v>
      </c>
      <c r="I134" s="9" t="s">
        <v>560</v>
      </c>
      <c r="J134" s="11" t="s">
        <v>238</v>
      </c>
      <c r="K134" s="47" t="n">
        <f aca="false">Controls!B26</f>
        <v>0</v>
      </c>
      <c r="L134" s="47" t="str">
        <f aca="false">IF(K134=1,"PASS","OPEN")</f>
        <v>OPEN</v>
      </c>
    </row>
    <row r="135" customFormat="false" ht="15" hidden="false" customHeight="false" outlineLevel="0" collapsed="false">
      <c r="A135" s="19" t="str">
        <f aca="false">"DEC-"&amp;B135&amp;"-G3"</f>
        <v>DEC-MTH-ET-REC-L2-G3</v>
      </c>
      <c r="B135" s="19" t="str">
        <f aca="false">'Lot Register'!A25</f>
        <v>MTH-ET-REC-L2</v>
      </c>
      <c r="C135" s="19" t="str">
        <f aca="false">'Lot Register'!B25</f>
        <v>Method lineage</v>
      </c>
      <c r="D135" s="19" t="str">
        <f aca="false">'Lot Register'!D25</f>
        <v>MS-ET</v>
      </c>
      <c r="E135" s="19" t="str">
        <f aca="false">'Lot Register'!G25</f>
        <v>ST-ET-REC</v>
      </c>
      <c r="F135" s="9" t="s">
        <v>584</v>
      </c>
      <c r="G135" s="9" t="s">
        <v>585</v>
      </c>
      <c r="H135" s="9" t="s">
        <v>586</v>
      </c>
      <c r="I135" s="9" t="s">
        <v>565</v>
      </c>
      <c r="J135" s="11" t="s">
        <v>238</v>
      </c>
      <c r="K135" s="47" t="n">
        <f aca="false">Controls!B26</f>
        <v>0</v>
      </c>
      <c r="L135" s="47" t="str">
        <f aca="false">IF(K135=1,"PASS","OPEN")</f>
        <v>OPEN</v>
      </c>
    </row>
    <row r="136" customFormat="false" ht="15" hidden="false" customHeight="false" outlineLevel="0" collapsed="false">
      <c r="A136" s="19" t="str">
        <f aca="false">"DEC-"&amp;B136&amp;"-G4"</f>
        <v>DEC-MTH-ET-REC-L2-G4</v>
      </c>
      <c r="B136" s="19" t="str">
        <f aca="false">'Lot Register'!A25</f>
        <v>MTH-ET-REC-L2</v>
      </c>
      <c r="C136" s="19" t="str">
        <f aca="false">'Lot Register'!B25</f>
        <v>Method lineage</v>
      </c>
      <c r="D136" s="19" t="str">
        <f aca="false">'Lot Register'!D25</f>
        <v>MS-ET</v>
      </c>
      <c r="E136" s="19" t="str">
        <f aca="false">'Lot Register'!G25</f>
        <v>ST-ET-REC</v>
      </c>
      <c r="F136" s="9" t="s">
        <v>587</v>
      </c>
      <c r="G136" s="9" t="s">
        <v>588</v>
      </c>
      <c r="H136" s="9" t="s">
        <v>589</v>
      </c>
      <c r="I136" s="9" t="s">
        <v>562</v>
      </c>
      <c r="J136" s="11" t="s">
        <v>238</v>
      </c>
      <c r="K136" s="47" t="n">
        <f aca="false">Controls!B26</f>
        <v>0</v>
      </c>
      <c r="L136" s="47" t="str">
        <f aca="false">IF(K136=1,"PASS","OPEN")</f>
        <v>OPEN</v>
      </c>
    </row>
    <row r="137" customFormat="false" ht="15" hidden="false" customHeight="false" outlineLevel="0" collapsed="false">
      <c r="A137" s="19" t="str">
        <f aca="false">"DEC-"&amp;B137&amp;"-G5"</f>
        <v>DEC-MTH-ET-REC-L2-G5</v>
      </c>
      <c r="B137" s="19" t="str">
        <f aca="false">'Lot Register'!A25</f>
        <v>MTH-ET-REC-L2</v>
      </c>
      <c r="C137" s="19" t="str">
        <f aca="false">'Lot Register'!B25</f>
        <v>Method lineage</v>
      </c>
      <c r="D137" s="19" t="str">
        <f aca="false">'Lot Register'!D25</f>
        <v>MS-ET</v>
      </c>
      <c r="E137" s="19" t="str">
        <f aca="false">'Lot Register'!G25</f>
        <v>ST-ET-REC</v>
      </c>
      <c r="F137" s="9" t="s">
        <v>590</v>
      </c>
      <c r="G137" s="9" t="s">
        <v>591</v>
      </c>
      <c r="H137" s="9" t="s">
        <v>592</v>
      </c>
      <c r="I137" s="9" t="s">
        <v>565</v>
      </c>
      <c r="J137" s="11" t="s">
        <v>238</v>
      </c>
      <c r="K137" s="47" t="n">
        <f aca="false">Controls!B26</f>
        <v>0</v>
      </c>
      <c r="L137" s="47" t="str">
        <f aca="false">IF(K137=1,"PASS","OPEN")</f>
        <v>OPEN</v>
      </c>
    </row>
    <row r="138" customFormat="false" ht="15" hidden="false" customHeight="false" outlineLevel="0" collapsed="false">
      <c r="A138" s="19" t="str">
        <f aca="false">"DEC-"&amp;B138&amp;"-G6"</f>
        <v>DEC-MTH-ET-REC-L2-G6</v>
      </c>
      <c r="B138" s="19" t="str">
        <f aca="false">'Lot Register'!A25</f>
        <v>MTH-ET-REC-L2</v>
      </c>
      <c r="C138" s="19" t="str">
        <f aca="false">'Lot Register'!B25</f>
        <v>Method lineage</v>
      </c>
      <c r="D138" s="19" t="str">
        <f aca="false">'Lot Register'!D25</f>
        <v>MS-ET</v>
      </c>
      <c r="E138" s="19" t="str">
        <f aca="false">'Lot Register'!G25</f>
        <v>ST-ET-REC</v>
      </c>
      <c r="F138" s="9" t="s">
        <v>593</v>
      </c>
      <c r="G138" s="9" t="s">
        <v>594</v>
      </c>
      <c r="H138" s="9" t="s">
        <v>595</v>
      </c>
      <c r="I138" s="9" t="s">
        <v>570</v>
      </c>
      <c r="J138" s="11" t="s">
        <v>238</v>
      </c>
      <c r="K138" s="47" t="n">
        <f aca="false">Controls!B26</f>
        <v>0</v>
      </c>
      <c r="L138" s="47" t="str">
        <f aca="false">IF(K138=1,"PASS","OPEN")</f>
        <v>OPEN</v>
      </c>
    </row>
    <row r="139" customFormat="false" ht="15" hidden="false" customHeight="false" outlineLevel="0" collapsed="false">
      <c r="A139" s="19" t="str">
        <f aca="false">"DEC-"&amp;B139&amp;"-G7"</f>
        <v>DEC-MTH-ET-REC-L2-G7</v>
      </c>
      <c r="B139" s="19" t="str">
        <f aca="false">'Lot Register'!A25</f>
        <v>MTH-ET-REC-L2</v>
      </c>
      <c r="C139" s="19" t="str">
        <f aca="false">'Lot Register'!B25</f>
        <v>Method lineage</v>
      </c>
      <c r="D139" s="19" t="str">
        <f aca="false">'Lot Register'!D25</f>
        <v>MS-ET</v>
      </c>
      <c r="E139" s="19" t="str">
        <f aca="false">'Lot Register'!G25</f>
        <v>ST-ET-REC</v>
      </c>
      <c r="F139" s="9" t="s">
        <v>596</v>
      </c>
      <c r="G139" s="9" t="s">
        <v>597</v>
      </c>
      <c r="H139" s="9" t="s">
        <v>598</v>
      </c>
      <c r="I139" s="9" t="s">
        <v>570</v>
      </c>
      <c r="J139" s="11" t="s">
        <v>238</v>
      </c>
      <c r="K139" s="47" t="n">
        <f aca="false">Controls!B26</f>
        <v>0</v>
      </c>
      <c r="L139" s="47" t="str">
        <f aca="false">IF(K139=1,"PASS","OPEN")</f>
        <v>OPEN</v>
      </c>
    </row>
    <row r="140" customFormat="false" ht="15" hidden="false" customHeight="false" outlineLevel="0" collapsed="false">
      <c r="A140" s="19" t="str">
        <f aca="false">"DEC-"&amp;B140&amp;"-G1"</f>
        <v>DEC-REG-ET-REC-G1</v>
      </c>
      <c r="B140" s="19" t="str">
        <f aca="false">'Lot Register'!A26</f>
        <v>REG-ET-REC</v>
      </c>
      <c r="C140" s="19" t="str">
        <f aca="false">'Lot Register'!B26</f>
        <v>Regeneration tool</v>
      </c>
      <c r="D140" s="19" t="str">
        <f aca="false">'Lot Register'!D26</f>
        <v>MS-ET</v>
      </c>
      <c r="E140" s="19" t="str">
        <f aca="false">'Lot Register'!G26</f>
        <v>ST-ET-REC</v>
      </c>
      <c r="F140" s="9" t="s">
        <v>578</v>
      </c>
      <c r="G140" s="9" t="s">
        <v>579</v>
      </c>
      <c r="H140" s="9" t="s">
        <v>580</v>
      </c>
      <c r="I140" s="9" t="s">
        <v>562</v>
      </c>
      <c r="J140" s="11" t="s">
        <v>238</v>
      </c>
      <c r="K140" s="47" t="n">
        <f aca="false">Controls!B26</f>
        <v>0</v>
      </c>
      <c r="L140" s="47" t="str">
        <f aca="false">IF(K140=1,"PASS","OPEN")</f>
        <v>OPEN</v>
      </c>
    </row>
    <row r="141" customFormat="false" ht="15" hidden="false" customHeight="false" outlineLevel="0" collapsed="false">
      <c r="A141" s="19" t="str">
        <f aca="false">"DEC-"&amp;B141&amp;"-G2"</f>
        <v>DEC-REG-ET-REC-G2</v>
      </c>
      <c r="B141" s="19" t="str">
        <f aca="false">'Lot Register'!A26</f>
        <v>REG-ET-REC</v>
      </c>
      <c r="C141" s="19" t="str">
        <f aca="false">'Lot Register'!B26</f>
        <v>Regeneration tool</v>
      </c>
      <c r="D141" s="19" t="str">
        <f aca="false">'Lot Register'!D26</f>
        <v>MS-ET</v>
      </c>
      <c r="E141" s="19" t="str">
        <f aca="false">'Lot Register'!G26</f>
        <v>ST-ET-REC</v>
      </c>
      <c r="F141" s="9" t="s">
        <v>581</v>
      </c>
      <c r="G141" s="9" t="s">
        <v>582</v>
      </c>
      <c r="H141" s="9" t="s">
        <v>583</v>
      </c>
      <c r="I141" s="9" t="s">
        <v>560</v>
      </c>
      <c r="J141" s="11" t="s">
        <v>238</v>
      </c>
      <c r="K141" s="47" t="n">
        <f aca="false">Controls!B26</f>
        <v>0</v>
      </c>
      <c r="L141" s="47" t="str">
        <f aca="false">IF(K141=1,"PASS","OPEN")</f>
        <v>OPEN</v>
      </c>
    </row>
    <row r="142" customFormat="false" ht="15" hidden="false" customHeight="false" outlineLevel="0" collapsed="false">
      <c r="A142" s="19" t="str">
        <f aca="false">"DEC-"&amp;B142&amp;"-G3"</f>
        <v>DEC-REG-ET-REC-G3</v>
      </c>
      <c r="B142" s="19" t="str">
        <f aca="false">'Lot Register'!A26</f>
        <v>REG-ET-REC</v>
      </c>
      <c r="C142" s="19" t="str">
        <f aca="false">'Lot Register'!B26</f>
        <v>Regeneration tool</v>
      </c>
      <c r="D142" s="19" t="str">
        <f aca="false">'Lot Register'!D26</f>
        <v>MS-ET</v>
      </c>
      <c r="E142" s="19" t="str">
        <f aca="false">'Lot Register'!G26</f>
        <v>ST-ET-REC</v>
      </c>
      <c r="F142" s="9" t="s">
        <v>584</v>
      </c>
      <c r="G142" s="9" t="s">
        <v>585</v>
      </c>
      <c r="H142" s="9" t="s">
        <v>586</v>
      </c>
      <c r="I142" s="9" t="s">
        <v>565</v>
      </c>
      <c r="J142" s="11" t="s">
        <v>238</v>
      </c>
      <c r="K142" s="47" t="n">
        <f aca="false">Controls!B26</f>
        <v>0</v>
      </c>
      <c r="L142" s="47" t="str">
        <f aca="false">IF(K142=1,"PASS","OPEN")</f>
        <v>OPEN</v>
      </c>
    </row>
    <row r="143" customFormat="false" ht="15" hidden="false" customHeight="false" outlineLevel="0" collapsed="false">
      <c r="A143" s="19" t="str">
        <f aca="false">"DEC-"&amp;B143&amp;"-G4"</f>
        <v>DEC-REG-ET-REC-G4</v>
      </c>
      <c r="B143" s="19" t="str">
        <f aca="false">'Lot Register'!A26</f>
        <v>REG-ET-REC</v>
      </c>
      <c r="C143" s="19" t="str">
        <f aca="false">'Lot Register'!B26</f>
        <v>Regeneration tool</v>
      </c>
      <c r="D143" s="19" t="str">
        <f aca="false">'Lot Register'!D26</f>
        <v>MS-ET</v>
      </c>
      <c r="E143" s="19" t="str">
        <f aca="false">'Lot Register'!G26</f>
        <v>ST-ET-REC</v>
      </c>
      <c r="F143" s="9" t="s">
        <v>587</v>
      </c>
      <c r="G143" s="9" t="s">
        <v>588</v>
      </c>
      <c r="H143" s="9" t="s">
        <v>589</v>
      </c>
      <c r="I143" s="9" t="s">
        <v>562</v>
      </c>
      <c r="J143" s="11" t="s">
        <v>238</v>
      </c>
      <c r="K143" s="47" t="n">
        <f aca="false">Controls!B26</f>
        <v>0</v>
      </c>
      <c r="L143" s="47" t="str">
        <f aca="false">IF(K143=1,"PASS","OPEN")</f>
        <v>OPEN</v>
      </c>
    </row>
    <row r="144" customFormat="false" ht="15" hidden="false" customHeight="false" outlineLevel="0" collapsed="false">
      <c r="A144" s="19" t="str">
        <f aca="false">"DEC-"&amp;B144&amp;"-G5"</f>
        <v>DEC-REG-ET-REC-G5</v>
      </c>
      <c r="B144" s="19" t="str">
        <f aca="false">'Lot Register'!A26</f>
        <v>REG-ET-REC</v>
      </c>
      <c r="C144" s="19" t="str">
        <f aca="false">'Lot Register'!B26</f>
        <v>Regeneration tool</v>
      </c>
      <c r="D144" s="19" t="str">
        <f aca="false">'Lot Register'!D26</f>
        <v>MS-ET</v>
      </c>
      <c r="E144" s="19" t="str">
        <f aca="false">'Lot Register'!G26</f>
        <v>ST-ET-REC</v>
      </c>
      <c r="F144" s="9" t="s">
        <v>590</v>
      </c>
      <c r="G144" s="9" t="s">
        <v>591</v>
      </c>
      <c r="H144" s="9" t="s">
        <v>592</v>
      </c>
      <c r="I144" s="9" t="s">
        <v>565</v>
      </c>
      <c r="J144" s="11" t="s">
        <v>238</v>
      </c>
      <c r="K144" s="47" t="n">
        <f aca="false">Controls!B26</f>
        <v>0</v>
      </c>
      <c r="L144" s="47" t="str">
        <f aca="false">IF(K144=1,"PASS","OPEN")</f>
        <v>OPEN</v>
      </c>
    </row>
    <row r="145" customFormat="false" ht="15" hidden="false" customHeight="false" outlineLevel="0" collapsed="false">
      <c r="A145" s="19" t="str">
        <f aca="false">"DEC-"&amp;B145&amp;"-G6"</f>
        <v>DEC-REG-ET-REC-G6</v>
      </c>
      <c r="B145" s="19" t="str">
        <f aca="false">'Lot Register'!A26</f>
        <v>REG-ET-REC</v>
      </c>
      <c r="C145" s="19" t="str">
        <f aca="false">'Lot Register'!B26</f>
        <v>Regeneration tool</v>
      </c>
      <c r="D145" s="19" t="str">
        <f aca="false">'Lot Register'!D26</f>
        <v>MS-ET</v>
      </c>
      <c r="E145" s="19" t="str">
        <f aca="false">'Lot Register'!G26</f>
        <v>ST-ET-REC</v>
      </c>
      <c r="F145" s="9" t="s">
        <v>593</v>
      </c>
      <c r="G145" s="9" t="s">
        <v>594</v>
      </c>
      <c r="H145" s="9" t="s">
        <v>595</v>
      </c>
      <c r="I145" s="9" t="s">
        <v>570</v>
      </c>
      <c r="J145" s="11" t="s">
        <v>238</v>
      </c>
      <c r="K145" s="47" t="n">
        <f aca="false">Controls!B26</f>
        <v>0</v>
      </c>
      <c r="L145" s="47" t="str">
        <f aca="false">IF(K145=1,"PASS","OPEN")</f>
        <v>OPEN</v>
      </c>
    </row>
    <row r="146" customFormat="false" ht="15" hidden="false" customHeight="false" outlineLevel="0" collapsed="false">
      <c r="A146" s="19" t="str">
        <f aca="false">"DEC-"&amp;B146&amp;"-G7"</f>
        <v>DEC-REG-ET-REC-G7</v>
      </c>
      <c r="B146" s="19" t="str">
        <f aca="false">'Lot Register'!A26</f>
        <v>REG-ET-REC</v>
      </c>
      <c r="C146" s="19" t="str">
        <f aca="false">'Lot Register'!B26</f>
        <v>Regeneration tool</v>
      </c>
      <c r="D146" s="19" t="str">
        <f aca="false">'Lot Register'!D26</f>
        <v>MS-ET</v>
      </c>
      <c r="E146" s="19" t="str">
        <f aca="false">'Lot Register'!G26</f>
        <v>ST-ET-REC</v>
      </c>
      <c r="F146" s="9" t="s">
        <v>596</v>
      </c>
      <c r="G146" s="9" t="s">
        <v>597</v>
      </c>
      <c r="H146" s="9" t="s">
        <v>598</v>
      </c>
      <c r="I146" s="9" t="s">
        <v>570</v>
      </c>
      <c r="J146" s="11" t="s">
        <v>238</v>
      </c>
      <c r="K146" s="47" t="n">
        <f aca="false">Controls!B26</f>
        <v>0</v>
      </c>
      <c r="L146" s="47" t="str">
        <f aca="false">IF(K146=1,"PASS","OPEN")</f>
        <v>OPEN</v>
      </c>
    </row>
    <row r="147" customFormat="false" ht="15" hidden="false" customHeight="false" outlineLevel="0" collapsed="false">
      <c r="A147" s="19" t="str">
        <f aca="false">"DEC-"&amp;B147&amp;"-G1"</f>
        <v>DEC-INT-ET-REC-G1</v>
      </c>
      <c r="B147" s="19" t="str">
        <f aca="false">'Lot Register'!A27</f>
        <v>INT-ET-REC</v>
      </c>
      <c r="C147" s="19" t="str">
        <f aca="false">'Lot Register'!B27</f>
        <v>Station integration</v>
      </c>
      <c r="D147" s="19" t="str">
        <f aca="false">'Lot Register'!D27</f>
        <v>MS-ET</v>
      </c>
      <c r="E147" s="19" t="str">
        <f aca="false">'Lot Register'!G27</f>
        <v>ST-ET-REC</v>
      </c>
      <c r="F147" s="9" t="s">
        <v>578</v>
      </c>
      <c r="G147" s="9" t="s">
        <v>579</v>
      </c>
      <c r="H147" s="9" t="s">
        <v>580</v>
      </c>
      <c r="I147" s="9" t="s">
        <v>562</v>
      </c>
      <c r="J147" s="11" t="s">
        <v>238</v>
      </c>
      <c r="K147" s="47" t="n">
        <f aca="false">Controls!B26</f>
        <v>0</v>
      </c>
      <c r="L147" s="47" t="str">
        <f aca="false">IF(K147=1,"PASS","OPEN")</f>
        <v>OPEN</v>
      </c>
    </row>
    <row r="148" customFormat="false" ht="15" hidden="false" customHeight="false" outlineLevel="0" collapsed="false">
      <c r="A148" s="19" t="str">
        <f aca="false">"DEC-"&amp;B148&amp;"-G2"</f>
        <v>DEC-INT-ET-REC-G2</v>
      </c>
      <c r="B148" s="19" t="str">
        <f aca="false">'Lot Register'!A27</f>
        <v>INT-ET-REC</v>
      </c>
      <c r="C148" s="19" t="str">
        <f aca="false">'Lot Register'!B27</f>
        <v>Station integration</v>
      </c>
      <c r="D148" s="19" t="str">
        <f aca="false">'Lot Register'!D27</f>
        <v>MS-ET</v>
      </c>
      <c r="E148" s="19" t="str">
        <f aca="false">'Lot Register'!G27</f>
        <v>ST-ET-REC</v>
      </c>
      <c r="F148" s="9" t="s">
        <v>581</v>
      </c>
      <c r="G148" s="9" t="s">
        <v>582</v>
      </c>
      <c r="H148" s="9" t="s">
        <v>583</v>
      </c>
      <c r="I148" s="9" t="s">
        <v>560</v>
      </c>
      <c r="J148" s="11" t="s">
        <v>238</v>
      </c>
      <c r="K148" s="47" t="n">
        <f aca="false">Controls!B26</f>
        <v>0</v>
      </c>
      <c r="L148" s="47" t="str">
        <f aca="false">IF(K148=1,"PASS","OPEN")</f>
        <v>OPEN</v>
      </c>
    </row>
    <row r="149" customFormat="false" ht="15" hidden="false" customHeight="false" outlineLevel="0" collapsed="false">
      <c r="A149" s="19" t="str">
        <f aca="false">"DEC-"&amp;B149&amp;"-G3"</f>
        <v>DEC-INT-ET-REC-G3</v>
      </c>
      <c r="B149" s="19" t="str">
        <f aca="false">'Lot Register'!A27</f>
        <v>INT-ET-REC</v>
      </c>
      <c r="C149" s="19" t="str">
        <f aca="false">'Lot Register'!B27</f>
        <v>Station integration</v>
      </c>
      <c r="D149" s="19" t="str">
        <f aca="false">'Lot Register'!D27</f>
        <v>MS-ET</v>
      </c>
      <c r="E149" s="19" t="str">
        <f aca="false">'Lot Register'!G27</f>
        <v>ST-ET-REC</v>
      </c>
      <c r="F149" s="9" t="s">
        <v>584</v>
      </c>
      <c r="G149" s="9" t="s">
        <v>585</v>
      </c>
      <c r="H149" s="9" t="s">
        <v>586</v>
      </c>
      <c r="I149" s="9" t="s">
        <v>565</v>
      </c>
      <c r="J149" s="11" t="s">
        <v>238</v>
      </c>
      <c r="K149" s="47" t="n">
        <f aca="false">Controls!B26</f>
        <v>0</v>
      </c>
      <c r="L149" s="47" t="str">
        <f aca="false">IF(K149=1,"PASS","OPEN")</f>
        <v>OPEN</v>
      </c>
    </row>
    <row r="150" customFormat="false" ht="15" hidden="false" customHeight="false" outlineLevel="0" collapsed="false">
      <c r="A150" s="19" t="str">
        <f aca="false">"DEC-"&amp;B150&amp;"-G4"</f>
        <v>DEC-INT-ET-REC-G4</v>
      </c>
      <c r="B150" s="19" t="str">
        <f aca="false">'Lot Register'!A27</f>
        <v>INT-ET-REC</v>
      </c>
      <c r="C150" s="19" t="str">
        <f aca="false">'Lot Register'!B27</f>
        <v>Station integration</v>
      </c>
      <c r="D150" s="19" t="str">
        <f aca="false">'Lot Register'!D27</f>
        <v>MS-ET</v>
      </c>
      <c r="E150" s="19" t="str">
        <f aca="false">'Lot Register'!G27</f>
        <v>ST-ET-REC</v>
      </c>
      <c r="F150" s="9" t="s">
        <v>587</v>
      </c>
      <c r="G150" s="9" t="s">
        <v>588</v>
      </c>
      <c r="H150" s="9" t="s">
        <v>589</v>
      </c>
      <c r="I150" s="9" t="s">
        <v>562</v>
      </c>
      <c r="J150" s="11" t="s">
        <v>238</v>
      </c>
      <c r="K150" s="47" t="n">
        <f aca="false">Controls!B26</f>
        <v>0</v>
      </c>
      <c r="L150" s="47" t="str">
        <f aca="false">IF(K150=1,"PASS","OPEN")</f>
        <v>OPEN</v>
      </c>
    </row>
    <row r="151" customFormat="false" ht="15" hidden="false" customHeight="false" outlineLevel="0" collapsed="false">
      <c r="A151" s="19" t="str">
        <f aca="false">"DEC-"&amp;B151&amp;"-G5"</f>
        <v>DEC-INT-ET-REC-G5</v>
      </c>
      <c r="B151" s="19" t="str">
        <f aca="false">'Lot Register'!A27</f>
        <v>INT-ET-REC</v>
      </c>
      <c r="C151" s="19" t="str">
        <f aca="false">'Lot Register'!B27</f>
        <v>Station integration</v>
      </c>
      <c r="D151" s="19" t="str">
        <f aca="false">'Lot Register'!D27</f>
        <v>MS-ET</v>
      </c>
      <c r="E151" s="19" t="str">
        <f aca="false">'Lot Register'!G27</f>
        <v>ST-ET-REC</v>
      </c>
      <c r="F151" s="9" t="s">
        <v>590</v>
      </c>
      <c r="G151" s="9" t="s">
        <v>591</v>
      </c>
      <c r="H151" s="9" t="s">
        <v>592</v>
      </c>
      <c r="I151" s="9" t="s">
        <v>565</v>
      </c>
      <c r="J151" s="11" t="s">
        <v>238</v>
      </c>
      <c r="K151" s="47" t="n">
        <f aca="false">Controls!B26</f>
        <v>0</v>
      </c>
      <c r="L151" s="47" t="str">
        <f aca="false">IF(K151=1,"PASS","OPEN")</f>
        <v>OPEN</v>
      </c>
    </row>
    <row r="152" customFormat="false" ht="15" hidden="false" customHeight="false" outlineLevel="0" collapsed="false">
      <c r="A152" s="19" t="str">
        <f aca="false">"DEC-"&amp;B152&amp;"-G6"</f>
        <v>DEC-INT-ET-REC-G6</v>
      </c>
      <c r="B152" s="19" t="str">
        <f aca="false">'Lot Register'!A27</f>
        <v>INT-ET-REC</v>
      </c>
      <c r="C152" s="19" t="str">
        <f aca="false">'Lot Register'!B27</f>
        <v>Station integration</v>
      </c>
      <c r="D152" s="19" t="str">
        <f aca="false">'Lot Register'!D27</f>
        <v>MS-ET</v>
      </c>
      <c r="E152" s="19" t="str">
        <f aca="false">'Lot Register'!G27</f>
        <v>ST-ET-REC</v>
      </c>
      <c r="F152" s="9" t="s">
        <v>593</v>
      </c>
      <c r="G152" s="9" t="s">
        <v>594</v>
      </c>
      <c r="H152" s="9" t="s">
        <v>595</v>
      </c>
      <c r="I152" s="9" t="s">
        <v>570</v>
      </c>
      <c r="J152" s="11" t="s">
        <v>238</v>
      </c>
      <c r="K152" s="47" t="n">
        <f aca="false">Controls!B26</f>
        <v>0</v>
      </c>
      <c r="L152" s="47" t="str">
        <f aca="false">IF(K152=1,"PASS","OPEN")</f>
        <v>OPEN</v>
      </c>
    </row>
    <row r="153" customFormat="false" ht="15" hidden="false" customHeight="false" outlineLevel="0" collapsed="false">
      <c r="A153" s="19" t="str">
        <f aca="false">"DEC-"&amp;B153&amp;"-G7"</f>
        <v>DEC-INT-ET-REC-G7</v>
      </c>
      <c r="B153" s="19" t="str">
        <f aca="false">'Lot Register'!A27</f>
        <v>INT-ET-REC</v>
      </c>
      <c r="C153" s="19" t="str">
        <f aca="false">'Lot Register'!B27</f>
        <v>Station integration</v>
      </c>
      <c r="D153" s="19" t="str">
        <f aca="false">'Lot Register'!D27</f>
        <v>MS-ET</v>
      </c>
      <c r="E153" s="19" t="str">
        <f aca="false">'Lot Register'!G27</f>
        <v>ST-ET-REC</v>
      </c>
      <c r="F153" s="9" t="s">
        <v>596</v>
      </c>
      <c r="G153" s="9" t="s">
        <v>597</v>
      </c>
      <c r="H153" s="9" t="s">
        <v>598</v>
      </c>
      <c r="I153" s="9" t="s">
        <v>570</v>
      </c>
      <c r="J153" s="11" t="s">
        <v>238</v>
      </c>
      <c r="K153" s="47" t="n">
        <f aca="false">Controls!B26</f>
        <v>0</v>
      </c>
      <c r="L153" s="47" t="str">
        <f aca="false">IF(K153=1,"PASS","OPEN")</f>
        <v>OPEN</v>
      </c>
    </row>
    <row r="154" customFormat="false" ht="15" hidden="false" customHeight="false" outlineLevel="0" collapsed="false">
      <c r="A154" s="19" t="str">
        <f aca="false">"DEC-"&amp;B154&amp;"-G1"</f>
        <v>DEC-RIG-CT-CHA-G1</v>
      </c>
      <c r="B154" s="19" t="str">
        <f aca="false">'Lot Register'!A28</f>
        <v>RIG-CT-CHA</v>
      </c>
      <c r="C154" s="19" t="str">
        <f aca="false">'Lot Register'!B28</f>
        <v>Root-native rig</v>
      </c>
      <c r="D154" s="19" t="str">
        <f aca="false">'Lot Register'!D28</f>
        <v>MS-CT</v>
      </c>
      <c r="E154" s="19" t="str">
        <f aca="false">'Lot Register'!G28</f>
        <v>ST-CT-CHA</v>
      </c>
      <c r="F154" s="9" t="s">
        <v>578</v>
      </c>
      <c r="G154" s="9" t="s">
        <v>579</v>
      </c>
      <c r="H154" s="9" t="s">
        <v>580</v>
      </c>
      <c r="I154" s="9" t="s">
        <v>562</v>
      </c>
      <c r="J154" s="11" t="s">
        <v>238</v>
      </c>
      <c r="K154" s="47" t="n">
        <f aca="false">Controls!B26</f>
        <v>0</v>
      </c>
      <c r="L154" s="47" t="str">
        <f aca="false">IF(K154=1,"PASS","OPEN")</f>
        <v>OPEN</v>
      </c>
    </row>
    <row r="155" customFormat="false" ht="15" hidden="false" customHeight="false" outlineLevel="0" collapsed="false">
      <c r="A155" s="19" t="str">
        <f aca="false">"DEC-"&amp;B155&amp;"-G2"</f>
        <v>DEC-RIG-CT-CHA-G2</v>
      </c>
      <c r="B155" s="19" t="str">
        <f aca="false">'Lot Register'!A28</f>
        <v>RIG-CT-CHA</v>
      </c>
      <c r="C155" s="19" t="str">
        <f aca="false">'Lot Register'!B28</f>
        <v>Root-native rig</v>
      </c>
      <c r="D155" s="19" t="str">
        <f aca="false">'Lot Register'!D28</f>
        <v>MS-CT</v>
      </c>
      <c r="E155" s="19" t="str">
        <f aca="false">'Lot Register'!G28</f>
        <v>ST-CT-CHA</v>
      </c>
      <c r="F155" s="9" t="s">
        <v>581</v>
      </c>
      <c r="G155" s="9" t="s">
        <v>582</v>
      </c>
      <c r="H155" s="9" t="s">
        <v>583</v>
      </c>
      <c r="I155" s="9" t="s">
        <v>560</v>
      </c>
      <c r="J155" s="11" t="s">
        <v>238</v>
      </c>
      <c r="K155" s="47" t="n">
        <f aca="false">Controls!B26</f>
        <v>0</v>
      </c>
      <c r="L155" s="47" t="str">
        <f aca="false">IF(K155=1,"PASS","OPEN")</f>
        <v>OPEN</v>
      </c>
    </row>
    <row r="156" customFormat="false" ht="15" hidden="false" customHeight="false" outlineLevel="0" collapsed="false">
      <c r="A156" s="19" t="str">
        <f aca="false">"DEC-"&amp;B156&amp;"-G3"</f>
        <v>DEC-RIG-CT-CHA-G3</v>
      </c>
      <c r="B156" s="19" t="str">
        <f aca="false">'Lot Register'!A28</f>
        <v>RIG-CT-CHA</v>
      </c>
      <c r="C156" s="19" t="str">
        <f aca="false">'Lot Register'!B28</f>
        <v>Root-native rig</v>
      </c>
      <c r="D156" s="19" t="str">
        <f aca="false">'Lot Register'!D28</f>
        <v>MS-CT</v>
      </c>
      <c r="E156" s="19" t="str">
        <f aca="false">'Lot Register'!G28</f>
        <v>ST-CT-CHA</v>
      </c>
      <c r="F156" s="9" t="s">
        <v>584</v>
      </c>
      <c r="G156" s="9" t="s">
        <v>585</v>
      </c>
      <c r="H156" s="9" t="s">
        <v>586</v>
      </c>
      <c r="I156" s="9" t="s">
        <v>565</v>
      </c>
      <c r="J156" s="11" t="s">
        <v>238</v>
      </c>
      <c r="K156" s="47" t="n">
        <f aca="false">Controls!B26</f>
        <v>0</v>
      </c>
      <c r="L156" s="47" t="str">
        <f aca="false">IF(K156=1,"PASS","OPEN")</f>
        <v>OPEN</v>
      </c>
    </row>
    <row r="157" customFormat="false" ht="15" hidden="false" customHeight="false" outlineLevel="0" collapsed="false">
      <c r="A157" s="19" t="str">
        <f aca="false">"DEC-"&amp;B157&amp;"-G4"</f>
        <v>DEC-RIG-CT-CHA-G4</v>
      </c>
      <c r="B157" s="19" t="str">
        <f aca="false">'Lot Register'!A28</f>
        <v>RIG-CT-CHA</v>
      </c>
      <c r="C157" s="19" t="str">
        <f aca="false">'Lot Register'!B28</f>
        <v>Root-native rig</v>
      </c>
      <c r="D157" s="19" t="str">
        <f aca="false">'Lot Register'!D28</f>
        <v>MS-CT</v>
      </c>
      <c r="E157" s="19" t="str">
        <f aca="false">'Lot Register'!G28</f>
        <v>ST-CT-CHA</v>
      </c>
      <c r="F157" s="9" t="s">
        <v>587</v>
      </c>
      <c r="G157" s="9" t="s">
        <v>588</v>
      </c>
      <c r="H157" s="9" t="s">
        <v>589</v>
      </c>
      <c r="I157" s="9" t="s">
        <v>562</v>
      </c>
      <c r="J157" s="11" t="s">
        <v>238</v>
      </c>
      <c r="K157" s="47" t="n">
        <f aca="false">Controls!B26</f>
        <v>0</v>
      </c>
      <c r="L157" s="47" t="str">
        <f aca="false">IF(K157=1,"PASS","OPEN")</f>
        <v>OPEN</v>
      </c>
    </row>
    <row r="158" customFormat="false" ht="15" hidden="false" customHeight="false" outlineLevel="0" collapsed="false">
      <c r="A158" s="19" t="str">
        <f aca="false">"DEC-"&amp;B158&amp;"-G5"</f>
        <v>DEC-RIG-CT-CHA-G5</v>
      </c>
      <c r="B158" s="19" t="str">
        <f aca="false">'Lot Register'!A28</f>
        <v>RIG-CT-CHA</v>
      </c>
      <c r="C158" s="19" t="str">
        <f aca="false">'Lot Register'!B28</f>
        <v>Root-native rig</v>
      </c>
      <c r="D158" s="19" t="str">
        <f aca="false">'Lot Register'!D28</f>
        <v>MS-CT</v>
      </c>
      <c r="E158" s="19" t="str">
        <f aca="false">'Lot Register'!G28</f>
        <v>ST-CT-CHA</v>
      </c>
      <c r="F158" s="9" t="s">
        <v>590</v>
      </c>
      <c r="G158" s="9" t="s">
        <v>591</v>
      </c>
      <c r="H158" s="9" t="s">
        <v>592</v>
      </c>
      <c r="I158" s="9" t="s">
        <v>565</v>
      </c>
      <c r="J158" s="11" t="s">
        <v>238</v>
      </c>
      <c r="K158" s="47" t="n">
        <f aca="false">Controls!B26</f>
        <v>0</v>
      </c>
      <c r="L158" s="47" t="str">
        <f aca="false">IF(K158=1,"PASS","OPEN")</f>
        <v>OPEN</v>
      </c>
    </row>
    <row r="159" customFormat="false" ht="15" hidden="false" customHeight="false" outlineLevel="0" collapsed="false">
      <c r="A159" s="19" t="str">
        <f aca="false">"DEC-"&amp;B159&amp;"-G6"</f>
        <v>DEC-RIG-CT-CHA-G6</v>
      </c>
      <c r="B159" s="19" t="str">
        <f aca="false">'Lot Register'!A28</f>
        <v>RIG-CT-CHA</v>
      </c>
      <c r="C159" s="19" t="str">
        <f aca="false">'Lot Register'!B28</f>
        <v>Root-native rig</v>
      </c>
      <c r="D159" s="19" t="str">
        <f aca="false">'Lot Register'!D28</f>
        <v>MS-CT</v>
      </c>
      <c r="E159" s="19" t="str">
        <f aca="false">'Lot Register'!G28</f>
        <v>ST-CT-CHA</v>
      </c>
      <c r="F159" s="9" t="s">
        <v>593</v>
      </c>
      <c r="G159" s="9" t="s">
        <v>594</v>
      </c>
      <c r="H159" s="9" t="s">
        <v>595</v>
      </c>
      <c r="I159" s="9" t="s">
        <v>570</v>
      </c>
      <c r="J159" s="11" t="s">
        <v>238</v>
      </c>
      <c r="K159" s="47" t="n">
        <f aca="false">Controls!B26</f>
        <v>0</v>
      </c>
      <c r="L159" s="47" t="str">
        <f aca="false">IF(K159=1,"PASS","OPEN")</f>
        <v>OPEN</v>
      </c>
    </row>
    <row r="160" customFormat="false" ht="15" hidden="false" customHeight="false" outlineLevel="0" collapsed="false">
      <c r="A160" s="19" t="str">
        <f aca="false">"DEC-"&amp;B160&amp;"-G7"</f>
        <v>DEC-RIG-CT-CHA-G7</v>
      </c>
      <c r="B160" s="19" t="str">
        <f aca="false">'Lot Register'!A28</f>
        <v>RIG-CT-CHA</v>
      </c>
      <c r="C160" s="19" t="str">
        <f aca="false">'Lot Register'!B28</f>
        <v>Root-native rig</v>
      </c>
      <c r="D160" s="19" t="str">
        <f aca="false">'Lot Register'!D28</f>
        <v>MS-CT</v>
      </c>
      <c r="E160" s="19" t="str">
        <f aca="false">'Lot Register'!G28</f>
        <v>ST-CT-CHA</v>
      </c>
      <c r="F160" s="9" t="s">
        <v>596</v>
      </c>
      <c r="G160" s="9" t="s">
        <v>597</v>
      </c>
      <c r="H160" s="9" t="s">
        <v>598</v>
      </c>
      <c r="I160" s="9" t="s">
        <v>570</v>
      </c>
      <c r="J160" s="11" t="s">
        <v>238</v>
      </c>
      <c r="K160" s="47" t="n">
        <f aca="false">Controls!B26</f>
        <v>0</v>
      </c>
      <c r="L160" s="47" t="str">
        <f aca="false">IF(K160=1,"PASS","OPEN")</f>
        <v>OPEN</v>
      </c>
    </row>
    <row r="161" customFormat="false" ht="15" hidden="false" customHeight="false" outlineLevel="0" collapsed="false">
      <c r="A161" s="19" t="str">
        <f aca="false">"DEC-"&amp;B161&amp;"-G1"</f>
        <v>DEC-MTH-CT-CHA-L1-G1</v>
      </c>
      <c r="B161" s="19" t="str">
        <f aca="false">'Lot Register'!A29</f>
        <v>MTH-CT-CHA-L1</v>
      </c>
      <c r="C161" s="19" t="str">
        <f aca="false">'Lot Register'!B29</f>
        <v>Method lineage</v>
      </c>
      <c r="D161" s="19" t="str">
        <f aca="false">'Lot Register'!D29</f>
        <v>MS-CT</v>
      </c>
      <c r="E161" s="19" t="str">
        <f aca="false">'Lot Register'!G29</f>
        <v>ST-CT-CHA</v>
      </c>
      <c r="F161" s="9" t="s">
        <v>578</v>
      </c>
      <c r="G161" s="9" t="s">
        <v>579</v>
      </c>
      <c r="H161" s="9" t="s">
        <v>580</v>
      </c>
      <c r="I161" s="9" t="s">
        <v>562</v>
      </c>
      <c r="J161" s="11" t="s">
        <v>238</v>
      </c>
      <c r="K161" s="47" t="n">
        <f aca="false">Controls!B26</f>
        <v>0</v>
      </c>
      <c r="L161" s="47" t="str">
        <f aca="false">IF(K161=1,"PASS","OPEN")</f>
        <v>OPEN</v>
      </c>
    </row>
    <row r="162" customFormat="false" ht="15" hidden="false" customHeight="false" outlineLevel="0" collapsed="false">
      <c r="A162" s="19" t="str">
        <f aca="false">"DEC-"&amp;B162&amp;"-G2"</f>
        <v>DEC-MTH-CT-CHA-L1-G2</v>
      </c>
      <c r="B162" s="19" t="str">
        <f aca="false">'Lot Register'!A29</f>
        <v>MTH-CT-CHA-L1</v>
      </c>
      <c r="C162" s="19" t="str">
        <f aca="false">'Lot Register'!B29</f>
        <v>Method lineage</v>
      </c>
      <c r="D162" s="19" t="str">
        <f aca="false">'Lot Register'!D29</f>
        <v>MS-CT</v>
      </c>
      <c r="E162" s="19" t="str">
        <f aca="false">'Lot Register'!G29</f>
        <v>ST-CT-CHA</v>
      </c>
      <c r="F162" s="9" t="s">
        <v>581</v>
      </c>
      <c r="G162" s="9" t="s">
        <v>582</v>
      </c>
      <c r="H162" s="9" t="s">
        <v>583</v>
      </c>
      <c r="I162" s="9" t="s">
        <v>560</v>
      </c>
      <c r="J162" s="11" t="s">
        <v>238</v>
      </c>
      <c r="K162" s="47" t="n">
        <f aca="false">Controls!B26</f>
        <v>0</v>
      </c>
      <c r="L162" s="47" t="str">
        <f aca="false">IF(K162=1,"PASS","OPEN")</f>
        <v>OPEN</v>
      </c>
    </row>
    <row r="163" customFormat="false" ht="15" hidden="false" customHeight="false" outlineLevel="0" collapsed="false">
      <c r="A163" s="19" t="str">
        <f aca="false">"DEC-"&amp;B163&amp;"-G3"</f>
        <v>DEC-MTH-CT-CHA-L1-G3</v>
      </c>
      <c r="B163" s="19" t="str">
        <f aca="false">'Lot Register'!A29</f>
        <v>MTH-CT-CHA-L1</v>
      </c>
      <c r="C163" s="19" t="str">
        <f aca="false">'Lot Register'!B29</f>
        <v>Method lineage</v>
      </c>
      <c r="D163" s="19" t="str">
        <f aca="false">'Lot Register'!D29</f>
        <v>MS-CT</v>
      </c>
      <c r="E163" s="19" t="str">
        <f aca="false">'Lot Register'!G29</f>
        <v>ST-CT-CHA</v>
      </c>
      <c r="F163" s="9" t="s">
        <v>584</v>
      </c>
      <c r="G163" s="9" t="s">
        <v>585</v>
      </c>
      <c r="H163" s="9" t="s">
        <v>586</v>
      </c>
      <c r="I163" s="9" t="s">
        <v>565</v>
      </c>
      <c r="J163" s="11" t="s">
        <v>238</v>
      </c>
      <c r="K163" s="47" t="n">
        <f aca="false">Controls!B26</f>
        <v>0</v>
      </c>
      <c r="L163" s="47" t="str">
        <f aca="false">IF(K163=1,"PASS","OPEN")</f>
        <v>OPEN</v>
      </c>
    </row>
    <row r="164" customFormat="false" ht="15" hidden="false" customHeight="false" outlineLevel="0" collapsed="false">
      <c r="A164" s="19" t="str">
        <f aca="false">"DEC-"&amp;B164&amp;"-G4"</f>
        <v>DEC-MTH-CT-CHA-L1-G4</v>
      </c>
      <c r="B164" s="19" t="str">
        <f aca="false">'Lot Register'!A29</f>
        <v>MTH-CT-CHA-L1</v>
      </c>
      <c r="C164" s="19" t="str">
        <f aca="false">'Lot Register'!B29</f>
        <v>Method lineage</v>
      </c>
      <c r="D164" s="19" t="str">
        <f aca="false">'Lot Register'!D29</f>
        <v>MS-CT</v>
      </c>
      <c r="E164" s="19" t="str">
        <f aca="false">'Lot Register'!G29</f>
        <v>ST-CT-CHA</v>
      </c>
      <c r="F164" s="9" t="s">
        <v>587</v>
      </c>
      <c r="G164" s="9" t="s">
        <v>588</v>
      </c>
      <c r="H164" s="9" t="s">
        <v>589</v>
      </c>
      <c r="I164" s="9" t="s">
        <v>562</v>
      </c>
      <c r="J164" s="11" t="s">
        <v>238</v>
      </c>
      <c r="K164" s="47" t="n">
        <f aca="false">Controls!B26</f>
        <v>0</v>
      </c>
      <c r="L164" s="47" t="str">
        <f aca="false">IF(K164=1,"PASS","OPEN")</f>
        <v>OPEN</v>
      </c>
    </row>
    <row r="165" customFormat="false" ht="15" hidden="false" customHeight="false" outlineLevel="0" collapsed="false">
      <c r="A165" s="19" t="str">
        <f aca="false">"DEC-"&amp;B165&amp;"-G5"</f>
        <v>DEC-MTH-CT-CHA-L1-G5</v>
      </c>
      <c r="B165" s="19" t="str">
        <f aca="false">'Lot Register'!A29</f>
        <v>MTH-CT-CHA-L1</v>
      </c>
      <c r="C165" s="19" t="str">
        <f aca="false">'Lot Register'!B29</f>
        <v>Method lineage</v>
      </c>
      <c r="D165" s="19" t="str">
        <f aca="false">'Lot Register'!D29</f>
        <v>MS-CT</v>
      </c>
      <c r="E165" s="19" t="str">
        <f aca="false">'Lot Register'!G29</f>
        <v>ST-CT-CHA</v>
      </c>
      <c r="F165" s="9" t="s">
        <v>590</v>
      </c>
      <c r="G165" s="9" t="s">
        <v>591</v>
      </c>
      <c r="H165" s="9" t="s">
        <v>592</v>
      </c>
      <c r="I165" s="9" t="s">
        <v>565</v>
      </c>
      <c r="J165" s="11" t="s">
        <v>238</v>
      </c>
      <c r="K165" s="47" t="n">
        <f aca="false">Controls!B26</f>
        <v>0</v>
      </c>
      <c r="L165" s="47" t="str">
        <f aca="false">IF(K165=1,"PASS","OPEN")</f>
        <v>OPEN</v>
      </c>
    </row>
    <row r="166" customFormat="false" ht="15" hidden="false" customHeight="false" outlineLevel="0" collapsed="false">
      <c r="A166" s="19" t="str">
        <f aca="false">"DEC-"&amp;B166&amp;"-G6"</f>
        <v>DEC-MTH-CT-CHA-L1-G6</v>
      </c>
      <c r="B166" s="19" t="str">
        <f aca="false">'Lot Register'!A29</f>
        <v>MTH-CT-CHA-L1</v>
      </c>
      <c r="C166" s="19" t="str">
        <f aca="false">'Lot Register'!B29</f>
        <v>Method lineage</v>
      </c>
      <c r="D166" s="19" t="str">
        <f aca="false">'Lot Register'!D29</f>
        <v>MS-CT</v>
      </c>
      <c r="E166" s="19" t="str">
        <f aca="false">'Lot Register'!G29</f>
        <v>ST-CT-CHA</v>
      </c>
      <c r="F166" s="9" t="s">
        <v>593</v>
      </c>
      <c r="G166" s="9" t="s">
        <v>594</v>
      </c>
      <c r="H166" s="9" t="s">
        <v>595</v>
      </c>
      <c r="I166" s="9" t="s">
        <v>570</v>
      </c>
      <c r="J166" s="11" t="s">
        <v>238</v>
      </c>
      <c r="K166" s="47" t="n">
        <f aca="false">Controls!B26</f>
        <v>0</v>
      </c>
      <c r="L166" s="47" t="str">
        <f aca="false">IF(K166=1,"PASS","OPEN")</f>
        <v>OPEN</v>
      </c>
    </row>
    <row r="167" customFormat="false" ht="15" hidden="false" customHeight="false" outlineLevel="0" collapsed="false">
      <c r="A167" s="19" t="str">
        <f aca="false">"DEC-"&amp;B167&amp;"-G7"</f>
        <v>DEC-MTH-CT-CHA-L1-G7</v>
      </c>
      <c r="B167" s="19" t="str">
        <f aca="false">'Lot Register'!A29</f>
        <v>MTH-CT-CHA-L1</v>
      </c>
      <c r="C167" s="19" t="str">
        <f aca="false">'Lot Register'!B29</f>
        <v>Method lineage</v>
      </c>
      <c r="D167" s="19" t="str">
        <f aca="false">'Lot Register'!D29</f>
        <v>MS-CT</v>
      </c>
      <c r="E167" s="19" t="str">
        <f aca="false">'Lot Register'!G29</f>
        <v>ST-CT-CHA</v>
      </c>
      <c r="F167" s="9" t="s">
        <v>596</v>
      </c>
      <c r="G167" s="9" t="s">
        <v>597</v>
      </c>
      <c r="H167" s="9" t="s">
        <v>598</v>
      </c>
      <c r="I167" s="9" t="s">
        <v>570</v>
      </c>
      <c r="J167" s="11" t="s">
        <v>238</v>
      </c>
      <c r="K167" s="47" t="n">
        <f aca="false">Controls!B26</f>
        <v>0</v>
      </c>
      <c r="L167" s="47" t="str">
        <f aca="false">IF(K167=1,"PASS","OPEN")</f>
        <v>OPEN</v>
      </c>
    </row>
    <row r="168" customFormat="false" ht="15" hidden="false" customHeight="false" outlineLevel="0" collapsed="false">
      <c r="A168" s="19" t="str">
        <f aca="false">"DEC-"&amp;B168&amp;"-G1"</f>
        <v>DEC-MTH-CT-CHA-L2-G1</v>
      </c>
      <c r="B168" s="19" t="str">
        <f aca="false">'Lot Register'!A30</f>
        <v>MTH-CT-CHA-L2</v>
      </c>
      <c r="C168" s="19" t="str">
        <f aca="false">'Lot Register'!B30</f>
        <v>Method lineage</v>
      </c>
      <c r="D168" s="19" t="str">
        <f aca="false">'Lot Register'!D30</f>
        <v>MS-CT</v>
      </c>
      <c r="E168" s="19" t="str">
        <f aca="false">'Lot Register'!G30</f>
        <v>ST-CT-CHA</v>
      </c>
      <c r="F168" s="9" t="s">
        <v>578</v>
      </c>
      <c r="G168" s="9" t="s">
        <v>579</v>
      </c>
      <c r="H168" s="9" t="s">
        <v>580</v>
      </c>
      <c r="I168" s="9" t="s">
        <v>562</v>
      </c>
      <c r="J168" s="11" t="s">
        <v>238</v>
      </c>
      <c r="K168" s="47" t="n">
        <f aca="false">Controls!B26</f>
        <v>0</v>
      </c>
      <c r="L168" s="47" t="str">
        <f aca="false">IF(K168=1,"PASS","OPEN")</f>
        <v>OPEN</v>
      </c>
    </row>
    <row r="169" customFormat="false" ht="15" hidden="false" customHeight="false" outlineLevel="0" collapsed="false">
      <c r="A169" s="19" t="str">
        <f aca="false">"DEC-"&amp;B169&amp;"-G2"</f>
        <v>DEC-MTH-CT-CHA-L2-G2</v>
      </c>
      <c r="B169" s="19" t="str">
        <f aca="false">'Lot Register'!A30</f>
        <v>MTH-CT-CHA-L2</v>
      </c>
      <c r="C169" s="19" t="str">
        <f aca="false">'Lot Register'!B30</f>
        <v>Method lineage</v>
      </c>
      <c r="D169" s="19" t="str">
        <f aca="false">'Lot Register'!D30</f>
        <v>MS-CT</v>
      </c>
      <c r="E169" s="19" t="str">
        <f aca="false">'Lot Register'!G30</f>
        <v>ST-CT-CHA</v>
      </c>
      <c r="F169" s="9" t="s">
        <v>581</v>
      </c>
      <c r="G169" s="9" t="s">
        <v>582</v>
      </c>
      <c r="H169" s="9" t="s">
        <v>583</v>
      </c>
      <c r="I169" s="9" t="s">
        <v>560</v>
      </c>
      <c r="J169" s="11" t="s">
        <v>238</v>
      </c>
      <c r="K169" s="47" t="n">
        <f aca="false">Controls!B26</f>
        <v>0</v>
      </c>
      <c r="L169" s="47" t="str">
        <f aca="false">IF(K169=1,"PASS","OPEN")</f>
        <v>OPEN</v>
      </c>
    </row>
    <row r="170" customFormat="false" ht="15" hidden="false" customHeight="false" outlineLevel="0" collapsed="false">
      <c r="A170" s="19" t="str">
        <f aca="false">"DEC-"&amp;B170&amp;"-G3"</f>
        <v>DEC-MTH-CT-CHA-L2-G3</v>
      </c>
      <c r="B170" s="19" t="str">
        <f aca="false">'Lot Register'!A30</f>
        <v>MTH-CT-CHA-L2</v>
      </c>
      <c r="C170" s="19" t="str">
        <f aca="false">'Lot Register'!B30</f>
        <v>Method lineage</v>
      </c>
      <c r="D170" s="19" t="str">
        <f aca="false">'Lot Register'!D30</f>
        <v>MS-CT</v>
      </c>
      <c r="E170" s="19" t="str">
        <f aca="false">'Lot Register'!G30</f>
        <v>ST-CT-CHA</v>
      </c>
      <c r="F170" s="9" t="s">
        <v>584</v>
      </c>
      <c r="G170" s="9" t="s">
        <v>585</v>
      </c>
      <c r="H170" s="9" t="s">
        <v>586</v>
      </c>
      <c r="I170" s="9" t="s">
        <v>565</v>
      </c>
      <c r="J170" s="11" t="s">
        <v>238</v>
      </c>
      <c r="K170" s="47" t="n">
        <f aca="false">Controls!B26</f>
        <v>0</v>
      </c>
      <c r="L170" s="47" t="str">
        <f aca="false">IF(K170=1,"PASS","OPEN")</f>
        <v>OPEN</v>
      </c>
    </row>
    <row r="171" customFormat="false" ht="15" hidden="false" customHeight="false" outlineLevel="0" collapsed="false">
      <c r="A171" s="19" t="str">
        <f aca="false">"DEC-"&amp;B171&amp;"-G4"</f>
        <v>DEC-MTH-CT-CHA-L2-G4</v>
      </c>
      <c r="B171" s="19" t="str">
        <f aca="false">'Lot Register'!A30</f>
        <v>MTH-CT-CHA-L2</v>
      </c>
      <c r="C171" s="19" t="str">
        <f aca="false">'Lot Register'!B30</f>
        <v>Method lineage</v>
      </c>
      <c r="D171" s="19" t="str">
        <f aca="false">'Lot Register'!D30</f>
        <v>MS-CT</v>
      </c>
      <c r="E171" s="19" t="str">
        <f aca="false">'Lot Register'!G30</f>
        <v>ST-CT-CHA</v>
      </c>
      <c r="F171" s="9" t="s">
        <v>587</v>
      </c>
      <c r="G171" s="9" t="s">
        <v>588</v>
      </c>
      <c r="H171" s="9" t="s">
        <v>589</v>
      </c>
      <c r="I171" s="9" t="s">
        <v>562</v>
      </c>
      <c r="J171" s="11" t="s">
        <v>238</v>
      </c>
      <c r="K171" s="47" t="n">
        <f aca="false">Controls!B26</f>
        <v>0</v>
      </c>
      <c r="L171" s="47" t="str">
        <f aca="false">IF(K171=1,"PASS","OPEN")</f>
        <v>OPEN</v>
      </c>
    </row>
    <row r="172" customFormat="false" ht="15" hidden="false" customHeight="false" outlineLevel="0" collapsed="false">
      <c r="A172" s="19" t="str">
        <f aca="false">"DEC-"&amp;B172&amp;"-G5"</f>
        <v>DEC-MTH-CT-CHA-L2-G5</v>
      </c>
      <c r="B172" s="19" t="str">
        <f aca="false">'Lot Register'!A30</f>
        <v>MTH-CT-CHA-L2</v>
      </c>
      <c r="C172" s="19" t="str">
        <f aca="false">'Lot Register'!B30</f>
        <v>Method lineage</v>
      </c>
      <c r="D172" s="19" t="str">
        <f aca="false">'Lot Register'!D30</f>
        <v>MS-CT</v>
      </c>
      <c r="E172" s="19" t="str">
        <f aca="false">'Lot Register'!G30</f>
        <v>ST-CT-CHA</v>
      </c>
      <c r="F172" s="9" t="s">
        <v>590</v>
      </c>
      <c r="G172" s="9" t="s">
        <v>591</v>
      </c>
      <c r="H172" s="9" t="s">
        <v>592</v>
      </c>
      <c r="I172" s="9" t="s">
        <v>565</v>
      </c>
      <c r="J172" s="11" t="s">
        <v>238</v>
      </c>
      <c r="K172" s="47" t="n">
        <f aca="false">Controls!B26</f>
        <v>0</v>
      </c>
      <c r="L172" s="47" t="str">
        <f aca="false">IF(K172=1,"PASS","OPEN")</f>
        <v>OPEN</v>
      </c>
    </row>
    <row r="173" customFormat="false" ht="15" hidden="false" customHeight="false" outlineLevel="0" collapsed="false">
      <c r="A173" s="19" t="str">
        <f aca="false">"DEC-"&amp;B173&amp;"-G6"</f>
        <v>DEC-MTH-CT-CHA-L2-G6</v>
      </c>
      <c r="B173" s="19" t="str">
        <f aca="false">'Lot Register'!A30</f>
        <v>MTH-CT-CHA-L2</v>
      </c>
      <c r="C173" s="19" t="str">
        <f aca="false">'Lot Register'!B30</f>
        <v>Method lineage</v>
      </c>
      <c r="D173" s="19" t="str">
        <f aca="false">'Lot Register'!D30</f>
        <v>MS-CT</v>
      </c>
      <c r="E173" s="19" t="str">
        <f aca="false">'Lot Register'!G30</f>
        <v>ST-CT-CHA</v>
      </c>
      <c r="F173" s="9" t="s">
        <v>593</v>
      </c>
      <c r="G173" s="9" t="s">
        <v>594</v>
      </c>
      <c r="H173" s="9" t="s">
        <v>595</v>
      </c>
      <c r="I173" s="9" t="s">
        <v>570</v>
      </c>
      <c r="J173" s="11" t="s">
        <v>238</v>
      </c>
      <c r="K173" s="47" t="n">
        <f aca="false">Controls!B26</f>
        <v>0</v>
      </c>
      <c r="L173" s="47" t="str">
        <f aca="false">IF(K173=1,"PASS","OPEN")</f>
        <v>OPEN</v>
      </c>
    </row>
    <row r="174" customFormat="false" ht="15" hidden="false" customHeight="false" outlineLevel="0" collapsed="false">
      <c r="A174" s="19" t="str">
        <f aca="false">"DEC-"&amp;B174&amp;"-G7"</f>
        <v>DEC-MTH-CT-CHA-L2-G7</v>
      </c>
      <c r="B174" s="19" t="str">
        <f aca="false">'Lot Register'!A30</f>
        <v>MTH-CT-CHA-L2</v>
      </c>
      <c r="C174" s="19" t="str">
        <f aca="false">'Lot Register'!B30</f>
        <v>Method lineage</v>
      </c>
      <c r="D174" s="19" t="str">
        <f aca="false">'Lot Register'!D30</f>
        <v>MS-CT</v>
      </c>
      <c r="E174" s="19" t="str">
        <f aca="false">'Lot Register'!G30</f>
        <v>ST-CT-CHA</v>
      </c>
      <c r="F174" s="9" t="s">
        <v>596</v>
      </c>
      <c r="G174" s="9" t="s">
        <v>597</v>
      </c>
      <c r="H174" s="9" t="s">
        <v>598</v>
      </c>
      <c r="I174" s="9" t="s">
        <v>570</v>
      </c>
      <c r="J174" s="11" t="s">
        <v>238</v>
      </c>
      <c r="K174" s="47" t="n">
        <f aca="false">Controls!B26</f>
        <v>0</v>
      </c>
      <c r="L174" s="47" t="str">
        <f aca="false">IF(K174=1,"PASS","OPEN")</f>
        <v>OPEN</v>
      </c>
    </row>
    <row r="175" customFormat="false" ht="15" hidden="false" customHeight="false" outlineLevel="0" collapsed="false">
      <c r="A175" s="19" t="str">
        <f aca="false">"DEC-"&amp;B175&amp;"-G1"</f>
        <v>DEC-REG-CT-CHA-G1</v>
      </c>
      <c r="B175" s="19" t="str">
        <f aca="false">'Lot Register'!A31</f>
        <v>REG-CT-CHA</v>
      </c>
      <c r="C175" s="19" t="str">
        <f aca="false">'Lot Register'!B31</f>
        <v>Regeneration tool</v>
      </c>
      <c r="D175" s="19" t="str">
        <f aca="false">'Lot Register'!D31</f>
        <v>MS-CT</v>
      </c>
      <c r="E175" s="19" t="str">
        <f aca="false">'Lot Register'!G31</f>
        <v>ST-CT-CHA</v>
      </c>
      <c r="F175" s="9" t="s">
        <v>578</v>
      </c>
      <c r="G175" s="9" t="s">
        <v>579</v>
      </c>
      <c r="H175" s="9" t="s">
        <v>580</v>
      </c>
      <c r="I175" s="9" t="s">
        <v>562</v>
      </c>
      <c r="J175" s="11" t="s">
        <v>238</v>
      </c>
      <c r="K175" s="47" t="n">
        <f aca="false">Controls!B26</f>
        <v>0</v>
      </c>
      <c r="L175" s="47" t="str">
        <f aca="false">IF(K175=1,"PASS","OPEN")</f>
        <v>OPEN</v>
      </c>
    </row>
    <row r="176" customFormat="false" ht="15" hidden="false" customHeight="false" outlineLevel="0" collapsed="false">
      <c r="A176" s="19" t="str">
        <f aca="false">"DEC-"&amp;B176&amp;"-G2"</f>
        <v>DEC-REG-CT-CHA-G2</v>
      </c>
      <c r="B176" s="19" t="str">
        <f aca="false">'Lot Register'!A31</f>
        <v>REG-CT-CHA</v>
      </c>
      <c r="C176" s="19" t="str">
        <f aca="false">'Lot Register'!B31</f>
        <v>Regeneration tool</v>
      </c>
      <c r="D176" s="19" t="str">
        <f aca="false">'Lot Register'!D31</f>
        <v>MS-CT</v>
      </c>
      <c r="E176" s="19" t="str">
        <f aca="false">'Lot Register'!G31</f>
        <v>ST-CT-CHA</v>
      </c>
      <c r="F176" s="9" t="s">
        <v>581</v>
      </c>
      <c r="G176" s="9" t="s">
        <v>582</v>
      </c>
      <c r="H176" s="9" t="s">
        <v>583</v>
      </c>
      <c r="I176" s="9" t="s">
        <v>560</v>
      </c>
      <c r="J176" s="11" t="s">
        <v>238</v>
      </c>
      <c r="K176" s="47" t="n">
        <f aca="false">Controls!B26</f>
        <v>0</v>
      </c>
      <c r="L176" s="47" t="str">
        <f aca="false">IF(K176=1,"PASS","OPEN")</f>
        <v>OPEN</v>
      </c>
    </row>
    <row r="177" customFormat="false" ht="15" hidden="false" customHeight="false" outlineLevel="0" collapsed="false">
      <c r="A177" s="19" t="str">
        <f aca="false">"DEC-"&amp;B177&amp;"-G3"</f>
        <v>DEC-REG-CT-CHA-G3</v>
      </c>
      <c r="B177" s="19" t="str">
        <f aca="false">'Lot Register'!A31</f>
        <v>REG-CT-CHA</v>
      </c>
      <c r="C177" s="19" t="str">
        <f aca="false">'Lot Register'!B31</f>
        <v>Regeneration tool</v>
      </c>
      <c r="D177" s="19" t="str">
        <f aca="false">'Lot Register'!D31</f>
        <v>MS-CT</v>
      </c>
      <c r="E177" s="19" t="str">
        <f aca="false">'Lot Register'!G31</f>
        <v>ST-CT-CHA</v>
      </c>
      <c r="F177" s="9" t="s">
        <v>584</v>
      </c>
      <c r="G177" s="9" t="s">
        <v>585</v>
      </c>
      <c r="H177" s="9" t="s">
        <v>586</v>
      </c>
      <c r="I177" s="9" t="s">
        <v>565</v>
      </c>
      <c r="J177" s="11" t="s">
        <v>238</v>
      </c>
      <c r="K177" s="47" t="n">
        <f aca="false">Controls!B26</f>
        <v>0</v>
      </c>
      <c r="L177" s="47" t="str">
        <f aca="false">IF(K177=1,"PASS","OPEN")</f>
        <v>OPEN</v>
      </c>
    </row>
    <row r="178" customFormat="false" ht="15" hidden="false" customHeight="false" outlineLevel="0" collapsed="false">
      <c r="A178" s="19" t="str">
        <f aca="false">"DEC-"&amp;B178&amp;"-G4"</f>
        <v>DEC-REG-CT-CHA-G4</v>
      </c>
      <c r="B178" s="19" t="str">
        <f aca="false">'Lot Register'!A31</f>
        <v>REG-CT-CHA</v>
      </c>
      <c r="C178" s="19" t="str">
        <f aca="false">'Lot Register'!B31</f>
        <v>Regeneration tool</v>
      </c>
      <c r="D178" s="19" t="str">
        <f aca="false">'Lot Register'!D31</f>
        <v>MS-CT</v>
      </c>
      <c r="E178" s="19" t="str">
        <f aca="false">'Lot Register'!G31</f>
        <v>ST-CT-CHA</v>
      </c>
      <c r="F178" s="9" t="s">
        <v>587</v>
      </c>
      <c r="G178" s="9" t="s">
        <v>588</v>
      </c>
      <c r="H178" s="9" t="s">
        <v>589</v>
      </c>
      <c r="I178" s="9" t="s">
        <v>562</v>
      </c>
      <c r="J178" s="11" t="s">
        <v>238</v>
      </c>
      <c r="K178" s="47" t="n">
        <f aca="false">Controls!B26</f>
        <v>0</v>
      </c>
      <c r="L178" s="47" t="str">
        <f aca="false">IF(K178=1,"PASS","OPEN")</f>
        <v>OPEN</v>
      </c>
    </row>
    <row r="179" customFormat="false" ht="15" hidden="false" customHeight="false" outlineLevel="0" collapsed="false">
      <c r="A179" s="19" t="str">
        <f aca="false">"DEC-"&amp;B179&amp;"-G5"</f>
        <v>DEC-REG-CT-CHA-G5</v>
      </c>
      <c r="B179" s="19" t="str">
        <f aca="false">'Lot Register'!A31</f>
        <v>REG-CT-CHA</v>
      </c>
      <c r="C179" s="19" t="str">
        <f aca="false">'Lot Register'!B31</f>
        <v>Regeneration tool</v>
      </c>
      <c r="D179" s="19" t="str">
        <f aca="false">'Lot Register'!D31</f>
        <v>MS-CT</v>
      </c>
      <c r="E179" s="19" t="str">
        <f aca="false">'Lot Register'!G31</f>
        <v>ST-CT-CHA</v>
      </c>
      <c r="F179" s="9" t="s">
        <v>590</v>
      </c>
      <c r="G179" s="9" t="s">
        <v>591</v>
      </c>
      <c r="H179" s="9" t="s">
        <v>592</v>
      </c>
      <c r="I179" s="9" t="s">
        <v>565</v>
      </c>
      <c r="J179" s="11" t="s">
        <v>238</v>
      </c>
      <c r="K179" s="47" t="n">
        <f aca="false">Controls!B26</f>
        <v>0</v>
      </c>
      <c r="L179" s="47" t="str">
        <f aca="false">IF(K179=1,"PASS","OPEN")</f>
        <v>OPEN</v>
      </c>
    </row>
    <row r="180" customFormat="false" ht="15" hidden="false" customHeight="false" outlineLevel="0" collapsed="false">
      <c r="A180" s="19" t="str">
        <f aca="false">"DEC-"&amp;B180&amp;"-G6"</f>
        <v>DEC-REG-CT-CHA-G6</v>
      </c>
      <c r="B180" s="19" t="str">
        <f aca="false">'Lot Register'!A31</f>
        <v>REG-CT-CHA</v>
      </c>
      <c r="C180" s="19" t="str">
        <f aca="false">'Lot Register'!B31</f>
        <v>Regeneration tool</v>
      </c>
      <c r="D180" s="19" t="str">
        <f aca="false">'Lot Register'!D31</f>
        <v>MS-CT</v>
      </c>
      <c r="E180" s="19" t="str">
        <f aca="false">'Lot Register'!G31</f>
        <v>ST-CT-CHA</v>
      </c>
      <c r="F180" s="9" t="s">
        <v>593</v>
      </c>
      <c r="G180" s="9" t="s">
        <v>594</v>
      </c>
      <c r="H180" s="9" t="s">
        <v>595</v>
      </c>
      <c r="I180" s="9" t="s">
        <v>570</v>
      </c>
      <c r="J180" s="11" t="s">
        <v>238</v>
      </c>
      <c r="K180" s="47" t="n">
        <f aca="false">Controls!B26</f>
        <v>0</v>
      </c>
      <c r="L180" s="47" t="str">
        <f aca="false">IF(K180=1,"PASS","OPEN")</f>
        <v>OPEN</v>
      </c>
    </row>
    <row r="181" customFormat="false" ht="15" hidden="false" customHeight="false" outlineLevel="0" collapsed="false">
      <c r="A181" s="19" t="str">
        <f aca="false">"DEC-"&amp;B181&amp;"-G7"</f>
        <v>DEC-REG-CT-CHA-G7</v>
      </c>
      <c r="B181" s="19" t="str">
        <f aca="false">'Lot Register'!A31</f>
        <v>REG-CT-CHA</v>
      </c>
      <c r="C181" s="19" t="str">
        <f aca="false">'Lot Register'!B31</f>
        <v>Regeneration tool</v>
      </c>
      <c r="D181" s="19" t="str">
        <f aca="false">'Lot Register'!D31</f>
        <v>MS-CT</v>
      </c>
      <c r="E181" s="19" t="str">
        <f aca="false">'Lot Register'!G31</f>
        <v>ST-CT-CHA</v>
      </c>
      <c r="F181" s="9" t="s">
        <v>596</v>
      </c>
      <c r="G181" s="9" t="s">
        <v>597</v>
      </c>
      <c r="H181" s="9" t="s">
        <v>598</v>
      </c>
      <c r="I181" s="9" t="s">
        <v>570</v>
      </c>
      <c r="J181" s="11" t="s">
        <v>238</v>
      </c>
      <c r="K181" s="47" t="n">
        <f aca="false">Controls!B26</f>
        <v>0</v>
      </c>
      <c r="L181" s="47" t="str">
        <f aca="false">IF(K181=1,"PASS","OPEN")</f>
        <v>OPEN</v>
      </c>
    </row>
    <row r="182" customFormat="false" ht="15" hidden="false" customHeight="false" outlineLevel="0" collapsed="false">
      <c r="A182" s="19" t="str">
        <f aca="false">"DEC-"&amp;B182&amp;"-G1"</f>
        <v>DEC-INT-CT-CHA-G1</v>
      </c>
      <c r="B182" s="19" t="str">
        <f aca="false">'Lot Register'!A32</f>
        <v>INT-CT-CHA</v>
      </c>
      <c r="C182" s="19" t="str">
        <f aca="false">'Lot Register'!B32</f>
        <v>Station integration</v>
      </c>
      <c r="D182" s="19" t="str">
        <f aca="false">'Lot Register'!D32</f>
        <v>MS-CT</v>
      </c>
      <c r="E182" s="19" t="str">
        <f aca="false">'Lot Register'!G32</f>
        <v>ST-CT-CHA</v>
      </c>
      <c r="F182" s="9" t="s">
        <v>578</v>
      </c>
      <c r="G182" s="9" t="s">
        <v>579</v>
      </c>
      <c r="H182" s="9" t="s">
        <v>580</v>
      </c>
      <c r="I182" s="9" t="s">
        <v>562</v>
      </c>
      <c r="J182" s="11" t="s">
        <v>238</v>
      </c>
      <c r="K182" s="47" t="n">
        <f aca="false">Controls!B26</f>
        <v>0</v>
      </c>
      <c r="L182" s="47" t="str">
        <f aca="false">IF(K182=1,"PASS","OPEN")</f>
        <v>OPEN</v>
      </c>
    </row>
    <row r="183" customFormat="false" ht="15" hidden="false" customHeight="false" outlineLevel="0" collapsed="false">
      <c r="A183" s="19" t="str">
        <f aca="false">"DEC-"&amp;B183&amp;"-G2"</f>
        <v>DEC-INT-CT-CHA-G2</v>
      </c>
      <c r="B183" s="19" t="str">
        <f aca="false">'Lot Register'!A32</f>
        <v>INT-CT-CHA</v>
      </c>
      <c r="C183" s="19" t="str">
        <f aca="false">'Lot Register'!B32</f>
        <v>Station integration</v>
      </c>
      <c r="D183" s="19" t="str">
        <f aca="false">'Lot Register'!D32</f>
        <v>MS-CT</v>
      </c>
      <c r="E183" s="19" t="str">
        <f aca="false">'Lot Register'!G32</f>
        <v>ST-CT-CHA</v>
      </c>
      <c r="F183" s="9" t="s">
        <v>581</v>
      </c>
      <c r="G183" s="9" t="s">
        <v>582</v>
      </c>
      <c r="H183" s="9" t="s">
        <v>583</v>
      </c>
      <c r="I183" s="9" t="s">
        <v>560</v>
      </c>
      <c r="J183" s="11" t="s">
        <v>238</v>
      </c>
      <c r="K183" s="47" t="n">
        <f aca="false">Controls!B26</f>
        <v>0</v>
      </c>
      <c r="L183" s="47" t="str">
        <f aca="false">IF(K183=1,"PASS","OPEN")</f>
        <v>OPEN</v>
      </c>
    </row>
    <row r="184" customFormat="false" ht="15" hidden="false" customHeight="false" outlineLevel="0" collapsed="false">
      <c r="A184" s="19" t="str">
        <f aca="false">"DEC-"&amp;B184&amp;"-G3"</f>
        <v>DEC-INT-CT-CHA-G3</v>
      </c>
      <c r="B184" s="19" t="str">
        <f aca="false">'Lot Register'!A32</f>
        <v>INT-CT-CHA</v>
      </c>
      <c r="C184" s="19" t="str">
        <f aca="false">'Lot Register'!B32</f>
        <v>Station integration</v>
      </c>
      <c r="D184" s="19" t="str">
        <f aca="false">'Lot Register'!D32</f>
        <v>MS-CT</v>
      </c>
      <c r="E184" s="19" t="str">
        <f aca="false">'Lot Register'!G32</f>
        <v>ST-CT-CHA</v>
      </c>
      <c r="F184" s="9" t="s">
        <v>584</v>
      </c>
      <c r="G184" s="9" t="s">
        <v>585</v>
      </c>
      <c r="H184" s="9" t="s">
        <v>586</v>
      </c>
      <c r="I184" s="9" t="s">
        <v>565</v>
      </c>
      <c r="J184" s="11" t="s">
        <v>238</v>
      </c>
      <c r="K184" s="47" t="n">
        <f aca="false">Controls!B26</f>
        <v>0</v>
      </c>
      <c r="L184" s="47" t="str">
        <f aca="false">IF(K184=1,"PASS","OPEN")</f>
        <v>OPEN</v>
      </c>
    </row>
    <row r="185" customFormat="false" ht="15" hidden="false" customHeight="false" outlineLevel="0" collapsed="false">
      <c r="A185" s="19" t="str">
        <f aca="false">"DEC-"&amp;B185&amp;"-G4"</f>
        <v>DEC-INT-CT-CHA-G4</v>
      </c>
      <c r="B185" s="19" t="str">
        <f aca="false">'Lot Register'!A32</f>
        <v>INT-CT-CHA</v>
      </c>
      <c r="C185" s="19" t="str">
        <f aca="false">'Lot Register'!B32</f>
        <v>Station integration</v>
      </c>
      <c r="D185" s="19" t="str">
        <f aca="false">'Lot Register'!D32</f>
        <v>MS-CT</v>
      </c>
      <c r="E185" s="19" t="str">
        <f aca="false">'Lot Register'!G32</f>
        <v>ST-CT-CHA</v>
      </c>
      <c r="F185" s="9" t="s">
        <v>587</v>
      </c>
      <c r="G185" s="9" t="s">
        <v>588</v>
      </c>
      <c r="H185" s="9" t="s">
        <v>589</v>
      </c>
      <c r="I185" s="9" t="s">
        <v>562</v>
      </c>
      <c r="J185" s="11" t="s">
        <v>238</v>
      </c>
      <c r="K185" s="47" t="n">
        <f aca="false">Controls!B26</f>
        <v>0</v>
      </c>
      <c r="L185" s="47" t="str">
        <f aca="false">IF(K185=1,"PASS","OPEN")</f>
        <v>OPEN</v>
      </c>
    </row>
    <row r="186" customFormat="false" ht="15" hidden="false" customHeight="false" outlineLevel="0" collapsed="false">
      <c r="A186" s="19" t="str">
        <f aca="false">"DEC-"&amp;B186&amp;"-G5"</f>
        <v>DEC-INT-CT-CHA-G5</v>
      </c>
      <c r="B186" s="19" t="str">
        <f aca="false">'Lot Register'!A32</f>
        <v>INT-CT-CHA</v>
      </c>
      <c r="C186" s="19" t="str">
        <f aca="false">'Lot Register'!B32</f>
        <v>Station integration</v>
      </c>
      <c r="D186" s="19" t="str">
        <f aca="false">'Lot Register'!D32</f>
        <v>MS-CT</v>
      </c>
      <c r="E186" s="19" t="str">
        <f aca="false">'Lot Register'!G32</f>
        <v>ST-CT-CHA</v>
      </c>
      <c r="F186" s="9" t="s">
        <v>590</v>
      </c>
      <c r="G186" s="9" t="s">
        <v>591</v>
      </c>
      <c r="H186" s="9" t="s">
        <v>592</v>
      </c>
      <c r="I186" s="9" t="s">
        <v>565</v>
      </c>
      <c r="J186" s="11" t="s">
        <v>238</v>
      </c>
      <c r="K186" s="47" t="n">
        <f aca="false">Controls!B26</f>
        <v>0</v>
      </c>
      <c r="L186" s="47" t="str">
        <f aca="false">IF(K186=1,"PASS","OPEN")</f>
        <v>OPEN</v>
      </c>
    </row>
    <row r="187" customFormat="false" ht="15" hidden="false" customHeight="false" outlineLevel="0" collapsed="false">
      <c r="A187" s="19" t="str">
        <f aca="false">"DEC-"&amp;B187&amp;"-G6"</f>
        <v>DEC-INT-CT-CHA-G6</v>
      </c>
      <c r="B187" s="19" t="str">
        <f aca="false">'Lot Register'!A32</f>
        <v>INT-CT-CHA</v>
      </c>
      <c r="C187" s="19" t="str">
        <f aca="false">'Lot Register'!B32</f>
        <v>Station integration</v>
      </c>
      <c r="D187" s="19" t="str">
        <f aca="false">'Lot Register'!D32</f>
        <v>MS-CT</v>
      </c>
      <c r="E187" s="19" t="str">
        <f aca="false">'Lot Register'!G32</f>
        <v>ST-CT-CHA</v>
      </c>
      <c r="F187" s="9" t="s">
        <v>593</v>
      </c>
      <c r="G187" s="9" t="s">
        <v>594</v>
      </c>
      <c r="H187" s="9" t="s">
        <v>595</v>
      </c>
      <c r="I187" s="9" t="s">
        <v>570</v>
      </c>
      <c r="J187" s="11" t="s">
        <v>238</v>
      </c>
      <c r="K187" s="47" t="n">
        <f aca="false">Controls!B26</f>
        <v>0</v>
      </c>
      <c r="L187" s="47" t="str">
        <f aca="false">IF(K187=1,"PASS","OPEN")</f>
        <v>OPEN</v>
      </c>
    </row>
    <row r="188" customFormat="false" ht="15" hidden="false" customHeight="false" outlineLevel="0" collapsed="false">
      <c r="A188" s="19" t="str">
        <f aca="false">"DEC-"&amp;B188&amp;"-G7"</f>
        <v>DEC-INT-CT-CHA-G7</v>
      </c>
      <c r="B188" s="19" t="str">
        <f aca="false">'Lot Register'!A32</f>
        <v>INT-CT-CHA</v>
      </c>
      <c r="C188" s="19" t="str">
        <f aca="false">'Lot Register'!B32</f>
        <v>Station integration</v>
      </c>
      <c r="D188" s="19" t="str">
        <f aca="false">'Lot Register'!D32</f>
        <v>MS-CT</v>
      </c>
      <c r="E188" s="19" t="str">
        <f aca="false">'Lot Register'!G32</f>
        <v>ST-CT-CHA</v>
      </c>
      <c r="F188" s="9" t="s">
        <v>596</v>
      </c>
      <c r="G188" s="9" t="s">
        <v>597</v>
      </c>
      <c r="H188" s="9" t="s">
        <v>598</v>
      </c>
      <c r="I188" s="9" t="s">
        <v>570</v>
      </c>
      <c r="J188" s="11" t="s">
        <v>238</v>
      </c>
      <c r="K188" s="47" t="n">
        <f aca="false">Controls!B26</f>
        <v>0</v>
      </c>
      <c r="L188" s="47" t="str">
        <f aca="false">IF(K188=1,"PASS","OPEN")</f>
        <v>OPEN</v>
      </c>
    </row>
    <row r="189" customFormat="false" ht="15" hidden="false" customHeight="false" outlineLevel="0" collapsed="false">
      <c r="A189" s="19" t="str">
        <f aca="false">"DEC-"&amp;B189&amp;"-G1"</f>
        <v>DEC-RIG-CT-CON-G1</v>
      </c>
      <c r="B189" s="19" t="str">
        <f aca="false">'Lot Register'!A33</f>
        <v>RIG-CT-CON</v>
      </c>
      <c r="C189" s="19" t="str">
        <f aca="false">'Lot Register'!B33</f>
        <v>Root-native rig</v>
      </c>
      <c r="D189" s="19" t="str">
        <f aca="false">'Lot Register'!D33</f>
        <v>MS-CT</v>
      </c>
      <c r="E189" s="19" t="str">
        <f aca="false">'Lot Register'!G33</f>
        <v>ST-CT-CON</v>
      </c>
      <c r="F189" s="9" t="s">
        <v>578</v>
      </c>
      <c r="G189" s="9" t="s">
        <v>579</v>
      </c>
      <c r="H189" s="9" t="s">
        <v>580</v>
      </c>
      <c r="I189" s="9" t="s">
        <v>562</v>
      </c>
      <c r="J189" s="11" t="s">
        <v>238</v>
      </c>
      <c r="K189" s="47" t="n">
        <f aca="false">Controls!B26</f>
        <v>0</v>
      </c>
      <c r="L189" s="47" t="str">
        <f aca="false">IF(K189=1,"PASS","OPEN")</f>
        <v>OPEN</v>
      </c>
    </row>
    <row r="190" customFormat="false" ht="15" hidden="false" customHeight="false" outlineLevel="0" collapsed="false">
      <c r="A190" s="19" t="str">
        <f aca="false">"DEC-"&amp;B190&amp;"-G2"</f>
        <v>DEC-RIG-CT-CON-G2</v>
      </c>
      <c r="B190" s="19" t="str">
        <f aca="false">'Lot Register'!A33</f>
        <v>RIG-CT-CON</v>
      </c>
      <c r="C190" s="19" t="str">
        <f aca="false">'Lot Register'!B33</f>
        <v>Root-native rig</v>
      </c>
      <c r="D190" s="19" t="str">
        <f aca="false">'Lot Register'!D33</f>
        <v>MS-CT</v>
      </c>
      <c r="E190" s="19" t="str">
        <f aca="false">'Lot Register'!G33</f>
        <v>ST-CT-CON</v>
      </c>
      <c r="F190" s="9" t="s">
        <v>581</v>
      </c>
      <c r="G190" s="9" t="s">
        <v>582</v>
      </c>
      <c r="H190" s="9" t="s">
        <v>583</v>
      </c>
      <c r="I190" s="9" t="s">
        <v>560</v>
      </c>
      <c r="J190" s="11" t="s">
        <v>238</v>
      </c>
      <c r="K190" s="47" t="n">
        <f aca="false">Controls!B26</f>
        <v>0</v>
      </c>
      <c r="L190" s="47" t="str">
        <f aca="false">IF(K190=1,"PASS","OPEN")</f>
        <v>OPEN</v>
      </c>
    </row>
    <row r="191" customFormat="false" ht="15" hidden="false" customHeight="false" outlineLevel="0" collapsed="false">
      <c r="A191" s="19" t="str">
        <f aca="false">"DEC-"&amp;B191&amp;"-G3"</f>
        <v>DEC-RIG-CT-CON-G3</v>
      </c>
      <c r="B191" s="19" t="str">
        <f aca="false">'Lot Register'!A33</f>
        <v>RIG-CT-CON</v>
      </c>
      <c r="C191" s="19" t="str">
        <f aca="false">'Lot Register'!B33</f>
        <v>Root-native rig</v>
      </c>
      <c r="D191" s="19" t="str">
        <f aca="false">'Lot Register'!D33</f>
        <v>MS-CT</v>
      </c>
      <c r="E191" s="19" t="str">
        <f aca="false">'Lot Register'!G33</f>
        <v>ST-CT-CON</v>
      </c>
      <c r="F191" s="9" t="s">
        <v>584</v>
      </c>
      <c r="G191" s="9" t="s">
        <v>585</v>
      </c>
      <c r="H191" s="9" t="s">
        <v>586</v>
      </c>
      <c r="I191" s="9" t="s">
        <v>565</v>
      </c>
      <c r="J191" s="11" t="s">
        <v>238</v>
      </c>
      <c r="K191" s="47" t="n">
        <f aca="false">Controls!B26</f>
        <v>0</v>
      </c>
      <c r="L191" s="47" t="str">
        <f aca="false">IF(K191=1,"PASS","OPEN")</f>
        <v>OPEN</v>
      </c>
    </row>
    <row r="192" customFormat="false" ht="15" hidden="false" customHeight="false" outlineLevel="0" collapsed="false">
      <c r="A192" s="19" t="str">
        <f aca="false">"DEC-"&amp;B192&amp;"-G4"</f>
        <v>DEC-RIG-CT-CON-G4</v>
      </c>
      <c r="B192" s="19" t="str">
        <f aca="false">'Lot Register'!A33</f>
        <v>RIG-CT-CON</v>
      </c>
      <c r="C192" s="19" t="str">
        <f aca="false">'Lot Register'!B33</f>
        <v>Root-native rig</v>
      </c>
      <c r="D192" s="19" t="str">
        <f aca="false">'Lot Register'!D33</f>
        <v>MS-CT</v>
      </c>
      <c r="E192" s="19" t="str">
        <f aca="false">'Lot Register'!G33</f>
        <v>ST-CT-CON</v>
      </c>
      <c r="F192" s="9" t="s">
        <v>587</v>
      </c>
      <c r="G192" s="9" t="s">
        <v>588</v>
      </c>
      <c r="H192" s="9" t="s">
        <v>589</v>
      </c>
      <c r="I192" s="9" t="s">
        <v>562</v>
      </c>
      <c r="J192" s="11" t="s">
        <v>238</v>
      </c>
      <c r="K192" s="47" t="n">
        <f aca="false">Controls!B26</f>
        <v>0</v>
      </c>
      <c r="L192" s="47" t="str">
        <f aca="false">IF(K192=1,"PASS","OPEN")</f>
        <v>OPEN</v>
      </c>
    </row>
    <row r="193" customFormat="false" ht="15" hidden="false" customHeight="false" outlineLevel="0" collapsed="false">
      <c r="A193" s="19" t="str">
        <f aca="false">"DEC-"&amp;B193&amp;"-G5"</f>
        <v>DEC-RIG-CT-CON-G5</v>
      </c>
      <c r="B193" s="19" t="str">
        <f aca="false">'Lot Register'!A33</f>
        <v>RIG-CT-CON</v>
      </c>
      <c r="C193" s="19" t="str">
        <f aca="false">'Lot Register'!B33</f>
        <v>Root-native rig</v>
      </c>
      <c r="D193" s="19" t="str">
        <f aca="false">'Lot Register'!D33</f>
        <v>MS-CT</v>
      </c>
      <c r="E193" s="19" t="str">
        <f aca="false">'Lot Register'!G33</f>
        <v>ST-CT-CON</v>
      </c>
      <c r="F193" s="9" t="s">
        <v>590</v>
      </c>
      <c r="G193" s="9" t="s">
        <v>591</v>
      </c>
      <c r="H193" s="9" t="s">
        <v>592</v>
      </c>
      <c r="I193" s="9" t="s">
        <v>565</v>
      </c>
      <c r="J193" s="11" t="s">
        <v>238</v>
      </c>
      <c r="K193" s="47" t="n">
        <f aca="false">Controls!B26</f>
        <v>0</v>
      </c>
      <c r="L193" s="47" t="str">
        <f aca="false">IF(K193=1,"PASS","OPEN")</f>
        <v>OPEN</v>
      </c>
    </row>
    <row r="194" customFormat="false" ht="15" hidden="false" customHeight="false" outlineLevel="0" collapsed="false">
      <c r="A194" s="19" t="str">
        <f aca="false">"DEC-"&amp;B194&amp;"-G6"</f>
        <v>DEC-RIG-CT-CON-G6</v>
      </c>
      <c r="B194" s="19" t="str">
        <f aca="false">'Lot Register'!A33</f>
        <v>RIG-CT-CON</v>
      </c>
      <c r="C194" s="19" t="str">
        <f aca="false">'Lot Register'!B33</f>
        <v>Root-native rig</v>
      </c>
      <c r="D194" s="19" t="str">
        <f aca="false">'Lot Register'!D33</f>
        <v>MS-CT</v>
      </c>
      <c r="E194" s="19" t="str">
        <f aca="false">'Lot Register'!G33</f>
        <v>ST-CT-CON</v>
      </c>
      <c r="F194" s="9" t="s">
        <v>593</v>
      </c>
      <c r="G194" s="9" t="s">
        <v>594</v>
      </c>
      <c r="H194" s="9" t="s">
        <v>595</v>
      </c>
      <c r="I194" s="9" t="s">
        <v>570</v>
      </c>
      <c r="J194" s="11" t="s">
        <v>238</v>
      </c>
      <c r="K194" s="47" t="n">
        <f aca="false">Controls!B26</f>
        <v>0</v>
      </c>
      <c r="L194" s="47" t="str">
        <f aca="false">IF(K194=1,"PASS","OPEN")</f>
        <v>OPEN</v>
      </c>
    </row>
    <row r="195" customFormat="false" ht="15" hidden="false" customHeight="false" outlineLevel="0" collapsed="false">
      <c r="A195" s="19" t="str">
        <f aca="false">"DEC-"&amp;B195&amp;"-G7"</f>
        <v>DEC-RIG-CT-CON-G7</v>
      </c>
      <c r="B195" s="19" t="str">
        <f aca="false">'Lot Register'!A33</f>
        <v>RIG-CT-CON</v>
      </c>
      <c r="C195" s="19" t="str">
        <f aca="false">'Lot Register'!B33</f>
        <v>Root-native rig</v>
      </c>
      <c r="D195" s="19" t="str">
        <f aca="false">'Lot Register'!D33</f>
        <v>MS-CT</v>
      </c>
      <c r="E195" s="19" t="str">
        <f aca="false">'Lot Register'!G33</f>
        <v>ST-CT-CON</v>
      </c>
      <c r="F195" s="9" t="s">
        <v>596</v>
      </c>
      <c r="G195" s="9" t="s">
        <v>597</v>
      </c>
      <c r="H195" s="9" t="s">
        <v>598</v>
      </c>
      <c r="I195" s="9" t="s">
        <v>570</v>
      </c>
      <c r="J195" s="11" t="s">
        <v>238</v>
      </c>
      <c r="K195" s="47" t="n">
        <f aca="false">Controls!B26</f>
        <v>0</v>
      </c>
      <c r="L195" s="47" t="str">
        <f aca="false">IF(K195=1,"PASS","OPEN")</f>
        <v>OPEN</v>
      </c>
    </row>
    <row r="196" customFormat="false" ht="15" hidden="false" customHeight="false" outlineLevel="0" collapsed="false">
      <c r="A196" s="19" t="str">
        <f aca="false">"DEC-"&amp;B196&amp;"-G1"</f>
        <v>DEC-MTH-CT-CON-L1-G1</v>
      </c>
      <c r="B196" s="19" t="str">
        <f aca="false">'Lot Register'!A34</f>
        <v>MTH-CT-CON-L1</v>
      </c>
      <c r="C196" s="19" t="str">
        <f aca="false">'Lot Register'!B34</f>
        <v>Method lineage</v>
      </c>
      <c r="D196" s="19" t="str">
        <f aca="false">'Lot Register'!D34</f>
        <v>MS-CT</v>
      </c>
      <c r="E196" s="19" t="str">
        <f aca="false">'Lot Register'!G34</f>
        <v>ST-CT-CON</v>
      </c>
      <c r="F196" s="9" t="s">
        <v>578</v>
      </c>
      <c r="G196" s="9" t="s">
        <v>579</v>
      </c>
      <c r="H196" s="9" t="s">
        <v>580</v>
      </c>
      <c r="I196" s="9" t="s">
        <v>562</v>
      </c>
      <c r="J196" s="11" t="s">
        <v>238</v>
      </c>
      <c r="K196" s="47" t="n">
        <f aca="false">Controls!B26</f>
        <v>0</v>
      </c>
      <c r="L196" s="47" t="str">
        <f aca="false">IF(K196=1,"PASS","OPEN")</f>
        <v>OPEN</v>
      </c>
    </row>
    <row r="197" customFormat="false" ht="15" hidden="false" customHeight="false" outlineLevel="0" collapsed="false">
      <c r="A197" s="19" t="str">
        <f aca="false">"DEC-"&amp;B197&amp;"-G2"</f>
        <v>DEC-MTH-CT-CON-L1-G2</v>
      </c>
      <c r="B197" s="19" t="str">
        <f aca="false">'Lot Register'!A34</f>
        <v>MTH-CT-CON-L1</v>
      </c>
      <c r="C197" s="19" t="str">
        <f aca="false">'Lot Register'!B34</f>
        <v>Method lineage</v>
      </c>
      <c r="D197" s="19" t="str">
        <f aca="false">'Lot Register'!D34</f>
        <v>MS-CT</v>
      </c>
      <c r="E197" s="19" t="str">
        <f aca="false">'Lot Register'!G34</f>
        <v>ST-CT-CON</v>
      </c>
      <c r="F197" s="9" t="s">
        <v>581</v>
      </c>
      <c r="G197" s="9" t="s">
        <v>582</v>
      </c>
      <c r="H197" s="9" t="s">
        <v>583</v>
      </c>
      <c r="I197" s="9" t="s">
        <v>560</v>
      </c>
      <c r="J197" s="11" t="s">
        <v>238</v>
      </c>
      <c r="K197" s="47" t="n">
        <f aca="false">Controls!B26</f>
        <v>0</v>
      </c>
      <c r="L197" s="47" t="str">
        <f aca="false">IF(K197=1,"PASS","OPEN")</f>
        <v>OPEN</v>
      </c>
    </row>
    <row r="198" customFormat="false" ht="15" hidden="false" customHeight="false" outlineLevel="0" collapsed="false">
      <c r="A198" s="19" t="str">
        <f aca="false">"DEC-"&amp;B198&amp;"-G3"</f>
        <v>DEC-MTH-CT-CON-L1-G3</v>
      </c>
      <c r="B198" s="19" t="str">
        <f aca="false">'Lot Register'!A34</f>
        <v>MTH-CT-CON-L1</v>
      </c>
      <c r="C198" s="19" t="str">
        <f aca="false">'Lot Register'!B34</f>
        <v>Method lineage</v>
      </c>
      <c r="D198" s="19" t="str">
        <f aca="false">'Lot Register'!D34</f>
        <v>MS-CT</v>
      </c>
      <c r="E198" s="19" t="str">
        <f aca="false">'Lot Register'!G34</f>
        <v>ST-CT-CON</v>
      </c>
      <c r="F198" s="9" t="s">
        <v>584</v>
      </c>
      <c r="G198" s="9" t="s">
        <v>585</v>
      </c>
      <c r="H198" s="9" t="s">
        <v>586</v>
      </c>
      <c r="I198" s="9" t="s">
        <v>565</v>
      </c>
      <c r="J198" s="11" t="s">
        <v>238</v>
      </c>
      <c r="K198" s="47" t="n">
        <f aca="false">Controls!B26</f>
        <v>0</v>
      </c>
      <c r="L198" s="47" t="str">
        <f aca="false">IF(K198=1,"PASS","OPEN")</f>
        <v>OPEN</v>
      </c>
    </row>
    <row r="199" customFormat="false" ht="15" hidden="false" customHeight="false" outlineLevel="0" collapsed="false">
      <c r="A199" s="19" t="str">
        <f aca="false">"DEC-"&amp;B199&amp;"-G4"</f>
        <v>DEC-MTH-CT-CON-L1-G4</v>
      </c>
      <c r="B199" s="19" t="str">
        <f aca="false">'Lot Register'!A34</f>
        <v>MTH-CT-CON-L1</v>
      </c>
      <c r="C199" s="19" t="str">
        <f aca="false">'Lot Register'!B34</f>
        <v>Method lineage</v>
      </c>
      <c r="D199" s="19" t="str">
        <f aca="false">'Lot Register'!D34</f>
        <v>MS-CT</v>
      </c>
      <c r="E199" s="19" t="str">
        <f aca="false">'Lot Register'!G34</f>
        <v>ST-CT-CON</v>
      </c>
      <c r="F199" s="9" t="s">
        <v>587</v>
      </c>
      <c r="G199" s="9" t="s">
        <v>588</v>
      </c>
      <c r="H199" s="9" t="s">
        <v>589</v>
      </c>
      <c r="I199" s="9" t="s">
        <v>562</v>
      </c>
      <c r="J199" s="11" t="s">
        <v>238</v>
      </c>
      <c r="K199" s="47" t="n">
        <f aca="false">Controls!B26</f>
        <v>0</v>
      </c>
      <c r="L199" s="47" t="str">
        <f aca="false">IF(K199=1,"PASS","OPEN")</f>
        <v>OPEN</v>
      </c>
    </row>
    <row r="200" customFormat="false" ht="15" hidden="false" customHeight="false" outlineLevel="0" collapsed="false">
      <c r="A200" s="19" t="str">
        <f aca="false">"DEC-"&amp;B200&amp;"-G5"</f>
        <v>DEC-MTH-CT-CON-L1-G5</v>
      </c>
      <c r="B200" s="19" t="str">
        <f aca="false">'Lot Register'!A34</f>
        <v>MTH-CT-CON-L1</v>
      </c>
      <c r="C200" s="19" t="str">
        <f aca="false">'Lot Register'!B34</f>
        <v>Method lineage</v>
      </c>
      <c r="D200" s="19" t="str">
        <f aca="false">'Lot Register'!D34</f>
        <v>MS-CT</v>
      </c>
      <c r="E200" s="19" t="str">
        <f aca="false">'Lot Register'!G34</f>
        <v>ST-CT-CON</v>
      </c>
      <c r="F200" s="9" t="s">
        <v>590</v>
      </c>
      <c r="G200" s="9" t="s">
        <v>591</v>
      </c>
      <c r="H200" s="9" t="s">
        <v>592</v>
      </c>
      <c r="I200" s="9" t="s">
        <v>565</v>
      </c>
      <c r="J200" s="11" t="s">
        <v>238</v>
      </c>
      <c r="K200" s="47" t="n">
        <f aca="false">Controls!B26</f>
        <v>0</v>
      </c>
      <c r="L200" s="47" t="str">
        <f aca="false">IF(K200=1,"PASS","OPEN")</f>
        <v>OPEN</v>
      </c>
    </row>
    <row r="201" customFormat="false" ht="15" hidden="false" customHeight="false" outlineLevel="0" collapsed="false">
      <c r="A201" s="19" t="str">
        <f aca="false">"DEC-"&amp;B201&amp;"-G6"</f>
        <v>DEC-MTH-CT-CON-L1-G6</v>
      </c>
      <c r="B201" s="19" t="str">
        <f aca="false">'Lot Register'!A34</f>
        <v>MTH-CT-CON-L1</v>
      </c>
      <c r="C201" s="19" t="str">
        <f aca="false">'Lot Register'!B34</f>
        <v>Method lineage</v>
      </c>
      <c r="D201" s="19" t="str">
        <f aca="false">'Lot Register'!D34</f>
        <v>MS-CT</v>
      </c>
      <c r="E201" s="19" t="str">
        <f aca="false">'Lot Register'!G34</f>
        <v>ST-CT-CON</v>
      </c>
      <c r="F201" s="9" t="s">
        <v>593</v>
      </c>
      <c r="G201" s="9" t="s">
        <v>594</v>
      </c>
      <c r="H201" s="9" t="s">
        <v>595</v>
      </c>
      <c r="I201" s="9" t="s">
        <v>570</v>
      </c>
      <c r="J201" s="11" t="s">
        <v>238</v>
      </c>
      <c r="K201" s="47" t="n">
        <f aca="false">Controls!B26</f>
        <v>0</v>
      </c>
      <c r="L201" s="47" t="str">
        <f aca="false">IF(K201=1,"PASS","OPEN")</f>
        <v>OPEN</v>
      </c>
    </row>
    <row r="202" customFormat="false" ht="15" hidden="false" customHeight="false" outlineLevel="0" collapsed="false">
      <c r="A202" s="19" t="str">
        <f aca="false">"DEC-"&amp;B202&amp;"-G7"</f>
        <v>DEC-MTH-CT-CON-L1-G7</v>
      </c>
      <c r="B202" s="19" t="str">
        <f aca="false">'Lot Register'!A34</f>
        <v>MTH-CT-CON-L1</v>
      </c>
      <c r="C202" s="19" t="str">
        <f aca="false">'Lot Register'!B34</f>
        <v>Method lineage</v>
      </c>
      <c r="D202" s="19" t="str">
        <f aca="false">'Lot Register'!D34</f>
        <v>MS-CT</v>
      </c>
      <c r="E202" s="19" t="str">
        <f aca="false">'Lot Register'!G34</f>
        <v>ST-CT-CON</v>
      </c>
      <c r="F202" s="9" t="s">
        <v>596</v>
      </c>
      <c r="G202" s="9" t="s">
        <v>597</v>
      </c>
      <c r="H202" s="9" t="s">
        <v>598</v>
      </c>
      <c r="I202" s="9" t="s">
        <v>570</v>
      </c>
      <c r="J202" s="11" t="s">
        <v>238</v>
      </c>
      <c r="K202" s="47" t="n">
        <f aca="false">Controls!B26</f>
        <v>0</v>
      </c>
      <c r="L202" s="47" t="str">
        <f aca="false">IF(K202=1,"PASS","OPEN")</f>
        <v>OPEN</v>
      </c>
    </row>
    <row r="203" customFormat="false" ht="15" hidden="false" customHeight="false" outlineLevel="0" collapsed="false">
      <c r="A203" s="19" t="str">
        <f aca="false">"DEC-"&amp;B203&amp;"-G1"</f>
        <v>DEC-MTH-CT-CON-L2-G1</v>
      </c>
      <c r="B203" s="19" t="str">
        <f aca="false">'Lot Register'!A35</f>
        <v>MTH-CT-CON-L2</v>
      </c>
      <c r="C203" s="19" t="str">
        <f aca="false">'Lot Register'!B35</f>
        <v>Method lineage</v>
      </c>
      <c r="D203" s="19" t="str">
        <f aca="false">'Lot Register'!D35</f>
        <v>MS-CT</v>
      </c>
      <c r="E203" s="19" t="str">
        <f aca="false">'Lot Register'!G35</f>
        <v>ST-CT-CON</v>
      </c>
      <c r="F203" s="9" t="s">
        <v>578</v>
      </c>
      <c r="G203" s="9" t="s">
        <v>579</v>
      </c>
      <c r="H203" s="9" t="s">
        <v>580</v>
      </c>
      <c r="I203" s="9" t="s">
        <v>562</v>
      </c>
      <c r="J203" s="11" t="s">
        <v>238</v>
      </c>
      <c r="K203" s="47" t="n">
        <f aca="false">Controls!B26</f>
        <v>0</v>
      </c>
      <c r="L203" s="47" t="str">
        <f aca="false">IF(K203=1,"PASS","OPEN")</f>
        <v>OPEN</v>
      </c>
    </row>
    <row r="204" customFormat="false" ht="15" hidden="false" customHeight="false" outlineLevel="0" collapsed="false">
      <c r="A204" s="19" t="str">
        <f aca="false">"DEC-"&amp;B204&amp;"-G2"</f>
        <v>DEC-MTH-CT-CON-L2-G2</v>
      </c>
      <c r="B204" s="19" t="str">
        <f aca="false">'Lot Register'!A35</f>
        <v>MTH-CT-CON-L2</v>
      </c>
      <c r="C204" s="19" t="str">
        <f aca="false">'Lot Register'!B35</f>
        <v>Method lineage</v>
      </c>
      <c r="D204" s="19" t="str">
        <f aca="false">'Lot Register'!D35</f>
        <v>MS-CT</v>
      </c>
      <c r="E204" s="19" t="str">
        <f aca="false">'Lot Register'!G35</f>
        <v>ST-CT-CON</v>
      </c>
      <c r="F204" s="9" t="s">
        <v>581</v>
      </c>
      <c r="G204" s="9" t="s">
        <v>582</v>
      </c>
      <c r="H204" s="9" t="s">
        <v>583</v>
      </c>
      <c r="I204" s="9" t="s">
        <v>560</v>
      </c>
      <c r="J204" s="11" t="s">
        <v>238</v>
      </c>
      <c r="K204" s="47" t="n">
        <f aca="false">Controls!B26</f>
        <v>0</v>
      </c>
      <c r="L204" s="47" t="str">
        <f aca="false">IF(K204=1,"PASS","OPEN")</f>
        <v>OPEN</v>
      </c>
    </row>
    <row r="205" customFormat="false" ht="15" hidden="false" customHeight="false" outlineLevel="0" collapsed="false">
      <c r="A205" s="19" t="str">
        <f aca="false">"DEC-"&amp;B205&amp;"-G3"</f>
        <v>DEC-MTH-CT-CON-L2-G3</v>
      </c>
      <c r="B205" s="19" t="str">
        <f aca="false">'Lot Register'!A35</f>
        <v>MTH-CT-CON-L2</v>
      </c>
      <c r="C205" s="19" t="str">
        <f aca="false">'Lot Register'!B35</f>
        <v>Method lineage</v>
      </c>
      <c r="D205" s="19" t="str">
        <f aca="false">'Lot Register'!D35</f>
        <v>MS-CT</v>
      </c>
      <c r="E205" s="19" t="str">
        <f aca="false">'Lot Register'!G35</f>
        <v>ST-CT-CON</v>
      </c>
      <c r="F205" s="9" t="s">
        <v>584</v>
      </c>
      <c r="G205" s="9" t="s">
        <v>585</v>
      </c>
      <c r="H205" s="9" t="s">
        <v>586</v>
      </c>
      <c r="I205" s="9" t="s">
        <v>565</v>
      </c>
      <c r="J205" s="11" t="s">
        <v>238</v>
      </c>
      <c r="K205" s="47" t="n">
        <f aca="false">Controls!B26</f>
        <v>0</v>
      </c>
      <c r="L205" s="47" t="str">
        <f aca="false">IF(K205=1,"PASS","OPEN")</f>
        <v>OPEN</v>
      </c>
    </row>
    <row r="206" customFormat="false" ht="15" hidden="false" customHeight="false" outlineLevel="0" collapsed="false">
      <c r="A206" s="19" t="str">
        <f aca="false">"DEC-"&amp;B206&amp;"-G4"</f>
        <v>DEC-MTH-CT-CON-L2-G4</v>
      </c>
      <c r="B206" s="19" t="str">
        <f aca="false">'Lot Register'!A35</f>
        <v>MTH-CT-CON-L2</v>
      </c>
      <c r="C206" s="19" t="str">
        <f aca="false">'Lot Register'!B35</f>
        <v>Method lineage</v>
      </c>
      <c r="D206" s="19" t="str">
        <f aca="false">'Lot Register'!D35</f>
        <v>MS-CT</v>
      </c>
      <c r="E206" s="19" t="str">
        <f aca="false">'Lot Register'!G35</f>
        <v>ST-CT-CON</v>
      </c>
      <c r="F206" s="9" t="s">
        <v>587</v>
      </c>
      <c r="G206" s="9" t="s">
        <v>588</v>
      </c>
      <c r="H206" s="9" t="s">
        <v>589</v>
      </c>
      <c r="I206" s="9" t="s">
        <v>562</v>
      </c>
      <c r="J206" s="11" t="s">
        <v>238</v>
      </c>
      <c r="K206" s="47" t="n">
        <f aca="false">Controls!B26</f>
        <v>0</v>
      </c>
      <c r="L206" s="47" t="str">
        <f aca="false">IF(K206=1,"PASS","OPEN")</f>
        <v>OPEN</v>
      </c>
    </row>
    <row r="207" customFormat="false" ht="15" hidden="false" customHeight="false" outlineLevel="0" collapsed="false">
      <c r="A207" s="19" t="str">
        <f aca="false">"DEC-"&amp;B207&amp;"-G5"</f>
        <v>DEC-MTH-CT-CON-L2-G5</v>
      </c>
      <c r="B207" s="19" t="str">
        <f aca="false">'Lot Register'!A35</f>
        <v>MTH-CT-CON-L2</v>
      </c>
      <c r="C207" s="19" t="str">
        <f aca="false">'Lot Register'!B35</f>
        <v>Method lineage</v>
      </c>
      <c r="D207" s="19" t="str">
        <f aca="false">'Lot Register'!D35</f>
        <v>MS-CT</v>
      </c>
      <c r="E207" s="19" t="str">
        <f aca="false">'Lot Register'!G35</f>
        <v>ST-CT-CON</v>
      </c>
      <c r="F207" s="9" t="s">
        <v>590</v>
      </c>
      <c r="G207" s="9" t="s">
        <v>591</v>
      </c>
      <c r="H207" s="9" t="s">
        <v>592</v>
      </c>
      <c r="I207" s="9" t="s">
        <v>565</v>
      </c>
      <c r="J207" s="11" t="s">
        <v>238</v>
      </c>
      <c r="K207" s="47" t="n">
        <f aca="false">Controls!B26</f>
        <v>0</v>
      </c>
      <c r="L207" s="47" t="str">
        <f aca="false">IF(K207=1,"PASS","OPEN")</f>
        <v>OPEN</v>
      </c>
    </row>
    <row r="208" customFormat="false" ht="15" hidden="false" customHeight="false" outlineLevel="0" collapsed="false">
      <c r="A208" s="19" t="str">
        <f aca="false">"DEC-"&amp;B208&amp;"-G6"</f>
        <v>DEC-MTH-CT-CON-L2-G6</v>
      </c>
      <c r="B208" s="19" t="str">
        <f aca="false">'Lot Register'!A35</f>
        <v>MTH-CT-CON-L2</v>
      </c>
      <c r="C208" s="19" t="str">
        <f aca="false">'Lot Register'!B35</f>
        <v>Method lineage</v>
      </c>
      <c r="D208" s="19" t="str">
        <f aca="false">'Lot Register'!D35</f>
        <v>MS-CT</v>
      </c>
      <c r="E208" s="19" t="str">
        <f aca="false">'Lot Register'!G35</f>
        <v>ST-CT-CON</v>
      </c>
      <c r="F208" s="9" t="s">
        <v>593</v>
      </c>
      <c r="G208" s="9" t="s">
        <v>594</v>
      </c>
      <c r="H208" s="9" t="s">
        <v>595</v>
      </c>
      <c r="I208" s="9" t="s">
        <v>570</v>
      </c>
      <c r="J208" s="11" t="s">
        <v>238</v>
      </c>
      <c r="K208" s="47" t="n">
        <f aca="false">Controls!B26</f>
        <v>0</v>
      </c>
      <c r="L208" s="47" t="str">
        <f aca="false">IF(K208=1,"PASS","OPEN")</f>
        <v>OPEN</v>
      </c>
    </row>
    <row r="209" customFormat="false" ht="15" hidden="false" customHeight="false" outlineLevel="0" collapsed="false">
      <c r="A209" s="19" t="str">
        <f aca="false">"DEC-"&amp;B209&amp;"-G7"</f>
        <v>DEC-MTH-CT-CON-L2-G7</v>
      </c>
      <c r="B209" s="19" t="str">
        <f aca="false">'Lot Register'!A35</f>
        <v>MTH-CT-CON-L2</v>
      </c>
      <c r="C209" s="19" t="str">
        <f aca="false">'Lot Register'!B35</f>
        <v>Method lineage</v>
      </c>
      <c r="D209" s="19" t="str">
        <f aca="false">'Lot Register'!D35</f>
        <v>MS-CT</v>
      </c>
      <c r="E209" s="19" t="str">
        <f aca="false">'Lot Register'!G35</f>
        <v>ST-CT-CON</v>
      </c>
      <c r="F209" s="9" t="s">
        <v>596</v>
      </c>
      <c r="G209" s="9" t="s">
        <v>597</v>
      </c>
      <c r="H209" s="9" t="s">
        <v>598</v>
      </c>
      <c r="I209" s="9" t="s">
        <v>570</v>
      </c>
      <c r="J209" s="11" t="s">
        <v>238</v>
      </c>
      <c r="K209" s="47" t="n">
        <f aca="false">Controls!B26</f>
        <v>0</v>
      </c>
      <c r="L209" s="47" t="str">
        <f aca="false">IF(K209=1,"PASS","OPEN")</f>
        <v>OPEN</v>
      </c>
    </row>
    <row r="210" customFormat="false" ht="15" hidden="false" customHeight="false" outlineLevel="0" collapsed="false">
      <c r="A210" s="19" t="str">
        <f aca="false">"DEC-"&amp;B210&amp;"-G1"</f>
        <v>DEC-REG-CT-CON-G1</v>
      </c>
      <c r="B210" s="19" t="str">
        <f aca="false">'Lot Register'!A36</f>
        <v>REG-CT-CON</v>
      </c>
      <c r="C210" s="19" t="str">
        <f aca="false">'Lot Register'!B36</f>
        <v>Regeneration tool</v>
      </c>
      <c r="D210" s="19" t="str">
        <f aca="false">'Lot Register'!D36</f>
        <v>MS-CT</v>
      </c>
      <c r="E210" s="19" t="str">
        <f aca="false">'Lot Register'!G36</f>
        <v>ST-CT-CON</v>
      </c>
      <c r="F210" s="9" t="s">
        <v>578</v>
      </c>
      <c r="G210" s="9" t="s">
        <v>579</v>
      </c>
      <c r="H210" s="9" t="s">
        <v>580</v>
      </c>
      <c r="I210" s="9" t="s">
        <v>562</v>
      </c>
      <c r="J210" s="11" t="s">
        <v>238</v>
      </c>
      <c r="K210" s="47" t="n">
        <f aca="false">Controls!B26</f>
        <v>0</v>
      </c>
      <c r="L210" s="47" t="str">
        <f aca="false">IF(K210=1,"PASS","OPEN")</f>
        <v>OPEN</v>
      </c>
    </row>
    <row r="211" customFormat="false" ht="15" hidden="false" customHeight="false" outlineLevel="0" collapsed="false">
      <c r="A211" s="19" t="str">
        <f aca="false">"DEC-"&amp;B211&amp;"-G2"</f>
        <v>DEC-REG-CT-CON-G2</v>
      </c>
      <c r="B211" s="19" t="str">
        <f aca="false">'Lot Register'!A36</f>
        <v>REG-CT-CON</v>
      </c>
      <c r="C211" s="19" t="str">
        <f aca="false">'Lot Register'!B36</f>
        <v>Regeneration tool</v>
      </c>
      <c r="D211" s="19" t="str">
        <f aca="false">'Lot Register'!D36</f>
        <v>MS-CT</v>
      </c>
      <c r="E211" s="19" t="str">
        <f aca="false">'Lot Register'!G36</f>
        <v>ST-CT-CON</v>
      </c>
      <c r="F211" s="9" t="s">
        <v>581</v>
      </c>
      <c r="G211" s="9" t="s">
        <v>582</v>
      </c>
      <c r="H211" s="9" t="s">
        <v>583</v>
      </c>
      <c r="I211" s="9" t="s">
        <v>560</v>
      </c>
      <c r="J211" s="11" t="s">
        <v>238</v>
      </c>
      <c r="K211" s="47" t="n">
        <f aca="false">Controls!B26</f>
        <v>0</v>
      </c>
      <c r="L211" s="47" t="str">
        <f aca="false">IF(K211=1,"PASS","OPEN")</f>
        <v>OPEN</v>
      </c>
    </row>
    <row r="212" customFormat="false" ht="15" hidden="false" customHeight="false" outlineLevel="0" collapsed="false">
      <c r="A212" s="19" t="str">
        <f aca="false">"DEC-"&amp;B212&amp;"-G3"</f>
        <v>DEC-REG-CT-CON-G3</v>
      </c>
      <c r="B212" s="19" t="str">
        <f aca="false">'Lot Register'!A36</f>
        <v>REG-CT-CON</v>
      </c>
      <c r="C212" s="19" t="str">
        <f aca="false">'Lot Register'!B36</f>
        <v>Regeneration tool</v>
      </c>
      <c r="D212" s="19" t="str">
        <f aca="false">'Lot Register'!D36</f>
        <v>MS-CT</v>
      </c>
      <c r="E212" s="19" t="str">
        <f aca="false">'Lot Register'!G36</f>
        <v>ST-CT-CON</v>
      </c>
      <c r="F212" s="9" t="s">
        <v>584</v>
      </c>
      <c r="G212" s="9" t="s">
        <v>585</v>
      </c>
      <c r="H212" s="9" t="s">
        <v>586</v>
      </c>
      <c r="I212" s="9" t="s">
        <v>565</v>
      </c>
      <c r="J212" s="11" t="s">
        <v>238</v>
      </c>
      <c r="K212" s="47" t="n">
        <f aca="false">Controls!B26</f>
        <v>0</v>
      </c>
      <c r="L212" s="47" t="str">
        <f aca="false">IF(K212=1,"PASS","OPEN")</f>
        <v>OPEN</v>
      </c>
    </row>
    <row r="213" customFormat="false" ht="15" hidden="false" customHeight="false" outlineLevel="0" collapsed="false">
      <c r="A213" s="19" t="str">
        <f aca="false">"DEC-"&amp;B213&amp;"-G4"</f>
        <v>DEC-REG-CT-CON-G4</v>
      </c>
      <c r="B213" s="19" t="str">
        <f aca="false">'Lot Register'!A36</f>
        <v>REG-CT-CON</v>
      </c>
      <c r="C213" s="19" t="str">
        <f aca="false">'Lot Register'!B36</f>
        <v>Regeneration tool</v>
      </c>
      <c r="D213" s="19" t="str">
        <f aca="false">'Lot Register'!D36</f>
        <v>MS-CT</v>
      </c>
      <c r="E213" s="19" t="str">
        <f aca="false">'Lot Register'!G36</f>
        <v>ST-CT-CON</v>
      </c>
      <c r="F213" s="9" t="s">
        <v>587</v>
      </c>
      <c r="G213" s="9" t="s">
        <v>588</v>
      </c>
      <c r="H213" s="9" t="s">
        <v>589</v>
      </c>
      <c r="I213" s="9" t="s">
        <v>562</v>
      </c>
      <c r="J213" s="11" t="s">
        <v>238</v>
      </c>
      <c r="K213" s="47" t="n">
        <f aca="false">Controls!B26</f>
        <v>0</v>
      </c>
      <c r="L213" s="47" t="str">
        <f aca="false">IF(K213=1,"PASS","OPEN")</f>
        <v>OPEN</v>
      </c>
    </row>
    <row r="214" customFormat="false" ht="15" hidden="false" customHeight="false" outlineLevel="0" collapsed="false">
      <c r="A214" s="19" t="str">
        <f aca="false">"DEC-"&amp;B214&amp;"-G5"</f>
        <v>DEC-REG-CT-CON-G5</v>
      </c>
      <c r="B214" s="19" t="str">
        <f aca="false">'Lot Register'!A36</f>
        <v>REG-CT-CON</v>
      </c>
      <c r="C214" s="19" t="str">
        <f aca="false">'Lot Register'!B36</f>
        <v>Regeneration tool</v>
      </c>
      <c r="D214" s="19" t="str">
        <f aca="false">'Lot Register'!D36</f>
        <v>MS-CT</v>
      </c>
      <c r="E214" s="19" t="str">
        <f aca="false">'Lot Register'!G36</f>
        <v>ST-CT-CON</v>
      </c>
      <c r="F214" s="9" t="s">
        <v>590</v>
      </c>
      <c r="G214" s="9" t="s">
        <v>591</v>
      </c>
      <c r="H214" s="9" t="s">
        <v>592</v>
      </c>
      <c r="I214" s="9" t="s">
        <v>565</v>
      </c>
      <c r="J214" s="11" t="s">
        <v>238</v>
      </c>
      <c r="K214" s="47" t="n">
        <f aca="false">Controls!B26</f>
        <v>0</v>
      </c>
      <c r="L214" s="47" t="str">
        <f aca="false">IF(K214=1,"PASS","OPEN")</f>
        <v>OPEN</v>
      </c>
    </row>
    <row r="215" customFormat="false" ht="15" hidden="false" customHeight="false" outlineLevel="0" collapsed="false">
      <c r="A215" s="19" t="str">
        <f aca="false">"DEC-"&amp;B215&amp;"-G6"</f>
        <v>DEC-REG-CT-CON-G6</v>
      </c>
      <c r="B215" s="19" t="str">
        <f aca="false">'Lot Register'!A36</f>
        <v>REG-CT-CON</v>
      </c>
      <c r="C215" s="19" t="str">
        <f aca="false">'Lot Register'!B36</f>
        <v>Regeneration tool</v>
      </c>
      <c r="D215" s="19" t="str">
        <f aca="false">'Lot Register'!D36</f>
        <v>MS-CT</v>
      </c>
      <c r="E215" s="19" t="str">
        <f aca="false">'Lot Register'!G36</f>
        <v>ST-CT-CON</v>
      </c>
      <c r="F215" s="9" t="s">
        <v>593</v>
      </c>
      <c r="G215" s="9" t="s">
        <v>594</v>
      </c>
      <c r="H215" s="9" t="s">
        <v>595</v>
      </c>
      <c r="I215" s="9" t="s">
        <v>570</v>
      </c>
      <c r="J215" s="11" t="s">
        <v>238</v>
      </c>
      <c r="K215" s="47" t="n">
        <f aca="false">Controls!B26</f>
        <v>0</v>
      </c>
      <c r="L215" s="47" t="str">
        <f aca="false">IF(K215=1,"PASS","OPEN")</f>
        <v>OPEN</v>
      </c>
    </row>
    <row r="216" customFormat="false" ht="15" hidden="false" customHeight="false" outlineLevel="0" collapsed="false">
      <c r="A216" s="19" t="str">
        <f aca="false">"DEC-"&amp;B216&amp;"-G7"</f>
        <v>DEC-REG-CT-CON-G7</v>
      </c>
      <c r="B216" s="19" t="str">
        <f aca="false">'Lot Register'!A36</f>
        <v>REG-CT-CON</v>
      </c>
      <c r="C216" s="19" t="str">
        <f aca="false">'Lot Register'!B36</f>
        <v>Regeneration tool</v>
      </c>
      <c r="D216" s="19" t="str">
        <f aca="false">'Lot Register'!D36</f>
        <v>MS-CT</v>
      </c>
      <c r="E216" s="19" t="str">
        <f aca="false">'Lot Register'!G36</f>
        <v>ST-CT-CON</v>
      </c>
      <c r="F216" s="9" t="s">
        <v>596</v>
      </c>
      <c r="G216" s="9" t="s">
        <v>597</v>
      </c>
      <c r="H216" s="9" t="s">
        <v>598</v>
      </c>
      <c r="I216" s="9" t="s">
        <v>570</v>
      </c>
      <c r="J216" s="11" t="s">
        <v>238</v>
      </c>
      <c r="K216" s="47" t="n">
        <f aca="false">Controls!B26</f>
        <v>0</v>
      </c>
      <c r="L216" s="47" t="str">
        <f aca="false">IF(K216=1,"PASS","OPEN")</f>
        <v>OPEN</v>
      </c>
    </row>
    <row r="217" customFormat="false" ht="15" hidden="false" customHeight="false" outlineLevel="0" collapsed="false">
      <c r="A217" s="19" t="str">
        <f aca="false">"DEC-"&amp;B217&amp;"-G1"</f>
        <v>DEC-INT-CT-CON-G1</v>
      </c>
      <c r="B217" s="19" t="str">
        <f aca="false">'Lot Register'!A37</f>
        <v>INT-CT-CON</v>
      </c>
      <c r="C217" s="19" t="str">
        <f aca="false">'Lot Register'!B37</f>
        <v>Station integration</v>
      </c>
      <c r="D217" s="19" t="str">
        <f aca="false">'Lot Register'!D37</f>
        <v>MS-CT</v>
      </c>
      <c r="E217" s="19" t="str">
        <f aca="false">'Lot Register'!G37</f>
        <v>ST-CT-CON</v>
      </c>
      <c r="F217" s="9" t="s">
        <v>578</v>
      </c>
      <c r="G217" s="9" t="s">
        <v>579</v>
      </c>
      <c r="H217" s="9" t="s">
        <v>580</v>
      </c>
      <c r="I217" s="9" t="s">
        <v>562</v>
      </c>
      <c r="J217" s="11" t="s">
        <v>238</v>
      </c>
      <c r="K217" s="47" t="n">
        <f aca="false">Controls!B26</f>
        <v>0</v>
      </c>
      <c r="L217" s="47" t="str">
        <f aca="false">IF(K217=1,"PASS","OPEN")</f>
        <v>OPEN</v>
      </c>
    </row>
    <row r="218" customFormat="false" ht="15" hidden="false" customHeight="false" outlineLevel="0" collapsed="false">
      <c r="A218" s="19" t="str">
        <f aca="false">"DEC-"&amp;B218&amp;"-G2"</f>
        <v>DEC-INT-CT-CON-G2</v>
      </c>
      <c r="B218" s="19" t="str">
        <f aca="false">'Lot Register'!A37</f>
        <v>INT-CT-CON</v>
      </c>
      <c r="C218" s="19" t="str">
        <f aca="false">'Lot Register'!B37</f>
        <v>Station integration</v>
      </c>
      <c r="D218" s="19" t="str">
        <f aca="false">'Lot Register'!D37</f>
        <v>MS-CT</v>
      </c>
      <c r="E218" s="19" t="str">
        <f aca="false">'Lot Register'!G37</f>
        <v>ST-CT-CON</v>
      </c>
      <c r="F218" s="9" t="s">
        <v>581</v>
      </c>
      <c r="G218" s="9" t="s">
        <v>582</v>
      </c>
      <c r="H218" s="9" t="s">
        <v>583</v>
      </c>
      <c r="I218" s="9" t="s">
        <v>560</v>
      </c>
      <c r="J218" s="11" t="s">
        <v>238</v>
      </c>
      <c r="K218" s="47" t="n">
        <f aca="false">Controls!B26</f>
        <v>0</v>
      </c>
      <c r="L218" s="47" t="str">
        <f aca="false">IF(K218=1,"PASS","OPEN")</f>
        <v>OPEN</v>
      </c>
    </row>
    <row r="219" customFormat="false" ht="15" hidden="false" customHeight="false" outlineLevel="0" collapsed="false">
      <c r="A219" s="19" t="str">
        <f aca="false">"DEC-"&amp;B219&amp;"-G3"</f>
        <v>DEC-INT-CT-CON-G3</v>
      </c>
      <c r="B219" s="19" t="str">
        <f aca="false">'Lot Register'!A37</f>
        <v>INT-CT-CON</v>
      </c>
      <c r="C219" s="19" t="str">
        <f aca="false">'Lot Register'!B37</f>
        <v>Station integration</v>
      </c>
      <c r="D219" s="19" t="str">
        <f aca="false">'Lot Register'!D37</f>
        <v>MS-CT</v>
      </c>
      <c r="E219" s="19" t="str">
        <f aca="false">'Lot Register'!G37</f>
        <v>ST-CT-CON</v>
      </c>
      <c r="F219" s="9" t="s">
        <v>584</v>
      </c>
      <c r="G219" s="9" t="s">
        <v>585</v>
      </c>
      <c r="H219" s="9" t="s">
        <v>586</v>
      </c>
      <c r="I219" s="9" t="s">
        <v>565</v>
      </c>
      <c r="J219" s="11" t="s">
        <v>238</v>
      </c>
      <c r="K219" s="47" t="n">
        <f aca="false">Controls!B26</f>
        <v>0</v>
      </c>
      <c r="L219" s="47" t="str">
        <f aca="false">IF(K219=1,"PASS","OPEN")</f>
        <v>OPEN</v>
      </c>
    </row>
    <row r="220" customFormat="false" ht="15" hidden="false" customHeight="false" outlineLevel="0" collapsed="false">
      <c r="A220" s="19" t="str">
        <f aca="false">"DEC-"&amp;B220&amp;"-G4"</f>
        <v>DEC-INT-CT-CON-G4</v>
      </c>
      <c r="B220" s="19" t="str">
        <f aca="false">'Lot Register'!A37</f>
        <v>INT-CT-CON</v>
      </c>
      <c r="C220" s="19" t="str">
        <f aca="false">'Lot Register'!B37</f>
        <v>Station integration</v>
      </c>
      <c r="D220" s="19" t="str">
        <f aca="false">'Lot Register'!D37</f>
        <v>MS-CT</v>
      </c>
      <c r="E220" s="19" t="str">
        <f aca="false">'Lot Register'!G37</f>
        <v>ST-CT-CON</v>
      </c>
      <c r="F220" s="9" t="s">
        <v>587</v>
      </c>
      <c r="G220" s="9" t="s">
        <v>588</v>
      </c>
      <c r="H220" s="9" t="s">
        <v>589</v>
      </c>
      <c r="I220" s="9" t="s">
        <v>562</v>
      </c>
      <c r="J220" s="11" t="s">
        <v>238</v>
      </c>
      <c r="K220" s="47" t="n">
        <f aca="false">Controls!B26</f>
        <v>0</v>
      </c>
      <c r="L220" s="47" t="str">
        <f aca="false">IF(K220=1,"PASS","OPEN")</f>
        <v>OPEN</v>
      </c>
    </row>
    <row r="221" customFormat="false" ht="15" hidden="false" customHeight="false" outlineLevel="0" collapsed="false">
      <c r="A221" s="19" t="str">
        <f aca="false">"DEC-"&amp;B221&amp;"-G5"</f>
        <v>DEC-INT-CT-CON-G5</v>
      </c>
      <c r="B221" s="19" t="str">
        <f aca="false">'Lot Register'!A37</f>
        <v>INT-CT-CON</v>
      </c>
      <c r="C221" s="19" t="str">
        <f aca="false">'Lot Register'!B37</f>
        <v>Station integration</v>
      </c>
      <c r="D221" s="19" t="str">
        <f aca="false">'Lot Register'!D37</f>
        <v>MS-CT</v>
      </c>
      <c r="E221" s="19" t="str">
        <f aca="false">'Lot Register'!G37</f>
        <v>ST-CT-CON</v>
      </c>
      <c r="F221" s="9" t="s">
        <v>590</v>
      </c>
      <c r="G221" s="9" t="s">
        <v>591</v>
      </c>
      <c r="H221" s="9" t="s">
        <v>592</v>
      </c>
      <c r="I221" s="9" t="s">
        <v>565</v>
      </c>
      <c r="J221" s="11" t="s">
        <v>238</v>
      </c>
      <c r="K221" s="47" t="n">
        <f aca="false">Controls!B26</f>
        <v>0</v>
      </c>
      <c r="L221" s="47" t="str">
        <f aca="false">IF(K221=1,"PASS","OPEN")</f>
        <v>OPEN</v>
      </c>
    </row>
    <row r="222" customFormat="false" ht="15" hidden="false" customHeight="false" outlineLevel="0" collapsed="false">
      <c r="A222" s="19" t="str">
        <f aca="false">"DEC-"&amp;B222&amp;"-G6"</f>
        <v>DEC-INT-CT-CON-G6</v>
      </c>
      <c r="B222" s="19" t="str">
        <f aca="false">'Lot Register'!A37</f>
        <v>INT-CT-CON</v>
      </c>
      <c r="C222" s="19" t="str">
        <f aca="false">'Lot Register'!B37</f>
        <v>Station integration</v>
      </c>
      <c r="D222" s="19" t="str">
        <f aca="false">'Lot Register'!D37</f>
        <v>MS-CT</v>
      </c>
      <c r="E222" s="19" t="str">
        <f aca="false">'Lot Register'!G37</f>
        <v>ST-CT-CON</v>
      </c>
      <c r="F222" s="9" t="s">
        <v>593</v>
      </c>
      <c r="G222" s="9" t="s">
        <v>594</v>
      </c>
      <c r="H222" s="9" t="s">
        <v>595</v>
      </c>
      <c r="I222" s="9" t="s">
        <v>570</v>
      </c>
      <c r="J222" s="11" t="s">
        <v>238</v>
      </c>
      <c r="K222" s="47" t="n">
        <f aca="false">Controls!B26</f>
        <v>0</v>
      </c>
      <c r="L222" s="47" t="str">
        <f aca="false">IF(K222=1,"PASS","OPEN")</f>
        <v>OPEN</v>
      </c>
    </row>
    <row r="223" customFormat="false" ht="15" hidden="false" customHeight="false" outlineLevel="0" collapsed="false">
      <c r="A223" s="19" t="str">
        <f aca="false">"DEC-"&amp;B223&amp;"-G7"</f>
        <v>DEC-INT-CT-CON-G7</v>
      </c>
      <c r="B223" s="19" t="str">
        <f aca="false">'Lot Register'!A37</f>
        <v>INT-CT-CON</v>
      </c>
      <c r="C223" s="19" t="str">
        <f aca="false">'Lot Register'!B37</f>
        <v>Station integration</v>
      </c>
      <c r="D223" s="19" t="str">
        <f aca="false">'Lot Register'!D37</f>
        <v>MS-CT</v>
      </c>
      <c r="E223" s="19" t="str">
        <f aca="false">'Lot Register'!G37</f>
        <v>ST-CT-CON</v>
      </c>
      <c r="F223" s="9" t="s">
        <v>596</v>
      </c>
      <c r="G223" s="9" t="s">
        <v>597</v>
      </c>
      <c r="H223" s="9" t="s">
        <v>598</v>
      </c>
      <c r="I223" s="9" t="s">
        <v>570</v>
      </c>
      <c r="J223" s="11" t="s">
        <v>238</v>
      </c>
      <c r="K223" s="47" t="n">
        <f aca="false">Controls!B26</f>
        <v>0</v>
      </c>
      <c r="L223" s="47" t="str">
        <f aca="false">IF(K223=1,"PASS","OPEN")</f>
        <v>OPEN</v>
      </c>
    </row>
    <row r="224" customFormat="false" ht="15" hidden="false" customHeight="false" outlineLevel="0" collapsed="false">
      <c r="A224" s="19" t="str">
        <f aca="false">"DEC-"&amp;B224&amp;"-G1"</f>
        <v>DEC-RIG-CT-REC-G1</v>
      </c>
      <c r="B224" s="19" t="str">
        <f aca="false">'Lot Register'!A38</f>
        <v>RIG-CT-REC</v>
      </c>
      <c r="C224" s="19" t="str">
        <f aca="false">'Lot Register'!B38</f>
        <v>Root-native rig</v>
      </c>
      <c r="D224" s="19" t="str">
        <f aca="false">'Lot Register'!D38</f>
        <v>MS-CT</v>
      </c>
      <c r="E224" s="19" t="str">
        <f aca="false">'Lot Register'!G38</f>
        <v>ST-CT-REC</v>
      </c>
      <c r="F224" s="9" t="s">
        <v>578</v>
      </c>
      <c r="G224" s="9" t="s">
        <v>579</v>
      </c>
      <c r="H224" s="9" t="s">
        <v>580</v>
      </c>
      <c r="I224" s="9" t="s">
        <v>562</v>
      </c>
      <c r="J224" s="11" t="s">
        <v>238</v>
      </c>
      <c r="K224" s="47" t="n">
        <f aca="false">Controls!B26</f>
        <v>0</v>
      </c>
      <c r="L224" s="47" t="str">
        <f aca="false">IF(K224=1,"PASS","OPEN")</f>
        <v>OPEN</v>
      </c>
    </row>
    <row r="225" customFormat="false" ht="15" hidden="false" customHeight="false" outlineLevel="0" collapsed="false">
      <c r="A225" s="19" t="str">
        <f aca="false">"DEC-"&amp;B225&amp;"-G2"</f>
        <v>DEC-RIG-CT-REC-G2</v>
      </c>
      <c r="B225" s="19" t="str">
        <f aca="false">'Lot Register'!A38</f>
        <v>RIG-CT-REC</v>
      </c>
      <c r="C225" s="19" t="str">
        <f aca="false">'Lot Register'!B38</f>
        <v>Root-native rig</v>
      </c>
      <c r="D225" s="19" t="str">
        <f aca="false">'Lot Register'!D38</f>
        <v>MS-CT</v>
      </c>
      <c r="E225" s="19" t="str">
        <f aca="false">'Lot Register'!G38</f>
        <v>ST-CT-REC</v>
      </c>
      <c r="F225" s="9" t="s">
        <v>581</v>
      </c>
      <c r="G225" s="9" t="s">
        <v>582</v>
      </c>
      <c r="H225" s="9" t="s">
        <v>583</v>
      </c>
      <c r="I225" s="9" t="s">
        <v>560</v>
      </c>
      <c r="J225" s="11" t="s">
        <v>238</v>
      </c>
      <c r="K225" s="47" t="n">
        <f aca="false">Controls!B26</f>
        <v>0</v>
      </c>
      <c r="L225" s="47" t="str">
        <f aca="false">IF(K225=1,"PASS","OPEN")</f>
        <v>OPEN</v>
      </c>
    </row>
    <row r="226" customFormat="false" ht="15" hidden="false" customHeight="false" outlineLevel="0" collapsed="false">
      <c r="A226" s="19" t="str">
        <f aca="false">"DEC-"&amp;B226&amp;"-G3"</f>
        <v>DEC-RIG-CT-REC-G3</v>
      </c>
      <c r="B226" s="19" t="str">
        <f aca="false">'Lot Register'!A38</f>
        <v>RIG-CT-REC</v>
      </c>
      <c r="C226" s="19" t="str">
        <f aca="false">'Lot Register'!B38</f>
        <v>Root-native rig</v>
      </c>
      <c r="D226" s="19" t="str">
        <f aca="false">'Lot Register'!D38</f>
        <v>MS-CT</v>
      </c>
      <c r="E226" s="19" t="str">
        <f aca="false">'Lot Register'!G38</f>
        <v>ST-CT-REC</v>
      </c>
      <c r="F226" s="9" t="s">
        <v>584</v>
      </c>
      <c r="G226" s="9" t="s">
        <v>585</v>
      </c>
      <c r="H226" s="9" t="s">
        <v>586</v>
      </c>
      <c r="I226" s="9" t="s">
        <v>565</v>
      </c>
      <c r="J226" s="11" t="s">
        <v>238</v>
      </c>
      <c r="K226" s="47" t="n">
        <f aca="false">Controls!B26</f>
        <v>0</v>
      </c>
      <c r="L226" s="47" t="str">
        <f aca="false">IF(K226=1,"PASS","OPEN")</f>
        <v>OPEN</v>
      </c>
    </row>
    <row r="227" customFormat="false" ht="15" hidden="false" customHeight="false" outlineLevel="0" collapsed="false">
      <c r="A227" s="19" t="str">
        <f aca="false">"DEC-"&amp;B227&amp;"-G4"</f>
        <v>DEC-RIG-CT-REC-G4</v>
      </c>
      <c r="B227" s="19" t="str">
        <f aca="false">'Lot Register'!A38</f>
        <v>RIG-CT-REC</v>
      </c>
      <c r="C227" s="19" t="str">
        <f aca="false">'Lot Register'!B38</f>
        <v>Root-native rig</v>
      </c>
      <c r="D227" s="19" t="str">
        <f aca="false">'Lot Register'!D38</f>
        <v>MS-CT</v>
      </c>
      <c r="E227" s="19" t="str">
        <f aca="false">'Lot Register'!G38</f>
        <v>ST-CT-REC</v>
      </c>
      <c r="F227" s="9" t="s">
        <v>587</v>
      </c>
      <c r="G227" s="9" t="s">
        <v>588</v>
      </c>
      <c r="H227" s="9" t="s">
        <v>589</v>
      </c>
      <c r="I227" s="9" t="s">
        <v>562</v>
      </c>
      <c r="J227" s="11" t="s">
        <v>238</v>
      </c>
      <c r="K227" s="47" t="n">
        <f aca="false">Controls!B26</f>
        <v>0</v>
      </c>
      <c r="L227" s="47" t="str">
        <f aca="false">IF(K227=1,"PASS","OPEN")</f>
        <v>OPEN</v>
      </c>
    </row>
    <row r="228" customFormat="false" ht="15" hidden="false" customHeight="false" outlineLevel="0" collapsed="false">
      <c r="A228" s="19" t="str">
        <f aca="false">"DEC-"&amp;B228&amp;"-G5"</f>
        <v>DEC-RIG-CT-REC-G5</v>
      </c>
      <c r="B228" s="19" t="str">
        <f aca="false">'Lot Register'!A38</f>
        <v>RIG-CT-REC</v>
      </c>
      <c r="C228" s="19" t="str">
        <f aca="false">'Lot Register'!B38</f>
        <v>Root-native rig</v>
      </c>
      <c r="D228" s="19" t="str">
        <f aca="false">'Lot Register'!D38</f>
        <v>MS-CT</v>
      </c>
      <c r="E228" s="19" t="str">
        <f aca="false">'Lot Register'!G38</f>
        <v>ST-CT-REC</v>
      </c>
      <c r="F228" s="9" t="s">
        <v>590</v>
      </c>
      <c r="G228" s="9" t="s">
        <v>591</v>
      </c>
      <c r="H228" s="9" t="s">
        <v>592</v>
      </c>
      <c r="I228" s="9" t="s">
        <v>565</v>
      </c>
      <c r="J228" s="11" t="s">
        <v>238</v>
      </c>
      <c r="K228" s="47" t="n">
        <f aca="false">Controls!B26</f>
        <v>0</v>
      </c>
      <c r="L228" s="47" t="str">
        <f aca="false">IF(K228=1,"PASS","OPEN")</f>
        <v>OPEN</v>
      </c>
    </row>
    <row r="229" customFormat="false" ht="15" hidden="false" customHeight="false" outlineLevel="0" collapsed="false">
      <c r="A229" s="19" t="str">
        <f aca="false">"DEC-"&amp;B229&amp;"-G6"</f>
        <v>DEC-RIG-CT-REC-G6</v>
      </c>
      <c r="B229" s="19" t="str">
        <f aca="false">'Lot Register'!A38</f>
        <v>RIG-CT-REC</v>
      </c>
      <c r="C229" s="19" t="str">
        <f aca="false">'Lot Register'!B38</f>
        <v>Root-native rig</v>
      </c>
      <c r="D229" s="19" t="str">
        <f aca="false">'Lot Register'!D38</f>
        <v>MS-CT</v>
      </c>
      <c r="E229" s="19" t="str">
        <f aca="false">'Lot Register'!G38</f>
        <v>ST-CT-REC</v>
      </c>
      <c r="F229" s="9" t="s">
        <v>593</v>
      </c>
      <c r="G229" s="9" t="s">
        <v>594</v>
      </c>
      <c r="H229" s="9" t="s">
        <v>595</v>
      </c>
      <c r="I229" s="9" t="s">
        <v>570</v>
      </c>
      <c r="J229" s="11" t="s">
        <v>238</v>
      </c>
      <c r="K229" s="47" t="n">
        <f aca="false">Controls!B26</f>
        <v>0</v>
      </c>
      <c r="L229" s="47" t="str">
        <f aca="false">IF(K229=1,"PASS","OPEN")</f>
        <v>OPEN</v>
      </c>
    </row>
    <row r="230" customFormat="false" ht="15" hidden="false" customHeight="false" outlineLevel="0" collapsed="false">
      <c r="A230" s="19" t="str">
        <f aca="false">"DEC-"&amp;B230&amp;"-G7"</f>
        <v>DEC-RIG-CT-REC-G7</v>
      </c>
      <c r="B230" s="19" t="str">
        <f aca="false">'Lot Register'!A38</f>
        <v>RIG-CT-REC</v>
      </c>
      <c r="C230" s="19" t="str">
        <f aca="false">'Lot Register'!B38</f>
        <v>Root-native rig</v>
      </c>
      <c r="D230" s="19" t="str">
        <f aca="false">'Lot Register'!D38</f>
        <v>MS-CT</v>
      </c>
      <c r="E230" s="19" t="str">
        <f aca="false">'Lot Register'!G38</f>
        <v>ST-CT-REC</v>
      </c>
      <c r="F230" s="9" t="s">
        <v>596</v>
      </c>
      <c r="G230" s="9" t="s">
        <v>597</v>
      </c>
      <c r="H230" s="9" t="s">
        <v>598</v>
      </c>
      <c r="I230" s="9" t="s">
        <v>570</v>
      </c>
      <c r="J230" s="11" t="s">
        <v>238</v>
      </c>
      <c r="K230" s="47" t="n">
        <f aca="false">Controls!B26</f>
        <v>0</v>
      </c>
      <c r="L230" s="47" t="str">
        <f aca="false">IF(K230=1,"PASS","OPEN")</f>
        <v>OPEN</v>
      </c>
    </row>
    <row r="231" customFormat="false" ht="15" hidden="false" customHeight="false" outlineLevel="0" collapsed="false">
      <c r="A231" s="19" t="str">
        <f aca="false">"DEC-"&amp;B231&amp;"-G1"</f>
        <v>DEC-MTH-CT-REC-L1-G1</v>
      </c>
      <c r="B231" s="19" t="str">
        <f aca="false">'Lot Register'!A39</f>
        <v>MTH-CT-REC-L1</v>
      </c>
      <c r="C231" s="19" t="str">
        <f aca="false">'Lot Register'!B39</f>
        <v>Method lineage</v>
      </c>
      <c r="D231" s="19" t="str">
        <f aca="false">'Lot Register'!D39</f>
        <v>MS-CT</v>
      </c>
      <c r="E231" s="19" t="str">
        <f aca="false">'Lot Register'!G39</f>
        <v>ST-CT-REC</v>
      </c>
      <c r="F231" s="9" t="s">
        <v>578</v>
      </c>
      <c r="G231" s="9" t="s">
        <v>579</v>
      </c>
      <c r="H231" s="9" t="s">
        <v>580</v>
      </c>
      <c r="I231" s="9" t="s">
        <v>562</v>
      </c>
      <c r="J231" s="11" t="s">
        <v>238</v>
      </c>
      <c r="K231" s="47" t="n">
        <f aca="false">Controls!B26</f>
        <v>0</v>
      </c>
      <c r="L231" s="47" t="str">
        <f aca="false">IF(K231=1,"PASS","OPEN")</f>
        <v>OPEN</v>
      </c>
    </row>
    <row r="232" customFormat="false" ht="15" hidden="false" customHeight="false" outlineLevel="0" collapsed="false">
      <c r="A232" s="19" t="str">
        <f aca="false">"DEC-"&amp;B232&amp;"-G2"</f>
        <v>DEC-MTH-CT-REC-L1-G2</v>
      </c>
      <c r="B232" s="19" t="str">
        <f aca="false">'Lot Register'!A39</f>
        <v>MTH-CT-REC-L1</v>
      </c>
      <c r="C232" s="19" t="str">
        <f aca="false">'Lot Register'!B39</f>
        <v>Method lineage</v>
      </c>
      <c r="D232" s="19" t="str">
        <f aca="false">'Lot Register'!D39</f>
        <v>MS-CT</v>
      </c>
      <c r="E232" s="19" t="str">
        <f aca="false">'Lot Register'!G39</f>
        <v>ST-CT-REC</v>
      </c>
      <c r="F232" s="9" t="s">
        <v>581</v>
      </c>
      <c r="G232" s="9" t="s">
        <v>582</v>
      </c>
      <c r="H232" s="9" t="s">
        <v>583</v>
      </c>
      <c r="I232" s="9" t="s">
        <v>560</v>
      </c>
      <c r="J232" s="11" t="s">
        <v>238</v>
      </c>
      <c r="K232" s="47" t="n">
        <f aca="false">Controls!B26</f>
        <v>0</v>
      </c>
      <c r="L232" s="47" t="str">
        <f aca="false">IF(K232=1,"PASS","OPEN")</f>
        <v>OPEN</v>
      </c>
    </row>
    <row r="233" customFormat="false" ht="15" hidden="false" customHeight="false" outlineLevel="0" collapsed="false">
      <c r="A233" s="19" t="str">
        <f aca="false">"DEC-"&amp;B233&amp;"-G3"</f>
        <v>DEC-MTH-CT-REC-L1-G3</v>
      </c>
      <c r="B233" s="19" t="str">
        <f aca="false">'Lot Register'!A39</f>
        <v>MTH-CT-REC-L1</v>
      </c>
      <c r="C233" s="19" t="str">
        <f aca="false">'Lot Register'!B39</f>
        <v>Method lineage</v>
      </c>
      <c r="D233" s="19" t="str">
        <f aca="false">'Lot Register'!D39</f>
        <v>MS-CT</v>
      </c>
      <c r="E233" s="19" t="str">
        <f aca="false">'Lot Register'!G39</f>
        <v>ST-CT-REC</v>
      </c>
      <c r="F233" s="9" t="s">
        <v>584</v>
      </c>
      <c r="G233" s="9" t="s">
        <v>585</v>
      </c>
      <c r="H233" s="9" t="s">
        <v>586</v>
      </c>
      <c r="I233" s="9" t="s">
        <v>565</v>
      </c>
      <c r="J233" s="11" t="s">
        <v>238</v>
      </c>
      <c r="K233" s="47" t="n">
        <f aca="false">Controls!B26</f>
        <v>0</v>
      </c>
      <c r="L233" s="47" t="str">
        <f aca="false">IF(K233=1,"PASS","OPEN")</f>
        <v>OPEN</v>
      </c>
    </row>
    <row r="234" customFormat="false" ht="15" hidden="false" customHeight="false" outlineLevel="0" collapsed="false">
      <c r="A234" s="19" t="str">
        <f aca="false">"DEC-"&amp;B234&amp;"-G4"</f>
        <v>DEC-MTH-CT-REC-L1-G4</v>
      </c>
      <c r="B234" s="19" t="str">
        <f aca="false">'Lot Register'!A39</f>
        <v>MTH-CT-REC-L1</v>
      </c>
      <c r="C234" s="19" t="str">
        <f aca="false">'Lot Register'!B39</f>
        <v>Method lineage</v>
      </c>
      <c r="D234" s="19" t="str">
        <f aca="false">'Lot Register'!D39</f>
        <v>MS-CT</v>
      </c>
      <c r="E234" s="19" t="str">
        <f aca="false">'Lot Register'!G39</f>
        <v>ST-CT-REC</v>
      </c>
      <c r="F234" s="9" t="s">
        <v>587</v>
      </c>
      <c r="G234" s="9" t="s">
        <v>588</v>
      </c>
      <c r="H234" s="9" t="s">
        <v>589</v>
      </c>
      <c r="I234" s="9" t="s">
        <v>562</v>
      </c>
      <c r="J234" s="11" t="s">
        <v>238</v>
      </c>
      <c r="K234" s="47" t="n">
        <f aca="false">Controls!B26</f>
        <v>0</v>
      </c>
      <c r="L234" s="47" t="str">
        <f aca="false">IF(K234=1,"PASS","OPEN")</f>
        <v>OPEN</v>
      </c>
    </row>
    <row r="235" customFormat="false" ht="15" hidden="false" customHeight="false" outlineLevel="0" collapsed="false">
      <c r="A235" s="19" t="str">
        <f aca="false">"DEC-"&amp;B235&amp;"-G5"</f>
        <v>DEC-MTH-CT-REC-L1-G5</v>
      </c>
      <c r="B235" s="19" t="str">
        <f aca="false">'Lot Register'!A39</f>
        <v>MTH-CT-REC-L1</v>
      </c>
      <c r="C235" s="19" t="str">
        <f aca="false">'Lot Register'!B39</f>
        <v>Method lineage</v>
      </c>
      <c r="D235" s="19" t="str">
        <f aca="false">'Lot Register'!D39</f>
        <v>MS-CT</v>
      </c>
      <c r="E235" s="19" t="str">
        <f aca="false">'Lot Register'!G39</f>
        <v>ST-CT-REC</v>
      </c>
      <c r="F235" s="9" t="s">
        <v>590</v>
      </c>
      <c r="G235" s="9" t="s">
        <v>591</v>
      </c>
      <c r="H235" s="9" t="s">
        <v>592</v>
      </c>
      <c r="I235" s="9" t="s">
        <v>565</v>
      </c>
      <c r="J235" s="11" t="s">
        <v>238</v>
      </c>
      <c r="K235" s="47" t="n">
        <f aca="false">Controls!B26</f>
        <v>0</v>
      </c>
      <c r="L235" s="47" t="str">
        <f aca="false">IF(K235=1,"PASS","OPEN")</f>
        <v>OPEN</v>
      </c>
    </row>
    <row r="236" customFormat="false" ht="15" hidden="false" customHeight="false" outlineLevel="0" collapsed="false">
      <c r="A236" s="19" t="str">
        <f aca="false">"DEC-"&amp;B236&amp;"-G6"</f>
        <v>DEC-MTH-CT-REC-L1-G6</v>
      </c>
      <c r="B236" s="19" t="str">
        <f aca="false">'Lot Register'!A39</f>
        <v>MTH-CT-REC-L1</v>
      </c>
      <c r="C236" s="19" t="str">
        <f aca="false">'Lot Register'!B39</f>
        <v>Method lineage</v>
      </c>
      <c r="D236" s="19" t="str">
        <f aca="false">'Lot Register'!D39</f>
        <v>MS-CT</v>
      </c>
      <c r="E236" s="19" t="str">
        <f aca="false">'Lot Register'!G39</f>
        <v>ST-CT-REC</v>
      </c>
      <c r="F236" s="9" t="s">
        <v>593</v>
      </c>
      <c r="G236" s="9" t="s">
        <v>594</v>
      </c>
      <c r="H236" s="9" t="s">
        <v>595</v>
      </c>
      <c r="I236" s="9" t="s">
        <v>570</v>
      </c>
      <c r="J236" s="11" t="s">
        <v>238</v>
      </c>
      <c r="K236" s="47" t="n">
        <f aca="false">Controls!B26</f>
        <v>0</v>
      </c>
      <c r="L236" s="47" t="str">
        <f aca="false">IF(K236=1,"PASS","OPEN")</f>
        <v>OPEN</v>
      </c>
    </row>
    <row r="237" customFormat="false" ht="15" hidden="false" customHeight="false" outlineLevel="0" collapsed="false">
      <c r="A237" s="19" t="str">
        <f aca="false">"DEC-"&amp;B237&amp;"-G7"</f>
        <v>DEC-MTH-CT-REC-L1-G7</v>
      </c>
      <c r="B237" s="19" t="str">
        <f aca="false">'Lot Register'!A39</f>
        <v>MTH-CT-REC-L1</v>
      </c>
      <c r="C237" s="19" t="str">
        <f aca="false">'Lot Register'!B39</f>
        <v>Method lineage</v>
      </c>
      <c r="D237" s="19" t="str">
        <f aca="false">'Lot Register'!D39</f>
        <v>MS-CT</v>
      </c>
      <c r="E237" s="19" t="str">
        <f aca="false">'Lot Register'!G39</f>
        <v>ST-CT-REC</v>
      </c>
      <c r="F237" s="9" t="s">
        <v>596</v>
      </c>
      <c r="G237" s="9" t="s">
        <v>597</v>
      </c>
      <c r="H237" s="9" t="s">
        <v>598</v>
      </c>
      <c r="I237" s="9" t="s">
        <v>570</v>
      </c>
      <c r="J237" s="11" t="s">
        <v>238</v>
      </c>
      <c r="K237" s="47" t="n">
        <f aca="false">Controls!B26</f>
        <v>0</v>
      </c>
      <c r="L237" s="47" t="str">
        <f aca="false">IF(K237=1,"PASS","OPEN")</f>
        <v>OPEN</v>
      </c>
    </row>
    <row r="238" customFormat="false" ht="15" hidden="false" customHeight="false" outlineLevel="0" collapsed="false">
      <c r="A238" s="19" t="str">
        <f aca="false">"DEC-"&amp;B238&amp;"-G1"</f>
        <v>DEC-MTH-CT-REC-L2-G1</v>
      </c>
      <c r="B238" s="19" t="str">
        <f aca="false">'Lot Register'!A40</f>
        <v>MTH-CT-REC-L2</v>
      </c>
      <c r="C238" s="19" t="str">
        <f aca="false">'Lot Register'!B40</f>
        <v>Method lineage</v>
      </c>
      <c r="D238" s="19" t="str">
        <f aca="false">'Lot Register'!D40</f>
        <v>MS-CT</v>
      </c>
      <c r="E238" s="19" t="str">
        <f aca="false">'Lot Register'!G40</f>
        <v>ST-CT-REC</v>
      </c>
      <c r="F238" s="9" t="s">
        <v>578</v>
      </c>
      <c r="G238" s="9" t="s">
        <v>579</v>
      </c>
      <c r="H238" s="9" t="s">
        <v>580</v>
      </c>
      <c r="I238" s="9" t="s">
        <v>562</v>
      </c>
      <c r="J238" s="11" t="s">
        <v>238</v>
      </c>
      <c r="K238" s="47" t="n">
        <f aca="false">Controls!B26</f>
        <v>0</v>
      </c>
      <c r="L238" s="47" t="str">
        <f aca="false">IF(K238=1,"PASS","OPEN")</f>
        <v>OPEN</v>
      </c>
    </row>
    <row r="239" customFormat="false" ht="15" hidden="false" customHeight="false" outlineLevel="0" collapsed="false">
      <c r="A239" s="19" t="str">
        <f aca="false">"DEC-"&amp;B239&amp;"-G2"</f>
        <v>DEC-MTH-CT-REC-L2-G2</v>
      </c>
      <c r="B239" s="19" t="str">
        <f aca="false">'Lot Register'!A40</f>
        <v>MTH-CT-REC-L2</v>
      </c>
      <c r="C239" s="19" t="str">
        <f aca="false">'Lot Register'!B40</f>
        <v>Method lineage</v>
      </c>
      <c r="D239" s="19" t="str">
        <f aca="false">'Lot Register'!D40</f>
        <v>MS-CT</v>
      </c>
      <c r="E239" s="19" t="str">
        <f aca="false">'Lot Register'!G40</f>
        <v>ST-CT-REC</v>
      </c>
      <c r="F239" s="9" t="s">
        <v>581</v>
      </c>
      <c r="G239" s="9" t="s">
        <v>582</v>
      </c>
      <c r="H239" s="9" t="s">
        <v>583</v>
      </c>
      <c r="I239" s="9" t="s">
        <v>560</v>
      </c>
      <c r="J239" s="11" t="s">
        <v>238</v>
      </c>
      <c r="K239" s="47" t="n">
        <f aca="false">Controls!B26</f>
        <v>0</v>
      </c>
      <c r="L239" s="47" t="str">
        <f aca="false">IF(K239=1,"PASS","OPEN")</f>
        <v>OPEN</v>
      </c>
    </row>
    <row r="240" customFormat="false" ht="15" hidden="false" customHeight="false" outlineLevel="0" collapsed="false">
      <c r="A240" s="19" t="str">
        <f aca="false">"DEC-"&amp;B240&amp;"-G3"</f>
        <v>DEC-MTH-CT-REC-L2-G3</v>
      </c>
      <c r="B240" s="19" t="str">
        <f aca="false">'Lot Register'!A40</f>
        <v>MTH-CT-REC-L2</v>
      </c>
      <c r="C240" s="19" t="str">
        <f aca="false">'Lot Register'!B40</f>
        <v>Method lineage</v>
      </c>
      <c r="D240" s="19" t="str">
        <f aca="false">'Lot Register'!D40</f>
        <v>MS-CT</v>
      </c>
      <c r="E240" s="19" t="str">
        <f aca="false">'Lot Register'!G40</f>
        <v>ST-CT-REC</v>
      </c>
      <c r="F240" s="9" t="s">
        <v>584</v>
      </c>
      <c r="G240" s="9" t="s">
        <v>585</v>
      </c>
      <c r="H240" s="9" t="s">
        <v>586</v>
      </c>
      <c r="I240" s="9" t="s">
        <v>565</v>
      </c>
      <c r="J240" s="11" t="s">
        <v>238</v>
      </c>
      <c r="K240" s="47" t="n">
        <f aca="false">Controls!B26</f>
        <v>0</v>
      </c>
      <c r="L240" s="47" t="str">
        <f aca="false">IF(K240=1,"PASS","OPEN")</f>
        <v>OPEN</v>
      </c>
    </row>
    <row r="241" customFormat="false" ht="15" hidden="false" customHeight="false" outlineLevel="0" collapsed="false">
      <c r="A241" s="19" t="str">
        <f aca="false">"DEC-"&amp;B241&amp;"-G4"</f>
        <v>DEC-MTH-CT-REC-L2-G4</v>
      </c>
      <c r="B241" s="19" t="str">
        <f aca="false">'Lot Register'!A40</f>
        <v>MTH-CT-REC-L2</v>
      </c>
      <c r="C241" s="19" t="str">
        <f aca="false">'Lot Register'!B40</f>
        <v>Method lineage</v>
      </c>
      <c r="D241" s="19" t="str">
        <f aca="false">'Lot Register'!D40</f>
        <v>MS-CT</v>
      </c>
      <c r="E241" s="19" t="str">
        <f aca="false">'Lot Register'!G40</f>
        <v>ST-CT-REC</v>
      </c>
      <c r="F241" s="9" t="s">
        <v>587</v>
      </c>
      <c r="G241" s="9" t="s">
        <v>588</v>
      </c>
      <c r="H241" s="9" t="s">
        <v>589</v>
      </c>
      <c r="I241" s="9" t="s">
        <v>562</v>
      </c>
      <c r="J241" s="11" t="s">
        <v>238</v>
      </c>
      <c r="K241" s="47" t="n">
        <f aca="false">Controls!B26</f>
        <v>0</v>
      </c>
      <c r="L241" s="47" t="str">
        <f aca="false">IF(K241=1,"PASS","OPEN")</f>
        <v>OPEN</v>
      </c>
    </row>
    <row r="242" customFormat="false" ht="15" hidden="false" customHeight="false" outlineLevel="0" collapsed="false">
      <c r="A242" s="19" t="str">
        <f aca="false">"DEC-"&amp;B242&amp;"-G5"</f>
        <v>DEC-MTH-CT-REC-L2-G5</v>
      </c>
      <c r="B242" s="19" t="str">
        <f aca="false">'Lot Register'!A40</f>
        <v>MTH-CT-REC-L2</v>
      </c>
      <c r="C242" s="19" t="str">
        <f aca="false">'Lot Register'!B40</f>
        <v>Method lineage</v>
      </c>
      <c r="D242" s="19" t="str">
        <f aca="false">'Lot Register'!D40</f>
        <v>MS-CT</v>
      </c>
      <c r="E242" s="19" t="str">
        <f aca="false">'Lot Register'!G40</f>
        <v>ST-CT-REC</v>
      </c>
      <c r="F242" s="9" t="s">
        <v>590</v>
      </c>
      <c r="G242" s="9" t="s">
        <v>591</v>
      </c>
      <c r="H242" s="9" t="s">
        <v>592</v>
      </c>
      <c r="I242" s="9" t="s">
        <v>565</v>
      </c>
      <c r="J242" s="11" t="s">
        <v>238</v>
      </c>
      <c r="K242" s="47" t="n">
        <f aca="false">Controls!B26</f>
        <v>0</v>
      </c>
      <c r="L242" s="47" t="str">
        <f aca="false">IF(K242=1,"PASS","OPEN")</f>
        <v>OPEN</v>
      </c>
    </row>
    <row r="243" customFormat="false" ht="15" hidden="false" customHeight="false" outlineLevel="0" collapsed="false">
      <c r="A243" s="19" t="str">
        <f aca="false">"DEC-"&amp;B243&amp;"-G6"</f>
        <v>DEC-MTH-CT-REC-L2-G6</v>
      </c>
      <c r="B243" s="19" t="str">
        <f aca="false">'Lot Register'!A40</f>
        <v>MTH-CT-REC-L2</v>
      </c>
      <c r="C243" s="19" t="str">
        <f aca="false">'Lot Register'!B40</f>
        <v>Method lineage</v>
      </c>
      <c r="D243" s="19" t="str">
        <f aca="false">'Lot Register'!D40</f>
        <v>MS-CT</v>
      </c>
      <c r="E243" s="19" t="str">
        <f aca="false">'Lot Register'!G40</f>
        <v>ST-CT-REC</v>
      </c>
      <c r="F243" s="9" t="s">
        <v>593</v>
      </c>
      <c r="G243" s="9" t="s">
        <v>594</v>
      </c>
      <c r="H243" s="9" t="s">
        <v>595</v>
      </c>
      <c r="I243" s="9" t="s">
        <v>570</v>
      </c>
      <c r="J243" s="11" t="s">
        <v>238</v>
      </c>
      <c r="K243" s="47" t="n">
        <f aca="false">Controls!B26</f>
        <v>0</v>
      </c>
      <c r="L243" s="47" t="str">
        <f aca="false">IF(K243=1,"PASS","OPEN")</f>
        <v>OPEN</v>
      </c>
    </row>
    <row r="244" customFormat="false" ht="15" hidden="false" customHeight="false" outlineLevel="0" collapsed="false">
      <c r="A244" s="19" t="str">
        <f aca="false">"DEC-"&amp;B244&amp;"-G7"</f>
        <v>DEC-MTH-CT-REC-L2-G7</v>
      </c>
      <c r="B244" s="19" t="str">
        <f aca="false">'Lot Register'!A40</f>
        <v>MTH-CT-REC-L2</v>
      </c>
      <c r="C244" s="19" t="str">
        <f aca="false">'Lot Register'!B40</f>
        <v>Method lineage</v>
      </c>
      <c r="D244" s="19" t="str">
        <f aca="false">'Lot Register'!D40</f>
        <v>MS-CT</v>
      </c>
      <c r="E244" s="19" t="str">
        <f aca="false">'Lot Register'!G40</f>
        <v>ST-CT-REC</v>
      </c>
      <c r="F244" s="9" t="s">
        <v>596</v>
      </c>
      <c r="G244" s="9" t="s">
        <v>597</v>
      </c>
      <c r="H244" s="9" t="s">
        <v>598</v>
      </c>
      <c r="I244" s="9" t="s">
        <v>570</v>
      </c>
      <c r="J244" s="11" t="s">
        <v>238</v>
      </c>
      <c r="K244" s="47" t="n">
        <f aca="false">Controls!B26</f>
        <v>0</v>
      </c>
      <c r="L244" s="47" t="str">
        <f aca="false">IF(K244=1,"PASS","OPEN")</f>
        <v>OPEN</v>
      </c>
    </row>
    <row r="245" customFormat="false" ht="15" hidden="false" customHeight="false" outlineLevel="0" collapsed="false">
      <c r="A245" s="19" t="str">
        <f aca="false">"DEC-"&amp;B245&amp;"-G1"</f>
        <v>DEC-REG-CT-REC-G1</v>
      </c>
      <c r="B245" s="19" t="str">
        <f aca="false">'Lot Register'!A41</f>
        <v>REG-CT-REC</v>
      </c>
      <c r="C245" s="19" t="str">
        <f aca="false">'Lot Register'!B41</f>
        <v>Regeneration tool</v>
      </c>
      <c r="D245" s="19" t="str">
        <f aca="false">'Lot Register'!D41</f>
        <v>MS-CT</v>
      </c>
      <c r="E245" s="19" t="str">
        <f aca="false">'Lot Register'!G41</f>
        <v>ST-CT-REC</v>
      </c>
      <c r="F245" s="9" t="s">
        <v>578</v>
      </c>
      <c r="G245" s="9" t="s">
        <v>579</v>
      </c>
      <c r="H245" s="9" t="s">
        <v>580</v>
      </c>
      <c r="I245" s="9" t="s">
        <v>562</v>
      </c>
      <c r="J245" s="11" t="s">
        <v>238</v>
      </c>
      <c r="K245" s="47" t="n">
        <f aca="false">Controls!B26</f>
        <v>0</v>
      </c>
      <c r="L245" s="47" t="str">
        <f aca="false">IF(K245=1,"PASS","OPEN")</f>
        <v>OPEN</v>
      </c>
    </row>
    <row r="246" customFormat="false" ht="15" hidden="false" customHeight="false" outlineLevel="0" collapsed="false">
      <c r="A246" s="19" t="str">
        <f aca="false">"DEC-"&amp;B246&amp;"-G2"</f>
        <v>DEC-REG-CT-REC-G2</v>
      </c>
      <c r="B246" s="19" t="str">
        <f aca="false">'Lot Register'!A41</f>
        <v>REG-CT-REC</v>
      </c>
      <c r="C246" s="19" t="str">
        <f aca="false">'Lot Register'!B41</f>
        <v>Regeneration tool</v>
      </c>
      <c r="D246" s="19" t="str">
        <f aca="false">'Lot Register'!D41</f>
        <v>MS-CT</v>
      </c>
      <c r="E246" s="19" t="str">
        <f aca="false">'Lot Register'!G41</f>
        <v>ST-CT-REC</v>
      </c>
      <c r="F246" s="9" t="s">
        <v>581</v>
      </c>
      <c r="G246" s="9" t="s">
        <v>582</v>
      </c>
      <c r="H246" s="9" t="s">
        <v>583</v>
      </c>
      <c r="I246" s="9" t="s">
        <v>560</v>
      </c>
      <c r="J246" s="11" t="s">
        <v>238</v>
      </c>
      <c r="K246" s="47" t="n">
        <f aca="false">Controls!B26</f>
        <v>0</v>
      </c>
      <c r="L246" s="47" t="str">
        <f aca="false">IF(K246=1,"PASS","OPEN")</f>
        <v>OPEN</v>
      </c>
    </row>
    <row r="247" customFormat="false" ht="15" hidden="false" customHeight="false" outlineLevel="0" collapsed="false">
      <c r="A247" s="19" t="str">
        <f aca="false">"DEC-"&amp;B247&amp;"-G3"</f>
        <v>DEC-REG-CT-REC-G3</v>
      </c>
      <c r="B247" s="19" t="str">
        <f aca="false">'Lot Register'!A41</f>
        <v>REG-CT-REC</v>
      </c>
      <c r="C247" s="19" t="str">
        <f aca="false">'Lot Register'!B41</f>
        <v>Regeneration tool</v>
      </c>
      <c r="D247" s="19" t="str">
        <f aca="false">'Lot Register'!D41</f>
        <v>MS-CT</v>
      </c>
      <c r="E247" s="19" t="str">
        <f aca="false">'Lot Register'!G41</f>
        <v>ST-CT-REC</v>
      </c>
      <c r="F247" s="9" t="s">
        <v>584</v>
      </c>
      <c r="G247" s="9" t="s">
        <v>585</v>
      </c>
      <c r="H247" s="9" t="s">
        <v>586</v>
      </c>
      <c r="I247" s="9" t="s">
        <v>565</v>
      </c>
      <c r="J247" s="11" t="s">
        <v>238</v>
      </c>
      <c r="K247" s="47" t="n">
        <f aca="false">Controls!B26</f>
        <v>0</v>
      </c>
      <c r="L247" s="47" t="str">
        <f aca="false">IF(K247=1,"PASS","OPEN")</f>
        <v>OPEN</v>
      </c>
    </row>
    <row r="248" customFormat="false" ht="15" hidden="false" customHeight="false" outlineLevel="0" collapsed="false">
      <c r="A248" s="19" t="str">
        <f aca="false">"DEC-"&amp;B248&amp;"-G4"</f>
        <v>DEC-REG-CT-REC-G4</v>
      </c>
      <c r="B248" s="19" t="str">
        <f aca="false">'Lot Register'!A41</f>
        <v>REG-CT-REC</v>
      </c>
      <c r="C248" s="19" t="str">
        <f aca="false">'Lot Register'!B41</f>
        <v>Regeneration tool</v>
      </c>
      <c r="D248" s="19" t="str">
        <f aca="false">'Lot Register'!D41</f>
        <v>MS-CT</v>
      </c>
      <c r="E248" s="19" t="str">
        <f aca="false">'Lot Register'!G41</f>
        <v>ST-CT-REC</v>
      </c>
      <c r="F248" s="9" t="s">
        <v>587</v>
      </c>
      <c r="G248" s="9" t="s">
        <v>588</v>
      </c>
      <c r="H248" s="9" t="s">
        <v>589</v>
      </c>
      <c r="I248" s="9" t="s">
        <v>562</v>
      </c>
      <c r="J248" s="11" t="s">
        <v>238</v>
      </c>
      <c r="K248" s="47" t="n">
        <f aca="false">Controls!B26</f>
        <v>0</v>
      </c>
      <c r="L248" s="47" t="str">
        <f aca="false">IF(K248=1,"PASS","OPEN")</f>
        <v>OPEN</v>
      </c>
    </row>
    <row r="249" customFormat="false" ht="15" hidden="false" customHeight="false" outlineLevel="0" collapsed="false">
      <c r="A249" s="19" t="str">
        <f aca="false">"DEC-"&amp;B249&amp;"-G5"</f>
        <v>DEC-REG-CT-REC-G5</v>
      </c>
      <c r="B249" s="19" t="str">
        <f aca="false">'Lot Register'!A41</f>
        <v>REG-CT-REC</v>
      </c>
      <c r="C249" s="19" t="str">
        <f aca="false">'Lot Register'!B41</f>
        <v>Regeneration tool</v>
      </c>
      <c r="D249" s="19" t="str">
        <f aca="false">'Lot Register'!D41</f>
        <v>MS-CT</v>
      </c>
      <c r="E249" s="19" t="str">
        <f aca="false">'Lot Register'!G41</f>
        <v>ST-CT-REC</v>
      </c>
      <c r="F249" s="9" t="s">
        <v>590</v>
      </c>
      <c r="G249" s="9" t="s">
        <v>591</v>
      </c>
      <c r="H249" s="9" t="s">
        <v>592</v>
      </c>
      <c r="I249" s="9" t="s">
        <v>565</v>
      </c>
      <c r="J249" s="11" t="s">
        <v>238</v>
      </c>
      <c r="K249" s="47" t="n">
        <f aca="false">Controls!B26</f>
        <v>0</v>
      </c>
      <c r="L249" s="47" t="str">
        <f aca="false">IF(K249=1,"PASS","OPEN")</f>
        <v>OPEN</v>
      </c>
    </row>
    <row r="250" customFormat="false" ht="15" hidden="false" customHeight="false" outlineLevel="0" collapsed="false">
      <c r="A250" s="19" t="str">
        <f aca="false">"DEC-"&amp;B250&amp;"-G6"</f>
        <v>DEC-REG-CT-REC-G6</v>
      </c>
      <c r="B250" s="19" t="str">
        <f aca="false">'Lot Register'!A41</f>
        <v>REG-CT-REC</v>
      </c>
      <c r="C250" s="19" t="str">
        <f aca="false">'Lot Register'!B41</f>
        <v>Regeneration tool</v>
      </c>
      <c r="D250" s="19" t="str">
        <f aca="false">'Lot Register'!D41</f>
        <v>MS-CT</v>
      </c>
      <c r="E250" s="19" t="str">
        <f aca="false">'Lot Register'!G41</f>
        <v>ST-CT-REC</v>
      </c>
      <c r="F250" s="9" t="s">
        <v>593</v>
      </c>
      <c r="G250" s="9" t="s">
        <v>594</v>
      </c>
      <c r="H250" s="9" t="s">
        <v>595</v>
      </c>
      <c r="I250" s="9" t="s">
        <v>570</v>
      </c>
      <c r="J250" s="11" t="s">
        <v>238</v>
      </c>
      <c r="K250" s="47" t="n">
        <f aca="false">Controls!B26</f>
        <v>0</v>
      </c>
      <c r="L250" s="47" t="str">
        <f aca="false">IF(K250=1,"PASS","OPEN")</f>
        <v>OPEN</v>
      </c>
    </row>
    <row r="251" customFormat="false" ht="15" hidden="false" customHeight="false" outlineLevel="0" collapsed="false">
      <c r="A251" s="19" t="str">
        <f aca="false">"DEC-"&amp;B251&amp;"-G7"</f>
        <v>DEC-REG-CT-REC-G7</v>
      </c>
      <c r="B251" s="19" t="str">
        <f aca="false">'Lot Register'!A41</f>
        <v>REG-CT-REC</v>
      </c>
      <c r="C251" s="19" t="str">
        <f aca="false">'Lot Register'!B41</f>
        <v>Regeneration tool</v>
      </c>
      <c r="D251" s="19" t="str">
        <f aca="false">'Lot Register'!D41</f>
        <v>MS-CT</v>
      </c>
      <c r="E251" s="19" t="str">
        <f aca="false">'Lot Register'!G41</f>
        <v>ST-CT-REC</v>
      </c>
      <c r="F251" s="9" t="s">
        <v>596</v>
      </c>
      <c r="G251" s="9" t="s">
        <v>597</v>
      </c>
      <c r="H251" s="9" t="s">
        <v>598</v>
      </c>
      <c r="I251" s="9" t="s">
        <v>570</v>
      </c>
      <c r="J251" s="11" t="s">
        <v>238</v>
      </c>
      <c r="K251" s="47" t="n">
        <f aca="false">Controls!B26</f>
        <v>0</v>
      </c>
      <c r="L251" s="47" t="str">
        <f aca="false">IF(K251=1,"PASS","OPEN")</f>
        <v>OPEN</v>
      </c>
    </row>
    <row r="252" customFormat="false" ht="15" hidden="false" customHeight="false" outlineLevel="0" collapsed="false">
      <c r="A252" s="19" t="str">
        <f aca="false">"DEC-"&amp;B252&amp;"-G1"</f>
        <v>DEC-INT-CT-REC-G1</v>
      </c>
      <c r="B252" s="19" t="str">
        <f aca="false">'Lot Register'!A42</f>
        <v>INT-CT-REC</v>
      </c>
      <c r="C252" s="19" t="str">
        <f aca="false">'Lot Register'!B42</f>
        <v>Station integration</v>
      </c>
      <c r="D252" s="19" t="str">
        <f aca="false">'Lot Register'!D42</f>
        <v>MS-CT</v>
      </c>
      <c r="E252" s="19" t="str">
        <f aca="false">'Lot Register'!G42</f>
        <v>ST-CT-REC</v>
      </c>
      <c r="F252" s="9" t="s">
        <v>578</v>
      </c>
      <c r="G252" s="9" t="s">
        <v>579</v>
      </c>
      <c r="H252" s="9" t="s">
        <v>580</v>
      </c>
      <c r="I252" s="9" t="s">
        <v>562</v>
      </c>
      <c r="J252" s="11" t="s">
        <v>238</v>
      </c>
      <c r="K252" s="47" t="n">
        <f aca="false">Controls!B26</f>
        <v>0</v>
      </c>
      <c r="L252" s="47" t="str">
        <f aca="false">IF(K252=1,"PASS","OPEN")</f>
        <v>OPEN</v>
      </c>
    </row>
    <row r="253" customFormat="false" ht="15" hidden="false" customHeight="false" outlineLevel="0" collapsed="false">
      <c r="A253" s="19" t="str">
        <f aca="false">"DEC-"&amp;B253&amp;"-G2"</f>
        <v>DEC-INT-CT-REC-G2</v>
      </c>
      <c r="B253" s="19" t="str">
        <f aca="false">'Lot Register'!A42</f>
        <v>INT-CT-REC</v>
      </c>
      <c r="C253" s="19" t="str">
        <f aca="false">'Lot Register'!B42</f>
        <v>Station integration</v>
      </c>
      <c r="D253" s="19" t="str">
        <f aca="false">'Lot Register'!D42</f>
        <v>MS-CT</v>
      </c>
      <c r="E253" s="19" t="str">
        <f aca="false">'Lot Register'!G42</f>
        <v>ST-CT-REC</v>
      </c>
      <c r="F253" s="9" t="s">
        <v>581</v>
      </c>
      <c r="G253" s="9" t="s">
        <v>582</v>
      </c>
      <c r="H253" s="9" t="s">
        <v>583</v>
      </c>
      <c r="I253" s="9" t="s">
        <v>560</v>
      </c>
      <c r="J253" s="11" t="s">
        <v>238</v>
      </c>
      <c r="K253" s="47" t="n">
        <f aca="false">Controls!B26</f>
        <v>0</v>
      </c>
      <c r="L253" s="47" t="str">
        <f aca="false">IF(K253=1,"PASS","OPEN")</f>
        <v>OPEN</v>
      </c>
    </row>
    <row r="254" customFormat="false" ht="15" hidden="false" customHeight="false" outlineLevel="0" collapsed="false">
      <c r="A254" s="19" t="str">
        <f aca="false">"DEC-"&amp;B254&amp;"-G3"</f>
        <v>DEC-INT-CT-REC-G3</v>
      </c>
      <c r="B254" s="19" t="str">
        <f aca="false">'Lot Register'!A42</f>
        <v>INT-CT-REC</v>
      </c>
      <c r="C254" s="19" t="str">
        <f aca="false">'Lot Register'!B42</f>
        <v>Station integration</v>
      </c>
      <c r="D254" s="19" t="str">
        <f aca="false">'Lot Register'!D42</f>
        <v>MS-CT</v>
      </c>
      <c r="E254" s="19" t="str">
        <f aca="false">'Lot Register'!G42</f>
        <v>ST-CT-REC</v>
      </c>
      <c r="F254" s="9" t="s">
        <v>584</v>
      </c>
      <c r="G254" s="9" t="s">
        <v>585</v>
      </c>
      <c r="H254" s="9" t="s">
        <v>586</v>
      </c>
      <c r="I254" s="9" t="s">
        <v>565</v>
      </c>
      <c r="J254" s="11" t="s">
        <v>238</v>
      </c>
      <c r="K254" s="47" t="n">
        <f aca="false">Controls!B26</f>
        <v>0</v>
      </c>
      <c r="L254" s="47" t="str">
        <f aca="false">IF(K254=1,"PASS","OPEN")</f>
        <v>OPEN</v>
      </c>
    </row>
    <row r="255" customFormat="false" ht="15" hidden="false" customHeight="false" outlineLevel="0" collapsed="false">
      <c r="A255" s="19" t="str">
        <f aca="false">"DEC-"&amp;B255&amp;"-G4"</f>
        <v>DEC-INT-CT-REC-G4</v>
      </c>
      <c r="B255" s="19" t="str">
        <f aca="false">'Lot Register'!A42</f>
        <v>INT-CT-REC</v>
      </c>
      <c r="C255" s="19" t="str">
        <f aca="false">'Lot Register'!B42</f>
        <v>Station integration</v>
      </c>
      <c r="D255" s="19" t="str">
        <f aca="false">'Lot Register'!D42</f>
        <v>MS-CT</v>
      </c>
      <c r="E255" s="19" t="str">
        <f aca="false">'Lot Register'!G42</f>
        <v>ST-CT-REC</v>
      </c>
      <c r="F255" s="9" t="s">
        <v>587</v>
      </c>
      <c r="G255" s="9" t="s">
        <v>588</v>
      </c>
      <c r="H255" s="9" t="s">
        <v>589</v>
      </c>
      <c r="I255" s="9" t="s">
        <v>562</v>
      </c>
      <c r="J255" s="11" t="s">
        <v>238</v>
      </c>
      <c r="K255" s="47" t="n">
        <f aca="false">Controls!B26</f>
        <v>0</v>
      </c>
      <c r="L255" s="47" t="str">
        <f aca="false">IF(K255=1,"PASS","OPEN")</f>
        <v>OPEN</v>
      </c>
    </row>
    <row r="256" customFormat="false" ht="15" hidden="false" customHeight="false" outlineLevel="0" collapsed="false">
      <c r="A256" s="19" t="str">
        <f aca="false">"DEC-"&amp;B256&amp;"-G5"</f>
        <v>DEC-INT-CT-REC-G5</v>
      </c>
      <c r="B256" s="19" t="str">
        <f aca="false">'Lot Register'!A42</f>
        <v>INT-CT-REC</v>
      </c>
      <c r="C256" s="19" t="str">
        <f aca="false">'Lot Register'!B42</f>
        <v>Station integration</v>
      </c>
      <c r="D256" s="19" t="str">
        <f aca="false">'Lot Register'!D42</f>
        <v>MS-CT</v>
      </c>
      <c r="E256" s="19" t="str">
        <f aca="false">'Lot Register'!G42</f>
        <v>ST-CT-REC</v>
      </c>
      <c r="F256" s="9" t="s">
        <v>590</v>
      </c>
      <c r="G256" s="9" t="s">
        <v>591</v>
      </c>
      <c r="H256" s="9" t="s">
        <v>592</v>
      </c>
      <c r="I256" s="9" t="s">
        <v>565</v>
      </c>
      <c r="J256" s="11" t="s">
        <v>238</v>
      </c>
      <c r="K256" s="47" t="n">
        <f aca="false">Controls!B26</f>
        <v>0</v>
      </c>
      <c r="L256" s="47" t="str">
        <f aca="false">IF(K256=1,"PASS","OPEN")</f>
        <v>OPEN</v>
      </c>
    </row>
    <row r="257" customFormat="false" ht="15" hidden="false" customHeight="false" outlineLevel="0" collapsed="false">
      <c r="A257" s="19" t="str">
        <f aca="false">"DEC-"&amp;B257&amp;"-G6"</f>
        <v>DEC-INT-CT-REC-G6</v>
      </c>
      <c r="B257" s="19" t="str">
        <f aca="false">'Lot Register'!A42</f>
        <v>INT-CT-REC</v>
      </c>
      <c r="C257" s="19" t="str">
        <f aca="false">'Lot Register'!B42</f>
        <v>Station integration</v>
      </c>
      <c r="D257" s="19" t="str">
        <f aca="false">'Lot Register'!D42</f>
        <v>MS-CT</v>
      </c>
      <c r="E257" s="19" t="str">
        <f aca="false">'Lot Register'!G42</f>
        <v>ST-CT-REC</v>
      </c>
      <c r="F257" s="9" t="s">
        <v>593</v>
      </c>
      <c r="G257" s="9" t="s">
        <v>594</v>
      </c>
      <c r="H257" s="9" t="s">
        <v>595</v>
      </c>
      <c r="I257" s="9" t="s">
        <v>570</v>
      </c>
      <c r="J257" s="11" t="s">
        <v>238</v>
      </c>
      <c r="K257" s="47" t="n">
        <f aca="false">Controls!B26</f>
        <v>0</v>
      </c>
      <c r="L257" s="47" t="str">
        <f aca="false">IF(K257=1,"PASS","OPEN")</f>
        <v>OPEN</v>
      </c>
    </row>
    <row r="258" customFormat="false" ht="15" hidden="false" customHeight="false" outlineLevel="0" collapsed="false">
      <c r="A258" s="19" t="str">
        <f aca="false">"DEC-"&amp;B258&amp;"-G7"</f>
        <v>DEC-INT-CT-REC-G7</v>
      </c>
      <c r="B258" s="19" t="str">
        <f aca="false">'Lot Register'!A42</f>
        <v>INT-CT-REC</v>
      </c>
      <c r="C258" s="19" t="str">
        <f aca="false">'Lot Register'!B42</f>
        <v>Station integration</v>
      </c>
      <c r="D258" s="19" t="str">
        <f aca="false">'Lot Register'!D42</f>
        <v>MS-CT</v>
      </c>
      <c r="E258" s="19" t="str">
        <f aca="false">'Lot Register'!G42</f>
        <v>ST-CT-REC</v>
      </c>
      <c r="F258" s="9" t="s">
        <v>596</v>
      </c>
      <c r="G258" s="9" t="s">
        <v>597</v>
      </c>
      <c r="H258" s="9" t="s">
        <v>598</v>
      </c>
      <c r="I258" s="9" t="s">
        <v>570</v>
      </c>
      <c r="J258" s="11" t="s">
        <v>238</v>
      </c>
      <c r="K258" s="47" t="n">
        <f aca="false">Controls!B26</f>
        <v>0</v>
      </c>
      <c r="L258" s="47" t="str">
        <f aca="false">IF(K258=1,"PASS","OPEN")</f>
        <v>OPEN</v>
      </c>
    </row>
    <row r="259" customFormat="false" ht="15" hidden="false" customHeight="false" outlineLevel="0" collapsed="false">
      <c r="A259" s="19" t="str">
        <f aca="false">"DEC-"&amp;B259&amp;"-G1"</f>
        <v>DEC-RIG-HC-CHA-G1</v>
      </c>
      <c r="B259" s="19" t="str">
        <f aca="false">'Lot Register'!A43</f>
        <v>RIG-HC-CHA</v>
      </c>
      <c r="C259" s="19" t="str">
        <f aca="false">'Lot Register'!B43</f>
        <v>Root-native rig</v>
      </c>
      <c r="D259" s="19" t="str">
        <f aca="false">'Lot Register'!D43</f>
        <v>MS-HC</v>
      </c>
      <c r="E259" s="19" t="str">
        <f aca="false">'Lot Register'!G43</f>
        <v>ST-HC-CHA</v>
      </c>
      <c r="F259" s="9" t="s">
        <v>578</v>
      </c>
      <c r="G259" s="9" t="s">
        <v>579</v>
      </c>
      <c r="H259" s="9" t="s">
        <v>580</v>
      </c>
      <c r="I259" s="9" t="s">
        <v>562</v>
      </c>
      <c r="J259" s="11" t="s">
        <v>238</v>
      </c>
      <c r="K259" s="47" t="n">
        <f aca="false">Controls!B26</f>
        <v>0</v>
      </c>
      <c r="L259" s="47" t="str">
        <f aca="false">IF(K259=1,"PASS","OPEN")</f>
        <v>OPEN</v>
      </c>
    </row>
    <row r="260" customFormat="false" ht="15" hidden="false" customHeight="false" outlineLevel="0" collapsed="false">
      <c r="A260" s="19" t="str">
        <f aca="false">"DEC-"&amp;B260&amp;"-G2"</f>
        <v>DEC-RIG-HC-CHA-G2</v>
      </c>
      <c r="B260" s="19" t="str">
        <f aca="false">'Lot Register'!A43</f>
        <v>RIG-HC-CHA</v>
      </c>
      <c r="C260" s="19" t="str">
        <f aca="false">'Lot Register'!B43</f>
        <v>Root-native rig</v>
      </c>
      <c r="D260" s="19" t="str">
        <f aca="false">'Lot Register'!D43</f>
        <v>MS-HC</v>
      </c>
      <c r="E260" s="19" t="str">
        <f aca="false">'Lot Register'!G43</f>
        <v>ST-HC-CHA</v>
      </c>
      <c r="F260" s="9" t="s">
        <v>581</v>
      </c>
      <c r="G260" s="9" t="s">
        <v>582</v>
      </c>
      <c r="H260" s="9" t="s">
        <v>583</v>
      </c>
      <c r="I260" s="9" t="s">
        <v>560</v>
      </c>
      <c r="J260" s="11" t="s">
        <v>238</v>
      </c>
      <c r="K260" s="47" t="n">
        <f aca="false">Controls!B26</f>
        <v>0</v>
      </c>
      <c r="L260" s="47" t="str">
        <f aca="false">IF(K260=1,"PASS","OPEN")</f>
        <v>OPEN</v>
      </c>
    </row>
    <row r="261" customFormat="false" ht="15" hidden="false" customHeight="false" outlineLevel="0" collapsed="false">
      <c r="A261" s="19" t="str">
        <f aca="false">"DEC-"&amp;B261&amp;"-G3"</f>
        <v>DEC-RIG-HC-CHA-G3</v>
      </c>
      <c r="B261" s="19" t="str">
        <f aca="false">'Lot Register'!A43</f>
        <v>RIG-HC-CHA</v>
      </c>
      <c r="C261" s="19" t="str">
        <f aca="false">'Lot Register'!B43</f>
        <v>Root-native rig</v>
      </c>
      <c r="D261" s="19" t="str">
        <f aca="false">'Lot Register'!D43</f>
        <v>MS-HC</v>
      </c>
      <c r="E261" s="19" t="str">
        <f aca="false">'Lot Register'!G43</f>
        <v>ST-HC-CHA</v>
      </c>
      <c r="F261" s="9" t="s">
        <v>584</v>
      </c>
      <c r="G261" s="9" t="s">
        <v>585</v>
      </c>
      <c r="H261" s="9" t="s">
        <v>586</v>
      </c>
      <c r="I261" s="9" t="s">
        <v>565</v>
      </c>
      <c r="J261" s="11" t="s">
        <v>238</v>
      </c>
      <c r="K261" s="47" t="n">
        <f aca="false">Controls!B26</f>
        <v>0</v>
      </c>
      <c r="L261" s="47" t="str">
        <f aca="false">IF(K261=1,"PASS","OPEN")</f>
        <v>OPEN</v>
      </c>
    </row>
    <row r="262" customFormat="false" ht="15" hidden="false" customHeight="false" outlineLevel="0" collapsed="false">
      <c r="A262" s="19" t="str">
        <f aca="false">"DEC-"&amp;B262&amp;"-G4"</f>
        <v>DEC-RIG-HC-CHA-G4</v>
      </c>
      <c r="B262" s="19" t="str">
        <f aca="false">'Lot Register'!A43</f>
        <v>RIG-HC-CHA</v>
      </c>
      <c r="C262" s="19" t="str">
        <f aca="false">'Lot Register'!B43</f>
        <v>Root-native rig</v>
      </c>
      <c r="D262" s="19" t="str">
        <f aca="false">'Lot Register'!D43</f>
        <v>MS-HC</v>
      </c>
      <c r="E262" s="19" t="str">
        <f aca="false">'Lot Register'!G43</f>
        <v>ST-HC-CHA</v>
      </c>
      <c r="F262" s="9" t="s">
        <v>587</v>
      </c>
      <c r="G262" s="9" t="s">
        <v>588</v>
      </c>
      <c r="H262" s="9" t="s">
        <v>589</v>
      </c>
      <c r="I262" s="9" t="s">
        <v>562</v>
      </c>
      <c r="J262" s="11" t="s">
        <v>238</v>
      </c>
      <c r="K262" s="47" t="n">
        <f aca="false">Controls!B26</f>
        <v>0</v>
      </c>
      <c r="L262" s="47" t="str">
        <f aca="false">IF(K262=1,"PASS","OPEN")</f>
        <v>OPEN</v>
      </c>
    </row>
    <row r="263" customFormat="false" ht="15" hidden="false" customHeight="false" outlineLevel="0" collapsed="false">
      <c r="A263" s="19" t="str">
        <f aca="false">"DEC-"&amp;B263&amp;"-G5"</f>
        <v>DEC-RIG-HC-CHA-G5</v>
      </c>
      <c r="B263" s="19" t="str">
        <f aca="false">'Lot Register'!A43</f>
        <v>RIG-HC-CHA</v>
      </c>
      <c r="C263" s="19" t="str">
        <f aca="false">'Lot Register'!B43</f>
        <v>Root-native rig</v>
      </c>
      <c r="D263" s="19" t="str">
        <f aca="false">'Lot Register'!D43</f>
        <v>MS-HC</v>
      </c>
      <c r="E263" s="19" t="str">
        <f aca="false">'Lot Register'!G43</f>
        <v>ST-HC-CHA</v>
      </c>
      <c r="F263" s="9" t="s">
        <v>590</v>
      </c>
      <c r="G263" s="9" t="s">
        <v>591</v>
      </c>
      <c r="H263" s="9" t="s">
        <v>592</v>
      </c>
      <c r="I263" s="9" t="s">
        <v>565</v>
      </c>
      <c r="J263" s="11" t="s">
        <v>238</v>
      </c>
      <c r="K263" s="47" t="n">
        <f aca="false">Controls!B26</f>
        <v>0</v>
      </c>
      <c r="L263" s="47" t="str">
        <f aca="false">IF(K263=1,"PASS","OPEN")</f>
        <v>OPEN</v>
      </c>
    </row>
    <row r="264" customFormat="false" ht="15" hidden="false" customHeight="false" outlineLevel="0" collapsed="false">
      <c r="A264" s="19" t="str">
        <f aca="false">"DEC-"&amp;B264&amp;"-G6"</f>
        <v>DEC-RIG-HC-CHA-G6</v>
      </c>
      <c r="B264" s="19" t="str">
        <f aca="false">'Lot Register'!A43</f>
        <v>RIG-HC-CHA</v>
      </c>
      <c r="C264" s="19" t="str">
        <f aca="false">'Lot Register'!B43</f>
        <v>Root-native rig</v>
      </c>
      <c r="D264" s="19" t="str">
        <f aca="false">'Lot Register'!D43</f>
        <v>MS-HC</v>
      </c>
      <c r="E264" s="19" t="str">
        <f aca="false">'Lot Register'!G43</f>
        <v>ST-HC-CHA</v>
      </c>
      <c r="F264" s="9" t="s">
        <v>593</v>
      </c>
      <c r="G264" s="9" t="s">
        <v>594</v>
      </c>
      <c r="H264" s="9" t="s">
        <v>595</v>
      </c>
      <c r="I264" s="9" t="s">
        <v>570</v>
      </c>
      <c r="J264" s="11" t="s">
        <v>238</v>
      </c>
      <c r="K264" s="47" t="n">
        <f aca="false">Controls!B26</f>
        <v>0</v>
      </c>
      <c r="L264" s="47" t="str">
        <f aca="false">IF(K264=1,"PASS","OPEN")</f>
        <v>OPEN</v>
      </c>
    </row>
    <row r="265" customFormat="false" ht="15" hidden="false" customHeight="false" outlineLevel="0" collapsed="false">
      <c r="A265" s="19" t="str">
        <f aca="false">"DEC-"&amp;B265&amp;"-G7"</f>
        <v>DEC-RIG-HC-CHA-G7</v>
      </c>
      <c r="B265" s="19" t="str">
        <f aca="false">'Lot Register'!A43</f>
        <v>RIG-HC-CHA</v>
      </c>
      <c r="C265" s="19" t="str">
        <f aca="false">'Lot Register'!B43</f>
        <v>Root-native rig</v>
      </c>
      <c r="D265" s="19" t="str">
        <f aca="false">'Lot Register'!D43</f>
        <v>MS-HC</v>
      </c>
      <c r="E265" s="19" t="str">
        <f aca="false">'Lot Register'!G43</f>
        <v>ST-HC-CHA</v>
      </c>
      <c r="F265" s="9" t="s">
        <v>596</v>
      </c>
      <c r="G265" s="9" t="s">
        <v>597</v>
      </c>
      <c r="H265" s="9" t="s">
        <v>598</v>
      </c>
      <c r="I265" s="9" t="s">
        <v>570</v>
      </c>
      <c r="J265" s="11" t="s">
        <v>238</v>
      </c>
      <c r="K265" s="47" t="n">
        <f aca="false">Controls!B26</f>
        <v>0</v>
      </c>
      <c r="L265" s="47" t="str">
        <f aca="false">IF(K265=1,"PASS","OPEN")</f>
        <v>OPEN</v>
      </c>
    </row>
    <row r="266" customFormat="false" ht="15" hidden="false" customHeight="false" outlineLevel="0" collapsed="false">
      <c r="A266" s="19" t="str">
        <f aca="false">"DEC-"&amp;B266&amp;"-G1"</f>
        <v>DEC-MTH-HC-CHA-L1-G1</v>
      </c>
      <c r="B266" s="19" t="str">
        <f aca="false">'Lot Register'!A44</f>
        <v>MTH-HC-CHA-L1</v>
      </c>
      <c r="C266" s="19" t="str">
        <f aca="false">'Lot Register'!B44</f>
        <v>Method lineage</v>
      </c>
      <c r="D266" s="19" t="str">
        <f aca="false">'Lot Register'!D44</f>
        <v>MS-HC</v>
      </c>
      <c r="E266" s="19" t="str">
        <f aca="false">'Lot Register'!G44</f>
        <v>ST-HC-CHA</v>
      </c>
      <c r="F266" s="9" t="s">
        <v>578</v>
      </c>
      <c r="G266" s="9" t="s">
        <v>579</v>
      </c>
      <c r="H266" s="9" t="s">
        <v>580</v>
      </c>
      <c r="I266" s="9" t="s">
        <v>562</v>
      </c>
      <c r="J266" s="11" t="s">
        <v>238</v>
      </c>
      <c r="K266" s="47" t="n">
        <f aca="false">Controls!B26</f>
        <v>0</v>
      </c>
      <c r="L266" s="47" t="str">
        <f aca="false">IF(K266=1,"PASS","OPEN")</f>
        <v>OPEN</v>
      </c>
    </row>
    <row r="267" customFormat="false" ht="15" hidden="false" customHeight="false" outlineLevel="0" collapsed="false">
      <c r="A267" s="19" t="str">
        <f aca="false">"DEC-"&amp;B267&amp;"-G2"</f>
        <v>DEC-MTH-HC-CHA-L1-G2</v>
      </c>
      <c r="B267" s="19" t="str">
        <f aca="false">'Lot Register'!A44</f>
        <v>MTH-HC-CHA-L1</v>
      </c>
      <c r="C267" s="19" t="str">
        <f aca="false">'Lot Register'!B44</f>
        <v>Method lineage</v>
      </c>
      <c r="D267" s="19" t="str">
        <f aca="false">'Lot Register'!D44</f>
        <v>MS-HC</v>
      </c>
      <c r="E267" s="19" t="str">
        <f aca="false">'Lot Register'!G44</f>
        <v>ST-HC-CHA</v>
      </c>
      <c r="F267" s="9" t="s">
        <v>581</v>
      </c>
      <c r="G267" s="9" t="s">
        <v>582</v>
      </c>
      <c r="H267" s="9" t="s">
        <v>583</v>
      </c>
      <c r="I267" s="9" t="s">
        <v>560</v>
      </c>
      <c r="J267" s="11" t="s">
        <v>238</v>
      </c>
      <c r="K267" s="47" t="n">
        <f aca="false">Controls!B26</f>
        <v>0</v>
      </c>
      <c r="L267" s="47" t="str">
        <f aca="false">IF(K267=1,"PASS","OPEN")</f>
        <v>OPEN</v>
      </c>
    </row>
    <row r="268" customFormat="false" ht="15" hidden="false" customHeight="false" outlineLevel="0" collapsed="false">
      <c r="A268" s="19" t="str">
        <f aca="false">"DEC-"&amp;B268&amp;"-G3"</f>
        <v>DEC-MTH-HC-CHA-L1-G3</v>
      </c>
      <c r="B268" s="19" t="str">
        <f aca="false">'Lot Register'!A44</f>
        <v>MTH-HC-CHA-L1</v>
      </c>
      <c r="C268" s="19" t="str">
        <f aca="false">'Lot Register'!B44</f>
        <v>Method lineage</v>
      </c>
      <c r="D268" s="19" t="str">
        <f aca="false">'Lot Register'!D44</f>
        <v>MS-HC</v>
      </c>
      <c r="E268" s="19" t="str">
        <f aca="false">'Lot Register'!G44</f>
        <v>ST-HC-CHA</v>
      </c>
      <c r="F268" s="9" t="s">
        <v>584</v>
      </c>
      <c r="G268" s="9" t="s">
        <v>585</v>
      </c>
      <c r="H268" s="9" t="s">
        <v>586</v>
      </c>
      <c r="I268" s="9" t="s">
        <v>565</v>
      </c>
      <c r="J268" s="11" t="s">
        <v>238</v>
      </c>
      <c r="K268" s="47" t="n">
        <f aca="false">Controls!B26</f>
        <v>0</v>
      </c>
      <c r="L268" s="47" t="str">
        <f aca="false">IF(K268=1,"PASS","OPEN")</f>
        <v>OPEN</v>
      </c>
    </row>
    <row r="269" customFormat="false" ht="15" hidden="false" customHeight="false" outlineLevel="0" collapsed="false">
      <c r="A269" s="19" t="str">
        <f aca="false">"DEC-"&amp;B269&amp;"-G4"</f>
        <v>DEC-MTH-HC-CHA-L1-G4</v>
      </c>
      <c r="B269" s="19" t="str">
        <f aca="false">'Lot Register'!A44</f>
        <v>MTH-HC-CHA-L1</v>
      </c>
      <c r="C269" s="19" t="str">
        <f aca="false">'Lot Register'!B44</f>
        <v>Method lineage</v>
      </c>
      <c r="D269" s="19" t="str">
        <f aca="false">'Lot Register'!D44</f>
        <v>MS-HC</v>
      </c>
      <c r="E269" s="19" t="str">
        <f aca="false">'Lot Register'!G44</f>
        <v>ST-HC-CHA</v>
      </c>
      <c r="F269" s="9" t="s">
        <v>587</v>
      </c>
      <c r="G269" s="9" t="s">
        <v>588</v>
      </c>
      <c r="H269" s="9" t="s">
        <v>589</v>
      </c>
      <c r="I269" s="9" t="s">
        <v>562</v>
      </c>
      <c r="J269" s="11" t="s">
        <v>238</v>
      </c>
      <c r="K269" s="47" t="n">
        <f aca="false">Controls!B26</f>
        <v>0</v>
      </c>
      <c r="L269" s="47" t="str">
        <f aca="false">IF(K269=1,"PASS","OPEN")</f>
        <v>OPEN</v>
      </c>
    </row>
    <row r="270" customFormat="false" ht="15" hidden="false" customHeight="false" outlineLevel="0" collapsed="false">
      <c r="A270" s="19" t="str">
        <f aca="false">"DEC-"&amp;B270&amp;"-G5"</f>
        <v>DEC-MTH-HC-CHA-L1-G5</v>
      </c>
      <c r="B270" s="19" t="str">
        <f aca="false">'Lot Register'!A44</f>
        <v>MTH-HC-CHA-L1</v>
      </c>
      <c r="C270" s="19" t="str">
        <f aca="false">'Lot Register'!B44</f>
        <v>Method lineage</v>
      </c>
      <c r="D270" s="19" t="str">
        <f aca="false">'Lot Register'!D44</f>
        <v>MS-HC</v>
      </c>
      <c r="E270" s="19" t="str">
        <f aca="false">'Lot Register'!G44</f>
        <v>ST-HC-CHA</v>
      </c>
      <c r="F270" s="9" t="s">
        <v>590</v>
      </c>
      <c r="G270" s="9" t="s">
        <v>591</v>
      </c>
      <c r="H270" s="9" t="s">
        <v>592</v>
      </c>
      <c r="I270" s="9" t="s">
        <v>565</v>
      </c>
      <c r="J270" s="11" t="s">
        <v>238</v>
      </c>
      <c r="K270" s="47" t="n">
        <f aca="false">Controls!B26</f>
        <v>0</v>
      </c>
      <c r="L270" s="47" t="str">
        <f aca="false">IF(K270=1,"PASS","OPEN")</f>
        <v>OPEN</v>
      </c>
    </row>
    <row r="271" customFormat="false" ht="15" hidden="false" customHeight="false" outlineLevel="0" collapsed="false">
      <c r="A271" s="19" t="str">
        <f aca="false">"DEC-"&amp;B271&amp;"-G6"</f>
        <v>DEC-MTH-HC-CHA-L1-G6</v>
      </c>
      <c r="B271" s="19" t="str">
        <f aca="false">'Lot Register'!A44</f>
        <v>MTH-HC-CHA-L1</v>
      </c>
      <c r="C271" s="19" t="str">
        <f aca="false">'Lot Register'!B44</f>
        <v>Method lineage</v>
      </c>
      <c r="D271" s="19" t="str">
        <f aca="false">'Lot Register'!D44</f>
        <v>MS-HC</v>
      </c>
      <c r="E271" s="19" t="str">
        <f aca="false">'Lot Register'!G44</f>
        <v>ST-HC-CHA</v>
      </c>
      <c r="F271" s="9" t="s">
        <v>593</v>
      </c>
      <c r="G271" s="9" t="s">
        <v>594</v>
      </c>
      <c r="H271" s="9" t="s">
        <v>595</v>
      </c>
      <c r="I271" s="9" t="s">
        <v>570</v>
      </c>
      <c r="J271" s="11" t="s">
        <v>238</v>
      </c>
      <c r="K271" s="47" t="n">
        <f aca="false">Controls!B26</f>
        <v>0</v>
      </c>
      <c r="L271" s="47" t="str">
        <f aca="false">IF(K271=1,"PASS","OPEN")</f>
        <v>OPEN</v>
      </c>
    </row>
    <row r="272" customFormat="false" ht="15" hidden="false" customHeight="false" outlineLevel="0" collapsed="false">
      <c r="A272" s="19" t="str">
        <f aca="false">"DEC-"&amp;B272&amp;"-G7"</f>
        <v>DEC-MTH-HC-CHA-L1-G7</v>
      </c>
      <c r="B272" s="19" t="str">
        <f aca="false">'Lot Register'!A44</f>
        <v>MTH-HC-CHA-L1</v>
      </c>
      <c r="C272" s="19" t="str">
        <f aca="false">'Lot Register'!B44</f>
        <v>Method lineage</v>
      </c>
      <c r="D272" s="19" t="str">
        <f aca="false">'Lot Register'!D44</f>
        <v>MS-HC</v>
      </c>
      <c r="E272" s="19" t="str">
        <f aca="false">'Lot Register'!G44</f>
        <v>ST-HC-CHA</v>
      </c>
      <c r="F272" s="9" t="s">
        <v>596</v>
      </c>
      <c r="G272" s="9" t="s">
        <v>597</v>
      </c>
      <c r="H272" s="9" t="s">
        <v>598</v>
      </c>
      <c r="I272" s="9" t="s">
        <v>570</v>
      </c>
      <c r="J272" s="11" t="s">
        <v>238</v>
      </c>
      <c r="K272" s="47" t="n">
        <f aca="false">Controls!B26</f>
        <v>0</v>
      </c>
      <c r="L272" s="47" t="str">
        <f aca="false">IF(K272=1,"PASS","OPEN")</f>
        <v>OPEN</v>
      </c>
    </row>
    <row r="273" customFormat="false" ht="15" hidden="false" customHeight="false" outlineLevel="0" collapsed="false">
      <c r="A273" s="19" t="str">
        <f aca="false">"DEC-"&amp;B273&amp;"-G1"</f>
        <v>DEC-MTH-HC-CHA-L2-G1</v>
      </c>
      <c r="B273" s="19" t="str">
        <f aca="false">'Lot Register'!A45</f>
        <v>MTH-HC-CHA-L2</v>
      </c>
      <c r="C273" s="19" t="str">
        <f aca="false">'Lot Register'!B45</f>
        <v>Method lineage</v>
      </c>
      <c r="D273" s="19" t="str">
        <f aca="false">'Lot Register'!D45</f>
        <v>MS-HC</v>
      </c>
      <c r="E273" s="19" t="str">
        <f aca="false">'Lot Register'!G45</f>
        <v>ST-HC-CHA</v>
      </c>
      <c r="F273" s="9" t="s">
        <v>578</v>
      </c>
      <c r="G273" s="9" t="s">
        <v>579</v>
      </c>
      <c r="H273" s="9" t="s">
        <v>580</v>
      </c>
      <c r="I273" s="9" t="s">
        <v>562</v>
      </c>
      <c r="J273" s="11" t="s">
        <v>238</v>
      </c>
      <c r="K273" s="47" t="n">
        <f aca="false">Controls!B26</f>
        <v>0</v>
      </c>
      <c r="L273" s="47" t="str">
        <f aca="false">IF(K273=1,"PASS","OPEN")</f>
        <v>OPEN</v>
      </c>
    </row>
    <row r="274" customFormat="false" ht="15" hidden="false" customHeight="false" outlineLevel="0" collapsed="false">
      <c r="A274" s="19" t="str">
        <f aca="false">"DEC-"&amp;B274&amp;"-G2"</f>
        <v>DEC-MTH-HC-CHA-L2-G2</v>
      </c>
      <c r="B274" s="19" t="str">
        <f aca="false">'Lot Register'!A45</f>
        <v>MTH-HC-CHA-L2</v>
      </c>
      <c r="C274" s="19" t="str">
        <f aca="false">'Lot Register'!B45</f>
        <v>Method lineage</v>
      </c>
      <c r="D274" s="19" t="str">
        <f aca="false">'Lot Register'!D45</f>
        <v>MS-HC</v>
      </c>
      <c r="E274" s="19" t="str">
        <f aca="false">'Lot Register'!G45</f>
        <v>ST-HC-CHA</v>
      </c>
      <c r="F274" s="9" t="s">
        <v>581</v>
      </c>
      <c r="G274" s="9" t="s">
        <v>582</v>
      </c>
      <c r="H274" s="9" t="s">
        <v>583</v>
      </c>
      <c r="I274" s="9" t="s">
        <v>560</v>
      </c>
      <c r="J274" s="11" t="s">
        <v>238</v>
      </c>
      <c r="K274" s="47" t="n">
        <f aca="false">Controls!B26</f>
        <v>0</v>
      </c>
      <c r="L274" s="47" t="str">
        <f aca="false">IF(K274=1,"PASS","OPEN")</f>
        <v>OPEN</v>
      </c>
    </row>
    <row r="275" customFormat="false" ht="15" hidden="false" customHeight="false" outlineLevel="0" collapsed="false">
      <c r="A275" s="19" t="str">
        <f aca="false">"DEC-"&amp;B275&amp;"-G3"</f>
        <v>DEC-MTH-HC-CHA-L2-G3</v>
      </c>
      <c r="B275" s="19" t="str">
        <f aca="false">'Lot Register'!A45</f>
        <v>MTH-HC-CHA-L2</v>
      </c>
      <c r="C275" s="19" t="str">
        <f aca="false">'Lot Register'!B45</f>
        <v>Method lineage</v>
      </c>
      <c r="D275" s="19" t="str">
        <f aca="false">'Lot Register'!D45</f>
        <v>MS-HC</v>
      </c>
      <c r="E275" s="19" t="str">
        <f aca="false">'Lot Register'!G45</f>
        <v>ST-HC-CHA</v>
      </c>
      <c r="F275" s="9" t="s">
        <v>584</v>
      </c>
      <c r="G275" s="9" t="s">
        <v>585</v>
      </c>
      <c r="H275" s="9" t="s">
        <v>586</v>
      </c>
      <c r="I275" s="9" t="s">
        <v>565</v>
      </c>
      <c r="J275" s="11" t="s">
        <v>238</v>
      </c>
      <c r="K275" s="47" t="n">
        <f aca="false">Controls!B26</f>
        <v>0</v>
      </c>
      <c r="L275" s="47" t="str">
        <f aca="false">IF(K275=1,"PASS","OPEN")</f>
        <v>OPEN</v>
      </c>
    </row>
    <row r="276" customFormat="false" ht="15" hidden="false" customHeight="false" outlineLevel="0" collapsed="false">
      <c r="A276" s="19" t="str">
        <f aca="false">"DEC-"&amp;B276&amp;"-G4"</f>
        <v>DEC-MTH-HC-CHA-L2-G4</v>
      </c>
      <c r="B276" s="19" t="str">
        <f aca="false">'Lot Register'!A45</f>
        <v>MTH-HC-CHA-L2</v>
      </c>
      <c r="C276" s="19" t="str">
        <f aca="false">'Lot Register'!B45</f>
        <v>Method lineage</v>
      </c>
      <c r="D276" s="19" t="str">
        <f aca="false">'Lot Register'!D45</f>
        <v>MS-HC</v>
      </c>
      <c r="E276" s="19" t="str">
        <f aca="false">'Lot Register'!G45</f>
        <v>ST-HC-CHA</v>
      </c>
      <c r="F276" s="9" t="s">
        <v>587</v>
      </c>
      <c r="G276" s="9" t="s">
        <v>588</v>
      </c>
      <c r="H276" s="9" t="s">
        <v>589</v>
      </c>
      <c r="I276" s="9" t="s">
        <v>562</v>
      </c>
      <c r="J276" s="11" t="s">
        <v>238</v>
      </c>
      <c r="K276" s="47" t="n">
        <f aca="false">Controls!B26</f>
        <v>0</v>
      </c>
      <c r="L276" s="47" t="str">
        <f aca="false">IF(K276=1,"PASS","OPEN")</f>
        <v>OPEN</v>
      </c>
    </row>
    <row r="277" customFormat="false" ht="15" hidden="false" customHeight="false" outlineLevel="0" collapsed="false">
      <c r="A277" s="19" t="str">
        <f aca="false">"DEC-"&amp;B277&amp;"-G5"</f>
        <v>DEC-MTH-HC-CHA-L2-G5</v>
      </c>
      <c r="B277" s="19" t="str">
        <f aca="false">'Lot Register'!A45</f>
        <v>MTH-HC-CHA-L2</v>
      </c>
      <c r="C277" s="19" t="str">
        <f aca="false">'Lot Register'!B45</f>
        <v>Method lineage</v>
      </c>
      <c r="D277" s="19" t="str">
        <f aca="false">'Lot Register'!D45</f>
        <v>MS-HC</v>
      </c>
      <c r="E277" s="19" t="str">
        <f aca="false">'Lot Register'!G45</f>
        <v>ST-HC-CHA</v>
      </c>
      <c r="F277" s="9" t="s">
        <v>590</v>
      </c>
      <c r="G277" s="9" t="s">
        <v>591</v>
      </c>
      <c r="H277" s="9" t="s">
        <v>592</v>
      </c>
      <c r="I277" s="9" t="s">
        <v>565</v>
      </c>
      <c r="J277" s="11" t="s">
        <v>238</v>
      </c>
      <c r="K277" s="47" t="n">
        <f aca="false">Controls!B26</f>
        <v>0</v>
      </c>
      <c r="L277" s="47" t="str">
        <f aca="false">IF(K277=1,"PASS","OPEN")</f>
        <v>OPEN</v>
      </c>
    </row>
    <row r="278" customFormat="false" ht="15" hidden="false" customHeight="false" outlineLevel="0" collapsed="false">
      <c r="A278" s="19" t="str">
        <f aca="false">"DEC-"&amp;B278&amp;"-G6"</f>
        <v>DEC-MTH-HC-CHA-L2-G6</v>
      </c>
      <c r="B278" s="19" t="str">
        <f aca="false">'Lot Register'!A45</f>
        <v>MTH-HC-CHA-L2</v>
      </c>
      <c r="C278" s="19" t="str">
        <f aca="false">'Lot Register'!B45</f>
        <v>Method lineage</v>
      </c>
      <c r="D278" s="19" t="str">
        <f aca="false">'Lot Register'!D45</f>
        <v>MS-HC</v>
      </c>
      <c r="E278" s="19" t="str">
        <f aca="false">'Lot Register'!G45</f>
        <v>ST-HC-CHA</v>
      </c>
      <c r="F278" s="9" t="s">
        <v>593</v>
      </c>
      <c r="G278" s="9" t="s">
        <v>594</v>
      </c>
      <c r="H278" s="9" t="s">
        <v>595</v>
      </c>
      <c r="I278" s="9" t="s">
        <v>570</v>
      </c>
      <c r="J278" s="11" t="s">
        <v>238</v>
      </c>
      <c r="K278" s="47" t="n">
        <f aca="false">Controls!B26</f>
        <v>0</v>
      </c>
      <c r="L278" s="47" t="str">
        <f aca="false">IF(K278=1,"PASS","OPEN")</f>
        <v>OPEN</v>
      </c>
    </row>
    <row r="279" customFormat="false" ht="15" hidden="false" customHeight="false" outlineLevel="0" collapsed="false">
      <c r="A279" s="19" t="str">
        <f aca="false">"DEC-"&amp;B279&amp;"-G7"</f>
        <v>DEC-MTH-HC-CHA-L2-G7</v>
      </c>
      <c r="B279" s="19" t="str">
        <f aca="false">'Lot Register'!A45</f>
        <v>MTH-HC-CHA-L2</v>
      </c>
      <c r="C279" s="19" t="str">
        <f aca="false">'Lot Register'!B45</f>
        <v>Method lineage</v>
      </c>
      <c r="D279" s="19" t="str">
        <f aca="false">'Lot Register'!D45</f>
        <v>MS-HC</v>
      </c>
      <c r="E279" s="19" t="str">
        <f aca="false">'Lot Register'!G45</f>
        <v>ST-HC-CHA</v>
      </c>
      <c r="F279" s="9" t="s">
        <v>596</v>
      </c>
      <c r="G279" s="9" t="s">
        <v>597</v>
      </c>
      <c r="H279" s="9" t="s">
        <v>598</v>
      </c>
      <c r="I279" s="9" t="s">
        <v>570</v>
      </c>
      <c r="J279" s="11" t="s">
        <v>238</v>
      </c>
      <c r="K279" s="47" t="n">
        <f aca="false">Controls!B26</f>
        <v>0</v>
      </c>
      <c r="L279" s="47" t="str">
        <f aca="false">IF(K279=1,"PASS","OPEN")</f>
        <v>OPEN</v>
      </c>
    </row>
    <row r="280" customFormat="false" ht="15" hidden="false" customHeight="false" outlineLevel="0" collapsed="false">
      <c r="A280" s="19" t="str">
        <f aca="false">"DEC-"&amp;B280&amp;"-G1"</f>
        <v>DEC-REG-HC-CHA-G1</v>
      </c>
      <c r="B280" s="19" t="str">
        <f aca="false">'Lot Register'!A46</f>
        <v>REG-HC-CHA</v>
      </c>
      <c r="C280" s="19" t="str">
        <f aca="false">'Lot Register'!B46</f>
        <v>Regeneration tool</v>
      </c>
      <c r="D280" s="19" t="str">
        <f aca="false">'Lot Register'!D46</f>
        <v>MS-HC</v>
      </c>
      <c r="E280" s="19" t="str">
        <f aca="false">'Lot Register'!G46</f>
        <v>ST-HC-CHA</v>
      </c>
      <c r="F280" s="9" t="s">
        <v>578</v>
      </c>
      <c r="G280" s="9" t="s">
        <v>579</v>
      </c>
      <c r="H280" s="9" t="s">
        <v>580</v>
      </c>
      <c r="I280" s="9" t="s">
        <v>562</v>
      </c>
      <c r="J280" s="11" t="s">
        <v>238</v>
      </c>
      <c r="K280" s="47" t="n">
        <f aca="false">Controls!B26</f>
        <v>0</v>
      </c>
      <c r="L280" s="47" t="str">
        <f aca="false">IF(K280=1,"PASS","OPEN")</f>
        <v>OPEN</v>
      </c>
    </row>
    <row r="281" customFormat="false" ht="15" hidden="false" customHeight="false" outlineLevel="0" collapsed="false">
      <c r="A281" s="19" t="str">
        <f aca="false">"DEC-"&amp;B281&amp;"-G2"</f>
        <v>DEC-REG-HC-CHA-G2</v>
      </c>
      <c r="B281" s="19" t="str">
        <f aca="false">'Lot Register'!A46</f>
        <v>REG-HC-CHA</v>
      </c>
      <c r="C281" s="19" t="str">
        <f aca="false">'Lot Register'!B46</f>
        <v>Regeneration tool</v>
      </c>
      <c r="D281" s="19" t="str">
        <f aca="false">'Lot Register'!D46</f>
        <v>MS-HC</v>
      </c>
      <c r="E281" s="19" t="str">
        <f aca="false">'Lot Register'!G46</f>
        <v>ST-HC-CHA</v>
      </c>
      <c r="F281" s="9" t="s">
        <v>581</v>
      </c>
      <c r="G281" s="9" t="s">
        <v>582</v>
      </c>
      <c r="H281" s="9" t="s">
        <v>583</v>
      </c>
      <c r="I281" s="9" t="s">
        <v>560</v>
      </c>
      <c r="J281" s="11" t="s">
        <v>238</v>
      </c>
      <c r="K281" s="47" t="n">
        <f aca="false">Controls!B26</f>
        <v>0</v>
      </c>
      <c r="L281" s="47" t="str">
        <f aca="false">IF(K281=1,"PASS","OPEN")</f>
        <v>OPEN</v>
      </c>
    </row>
    <row r="282" customFormat="false" ht="15" hidden="false" customHeight="false" outlineLevel="0" collapsed="false">
      <c r="A282" s="19" t="str">
        <f aca="false">"DEC-"&amp;B282&amp;"-G3"</f>
        <v>DEC-REG-HC-CHA-G3</v>
      </c>
      <c r="B282" s="19" t="str">
        <f aca="false">'Lot Register'!A46</f>
        <v>REG-HC-CHA</v>
      </c>
      <c r="C282" s="19" t="str">
        <f aca="false">'Lot Register'!B46</f>
        <v>Regeneration tool</v>
      </c>
      <c r="D282" s="19" t="str">
        <f aca="false">'Lot Register'!D46</f>
        <v>MS-HC</v>
      </c>
      <c r="E282" s="19" t="str">
        <f aca="false">'Lot Register'!G46</f>
        <v>ST-HC-CHA</v>
      </c>
      <c r="F282" s="9" t="s">
        <v>584</v>
      </c>
      <c r="G282" s="9" t="s">
        <v>585</v>
      </c>
      <c r="H282" s="9" t="s">
        <v>586</v>
      </c>
      <c r="I282" s="9" t="s">
        <v>565</v>
      </c>
      <c r="J282" s="11" t="s">
        <v>238</v>
      </c>
      <c r="K282" s="47" t="n">
        <f aca="false">Controls!B26</f>
        <v>0</v>
      </c>
      <c r="L282" s="47" t="str">
        <f aca="false">IF(K282=1,"PASS","OPEN")</f>
        <v>OPEN</v>
      </c>
    </row>
    <row r="283" customFormat="false" ht="15" hidden="false" customHeight="false" outlineLevel="0" collapsed="false">
      <c r="A283" s="19" t="str">
        <f aca="false">"DEC-"&amp;B283&amp;"-G4"</f>
        <v>DEC-REG-HC-CHA-G4</v>
      </c>
      <c r="B283" s="19" t="str">
        <f aca="false">'Lot Register'!A46</f>
        <v>REG-HC-CHA</v>
      </c>
      <c r="C283" s="19" t="str">
        <f aca="false">'Lot Register'!B46</f>
        <v>Regeneration tool</v>
      </c>
      <c r="D283" s="19" t="str">
        <f aca="false">'Lot Register'!D46</f>
        <v>MS-HC</v>
      </c>
      <c r="E283" s="19" t="str">
        <f aca="false">'Lot Register'!G46</f>
        <v>ST-HC-CHA</v>
      </c>
      <c r="F283" s="9" t="s">
        <v>587</v>
      </c>
      <c r="G283" s="9" t="s">
        <v>588</v>
      </c>
      <c r="H283" s="9" t="s">
        <v>589</v>
      </c>
      <c r="I283" s="9" t="s">
        <v>562</v>
      </c>
      <c r="J283" s="11" t="s">
        <v>238</v>
      </c>
      <c r="K283" s="47" t="n">
        <f aca="false">Controls!B26</f>
        <v>0</v>
      </c>
      <c r="L283" s="47" t="str">
        <f aca="false">IF(K283=1,"PASS","OPEN")</f>
        <v>OPEN</v>
      </c>
    </row>
    <row r="284" customFormat="false" ht="15" hidden="false" customHeight="false" outlineLevel="0" collapsed="false">
      <c r="A284" s="19" t="str">
        <f aca="false">"DEC-"&amp;B284&amp;"-G5"</f>
        <v>DEC-REG-HC-CHA-G5</v>
      </c>
      <c r="B284" s="19" t="str">
        <f aca="false">'Lot Register'!A46</f>
        <v>REG-HC-CHA</v>
      </c>
      <c r="C284" s="19" t="str">
        <f aca="false">'Lot Register'!B46</f>
        <v>Regeneration tool</v>
      </c>
      <c r="D284" s="19" t="str">
        <f aca="false">'Lot Register'!D46</f>
        <v>MS-HC</v>
      </c>
      <c r="E284" s="19" t="str">
        <f aca="false">'Lot Register'!G46</f>
        <v>ST-HC-CHA</v>
      </c>
      <c r="F284" s="9" t="s">
        <v>590</v>
      </c>
      <c r="G284" s="9" t="s">
        <v>591</v>
      </c>
      <c r="H284" s="9" t="s">
        <v>592</v>
      </c>
      <c r="I284" s="9" t="s">
        <v>565</v>
      </c>
      <c r="J284" s="11" t="s">
        <v>238</v>
      </c>
      <c r="K284" s="47" t="n">
        <f aca="false">Controls!B26</f>
        <v>0</v>
      </c>
      <c r="L284" s="47" t="str">
        <f aca="false">IF(K284=1,"PASS","OPEN")</f>
        <v>OPEN</v>
      </c>
    </row>
    <row r="285" customFormat="false" ht="15" hidden="false" customHeight="false" outlineLevel="0" collapsed="false">
      <c r="A285" s="19" t="str">
        <f aca="false">"DEC-"&amp;B285&amp;"-G6"</f>
        <v>DEC-REG-HC-CHA-G6</v>
      </c>
      <c r="B285" s="19" t="str">
        <f aca="false">'Lot Register'!A46</f>
        <v>REG-HC-CHA</v>
      </c>
      <c r="C285" s="19" t="str">
        <f aca="false">'Lot Register'!B46</f>
        <v>Regeneration tool</v>
      </c>
      <c r="D285" s="19" t="str">
        <f aca="false">'Lot Register'!D46</f>
        <v>MS-HC</v>
      </c>
      <c r="E285" s="19" t="str">
        <f aca="false">'Lot Register'!G46</f>
        <v>ST-HC-CHA</v>
      </c>
      <c r="F285" s="9" t="s">
        <v>593</v>
      </c>
      <c r="G285" s="9" t="s">
        <v>594</v>
      </c>
      <c r="H285" s="9" t="s">
        <v>595</v>
      </c>
      <c r="I285" s="9" t="s">
        <v>570</v>
      </c>
      <c r="J285" s="11" t="s">
        <v>238</v>
      </c>
      <c r="K285" s="47" t="n">
        <f aca="false">Controls!B26</f>
        <v>0</v>
      </c>
      <c r="L285" s="47" t="str">
        <f aca="false">IF(K285=1,"PASS","OPEN")</f>
        <v>OPEN</v>
      </c>
    </row>
    <row r="286" customFormat="false" ht="15" hidden="false" customHeight="false" outlineLevel="0" collapsed="false">
      <c r="A286" s="19" t="str">
        <f aca="false">"DEC-"&amp;B286&amp;"-G7"</f>
        <v>DEC-REG-HC-CHA-G7</v>
      </c>
      <c r="B286" s="19" t="str">
        <f aca="false">'Lot Register'!A46</f>
        <v>REG-HC-CHA</v>
      </c>
      <c r="C286" s="19" t="str">
        <f aca="false">'Lot Register'!B46</f>
        <v>Regeneration tool</v>
      </c>
      <c r="D286" s="19" t="str">
        <f aca="false">'Lot Register'!D46</f>
        <v>MS-HC</v>
      </c>
      <c r="E286" s="19" t="str">
        <f aca="false">'Lot Register'!G46</f>
        <v>ST-HC-CHA</v>
      </c>
      <c r="F286" s="9" t="s">
        <v>596</v>
      </c>
      <c r="G286" s="9" t="s">
        <v>597</v>
      </c>
      <c r="H286" s="9" t="s">
        <v>598</v>
      </c>
      <c r="I286" s="9" t="s">
        <v>570</v>
      </c>
      <c r="J286" s="11" t="s">
        <v>238</v>
      </c>
      <c r="K286" s="47" t="n">
        <f aca="false">Controls!B26</f>
        <v>0</v>
      </c>
      <c r="L286" s="47" t="str">
        <f aca="false">IF(K286=1,"PASS","OPEN")</f>
        <v>OPEN</v>
      </c>
    </row>
    <row r="287" customFormat="false" ht="15" hidden="false" customHeight="false" outlineLevel="0" collapsed="false">
      <c r="A287" s="19" t="str">
        <f aca="false">"DEC-"&amp;B287&amp;"-G1"</f>
        <v>DEC-INT-HC-CHA-G1</v>
      </c>
      <c r="B287" s="19" t="str">
        <f aca="false">'Lot Register'!A47</f>
        <v>INT-HC-CHA</v>
      </c>
      <c r="C287" s="19" t="str">
        <f aca="false">'Lot Register'!B47</f>
        <v>Station integration</v>
      </c>
      <c r="D287" s="19" t="str">
        <f aca="false">'Lot Register'!D47</f>
        <v>MS-HC</v>
      </c>
      <c r="E287" s="19" t="str">
        <f aca="false">'Lot Register'!G47</f>
        <v>ST-HC-CHA</v>
      </c>
      <c r="F287" s="9" t="s">
        <v>578</v>
      </c>
      <c r="G287" s="9" t="s">
        <v>579</v>
      </c>
      <c r="H287" s="9" t="s">
        <v>580</v>
      </c>
      <c r="I287" s="9" t="s">
        <v>562</v>
      </c>
      <c r="J287" s="11" t="s">
        <v>238</v>
      </c>
      <c r="K287" s="47" t="n">
        <f aca="false">Controls!B26</f>
        <v>0</v>
      </c>
      <c r="L287" s="47" t="str">
        <f aca="false">IF(K287=1,"PASS","OPEN")</f>
        <v>OPEN</v>
      </c>
    </row>
    <row r="288" customFormat="false" ht="15" hidden="false" customHeight="false" outlineLevel="0" collapsed="false">
      <c r="A288" s="19" t="str">
        <f aca="false">"DEC-"&amp;B288&amp;"-G2"</f>
        <v>DEC-INT-HC-CHA-G2</v>
      </c>
      <c r="B288" s="19" t="str">
        <f aca="false">'Lot Register'!A47</f>
        <v>INT-HC-CHA</v>
      </c>
      <c r="C288" s="19" t="str">
        <f aca="false">'Lot Register'!B47</f>
        <v>Station integration</v>
      </c>
      <c r="D288" s="19" t="str">
        <f aca="false">'Lot Register'!D47</f>
        <v>MS-HC</v>
      </c>
      <c r="E288" s="19" t="str">
        <f aca="false">'Lot Register'!G47</f>
        <v>ST-HC-CHA</v>
      </c>
      <c r="F288" s="9" t="s">
        <v>581</v>
      </c>
      <c r="G288" s="9" t="s">
        <v>582</v>
      </c>
      <c r="H288" s="9" t="s">
        <v>583</v>
      </c>
      <c r="I288" s="9" t="s">
        <v>560</v>
      </c>
      <c r="J288" s="11" t="s">
        <v>238</v>
      </c>
      <c r="K288" s="47" t="n">
        <f aca="false">Controls!B26</f>
        <v>0</v>
      </c>
      <c r="L288" s="47" t="str">
        <f aca="false">IF(K288=1,"PASS","OPEN")</f>
        <v>OPEN</v>
      </c>
    </row>
    <row r="289" customFormat="false" ht="15" hidden="false" customHeight="false" outlineLevel="0" collapsed="false">
      <c r="A289" s="19" t="str">
        <f aca="false">"DEC-"&amp;B289&amp;"-G3"</f>
        <v>DEC-INT-HC-CHA-G3</v>
      </c>
      <c r="B289" s="19" t="str">
        <f aca="false">'Lot Register'!A47</f>
        <v>INT-HC-CHA</v>
      </c>
      <c r="C289" s="19" t="str">
        <f aca="false">'Lot Register'!B47</f>
        <v>Station integration</v>
      </c>
      <c r="D289" s="19" t="str">
        <f aca="false">'Lot Register'!D47</f>
        <v>MS-HC</v>
      </c>
      <c r="E289" s="19" t="str">
        <f aca="false">'Lot Register'!G47</f>
        <v>ST-HC-CHA</v>
      </c>
      <c r="F289" s="9" t="s">
        <v>584</v>
      </c>
      <c r="G289" s="9" t="s">
        <v>585</v>
      </c>
      <c r="H289" s="9" t="s">
        <v>586</v>
      </c>
      <c r="I289" s="9" t="s">
        <v>565</v>
      </c>
      <c r="J289" s="11" t="s">
        <v>238</v>
      </c>
      <c r="K289" s="47" t="n">
        <f aca="false">Controls!B26</f>
        <v>0</v>
      </c>
      <c r="L289" s="47" t="str">
        <f aca="false">IF(K289=1,"PASS","OPEN")</f>
        <v>OPEN</v>
      </c>
    </row>
    <row r="290" customFormat="false" ht="15" hidden="false" customHeight="false" outlineLevel="0" collapsed="false">
      <c r="A290" s="19" t="str">
        <f aca="false">"DEC-"&amp;B290&amp;"-G4"</f>
        <v>DEC-INT-HC-CHA-G4</v>
      </c>
      <c r="B290" s="19" t="str">
        <f aca="false">'Lot Register'!A47</f>
        <v>INT-HC-CHA</v>
      </c>
      <c r="C290" s="19" t="str">
        <f aca="false">'Lot Register'!B47</f>
        <v>Station integration</v>
      </c>
      <c r="D290" s="19" t="str">
        <f aca="false">'Lot Register'!D47</f>
        <v>MS-HC</v>
      </c>
      <c r="E290" s="19" t="str">
        <f aca="false">'Lot Register'!G47</f>
        <v>ST-HC-CHA</v>
      </c>
      <c r="F290" s="9" t="s">
        <v>587</v>
      </c>
      <c r="G290" s="9" t="s">
        <v>588</v>
      </c>
      <c r="H290" s="9" t="s">
        <v>589</v>
      </c>
      <c r="I290" s="9" t="s">
        <v>562</v>
      </c>
      <c r="J290" s="11" t="s">
        <v>238</v>
      </c>
      <c r="K290" s="47" t="n">
        <f aca="false">Controls!B26</f>
        <v>0</v>
      </c>
      <c r="L290" s="47" t="str">
        <f aca="false">IF(K290=1,"PASS","OPEN")</f>
        <v>OPEN</v>
      </c>
    </row>
    <row r="291" customFormat="false" ht="15" hidden="false" customHeight="false" outlineLevel="0" collapsed="false">
      <c r="A291" s="19" t="str">
        <f aca="false">"DEC-"&amp;B291&amp;"-G5"</f>
        <v>DEC-INT-HC-CHA-G5</v>
      </c>
      <c r="B291" s="19" t="str">
        <f aca="false">'Lot Register'!A47</f>
        <v>INT-HC-CHA</v>
      </c>
      <c r="C291" s="19" t="str">
        <f aca="false">'Lot Register'!B47</f>
        <v>Station integration</v>
      </c>
      <c r="D291" s="19" t="str">
        <f aca="false">'Lot Register'!D47</f>
        <v>MS-HC</v>
      </c>
      <c r="E291" s="19" t="str">
        <f aca="false">'Lot Register'!G47</f>
        <v>ST-HC-CHA</v>
      </c>
      <c r="F291" s="9" t="s">
        <v>590</v>
      </c>
      <c r="G291" s="9" t="s">
        <v>591</v>
      </c>
      <c r="H291" s="9" t="s">
        <v>592</v>
      </c>
      <c r="I291" s="9" t="s">
        <v>565</v>
      </c>
      <c r="J291" s="11" t="s">
        <v>238</v>
      </c>
      <c r="K291" s="47" t="n">
        <f aca="false">Controls!B26</f>
        <v>0</v>
      </c>
      <c r="L291" s="47" t="str">
        <f aca="false">IF(K291=1,"PASS","OPEN")</f>
        <v>OPEN</v>
      </c>
    </row>
    <row r="292" customFormat="false" ht="15" hidden="false" customHeight="false" outlineLevel="0" collapsed="false">
      <c r="A292" s="19" t="str">
        <f aca="false">"DEC-"&amp;B292&amp;"-G6"</f>
        <v>DEC-INT-HC-CHA-G6</v>
      </c>
      <c r="B292" s="19" t="str">
        <f aca="false">'Lot Register'!A47</f>
        <v>INT-HC-CHA</v>
      </c>
      <c r="C292" s="19" t="str">
        <f aca="false">'Lot Register'!B47</f>
        <v>Station integration</v>
      </c>
      <c r="D292" s="19" t="str">
        <f aca="false">'Lot Register'!D47</f>
        <v>MS-HC</v>
      </c>
      <c r="E292" s="19" t="str">
        <f aca="false">'Lot Register'!G47</f>
        <v>ST-HC-CHA</v>
      </c>
      <c r="F292" s="9" t="s">
        <v>593</v>
      </c>
      <c r="G292" s="9" t="s">
        <v>594</v>
      </c>
      <c r="H292" s="9" t="s">
        <v>595</v>
      </c>
      <c r="I292" s="9" t="s">
        <v>570</v>
      </c>
      <c r="J292" s="11" t="s">
        <v>238</v>
      </c>
      <c r="K292" s="47" t="n">
        <f aca="false">Controls!B26</f>
        <v>0</v>
      </c>
      <c r="L292" s="47" t="str">
        <f aca="false">IF(K292=1,"PASS","OPEN")</f>
        <v>OPEN</v>
      </c>
    </row>
    <row r="293" customFormat="false" ht="15" hidden="false" customHeight="false" outlineLevel="0" collapsed="false">
      <c r="A293" s="19" t="str">
        <f aca="false">"DEC-"&amp;B293&amp;"-G7"</f>
        <v>DEC-INT-HC-CHA-G7</v>
      </c>
      <c r="B293" s="19" t="str">
        <f aca="false">'Lot Register'!A47</f>
        <v>INT-HC-CHA</v>
      </c>
      <c r="C293" s="19" t="str">
        <f aca="false">'Lot Register'!B47</f>
        <v>Station integration</v>
      </c>
      <c r="D293" s="19" t="str">
        <f aca="false">'Lot Register'!D47</f>
        <v>MS-HC</v>
      </c>
      <c r="E293" s="19" t="str">
        <f aca="false">'Lot Register'!G47</f>
        <v>ST-HC-CHA</v>
      </c>
      <c r="F293" s="9" t="s">
        <v>596</v>
      </c>
      <c r="G293" s="9" t="s">
        <v>597</v>
      </c>
      <c r="H293" s="9" t="s">
        <v>598</v>
      </c>
      <c r="I293" s="9" t="s">
        <v>570</v>
      </c>
      <c r="J293" s="11" t="s">
        <v>238</v>
      </c>
      <c r="K293" s="47" t="n">
        <f aca="false">Controls!B26</f>
        <v>0</v>
      </c>
      <c r="L293" s="47" t="str">
        <f aca="false">IF(K293=1,"PASS","OPEN")</f>
        <v>OPEN</v>
      </c>
    </row>
    <row r="294" customFormat="false" ht="15" hidden="false" customHeight="false" outlineLevel="0" collapsed="false">
      <c r="A294" s="19" t="str">
        <f aca="false">"DEC-"&amp;B294&amp;"-G1"</f>
        <v>DEC-RIG-HC-CON-G1</v>
      </c>
      <c r="B294" s="19" t="str">
        <f aca="false">'Lot Register'!A48</f>
        <v>RIG-HC-CON</v>
      </c>
      <c r="C294" s="19" t="str">
        <f aca="false">'Lot Register'!B48</f>
        <v>Root-native rig</v>
      </c>
      <c r="D294" s="19" t="str">
        <f aca="false">'Lot Register'!D48</f>
        <v>MS-HC</v>
      </c>
      <c r="E294" s="19" t="str">
        <f aca="false">'Lot Register'!G48</f>
        <v>ST-HC-CON</v>
      </c>
      <c r="F294" s="9" t="s">
        <v>578</v>
      </c>
      <c r="G294" s="9" t="s">
        <v>579</v>
      </c>
      <c r="H294" s="9" t="s">
        <v>580</v>
      </c>
      <c r="I294" s="9" t="s">
        <v>562</v>
      </c>
      <c r="J294" s="11" t="s">
        <v>238</v>
      </c>
      <c r="K294" s="47" t="n">
        <f aca="false">Controls!B26</f>
        <v>0</v>
      </c>
      <c r="L294" s="47" t="str">
        <f aca="false">IF(K294=1,"PASS","OPEN")</f>
        <v>OPEN</v>
      </c>
    </row>
    <row r="295" customFormat="false" ht="15" hidden="false" customHeight="false" outlineLevel="0" collapsed="false">
      <c r="A295" s="19" t="str">
        <f aca="false">"DEC-"&amp;B295&amp;"-G2"</f>
        <v>DEC-RIG-HC-CON-G2</v>
      </c>
      <c r="B295" s="19" t="str">
        <f aca="false">'Lot Register'!A48</f>
        <v>RIG-HC-CON</v>
      </c>
      <c r="C295" s="19" t="str">
        <f aca="false">'Lot Register'!B48</f>
        <v>Root-native rig</v>
      </c>
      <c r="D295" s="19" t="str">
        <f aca="false">'Lot Register'!D48</f>
        <v>MS-HC</v>
      </c>
      <c r="E295" s="19" t="str">
        <f aca="false">'Lot Register'!G48</f>
        <v>ST-HC-CON</v>
      </c>
      <c r="F295" s="9" t="s">
        <v>581</v>
      </c>
      <c r="G295" s="9" t="s">
        <v>582</v>
      </c>
      <c r="H295" s="9" t="s">
        <v>583</v>
      </c>
      <c r="I295" s="9" t="s">
        <v>560</v>
      </c>
      <c r="J295" s="11" t="s">
        <v>238</v>
      </c>
      <c r="K295" s="47" t="n">
        <f aca="false">Controls!B26</f>
        <v>0</v>
      </c>
      <c r="L295" s="47" t="str">
        <f aca="false">IF(K295=1,"PASS","OPEN")</f>
        <v>OPEN</v>
      </c>
    </row>
    <row r="296" customFormat="false" ht="15" hidden="false" customHeight="false" outlineLevel="0" collapsed="false">
      <c r="A296" s="19" t="str">
        <f aca="false">"DEC-"&amp;B296&amp;"-G3"</f>
        <v>DEC-RIG-HC-CON-G3</v>
      </c>
      <c r="B296" s="19" t="str">
        <f aca="false">'Lot Register'!A48</f>
        <v>RIG-HC-CON</v>
      </c>
      <c r="C296" s="19" t="str">
        <f aca="false">'Lot Register'!B48</f>
        <v>Root-native rig</v>
      </c>
      <c r="D296" s="19" t="str">
        <f aca="false">'Lot Register'!D48</f>
        <v>MS-HC</v>
      </c>
      <c r="E296" s="19" t="str">
        <f aca="false">'Lot Register'!G48</f>
        <v>ST-HC-CON</v>
      </c>
      <c r="F296" s="9" t="s">
        <v>584</v>
      </c>
      <c r="G296" s="9" t="s">
        <v>585</v>
      </c>
      <c r="H296" s="9" t="s">
        <v>586</v>
      </c>
      <c r="I296" s="9" t="s">
        <v>565</v>
      </c>
      <c r="J296" s="11" t="s">
        <v>238</v>
      </c>
      <c r="K296" s="47" t="n">
        <f aca="false">Controls!B26</f>
        <v>0</v>
      </c>
      <c r="L296" s="47" t="str">
        <f aca="false">IF(K296=1,"PASS","OPEN")</f>
        <v>OPEN</v>
      </c>
    </row>
    <row r="297" customFormat="false" ht="15" hidden="false" customHeight="false" outlineLevel="0" collapsed="false">
      <c r="A297" s="19" t="str">
        <f aca="false">"DEC-"&amp;B297&amp;"-G4"</f>
        <v>DEC-RIG-HC-CON-G4</v>
      </c>
      <c r="B297" s="19" t="str">
        <f aca="false">'Lot Register'!A48</f>
        <v>RIG-HC-CON</v>
      </c>
      <c r="C297" s="19" t="str">
        <f aca="false">'Lot Register'!B48</f>
        <v>Root-native rig</v>
      </c>
      <c r="D297" s="19" t="str">
        <f aca="false">'Lot Register'!D48</f>
        <v>MS-HC</v>
      </c>
      <c r="E297" s="19" t="str">
        <f aca="false">'Lot Register'!G48</f>
        <v>ST-HC-CON</v>
      </c>
      <c r="F297" s="9" t="s">
        <v>587</v>
      </c>
      <c r="G297" s="9" t="s">
        <v>588</v>
      </c>
      <c r="H297" s="9" t="s">
        <v>589</v>
      </c>
      <c r="I297" s="9" t="s">
        <v>562</v>
      </c>
      <c r="J297" s="11" t="s">
        <v>238</v>
      </c>
      <c r="K297" s="47" t="n">
        <f aca="false">Controls!B26</f>
        <v>0</v>
      </c>
      <c r="L297" s="47" t="str">
        <f aca="false">IF(K297=1,"PASS","OPEN")</f>
        <v>OPEN</v>
      </c>
    </row>
    <row r="298" customFormat="false" ht="15" hidden="false" customHeight="false" outlineLevel="0" collapsed="false">
      <c r="A298" s="19" t="str">
        <f aca="false">"DEC-"&amp;B298&amp;"-G5"</f>
        <v>DEC-RIG-HC-CON-G5</v>
      </c>
      <c r="B298" s="19" t="str">
        <f aca="false">'Lot Register'!A48</f>
        <v>RIG-HC-CON</v>
      </c>
      <c r="C298" s="19" t="str">
        <f aca="false">'Lot Register'!B48</f>
        <v>Root-native rig</v>
      </c>
      <c r="D298" s="19" t="str">
        <f aca="false">'Lot Register'!D48</f>
        <v>MS-HC</v>
      </c>
      <c r="E298" s="19" t="str">
        <f aca="false">'Lot Register'!G48</f>
        <v>ST-HC-CON</v>
      </c>
      <c r="F298" s="9" t="s">
        <v>590</v>
      </c>
      <c r="G298" s="9" t="s">
        <v>591</v>
      </c>
      <c r="H298" s="9" t="s">
        <v>592</v>
      </c>
      <c r="I298" s="9" t="s">
        <v>565</v>
      </c>
      <c r="J298" s="11" t="s">
        <v>238</v>
      </c>
      <c r="K298" s="47" t="n">
        <f aca="false">Controls!B26</f>
        <v>0</v>
      </c>
      <c r="L298" s="47" t="str">
        <f aca="false">IF(K298=1,"PASS","OPEN")</f>
        <v>OPEN</v>
      </c>
    </row>
    <row r="299" customFormat="false" ht="15" hidden="false" customHeight="false" outlineLevel="0" collapsed="false">
      <c r="A299" s="19" t="str">
        <f aca="false">"DEC-"&amp;B299&amp;"-G6"</f>
        <v>DEC-RIG-HC-CON-G6</v>
      </c>
      <c r="B299" s="19" t="str">
        <f aca="false">'Lot Register'!A48</f>
        <v>RIG-HC-CON</v>
      </c>
      <c r="C299" s="19" t="str">
        <f aca="false">'Lot Register'!B48</f>
        <v>Root-native rig</v>
      </c>
      <c r="D299" s="19" t="str">
        <f aca="false">'Lot Register'!D48</f>
        <v>MS-HC</v>
      </c>
      <c r="E299" s="19" t="str">
        <f aca="false">'Lot Register'!G48</f>
        <v>ST-HC-CON</v>
      </c>
      <c r="F299" s="9" t="s">
        <v>593</v>
      </c>
      <c r="G299" s="9" t="s">
        <v>594</v>
      </c>
      <c r="H299" s="9" t="s">
        <v>595</v>
      </c>
      <c r="I299" s="9" t="s">
        <v>570</v>
      </c>
      <c r="J299" s="11" t="s">
        <v>238</v>
      </c>
      <c r="K299" s="47" t="n">
        <f aca="false">Controls!B26</f>
        <v>0</v>
      </c>
      <c r="L299" s="47" t="str">
        <f aca="false">IF(K299=1,"PASS","OPEN")</f>
        <v>OPEN</v>
      </c>
    </row>
    <row r="300" customFormat="false" ht="15" hidden="false" customHeight="false" outlineLevel="0" collapsed="false">
      <c r="A300" s="19" t="str">
        <f aca="false">"DEC-"&amp;B300&amp;"-G7"</f>
        <v>DEC-RIG-HC-CON-G7</v>
      </c>
      <c r="B300" s="19" t="str">
        <f aca="false">'Lot Register'!A48</f>
        <v>RIG-HC-CON</v>
      </c>
      <c r="C300" s="19" t="str">
        <f aca="false">'Lot Register'!B48</f>
        <v>Root-native rig</v>
      </c>
      <c r="D300" s="19" t="str">
        <f aca="false">'Lot Register'!D48</f>
        <v>MS-HC</v>
      </c>
      <c r="E300" s="19" t="str">
        <f aca="false">'Lot Register'!G48</f>
        <v>ST-HC-CON</v>
      </c>
      <c r="F300" s="9" t="s">
        <v>596</v>
      </c>
      <c r="G300" s="9" t="s">
        <v>597</v>
      </c>
      <c r="H300" s="9" t="s">
        <v>598</v>
      </c>
      <c r="I300" s="9" t="s">
        <v>570</v>
      </c>
      <c r="J300" s="11" t="s">
        <v>238</v>
      </c>
      <c r="K300" s="47" t="n">
        <f aca="false">Controls!B26</f>
        <v>0</v>
      </c>
      <c r="L300" s="47" t="str">
        <f aca="false">IF(K300=1,"PASS","OPEN")</f>
        <v>OPEN</v>
      </c>
    </row>
    <row r="301" customFormat="false" ht="15" hidden="false" customHeight="false" outlineLevel="0" collapsed="false">
      <c r="A301" s="19" t="str">
        <f aca="false">"DEC-"&amp;B301&amp;"-G1"</f>
        <v>DEC-MTH-HC-CON-L1-G1</v>
      </c>
      <c r="B301" s="19" t="str">
        <f aca="false">'Lot Register'!A49</f>
        <v>MTH-HC-CON-L1</v>
      </c>
      <c r="C301" s="19" t="str">
        <f aca="false">'Lot Register'!B49</f>
        <v>Method lineage</v>
      </c>
      <c r="D301" s="19" t="str">
        <f aca="false">'Lot Register'!D49</f>
        <v>MS-HC</v>
      </c>
      <c r="E301" s="19" t="str">
        <f aca="false">'Lot Register'!G49</f>
        <v>ST-HC-CON</v>
      </c>
      <c r="F301" s="9" t="s">
        <v>578</v>
      </c>
      <c r="G301" s="9" t="s">
        <v>579</v>
      </c>
      <c r="H301" s="9" t="s">
        <v>580</v>
      </c>
      <c r="I301" s="9" t="s">
        <v>562</v>
      </c>
      <c r="J301" s="11" t="s">
        <v>238</v>
      </c>
      <c r="K301" s="47" t="n">
        <f aca="false">Controls!B26</f>
        <v>0</v>
      </c>
      <c r="L301" s="47" t="str">
        <f aca="false">IF(K301=1,"PASS","OPEN")</f>
        <v>OPEN</v>
      </c>
    </row>
    <row r="302" customFormat="false" ht="15" hidden="false" customHeight="false" outlineLevel="0" collapsed="false">
      <c r="A302" s="19" t="str">
        <f aca="false">"DEC-"&amp;B302&amp;"-G2"</f>
        <v>DEC-MTH-HC-CON-L1-G2</v>
      </c>
      <c r="B302" s="19" t="str">
        <f aca="false">'Lot Register'!A49</f>
        <v>MTH-HC-CON-L1</v>
      </c>
      <c r="C302" s="19" t="str">
        <f aca="false">'Lot Register'!B49</f>
        <v>Method lineage</v>
      </c>
      <c r="D302" s="19" t="str">
        <f aca="false">'Lot Register'!D49</f>
        <v>MS-HC</v>
      </c>
      <c r="E302" s="19" t="str">
        <f aca="false">'Lot Register'!G49</f>
        <v>ST-HC-CON</v>
      </c>
      <c r="F302" s="9" t="s">
        <v>581</v>
      </c>
      <c r="G302" s="9" t="s">
        <v>582</v>
      </c>
      <c r="H302" s="9" t="s">
        <v>583</v>
      </c>
      <c r="I302" s="9" t="s">
        <v>560</v>
      </c>
      <c r="J302" s="11" t="s">
        <v>238</v>
      </c>
      <c r="K302" s="47" t="n">
        <f aca="false">Controls!B26</f>
        <v>0</v>
      </c>
      <c r="L302" s="47" t="str">
        <f aca="false">IF(K302=1,"PASS","OPEN")</f>
        <v>OPEN</v>
      </c>
    </row>
    <row r="303" customFormat="false" ht="15" hidden="false" customHeight="false" outlineLevel="0" collapsed="false">
      <c r="A303" s="19" t="str">
        <f aca="false">"DEC-"&amp;B303&amp;"-G3"</f>
        <v>DEC-MTH-HC-CON-L1-G3</v>
      </c>
      <c r="B303" s="19" t="str">
        <f aca="false">'Lot Register'!A49</f>
        <v>MTH-HC-CON-L1</v>
      </c>
      <c r="C303" s="19" t="str">
        <f aca="false">'Lot Register'!B49</f>
        <v>Method lineage</v>
      </c>
      <c r="D303" s="19" t="str">
        <f aca="false">'Lot Register'!D49</f>
        <v>MS-HC</v>
      </c>
      <c r="E303" s="19" t="str">
        <f aca="false">'Lot Register'!G49</f>
        <v>ST-HC-CON</v>
      </c>
      <c r="F303" s="9" t="s">
        <v>584</v>
      </c>
      <c r="G303" s="9" t="s">
        <v>585</v>
      </c>
      <c r="H303" s="9" t="s">
        <v>586</v>
      </c>
      <c r="I303" s="9" t="s">
        <v>565</v>
      </c>
      <c r="J303" s="11" t="s">
        <v>238</v>
      </c>
      <c r="K303" s="47" t="n">
        <f aca="false">Controls!B26</f>
        <v>0</v>
      </c>
      <c r="L303" s="47" t="str">
        <f aca="false">IF(K303=1,"PASS","OPEN")</f>
        <v>OPEN</v>
      </c>
    </row>
    <row r="304" customFormat="false" ht="15" hidden="false" customHeight="false" outlineLevel="0" collapsed="false">
      <c r="A304" s="19" t="str">
        <f aca="false">"DEC-"&amp;B304&amp;"-G4"</f>
        <v>DEC-MTH-HC-CON-L1-G4</v>
      </c>
      <c r="B304" s="19" t="str">
        <f aca="false">'Lot Register'!A49</f>
        <v>MTH-HC-CON-L1</v>
      </c>
      <c r="C304" s="19" t="str">
        <f aca="false">'Lot Register'!B49</f>
        <v>Method lineage</v>
      </c>
      <c r="D304" s="19" t="str">
        <f aca="false">'Lot Register'!D49</f>
        <v>MS-HC</v>
      </c>
      <c r="E304" s="19" t="str">
        <f aca="false">'Lot Register'!G49</f>
        <v>ST-HC-CON</v>
      </c>
      <c r="F304" s="9" t="s">
        <v>587</v>
      </c>
      <c r="G304" s="9" t="s">
        <v>588</v>
      </c>
      <c r="H304" s="9" t="s">
        <v>589</v>
      </c>
      <c r="I304" s="9" t="s">
        <v>562</v>
      </c>
      <c r="J304" s="11" t="s">
        <v>238</v>
      </c>
      <c r="K304" s="47" t="n">
        <f aca="false">Controls!B26</f>
        <v>0</v>
      </c>
      <c r="L304" s="47" t="str">
        <f aca="false">IF(K304=1,"PASS","OPEN")</f>
        <v>OPEN</v>
      </c>
    </row>
    <row r="305" customFormat="false" ht="15" hidden="false" customHeight="false" outlineLevel="0" collapsed="false">
      <c r="A305" s="19" t="str">
        <f aca="false">"DEC-"&amp;B305&amp;"-G5"</f>
        <v>DEC-MTH-HC-CON-L1-G5</v>
      </c>
      <c r="B305" s="19" t="str">
        <f aca="false">'Lot Register'!A49</f>
        <v>MTH-HC-CON-L1</v>
      </c>
      <c r="C305" s="19" t="str">
        <f aca="false">'Lot Register'!B49</f>
        <v>Method lineage</v>
      </c>
      <c r="D305" s="19" t="str">
        <f aca="false">'Lot Register'!D49</f>
        <v>MS-HC</v>
      </c>
      <c r="E305" s="19" t="str">
        <f aca="false">'Lot Register'!G49</f>
        <v>ST-HC-CON</v>
      </c>
      <c r="F305" s="9" t="s">
        <v>590</v>
      </c>
      <c r="G305" s="9" t="s">
        <v>591</v>
      </c>
      <c r="H305" s="9" t="s">
        <v>592</v>
      </c>
      <c r="I305" s="9" t="s">
        <v>565</v>
      </c>
      <c r="J305" s="11" t="s">
        <v>238</v>
      </c>
      <c r="K305" s="47" t="n">
        <f aca="false">Controls!B26</f>
        <v>0</v>
      </c>
      <c r="L305" s="47" t="str">
        <f aca="false">IF(K305=1,"PASS","OPEN")</f>
        <v>OPEN</v>
      </c>
    </row>
    <row r="306" customFormat="false" ht="15" hidden="false" customHeight="false" outlineLevel="0" collapsed="false">
      <c r="A306" s="19" t="str">
        <f aca="false">"DEC-"&amp;B306&amp;"-G6"</f>
        <v>DEC-MTH-HC-CON-L1-G6</v>
      </c>
      <c r="B306" s="19" t="str">
        <f aca="false">'Lot Register'!A49</f>
        <v>MTH-HC-CON-L1</v>
      </c>
      <c r="C306" s="19" t="str">
        <f aca="false">'Lot Register'!B49</f>
        <v>Method lineage</v>
      </c>
      <c r="D306" s="19" t="str">
        <f aca="false">'Lot Register'!D49</f>
        <v>MS-HC</v>
      </c>
      <c r="E306" s="19" t="str">
        <f aca="false">'Lot Register'!G49</f>
        <v>ST-HC-CON</v>
      </c>
      <c r="F306" s="9" t="s">
        <v>593</v>
      </c>
      <c r="G306" s="9" t="s">
        <v>594</v>
      </c>
      <c r="H306" s="9" t="s">
        <v>595</v>
      </c>
      <c r="I306" s="9" t="s">
        <v>570</v>
      </c>
      <c r="J306" s="11" t="s">
        <v>238</v>
      </c>
      <c r="K306" s="47" t="n">
        <f aca="false">Controls!B26</f>
        <v>0</v>
      </c>
      <c r="L306" s="47" t="str">
        <f aca="false">IF(K306=1,"PASS","OPEN")</f>
        <v>OPEN</v>
      </c>
    </row>
    <row r="307" customFormat="false" ht="15" hidden="false" customHeight="false" outlineLevel="0" collapsed="false">
      <c r="A307" s="19" t="str">
        <f aca="false">"DEC-"&amp;B307&amp;"-G7"</f>
        <v>DEC-MTH-HC-CON-L1-G7</v>
      </c>
      <c r="B307" s="19" t="str">
        <f aca="false">'Lot Register'!A49</f>
        <v>MTH-HC-CON-L1</v>
      </c>
      <c r="C307" s="19" t="str">
        <f aca="false">'Lot Register'!B49</f>
        <v>Method lineage</v>
      </c>
      <c r="D307" s="19" t="str">
        <f aca="false">'Lot Register'!D49</f>
        <v>MS-HC</v>
      </c>
      <c r="E307" s="19" t="str">
        <f aca="false">'Lot Register'!G49</f>
        <v>ST-HC-CON</v>
      </c>
      <c r="F307" s="9" t="s">
        <v>596</v>
      </c>
      <c r="G307" s="9" t="s">
        <v>597</v>
      </c>
      <c r="H307" s="9" t="s">
        <v>598</v>
      </c>
      <c r="I307" s="9" t="s">
        <v>570</v>
      </c>
      <c r="J307" s="11" t="s">
        <v>238</v>
      </c>
      <c r="K307" s="47" t="n">
        <f aca="false">Controls!B26</f>
        <v>0</v>
      </c>
      <c r="L307" s="47" t="str">
        <f aca="false">IF(K307=1,"PASS","OPEN")</f>
        <v>OPEN</v>
      </c>
    </row>
    <row r="308" customFormat="false" ht="15" hidden="false" customHeight="false" outlineLevel="0" collapsed="false">
      <c r="A308" s="19" t="str">
        <f aca="false">"DEC-"&amp;B308&amp;"-G1"</f>
        <v>DEC-MTH-HC-CON-L2-G1</v>
      </c>
      <c r="B308" s="19" t="str">
        <f aca="false">'Lot Register'!A50</f>
        <v>MTH-HC-CON-L2</v>
      </c>
      <c r="C308" s="19" t="str">
        <f aca="false">'Lot Register'!B50</f>
        <v>Method lineage</v>
      </c>
      <c r="D308" s="19" t="str">
        <f aca="false">'Lot Register'!D50</f>
        <v>MS-HC</v>
      </c>
      <c r="E308" s="19" t="str">
        <f aca="false">'Lot Register'!G50</f>
        <v>ST-HC-CON</v>
      </c>
      <c r="F308" s="9" t="s">
        <v>578</v>
      </c>
      <c r="G308" s="9" t="s">
        <v>579</v>
      </c>
      <c r="H308" s="9" t="s">
        <v>580</v>
      </c>
      <c r="I308" s="9" t="s">
        <v>562</v>
      </c>
      <c r="J308" s="11" t="s">
        <v>238</v>
      </c>
      <c r="K308" s="47" t="n">
        <f aca="false">Controls!B26</f>
        <v>0</v>
      </c>
      <c r="L308" s="47" t="str">
        <f aca="false">IF(K308=1,"PASS","OPEN")</f>
        <v>OPEN</v>
      </c>
    </row>
    <row r="309" customFormat="false" ht="15" hidden="false" customHeight="false" outlineLevel="0" collapsed="false">
      <c r="A309" s="19" t="str">
        <f aca="false">"DEC-"&amp;B309&amp;"-G2"</f>
        <v>DEC-MTH-HC-CON-L2-G2</v>
      </c>
      <c r="B309" s="19" t="str">
        <f aca="false">'Lot Register'!A50</f>
        <v>MTH-HC-CON-L2</v>
      </c>
      <c r="C309" s="19" t="str">
        <f aca="false">'Lot Register'!B50</f>
        <v>Method lineage</v>
      </c>
      <c r="D309" s="19" t="str">
        <f aca="false">'Lot Register'!D50</f>
        <v>MS-HC</v>
      </c>
      <c r="E309" s="19" t="str">
        <f aca="false">'Lot Register'!G50</f>
        <v>ST-HC-CON</v>
      </c>
      <c r="F309" s="9" t="s">
        <v>581</v>
      </c>
      <c r="G309" s="9" t="s">
        <v>582</v>
      </c>
      <c r="H309" s="9" t="s">
        <v>583</v>
      </c>
      <c r="I309" s="9" t="s">
        <v>560</v>
      </c>
      <c r="J309" s="11" t="s">
        <v>238</v>
      </c>
      <c r="K309" s="47" t="n">
        <f aca="false">Controls!B26</f>
        <v>0</v>
      </c>
      <c r="L309" s="47" t="str">
        <f aca="false">IF(K309=1,"PASS","OPEN")</f>
        <v>OPEN</v>
      </c>
    </row>
    <row r="310" customFormat="false" ht="15" hidden="false" customHeight="false" outlineLevel="0" collapsed="false">
      <c r="A310" s="19" t="str">
        <f aca="false">"DEC-"&amp;B310&amp;"-G3"</f>
        <v>DEC-MTH-HC-CON-L2-G3</v>
      </c>
      <c r="B310" s="19" t="str">
        <f aca="false">'Lot Register'!A50</f>
        <v>MTH-HC-CON-L2</v>
      </c>
      <c r="C310" s="19" t="str">
        <f aca="false">'Lot Register'!B50</f>
        <v>Method lineage</v>
      </c>
      <c r="D310" s="19" t="str">
        <f aca="false">'Lot Register'!D50</f>
        <v>MS-HC</v>
      </c>
      <c r="E310" s="19" t="str">
        <f aca="false">'Lot Register'!G50</f>
        <v>ST-HC-CON</v>
      </c>
      <c r="F310" s="9" t="s">
        <v>584</v>
      </c>
      <c r="G310" s="9" t="s">
        <v>585</v>
      </c>
      <c r="H310" s="9" t="s">
        <v>586</v>
      </c>
      <c r="I310" s="9" t="s">
        <v>565</v>
      </c>
      <c r="J310" s="11" t="s">
        <v>238</v>
      </c>
      <c r="K310" s="47" t="n">
        <f aca="false">Controls!B26</f>
        <v>0</v>
      </c>
      <c r="L310" s="47" t="str">
        <f aca="false">IF(K310=1,"PASS","OPEN")</f>
        <v>OPEN</v>
      </c>
    </row>
    <row r="311" customFormat="false" ht="15" hidden="false" customHeight="false" outlineLevel="0" collapsed="false">
      <c r="A311" s="19" t="str">
        <f aca="false">"DEC-"&amp;B311&amp;"-G4"</f>
        <v>DEC-MTH-HC-CON-L2-G4</v>
      </c>
      <c r="B311" s="19" t="str">
        <f aca="false">'Lot Register'!A50</f>
        <v>MTH-HC-CON-L2</v>
      </c>
      <c r="C311" s="19" t="str">
        <f aca="false">'Lot Register'!B50</f>
        <v>Method lineage</v>
      </c>
      <c r="D311" s="19" t="str">
        <f aca="false">'Lot Register'!D50</f>
        <v>MS-HC</v>
      </c>
      <c r="E311" s="19" t="str">
        <f aca="false">'Lot Register'!G50</f>
        <v>ST-HC-CON</v>
      </c>
      <c r="F311" s="9" t="s">
        <v>587</v>
      </c>
      <c r="G311" s="9" t="s">
        <v>588</v>
      </c>
      <c r="H311" s="9" t="s">
        <v>589</v>
      </c>
      <c r="I311" s="9" t="s">
        <v>562</v>
      </c>
      <c r="J311" s="11" t="s">
        <v>238</v>
      </c>
      <c r="K311" s="47" t="n">
        <f aca="false">Controls!B26</f>
        <v>0</v>
      </c>
      <c r="L311" s="47" t="str">
        <f aca="false">IF(K311=1,"PASS","OPEN")</f>
        <v>OPEN</v>
      </c>
    </row>
    <row r="312" customFormat="false" ht="15" hidden="false" customHeight="false" outlineLevel="0" collapsed="false">
      <c r="A312" s="19" t="str">
        <f aca="false">"DEC-"&amp;B312&amp;"-G5"</f>
        <v>DEC-MTH-HC-CON-L2-G5</v>
      </c>
      <c r="B312" s="19" t="str">
        <f aca="false">'Lot Register'!A50</f>
        <v>MTH-HC-CON-L2</v>
      </c>
      <c r="C312" s="19" t="str">
        <f aca="false">'Lot Register'!B50</f>
        <v>Method lineage</v>
      </c>
      <c r="D312" s="19" t="str">
        <f aca="false">'Lot Register'!D50</f>
        <v>MS-HC</v>
      </c>
      <c r="E312" s="19" t="str">
        <f aca="false">'Lot Register'!G50</f>
        <v>ST-HC-CON</v>
      </c>
      <c r="F312" s="9" t="s">
        <v>590</v>
      </c>
      <c r="G312" s="9" t="s">
        <v>591</v>
      </c>
      <c r="H312" s="9" t="s">
        <v>592</v>
      </c>
      <c r="I312" s="9" t="s">
        <v>565</v>
      </c>
      <c r="J312" s="11" t="s">
        <v>238</v>
      </c>
      <c r="K312" s="47" t="n">
        <f aca="false">Controls!B26</f>
        <v>0</v>
      </c>
      <c r="L312" s="47" t="str">
        <f aca="false">IF(K312=1,"PASS","OPEN")</f>
        <v>OPEN</v>
      </c>
    </row>
    <row r="313" customFormat="false" ht="15" hidden="false" customHeight="false" outlineLevel="0" collapsed="false">
      <c r="A313" s="19" t="str">
        <f aca="false">"DEC-"&amp;B313&amp;"-G6"</f>
        <v>DEC-MTH-HC-CON-L2-G6</v>
      </c>
      <c r="B313" s="19" t="str">
        <f aca="false">'Lot Register'!A50</f>
        <v>MTH-HC-CON-L2</v>
      </c>
      <c r="C313" s="19" t="str">
        <f aca="false">'Lot Register'!B50</f>
        <v>Method lineage</v>
      </c>
      <c r="D313" s="19" t="str">
        <f aca="false">'Lot Register'!D50</f>
        <v>MS-HC</v>
      </c>
      <c r="E313" s="19" t="str">
        <f aca="false">'Lot Register'!G50</f>
        <v>ST-HC-CON</v>
      </c>
      <c r="F313" s="9" t="s">
        <v>593</v>
      </c>
      <c r="G313" s="9" t="s">
        <v>594</v>
      </c>
      <c r="H313" s="9" t="s">
        <v>595</v>
      </c>
      <c r="I313" s="9" t="s">
        <v>570</v>
      </c>
      <c r="J313" s="11" t="s">
        <v>238</v>
      </c>
      <c r="K313" s="47" t="n">
        <f aca="false">Controls!B26</f>
        <v>0</v>
      </c>
      <c r="L313" s="47" t="str">
        <f aca="false">IF(K313=1,"PASS","OPEN")</f>
        <v>OPEN</v>
      </c>
    </row>
    <row r="314" customFormat="false" ht="15" hidden="false" customHeight="false" outlineLevel="0" collapsed="false">
      <c r="A314" s="19" t="str">
        <f aca="false">"DEC-"&amp;B314&amp;"-G7"</f>
        <v>DEC-MTH-HC-CON-L2-G7</v>
      </c>
      <c r="B314" s="19" t="str">
        <f aca="false">'Lot Register'!A50</f>
        <v>MTH-HC-CON-L2</v>
      </c>
      <c r="C314" s="19" t="str">
        <f aca="false">'Lot Register'!B50</f>
        <v>Method lineage</v>
      </c>
      <c r="D314" s="19" t="str">
        <f aca="false">'Lot Register'!D50</f>
        <v>MS-HC</v>
      </c>
      <c r="E314" s="19" t="str">
        <f aca="false">'Lot Register'!G50</f>
        <v>ST-HC-CON</v>
      </c>
      <c r="F314" s="9" t="s">
        <v>596</v>
      </c>
      <c r="G314" s="9" t="s">
        <v>597</v>
      </c>
      <c r="H314" s="9" t="s">
        <v>598</v>
      </c>
      <c r="I314" s="9" t="s">
        <v>570</v>
      </c>
      <c r="J314" s="11" t="s">
        <v>238</v>
      </c>
      <c r="K314" s="47" t="n">
        <f aca="false">Controls!B26</f>
        <v>0</v>
      </c>
      <c r="L314" s="47" t="str">
        <f aca="false">IF(K314=1,"PASS","OPEN")</f>
        <v>OPEN</v>
      </c>
    </row>
    <row r="315" customFormat="false" ht="15" hidden="false" customHeight="false" outlineLevel="0" collapsed="false">
      <c r="A315" s="19" t="str">
        <f aca="false">"DEC-"&amp;B315&amp;"-G1"</f>
        <v>DEC-REG-HC-CON-G1</v>
      </c>
      <c r="B315" s="19" t="str">
        <f aca="false">'Lot Register'!A51</f>
        <v>REG-HC-CON</v>
      </c>
      <c r="C315" s="19" t="str">
        <f aca="false">'Lot Register'!B51</f>
        <v>Regeneration tool</v>
      </c>
      <c r="D315" s="19" t="str">
        <f aca="false">'Lot Register'!D51</f>
        <v>MS-HC</v>
      </c>
      <c r="E315" s="19" t="str">
        <f aca="false">'Lot Register'!G51</f>
        <v>ST-HC-CON</v>
      </c>
      <c r="F315" s="9" t="s">
        <v>578</v>
      </c>
      <c r="G315" s="9" t="s">
        <v>579</v>
      </c>
      <c r="H315" s="9" t="s">
        <v>580</v>
      </c>
      <c r="I315" s="9" t="s">
        <v>562</v>
      </c>
      <c r="J315" s="11" t="s">
        <v>238</v>
      </c>
      <c r="K315" s="47" t="n">
        <f aca="false">Controls!B26</f>
        <v>0</v>
      </c>
      <c r="L315" s="47" t="str">
        <f aca="false">IF(K315=1,"PASS","OPEN")</f>
        <v>OPEN</v>
      </c>
    </row>
    <row r="316" customFormat="false" ht="15" hidden="false" customHeight="false" outlineLevel="0" collapsed="false">
      <c r="A316" s="19" t="str">
        <f aca="false">"DEC-"&amp;B316&amp;"-G2"</f>
        <v>DEC-REG-HC-CON-G2</v>
      </c>
      <c r="B316" s="19" t="str">
        <f aca="false">'Lot Register'!A51</f>
        <v>REG-HC-CON</v>
      </c>
      <c r="C316" s="19" t="str">
        <f aca="false">'Lot Register'!B51</f>
        <v>Regeneration tool</v>
      </c>
      <c r="D316" s="19" t="str">
        <f aca="false">'Lot Register'!D51</f>
        <v>MS-HC</v>
      </c>
      <c r="E316" s="19" t="str">
        <f aca="false">'Lot Register'!G51</f>
        <v>ST-HC-CON</v>
      </c>
      <c r="F316" s="9" t="s">
        <v>581</v>
      </c>
      <c r="G316" s="9" t="s">
        <v>582</v>
      </c>
      <c r="H316" s="9" t="s">
        <v>583</v>
      </c>
      <c r="I316" s="9" t="s">
        <v>560</v>
      </c>
      <c r="J316" s="11" t="s">
        <v>238</v>
      </c>
      <c r="K316" s="47" t="n">
        <f aca="false">Controls!B26</f>
        <v>0</v>
      </c>
      <c r="L316" s="47" t="str">
        <f aca="false">IF(K316=1,"PASS","OPEN")</f>
        <v>OPEN</v>
      </c>
    </row>
    <row r="317" customFormat="false" ht="15" hidden="false" customHeight="false" outlineLevel="0" collapsed="false">
      <c r="A317" s="19" t="str">
        <f aca="false">"DEC-"&amp;B317&amp;"-G3"</f>
        <v>DEC-REG-HC-CON-G3</v>
      </c>
      <c r="B317" s="19" t="str">
        <f aca="false">'Lot Register'!A51</f>
        <v>REG-HC-CON</v>
      </c>
      <c r="C317" s="19" t="str">
        <f aca="false">'Lot Register'!B51</f>
        <v>Regeneration tool</v>
      </c>
      <c r="D317" s="19" t="str">
        <f aca="false">'Lot Register'!D51</f>
        <v>MS-HC</v>
      </c>
      <c r="E317" s="19" t="str">
        <f aca="false">'Lot Register'!G51</f>
        <v>ST-HC-CON</v>
      </c>
      <c r="F317" s="9" t="s">
        <v>584</v>
      </c>
      <c r="G317" s="9" t="s">
        <v>585</v>
      </c>
      <c r="H317" s="9" t="s">
        <v>586</v>
      </c>
      <c r="I317" s="9" t="s">
        <v>565</v>
      </c>
      <c r="J317" s="11" t="s">
        <v>238</v>
      </c>
      <c r="K317" s="47" t="n">
        <f aca="false">Controls!B26</f>
        <v>0</v>
      </c>
      <c r="L317" s="47" t="str">
        <f aca="false">IF(K317=1,"PASS","OPEN")</f>
        <v>OPEN</v>
      </c>
    </row>
    <row r="318" customFormat="false" ht="15" hidden="false" customHeight="false" outlineLevel="0" collapsed="false">
      <c r="A318" s="19" t="str">
        <f aca="false">"DEC-"&amp;B318&amp;"-G4"</f>
        <v>DEC-REG-HC-CON-G4</v>
      </c>
      <c r="B318" s="19" t="str">
        <f aca="false">'Lot Register'!A51</f>
        <v>REG-HC-CON</v>
      </c>
      <c r="C318" s="19" t="str">
        <f aca="false">'Lot Register'!B51</f>
        <v>Regeneration tool</v>
      </c>
      <c r="D318" s="19" t="str">
        <f aca="false">'Lot Register'!D51</f>
        <v>MS-HC</v>
      </c>
      <c r="E318" s="19" t="str">
        <f aca="false">'Lot Register'!G51</f>
        <v>ST-HC-CON</v>
      </c>
      <c r="F318" s="9" t="s">
        <v>587</v>
      </c>
      <c r="G318" s="9" t="s">
        <v>588</v>
      </c>
      <c r="H318" s="9" t="s">
        <v>589</v>
      </c>
      <c r="I318" s="9" t="s">
        <v>562</v>
      </c>
      <c r="J318" s="11" t="s">
        <v>238</v>
      </c>
      <c r="K318" s="47" t="n">
        <f aca="false">Controls!B26</f>
        <v>0</v>
      </c>
      <c r="L318" s="47" t="str">
        <f aca="false">IF(K318=1,"PASS","OPEN")</f>
        <v>OPEN</v>
      </c>
    </row>
    <row r="319" customFormat="false" ht="15" hidden="false" customHeight="false" outlineLevel="0" collapsed="false">
      <c r="A319" s="19" t="str">
        <f aca="false">"DEC-"&amp;B319&amp;"-G5"</f>
        <v>DEC-REG-HC-CON-G5</v>
      </c>
      <c r="B319" s="19" t="str">
        <f aca="false">'Lot Register'!A51</f>
        <v>REG-HC-CON</v>
      </c>
      <c r="C319" s="19" t="str">
        <f aca="false">'Lot Register'!B51</f>
        <v>Regeneration tool</v>
      </c>
      <c r="D319" s="19" t="str">
        <f aca="false">'Lot Register'!D51</f>
        <v>MS-HC</v>
      </c>
      <c r="E319" s="19" t="str">
        <f aca="false">'Lot Register'!G51</f>
        <v>ST-HC-CON</v>
      </c>
      <c r="F319" s="9" t="s">
        <v>590</v>
      </c>
      <c r="G319" s="9" t="s">
        <v>591</v>
      </c>
      <c r="H319" s="9" t="s">
        <v>592</v>
      </c>
      <c r="I319" s="9" t="s">
        <v>565</v>
      </c>
      <c r="J319" s="11" t="s">
        <v>238</v>
      </c>
      <c r="K319" s="47" t="n">
        <f aca="false">Controls!B26</f>
        <v>0</v>
      </c>
      <c r="L319" s="47" t="str">
        <f aca="false">IF(K319=1,"PASS","OPEN")</f>
        <v>OPEN</v>
      </c>
    </row>
    <row r="320" customFormat="false" ht="15" hidden="false" customHeight="false" outlineLevel="0" collapsed="false">
      <c r="A320" s="19" t="str">
        <f aca="false">"DEC-"&amp;B320&amp;"-G6"</f>
        <v>DEC-REG-HC-CON-G6</v>
      </c>
      <c r="B320" s="19" t="str">
        <f aca="false">'Lot Register'!A51</f>
        <v>REG-HC-CON</v>
      </c>
      <c r="C320" s="19" t="str">
        <f aca="false">'Lot Register'!B51</f>
        <v>Regeneration tool</v>
      </c>
      <c r="D320" s="19" t="str">
        <f aca="false">'Lot Register'!D51</f>
        <v>MS-HC</v>
      </c>
      <c r="E320" s="19" t="str">
        <f aca="false">'Lot Register'!G51</f>
        <v>ST-HC-CON</v>
      </c>
      <c r="F320" s="9" t="s">
        <v>593</v>
      </c>
      <c r="G320" s="9" t="s">
        <v>594</v>
      </c>
      <c r="H320" s="9" t="s">
        <v>595</v>
      </c>
      <c r="I320" s="9" t="s">
        <v>570</v>
      </c>
      <c r="J320" s="11" t="s">
        <v>238</v>
      </c>
      <c r="K320" s="47" t="n">
        <f aca="false">Controls!B26</f>
        <v>0</v>
      </c>
      <c r="L320" s="47" t="str">
        <f aca="false">IF(K320=1,"PASS","OPEN")</f>
        <v>OPEN</v>
      </c>
    </row>
    <row r="321" customFormat="false" ht="15" hidden="false" customHeight="false" outlineLevel="0" collapsed="false">
      <c r="A321" s="19" t="str">
        <f aca="false">"DEC-"&amp;B321&amp;"-G7"</f>
        <v>DEC-REG-HC-CON-G7</v>
      </c>
      <c r="B321" s="19" t="str">
        <f aca="false">'Lot Register'!A51</f>
        <v>REG-HC-CON</v>
      </c>
      <c r="C321" s="19" t="str">
        <f aca="false">'Lot Register'!B51</f>
        <v>Regeneration tool</v>
      </c>
      <c r="D321" s="19" t="str">
        <f aca="false">'Lot Register'!D51</f>
        <v>MS-HC</v>
      </c>
      <c r="E321" s="19" t="str">
        <f aca="false">'Lot Register'!G51</f>
        <v>ST-HC-CON</v>
      </c>
      <c r="F321" s="9" t="s">
        <v>596</v>
      </c>
      <c r="G321" s="9" t="s">
        <v>597</v>
      </c>
      <c r="H321" s="9" t="s">
        <v>598</v>
      </c>
      <c r="I321" s="9" t="s">
        <v>570</v>
      </c>
      <c r="J321" s="11" t="s">
        <v>238</v>
      </c>
      <c r="K321" s="47" t="n">
        <f aca="false">Controls!B26</f>
        <v>0</v>
      </c>
      <c r="L321" s="47" t="str">
        <f aca="false">IF(K321=1,"PASS","OPEN")</f>
        <v>OPEN</v>
      </c>
    </row>
    <row r="322" customFormat="false" ht="15" hidden="false" customHeight="false" outlineLevel="0" collapsed="false">
      <c r="A322" s="19" t="str">
        <f aca="false">"DEC-"&amp;B322&amp;"-G1"</f>
        <v>DEC-INT-HC-CON-G1</v>
      </c>
      <c r="B322" s="19" t="str">
        <f aca="false">'Lot Register'!A52</f>
        <v>INT-HC-CON</v>
      </c>
      <c r="C322" s="19" t="str">
        <f aca="false">'Lot Register'!B52</f>
        <v>Station integration</v>
      </c>
      <c r="D322" s="19" t="str">
        <f aca="false">'Lot Register'!D52</f>
        <v>MS-HC</v>
      </c>
      <c r="E322" s="19" t="str">
        <f aca="false">'Lot Register'!G52</f>
        <v>ST-HC-CON</v>
      </c>
      <c r="F322" s="9" t="s">
        <v>578</v>
      </c>
      <c r="G322" s="9" t="s">
        <v>579</v>
      </c>
      <c r="H322" s="9" t="s">
        <v>580</v>
      </c>
      <c r="I322" s="9" t="s">
        <v>562</v>
      </c>
      <c r="J322" s="11" t="s">
        <v>238</v>
      </c>
      <c r="K322" s="47" t="n">
        <f aca="false">Controls!B26</f>
        <v>0</v>
      </c>
      <c r="L322" s="47" t="str">
        <f aca="false">IF(K322=1,"PASS","OPEN")</f>
        <v>OPEN</v>
      </c>
    </row>
    <row r="323" customFormat="false" ht="15" hidden="false" customHeight="false" outlineLevel="0" collapsed="false">
      <c r="A323" s="19" t="str">
        <f aca="false">"DEC-"&amp;B323&amp;"-G2"</f>
        <v>DEC-INT-HC-CON-G2</v>
      </c>
      <c r="B323" s="19" t="str">
        <f aca="false">'Lot Register'!A52</f>
        <v>INT-HC-CON</v>
      </c>
      <c r="C323" s="19" t="str">
        <f aca="false">'Lot Register'!B52</f>
        <v>Station integration</v>
      </c>
      <c r="D323" s="19" t="str">
        <f aca="false">'Lot Register'!D52</f>
        <v>MS-HC</v>
      </c>
      <c r="E323" s="19" t="str">
        <f aca="false">'Lot Register'!G52</f>
        <v>ST-HC-CON</v>
      </c>
      <c r="F323" s="9" t="s">
        <v>581</v>
      </c>
      <c r="G323" s="9" t="s">
        <v>582</v>
      </c>
      <c r="H323" s="9" t="s">
        <v>583</v>
      </c>
      <c r="I323" s="9" t="s">
        <v>560</v>
      </c>
      <c r="J323" s="11" t="s">
        <v>238</v>
      </c>
      <c r="K323" s="47" t="n">
        <f aca="false">Controls!B26</f>
        <v>0</v>
      </c>
      <c r="L323" s="47" t="str">
        <f aca="false">IF(K323=1,"PASS","OPEN")</f>
        <v>OPEN</v>
      </c>
    </row>
    <row r="324" customFormat="false" ht="15" hidden="false" customHeight="false" outlineLevel="0" collapsed="false">
      <c r="A324" s="19" t="str">
        <f aca="false">"DEC-"&amp;B324&amp;"-G3"</f>
        <v>DEC-INT-HC-CON-G3</v>
      </c>
      <c r="B324" s="19" t="str">
        <f aca="false">'Lot Register'!A52</f>
        <v>INT-HC-CON</v>
      </c>
      <c r="C324" s="19" t="str">
        <f aca="false">'Lot Register'!B52</f>
        <v>Station integration</v>
      </c>
      <c r="D324" s="19" t="str">
        <f aca="false">'Lot Register'!D52</f>
        <v>MS-HC</v>
      </c>
      <c r="E324" s="19" t="str">
        <f aca="false">'Lot Register'!G52</f>
        <v>ST-HC-CON</v>
      </c>
      <c r="F324" s="9" t="s">
        <v>584</v>
      </c>
      <c r="G324" s="9" t="s">
        <v>585</v>
      </c>
      <c r="H324" s="9" t="s">
        <v>586</v>
      </c>
      <c r="I324" s="9" t="s">
        <v>565</v>
      </c>
      <c r="J324" s="11" t="s">
        <v>238</v>
      </c>
      <c r="K324" s="47" t="n">
        <f aca="false">Controls!B26</f>
        <v>0</v>
      </c>
      <c r="L324" s="47" t="str">
        <f aca="false">IF(K324=1,"PASS","OPEN")</f>
        <v>OPEN</v>
      </c>
    </row>
    <row r="325" customFormat="false" ht="15" hidden="false" customHeight="false" outlineLevel="0" collapsed="false">
      <c r="A325" s="19" t="str">
        <f aca="false">"DEC-"&amp;B325&amp;"-G4"</f>
        <v>DEC-INT-HC-CON-G4</v>
      </c>
      <c r="B325" s="19" t="str">
        <f aca="false">'Lot Register'!A52</f>
        <v>INT-HC-CON</v>
      </c>
      <c r="C325" s="19" t="str">
        <f aca="false">'Lot Register'!B52</f>
        <v>Station integration</v>
      </c>
      <c r="D325" s="19" t="str">
        <f aca="false">'Lot Register'!D52</f>
        <v>MS-HC</v>
      </c>
      <c r="E325" s="19" t="str">
        <f aca="false">'Lot Register'!G52</f>
        <v>ST-HC-CON</v>
      </c>
      <c r="F325" s="9" t="s">
        <v>587</v>
      </c>
      <c r="G325" s="9" t="s">
        <v>588</v>
      </c>
      <c r="H325" s="9" t="s">
        <v>589</v>
      </c>
      <c r="I325" s="9" t="s">
        <v>562</v>
      </c>
      <c r="J325" s="11" t="s">
        <v>238</v>
      </c>
      <c r="K325" s="47" t="n">
        <f aca="false">Controls!B26</f>
        <v>0</v>
      </c>
      <c r="L325" s="47" t="str">
        <f aca="false">IF(K325=1,"PASS","OPEN")</f>
        <v>OPEN</v>
      </c>
    </row>
    <row r="326" customFormat="false" ht="15" hidden="false" customHeight="false" outlineLevel="0" collapsed="false">
      <c r="A326" s="19" t="str">
        <f aca="false">"DEC-"&amp;B326&amp;"-G5"</f>
        <v>DEC-INT-HC-CON-G5</v>
      </c>
      <c r="B326" s="19" t="str">
        <f aca="false">'Lot Register'!A52</f>
        <v>INT-HC-CON</v>
      </c>
      <c r="C326" s="19" t="str">
        <f aca="false">'Lot Register'!B52</f>
        <v>Station integration</v>
      </c>
      <c r="D326" s="19" t="str">
        <f aca="false">'Lot Register'!D52</f>
        <v>MS-HC</v>
      </c>
      <c r="E326" s="19" t="str">
        <f aca="false">'Lot Register'!G52</f>
        <v>ST-HC-CON</v>
      </c>
      <c r="F326" s="9" t="s">
        <v>590</v>
      </c>
      <c r="G326" s="9" t="s">
        <v>591</v>
      </c>
      <c r="H326" s="9" t="s">
        <v>592</v>
      </c>
      <c r="I326" s="9" t="s">
        <v>565</v>
      </c>
      <c r="J326" s="11" t="s">
        <v>238</v>
      </c>
      <c r="K326" s="47" t="n">
        <f aca="false">Controls!B26</f>
        <v>0</v>
      </c>
      <c r="L326" s="47" t="str">
        <f aca="false">IF(K326=1,"PASS","OPEN")</f>
        <v>OPEN</v>
      </c>
    </row>
    <row r="327" customFormat="false" ht="15" hidden="false" customHeight="false" outlineLevel="0" collapsed="false">
      <c r="A327" s="19" t="str">
        <f aca="false">"DEC-"&amp;B327&amp;"-G6"</f>
        <v>DEC-INT-HC-CON-G6</v>
      </c>
      <c r="B327" s="19" t="str">
        <f aca="false">'Lot Register'!A52</f>
        <v>INT-HC-CON</v>
      </c>
      <c r="C327" s="19" t="str">
        <f aca="false">'Lot Register'!B52</f>
        <v>Station integration</v>
      </c>
      <c r="D327" s="19" t="str">
        <f aca="false">'Lot Register'!D52</f>
        <v>MS-HC</v>
      </c>
      <c r="E327" s="19" t="str">
        <f aca="false">'Lot Register'!G52</f>
        <v>ST-HC-CON</v>
      </c>
      <c r="F327" s="9" t="s">
        <v>593</v>
      </c>
      <c r="G327" s="9" t="s">
        <v>594</v>
      </c>
      <c r="H327" s="9" t="s">
        <v>595</v>
      </c>
      <c r="I327" s="9" t="s">
        <v>570</v>
      </c>
      <c r="J327" s="11" t="s">
        <v>238</v>
      </c>
      <c r="K327" s="47" t="n">
        <f aca="false">Controls!B26</f>
        <v>0</v>
      </c>
      <c r="L327" s="47" t="str">
        <f aca="false">IF(K327=1,"PASS","OPEN")</f>
        <v>OPEN</v>
      </c>
    </row>
    <row r="328" customFormat="false" ht="15" hidden="false" customHeight="false" outlineLevel="0" collapsed="false">
      <c r="A328" s="19" t="str">
        <f aca="false">"DEC-"&amp;B328&amp;"-G7"</f>
        <v>DEC-INT-HC-CON-G7</v>
      </c>
      <c r="B328" s="19" t="str">
        <f aca="false">'Lot Register'!A52</f>
        <v>INT-HC-CON</v>
      </c>
      <c r="C328" s="19" t="str">
        <f aca="false">'Lot Register'!B52</f>
        <v>Station integration</v>
      </c>
      <c r="D328" s="19" t="str">
        <f aca="false">'Lot Register'!D52</f>
        <v>MS-HC</v>
      </c>
      <c r="E328" s="19" t="str">
        <f aca="false">'Lot Register'!G52</f>
        <v>ST-HC-CON</v>
      </c>
      <c r="F328" s="9" t="s">
        <v>596</v>
      </c>
      <c r="G328" s="9" t="s">
        <v>597</v>
      </c>
      <c r="H328" s="9" t="s">
        <v>598</v>
      </c>
      <c r="I328" s="9" t="s">
        <v>570</v>
      </c>
      <c r="J328" s="11" t="s">
        <v>238</v>
      </c>
      <c r="K328" s="47" t="n">
        <f aca="false">Controls!B26</f>
        <v>0</v>
      </c>
      <c r="L328" s="47" t="str">
        <f aca="false">IF(K328=1,"PASS","OPEN")</f>
        <v>OPEN</v>
      </c>
    </row>
    <row r="329" customFormat="false" ht="15" hidden="false" customHeight="false" outlineLevel="0" collapsed="false">
      <c r="A329" s="19" t="str">
        <f aca="false">"DEC-"&amp;B329&amp;"-G1"</f>
        <v>DEC-RIG-HC-REC-G1</v>
      </c>
      <c r="B329" s="19" t="str">
        <f aca="false">'Lot Register'!A53</f>
        <v>RIG-HC-REC</v>
      </c>
      <c r="C329" s="19" t="str">
        <f aca="false">'Lot Register'!B53</f>
        <v>Root-native rig</v>
      </c>
      <c r="D329" s="19" t="str">
        <f aca="false">'Lot Register'!D53</f>
        <v>MS-HC</v>
      </c>
      <c r="E329" s="19" t="str">
        <f aca="false">'Lot Register'!G53</f>
        <v>ST-HC-REC</v>
      </c>
      <c r="F329" s="9" t="s">
        <v>578</v>
      </c>
      <c r="G329" s="9" t="s">
        <v>579</v>
      </c>
      <c r="H329" s="9" t="s">
        <v>580</v>
      </c>
      <c r="I329" s="9" t="s">
        <v>562</v>
      </c>
      <c r="J329" s="11" t="s">
        <v>238</v>
      </c>
      <c r="K329" s="47" t="n">
        <f aca="false">Controls!B26</f>
        <v>0</v>
      </c>
      <c r="L329" s="47" t="str">
        <f aca="false">IF(K329=1,"PASS","OPEN")</f>
        <v>OPEN</v>
      </c>
    </row>
    <row r="330" customFormat="false" ht="15" hidden="false" customHeight="false" outlineLevel="0" collapsed="false">
      <c r="A330" s="19" t="str">
        <f aca="false">"DEC-"&amp;B330&amp;"-G2"</f>
        <v>DEC-RIG-HC-REC-G2</v>
      </c>
      <c r="B330" s="19" t="str">
        <f aca="false">'Lot Register'!A53</f>
        <v>RIG-HC-REC</v>
      </c>
      <c r="C330" s="19" t="str">
        <f aca="false">'Lot Register'!B53</f>
        <v>Root-native rig</v>
      </c>
      <c r="D330" s="19" t="str">
        <f aca="false">'Lot Register'!D53</f>
        <v>MS-HC</v>
      </c>
      <c r="E330" s="19" t="str">
        <f aca="false">'Lot Register'!G53</f>
        <v>ST-HC-REC</v>
      </c>
      <c r="F330" s="9" t="s">
        <v>581</v>
      </c>
      <c r="G330" s="9" t="s">
        <v>582</v>
      </c>
      <c r="H330" s="9" t="s">
        <v>583</v>
      </c>
      <c r="I330" s="9" t="s">
        <v>560</v>
      </c>
      <c r="J330" s="11" t="s">
        <v>238</v>
      </c>
      <c r="K330" s="47" t="n">
        <f aca="false">Controls!B26</f>
        <v>0</v>
      </c>
      <c r="L330" s="47" t="str">
        <f aca="false">IF(K330=1,"PASS","OPEN")</f>
        <v>OPEN</v>
      </c>
    </row>
    <row r="331" customFormat="false" ht="15" hidden="false" customHeight="false" outlineLevel="0" collapsed="false">
      <c r="A331" s="19" t="str">
        <f aca="false">"DEC-"&amp;B331&amp;"-G3"</f>
        <v>DEC-RIG-HC-REC-G3</v>
      </c>
      <c r="B331" s="19" t="str">
        <f aca="false">'Lot Register'!A53</f>
        <v>RIG-HC-REC</v>
      </c>
      <c r="C331" s="19" t="str">
        <f aca="false">'Lot Register'!B53</f>
        <v>Root-native rig</v>
      </c>
      <c r="D331" s="19" t="str">
        <f aca="false">'Lot Register'!D53</f>
        <v>MS-HC</v>
      </c>
      <c r="E331" s="19" t="str">
        <f aca="false">'Lot Register'!G53</f>
        <v>ST-HC-REC</v>
      </c>
      <c r="F331" s="9" t="s">
        <v>584</v>
      </c>
      <c r="G331" s="9" t="s">
        <v>585</v>
      </c>
      <c r="H331" s="9" t="s">
        <v>586</v>
      </c>
      <c r="I331" s="9" t="s">
        <v>565</v>
      </c>
      <c r="J331" s="11" t="s">
        <v>238</v>
      </c>
      <c r="K331" s="47" t="n">
        <f aca="false">Controls!B26</f>
        <v>0</v>
      </c>
      <c r="L331" s="47" t="str">
        <f aca="false">IF(K331=1,"PASS","OPEN")</f>
        <v>OPEN</v>
      </c>
    </row>
    <row r="332" customFormat="false" ht="15" hidden="false" customHeight="false" outlineLevel="0" collapsed="false">
      <c r="A332" s="19" t="str">
        <f aca="false">"DEC-"&amp;B332&amp;"-G4"</f>
        <v>DEC-RIG-HC-REC-G4</v>
      </c>
      <c r="B332" s="19" t="str">
        <f aca="false">'Lot Register'!A53</f>
        <v>RIG-HC-REC</v>
      </c>
      <c r="C332" s="19" t="str">
        <f aca="false">'Lot Register'!B53</f>
        <v>Root-native rig</v>
      </c>
      <c r="D332" s="19" t="str">
        <f aca="false">'Lot Register'!D53</f>
        <v>MS-HC</v>
      </c>
      <c r="E332" s="19" t="str">
        <f aca="false">'Lot Register'!G53</f>
        <v>ST-HC-REC</v>
      </c>
      <c r="F332" s="9" t="s">
        <v>587</v>
      </c>
      <c r="G332" s="9" t="s">
        <v>588</v>
      </c>
      <c r="H332" s="9" t="s">
        <v>589</v>
      </c>
      <c r="I332" s="9" t="s">
        <v>562</v>
      </c>
      <c r="J332" s="11" t="s">
        <v>238</v>
      </c>
      <c r="K332" s="47" t="n">
        <f aca="false">Controls!B26</f>
        <v>0</v>
      </c>
      <c r="L332" s="47" t="str">
        <f aca="false">IF(K332=1,"PASS","OPEN")</f>
        <v>OPEN</v>
      </c>
    </row>
    <row r="333" customFormat="false" ht="15" hidden="false" customHeight="false" outlineLevel="0" collapsed="false">
      <c r="A333" s="19" t="str">
        <f aca="false">"DEC-"&amp;B333&amp;"-G5"</f>
        <v>DEC-RIG-HC-REC-G5</v>
      </c>
      <c r="B333" s="19" t="str">
        <f aca="false">'Lot Register'!A53</f>
        <v>RIG-HC-REC</v>
      </c>
      <c r="C333" s="19" t="str">
        <f aca="false">'Lot Register'!B53</f>
        <v>Root-native rig</v>
      </c>
      <c r="D333" s="19" t="str">
        <f aca="false">'Lot Register'!D53</f>
        <v>MS-HC</v>
      </c>
      <c r="E333" s="19" t="str">
        <f aca="false">'Lot Register'!G53</f>
        <v>ST-HC-REC</v>
      </c>
      <c r="F333" s="9" t="s">
        <v>590</v>
      </c>
      <c r="G333" s="9" t="s">
        <v>591</v>
      </c>
      <c r="H333" s="9" t="s">
        <v>592</v>
      </c>
      <c r="I333" s="9" t="s">
        <v>565</v>
      </c>
      <c r="J333" s="11" t="s">
        <v>238</v>
      </c>
      <c r="K333" s="47" t="n">
        <f aca="false">Controls!B26</f>
        <v>0</v>
      </c>
      <c r="L333" s="47" t="str">
        <f aca="false">IF(K333=1,"PASS","OPEN")</f>
        <v>OPEN</v>
      </c>
    </row>
    <row r="334" customFormat="false" ht="15" hidden="false" customHeight="false" outlineLevel="0" collapsed="false">
      <c r="A334" s="19" t="str">
        <f aca="false">"DEC-"&amp;B334&amp;"-G6"</f>
        <v>DEC-RIG-HC-REC-G6</v>
      </c>
      <c r="B334" s="19" t="str">
        <f aca="false">'Lot Register'!A53</f>
        <v>RIG-HC-REC</v>
      </c>
      <c r="C334" s="19" t="str">
        <f aca="false">'Lot Register'!B53</f>
        <v>Root-native rig</v>
      </c>
      <c r="D334" s="19" t="str">
        <f aca="false">'Lot Register'!D53</f>
        <v>MS-HC</v>
      </c>
      <c r="E334" s="19" t="str">
        <f aca="false">'Lot Register'!G53</f>
        <v>ST-HC-REC</v>
      </c>
      <c r="F334" s="9" t="s">
        <v>593</v>
      </c>
      <c r="G334" s="9" t="s">
        <v>594</v>
      </c>
      <c r="H334" s="9" t="s">
        <v>595</v>
      </c>
      <c r="I334" s="9" t="s">
        <v>570</v>
      </c>
      <c r="J334" s="11" t="s">
        <v>238</v>
      </c>
      <c r="K334" s="47" t="n">
        <f aca="false">Controls!B26</f>
        <v>0</v>
      </c>
      <c r="L334" s="47" t="str">
        <f aca="false">IF(K334=1,"PASS","OPEN")</f>
        <v>OPEN</v>
      </c>
    </row>
    <row r="335" customFormat="false" ht="15" hidden="false" customHeight="false" outlineLevel="0" collapsed="false">
      <c r="A335" s="19" t="str">
        <f aca="false">"DEC-"&amp;B335&amp;"-G7"</f>
        <v>DEC-RIG-HC-REC-G7</v>
      </c>
      <c r="B335" s="19" t="str">
        <f aca="false">'Lot Register'!A53</f>
        <v>RIG-HC-REC</v>
      </c>
      <c r="C335" s="19" t="str">
        <f aca="false">'Lot Register'!B53</f>
        <v>Root-native rig</v>
      </c>
      <c r="D335" s="19" t="str">
        <f aca="false">'Lot Register'!D53</f>
        <v>MS-HC</v>
      </c>
      <c r="E335" s="19" t="str">
        <f aca="false">'Lot Register'!G53</f>
        <v>ST-HC-REC</v>
      </c>
      <c r="F335" s="9" t="s">
        <v>596</v>
      </c>
      <c r="G335" s="9" t="s">
        <v>597</v>
      </c>
      <c r="H335" s="9" t="s">
        <v>598</v>
      </c>
      <c r="I335" s="9" t="s">
        <v>570</v>
      </c>
      <c r="J335" s="11" t="s">
        <v>238</v>
      </c>
      <c r="K335" s="47" t="n">
        <f aca="false">Controls!B26</f>
        <v>0</v>
      </c>
      <c r="L335" s="47" t="str">
        <f aca="false">IF(K335=1,"PASS","OPEN")</f>
        <v>OPEN</v>
      </c>
    </row>
    <row r="336" customFormat="false" ht="15" hidden="false" customHeight="false" outlineLevel="0" collapsed="false">
      <c r="A336" s="19" t="str">
        <f aca="false">"DEC-"&amp;B336&amp;"-G1"</f>
        <v>DEC-MTH-HC-REC-L1-G1</v>
      </c>
      <c r="B336" s="19" t="str">
        <f aca="false">'Lot Register'!A54</f>
        <v>MTH-HC-REC-L1</v>
      </c>
      <c r="C336" s="19" t="str">
        <f aca="false">'Lot Register'!B54</f>
        <v>Method lineage</v>
      </c>
      <c r="D336" s="19" t="str">
        <f aca="false">'Lot Register'!D54</f>
        <v>MS-HC</v>
      </c>
      <c r="E336" s="19" t="str">
        <f aca="false">'Lot Register'!G54</f>
        <v>ST-HC-REC</v>
      </c>
      <c r="F336" s="9" t="s">
        <v>578</v>
      </c>
      <c r="G336" s="9" t="s">
        <v>579</v>
      </c>
      <c r="H336" s="9" t="s">
        <v>580</v>
      </c>
      <c r="I336" s="9" t="s">
        <v>562</v>
      </c>
      <c r="J336" s="11" t="s">
        <v>238</v>
      </c>
      <c r="K336" s="47" t="n">
        <f aca="false">Controls!B26</f>
        <v>0</v>
      </c>
      <c r="L336" s="47" t="str">
        <f aca="false">IF(K336=1,"PASS","OPEN")</f>
        <v>OPEN</v>
      </c>
    </row>
    <row r="337" customFormat="false" ht="15" hidden="false" customHeight="false" outlineLevel="0" collapsed="false">
      <c r="A337" s="19" t="str">
        <f aca="false">"DEC-"&amp;B337&amp;"-G2"</f>
        <v>DEC-MTH-HC-REC-L1-G2</v>
      </c>
      <c r="B337" s="19" t="str">
        <f aca="false">'Lot Register'!A54</f>
        <v>MTH-HC-REC-L1</v>
      </c>
      <c r="C337" s="19" t="str">
        <f aca="false">'Lot Register'!B54</f>
        <v>Method lineage</v>
      </c>
      <c r="D337" s="19" t="str">
        <f aca="false">'Lot Register'!D54</f>
        <v>MS-HC</v>
      </c>
      <c r="E337" s="19" t="str">
        <f aca="false">'Lot Register'!G54</f>
        <v>ST-HC-REC</v>
      </c>
      <c r="F337" s="9" t="s">
        <v>581</v>
      </c>
      <c r="G337" s="9" t="s">
        <v>582</v>
      </c>
      <c r="H337" s="9" t="s">
        <v>583</v>
      </c>
      <c r="I337" s="9" t="s">
        <v>560</v>
      </c>
      <c r="J337" s="11" t="s">
        <v>238</v>
      </c>
      <c r="K337" s="47" t="n">
        <f aca="false">Controls!B26</f>
        <v>0</v>
      </c>
      <c r="L337" s="47" t="str">
        <f aca="false">IF(K337=1,"PASS","OPEN")</f>
        <v>OPEN</v>
      </c>
    </row>
    <row r="338" customFormat="false" ht="15" hidden="false" customHeight="false" outlineLevel="0" collapsed="false">
      <c r="A338" s="19" t="str">
        <f aca="false">"DEC-"&amp;B338&amp;"-G3"</f>
        <v>DEC-MTH-HC-REC-L1-G3</v>
      </c>
      <c r="B338" s="19" t="str">
        <f aca="false">'Lot Register'!A54</f>
        <v>MTH-HC-REC-L1</v>
      </c>
      <c r="C338" s="19" t="str">
        <f aca="false">'Lot Register'!B54</f>
        <v>Method lineage</v>
      </c>
      <c r="D338" s="19" t="str">
        <f aca="false">'Lot Register'!D54</f>
        <v>MS-HC</v>
      </c>
      <c r="E338" s="19" t="str">
        <f aca="false">'Lot Register'!G54</f>
        <v>ST-HC-REC</v>
      </c>
      <c r="F338" s="9" t="s">
        <v>584</v>
      </c>
      <c r="G338" s="9" t="s">
        <v>585</v>
      </c>
      <c r="H338" s="9" t="s">
        <v>586</v>
      </c>
      <c r="I338" s="9" t="s">
        <v>565</v>
      </c>
      <c r="J338" s="11" t="s">
        <v>238</v>
      </c>
      <c r="K338" s="47" t="n">
        <f aca="false">Controls!B26</f>
        <v>0</v>
      </c>
      <c r="L338" s="47" t="str">
        <f aca="false">IF(K338=1,"PASS","OPEN")</f>
        <v>OPEN</v>
      </c>
    </row>
    <row r="339" customFormat="false" ht="15" hidden="false" customHeight="false" outlineLevel="0" collapsed="false">
      <c r="A339" s="19" t="str">
        <f aca="false">"DEC-"&amp;B339&amp;"-G4"</f>
        <v>DEC-MTH-HC-REC-L1-G4</v>
      </c>
      <c r="B339" s="19" t="str">
        <f aca="false">'Lot Register'!A54</f>
        <v>MTH-HC-REC-L1</v>
      </c>
      <c r="C339" s="19" t="str">
        <f aca="false">'Lot Register'!B54</f>
        <v>Method lineage</v>
      </c>
      <c r="D339" s="19" t="str">
        <f aca="false">'Lot Register'!D54</f>
        <v>MS-HC</v>
      </c>
      <c r="E339" s="19" t="str">
        <f aca="false">'Lot Register'!G54</f>
        <v>ST-HC-REC</v>
      </c>
      <c r="F339" s="9" t="s">
        <v>587</v>
      </c>
      <c r="G339" s="9" t="s">
        <v>588</v>
      </c>
      <c r="H339" s="9" t="s">
        <v>589</v>
      </c>
      <c r="I339" s="9" t="s">
        <v>562</v>
      </c>
      <c r="J339" s="11" t="s">
        <v>238</v>
      </c>
      <c r="K339" s="47" t="n">
        <f aca="false">Controls!B26</f>
        <v>0</v>
      </c>
      <c r="L339" s="47" t="str">
        <f aca="false">IF(K339=1,"PASS","OPEN")</f>
        <v>OPEN</v>
      </c>
    </row>
    <row r="340" customFormat="false" ht="15" hidden="false" customHeight="false" outlineLevel="0" collapsed="false">
      <c r="A340" s="19" t="str">
        <f aca="false">"DEC-"&amp;B340&amp;"-G5"</f>
        <v>DEC-MTH-HC-REC-L1-G5</v>
      </c>
      <c r="B340" s="19" t="str">
        <f aca="false">'Lot Register'!A54</f>
        <v>MTH-HC-REC-L1</v>
      </c>
      <c r="C340" s="19" t="str">
        <f aca="false">'Lot Register'!B54</f>
        <v>Method lineage</v>
      </c>
      <c r="D340" s="19" t="str">
        <f aca="false">'Lot Register'!D54</f>
        <v>MS-HC</v>
      </c>
      <c r="E340" s="19" t="str">
        <f aca="false">'Lot Register'!G54</f>
        <v>ST-HC-REC</v>
      </c>
      <c r="F340" s="9" t="s">
        <v>590</v>
      </c>
      <c r="G340" s="9" t="s">
        <v>591</v>
      </c>
      <c r="H340" s="9" t="s">
        <v>592</v>
      </c>
      <c r="I340" s="9" t="s">
        <v>565</v>
      </c>
      <c r="J340" s="11" t="s">
        <v>238</v>
      </c>
      <c r="K340" s="47" t="n">
        <f aca="false">Controls!B26</f>
        <v>0</v>
      </c>
      <c r="L340" s="47" t="str">
        <f aca="false">IF(K340=1,"PASS","OPEN")</f>
        <v>OPEN</v>
      </c>
    </row>
    <row r="341" customFormat="false" ht="15" hidden="false" customHeight="false" outlineLevel="0" collapsed="false">
      <c r="A341" s="19" t="str">
        <f aca="false">"DEC-"&amp;B341&amp;"-G6"</f>
        <v>DEC-MTH-HC-REC-L1-G6</v>
      </c>
      <c r="B341" s="19" t="str">
        <f aca="false">'Lot Register'!A54</f>
        <v>MTH-HC-REC-L1</v>
      </c>
      <c r="C341" s="19" t="str">
        <f aca="false">'Lot Register'!B54</f>
        <v>Method lineage</v>
      </c>
      <c r="D341" s="19" t="str">
        <f aca="false">'Lot Register'!D54</f>
        <v>MS-HC</v>
      </c>
      <c r="E341" s="19" t="str">
        <f aca="false">'Lot Register'!G54</f>
        <v>ST-HC-REC</v>
      </c>
      <c r="F341" s="9" t="s">
        <v>593</v>
      </c>
      <c r="G341" s="9" t="s">
        <v>594</v>
      </c>
      <c r="H341" s="9" t="s">
        <v>595</v>
      </c>
      <c r="I341" s="9" t="s">
        <v>570</v>
      </c>
      <c r="J341" s="11" t="s">
        <v>238</v>
      </c>
      <c r="K341" s="47" t="n">
        <f aca="false">Controls!B26</f>
        <v>0</v>
      </c>
      <c r="L341" s="47" t="str">
        <f aca="false">IF(K341=1,"PASS","OPEN")</f>
        <v>OPEN</v>
      </c>
    </row>
    <row r="342" customFormat="false" ht="15" hidden="false" customHeight="false" outlineLevel="0" collapsed="false">
      <c r="A342" s="19" t="str">
        <f aca="false">"DEC-"&amp;B342&amp;"-G7"</f>
        <v>DEC-MTH-HC-REC-L1-G7</v>
      </c>
      <c r="B342" s="19" t="str">
        <f aca="false">'Lot Register'!A54</f>
        <v>MTH-HC-REC-L1</v>
      </c>
      <c r="C342" s="19" t="str">
        <f aca="false">'Lot Register'!B54</f>
        <v>Method lineage</v>
      </c>
      <c r="D342" s="19" t="str">
        <f aca="false">'Lot Register'!D54</f>
        <v>MS-HC</v>
      </c>
      <c r="E342" s="19" t="str">
        <f aca="false">'Lot Register'!G54</f>
        <v>ST-HC-REC</v>
      </c>
      <c r="F342" s="9" t="s">
        <v>596</v>
      </c>
      <c r="G342" s="9" t="s">
        <v>597</v>
      </c>
      <c r="H342" s="9" t="s">
        <v>598</v>
      </c>
      <c r="I342" s="9" t="s">
        <v>570</v>
      </c>
      <c r="J342" s="11" t="s">
        <v>238</v>
      </c>
      <c r="K342" s="47" t="n">
        <f aca="false">Controls!B26</f>
        <v>0</v>
      </c>
      <c r="L342" s="47" t="str">
        <f aca="false">IF(K342=1,"PASS","OPEN")</f>
        <v>OPEN</v>
      </c>
    </row>
    <row r="343" customFormat="false" ht="15" hidden="false" customHeight="false" outlineLevel="0" collapsed="false">
      <c r="A343" s="19" t="str">
        <f aca="false">"DEC-"&amp;B343&amp;"-G1"</f>
        <v>DEC-MTH-HC-REC-L2-G1</v>
      </c>
      <c r="B343" s="19" t="str">
        <f aca="false">'Lot Register'!A55</f>
        <v>MTH-HC-REC-L2</v>
      </c>
      <c r="C343" s="19" t="str">
        <f aca="false">'Lot Register'!B55</f>
        <v>Method lineage</v>
      </c>
      <c r="D343" s="19" t="str">
        <f aca="false">'Lot Register'!D55</f>
        <v>MS-HC</v>
      </c>
      <c r="E343" s="19" t="str">
        <f aca="false">'Lot Register'!G55</f>
        <v>ST-HC-REC</v>
      </c>
      <c r="F343" s="9" t="s">
        <v>578</v>
      </c>
      <c r="G343" s="9" t="s">
        <v>579</v>
      </c>
      <c r="H343" s="9" t="s">
        <v>580</v>
      </c>
      <c r="I343" s="9" t="s">
        <v>562</v>
      </c>
      <c r="J343" s="11" t="s">
        <v>238</v>
      </c>
      <c r="K343" s="47" t="n">
        <f aca="false">Controls!B26</f>
        <v>0</v>
      </c>
      <c r="L343" s="47" t="str">
        <f aca="false">IF(K343=1,"PASS","OPEN")</f>
        <v>OPEN</v>
      </c>
    </row>
    <row r="344" customFormat="false" ht="15" hidden="false" customHeight="false" outlineLevel="0" collapsed="false">
      <c r="A344" s="19" t="str">
        <f aca="false">"DEC-"&amp;B344&amp;"-G2"</f>
        <v>DEC-MTH-HC-REC-L2-G2</v>
      </c>
      <c r="B344" s="19" t="str">
        <f aca="false">'Lot Register'!A55</f>
        <v>MTH-HC-REC-L2</v>
      </c>
      <c r="C344" s="19" t="str">
        <f aca="false">'Lot Register'!B55</f>
        <v>Method lineage</v>
      </c>
      <c r="D344" s="19" t="str">
        <f aca="false">'Lot Register'!D55</f>
        <v>MS-HC</v>
      </c>
      <c r="E344" s="19" t="str">
        <f aca="false">'Lot Register'!G55</f>
        <v>ST-HC-REC</v>
      </c>
      <c r="F344" s="9" t="s">
        <v>581</v>
      </c>
      <c r="G344" s="9" t="s">
        <v>582</v>
      </c>
      <c r="H344" s="9" t="s">
        <v>583</v>
      </c>
      <c r="I344" s="9" t="s">
        <v>560</v>
      </c>
      <c r="J344" s="11" t="s">
        <v>238</v>
      </c>
      <c r="K344" s="47" t="n">
        <f aca="false">Controls!B26</f>
        <v>0</v>
      </c>
      <c r="L344" s="47" t="str">
        <f aca="false">IF(K344=1,"PASS","OPEN")</f>
        <v>OPEN</v>
      </c>
    </row>
    <row r="345" customFormat="false" ht="15" hidden="false" customHeight="false" outlineLevel="0" collapsed="false">
      <c r="A345" s="19" t="str">
        <f aca="false">"DEC-"&amp;B345&amp;"-G3"</f>
        <v>DEC-MTH-HC-REC-L2-G3</v>
      </c>
      <c r="B345" s="19" t="str">
        <f aca="false">'Lot Register'!A55</f>
        <v>MTH-HC-REC-L2</v>
      </c>
      <c r="C345" s="19" t="str">
        <f aca="false">'Lot Register'!B55</f>
        <v>Method lineage</v>
      </c>
      <c r="D345" s="19" t="str">
        <f aca="false">'Lot Register'!D55</f>
        <v>MS-HC</v>
      </c>
      <c r="E345" s="19" t="str">
        <f aca="false">'Lot Register'!G55</f>
        <v>ST-HC-REC</v>
      </c>
      <c r="F345" s="9" t="s">
        <v>584</v>
      </c>
      <c r="G345" s="9" t="s">
        <v>585</v>
      </c>
      <c r="H345" s="9" t="s">
        <v>586</v>
      </c>
      <c r="I345" s="9" t="s">
        <v>565</v>
      </c>
      <c r="J345" s="11" t="s">
        <v>238</v>
      </c>
      <c r="K345" s="47" t="n">
        <f aca="false">Controls!B26</f>
        <v>0</v>
      </c>
      <c r="L345" s="47" t="str">
        <f aca="false">IF(K345=1,"PASS","OPEN")</f>
        <v>OPEN</v>
      </c>
    </row>
    <row r="346" customFormat="false" ht="15" hidden="false" customHeight="false" outlineLevel="0" collapsed="false">
      <c r="A346" s="19" t="str">
        <f aca="false">"DEC-"&amp;B346&amp;"-G4"</f>
        <v>DEC-MTH-HC-REC-L2-G4</v>
      </c>
      <c r="B346" s="19" t="str">
        <f aca="false">'Lot Register'!A55</f>
        <v>MTH-HC-REC-L2</v>
      </c>
      <c r="C346" s="19" t="str">
        <f aca="false">'Lot Register'!B55</f>
        <v>Method lineage</v>
      </c>
      <c r="D346" s="19" t="str">
        <f aca="false">'Lot Register'!D55</f>
        <v>MS-HC</v>
      </c>
      <c r="E346" s="19" t="str">
        <f aca="false">'Lot Register'!G55</f>
        <v>ST-HC-REC</v>
      </c>
      <c r="F346" s="9" t="s">
        <v>587</v>
      </c>
      <c r="G346" s="9" t="s">
        <v>588</v>
      </c>
      <c r="H346" s="9" t="s">
        <v>589</v>
      </c>
      <c r="I346" s="9" t="s">
        <v>562</v>
      </c>
      <c r="J346" s="11" t="s">
        <v>238</v>
      </c>
      <c r="K346" s="47" t="n">
        <f aca="false">Controls!B26</f>
        <v>0</v>
      </c>
      <c r="L346" s="47" t="str">
        <f aca="false">IF(K346=1,"PASS","OPEN")</f>
        <v>OPEN</v>
      </c>
    </row>
    <row r="347" customFormat="false" ht="15" hidden="false" customHeight="false" outlineLevel="0" collapsed="false">
      <c r="A347" s="19" t="str">
        <f aca="false">"DEC-"&amp;B347&amp;"-G5"</f>
        <v>DEC-MTH-HC-REC-L2-G5</v>
      </c>
      <c r="B347" s="19" t="str">
        <f aca="false">'Lot Register'!A55</f>
        <v>MTH-HC-REC-L2</v>
      </c>
      <c r="C347" s="19" t="str">
        <f aca="false">'Lot Register'!B55</f>
        <v>Method lineage</v>
      </c>
      <c r="D347" s="19" t="str">
        <f aca="false">'Lot Register'!D55</f>
        <v>MS-HC</v>
      </c>
      <c r="E347" s="19" t="str">
        <f aca="false">'Lot Register'!G55</f>
        <v>ST-HC-REC</v>
      </c>
      <c r="F347" s="9" t="s">
        <v>590</v>
      </c>
      <c r="G347" s="9" t="s">
        <v>591</v>
      </c>
      <c r="H347" s="9" t="s">
        <v>592</v>
      </c>
      <c r="I347" s="9" t="s">
        <v>565</v>
      </c>
      <c r="J347" s="11" t="s">
        <v>238</v>
      </c>
      <c r="K347" s="47" t="n">
        <f aca="false">Controls!B26</f>
        <v>0</v>
      </c>
      <c r="L347" s="47" t="str">
        <f aca="false">IF(K347=1,"PASS","OPEN")</f>
        <v>OPEN</v>
      </c>
    </row>
    <row r="348" customFormat="false" ht="15" hidden="false" customHeight="false" outlineLevel="0" collapsed="false">
      <c r="A348" s="19" t="str">
        <f aca="false">"DEC-"&amp;B348&amp;"-G6"</f>
        <v>DEC-MTH-HC-REC-L2-G6</v>
      </c>
      <c r="B348" s="19" t="str">
        <f aca="false">'Lot Register'!A55</f>
        <v>MTH-HC-REC-L2</v>
      </c>
      <c r="C348" s="19" t="str">
        <f aca="false">'Lot Register'!B55</f>
        <v>Method lineage</v>
      </c>
      <c r="D348" s="19" t="str">
        <f aca="false">'Lot Register'!D55</f>
        <v>MS-HC</v>
      </c>
      <c r="E348" s="19" t="str">
        <f aca="false">'Lot Register'!G55</f>
        <v>ST-HC-REC</v>
      </c>
      <c r="F348" s="9" t="s">
        <v>593</v>
      </c>
      <c r="G348" s="9" t="s">
        <v>594</v>
      </c>
      <c r="H348" s="9" t="s">
        <v>595</v>
      </c>
      <c r="I348" s="9" t="s">
        <v>570</v>
      </c>
      <c r="J348" s="11" t="s">
        <v>238</v>
      </c>
      <c r="K348" s="47" t="n">
        <f aca="false">Controls!B26</f>
        <v>0</v>
      </c>
      <c r="L348" s="47" t="str">
        <f aca="false">IF(K348=1,"PASS","OPEN")</f>
        <v>OPEN</v>
      </c>
    </row>
    <row r="349" customFormat="false" ht="15" hidden="false" customHeight="false" outlineLevel="0" collapsed="false">
      <c r="A349" s="19" t="str">
        <f aca="false">"DEC-"&amp;B349&amp;"-G7"</f>
        <v>DEC-MTH-HC-REC-L2-G7</v>
      </c>
      <c r="B349" s="19" t="str">
        <f aca="false">'Lot Register'!A55</f>
        <v>MTH-HC-REC-L2</v>
      </c>
      <c r="C349" s="19" t="str">
        <f aca="false">'Lot Register'!B55</f>
        <v>Method lineage</v>
      </c>
      <c r="D349" s="19" t="str">
        <f aca="false">'Lot Register'!D55</f>
        <v>MS-HC</v>
      </c>
      <c r="E349" s="19" t="str">
        <f aca="false">'Lot Register'!G55</f>
        <v>ST-HC-REC</v>
      </c>
      <c r="F349" s="9" t="s">
        <v>596</v>
      </c>
      <c r="G349" s="9" t="s">
        <v>597</v>
      </c>
      <c r="H349" s="9" t="s">
        <v>598</v>
      </c>
      <c r="I349" s="9" t="s">
        <v>570</v>
      </c>
      <c r="J349" s="11" t="s">
        <v>238</v>
      </c>
      <c r="K349" s="47" t="n">
        <f aca="false">Controls!B26</f>
        <v>0</v>
      </c>
      <c r="L349" s="47" t="str">
        <f aca="false">IF(K349=1,"PASS","OPEN")</f>
        <v>OPEN</v>
      </c>
    </row>
    <row r="350" customFormat="false" ht="15" hidden="false" customHeight="false" outlineLevel="0" collapsed="false">
      <c r="A350" s="19" t="str">
        <f aca="false">"DEC-"&amp;B350&amp;"-G1"</f>
        <v>DEC-REG-HC-REC-G1</v>
      </c>
      <c r="B350" s="19" t="str">
        <f aca="false">'Lot Register'!A56</f>
        <v>REG-HC-REC</v>
      </c>
      <c r="C350" s="19" t="str">
        <f aca="false">'Lot Register'!B56</f>
        <v>Regeneration tool</v>
      </c>
      <c r="D350" s="19" t="str">
        <f aca="false">'Lot Register'!D56</f>
        <v>MS-HC</v>
      </c>
      <c r="E350" s="19" t="str">
        <f aca="false">'Lot Register'!G56</f>
        <v>ST-HC-REC</v>
      </c>
      <c r="F350" s="9" t="s">
        <v>578</v>
      </c>
      <c r="G350" s="9" t="s">
        <v>579</v>
      </c>
      <c r="H350" s="9" t="s">
        <v>580</v>
      </c>
      <c r="I350" s="9" t="s">
        <v>562</v>
      </c>
      <c r="J350" s="11" t="s">
        <v>238</v>
      </c>
      <c r="K350" s="47" t="n">
        <f aca="false">Controls!B26</f>
        <v>0</v>
      </c>
      <c r="L350" s="47" t="str">
        <f aca="false">IF(K350=1,"PASS","OPEN")</f>
        <v>OPEN</v>
      </c>
    </row>
    <row r="351" customFormat="false" ht="15" hidden="false" customHeight="false" outlineLevel="0" collapsed="false">
      <c r="A351" s="19" t="str">
        <f aca="false">"DEC-"&amp;B351&amp;"-G2"</f>
        <v>DEC-REG-HC-REC-G2</v>
      </c>
      <c r="B351" s="19" t="str">
        <f aca="false">'Lot Register'!A56</f>
        <v>REG-HC-REC</v>
      </c>
      <c r="C351" s="19" t="str">
        <f aca="false">'Lot Register'!B56</f>
        <v>Regeneration tool</v>
      </c>
      <c r="D351" s="19" t="str">
        <f aca="false">'Lot Register'!D56</f>
        <v>MS-HC</v>
      </c>
      <c r="E351" s="19" t="str">
        <f aca="false">'Lot Register'!G56</f>
        <v>ST-HC-REC</v>
      </c>
      <c r="F351" s="9" t="s">
        <v>581</v>
      </c>
      <c r="G351" s="9" t="s">
        <v>582</v>
      </c>
      <c r="H351" s="9" t="s">
        <v>583</v>
      </c>
      <c r="I351" s="9" t="s">
        <v>560</v>
      </c>
      <c r="J351" s="11" t="s">
        <v>238</v>
      </c>
      <c r="K351" s="47" t="n">
        <f aca="false">Controls!B26</f>
        <v>0</v>
      </c>
      <c r="L351" s="47" t="str">
        <f aca="false">IF(K351=1,"PASS","OPEN")</f>
        <v>OPEN</v>
      </c>
    </row>
    <row r="352" customFormat="false" ht="15" hidden="false" customHeight="false" outlineLevel="0" collapsed="false">
      <c r="A352" s="19" t="str">
        <f aca="false">"DEC-"&amp;B352&amp;"-G3"</f>
        <v>DEC-REG-HC-REC-G3</v>
      </c>
      <c r="B352" s="19" t="str">
        <f aca="false">'Lot Register'!A56</f>
        <v>REG-HC-REC</v>
      </c>
      <c r="C352" s="19" t="str">
        <f aca="false">'Lot Register'!B56</f>
        <v>Regeneration tool</v>
      </c>
      <c r="D352" s="19" t="str">
        <f aca="false">'Lot Register'!D56</f>
        <v>MS-HC</v>
      </c>
      <c r="E352" s="19" t="str">
        <f aca="false">'Lot Register'!G56</f>
        <v>ST-HC-REC</v>
      </c>
      <c r="F352" s="9" t="s">
        <v>584</v>
      </c>
      <c r="G352" s="9" t="s">
        <v>585</v>
      </c>
      <c r="H352" s="9" t="s">
        <v>586</v>
      </c>
      <c r="I352" s="9" t="s">
        <v>565</v>
      </c>
      <c r="J352" s="11" t="s">
        <v>238</v>
      </c>
      <c r="K352" s="47" t="n">
        <f aca="false">Controls!B26</f>
        <v>0</v>
      </c>
      <c r="L352" s="47" t="str">
        <f aca="false">IF(K352=1,"PASS","OPEN")</f>
        <v>OPEN</v>
      </c>
    </row>
    <row r="353" customFormat="false" ht="15" hidden="false" customHeight="false" outlineLevel="0" collapsed="false">
      <c r="A353" s="19" t="str">
        <f aca="false">"DEC-"&amp;B353&amp;"-G4"</f>
        <v>DEC-REG-HC-REC-G4</v>
      </c>
      <c r="B353" s="19" t="str">
        <f aca="false">'Lot Register'!A56</f>
        <v>REG-HC-REC</v>
      </c>
      <c r="C353" s="19" t="str">
        <f aca="false">'Lot Register'!B56</f>
        <v>Regeneration tool</v>
      </c>
      <c r="D353" s="19" t="str">
        <f aca="false">'Lot Register'!D56</f>
        <v>MS-HC</v>
      </c>
      <c r="E353" s="19" t="str">
        <f aca="false">'Lot Register'!G56</f>
        <v>ST-HC-REC</v>
      </c>
      <c r="F353" s="9" t="s">
        <v>587</v>
      </c>
      <c r="G353" s="9" t="s">
        <v>588</v>
      </c>
      <c r="H353" s="9" t="s">
        <v>589</v>
      </c>
      <c r="I353" s="9" t="s">
        <v>562</v>
      </c>
      <c r="J353" s="11" t="s">
        <v>238</v>
      </c>
      <c r="K353" s="47" t="n">
        <f aca="false">Controls!B26</f>
        <v>0</v>
      </c>
      <c r="L353" s="47" t="str">
        <f aca="false">IF(K353=1,"PASS","OPEN")</f>
        <v>OPEN</v>
      </c>
    </row>
    <row r="354" customFormat="false" ht="15" hidden="false" customHeight="false" outlineLevel="0" collapsed="false">
      <c r="A354" s="19" t="str">
        <f aca="false">"DEC-"&amp;B354&amp;"-G5"</f>
        <v>DEC-REG-HC-REC-G5</v>
      </c>
      <c r="B354" s="19" t="str">
        <f aca="false">'Lot Register'!A56</f>
        <v>REG-HC-REC</v>
      </c>
      <c r="C354" s="19" t="str">
        <f aca="false">'Lot Register'!B56</f>
        <v>Regeneration tool</v>
      </c>
      <c r="D354" s="19" t="str">
        <f aca="false">'Lot Register'!D56</f>
        <v>MS-HC</v>
      </c>
      <c r="E354" s="19" t="str">
        <f aca="false">'Lot Register'!G56</f>
        <v>ST-HC-REC</v>
      </c>
      <c r="F354" s="9" t="s">
        <v>590</v>
      </c>
      <c r="G354" s="9" t="s">
        <v>591</v>
      </c>
      <c r="H354" s="9" t="s">
        <v>592</v>
      </c>
      <c r="I354" s="9" t="s">
        <v>565</v>
      </c>
      <c r="J354" s="11" t="s">
        <v>238</v>
      </c>
      <c r="K354" s="47" t="n">
        <f aca="false">Controls!B26</f>
        <v>0</v>
      </c>
      <c r="L354" s="47" t="str">
        <f aca="false">IF(K354=1,"PASS","OPEN")</f>
        <v>OPEN</v>
      </c>
    </row>
    <row r="355" customFormat="false" ht="15" hidden="false" customHeight="false" outlineLevel="0" collapsed="false">
      <c r="A355" s="19" t="str">
        <f aca="false">"DEC-"&amp;B355&amp;"-G6"</f>
        <v>DEC-REG-HC-REC-G6</v>
      </c>
      <c r="B355" s="19" t="str">
        <f aca="false">'Lot Register'!A56</f>
        <v>REG-HC-REC</v>
      </c>
      <c r="C355" s="19" t="str">
        <f aca="false">'Lot Register'!B56</f>
        <v>Regeneration tool</v>
      </c>
      <c r="D355" s="19" t="str">
        <f aca="false">'Lot Register'!D56</f>
        <v>MS-HC</v>
      </c>
      <c r="E355" s="19" t="str">
        <f aca="false">'Lot Register'!G56</f>
        <v>ST-HC-REC</v>
      </c>
      <c r="F355" s="9" t="s">
        <v>593</v>
      </c>
      <c r="G355" s="9" t="s">
        <v>594</v>
      </c>
      <c r="H355" s="9" t="s">
        <v>595</v>
      </c>
      <c r="I355" s="9" t="s">
        <v>570</v>
      </c>
      <c r="J355" s="11" t="s">
        <v>238</v>
      </c>
      <c r="K355" s="47" t="n">
        <f aca="false">Controls!B26</f>
        <v>0</v>
      </c>
      <c r="L355" s="47" t="str">
        <f aca="false">IF(K355=1,"PASS","OPEN")</f>
        <v>OPEN</v>
      </c>
    </row>
    <row r="356" customFormat="false" ht="15" hidden="false" customHeight="false" outlineLevel="0" collapsed="false">
      <c r="A356" s="19" t="str">
        <f aca="false">"DEC-"&amp;B356&amp;"-G7"</f>
        <v>DEC-REG-HC-REC-G7</v>
      </c>
      <c r="B356" s="19" t="str">
        <f aca="false">'Lot Register'!A56</f>
        <v>REG-HC-REC</v>
      </c>
      <c r="C356" s="19" t="str">
        <f aca="false">'Lot Register'!B56</f>
        <v>Regeneration tool</v>
      </c>
      <c r="D356" s="19" t="str">
        <f aca="false">'Lot Register'!D56</f>
        <v>MS-HC</v>
      </c>
      <c r="E356" s="19" t="str">
        <f aca="false">'Lot Register'!G56</f>
        <v>ST-HC-REC</v>
      </c>
      <c r="F356" s="9" t="s">
        <v>596</v>
      </c>
      <c r="G356" s="9" t="s">
        <v>597</v>
      </c>
      <c r="H356" s="9" t="s">
        <v>598</v>
      </c>
      <c r="I356" s="9" t="s">
        <v>570</v>
      </c>
      <c r="J356" s="11" t="s">
        <v>238</v>
      </c>
      <c r="K356" s="47" t="n">
        <f aca="false">Controls!B26</f>
        <v>0</v>
      </c>
      <c r="L356" s="47" t="str">
        <f aca="false">IF(K356=1,"PASS","OPEN")</f>
        <v>OPEN</v>
      </c>
    </row>
    <row r="357" customFormat="false" ht="15" hidden="false" customHeight="false" outlineLevel="0" collapsed="false">
      <c r="A357" s="19" t="str">
        <f aca="false">"DEC-"&amp;B357&amp;"-G1"</f>
        <v>DEC-INT-HC-REC-G1</v>
      </c>
      <c r="B357" s="19" t="str">
        <f aca="false">'Lot Register'!A57</f>
        <v>INT-HC-REC</v>
      </c>
      <c r="C357" s="19" t="str">
        <f aca="false">'Lot Register'!B57</f>
        <v>Station integration</v>
      </c>
      <c r="D357" s="19" t="str">
        <f aca="false">'Lot Register'!D57</f>
        <v>MS-HC</v>
      </c>
      <c r="E357" s="19" t="str">
        <f aca="false">'Lot Register'!G57</f>
        <v>ST-HC-REC</v>
      </c>
      <c r="F357" s="9" t="s">
        <v>578</v>
      </c>
      <c r="G357" s="9" t="s">
        <v>579</v>
      </c>
      <c r="H357" s="9" t="s">
        <v>580</v>
      </c>
      <c r="I357" s="9" t="s">
        <v>562</v>
      </c>
      <c r="J357" s="11" t="s">
        <v>238</v>
      </c>
      <c r="K357" s="47" t="n">
        <f aca="false">Controls!B26</f>
        <v>0</v>
      </c>
      <c r="L357" s="47" t="str">
        <f aca="false">IF(K357=1,"PASS","OPEN")</f>
        <v>OPEN</v>
      </c>
    </row>
    <row r="358" customFormat="false" ht="15" hidden="false" customHeight="false" outlineLevel="0" collapsed="false">
      <c r="A358" s="19" t="str">
        <f aca="false">"DEC-"&amp;B358&amp;"-G2"</f>
        <v>DEC-INT-HC-REC-G2</v>
      </c>
      <c r="B358" s="19" t="str">
        <f aca="false">'Lot Register'!A57</f>
        <v>INT-HC-REC</v>
      </c>
      <c r="C358" s="19" t="str">
        <f aca="false">'Lot Register'!B57</f>
        <v>Station integration</v>
      </c>
      <c r="D358" s="19" t="str">
        <f aca="false">'Lot Register'!D57</f>
        <v>MS-HC</v>
      </c>
      <c r="E358" s="19" t="str">
        <f aca="false">'Lot Register'!G57</f>
        <v>ST-HC-REC</v>
      </c>
      <c r="F358" s="9" t="s">
        <v>581</v>
      </c>
      <c r="G358" s="9" t="s">
        <v>582</v>
      </c>
      <c r="H358" s="9" t="s">
        <v>583</v>
      </c>
      <c r="I358" s="9" t="s">
        <v>560</v>
      </c>
      <c r="J358" s="11" t="s">
        <v>238</v>
      </c>
      <c r="K358" s="47" t="n">
        <f aca="false">Controls!B26</f>
        <v>0</v>
      </c>
      <c r="L358" s="47" t="str">
        <f aca="false">IF(K358=1,"PASS","OPEN")</f>
        <v>OPEN</v>
      </c>
    </row>
    <row r="359" customFormat="false" ht="15" hidden="false" customHeight="false" outlineLevel="0" collapsed="false">
      <c r="A359" s="19" t="str">
        <f aca="false">"DEC-"&amp;B359&amp;"-G3"</f>
        <v>DEC-INT-HC-REC-G3</v>
      </c>
      <c r="B359" s="19" t="str">
        <f aca="false">'Lot Register'!A57</f>
        <v>INT-HC-REC</v>
      </c>
      <c r="C359" s="19" t="str">
        <f aca="false">'Lot Register'!B57</f>
        <v>Station integration</v>
      </c>
      <c r="D359" s="19" t="str">
        <f aca="false">'Lot Register'!D57</f>
        <v>MS-HC</v>
      </c>
      <c r="E359" s="19" t="str">
        <f aca="false">'Lot Register'!G57</f>
        <v>ST-HC-REC</v>
      </c>
      <c r="F359" s="9" t="s">
        <v>584</v>
      </c>
      <c r="G359" s="9" t="s">
        <v>585</v>
      </c>
      <c r="H359" s="9" t="s">
        <v>586</v>
      </c>
      <c r="I359" s="9" t="s">
        <v>565</v>
      </c>
      <c r="J359" s="11" t="s">
        <v>238</v>
      </c>
      <c r="K359" s="47" t="n">
        <f aca="false">Controls!B26</f>
        <v>0</v>
      </c>
      <c r="L359" s="47" t="str">
        <f aca="false">IF(K359=1,"PASS","OPEN")</f>
        <v>OPEN</v>
      </c>
    </row>
    <row r="360" customFormat="false" ht="15" hidden="false" customHeight="false" outlineLevel="0" collapsed="false">
      <c r="A360" s="19" t="str">
        <f aca="false">"DEC-"&amp;B360&amp;"-G4"</f>
        <v>DEC-INT-HC-REC-G4</v>
      </c>
      <c r="B360" s="19" t="str">
        <f aca="false">'Lot Register'!A57</f>
        <v>INT-HC-REC</v>
      </c>
      <c r="C360" s="19" t="str">
        <f aca="false">'Lot Register'!B57</f>
        <v>Station integration</v>
      </c>
      <c r="D360" s="19" t="str">
        <f aca="false">'Lot Register'!D57</f>
        <v>MS-HC</v>
      </c>
      <c r="E360" s="19" t="str">
        <f aca="false">'Lot Register'!G57</f>
        <v>ST-HC-REC</v>
      </c>
      <c r="F360" s="9" t="s">
        <v>587</v>
      </c>
      <c r="G360" s="9" t="s">
        <v>588</v>
      </c>
      <c r="H360" s="9" t="s">
        <v>589</v>
      </c>
      <c r="I360" s="9" t="s">
        <v>562</v>
      </c>
      <c r="J360" s="11" t="s">
        <v>238</v>
      </c>
      <c r="K360" s="47" t="n">
        <f aca="false">Controls!B26</f>
        <v>0</v>
      </c>
      <c r="L360" s="47" t="str">
        <f aca="false">IF(K360=1,"PASS","OPEN")</f>
        <v>OPEN</v>
      </c>
    </row>
    <row r="361" customFormat="false" ht="15" hidden="false" customHeight="false" outlineLevel="0" collapsed="false">
      <c r="A361" s="19" t="str">
        <f aca="false">"DEC-"&amp;B361&amp;"-G5"</f>
        <v>DEC-INT-HC-REC-G5</v>
      </c>
      <c r="B361" s="19" t="str">
        <f aca="false">'Lot Register'!A57</f>
        <v>INT-HC-REC</v>
      </c>
      <c r="C361" s="19" t="str">
        <f aca="false">'Lot Register'!B57</f>
        <v>Station integration</v>
      </c>
      <c r="D361" s="19" t="str">
        <f aca="false">'Lot Register'!D57</f>
        <v>MS-HC</v>
      </c>
      <c r="E361" s="19" t="str">
        <f aca="false">'Lot Register'!G57</f>
        <v>ST-HC-REC</v>
      </c>
      <c r="F361" s="9" t="s">
        <v>590</v>
      </c>
      <c r="G361" s="9" t="s">
        <v>591</v>
      </c>
      <c r="H361" s="9" t="s">
        <v>592</v>
      </c>
      <c r="I361" s="9" t="s">
        <v>565</v>
      </c>
      <c r="J361" s="11" t="s">
        <v>238</v>
      </c>
      <c r="K361" s="47" t="n">
        <f aca="false">Controls!B26</f>
        <v>0</v>
      </c>
      <c r="L361" s="47" t="str">
        <f aca="false">IF(K361=1,"PASS","OPEN")</f>
        <v>OPEN</v>
      </c>
    </row>
    <row r="362" customFormat="false" ht="15" hidden="false" customHeight="false" outlineLevel="0" collapsed="false">
      <c r="A362" s="19" t="str">
        <f aca="false">"DEC-"&amp;B362&amp;"-G6"</f>
        <v>DEC-INT-HC-REC-G6</v>
      </c>
      <c r="B362" s="19" t="str">
        <f aca="false">'Lot Register'!A57</f>
        <v>INT-HC-REC</v>
      </c>
      <c r="C362" s="19" t="str">
        <f aca="false">'Lot Register'!B57</f>
        <v>Station integration</v>
      </c>
      <c r="D362" s="19" t="str">
        <f aca="false">'Lot Register'!D57</f>
        <v>MS-HC</v>
      </c>
      <c r="E362" s="19" t="str">
        <f aca="false">'Lot Register'!G57</f>
        <v>ST-HC-REC</v>
      </c>
      <c r="F362" s="9" t="s">
        <v>593</v>
      </c>
      <c r="G362" s="9" t="s">
        <v>594</v>
      </c>
      <c r="H362" s="9" t="s">
        <v>595</v>
      </c>
      <c r="I362" s="9" t="s">
        <v>570</v>
      </c>
      <c r="J362" s="11" t="s">
        <v>238</v>
      </c>
      <c r="K362" s="47" t="n">
        <f aca="false">Controls!B26</f>
        <v>0</v>
      </c>
      <c r="L362" s="47" t="str">
        <f aca="false">IF(K362=1,"PASS","OPEN")</f>
        <v>OPEN</v>
      </c>
    </row>
    <row r="363" customFormat="false" ht="15" hidden="false" customHeight="false" outlineLevel="0" collapsed="false">
      <c r="A363" s="19" t="str">
        <f aca="false">"DEC-"&amp;B363&amp;"-G7"</f>
        <v>DEC-INT-HC-REC-G7</v>
      </c>
      <c r="B363" s="19" t="str">
        <f aca="false">'Lot Register'!A57</f>
        <v>INT-HC-REC</v>
      </c>
      <c r="C363" s="19" t="str">
        <f aca="false">'Lot Register'!B57</f>
        <v>Station integration</v>
      </c>
      <c r="D363" s="19" t="str">
        <f aca="false">'Lot Register'!D57</f>
        <v>MS-HC</v>
      </c>
      <c r="E363" s="19" t="str">
        <f aca="false">'Lot Register'!G57</f>
        <v>ST-HC-REC</v>
      </c>
      <c r="F363" s="9" t="s">
        <v>596</v>
      </c>
      <c r="G363" s="9" t="s">
        <v>597</v>
      </c>
      <c r="H363" s="9" t="s">
        <v>598</v>
      </c>
      <c r="I363" s="9" t="s">
        <v>570</v>
      </c>
      <c r="J363" s="11" t="s">
        <v>238</v>
      </c>
      <c r="K363" s="47" t="n">
        <f aca="false">Controls!B26</f>
        <v>0</v>
      </c>
      <c r="L363" s="47" t="str">
        <f aca="false">IF(K363=1,"PASS","OPEN")</f>
        <v>OPEN</v>
      </c>
    </row>
    <row r="364" customFormat="false" ht="15" hidden="false" customHeight="false" outlineLevel="0" collapsed="false">
      <c r="A364" s="19" t="str">
        <f aca="false">"DEC-"&amp;B364&amp;"-G1"</f>
        <v>DEC-RIG-LF-CHA-G1</v>
      </c>
      <c r="B364" s="19" t="str">
        <f aca="false">'Lot Register'!A58</f>
        <v>RIG-LF-CHA</v>
      </c>
      <c r="C364" s="19" t="str">
        <f aca="false">'Lot Register'!B58</f>
        <v>Root-native rig</v>
      </c>
      <c r="D364" s="19" t="str">
        <f aca="false">'Lot Register'!D58</f>
        <v>MS-LF</v>
      </c>
      <c r="E364" s="19" t="str">
        <f aca="false">'Lot Register'!G58</f>
        <v>ST-LF-CHA</v>
      </c>
      <c r="F364" s="9" t="s">
        <v>578</v>
      </c>
      <c r="G364" s="9" t="s">
        <v>579</v>
      </c>
      <c r="H364" s="9" t="s">
        <v>580</v>
      </c>
      <c r="I364" s="9" t="s">
        <v>562</v>
      </c>
      <c r="J364" s="11" t="s">
        <v>238</v>
      </c>
      <c r="K364" s="47" t="n">
        <f aca="false">Controls!B26</f>
        <v>0</v>
      </c>
      <c r="L364" s="47" t="str">
        <f aca="false">IF(K364=1,"PASS","OPEN")</f>
        <v>OPEN</v>
      </c>
    </row>
    <row r="365" customFormat="false" ht="15" hidden="false" customHeight="false" outlineLevel="0" collapsed="false">
      <c r="A365" s="19" t="str">
        <f aca="false">"DEC-"&amp;B365&amp;"-G2"</f>
        <v>DEC-RIG-LF-CHA-G2</v>
      </c>
      <c r="B365" s="19" t="str">
        <f aca="false">'Lot Register'!A58</f>
        <v>RIG-LF-CHA</v>
      </c>
      <c r="C365" s="19" t="str">
        <f aca="false">'Lot Register'!B58</f>
        <v>Root-native rig</v>
      </c>
      <c r="D365" s="19" t="str">
        <f aca="false">'Lot Register'!D58</f>
        <v>MS-LF</v>
      </c>
      <c r="E365" s="19" t="str">
        <f aca="false">'Lot Register'!G58</f>
        <v>ST-LF-CHA</v>
      </c>
      <c r="F365" s="9" t="s">
        <v>581</v>
      </c>
      <c r="G365" s="9" t="s">
        <v>582</v>
      </c>
      <c r="H365" s="9" t="s">
        <v>583</v>
      </c>
      <c r="I365" s="9" t="s">
        <v>560</v>
      </c>
      <c r="J365" s="11" t="s">
        <v>238</v>
      </c>
      <c r="K365" s="47" t="n">
        <f aca="false">Controls!B26</f>
        <v>0</v>
      </c>
      <c r="L365" s="47" t="str">
        <f aca="false">IF(K365=1,"PASS","OPEN")</f>
        <v>OPEN</v>
      </c>
    </row>
    <row r="366" customFormat="false" ht="15" hidden="false" customHeight="false" outlineLevel="0" collapsed="false">
      <c r="A366" s="19" t="str">
        <f aca="false">"DEC-"&amp;B366&amp;"-G3"</f>
        <v>DEC-RIG-LF-CHA-G3</v>
      </c>
      <c r="B366" s="19" t="str">
        <f aca="false">'Lot Register'!A58</f>
        <v>RIG-LF-CHA</v>
      </c>
      <c r="C366" s="19" t="str">
        <f aca="false">'Lot Register'!B58</f>
        <v>Root-native rig</v>
      </c>
      <c r="D366" s="19" t="str">
        <f aca="false">'Lot Register'!D58</f>
        <v>MS-LF</v>
      </c>
      <c r="E366" s="19" t="str">
        <f aca="false">'Lot Register'!G58</f>
        <v>ST-LF-CHA</v>
      </c>
      <c r="F366" s="9" t="s">
        <v>584</v>
      </c>
      <c r="G366" s="9" t="s">
        <v>585</v>
      </c>
      <c r="H366" s="9" t="s">
        <v>586</v>
      </c>
      <c r="I366" s="9" t="s">
        <v>565</v>
      </c>
      <c r="J366" s="11" t="s">
        <v>238</v>
      </c>
      <c r="K366" s="47" t="n">
        <f aca="false">Controls!B26</f>
        <v>0</v>
      </c>
      <c r="L366" s="47" t="str">
        <f aca="false">IF(K366=1,"PASS","OPEN")</f>
        <v>OPEN</v>
      </c>
    </row>
    <row r="367" customFormat="false" ht="15" hidden="false" customHeight="false" outlineLevel="0" collapsed="false">
      <c r="A367" s="19" t="str">
        <f aca="false">"DEC-"&amp;B367&amp;"-G4"</f>
        <v>DEC-RIG-LF-CHA-G4</v>
      </c>
      <c r="B367" s="19" t="str">
        <f aca="false">'Lot Register'!A58</f>
        <v>RIG-LF-CHA</v>
      </c>
      <c r="C367" s="19" t="str">
        <f aca="false">'Lot Register'!B58</f>
        <v>Root-native rig</v>
      </c>
      <c r="D367" s="19" t="str">
        <f aca="false">'Lot Register'!D58</f>
        <v>MS-LF</v>
      </c>
      <c r="E367" s="19" t="str">
        <f aca="false">'Lot Register'!G58</f>
        <v>ST-LF-CHA</v>
      </c>
      <c r="F367" s="9" t="s">
        <v>587</v>
      </c>
      <c r="G367" s="9" t="s">
        <v>588</v>
      </c>
      <c r="H367" s="9" t="s">
        <v>589</v>
      </c>
      <c r="I367" s="9" t="s">
        <v>562</v>
      </c>
      <c r="J367" s="11" t="s">
        <v>238</v>
      </c>
      <c r="K367" s="47" t="n">
        <f aca="false">Controls!B26</f>
        <v>0</v>
      </c>
      <c r="L367" s="47" t="str">
        <f aca="false">IF(K367=1,"PASS","OPEN")</f>
        <v>OPEN</v>
      </c>
    </row>
    <row r="368" customFormat="false" ht="15" hidden="false" customHeight="false" outlineLevel="0" collapsed="false">
      <c r="A368" s="19" t="str">
        <f aca="false">"DEC-"&amp;B368&amp;"-G5"</f>
        <v>DEC-RIG-LF-CHA-G5</v>
      </c>
      <c r="B368" s="19" t="str">
        <f aca="false">'Lot Register'!A58</f>
        <v>RIG-LF-CHA</v>
      </c>
      <c r="C368" s="19" t="str">
        <f aca="false">'Lot Register'!B58</f>
        <v>Root-native rig</v>
      </c>
      <c r="D368" s="19" t="str">
        <f aca="false">'Lot Register'!D58</f>
        <v>MS-LF</v>
      </c>
      <c r="E368" s="19" t="str">
        <f aca="false">'Lot Register'!G58</f>
        <v>ST-LF-CHA</v>
      </c>
      <c r="F368" s="9" t="s">
        <v>590</v>
      </c>
      <c r="G368" s="9" t="s">
        <v>591</v>
      </c>
      <c r="H368" s="9" t="s">
        <v>592</v>
      </c>
      <c r="I368" s="9" t="s">
        <v>565</v>
      </c>
      <c r="J368" s="11" t="s">
        <v>238</v>
      </c>
      <c r="K368" s="47" t="n">
        <f aca="false">Controls!B26</f>
        <v>0</v>
      </c>
      <c r="L368" s="47" t="str">
        <f aca="false">IF(K368=1,"PASS","OPEN")</f>
        <v>OPEN</v>
      </c>
    </row>
    <row r="369" customFormat="false" ht="15" hidden="false" customHeight="false" outlineLevel="0" collapsed="false">
      <c r="A369" s="19" t="str">
        <f aca="false">"DEC-"&amp;B369&amp;"-G6"</f>
        <v>DEC-RIG-LF-CHA-G6</v>
      </c>
      <c r="B369" s="19" t="str">
        <f aca="false">'Lot Register'!A58</f>
        <v>RIG-LF-CHA</v>
      </c>
      <c r="C369" s="19" t="str">
        <f aca="false">'Lot Register'!B58</f>
        <v>Root-native rig</v>
      </c>
      <c r="D369" s="19" t="str">
        <f aca="false">'Lot Register'!D58</f>
        <v>MS-LF</v>
      </c>
      <c r="E369" s="19" t="str">
        <f aca="false">'Lot Register'!G58</f>
        <v>ST-LF-CHA</v>
      </c>
      <c r="F369" s="9" t="s">
        <v>593</v>
      </c>
      <c r="G369" s="9" t="s">
        <v>594</v>
      </c>
      <c r="H369" s="9" t="s">
        <v>595</v>
      </c>
      <c r="I369" s="9" t="s">
        <v>570</v>
      </c>
      <c r="J369" s="11" t="s">
        <v>238</v>
      </c>
      <c r="K369" s="47" t="n">
        <f aca="false">Controls!B26</f>
        <v>0</v>
      </c>
      <c r="L369" s="47" t="str">
        <f aca="false">IF(K369=1,"PASS","OPEN")</f>
        <v>OPEN</v>
      </c>
    </row>
    <row r="370" customFormat="false" ht="15" hidden="false" customHeight="false" outlineLevel="0" collapsed="false">
      <c r="A370" s="19" t="str">
        <f aca="false">"DEC-"&amp;B370&amp;"-G7"</f>
        <v>DEC-RIG-LF-CHA-G7</v>
      </c>
      <c r="B370" s="19" t="str">
        <f aca="false">'Lot Register'!A58</f>
        <v>RIG-LF-CHA</v>
      </c>
      <c r="C370" s="19" t="str">
        <f aca="false">'Lot Register'!B58</f>
        <v>Root-native rig</v>
      </c>
      <c r="D370" s="19" t="str">
        <f aca="false">'Lot Register'!D58</f>
        <v>MS-LF</v>
      </c>
      <c r="E370" s="19" t="str">
        <f aca="false">'Lot Register'!G58</f>
        <v>ST-LF-CHA</v>
      </c>
      <c r="F370" s="9" t="s">
        <v>596</v>
      </c>
      <c r="G370" s="9" t="s">
        <v>597</v>
      </c>
      <c r="H370" s="9" t="s">
        <v>598</v>
      </c>
      <c r="I370" s="9" t="s">
        <v>570</v>
      </c>
      <c r="J370" s="11" t="s">
        <v>238</v>
      </c>
      <c r="K370" s="47" t="n">
        <f aca="false">Controls!B26</f>
        <v>0</v>
      </c>
      <c r="L370" s="47" t="str">
        <f aca="false">IF(K370=1,"PASS","OPEN")</f>
        <v>OPEN</v>
      </c>
    </row>
    <row r="371" customFormat="false" ht="15" hidden="false" customHeight="false" outlineLevel="0" collapsed="false">
      <c r="A371" s="19" t="str">
        <f aca="false">"DEC-"&amp;B371&amp;"-G1"</f>
        <v>DEC-MTH-LF-CHA-L1-G1</v>
      </c>
      <c r="B371" s="19" t="str">
        <f aca="false">'Lot Register'!A59</f>
        <v>MTH-LF-CHA-L1</v>
      </c>
      <c r="C371" s="19" t="str">
        <f aca="false">'Lot Register'!B59</f>
        <v>Method lineage</v>
      </c>
      <c r="D371" s="19" t="str">
        <f aca="false">'Lot Register'!D59</f>
        <v>MS-LF</v>
      </c>
      <c r="E371" s="19" t="str">
        <f aca="false">'Lot Register'!G59</f>
        <v>ST-LF-CHA</v>
      </c>
      <c r="F371" s="9" t="s">
        <v>578</v>
      </c>
      <c r="G371" s="9" t="s">
        <v>579</v>
      </c>
      <c r="H371" s="9" t="s">
        <v>580</v>
      </c>
      <c r="I371" s="9" t="s">
        <v>562</v>
      </c>
      <c r="J371" s="11" t="s">
        <v>238</v>
      </c>
      <c r="K371" s="47" t="n">
        <f aca="false">Controls!B26</f>
        <v>0</v>
      </c>
      <c r="L371" s="47" t="str">
        <f aca="false">IF(K371=1,"PASS","OPEN")</f>
        <v>OPEN</v>
      </c>
    </row>
    <row r="372" customFormat="false" ht="15" hidden="false" customHeight="false" outlineLevel="0" collapsed="false">
      <c r="A372" s="19" t="str">
        <f aca="false">"DEC-"&amp;B372&amp;"-G2"</f>
        <v>DEC-MTH-LF-CHA-L1-G2</v>
      </c>
      <c r="B372" s="19" t="str">
        <f aca="false">'Lot Register'!A59</f>
        <v>MTH-LF-CHA-L1</v>
      </c>
      <c r="C372" s="19" t="str">
        <f aca="false">'Lot Register'!B59</f>
        <v>Method lineage</v>
      </c>
      <c r="D372" s="19" t="str">
        <f aca="false">'Lot Register'!D59</f>
        <v>MS-LF</v>
      </c>
      <c r="E372" s="19" t="str">
        <f aca="false">'Lot Register'!G59</f>
        <v>ST-LF-CHA</v>
      </c>
      <c r="F372" s="9" t="s">
        <v>581</v>
      </c>
      <c r="G372" s="9" t="s">
        <v>582</v>
      </c>
      <c r="H372" s="9" t="s">
        <v>583</v>
      </c>
      <c r="I372" s="9" t="s">
        <v>560</v>
      </c>
      <c r="J372" s="11" t="s">
        <v>238</v>
      </c>
      <c r="K372" s="47" t="n">
        <f aca="false">Controls!B26</f>
        <v>0</v>
      </c>
      <c r="L372" s="47" t="str">
        <f aca="false">IF(K372=1,"PASS","OPEN")</f>
        <v>OPEN</v>
      </c>
    </row>
    <row r="373" customFormat="false" ht="15" hidden="false" customHeight="false" outlineLevel="0" collapsed="false">
      <c r="A373" s="19" t="str">
        <f aca="false">"DEC-"&amp;B373&amp;"-G3"</f>
        <v>DEC-MTH-LF-CHA-L1-G3</v>
      </c>
      <c r="B373" s="19" t="str">
        <f aca="false">'Lot Register'!A59</f>
        <v>MTH-LF-CHA-L1</v>
      </c>
      <c r="C373" s="19" t="str">
        <f aca="false">'Lot Register'!B59</f>
        <v>Method lineage</v>
      </c>
      <c r="D373" s="19" t="str">
        <f aca="false">'Lot Register'!D59</f>
        <v>MS-LF</v>
      </c>
      <c r="E373" s="19" t="str">
        <f aca="false">'Lot Register'!G59</f>
        <v>ST-LF-CHA</v>
      </c>
      <c r="F373" s="9" t="s">
        <v>584</v>
      </c>
      <c r="G373" s="9" t="s">
        <v>585</v>
      </c>
      <c r="H373" s="9" t="s">
        <v>586</v>
      </c>
      <c r="I373" s="9" t="s">
        <v>565</v>
      </c>
      <c r="J373" s="11" t="s">
        <v>238</v>
      </c>
      <c r="K373" s="47" t="n">
        <f aca="false">Controls!B26</f>
        <v>0</v>
      </c>
      <c r="L373" s="47" t="str">
        <f aca="false">IF(K373=1,"PASS","OPEN")</f>
        <v>OPEN</v>
      </c>
    </row>
    <row r="374" customFormat="false" ht="15" hidden="false" customHeight="false" outlineLevel="0" collapsed="false">
      <c r="A374" s="19" t="str">
        <f aca="false">"DEC-"&amp;B374&amp;"-G4"</f>
        <v>DEC-MTH-LF-CHA-L1-G4</v>
      </c>
      <c r="B374" s="19" t="str">
        <f aca="false">'Lot Register'!A59</f>
        <v>MTH-LF-CHA-L1</v>
      </c>
      <c r="C374" s="19" t="str">
        <f aca="false">'Lot Register'!B59</f>
        <v>Method lineage</v>
      </c>
      <c r="D374" s="19" t="str">
        <f aca="false">'Lot Register'!D59</f>
        <v>MS-LF</v>
      </c>
      <c r="E374" s="19" t="str">
        <f aca="false">'Lot Register'!G59</f>
        <v>ST-LF-CHA</v>
      </c>
      <c r="F374" s="9" t="s">
        <v>587</v>
      </c>
      <c r="G374" s="9" t="s">
        <v>588</v>
      </c>
      <c r="H374" s="9" t="s">
        <v>589</v>
      </c>
      <c r="I374" s="9" t="s">
        <v>562</v>
      </c>
      <c r="J374" s="11" t="s">
        <v>238</v>
      </c>
      <c r="K374" s="47" t="n">
        <f aca="false">Controls!B26</f>
        <v>0</v>
      </c>
      <c r="L374" s="47" t="str">
        <f aca="false">IF(K374=1,"PASS","OPEN")</f>
        <v>OPEN</v>
      </c>
    </row>
    <row r="375" customFormat="false" ht="15" hidden="false" customHeight="false" outlineLevel="0" collapsed="false">
      <c r="A375" s="19" t="str">
        <f aca="false">"DEC-"&amp;B375&amp;"-G5"</f>
        <v>DEC-MTH-LF-CHA-L1-G5</v>
      </c>
      <c r="B375" s="19" t="str">
        <f aca="false">'Lot Register'!A59</f>
        <v>MTH-LF-CHA-L1</v>
      </c>
      <c r="C375" s="19" t="str">
        <f aca="false">'Lot Register'!B59</f>
        <v>Method lineage</v>
      </c>
      <c r="D375" s="19" t="str">
        <f aca="false">'Lot Register'!D59</f>
        <v>MS-LF</v>
      </c>
      <c r="E375" s="19" t="str">
        <f aca="false">'Lot Register'!G59</f>
        <v>ST-LF-CHA</v>
      </c>
      <c r="F375" s="9" t="s">
        <v>590</v>
      </c>
      <c r="G375" s="9" t="s">
        <v>591</v>
      </c>
      <c r="H375" s="9" t="s">
        <v>592</v>
      </c>
      <c r="I375" s="9" t="s">
        <v>565</v>
      </c>
      <c r="J375" s="11" t="s">
        <v>238</v>
      </c>
      <c r="K375" s="47" t="n">
        <f aca="false">Controls!B26</f>
        <v>0</v>
      </c>
      <c r="L375" s="47" t="str">
        <f aca="false">IF(K375=1,"PASS","OPEN")</f>
        <v>OPEN</v>
      </c>
    </row>
    <row r="376" customFormat="false" ht="15" hidden="false" customHeight="false" outlineLevel="0" collapsed="false">
      <c r="A376" s="19" t="str">
        <f aca="false">"DEC-"&amp;B376&amp;"-G6"</f>
        <v>DEC-MTH-LF-CHA-L1-G6</v>
      </c>
      <c r="B376" s="19" t="str">
        <f aca="false">'Lot Register'!A59</f>
        <v>MTH-LF-CHA-L1</v>
      </c>
      <c r="C376" s="19" t="str">
        <f aca="false">'Lot Register'!B59</f>
        <v>Method lineage</v>
      </c>
      <c r="D376" s="19" t="str">
        <f aca="false">'Lot Register'!D59</f>
        <v>MS-LF</v>
      </c>
      <c r="E376" s="19" t="str">
        <f aca="false">'Lot Register'!G59</f>
        <v>ST-LF-CHA</v>
      </c>
      <c r="F376" s="9" t="s">
        <v>593</v>
      </c>
      <c r="G376" s="9" t="s">
        <v>594</v>
      </c>
      <c r="H376" s="9" t="s">
        <v>595</v>
      </c>
      <c r="I376" s="9" t="s">
        <v>570</v>
      </c>
      <c r="J376" s="11" t="s">
        <v>238</v>
      </c>
      <c r="K376" s="47" t="n">
        <f aca="false">Controls!B26</f>
        <v>0</v>
      </c>
      <c r="L376" s="47" t="str">
        <f aca="false">IF(K376=1,"PASS","OPEN")</f>
        <v>OPEN</v>
      </c>
    </row>
    <row r="377" customFormat="false" ht="15" hidden="false" customHeight="false" outlineLevel="0" collapsed="false">
      <c r="A377" s="19" t="str">
        <f aca="false">"DEC-"&amp;B377&amp;"-G7"</f>
        <v>DEC-MTH-LF-CHA-L1-G7</v>
      </c>
      <c r="B377" s="19" t="str">
        <f aca="false">'Lot Register'!A59</f>
        <v>MTH-LF-CHA-L1</v>
      </c>
      <c r="C377" s="19" t="str">
        <f aca="false">'Lot Register'!B59</f>
        <v>Method lineage</v>
      </c>
      <c r="D377" s="19" t="str">
        <f aca="false">'Lot Register'!D59</f>
        <v>MS-LF</v>
      </c>
      <c r="E377" s="19" t="str">
        <f aca="false">'Lot Register'!G59</f>
        <v>ST-LF-CHA</v>
      </c>
      <c r="F377" s="9" t="s">
        <v>596</v>
      </c>
      <c r="G377" s="9" t="s">
        <v>597</v>
      </c>
      <c r="H377" s="9" t="s">
        <v>598</v>
      </c>
      <c r="I377" s="9" t="s">
        <v>570</v>
      </c>
      <c r="J377" s="11" t="s">
        <v>238</v>
      </c>
      <c r="K377" s="47" t="n">
        <f aca="false">Controls!B26</f>
        <v>0</v>
      </c>
      <c r="L377" s="47" t="str">
        <f aca="false">IF(K377=1,"PASS","OPEN")</f>
        <v>OPEN</v>
      </c>
    </row>
    <row r="378" customFormat="false" ht="15" hidden="false" customHeight="false" outlineLevel="0" collapsed="false">
      <c r="A378" s="19" t="str">
        <f aca="false">"DEC-"&amp;B378&amp;"-G1"</f>
        <v>DEC-MTH-LF-CHA-L2-G1</v>
      </c>
      <c r="B378" s="19" t="str">
        <f aca="false">'Lot Register'!A60</f>
        <v>MTH-LF-CHA-L2</v>
      </c>
      <c r="C378" s="19" t="str">
        <f aca="false">'Lot Register'!B60</f>
        <v>Method lineage</v>
      </c>
      <c r="D378" s="19" t="str">
        <f aca="false">'Lot Register'!D60</f>
        <v>MS-LF</v>
      </c>
      <c r="E378" s="19" t="str">
        <f aca="false">'Lot Register'!G60</f>
        <v>ST-LF-CHA</v>
      </c>
      <c r="F378" s="9" t="s">
        <v>578</v>
      </c>
      <c r="G378" s="9" t="s">
        <v>579</v>
      </c>
      <c r="H378" s="9" t="s">
        <v>580</v>
      </c>
      <c r="I378" s="9" t="s">
        <v>562</v>
      </c>
      <c r="J378" s="11" t="s">
        <v>238</v>
      </c>
      <c r="K378" s="47" t="n">
        <f aca="false">Controls!B26</f>
        <v>0</v>
      </c>
      <c r="L378" s="47" t="str">
        <f aca="false">IF(K378=1,"PASS","OPEN")</f>
        <v>OPEN</v>
      </c>
    </row>
    <row r="379" customFormat="false" ht="15" hidden="false" customHeight="false" outlineLevel="0" collapsed="false">
      <c r="A379" s="19" t="str">
        <f aca="false">"DEC-"&amp;B379&amp;"-G2"</f>
        <v>DEC-MTH-LF-CHA-L2-G2</v>
      </c>
      <c r="B379" s="19" t="str">
        <f aca="false">'Lot Register'!A60</f>
        <v>MTH-LF-CHA-L2</v>
      </c>
      <c r="C379" s="19" t="str">
        <f aca="false">'Lot Register'!B60</f>
        <v>Method lineage</v>
      </c>
      <c r="D379" s="19" t="str">
        <f aca="false">'Lot Register'!D60</f>
        <v>MS-LF</v>
      </c>
      <c r="E379" s="19" t="str">
        <f aca="false">'Lot Register'!G60</f>
        <v>ST-LF-CHA</v>
      </c>
      <c r="F379" s="9" t="s">
        <v>581</v>
      </c>
      <c r="G379" s="9" t="s">
        <v>582</v>
      </c>
      <c r="H379" s="9" t="s">
        <v>583</v>
      </c>
      <c r="I379" s="9" t="s">
        <v>560</v>
      </c>
      <c r="J379" s="11" t="s">
        <v>238</v>
      </c>
      <c r="K379" s="47" t="n">
        <f aca="false">Controls!B26</f>
        <v>0</v>
      </c>
      <c r="L379" s="47" t="str">
        <f aca="false">IF(K379=1,"PASS","OPEN")</f>
        <v>OPEN</v>
      </c>
    </row>
    <row r="380" customFormat="false" ht="15" hidden="false" customHeight="false" outlineLevel="0" collapsed="false">
      <c r="A380" s="19" t="str">
        <f aca="false">"DEC-"&amp;B380&amp;"-G3"</f>
        <v>DEC-MTH-LF-CHA-L2-G3</v>
      </c>
      <c r="B380" s="19" t="str">
        <f aca="false">'Lot Register'!A60</f>
        <v>MTH-LF-CHA-L2</v>
      </c>
      <c r="C380" s="19" t="str">
        <f aca="false">'Lot Register'!B60</f>
        <v>Method lineage</v>
      </c>
      <c r="D380" s="19" t="str">
        <f aca="false">'Lot Register'!D60</f>
        <v>MS-LF</v>
      </c>
      <c r="E380" s="19" t="str">
        <f aca="false">'Lot Register'!G60</f>
        <v>ST-LF-CHA</v>
      </c>
      <c r="F380" s="9" t="s">
        <v>584</v>
      </c>
      <c r="G380" s="9" t="s">
        <v>585</v>
      </c>
      <c r="H380" s="9" t="s">
        <v>586</v>
      </c>
      <c r="I380" s="9" t="s">
        <v>565</v>
      </c>
      <c r="J380" s="11" t="s">
        <v>238</v>
      </c>
      <c r="K380" s="47" t="n">
        <f aca="false">Controls!B26</f>
        <v>0</v>
      </c>
      <c r="L380" s="47" t="str">
        <f aca="false">IF(K380=1,"PASS","OPEN")</f>
        <v>OPEN</v>
      </c>
    </row>
    <row r="381" customFormat="false" ht="15" hidden="false" customHeight="false" outlineLevel="0" collapsed="false">
      <c r="A381" s="19" t="str">
        <f aca="false">"DEC-"&amp;B381&amp;"-G4"</f>
        <v>DEC-MTH-LF-CHA-L2-G4</v>
      </c>
      <c r="B381" s="19" t="str">
        <f aca="false">'Lot Register'!A60</f>
        <v>MTH-LF-CHA-L2</v>
      </c>
      <c r="C381" s="19" t="str">
        <f aca="false">'Lot Register'!B60</f>
        <v>Method lineage</v>
      </c>
      <c r="D381" s="19" t="str">
        <f aca="false">'Lot Register'!D60</f>
        <v>MS-LF</v>
      </c>
      <c r="E381" s="19" t="str">
        <f aca="false">'Lot Register'!G60</f>
        <v>ST-LF-CHA</v>
      </c>
      <c r="F381" s="9" t="s">
        <v>587</v>
      </c>
      <c r="G381" s="9" t="s">
        <v>588</v>
      </c>
      <c r="H381" s="9" t="s">
        <v>589</v>
      </c>
      <c r="I381" s="9" t="s">
        <v>562</v>
      </c>
      <c r="J381" s="11" t="s">
        <v>238</v>
      </c>
      <c r="K381" s="47" t="n">
        <f aca="false">Controls!B26</f>
        <v>0</v>
      </c>
      <c r="L381" s="47" t="str">
        <f aca="false">IF(K381=1,"PASS","OPEN")</f>
        <v>OPEN</v>
      </c>
    </row>
    <row r="382" customFormat="false" ht="15" hidden="false" customHeight="false" outlineLevel="0" collapsed="false">
      <c r="A382" s="19" t="str">
        <f aca="false">"DEC-"&amp;B382&amp;"-G5"</f>
        <v>DEC-MTH-LF-CHA-L2-G5</v>
      </c>
      <c r="B382" s="19" t="str">
        <f aca="false">'Lot Register'!A60</f>
        <v>MTH-LF-CHA-L2</v>
      </c>
      <c r="C382" s="19" t="str">
        <f aca="false">'Lot Register'!B60</f>
        <v>Method lineage</v>
      </c>
      <c r="D382" s="19" t="str">
        <f aca="false">'Lot Register'!D60</f>
        <v>MS-LF</v>
      </c>
      <c r="E382" s="19" t="str">
        <f aca="false">'Lot Register'!G60</f>
        <v>ST-LF-CHA</v>
      </c>
      <c r="F382" s="9" t="s">
        <v>590</v>
      </c>
      <c r="G382" s="9" t="s">
        <v>591</v>
      </c>
      <c r="H382" s="9" t="s">
        <v>592</v>
      </c>
      <c r="I382" s="9" t="s">
        <v>565</v>
      </c>
      <c r="J382" s="11" t="s">
        <v>238</v>
      </c>
      <c r="K382" s="47" t="n">
        <f aca="false">Controls!B26</f>
        <v>0</v>
      </c>
      <c r="L382" s="47" t="str">
        <f aca="false">IF(K382=1,"PASS","OPEN")</f>
        <v>OPEN</v>
      </c>
    </row>
    <row r="383" customFormat="false" ht="15" hidden="false" customHeight="false" outlineLevel="0" collapsed="false">
      <c r="A383" s="19" t="str">
        <f aca="false">"DEC-"&amp;B383&amp;"-G6"</f>
        <v>DEC-MTH-LF-CHA-L2-G6</v>
      </c>
      <c r="B383" s="19" t="str">
        <f aca="false">'Lot Register'!A60</f>
        <v>MTH-LF-CHA-L2</v>
      </c>
      <c r="C383" s="19" t="str">
        <f aca="false">'Lot Register'!B60</f>
        <v>Method lineage</v>
      </c>
      <c r="D383" s="19" t="str">
        <f aca="false">'Lot Register'!D60</f>
        <v>MS-LF</v>
      </c>
      <c r="E383" s="19" t="str">
        <f aca="false">'Lot Register'!G60</f>
        <v>ST-LF-CHA</v>
      </c>
      <c r="F383" s="9" t="s">
        <v>593</v>
      </c>
      <c r="G383" s="9" t="s">
        <v>594</v>
      </c>
      <c r="H383" s="9" t="s">
        <v>595</v>
      </c>
      <c r="I383" s="9" t="s">
        <v>570</v>
      </c>
      <c r="J383" s="11" t="s">
        <v>238</v>
      </c>
      <c r="K383" s="47" t="n">
        <f aca="false">Controls!B26</f>
        <v>0</v>
      </c>
      <c r="L383" s="47" t="str">
        <f aca="false">IF(K383=1,"PASS","OPEN")</f>
        <v>OPEN</v>
      </c>
    </row>
    <row r="384" customFormat="false" ht="15" hidden="false" customHeight="false" outlineLevel="0" collapsed="false">
      <c r="A384" s="19" t="str">
        <f aca="false">"DEC-"&amp;B384&amp;"-G7"</f>
        <v>DEC-MTH-LF-CHA-L2-G7</v>
      </c>
      <c r="B384" s="19" t="str">
        <f aca="false">'Lot Register'!A60</f>
        <v>MTH-LF-CHA-L2</v>
      </c>
      <c r="C384" s="19" t="str">
        <f aca="false">'Lot Register'!B60</f>
        <v>Method lineage</v>
      </c>
      <c r="D384" s="19" t="str">
        <f aca="false">'Lot Register'!D60</f>
        <v>MS-LF</v>
      </c>
      <c r="E384" s="19" t="str">
        <f aca="false">'Lot Register'!G60</f>
        <v>ST-LF-CHA</v>
      </c>
      <c r="F384" s="9" t="s">
        <v>596</v>
      </c>
      <c r="G384" s="9" t="s">
        <v>597</v>
      </c>
      <c r="H384" s="9" t="s">
        <v>598</v>
      </c>
      <c r="I384" s="9" t="s">
        <v>570</v>
      </c>
      <c r="J384" s="11" t="s">
        <v>238</v>
      </c>
      <c r="K384" s="47" t="n">
        <f aca="false">Controls!B26</f>
        <v>0</v>
      </c>
      <c r="L384" s="47" t="str">
        <f aca="false">IF(K384=1,"PASS","OPEN")</f>
        <v>OPEN</v>
      </c>
    </row>
    <row r="385" customFormat="false" ht="15" hidden="false" customHeight="false" outlineLevel="0" collapsed="false">
      <c r="A385" s="19" t="str">
        <f aca="false">"DEC-"&amp;B385&amp;"-G1"</f>
        <v>DEC-REG-LF-CHA-G1</v>
      </c>
      <c r="B385" s="19" t="str">
        <f aca="false">'Lot Register'!A61</f>
        <v>REG-LF-CHA</v>
      </c>
      <c r="C385" s="19" t="str">
        <f aca="false">'Lot Register'!B61</f>
        <v>Regeneration tool</v>
      </c>
      <c r="D385" s="19" t="str">
        <f aca="false">'Lot Register'!D61</f>
        <v>MS-LF</v>
      </c>
      <c r="E385" s="19" t="str">
        <f aca="false">'Lot Register'!G61</f>
        <v>ST-LF-CHA</v>
      </c>
      <c r="F385" s="9" t="s">
        <v>578</v>
      </c>
      <c r="G385" s="9" t="s">
        <v>579</v>
      </c>
      <c r="H385" s="9" t="s">
        <v>580</v>
      </c>
      <c r="I385" s="9" t="s">
        <v>562</v>
      </c>
      <c r="J385" s="11" t="s">
        <v>238</v>
      </c>
      <c r="K385" s="47" t="n">
        <f aca="false">Controls!B26</f>
        <v>0</v>
      </c>
      <c r="L385" s="47" t="str">
        <f aca="false">IF(K385=1,"PASS","OPEN")</f>
        <v>OPEN</v>
      </c>
    </row>
    <row r="386" customFormat="false" ht="15" hidden="false" customHeight="false" outlineLevel="0" collapsed="false">
      <c r="A386" s="19" t="str">
        <f aca="false">"DEC-"&amp;B386&amp;"-G2"</f>
        <v>DEC-REG-LF-CHA-G2</v>
      </c>
      <c r="B386" s="19" t="str">
        <f aca="false">'Lot Register'!A61</f>
        <v>REG-LF-CHA</v>
      </c>
      <c r="C386" s="19" t="str">
        <f aca="false">'Lot Register'!B61</f>
        <v>Regeneration tool</v>
      </c>
      <c r="D386" s="19" t="str">
        <f aca="false">'Lot Register'!D61</f>
        <v>MS-LF</v>
      </c>
      <c r="E386" s="19" t="str">
        <f aca="false">'Lot Register'!G61</f>
        <v>ST-LF-CHA</v>
      </c>
      <c r="F386" s="9" t="s">
        <v>581</v>
      </c>
      <c r="G386" s="9" t="s">
        <v>582</v>
      </c>
      <c r="H386" s="9" t="s">
        <v>583</v>
      </c>
      <c r="I386" s="9" t="s">
        <v>560</v>
      </c>
      <c r="J386" s="11" t="s">
        <v>238</v>
      </c>
      <c r="K386" s="47" t="n">
        <f aca="false">Controls!B26</f>
        <v>0</v>
      </c>
      <c r="L386" s="47" t="str">
        <f aca="false">IF(K386=1,"PASS","OPEN")</f>
        <v>OPEN</v>
      </c>
    </row>
    <row r="387" customFormat="false" ht="15" hidden="false" customHeight="false" outlineLevel="0" collapsed="false">
      <c r="A387" s="19" t="str">
        <f aca="false">"DEC-"&amp;B387&amp;"-G3"</f>
        <v>DEC-REG-LF-CHA-G3</v>
      </c>
      <c r="B387" s="19" t="str">
        <f aca="false">'Lot Register'!A61</f>
        <v>REG-LF-CHA</v>
      </c>
      <c r="C387" s="19" t="str">
        <f aca="false">'Lot Register'!B61</f>
        <v>Regeneration tool</v>
      </c>
      <c r="D387" s="19" t="str">
        <f aca="false">'Lot Register'!D61</f>
        <v>MS-LF</v>
      </c>
      <c r="E387" s="19" t="str">
        <f aca="false">'Lot Register'!G61</f>
        <v>ST-LF-CHA</v>
      </c>
      <c r="F387" s="9" t="s">
        <v>584</v>
      </c>
      <c r="G387" s="9" t="s">
        <v>585</v>
      </c>
      <c r="H387" s="9" t="s">
        <v>586</v>
      </c>
      <c r="I387" s="9" t="s">
        <v>565</v>
      </c>
      <c r="J387" s="11" t="s">
        <v>238</v>
      </c>
      <c r="K387" s="47" t="n">
        <f aca="false">Controls!B26</f>
        <v>0</v>
      </c>
      <c r="L387" s="47" t="str">
        <f aca="false">IF(K387=1,"PASS","OPEN")</f>
        <v>OPEN</v>
      </c>
    </row>
    <row r="388" customFormat="false" ht="15" hidden="false" customHeight="false" outlineLevel="0" collapsed="false">
      <c r="A388" s="19" t="str">
        <f aca="false">"DEC-"&amp;B388&amp;"-G4"</f>
        <v>DEC-REG-LF-CHA-G4</v>
      </c>
      <c r="B388" s="19" t="str">
        <f aca="false">'Lot Register'!A61</f>
        <v>REG-LF-CHA</v>
      </c>
      <c r="C388" s="19" t="str">
        <f aca="false">'Lot Register'!B61</f>
        <v>Regeneration tool</v>
      </c>
      <c r="D388" s="19" t="str">
        <f aca="false">'Lot Register'!D61</f>
        <v>MS-LF</v>
      </c>
      <c r="E388" s="19" t="str">
        <f aca="false">'Lot Register'!G61</f>
        <v>ST-LF-CHA</v>
      </c>
      <c r="F388" s="9" t="s">
        <v>587</v>
      </c>
      <c r="G388" s="9" t="s">
        <v>588</v>
      </c>
      <c r="H388" s="9" t="s">
        <v>589</v>
      </c>
      <c r="I388" s="9" t="s">
        <v>562</v>
      </c>
      <c r="J388" s="11" t="s">
        <v>238</v>
      </c>
      <c r="K388" s="47" t="n">
        <f aca="false">Controls!B26</f>
        <v>0</v>
      </c>
      <c r="L388" s="47" t="str">
        <f aca="false">IF(K388=1,"PASS","OPEN")</f>
        <v>OPEN</v>
      </c>
    </row>
    <row r="389" customFormat="false" ht="15" hidden="false" customHeight="false" outlineLevel="0" collapsed="false">
      <c r="A389" s="19" t="str">
        <f aca="false">"DEC-"&amp;B389&amp;"-G5"</f>
        <v>DEC-REG-LF-CHA-G5</v>
      </c>
      <c r="B389" s="19" t="str">
        <f aca="false">'Lot Register'!A61</f>
        <v>REG-LF-CHA</v>
      </c>
      <c r="C389" s="19" t="str">
        <f aca="false">'Lot Register'!B61</f>
        <v>Regeneration tool</v>
      </c>
      <c r="D389" s="19" t="str">
        <f aca="false">'Lot Register'!D61</f>
        <v>MS-LF</v>
      </c>
      <c r="E389" s="19" t="str">
        <f aca="false">'Lot Register'!G61</f>
        <v>ST-LF-CHA</v>
      </c>
      <c r="F389" s="9" t="s">
        <v>590</v>
      </c>
      <c r="G389" s="9" t="s">
        <v>591</v>
      </c>
      <c r="H389" s="9" t="s">
        <v>592</v>
      </c>
      <c r="I389" s="9" t="s">
        <v>565</v>
      </c>
      <c r="J389" s="11" t="s">
        <v>238</v>
      </c>
      <c r="K389" s="47" t="n">
        <f aca="false">Controls!B26</f>
        <v>0</v>
      </c>
      <c r="L389" s="47" t="str">
        <f aca="false">IF(K389=1,"PASS","OPEN")</f>
        <v>OPEN</v>
      </c>
    </row>
    <row r="390" customFormat="false" ht="15" hidden="false" customHeight="false" outlineLevel="0" collapsed="false">
      <c r="A390" s="19" t="str">
        <f aca="false">"DEC-"&amp;B390&amp;"-G6"</f>
        <v>DEC-REG-LF-CHA-G6</v>
      </c>
      <c r="B390" s="19" t="str">
        <f aca="false">'Lot Register'!A61</f>
        <v>REG-LF-CHA</v>
      </c>
      <c r="C390" s="19" t="str">
        <f aca="false">'Lot Register'!B61</f>
        <v>Regeneration tool</v>
      </c>
      <c r="D390" s="19" t="str">
        <f aca="false">'Lot Register'!D61</f>
        <v>MS-LF</v>
      </c>
      <c r="E390" s="19" t="str">
        <f aca="false">'Lot Register'!G61</f>
        <v>ST-LF-CHA</v>
      </c>
      <c r="F390" s="9" t="s">
        <v>593</v>
      </c>
      <c r="G390" s="9" t="s">
        <v>594</v>
      </c>
      <c r="H390" s="9" t="s">
        <v>595</v>
      </c>
      <c r="I390" s="9" t="s">
        <v>570</v>
      </c>
      <c r="J390" s="11" t="s">
        <v>238</v>
      </c>
      <c r="K390" s="47" t="n">
        <f aca="false">Controls!B26</f>
        <v>0</v>
      </c>
      <c r="L390" s="47" t="str">
        <f aca="false">IF(K390=1,"PASS","OPEN")</f>
        <v>OPEN</v>
      </c>
    </row>
    <row r="391" customFormat="false" ht="15" hidden="false" customHeight="false" outlineLevel="0" collapsed="false">
      <c r="A391" s="19" t="str">
        <f aca="false">"DEC-"&amp;B391&amp;"-G7"</f>
        <v>DEC-REG-LF-CHA-G7</v>
      </c>
      <c r="B391" s="19" t="str">
        <f aca="false">'Lot Register'!A61</f>
        <v>REG-LF-CHA</v>
      </c>
      <c r="C391" s="19" t="str">
        <f aca="false">'Lot Register'!B61</f>
        <v>Regeneration tool</v>
      </c>
      <c r="D391" s="19" t="str">
        <f aca="false">'Lot Register'!D61</f>
        <v>MS-LF</v>
      </c>
      <c r="E391" s="19" t="str">
        <f aca="false">'Lot Register'!G61</f>
        <v>ST-LF-CHA</v>
      </c>
      <c r="F391" s="9" t="s">
        <v>596</v>
      </c>
      <c r="G391" s="9" t="s">
        <v>597</v>
      </c>
      <c r="H391" s="9" t="s">
        <v>598</v>
      </c>
      <c r="I391" s="9" t="s">
        <v>570</v>
      </c>
      <c r="J391" s="11" t="s">
        <v>238</v>
      </c>
      <c r="K391" s="47" t="n">
        <f aca="false">Controls!B26</f>
        <v>0</v>
      </c>
      <c r="L391" s="47" t="str">
        <f aca="false">IF(K391=1,"PASS","OPEN")</f>
        <v>OPEN</v>
      </c>
    </row>
    <row r="392" customFormat="false" ht="15" hidden="false" customHeight="false" outlineLevel="0" collapsed="false">
      <c r="A392" s="19" t="str">
        <f aca="false">"DEC-"&amp;B392&amp;"-G1"</f>
        <v>DEC-INT-LF-CHA-G1</v>
      </c>
      <c r="B392" s="19" t="str">
        <f aca="false">'Lot Register'!A62</f>
        <v>INT-LF-CHA</v>
      </c>
      <c r="C392" s="19" t="str">
        <f aca="false">'Lot Register'!B62</f>
        <v>Station integration</v>
      </c>
      <c r="D392" s="19" t="str">
        <f aca="false">'Lot Register'!D62</f>
        <v>MS-LF</v>
      </c>
      <c r="E392" s="19" t="str">
        <f aca="false">'Lot Register'!G62</f>
        <v>ST-LF-CHA</v>
      </c>
      <c r="F392" s="9" t="s">
        <v>578</v>
      </c>
      <c r="G392" s="9" t="s">
        <v>579</v>
      </c>
      <c r="H392" s="9" t="s">
        <v>580</v>
      </c>
      <c r="I392" s="9" t="s">
        <v>562</v>
      </c>
      <c r="J392" s="11" t="s">
        <v>238</v>
      </c>
      <c r="K392" s="47" t="n">
        <f aca="false">Controls!B26</f>
        <v>0</v>
      </c>
      <c r="L392" s="47" t="str">
        <f aca="false">IF(K392=1,"PASS","OPEN")</f>
        <v>OPEN</v>
      </c>
    </row>
    <row r="393" customFormat="false" ht="15" hidden="false" customHeight="false" outlineLevel="0" collapsed="false">
      <c r="A393" s="19" t="str">
        <f aca="false">"DEC-"&amp;B393&amp;"-G2"</f>
        <v>DEC-INT-LF-CHA-G2</v>
      </c>
      <c r="B393" s="19" t="str">
        <f aca="false">'Lot Register'!A62</f>
        <v>INT-LF-CHA</v>
      </c>
      <c r="C393" s="19" t="str">
        <f aca="false">'Lot Register'!B62</f>
        <v>Station integration</v>
      </c>
      <c r="D393" s="19" t="str">
        <f aca="false">'Lot Register'!D62</f>
        <v>MS-LF</v>
      </c>
      <c r="E393" s="19" t="str">
        <f aca="false">'Lot Register'!G62</f>
        <v>ST-LF-CHA</v>
      </c>
      <c r="F393" s="9" t="s">
        <v>581</v>
      </c>
      <c r="G393" s="9" t="s">
        <v>582</v>
      </c>
      <c r="H393" s="9" t="s">
        <v>583</v>
      </c>
      <c r="I393" s="9" t="s">
        <v>560</v>
      </c>
      <c r="J393" s="11" t="s">
        <v>238</v>
      </c>
      <c r="K393" s="47" t="n">
        <f aca="false">Controls!B26</f>
        <v>0</v>
      </c>
      <c r="L393" s="47" t="str">
        <f aca="false">IF(K393=1,"PASS","OPEN")</f>
        <v>OPEN</v>
      </c>
    </row>
    <row r="394" customFormat="false" ht="15" hidden="false" customHeight="false" outlineLevel="0" collapsed="false">
      <c r="A394" s="19" t="str">
        <f aca="false">"DEC-"&amp;B394&amp;"-G3"</f>
        <v>DEC-INT-LF-CHA-G3</v>
      </c>
      <c r="B394" s="19" t="str">
        <f aca="false">'Lot Register'!A62</f>
        <v>INT-LF-CHA</v>
      </c>
      <c r="C394" s="19" t="str">
        <f aca="false">'Lot Register'!B62</f>
        <v>Station integration</v>
      </c>
      <c r="D394" s="19" t="str">
        <f aca="false">'Lot Register'!D62</f>
        <v>MS-LF</v>
      </c>
      <c r="E394" s="19" t="str">
        <f aca="false">'Lot Register'!G62</f>
        <v>ST-LF-CHA</v>
      </c>
      <c r="F394" s="9" t="s">
        <v>584</v>
      </c>
      <c r="G394" s="9" t="s">
        <v>585</v>
      </c>
      <c r="H394" s="9" t="s">
        <v>586</v>
      </c>
      <c r="I394" s="9" t="s">
        <v>565</v>
      </c>
      <c r="J394" s="11" t="s">
        <v>238</v>
      </c>
      <c r="K394" s="47" t="n">
        <f aca="false">Controls!B26</f>
        <v>0</v>
      </c>
      <c r="L394" s="47" t="str">
        <f aca="false">IF(K394=1,"PASS","OPEN")</f>
        <v>OPEN</v>
      </c>
    </row>
    <row r="395" customFormat="false" ht="15" hidden="false" customHeight="false" outlineLevel="0" collapsed="false">
      <c r="A395" s="19" t="str">
        <f aca="false">"DEC-"&amp;B395&amp;"-G4"</f>
        <v>DEC-INT-LF-CHA-G4</v>
      </c>
      <c r="B395" s="19" t="str">
        <f aca="false">'Lot Register'!A62</f>
        <v>INT-LF-CHA</v>
      </c>
      <c r="C395" s="19" t="str">
        <f aca="false">'Lot Register'!B62</f>
        <v>Station integration</v>
      </c>
      <c r="D395" s="19" t="str">
        <f aca="false">'Lot Register'!D62</f>
        <v>MS-LF</v>
      </c>
      <c r="E395" s="19" t="str">
        <f aca="false">'Lot Register'!G62</f>
        <v>ST-LF-CHA</v>
      </c>
      <c r="F395" s="9" t="s">
        <v>587</v>
      </c>
      <c r="G395" s="9" t="s">
        <v>588</v>
      </c>
      <c r="H395" s="9" t="s">
        <v>589</v>
      </c>
      <c r="I395" s="9" t="s">
        <v>562</v>
      </c>
      <c r="J395" s="11" t="s">
        <v>238</v>
      </c>
      <c r="K395" s="47" t="n">
        <f aca="false">Controls!B26</f>
        <v>0</v>
      </c>
      <c r="L395" s="47" t="str">
        <f aca="false">IF(K395=1,"PASS","OPEN")</f>
        <v>OPEN</v>
      </c>
    </row>
    <row r="396" customFormat="false" ht="15" hidden="false" customHeight="false" outlineLevel="0" collapsed="false">
      <c r="A396" s="19" t="str">
        <f aca="false">"DEC-"&amp;B396&amp;"-G5"</f>
        <v>DEC-INT-LF-CHA-G5</v>
      </c>
      <c r="B396" s="19" t="str">
        <f aca="false">'Lot Register'!A62</f>
        <v>INT-LF-CHA</v>
      </c>
      <c r="C396" s="19" t="str">
        <f aca="false">'Lot Register'!B62</f>
        <v>Station integration</v>
      </c>
      <c r="D396" s="19" t="str">
        <f aca="false">'Lot Register'!D62</f>
        <v>MS-LF</v>
      </c>
      <c r="E396" s="19" t="str">
        <f aca="false">'Lot Register'!G62</f>
        <v>ST-LF-CHA</v>
      </c>
      <c r="F396" s="9" t="s">
        <v>590</v>
      </c>
      <c r="G396" s="9" t="s">
        <v>591</v>
      </c>
      <c r="H396" s="9" t="s">
        <v>592</v>
      </c>
      <c r="I396" s="9" t="s">
        <v>565</v>
      </c>
      <c r="J396" s="11" t="s">
        <v>238</v>
      </c>
      <c r="K396" s="47" t="n">
        <f aca="false">Controls!B26</f>
        <v>0</v>
      </c>
      <c r="L396" s="47" t="str">
        <f aca="false">IF(K396=1,"PASS","OPEN")</f>
        <v>OPEN</v>
      </c>
    </row>
    <row r="397" customFormat="false" ht="15" hidden="false" customHeight="false" outlineLevel="0" collapsed="false">
      <c r="A397" s="19" t="str">
        <f aca="false">"DEC-"&amp;B397&amp;"-G6"</f>
        <v>DEC-INT-LF-CHA-G6</v>
      </c>
      <c r="B397" s="19" t="str">
        <f aca="false">'Lot Register'!A62</f>
        <v>INT-LF-CHA</v>
      </c>
      <c r="C397" s="19" t="str">
        <f aca="false">'Lot Register'!B62</f>
        <v>Station integration</v>
      </c>
      <c r="D397" s="19" t="str">
        <f aca="false">'Lot Register'!D62</f>
        <v>MS-LF</v>
      </c>
      <c r="E397" s="19" t="str">
        <f aca="false">'Lot Register'!G62</f>
        <v>ST-LF-CHA</v>
      </c>
      <c r="F397" s="9" t="s">
        <v>593</v>
      </c>
      <c r="G397" s="9" t="s">
        <v>594</v>
      </c>
      <c r="H397" s="9" t="s">
        <v>595</v>
      </c>
      <c r="I397" s="9" t="s">
        <v>570</v>
      </c>
      <c r="J397" s="11" t="s">
        <v>238</v>
      </c>
      <c r="K397" s="47" t="n">
        <f aca="false">Controls!B26</f>
        <v>0</v>
      </c>
      <c r="L397" s="47" t="str">
        <f aca="false">IF(K397=1,"PASS","OPEN")</f>
        <v>OPEN</v>
      </c>
    </row>
    <row r="398" customFormat="false" ht="15" hidden="false" customHeight="false" outlineLevel="0" collapsed="false">
      <c r="A398" s="19" t="str">
        <f aca="false">"DEC-"&amp;B398&amp;"-G7"</f>
        <v>DEC-INT-LF-CHA-G7</v>
      </c>
      <c r="B398" s="19" t="str">
        <f aca="false">'Lot Register'!A62</f>
        <v>INT-LF-CHA</v>
      </c>
      <c r="C398" s="19" t="str">
        <f aca="false">'Lot Register'!B62</f>
        <v>Station integration</v>
      </c>
      <c r="D398" s="19" t="str">
        <f aca="false">'Lot Register'!D62</f>
        <v>MS-LF</v>
      </c>
      <c r="E398" s="19" t="str">
        <f aca="false">'Lot Register'!G62</f>
        <v>ST-LF-CHA</v>
      </c>
      <c r="F398" s="9" t="s">
        <v>596</v>
      </c>
      <c r="G398" s="9" t="s">
        <v>597</v>
      </c>
      <c r="H398" s="9" t="s">
        <v>598</v>
      </c>
      <c r="I398" s="9" t="s">
        <v>570</v>
      </c>
      <c r="J398" s="11" t="s">
        <v>238</v>
      </c>
      <c r="K398" s="47" t="n">
        <f aca="false">Controls!B26</f>
        <v>0</v>
      </c>
      <c r="L398" s="47" t="str">
        <f aca="false">IF(K398=1,"PASS","OPEN")</f>
        <v>OPEN</v>
      </c>
    </row>
    <row r="399" customFormat="false" ht="15" hidden="false" customHeight="false" outlineLevel="0" collapsed="false">
      <c r="A399" s="19" t="str">
        <f aca="false">"DEC-"&amp;B399&amp;"-G1"</f>
        <v>DEC-RIG-LF-CON-G1</v>
      </c>
      <c r="B399" s="19" t="str">
        <f aca="false">'Lot Register'!A63</f>
        <v>RIG-LF-CON</v>
      </c>
      <c r="C399" s="19" t="str">
        <f aca="false">'Lot Register'!B63</f>
        <v>Root-native rig</v>
      </c>
      <c r="D399" s="19" t="str">
        <f aca="false">'Lot Register'!D63</f>
        <v>MS-LF</v>
      </c>
      <c r="E399" s="19" t="str">
        <f aca="false">'Lot Register'!G63</f>
        <v>ST-LF-CON</v>
      </c>
      <c r="F399" s="9" t="s">
        <v>578</v>
      </c>
      <c r="G399" s="9" t="s">
        <v>579</v>
      </c>
      <c r="H399" s="9" t="s">
        <v>580</v>
      </c>
      <c r="I399" s="9" t="s">
        <v>562</v>
      </c>
      <c r="J399" s="11" t="s">
        <v>238</v>
      </c>
      <c r="K399" s="47" t="n">
        <f aca="false">Controls!B26</f>
        <v>0</v>
      </c>
      <c r="L399" s="47" t="str">
        <f aca="false">IF(K399=1,"PASS","OPEN")</f>
        <v>OPEN</v>
      </c>
    </row>
    <row r="400" customFormat="false" ht="15" hidden="false" customHeight="false" outlineLevel="0" collapsed="false">
      <c r="A400" s="19" t="str">
        <f aca="false">"DEC-"&amp;B400&amp;"-G2"</f>
        <v>DEC-RIG-LF-CON-G2</v>
      </c>
      <c r="B400" s="19" t="str">
        <f aca="false">'Lot Register'!A63</f>
        <v>RIG-LF-CON</v>
      </c>
      <c r="C400" s="19" t="str">
        <f aca="false">'Lot Register'!B63</f>
        <v>Root-native rig</v>
      </c>
      <c r="D400" s="19" t="str">
        <f aca="false">'Lot Register'!D63</f>
        <v>MS-LF</v>
      </c>
      <c r="E400" s="19" t="str">
        <f aca="false">'Lot Register'!G63</f>
        <v>ST-LF-CON</v>
      </c>
      <c r="F400" s="9" t="s">
        <v>581</v>
      </c>
      <c r="G400" s="9" t="s">
        <v>582</v>
      </c>
      <c r="H400" s="9" t="s">
        <v>583</v>
      </c>
      <c r="I400" s="9" t="s">
        <v>560</v>
      </c>
      <c r="J400" s="11" t="s">
        <v>238</v>
      </c>
      <c r="K400" s="47" t="n">
        <f aca="false">Controls!B26</f>
        <v>0</v>
      </c>
      <c r="L400" s="47" t="str">
        <f aca="false">IF(K400=1,"PASS","OPEN")</f>
        <v>OPEN</v>
      </c>
    </row>
    <row r="401" customFormat="false" ht="15" hidden="false" customHeight="false" outlineLevel="0" collapsed="false">
      <c r="A401" s="19" t="str">
        <f aca="false">"DEC-"&amp;B401&amp;"-G3"</f>
        <v>DEC-RIG-LF-CON-G3</v>
      </c>
      <c r="B401" s="19" t="str">
        <f aca="false">'Lot Register'!A63</f>
        <v>RIG-LF-CON</v>
      </c>
      <c r="C401" s="19" t="str">
        <f aca="false">'Lot Register'!B63</f>
        <v>Root-native rig</v>
      </c>
      <c r="D401" s="19" t="str">
        <f aca="false">'Lot Register'!D63</f>
        <v>MS-LF</v>
      </c>
      <c r="E401" s="19" t="str">
        <f aca="false">'Lot Register'!G63</f>
        <v>ST-LF-CON</v>
      </c>
      <c r="F401" s="9" t="s">
        <v>584</v>
      </c>
      <c r="G401" s="9" t="s">
        <v>585</v>
      </c>
      <c r="H401" s="9" t="s">
        <v>586</v>
      </c>
      <c r="I401" s="9" t="s">
        <v>565</v>
      </c>
      <c r="J401" s="11" t="s">
        <v>238</v>
      </c>
      <c r="K401" s="47" t="n">
        <f aca="false">Controls!B26</f>
        <v>0</v>
      </c>
      <c r="L401" s="47" t="str">
        <f aca="false">IF(K401=1,"PASS","OPEN")</f>
        <v>OPEN</v>
      </c>
    </row>
    <row r="402" customFormat="false" ht="15" hidden="false" customHeight="false" outlineLevel="0" collapsed="false">
      <c r="A402" s="19" t="str">
        <f aca="false">"DEC-"&amp;B402&amp;"-G4"</f>
        <v>DEC-RIG-LF-CON-G4</v>
      </c>
      <c r="B402" s="19" t="str">
        <f aca="false">'Lot Register'!A63</f>
        <v>RIG-LF-CON</v>
      </c>
      <c r="C402" s="19" t="str">
        <f aca="false">'Lot Register'!B63</f>
        <v>Root-native rig</v>
      </c>
      <c r="D402" s="19" t="str">
        <f aca="false">'Lot Register'!D63</f>
        <v>MS-LF</v>
      </c>
      <c r="E402" s="19" t="str">
        <f aca="false">'Lot Register'!G63</f>
        <v>ST-LF-CON</v>
      </c>
      <c r="F402" s="9" t="s">
        <v>587</v>
      </c>
      <c r="G402" s="9" t="s">
        <v>588</v>
      </c>
      <c r="H402" s="9" t="s">
        <v>589</v>
      </c>
      <c r="I402" s="9" t="s">
        <v>562</v>
      </c>
      <c r="J402" s="11" t="s">
        <v>238</v>
      </c>
      <c r="K402" s="47" t="n">
        <f aca="false">Controls!B26</f>
        <v>0</v>
      </c>
      <c r="L402" s="47" t="str">
        <f aca="false">IF(K402=1,"PASS","OPEN")</f>
        <v>OPEN</v>
      </c>
    </row>
    <row r="403" customFormat="false" ht="15" hidden="false" customHeight="false" outlineLevel="0" collapsed="false">
      <c r="A403" s="19" t="str">
        <f aca="false">"DEC-"&amp;B403&amp;"-G5"</f>
        <v>DEC-RIG-LF-CON-G5</v>
      </c>
      <c r="B403" s="19" t="str">
        <f aca="false">'Lot Register'!A63</f>
        <v>RIG-LF-CON</v>
      </c>
      <c r="C403" s="19" t="str">
        <f aca="false">'Lot Register'!B63</f>
        <v>Root-native rig</v>
      </c>
      <c r="D403" s="19" t="str">
        <f aca="false">'Lot Register'!D63</f>
        <v>MS-LF</v>
      </c>
      <c r="E403" s="19" t="str">
        <f aca="false">'Lot Register'!G63</f>
        <v>ST-LF-CON</v>
      </c>
      <c r="F403" s="9" t="s">
        <v>590</v>
      </c>
      <c r="G403" s="9" t="s">
        <v>591</v>
      </c>
      <c r="H403" s="9" t="s">
        <v>592</v>
      </c>
      <c r="I403" s="9" t="s">
        <v>565</v>
      </c>
      <c r="J403" s="11" t="s">
        <v>238</v>
      </c>
      <c r="K403" s="47" t="n">
        <f aca="false">Controls!B26</f>
        <v>0</v>
      </c>
      <c r="L403" s="47" t="str">
        <f aca="false">IF(K403=1,"PASS","OPEN")</f>
        <v>OPEN</v>
      </c>
    </row>
    <row r="404" customFormat="false" ht="15" hidden="false" customHeight="false" outlineLevel="0" collapsed="false">
      <c r="A404" s="19" t="str">
        <f aca="false">"DEC-"&amp;B404&amp;"-G6"</f>
        <v>DEC-RIG-LF-CON-G6</v>
      </c>
      <c r="B404" s="19" t="str">
        <f aca="false">'Lot Register'!A63</f>
        <v>RIG-LF-CON</v>
      </c>
      <c r="C404" s="19" t="str">
        <f aca="false">'Lot Register'!B63</f>
        <v>Root-native rig</v>
      </c>
      <c r="D404" s="19" t="str">
        <f aca="false">'Lot Register'!D63</f>
        <v>MS-LF</v>
      </c>
      <c r="E404" s="19" t="str">
        <f aca="false">'Lot Register'!G63</f>
        <v>ST-LF-CON</v>
      </c>
      <c r="F404" s="9" t="s">
        <v>593</v>
      </c>
      <c r="G404" s="9" t="s">
        <v>594</v>
      </c>
      <c r="H404" s="9" t="s">
        <v>595</v>
      </c>
      <c r="I404" s="9" t="s">
        <v>570</v>
      </c>
      <c r="J404" s="11" t="s">
        <v>238</v>
      </c>
      <c r="K404" s="47" t="n">
        <f aca="false">Controls!B26</f>
        <v>0</v>
      </c>
      <c r="L404" s="47" t="str">
        <f aca="false">IF(K404=1,"PASS","OPEN")</f>
        <v>OPEN</v>
      </c>
    </row>
    <row r="405" customFormat="false" ht="15" hidden="false" customHeight="false" outlineLevel="0" collapsed="false">
      <c r="A405" s="19" t="str">
        <f aca="false">"DEC-"&amp;B405&amp;"-G7"</f>
        <v>DEC-RIG-LF-CON-G7</v>
      </c>
      <c r="B405" s="19" t="str">
        <f aca="false">'Lot Register'!A63</f>
        <v>RIG-LF-CON</v>
      </c>
      <c r="C405" s="19" t="str">
        <f aca="false">'Lot Register'!B63</f>
        <v>Root-native rig</v>
      </c>
      <c r="D405" s="19" t="str">
        <f aca="false">'Lot Register'!D63</f>
        <v>MS-LF</v>
      </c>
      <c r="E405" s="19" t="str">
        <f aca="false">'Lot Register'!G63</f>
        <v>ST-LF-CON</v>
      </c>
      <c r="F405" s="9" t="s">
        <v>596</v>
      </c>
      <c r="G405" s="9" t="s">
        <v>597</v>
      </c>
      <c r="H405" s="9" t="s">
        <v>598</v>
      </c>
      <c r="I405" s="9" t="s">
        <v>570</v>
      </c>
      <c r="J405" s="11" t="s">
        <v>238</v>
      </c>
      <c r="K405" s="47" t="n">
        <f aca="false">Controls!B26</f>
        <v>0</v>
      </c>
      <c r="L405" s="47" t="str">
        <f aca="false">IF(K405=1,"PASS","OPEN")</f>
        <v>OPEN</v>
      </c>
    </row>
    <row r="406" customFormat="false" ht="15" hidden="false" customHeight="false" outlineLevel="0" collapsed="false">
      <c r="A406" s="19" t="str">
        <f aca="false">"DEC-"&amp;B406&amp;"-G1"</f>
        <v>DEC-MTH-LF-CON-L1-G1</v>
      </c>
      <c r="B406" s="19" t="str">
        <f aca="false">'Lot Register'!A64</f>
        <v>MTH-LF-CON-L1</v>
      </c>
      <c r="C406" s="19" t="str">
        <f aca="false">'Lot Register'!B64</f>
        <v>Method lineage</v>
      </c>
      <c r="D406" s="19" t="str">
        <f aca="false">'Lot Register'!D64</f>
        <v>MS-LF</v>
      </c>
      <c r="E406" s="19" t="str">
        <f aca="false">'Lot Register'!G64</f>
        <v>ST-LF-CON</v>
      </c>
      <c r="F406" s="9" t="s">
        <v>578</v>
      </c>
      <c r="G406" s="9" t="s">
        <v>579</v>
      </c>
      <c r="H406" s="9" t="s">
        <v>580</v>
      </c>
      <c r="I406" s="9" t="s">
        <v>562</v>
      </c>
      <c r="J406" s="11" t="s">
        <v>238</v>
      </c>
      <c r="K406" s="47" t="n">
        <f aca="false">Controls!B26</f>
        <v>0</v>
      </c>
      <c r="L406" s="47" t="str">
        <f aca="false">IF(K406=1,"PASS","OPEN")</f>
        <v>OPEN</v>
      </c>
    </row>
    <row r="407" customFormat="false" ht="15" hidden="false" customHeight="false" outlineLevel="0" collapsed="false">
      <c r="A407" s="19" t="str">
        <f aca="false">"DEC-"&amp;B407&amp;"-G2"</f>
        <v>DEC-MTH-LF-CON-L1-G2</v>
      </c>
      <c r="B407" s="19" t="str">
        <f aca="false">'Lot Register'!A64</f>
        <v>MTH-LF-CON-L1</v>
      </c>
      <c r="C407" s="19" t="str">
        <f aca="false">'Lot Register'!B64</f>
        <v>Method lineage</v>
      </c>
      <c r="D407" s="19" t="str">
        <f aca="false">'Lot Register'!D64</f>
        <v>MS-LF</v>
      </c>
      <c r="E407" s="19" t="str">
        <f aca="false">'Lot Register'!G64</f>
        <v>ST-LF-CON</v>
      </c>
      <c r="F407" s="9" t="s">
        <v>581</v>
      </c>
      <c r="G407" s="9" t="s">
        <v>582</v>
      </c>
      <c r="H407" s="9" t="s">
        <v>583</v>
      </c>
      <c r="I407" s="9" t="s">
        <v>560</v>
      </c>
      <c r="J407" s="11" t="s">
        <v>238</v>
      </c>
      <c r="K407" s="47" t="n">
        <f aca="false">Controls!B26</f>
        <v>0</v>
      </c>
      <c r="L407" s="47" t="str">
        <f aca="false">IF(K407=1,"PASS","OPEN")</f>
        <v>OPEN</v>
      </c>
    </row>
    <row r="408" customFormat="false" ht="15" hidden="false" customHeight="false" outlineLevel="0" collapsed="false">
      <c r="A408" s="19" t="str">
        <f aca="false">"DEC-"&amp;B408&amp;"-G3"</f>
        <v>DEC-MTH-LF-CON-L1-G3</v>
      </c>
      <c r="B408" s="19" t="str">
        <f aca="false">'Lot Register'!A64</f>
        <v>MTH-LF-CON-L1</v>
      </c>
      <c r="C408" s="19" t="str">
        <f aca="false">'Lot Register'!B64</f>
        <v>Method lineage</v>
      </c>
      <c r="D408" s="19" t="str">
        <f aca="false">'Lot Register'!D64</f>
        <v>MS-LF</v>
      </c>
      <c r="E408" s="19" t="str">
        <f aca="false">'Lot Register'!G64</f>
        <v>ST-LF-CON</v>
      </c>
      <c r="F408" s="9" t="s">
        <v>584</v>
      </c>
      <c r="G408" s="9" t="s">
        <v>585</v>
      </c>
      <c r="H408" s="9" t="s">
        <v>586</v>
      </c>
      <c r="I408" s="9" t="s">
        <v>565</v>
      </c>
      <c r="J408" s="11" t="s">
        <v>238</v>
      </c>
      <c r="K408" s="47" t="n">
        <f aca="false">Controls!B26</f>
        <v>0</v>
      </c>
      <c r="L408" s="47" t="str">
        <f aca="false">IF(K408=1,"PASS","OPEN")</f>
        <v>OPEN</v>
      </c>
    </row>
    <row r="409" customFormat="false" ht="15" hidden="false" customHeight="false" outlineLevel="0" collapsed="false">
      <c r="A409" s="19" t="str">
        <f aca="false">"DEC-"&amp;B409&amp;"-G4"</f>
        <v>DEC-MTH-LF-CON-L1-G4</v>
      </c>
      <c r="B409" s="19" t="str">
        <f aca="false">'Lot Register'!A64</f>
        <v>MTH-LF-CON-L1</v>
      </c>
      <c r="C409" s="19" t="str">
        <f aca="false">'Lot Register'!B64</f>
        <v>Method lineage</v>
      </c>
      <c r="D409" s="19" t="str">
        <f aca="false">'Lot Register'!D64</f>
        <v>MS-LF</v>
      </c>
      <c r="E409" s="19" t="str">
        <f aca="false">'Lot Register'!G64</f>
        <v>ST-LF-CON</v>
      </c>
      <c r="F409" s="9" t="s">
        <v>587</v>
      </c>
      <c r="G409" s="9" t="s">
        <v>588</v>
      </c>
      <c r="H409" s="9" t="s">
        <v>589</v>
      </c>
      <c r="I409" s="9" t="s">
        <v>562</v>
      </c>
      <c r="J409" s="11" t="s">
        <v>238</v>
      </c>
      <c r="K409" s="47" t="n">
        <f aca="false">Controls!B26</f>
        <v>0</v>
      </c>
      <c r="L409" s="47" t="str">
        <f aca="false">IF(K409=1,"PASS","OPEN")</f>
        <v>OPEN</v>
      </c>
    </row>
    <row r="410" customFormat="false" ht="15" hidden="false" customHeight="false" outlineLevel="0" collapsed="false">
      <c r="A410" s="19" t="str">
        <f aca="false">"DEC-"&amp;B410&amp;"-G5"</f>
        <v>DEC-MTH-LF-CON-L1-G5</v>
      </c>
      <c r="B410" s="19" t="str">
        <f aca="false">'Lot Register'!A64</f>
        <v>MTH-LF-CON-L1</v>
      </c>
      <c r="C410" s="19" t="str">
        <f aca="false">'Lot Register'!B64</f>
        <v>Method lineage</v>
      </c>
      <c r="D410" s="19" t="str">
        <f aca="false">'Lot Register'!D64</f>
        <v>MS-LF</v>
      </c>
      <c r="E410" s="19" t="str">
        <f aca="false">'Lot Register'!G64</f>
        <v>ST-LF-CON</v>
      </c>
      <c r="F410" s="9" t="s">
        <v>590</v>
      </c>
      <c r="G410" s="9" t="s">
        <v>591</v>
      </c>
      <c r="H410" s="9" t="s">
        <v>592</v>
      </c>
      <c r="I410" s="9" t="s">
        <v>565</v>
      </c>
      <c r="J410" s="11" t="s">
        <v>238</v>
      </c>
      <c r="K410" s="47" t="n">
        <f aca="false">Controls!B26</f>
        <v>0</v>
      </c>
      <c r="L410" s="47" t="str">
        <f aca="false">IF(K410=1,"PASS","OPEN")</f>
        <v>OPEN</v>
      </c>
    </row>
    <row r="411" customFormat="false" ht="15" hidden="false" customHeight="false" outlineLevel="0" collapsed="false">
      <c r="A411" s="19" t="str">
        <f aca="false">"DEC-"&amp;B411&amp;"-G6"</f>
        <v>DEC-MTH-LF-CON-L1-G6</v>
      </c>
      <c r="B411" s="19" t="str">
        <f aca="false">'Lot Register'!A64</f>
        <v>MTH-LF-CON-L1</v>
      </c>
      <c r="C411" s="19" t="str">
        <f aca="false">'Lot Register'!B64</f>
        <v>Method lineage</v>
      </c>
      <c r="D411" s="19" t="str">
        <f aca="false">'Lot Register'!D64</f>
        <v>MS-LF</v>
      </c>
      <c r="E411" s="19" t="str">
        <f aca="false">'Lot Register'!G64</f>
        <v>ST-LF-CON</v>
      </c>
      <c r="F411" s="9" t="s">
        <v>593</v>
      </c>
      <c r="G411" s="9" t="s">
        <v>594</v>
      </c>
      <c r="H411" s="9" t="s">
        <v>595</v>
      </c>
      <c r="I411" s="9" t="s">
        <v>570</v>
      </c>
      <c r="J411" s="11" t="s">
        <v>238</v>
      </c>
      <c r="K411" s="47" t="n">
        <f aca="false">Controls!B26</f>
        <v>0</v>
      </c>
      <c r="L411" s="47" t="str">
        <f aca="false">IF(K411=1,"PASS","OPEN")</f>
        <v>OPEN</v>
      </c>
    </row>
    <row r="412" customFormat="false" ht="15" hidden="false" customHeight="false" outlineLevel="0" collapsed="false">
      <c r="A412" s="19" t="str">
        <f aca="false">"DEC-"&amp;B412&amp;"-G7"</f>
        <v>DEC-MTH-LF-CON-L1-G7</v>
      </c>
      <c r="B412" s="19" t="str">
        <f aca="false">'Lot Register'!A64</f>
        <v>MTH-LF-CON-L1</v>
      </c>
      <c r="C412" s="19" t="str">
        <f aca="false">'Lot Register'!B64</f>
        <v>Method lineage</v>
      </c>
      <c r="D412" s="19" t="str">
        <f aca="false">'Lot Register'!D64</f>
        <v>MS-LF</v>
      </c>
      <c r="E412" s="19" t="str">
        <f aca="false">'Lot Register'!G64</f>
        <v>ST-LF-CON</v>
      </c>
      <c r="F412" s="9" t="s">
        <v>596</v>
      </c>
      <c r="G412" s="9" t="s">
        <v>597</v>
      </c>
      <c r="H412" s="9" t="s">
        <v>598</v>
      </c>
      <c r="I412" s="9" t="s">
        <v>570</v>
      </c>
      <c r="J412" s="11" t="s">
        <v>238</v>
      </c>
      <c r="K412" s="47" t="n">
        <f aca="false">Controls!B26</f>
        <v>0</v>
      </c>
      <c r="L412" s="47" t="str">
        <f aca="false">IF(K412=1,"PASS","OPEN")</f>
        <v>OPEN</v>
      </c>
    </row>
    <row r="413" customFormat="false" ht="15" hidden="false" customHeight="false" outlineLevel="0" collapsed="false">
      <c r="A413" s="19" t="str">
        <f aca="false">"DEC-"&amp;B413&amp;"-G1"</f>
        <v>DEC-MTH-LF-CON-L2-G1</v>
      </c>
      <c r="B413" s="19" t="str">
        <f aca="false">'Lot Register'!A65</f>
        <v>MTH-LF-CON-L2</v>
      </c>
      <c r="C413" s="19" t="str">
        <f aca="false">'Lot Register'!B65</f>
        <v>Method lineage</v>
      </c>
      <c r="D413" s="19" t="str">
        <f aca="false">'Lot Register'!D65</f>
        <v>MS-LF</v>
      </c>
      <c r="E413" s="19" t="str">
        <f aca="false">'Lot Register'!G65</f>
        <v>ST-LF-CON</v>
      </c>
      <c r="F413" s="9" t="s">
        <v>578</v>
      </c>
      <c r="G413" s="9" t="s">
        <v>579</v>
      </c>
      <c r="H413" s="9" t="s">
        <v>580</v>
      </c>
      <c r="I413" s="9" t="s">
        <v>562</v>
      </c>
      <c r="J413" s="11" t="s">
        <v>238</v>
      </c>
      <c r="K413" s="47" t="n">
        <f aca="false">Controls!B26</f>
        <v>0</v>
      </c>
      <c r="L413" s="47" t="str">
        <f aca="false">IF(K413=1,"PASS","OPEN")</f>
        <v>OPEN</v>
      </c>
    </row>
    <row r="414" customFormat="false" ht="15" hidden="false" customHeight="false" outlineLevel="0" collapsed="false">
      <c r="A414" s="19" t="str">
        <f aca="false">"DEC-"&amp;B414&amp;"-G2"</f>
        <v>DEC-MTH-LF-CON-L2-G2</v>
      </c>
      <c r="B414" s="19" t="str">
        <f aca="false">'Lot Register'!A65</f>
        <v>MTH-LF-CON-L2</v>
      </c>
      <c r="C414" s="19" t="str">
        <f aca="false">'Lot Register'!B65</f>
        <v>Method lineage</v>
      </c>
      <c r="D414" s="19" t="str">
        <f aca="false">'Lot Register'!D65</f>
        <v>MS-LF</v>
      </c>
      <c r="E414" s="19" t="str">
        <f aca="false">'Lot Register'!G65</f>
        <v>ST-LF-CON</v>
      </c>
      <c r="F414" s="9" t="s">
        <v>581</v>
      </c>
      <c r="G414" s="9" t="s">
        <v>582</v>
      </c>
      <c r="H414" s="9" t="s">
        <v>583</v>
      </c>
      <c r="I414" s="9" t="s">
        <v>560</v>
      </c>
      <c r="J414" s="11" t="s">
        <v>238</v>
      </c>
      <c r="K414" s="47" t="n">
        <f aca="false">Controls!B26</f>
        <v>0</v>
      </c>
      <c r="L414" s="47" t="str">
        <f aca="false">IF(K414=1,"PASS","OPEN")</f>
        <v>OPEN</v>
      </c>
    </row>
    <row r="415" customFormat="false" ht="15" hidden="false" customHeight="false" outlineLevel="0" collapsed="false">
      <c r="A415" s="19" t="str">
        <f aca="false">"DEC-"&amp;B415&amp;"-G3"</f>
        <v>DEC-MTH-LF-CON-L2-G3</v>
      </c>
      <c r="B415" s="19" t="str">
        <f aca="false">'Lot Register'!A65</f>
        <v>MTH-LF-CON-L2</v>
      </c>
      <c r="C415" s="19" t="str">
        <f aca="false">'Lot Register'!B65</f>
        <v>Method lineage</v>
      </c>
      <c r="D415" s="19" t="str">
        <f aca="false">'Lot Register'!D65</f>
        <v>MS-LF</v>
      </c>
      <c r="E415" s="19" t="str">
        <f aca="false">'Lot Register'!G65</f>
        <v>ST-LF-CON</v>
      </c>
      <c r="F415" s="9" t="s">
        <v>584</v>
      </c>
      <c r="G415" s="9" t="s">
        <v>585</v>
      </c>
      <c r="H415" s="9" t="s">
        <v>586</v>
      </c>
      <c r="I415" s="9" t="s">
        <v>565</v>
      </c>
      <c r="J415" s="11" t="s">
        <v>238</v>
      </c>
      <c r="K415" s="47" t="n">
        <f aca="false">Controls!B26</f>
        <v>0</v>
      </c>
      <c r="L415" s="47" t="str">
        <f aca="false">IF(K415=1,"PASS","OPEN")</f>
        <v>OPEN</v>
      </c>
    </row>
    <row r="416" customFormat="false" ht="15" hidden="false" customHeight="false" outlineLevel="0" collapsed="false">
      <c r="A416" s="19" t="str">
        <f aca="false">"DEC-"&amp;B416&amp;"-G4"</f>
        <v>DEC-MTH-LF-CON-L2-G4</v>
      </c>
      <c r="B416" s="19" t="str">
        <f aca="false">'Lot Register'!A65</f>
        <v>MTH-LF-CON-L2</v>
      </c>
      <c r="C416" s="19" t="str">
        <f aca="false">'Lot Register'!B65</f>
        <v>Method lineage</v>
      </c>
      <c r="D416" s="19" t="str">
        <f aca="false">'Lot Register'!D65</f>
        <v>MS-LF</v>
      </c>
      <c r="E416" s="19" t="str">
        <f aca="false">'Lot Register'!G65</f>
        <v>ST-LF-CON</v>
      </c>
      <c r="F416" s="9" t="s">
        <v>587</v>
      </c>
      <c r="G416" s="9" t="s">
        <v>588</v>
      </c>
      <c r="H416" s="9" t="s">
        <v>589</v>
      </c>
      <c r="I416" s="9" t="s">
        <v>562</v>
      </c>
      <c r="J416" s="11" t="s">
        <v>238</v>
      </c>
      <c r="K416" s="47" t="n">
        <f aca="false">Controls!B26</f>
        <v>0</v>
      </c>
      <c r="L416" s="47" t="str">
        <f aca="false">IF(K416=1,"PASS","OPEN")</f>
        <v>OPEN</v>
      </c>
    </row>
    <row r="417" customFormat="false" ht="15" hidden="false" customHeight="false" outlineLevel="0" collapsed="false">
      <c r="A417" s="19" t="str">
        <f aca="false">"DEC-"&amp;B417&amp;"-G5"</f>
        <v>DEC-MTH-LF-CON-L2-G5</v>
      </c>
      <c r="B417" s="19" t="str">
        <f aca="false">'Lot Register'!A65</f>
        <v>MTH-LF-CON-L2</v>
      </c>
      <c r="C417" s="19" t="str">
        <f aca="false">'Lot Register'!B65</f>
        <v>Method lineage</v>
      </c>
      <c r="D417" s="19" t="str">
        <f aca="false">'Lot Register'!D65</f>
        <v>MS-LF</v>
      </c>
      <c r="E417" s="19" t="str">
        <f aca="false">'Lot Register'!G65</f>
        <v>ST-LF-CON</v>
      </c>
      <c r="F417" s="9" t="s">
        <v>590</v>
      </c>
      <c r="G417" s="9" t="s">
        <v>591</v>
      </c>
      <c r="H417" s="9" t="s">
        <v>592</v>
      </c>
      <c r="I417" s="9" t="s">
        <v>565</v>
      </c>
      <c r="J417" s="11" t="s">
        <v>238</v>
      </c>
      <c r="K417" s="47" t="n">
        <f aca="false">Controls!B26</f>
        <v>0</v>
      </c>
      <c r="L417" s="47" t="str">
        <f aca="false">IF(K417=1,"PASS","OPEN")</f>
        <v>OPEN</v>
      </c>
    </row>
    <row r="418" customFormat="false" ht="15" hidden="false" customHeight="false" outlineLevel="0" collapsed="false">
      <c r="A418" s="19" t="str">
        <f aca="false">"DEC-"&amp;B418&amp;"-G6"</f>
        <v>DEC-MTH-LF-CON-L2-G6</v>
      </c>
      <c r="B418" s="19" t="str">
        <f aca="false">'Lot Register'!A65</f>
        <v>MTH-LF-CON-L2</v>
      </c>
      <c r="C418" s="19" t="str">
        <f aca="false">'Lot Register'!B65</f>
        <v>Method lineage</v>
      </c>
      <c r="D418" s="19" t="str">
        <f aca="false">'Lot Register'!D65</f>
        <v>MS-LF</v>
      </c>
      <c r="E418" s="19" t="str">
        <f aca="false">'Lot Register'!G65</f>
        <v>ST-LF-CON</v>
      </c>
      <c r="F418" s="9" t="s">
        <v>593</v>
      </c>
      <c r="G418" s="9" t="s">
        <v>594</v>
      </c>
      <c r="H418" s="9" t="s">
        <v>595</v>
      </c>
      <c r="I418" s="9" t="s">
        <v>570</v>
      </c>
      <c r="J418" s="11" t="s">
        <v>238</v>
      </c>
      <c r="K418" s="47" t="n">
        <f aca="false">Controls!B26</f>
        <v>0</v>
      </c>
      <c r="L418" s="47" t="str">
        <f aca="false">IF(K418=1,"PASS","OPEN")</f>
        <v>OPEN</v>
      </c>
    </row>
    <row r="419" customFormat="false" ht="15" hidden="false" customHeight="false" outlineLevel="0" collapsed="false">
      <c r="A419" s="19" t="str">
        <f aca="false">"DEC-"&amp;B419&amp;"-G7"</f>
        <v>DEC-MTH-LF-CON-L2-G7</v>
      </c>
      <c r="B419" s="19" t="str">
        <f aca="false">'Lot Register'!A65</f>
        <v>MTH-LF-CON-L2</v>
      </c>
      <c r="C419" s="19" t="str">
        <f aca="false">'Lot Register'!B65</f>
        <v>Method lineage</v>
      </c>
      <c r="D419" s="19" t="str">
        <f aca="false">'Lot Register'!D65</f>
        <v>MS-LF</v>
      </c>
      <c r="E419" s="19" t="str">
        <f aca="false">'Lot Register'!G65</f>
        <v>ST-LF-CON</v>
      </c>
      <c r="F419" s="9" t="s">
        <v>596</v>
      </c>
      <c r="G419" s="9" t="s">
        <v>597</v>
      </c>
      <c r="H419" s="9" t="s">
        <v>598</v>
      </c>
      <c r="I419" s="9" t="s">
        <v>570</v>
      </c>
      <c r="J419" s="11" t="s">
        <v>238</v>
      </c>
      <c r="K419" s="47" t="n">
        <f aca="false">Controls!B26</f>
        <v>0</v>
      </c>
      <c r="L419" s="47" t="str">
        <f aca="false">IF(K419=1,"PASS","OPEN")</f>
        <v>OPEN</v>
      </c>
    </row>
    <row r="420" customFormat="false" ht="15" hidden="false" customHeight="false" outlineLevel="0" collapsed="false">
      <c r="A420" s="19" t="str">
        <f aca="false">"DEC-"&amp;B420&amp;"-G1"</f>
        <v>DEC-REG-LF-CON-G1</v>
      </c>
      <c r="B420" s="19" t="str">
        <f aca="false">'Lot Register'!A66</f>
        <v>REG-LF-CON</v>
      </c>
      <c r="C420" s="19" t="str">
        <f aca="false">'Lot Register'!B66</f>
        <v>Regeneration tool</v>
      </c>
      <c r="D420" s="19" t="str">
        <f aca="false">'Lot Register'!D66</f>
        <v>MS-LF</v>
      </c>
      <c r="E420" s="19" t="str">
        <f aca="false">'Lot Register'!G66</f>
        <v>ST-LF-CON</v>
      </c>
      <c r="F420" s="9" t="s">
        <v>578</v>
      </c>
      <c r="G420" s="9" t="s">
        <v>579</v>
      </c>
      <c r="H420" s="9" t="s">
        <v>580</v>
      </c>
      <c r="I420" s="9" t="s">
        <v>562</v>
      </c>
      <c r="J420" s="11" t="s">
        <v>238</v>
      </c>
      <c r="K420" s="47" t="n">
        <f aca="false">Controls!B26</f>
        <v>0</v>
      </c>
      <c r="L420" s="47" t="str">
        <f aca="false">IF(K420=1,"PASS","OPEN")</f>
        <v>OPEN</v>
      </c>
    </row>
    <row r="421" customFormat="false" ht="15" hidden="false" customHeight="false" outlineLevel="0" collapsed="false">
      <c r="A421" s="19" t="str">
        <f aca="false">"DEC-"&amp;B421&amp;"-G2"</f>
        <v>DEC-REG-LF-CON-G2</v>
      </c>
      <c r="B421" s="19" t="str">
        <f aca="false">'Lot Register'!A66</f>
        <v>REG-LF-CON</v>
      </c>
      <c r="C421" s="19" t="str">
        <f aca="false">'Lot Register'!B66</f>
        <v>Regeneration tool</v>
      </c>
      <c r="D421" s="19" t="str">
        <f aca="false">'Lot Register'!D66</f>
        <v>MS-LF</v>
      </c>
      <c r="E421" s="19" t="str">
        <f aca="false">'Lot Register'!G66</f>
        <v>ST-LF-CON</v>
      </c>
      <c r="F421" s="9" t="s">
        <v>581</v>
      </c>
      <c r="G421" s="9" t="s">
        <v>582</v>
      </c>
      <c r="H421" s="9" t="s">
        <v>583</v>
      </c>
      <c r="I421" s="9" t="s">
        <v>560</v>
      </c>
      <c r="J421" s="11" t="s">
        <v>238</v>
      </c>
      <c r="K421" s="47" t="n">
        <f aca="false">Controls!B26</f>
        <v>0</v>
      </c>
      <c r="L421" s="47" t="str">
        <f aca="false">IF(K421=1,"PASS","OPEN")</f>
        <v>OPEN</v>
      </c>
    </row>
    <row r="422" customFormat="false" ht="15" hidden="false" customHeight="false" outlineLevel="0" collapsed="false">
      <c r="A422" s="19" t="str">
        <f aca="false">"DEC-"&amp;B422&amp;"-G3"</f>
        <v>DEC-REG-LF-CON-G3</v>
      </c>
      <c r="B422" s="19" t="str">
        <f aca="false">'Lot Register'!A66</f>
        <v>REG-LF-CON</v>
      </c>
      <c r="C422" s="19" t="str">
        <f aca="false">'Lot Register'!B66</f>
        <v>Regeneration tool</v>
      </c>
      <c r="D422" s="19" t="str">
        <f aca="false">'Lot Register'!D66</f>
        <v>MS-LF</v>
      </c>
      <c r="E422" s="19" t="str">
        <f aca="false">'Lot Register'!G66</f>
        <v>ST-LF-CON</v>
      </c>
      <c r="F422" s="9" t="s">
        <v>584</v>
      </c>
      <c r="G422" s="9" t="s">
        <v>585</v>
      </c>
      <c r="H422" s="9" t="s">
        <v>586</v>
      </c>
      <c r="I422" s="9" t="s">
        <v>565</v>
      </c>
      <c r="J422" s="11" t="s">
        <v>238</v>
      </c>
      <c r="K422" s="47" t="n">
        <f aca="false">Controls!B26</f>
        <v>0</v>
      </c>
      <c r="L422" s="47" t="str">
        <f aca="false">IF(K422=1,"PASS","OPEN")</f>
        <v>OPEN</v>
      </c>
    </row>
    <row r="423" customFormat="false" ht="15" hidden="false" customHeight="false" outlineLevel="0" collapsed="false">
      <c r="A423" s="19" t="str">
        <f aca="false">"DEC-"&amp;B423&amp;"-G4"</f>
        <v>DEC-REG-LF-CON-G4</v>
      </c>
      <c r="B423" s="19" t="str">
        <f aca="false">'Lot Register'!A66</f>
        <v>REG-LF-CON</v>
      </c>
      <c r="C423" s="19" t="str">
        <f aca="false">'Lot Register'!B66</f>
        <v>Regeneration tool</v>
      </c>
      <c r="D423" s="19" t="str">
        <f aca="false">'Lot Register'!D66</f>
        <v>MS-LF</v>
      </c>
      <c r="E423" s="19" t="str">
        <f aca="false">'Lot Register'!G66</f>
        <v>ST-LF-CON</v>
      </c>
      <c r="F423" s="9" t="s">
        <v>587</v>
      </c>
      <c r="G423" s="9" t="s">
        <v>588</v>
      </c>
      <c r="H423" s="9" t="s">
        <v>589</v>
      </c>
      <c r="I423" s="9" t="s">
        <v>562</v>
      </c>
      <c r="J423" s="11" t="s">
        <v>238</v>
      </c>
      <c r="K423" s="47" t="n">
        <f aca="false">Controls!B26</f>
        <v>0</v>
      </c>
      <c r="L423" s="47" t="str">
        <f aca="false">IF(K423=1,"PASS","OPEN")</f>
        <v>OPEN</v>
      </c>
    </row>
    <row r="424" customFormat="false" ht="15" hidden="false" customHeight="false" outlineLevel="0" collapsed="false">
      <c r="A424" s="19" t="str">
        <f aca="false">"DEC-"&amp;B424&amp;"-G5"</f>
        <v>DEC-REG-LF-CON-G5</v>
      </c>
      <c r="B424" s="19" t="str">
        <f aca="false">'Lot Register'!A66</f>
        <v>REG-LF-CON</v>
      </c>
      <c r="C424" s="19" t="str">
        <f aca="false">'Lot Register'!B66</f>
        <v>Regeneration tool</v>
      </c>
      <c r="D424" s="19" t="str">
        <f aca="false">'Lot Register'!D66</f>
        <v>MS-LF</v>
      </c>
      <c r="E424" s="19" t="str">
        <f aca="false">'Lot Register'!G66</f>
        <v>ST-LF-CON</v>
      </c>
      <c r="F424" s="9" t="s">
        <v>590</v>
      </c>
      <c r="G424" s="9" t="s">
        <v>591</v>
      </c>
      <c r="H424" s="9" t="s">
        <v>592</v>
      </c>
      <c r="I424" s="9" t="s">
        <v>565</v>
      </c>
      <c r="J424" s="11" t="s">
        <v>238</v>
      </c>
      <c r="K424" s="47" t="n">
        <f aca="false">Controls!B26</f>
        <v>0</v>
      </c>
      <c r="L424" s="47" t="str">
        <f aca="false">IF(K424=1,"PASS","OPEN")</f>
        <v>OPEN</v>
      </c>
    </row>
    <row r="425" customFormat="false" ht="15" hidden="false" customHeight="false" outlineLevel="0" collapsed="false">
      <c r="A425" s="19" t="str">
        <f aca="false">"DEC-"&amp;B425&amp;"-G6"</f>
        <v>DEC-REG-LF-CON-G6</v>
      </c>
      <c r="B425" s="19" t="str">
        <f aca="false">'Lot Register'!A66</f>
        <v>REG-LF-CON</v>
      </c>
      <c r="C425" s="19" t="str">
        <f aca="false">'Lot Register'!B66</f>
        <v>Regeneration tool</v>
      </c>
      <c r="D425" s="19" t="str">
        <f aca="false">'Lot Register'!D66</f>
        <v>MS-LF</v>
      </c>
      <c r="E425" s="19" t="str">
        <f aca="false">'Lot Register'!G66</f>
        <v>ST-LF-CON</v>
      </c>
      <c r="F425" s="9" t="s">
        <v>593</v>
      </c>
      <c r="G425" s="9" t="s">
        <v>594</v>
      </c>
      <c r="H425" s="9" t="s">
        <v>595</v>
      </c>
      <c r="I425" s="9" t="s">
        <v>570</v>
      </c>
      <c r="J425" s="11" t="s">
        <v>238</v>
      </c>
      <c r="K425" s="47" t="n">
        <f aca="false">Controls!B26</f>
        <v>0</v>
      </c>
      <c r="L425" s="47" t="str">
        <f aca="false">IF(K425=1,"PASS","OPEN")</f>
        <v>OPEN</v>
      </c>
    </row>
    <row r="426" customFormat="false" ht="15" hidden="false" customHeight="false" outlineLevel="0" collapsed="false">
      <c r="A426" s="19" t="str">
        <f aca="false">"DEC-"&amp;B426&amp;"-G7"</f>
        <v>DEC-REG-LF-CON-G7</v>
      </c>
      <c r="B426" s="19" t="str">
        <f aca="false">'Lot Register'!A66</f>
        <v>REG-LF-CON</v>
      </c>
      <c r="C426" s="19" t="str">
        <f aca="false">'Lot Register'!B66</f>
        <v>Regeneration tool</v>
      </c>
      <c r="D426" s="19" t="str">
        <f aca="false">'Lot Register'!D66</f>
        <v>MS-LF</v>
      </c>
      <c r="E426" s="19" t="str">
        <f aca="false">'Lot Register'!G66</f>
        <v>ST-LF-CON</v>
      </c>
      <c r="F426" s="9" t="s">
        <v>596</v>
      </c>
      <c r="G426" s="9" t="s">
        <v>597</v>
      </c>
      <c r="H426" s="9" t="s">
        <v>598</v>
      </c>
      <c r="I426" s="9" t="s">
        <v>570</v>
      </c>
      <c r="J426" s="11" t="s">
        <v>238</v>
      </c>
      <c r="K426" s="47" t="n">
        <f aca="false">Controls!B26</f>
        <v>0</v>
      </c>
      <c r="L426" s="47" t="str">
        <f aca="false">IF(K426=1,"PASS","OPEN")</f>
        <v>OPEN</v>
      </c>
    </row>
    <row r="427" customFormat="false" ht="15" hidden="false" customHeight="false" outlineLevel="0" collapsed="false">
      <c r="A427" s="19" t="str">
        <f aca="false">"DEC-"&amp;B427&amp;"-G1"</f>
        <v>DEC-INT-LF-CON-G1</v>
      </c>
      <c r="B427" s="19" t="str">
        <f aca="false">'Lot Register'!A67</f>
        <v>INT-LF-CON</v>
      </c>
      <c r="C427" s="19" t="str">
        <f aca="false">'Lot Register'!B67</f>
        <v>Station integration</v>
      </c>
      <c r="D427" s="19" t="str">
        <f aca="false">'Lot Register'!D67</f>
        <v>MS-LF</v>
      </c>
      <c r="E427" s="19" t="str">
        <f aca="false">'Lot Register'!G67</f>
        <v>ST-LF-CON</v>
      </c>
      <c r="F427" s="9" t="s">
        <v>578</v>
      </c>
      <c r="G427" s="9" t="s">
        <v>579</v>
      </c>
      <c r="H427" s="9" t="s">
        <v>580</v>
      </c>
      <c r="I427" s="9" t="s">
        <v>562</v>
      </c>
      <c r="J427" s="11" t="s">
        <v>238</v>
      </c>
      <c r="K427" s="47" t="n">
        <f aca="false">Controls!B26</f>
        <v>0</v>
      </c>
      <c r="L427" s="47" t="str">
        <f aca="false">IF(K427=1,"PASS","OPEN")</f>
        <v>OPEN</v>
      </c>
    </row>
    <row r="428" customFormat="false" ht="15" hidden="false" customHeight="false" outlineLevel="0" collapsed="false">
      <c r="A428" s="19" t="str">
        <f aca="false">"DEC-"&amp;B428&amp;"-G2"</f>
        <v>DEC-INT-LF-CON-G2</v>
      </c>
      <c r="B428" s="19" t="str">
        <f aca="false">'Lot Register'!A67</f>
        <v>INT-LF-CON</v>
      </c>
      <c r="C428" s="19" t="str">
        <f aca="false">'Lot Register'!B67</f>
        <v>Station integration</v>
      </c>
      <c r="D428" s="19" t="str">
        <f aca="false">'Lot Register'!D67</f>
        <v>MS-LF</v>
      </c>
      <c r="E428" s="19" t="str">
        <f aca="false">'Lot Register'!G67</f>
        <v>ST-LF-CON</v>
      </c>
      <c r="F428" s="9" t="s">
        <v>581</v>
      </c>
      <c r="G428" s="9" t="s">
        <v>582</v>
      </c>
      <c r="H428" s="9" t="s">
        <v>583</v>
      </c>
      <c r="I428" s="9" t="s">
        <v>560</v>
      </c>
      <c r="J428" s="11" t="s">
        <v>238</v>
      </c>
      <c r="K428" s="47" t="n">
        <f aca="false">Controls!B26</f>
        <v>0</v>
      </c>
      <c r="L428" s="47" t="str">
        <f aca="false">IF(K428=1,"PASS","OPEN")</f>
        <v>OPEN</v>
      </c>
    </row>
    <row r="429" customFormat="false" ht="15" hidden="false" customHeight="false" outlineLevel="0" collapsed="false">
      <c r="A429" s="19" t="str">
        <f aca="false">"DEC-"&amp;B429&amp;"-G3"</f>
        <v>DEC-INT-LF-CON-G3</v>
      </c>
      <c r="B429" s="19" t="str">
        <f aca="false">'Lot Register'!A67</f>
        <v>INT-LF-CON</v>
      </c>
      <c r="C429" s="19" t="str">
        <f aca="false">'Lot Register'!B67</f>
        <v>Station integration</v>
      </c>
      <c r="D429" s="19" t="str">
        <f aca="false">'Lot Register'!D67</f>
        <v>MS-LF</v>
      </c>
      <c r="E429" s="19" t="str">
        <f aca="false">'Lot Register'!G67</f>
        <v>ST-LF-CON</v>
      </c>
      <c r="F429" s="9" t="s">
        <v>584</v>
      </c>
      <c r="G429" s="9" t="s">
        <v>585</v>
      </c>
      <c r="H429" s="9" t="s">
        <v>586</v>
      </c>
      <c r="I429" s="9" t="s">
        <v>565</v>
      </c>
      <c r="J429" s="11" t="s">
        <v>238</v>
      </c>
      <c r="K429" s="47" t="n">
        <f aca="false">Controls!B26</f>
        <v>0</v>
      </c>
      <c r="L429" s="47" t="str">
        <f aca="false">IF(K429=1,"PASS","OPEN")</f>
        <v>OPEN</v>
      </c>
    </row>
    <row r="430" customFormat="false" ht="15" hidden="false" customHeight="false" outlineLevel="0" collapsed="false">
      <c r="A430" s="19" t="str">
        <f aca="false">"DEC-"&amp;B430&amp;"-G4"</f>
        <v>DEC-INT-LF-CON-G4</v>
      </c>
      <c r="B430" s="19" t="str">
        <f aca="false">'Lot Register'!A67</f>
        <v>INT-LF-CON</v>
      </c>
      <c r="C430" s="19" t="str">
        <f aca="false">'Lot Register'!B67</f>
        <v>Station integration</v>
      </c>
      <c r="D430" s="19" t="str">
        <f aca="false">'Lot Register'!D67</f>
        <v>MS-LF</v>
      </c>
      <c r="E430" s="19" t="str">
        <f aca="false">'Lot Register'!G67</f>
        <v>ST-LF-CON</v>
      </c>
      <c r="F430" s="9" t="s">
        <v>587</v>
      </c>
      <c r="G430" s="9" t="s">
        <v>588</v>
      </c>
      <c r="H430" s="9" t="s">
        <v>589</v>
      </c>
      <c r="I430" s="9" t="s">
        <v>562</v>
      </c>
      <c r="J430" s="11" t="s">
        <v>238</v>
      </c>
      <c r="K430" s="47" t="n">
        <f aca="false">Controls!B26</f>
        <v>0</v>
      </c>
      <c r="L430" s="47" t="str">
        <f aca="false">IF(K430=1,"PASS","OPEN")</f>
        <v>OPEN</v>
      </c>
    </row>
    <row r="431" customFormat="false" ht="15" hidden="false" customHeight="false" outlineLevel="0" collapsed="false">
      <c r="A431" s="19" t="str">
        <f aca="false">"DEC-"&amp;B431&amp;"-G5"</f>
        <v>DEC-INT-LF-CON-G5</v>
      </c>
      <c r="B431" s="19" t="str">
        <f aca="false">'Lot Register'!A67</f>
        <v>INT-LF-CON</v>
      </c>
      <c r="C431" s="19" t="str">
        <f aca="false">'Lot Register'!B67</f>
        <v>Station integration</v>
      </c>
      <c r="D431" s="19" t="str">
        <f aca="false">'Lot Register'!D67</f>
        <v>MS-LF</v>
      </c>
      <c r="E431" s="19" t="str">
        <f aca="false">'Lot Register'!G67</f>
        <v>ST-LF-CON</v>
      </c>
      <c r="F431" s="9" t="s">
        <v>590</v>
      </c>
      <c r="G431" s="9" t="s">
        <v>591</v>
      </c>
      <c r="H431" s="9" t="s">
        <v>592</v>
      </c>
      <c r="I431" s="9" t="s">
        <v>565</v>
      </c>
      <c r="J431" s="11" t="s">
        <v>238</v>
      </c>
      <c r="K431" s="47" t="n">
        <f aca="false">Controls!B26</f>
        <v>0</v>
      </c>
      <c r="L431" s="47" t="str">
        <f aca="false">IF(K431=1,"PASS","OPEN")</f>
        <v>OPEN</v>
      </c>
    </row>
    <row r="432" customFormat="false" ht="15" hidden="false" customHeight="false" outlineLevel="0" collapsed="false">
      <c r="A432" s="19" t="str">
        <f aca="false">"DEC-"&amp;B432&amp;"-G6"</f>
        <v>DEC-INT-LF-CON-G6</v>
      </c>
      <c r="B432" s="19" t="str">
        <f aca="false">'Lot Register'!A67</f>
        <v>INT-LF-CON</v>
      </c>
      <c r="C432" s="19" t="str">
        <f aca="false">'Lot Register'!B67</f>
        <v>Station integration</v>
      </c>
      <c r="D432" s="19" t="str">
        <f aca="false">'Lot Register'!D67</f>
        <v>MS-LF</v>
      </c>
      <c r="E432" s="19" t="str">
        <f aca="false">'Lot Register'!G67</f>
        <v>ST-LF-CON</v>
      </c>
      <c r="F432" s="9" t="s">
        <v>593</v>
      </c>
      <c r="G432" s="9" t="s">
        <v>594</v>
      </c>
      <c r="H432" s="9" t="s">
        <v>595</v>
      </c>
      <c r="I432" s="9" t="s">
        <v>570</v>
      </c>
      <c r="J432" s="11" t="s">
        <v>238</v>
      </c>
      <c r="K432" s="47" t="n">
        <f aca="false">Controls!B26</f>
        <v>0</v>
      </c>
      <c r="L432" s="47" t="str">
        <f aca="false">IF(K432=1,"PASS","OPEN")</f>
        <v>OPEN</v>
      </c>
    </row>
    <row r="433" customFormat="false" ht="15" hidden="false" customHeight="false" outlineLevel="0" collapsed="false">
      <c r="A433" s="19" t="str">
        <f aca="false">"DEC-"&amp;B433&amp;"-G7"</f>
        <v>DEC-INT-LF-CON-G7</v>
      </c>
      <c r="B433" s="19" t="str">
        <f aca="false">'Lot Register'!A67</f>
        <v>INT-LF-CON</v>
      </c>
      <c r="C433" s="19" t="str">
        <f aca="false">'Lot Register'!B67</f>
        <v>Station integration</v>
      </c>
      <c r="D433" s="19" t="str">
        <f aca="false">'Lot Register'!D67</f>
        <v>MS-LF</v>
      </c>
      <c r="E433" s="19" t="str">
        <f aca="false">'Lot Register'!G67</f>
        <v>ST-LF-CON</v>
      </c>
      <c r="F433" s="9" t="s">
        <v>596</v>
      </c>
      <c r="G433" s="9" t="s">
        <v>597</v>
      </c>
      <c r="H433" s="9" t="s">
        <v>598</v>
      </c>
      <c r="I433" s="9" t="s">
        <v>570</v>
      </c>
      <c r="J433" s="11" t="s">
        <v>238</v>
      </c>
      <c r="K433" s="47" t="n">
        <f aca="false">Controls!B26</f>
        <v>0</v>
      </c>
      <c r="L433" s="47" t="str">
        <f aca="false">IF(K433=1,"PASS","OPEN")</f>
        <v>OPEN</v>
      </c>
    </row>
    <row r="434" customFormat="false" ht="15" hidden="false" customHeight="false" outlineLevel="0" collapsed="false">
      <c r="A434" s="19" t="str">
        <f aca="false">"DEC-"&amp;B434&amp;"-G1"</f>
        <v>DEC-RIG-LF-REC-G1</v>
      </c>
      <c r="B434" s="19" t="str">
        <f aca="false">'Lot Register'!A68</f>
        <v>RIG-LF-REC</v>
      </c>
      <c r="C434" s="19" t="str">
        <f aca="false">'Lot Register'!B68</f>
        <v>Root-native rig</v>
      </c>
      <c r="D434" s="19" t="str">
        <f aca="false">'Lot Register'!D68</f>
        <v>MS-LF</v>
      </c>
      <c r="E434" s="19" t="str">
        <f aca="false">'Lot Register'!G68</f>
        <v>ST-LF-REC</v>
      </c>
      <c r="F434" s="9" t="s">
        <v>578</v>
      </c>
      <c r="G434" s="9" t="s">
        <v>579</v>
      </c>
      <c r="H434" s="9" t="s">
        <v>580</v>
      </c>
      <c r="I434" s="9" t="s">
        <v>562</v>
      </c>
      <c r="J434" s="11" t="s">
        <v>238</v>
      </c>
      <c r="K434" s="47" t="n">
        <f aca="false">Controls!B26</f>
        <v>0</v>
      </c>
      <c r="L434" s="47" t="str">
        <f aca="false">IF(K434=1,"PASS","OPEN")</f>
        <v>OPEN</v>
      </c>
    </row>
    <row r="435" customFormat="false" ht="15" hidden="false" customHeight="false" outlineLevel="0" collapsed="false">
      <c r="A435" s="19" t="str">
        <f aca="false">"DEC-"&amp;B435&amp;"-G2"</f>
        <v>DEC-RIG-LF-REC-G2</v>
      </c>
      <c r="B435" s="19" t="str">
        <f aca="false">'Lot Register'!A68</f>
        <v>RIG-LF-REC</v>
      </c>
      <c r="C435" s="19" t="str">
        <f aca="false">'Lot Register'!B68</f>
        <v>Root-native rig</v>
      </c>
      <c r="D435" s="19" t="str">
        <f aca="false">'Lot Register'!D68</f>
        <v>MS-LF</v>
      </c>
      <c r="E435" s="19" t="str">
        <f aca="false">'Lot Register'!G68</f>
        <v>ST-LF-REC</v>
      </c>
      <c r="F435" s="9" t="s">
        <v>581</v>
      </c>
      <c r="G435" s="9" t="s">
        <v>582</v>
      </c>
      <c r="H435" s="9" t="s">
        <v>583</v>
      </c>
      <c r="I435" s="9" t="s">
        <v>560</v>
      </c>
      <c r="J435" s="11" t="s">
        <v>238</v>
      </c>
      <c r="K435" s="47" t="n">
        <f aca="false">Controls!B26</f>
        <v>0</v>
      </c>
      <c r="L435" s="47" t="str">
        <f aca="false">IF(K435=1,"PASS","OPEN")</f>
        <v>OPEN</v>
      </c>
    </row>
    <row r="436" customFormat="false" ht="15" hidden="false" customHeight="false" outlineLevel="0" collapsed="false">
      <c r="A436" s="19" t="str">
        <f aca="false">"DEC-"&amp;B436&amp;"-G3"</f>
        <v>DEC-RIG-LF-REC-G3</v>
      </c>
      <c r="B436" s="19" t="str">
        <f aca="false">'Lot Register'!A68</f>
        <v>RIG-LF-REC</v>
      </c>
      <c r="C436" s="19" t="str">
        <f aca="false">'Lot Register'!B68</f>
        <v>Root-native rig</v>
      </c>
      <c r="D436" s="19" t="str">
        <f aca="false">'Lot Register'!D68</f>
        <v>MS-LF</v>
      </c>
      <c r="E436" s="19" t="str">
        <f aca="false">'Lot Register'!G68</f>
        <v>ST-LF-REC</v>
      </c>
      <c r="F436" s="9" t="s">
        <v>584</v>
      </c>
      <c r="G436" s="9" t="s">
        <v>585</v>
      </c>
      <c r="H436" s="9" t="s">
        <v>586</v>
      </c>
      <c r="I436" s="9" t="s">
        <v>565</v>
      </c>
      <c r="J436" s="11" t="s">
        <v>238</v>
      </c>
      <c r="K436" s="47" t="n">
        <f aca="false">Controls!B26</f>
        <v>0</v>
      </c>
      <c r="L436" s="47" t="str">
        <f aca="false">IF(K436=1,"PASS","OPEN")</f>
        <v>OPEN</v>
      </c>
    </row>
    <row r="437" customFormat="false" ht="15" hidden="false" customHeight="false" outlineLevel="0" collapsed="false">
      <c r="A437" s="19" t="str">
        <f aca="false">"DEC-"&amp;B437&amp;"-G4"</f>
        <v>DEC-RIG-LF-REC-G4</v>
      </c>
      <c r="B437" s="19" t="str">
        <f aca="false">'Lot Register'!A68</f>
        <v>RIG-LF-REC</v>
      </c>
      <c r="C437" s="19" t="str">
        <f aca="false">'Lot Register'!B68</f>
        <v>Root-native rig</v>
      </c>
      <c r="D437" s="19" t="str">
        <f aca="false">'Lot Register'!D68</f>
        <v>MS-LF</v>
      </c>
      <c r="E437" s="19" t="str">
        <f aca="false">'Lot Register'!G68</f>
        <v>ST-LF-REC</v>
      </c>
      <c r="F437" s="9" t="s">
        <v>587</v>
      </c>
      <c r="G437" s="9" t="s">
        <v>588</v>
      </c>
      <c r="H437" s="9" t="s">
        <v>589</v>
      </c>
      <c r="I437" s="9" t="s">
        <v>562</v>
      </c>
      <c r="J437" s="11" t="s">
        <v>238</v>
      </c>
      <c r="K437" s="47" t="n">
        <f aca="false">Controls!B26</f>
        <v>0</v>
      </c>
      <c r="L437" s="47" t="str">
        <f aca="false">IF(K437=1,"PASS","OPEN")</f>
        <v>OPEN</v>
      </c>
    </row>
    <row r="438" customFormat="false" ht="15" hidden="false" customHeight="false" outlineLevel="0" collapsed="false">
      <c r="A438" s="19" t="str">
        <f aca="false">"DEC-"&amp;B438&amp;"-G5"</f>
        <v>DEC-RIG-LF-REC-G5</v>
      </c>
      <c r="B438" s="19" t="str">
        <f aca="false">'Lot Register'!A68</f>
        <v>RIG-LF-REC</v>
      </c>
      <c r="C438" s="19" t="str">
        <f aca="false">'Lot Register'!B68</f>
        <v>Root-native rig</v>
      </c>
      <c r="D438" s="19" t="str">
        <f aca="false">'Lot Register'!D68</f>
        <v>MS-LF</v>
      </c>
      <c r="E438" s="19" t="str">
        <f aca="false">'Lot Register'!G68</f>
        <v>ST-LF-REC</v>
      </c>
      <c r="F438" s="9" t="s">
        <v>590</v>
      </c>
      <c r="G438" s="9" t="s">
        <v>591</v>
      </c>
      <c r="H438" s="9" t="s">
        <v>592</v>
      </c>
      <c r="I438" s="9" t="s">
        <v>565</v>
      </c>
      <c r="J438" s="11" t="s">
        <v>238</v>
      </c>
      <c r="K438" s="47" t="n">
        <f aca="false">Controls!B26</f>
        <v>0</v>
      </c>
      <c r="L438" s="47" t="str">
        <f aca="false">IF(K438=1,"PASS","OPEN")</f>
        <v>OPEN</v>
      </c>
    </row>
    <row r="439" customFormat="false" ht="15" hidden="false" customHeight="false" outlineLevel="0" collapsed="false">
      <c r="A439" s="19" t="str">
        <f aca="false">"DEC-"&amp;B439&amp;"-G6"</f>
        <v>DEC-RIG-LF-REC-G6</v>
      </c>
      <c r="B439" s="19" t="str">
        <f aca="false">'Lot Register'!A68</f>
        <v>RIG-LF-REC</v>
      </c>
      <c r="C439" s="19" t="str">
        <f aca="false">'Lot Register'!B68</f>
        <v>Root-native rig</v>
      </c>
      <c r="D439" s="19" t="str">
        <f aca="false">'Lot Register'!D68</f>
        <v>MS-LF</v>
      </c>
      <c r="E439" s="19" t="str">
        <f aca="false">'Lot Register'!G68</f>
        <v>ST-LF-REC</v>
      </c>
      <c r="F439" s="9" t="s">
        <v>593</v>
      </c>
      <c r="G439" s="9" t="s">
        <v>594</v>
      </c>
      <c r="H439" s="9" t="s">
        <v>595</v>
      </c>
      <c r="I439" s="9" t="s">
        <v>570</v>
      </c>
      <c r="J439" s="11" t="s">
        <v>238</v>
      </c>
      <c r="K439" s="47" t="n">
        <f aca="false">Controls!B26</f>
        <v>0</v>
      </c>
      <c r="L439" s="47" t="str">
        <f aca="false">IF(K439=1,"PASS","OPEN")</f>
        <v>OPEN</v>
      </c>
    </row>
    <row r="440" customFormat="false" ht="15" hidden="false" customHeight="false" outlineLevel="0" collapsed="false">
      <c r="A440" s="19" t="str">
        <f aca="false">"DEC-"&amp;B440&amp;"-G7"</f>
        <v>DEC-RIG-LF-REC-G7</v>
      </c>
      <c r="B440" s="19" t="str">
        <f aca="false">'Lot Register'!A68</f>
        <v>RIG-LF-REC</v>
      </c>
      <c r="C440" s="19" t="str">
        <f aca="false">'Lot Register'!B68</f>
        <v>Root-native rig</v>
      </c>
      <c r="D440" s="19" t="str">
        <f aca="false">'Lot Register'!D68</f>
        <v>MS-LF</v>
      </c>
      <c r="E440" s="19" t="str">
        <f aca="false">'Lot Register'!G68</f>
        <v>ST-LF-REC</v>
      </c>
      <c r="F440" s="9" t="s">
        <v>596</v>
      </c>
      <c r="G440" s="9" t="s">
        <v>597</v>
      </c>
      <c r="H440" s="9" t="s">
        <v>598</v>
      </c>
      <c r="I440" s="9" t="s">
        <v>570</v>
      </c>
      <c r="J440" s="11" t="s">
        <v>238</v>
      </c>
      <c r="K440" s="47" t="n">
        <f aca="false">Controls!B26</f>
        <v>0</v>
      </c>
      <c r="L440" s="47" t="str">
        <f aca="false">IF(K440=1,"PASS","OPEN")</f>
        <v>OPEN</v>
      </c>
    </row>
    <row r="441" customFormat="false" ht="15" hidden="false" customHeight="false" outlineLevel="0" collapsed="false">
      <c r="A441" s="19" t="str">
        <f aca="false">"DEC-"&amp;B441&amp;"-G1"</f>
        <v>DEC-MTH-LF-REC-L1-G1</v>
      </c>
      <c r="B441" s="19" t="str">
        <f aca="false">'Lot Register'!A69</f>
        <v>MTH-LF-REC-L1</v>
      </c>
      <c r="C441" s="19" t="str">
        <f aca="false">'Lot Register'!B69</f>
        <v>Method lineage</v>
      </c>
      <c r="D441" s="19" t="str">
        <f aca="false">'Lot Register'!D69</f>
        <v>MS-LF</v>
      </c>
      <c r="E441" s="19" t="str">
        <f aca="false">'Lot Register'!G69</f>
        <v>ST-LF-REC</v>
      </c>
      <c r="F441" s="9" t="s">
        <v>578</v>
      </c>
      <c r="G441" s="9" t="s">
        <v>579</v>
      </c>
      <c r="H441" s="9" t="s">
        <v>580</v>
      </c>
      <c r="I441" s="9" t="s">
        <v>562</v>
      </c>
      <c r="J441" s="11" t="s">
        <v>238</v>
      </c>
      <c r="K441" s="47" t="n">
        <f aca="false">Controls!B26</f>
        <v>0</v>
      </c>
      <c r="L441" s="47" t="str">
        <f aca="false">IF(K441=1,"PASS","OPEN")</f>
        <v>OPEN</v>
      </c>
    </row>
    <row r="442" customFormat="false" ht="15" hidden="false" customHeight="false" outlineLevel="0" collapsed="false">
      <c r="A442" s="19" t="str">
        <f aca="false">"DEC-"&amp;B442&amp;"-G2"</f>
        <v>DEC-MTH-LF-REC-L1-G2</v>
      </c>
      <c r="B442" s="19" t="str">
        <f aca="false">'Lot Register'!A69</f>
        <v>MTH-LF-REC-L1</v>
      </c>
      <c r="C442" s="19" t="str">
        <f aca="false">'Lot Register'!B69</f>
        <v>Method lineage</v>
      </c>
      <c r="D442" s="19" t="str">
        <f aca="false">'Lot Register'!D69</f>
        <v>MS-LF</v>
      </c>
      <c r="E442" s="19" t="str">
        <f aca="false">'Lot Register'!G69</f>
        <v>ST-LF-REC</v>
      </c>
      <c r="F442" s="9" t="s">
        <v>581</v>
      </c>
      <c r="G442" s="9" t="s">
        <v>582</v>
      </c>
      <c r="H442" s="9" t="s">
        <v>583</v>
      </c>
      <c r="I442" s="9" t="s">
        <v>560</v>
      </c>
      <c r="J442" s="11" t="s">
        <v>238</v>
      </c>
      <c r="K442" s="47" t="n">
        <f aca="false">Controls!B26</f>
        <v>0</v>
      </c>
      <c r="L442" s="47" t="str">
        <f aca="false">IF(K442=1,"PASS","OPEN")</f>
        <v>OPEN</v>
      </c>
    </row>
    <row r="443" customFormat="false" ht="15" hidden="false" customHeight="false" outlineLevel="0" collapsed="false">
      <c r="A443" s="19" t="str">
        <f aca="false">"DEC-"&amp;B443&amp;"-G3"</f>
        <v>DEC-MTH-LF-REC-L1-G3</v>
      </c>
      <c r="B443" s="19" t="str">
        <f aca="false">'Lot Register'!A69</f>
        <v>MTH-LF-REC-L1</v>
      </c>
      <c r="C443" s="19" t="str">
        <f aca="false">'Lot Register'!B69</f>
        <v>Method lineage</v>
      </c>
      <c r="D443" s="19" t="str">
        <f aca="false">'Lot Register'!D69</f>
        <v>MS-LF</v>
      </c>
      <c r="E443" s="19" t="str">
        <f aca="false">'Lot Register'!G69</f>
        <v>ST-LF-REC</v>
      </c>
      <c r="F443" s="9" t="s">
        <v>584</v>
      </c>
      <c r="G443" s="9" t="s">
        <v>585</v>
      </c>
      <c r="H443" s="9" t="s">
        <v>586</v>
      </c>
      <c r="I443" s="9" t="s">
        <v>565</v>
      </c>
      <c r="J443" s="11" t="s">
        <v>238</v>
      </c>
      <c r="K443" s="47" t="n">
        <f aca="false">Controls!B26</f>
        <v>0</v>
      </c>
      <c r="L443" s="47" t="str">
        <f aca="false">IF(K443=1,"PASS","OPEN")</f>
        <v>OPEN</v>
      </c>
    </row>
    <row r="444" customFormat="false" ht="15" hidden="false" customHeight="false" outlineLevel="0" collapsed="false">
      <c r="A444" s="19" t="str">
        <f aca="false">"DEC-"&amp;B444&amp;"-G4"</f>
        <v>DEC-MTH-LF-REC-L1-G4</v>
      </c>
      <c r="B444" s="19" t="str">
        <f aca="false">'Lot Register'!A69</f>
        <v>MTH-LF-REC-L1</v>
      </c>
      <c r="C444" s="19" t="str">
        <f aca="false">'Lot Register'!B69</f>
        <v>Method lineage</v>
      </c>
      <c r="D444" s="19" t="str">
        <f aca="false">'Lot Register'!D69</f>
        <v>MS-LF</v>
      </c>
      <c r="E444" s="19" t="str">
        <f aca="false">'Lot Register'!G69</f>
        <v>ST-LF-REC</v>
      </c>
      <c r="F444" s="9" t="s">
        <v>587</v>
      </c>
      <c r="G444" s="9" t="s">
        <v>588</v>
      </c>
      <c r="H444" s="9" t="s">
        <v>589</v>
      </c>
      <c r="I444" s="9" t="s">
        <v>562</v>
      </c>
      <c r="J444" s="11" t="s">
        <v>238</v>
      </c>
      <c r="K444" s="47" t="n">
        <f aca="false">Controls!B26</f>
        <v>0</v>
      </c>
      <c r="L444" s="47" t="str">
        <f aca="false">IF(K444=1,"PASS","OPEN")</f>
        <v>OPEN</v>
      </c>
    </row>
    <row r="445" customFormat="false" ht="15" hidden="false" customHeight="false" outlineLevel="0" collapsed="false">
      <c r="A445" s="19" t="str">
        <f aca="false">"DEC-"&amp;B445&amp;"-G5"</f>
        <v>DEC-MTH-LF-REC-L1-G5</v>
      </c>
      <c r="B445" s="19" t="str">
        <f aca="false">'Lot Register'!A69</f>
        <v>MTH-LF-REC-L1</v>
      </c>
      <c r="C445" s="19" t="str">
        <f aca="false">'Lot Register'!B69</f>
        <v>Method lineage</v>
      </c>
      <c r="D445" s="19" t="str">
        <f aca="false">'Lot Register'!D69</f>
        <v>MS-LF</v>
      </c>
      <c r="E445" s="19" t="str">
        <f aca="false">'Lot Register'!G69</f>
        <v>ST-LF-REC</v>
      </c>
      <c r="F445" s="9" t="s">
        <v>590</v>
      </c>
      <c r="G445" s="9" t="s">
        <v>591</v>
      </c>
      <c r="H445" s="9" t="s">
        <v>592</v>
      </c>
      <c r="I445" s="9" t="s">
        <v>565</v>
      </c>
      <c r="J445" s="11" t="s">
        <v>238</v>
      </c>
      <c r="K445" s="47" t="n">
        <f aca="false">Controls!B26</f>
        <v>0</v>
      </c>
      <c r="L445" s="47" t="str">
        <f aca="false">IF(K445=1,"PASS","OPEN")</f>
        <v>OPEN</v>
      </c>
    </row>
    <row r="446" customFormat="false" ht="15" hidden="false" customHeight="false" outlineLevel="0" collapsed="false">
      <c r="A446" s="19" t="str">
        <f aca="false">"DEC-"&amp;B446&amp;"-G6"</f>
        <v>DEC-MTH-LF-REC-L1-G6</v>
      </c>
      <c r="B446" s="19" t="str">
        <f aca="false">'Lot Register'!A69</f>
        <v>MTH-LF-REC-L1</v>
      </c>
      <c r="C446" s="19" t="str">
        <f aca="false">'Lot Register'!B69</f>
        <v>Method lineage</v>
      </c>
      <c r="D446" s="19" t="str">
        <f aca="false">'Lot Register'!D69</f>
        <v>MS-LF</v>
      </c>
      <c r="E446" s="19" t="str">
        <f aca="false">'Lot Register'!G69</f>
        <v>ST-LF-REC</v>
      </c>
      <c r="F446" s="9" t="s">
        <v>593</v>
      </c>
      <c r="G446" s="9" t="s">
        <v>594</v>
      </c>
      <c r="H446" s="9" t="s">
        <v>595</v>
      </c>
      <c r="I446" s="9" t="s">
        <v>570</v>
      </c>
      <c r="J446" s="11" t="s">
        <v>238</v>
      </c>
      <c r="K446" s="47" t="n">
        <f aca="false">Controls!B26</f>
        <v>0</v>
      </c>
      <c r="L446" s="47" t="str">
        <f aca="false">IF(K446=1,"PASS","OPEN")</f>
        <v>OPEN</v>
      </c>
    </row>
    <row r="447" customFormat="false" ht="15" hidden="false" customHeight="false" outlineLevel="0" collapsed="false">
      <c r="A447" s="19" t="str">
        <f aca="false">"DEC-"&amp;B447&amp;"-G7"</f>
        <v>DEC-MTH-LF-REC-L1-G7</v>
      </c>
      <c r="B447" s="19" t="str">
        <f aca="false">'Lot Register'!A69</f>
        <v>MTH-LF-REC-L1</v>
      </c>
      <c r="C447" s="19" t="str">
        <f aca="false">'Lot Register'!B69</f>
        <v>Method lineage</v>
      </c>
      <c r="D447" s="19" t="str">
        <f aca="false">'Lot Register'!D69</f>
        <v>MS-LF</v>
      </c>
      <c r="E447" s="19" t="str">
        <f aca="false">'Lot Register'!G69</f>
        <v>ST-LF-REC</v>
      </c>
      <c r="F447" s="9" t="s">
        <v>596</v>
      </c>
      <c r="G447" s="9" t="s">
        <v>597</v>
      </c>
      <c r="H447" s="9" t="s">
        <v>598</v>
      </c>
      <c r="I447" s="9" t="s">
        <v>570</v>
      </c>
      <c r="J447" s="11" t="s">
        <v>238</v>
      </c>
      <c r="K447" s="47" t="n">
        <f aca="false">Controls!B26</f>
        <v>0</v>
      </c>
      <c r="L447" s="47" t="str">
        <f aca="false">IF(K447=1,"PASS","OPEN")</f>
        <v>OPEN</v>
      </c>
    </row>
    <row r="448" customFormat="false" ht="15" hidden="false" customHeight="false" outlineLevel="0" collapsed="false">
      <c r="A448" s="19" t="str">
        <f aca="false">"DEC-"&amp;B448&amp;"-G1"</f>
        <v>DEC-MTH-LF-REC-L2-G1</v>
      </c>
      <c r="B448" s="19" t="str">
        <f aca="false">'Lot Register'!A70</f>
        <v>MTH-LF-REC-L2</v>
      </c>
      <c r="C448" s="19" t="str">
        <f aca="false">'Lot Register'!B70</f>
        <v>Method lineage</v>
      </c>
      <c r="D448" s="19" t="str">
        <f aca="false">'Lot Register'!D70</f>
        <v>MS-LF</v>
      </c>
      <c r="E448" s="19" t="str">
        <f aca="false">'Lot Register'!G70</f>
        <v>ST-LF-REC</v>
      </c>
      <c r="F448" s="9" t="s">
        <v>578</v>
      </c>
      <c r="G448" s="9" t="s">
        <v>579</v>
      </c>
      <c r="H448" s="9" t="s">
        <v>580</v>
      </c>
      <c r="I448" s="9" t="s">
        <v>562</v>
      </c>
      <c r="J448" s="11" t="s">
        <v>238</v>
      </c>
      <c r="K448" s="47" t="n">
        <f aca="false">Controls!B26</f>
        <v>0</v>
      </c>
      <c r="L448" s="47" t="str">
        <f aca="false">IF(K448=1,"PASS","OPEN")</f>
        <v>OPEN</v>
      </c>
    </row>
    <row r="449" customFormat="false" ht="15" hidden="false" customHeight="false" outlineLevel="0" collapsed="false">
      <c r="A449" s="19" t="str">
        <f aca="false">"DEC-"&amp;B449&amp;"-G2"</f>
        <v>DEC-MTH-LF-REC-L2-G2</v>
      </c>
      <c r="B449" s="19" t="str">
        <f aca="false">'Lot Register'!A70</f>
        <v>MTH-LF-REC-L2</v>
      </c>
      <c r="C449" s="19" t="str">
        <f aca="false">'Lot Register'!B70</f>
        <v>Method lineage</v>
      </c>
      <c r="D449" s="19" t="str">
        <f aca="false">'Lot Register'!D70</f>
        <v>MS-LF</v>
      </c>
      <c r="E449" s="19" t="str">
        <f aca="false">'Lot Register'!G70</f>
        <v>ST-LF-REC</v>
      </c>
      <c r="F449" s="9" t="s">
        <v>581</v>
      </c>
      <c r="G449" s="9" t="s">
        <v>582</v>
      </c>
      <c r="H449" s="9" t="s">
        <v>583</v>
      </c>
      <c r="I449" s="9" t="s">
        <v>560</v>
      </c>
      <c r="J449" s="11" t="s">
        <v>238</v>
      </c>
      <c r="K449" s="47" t="n">
        <f aca="false">Controls!B26</f>
        <v>0</v>
      </c>
      <c r="L449" s="47" t="str">
        <f aca="false">IF(K449=1,"PASS","OPEN")</f>
        <v>OPEN</v>
      </c>
    </row>
    <row r="450" customFormat="false" ht="15" hidden="false" customHeight="false" outlineLevel="0" collapsed="false">
      <c r="A450" s="19" t="str">
        <f aca="false">"DEC-"&amp;B450&amp;"-G3"</f>
        <v>DEC-MTH-LF-REC-L2-G3</v>
      </c>
      <c r="B450" s="19" t="str">
        <f aca="false">'Lot Register'!A70</f>
        <v>MTH-LF-REC-L2</v>
      </c>
      <c r="C450" s="19" t="str">
        <f aca="false">'Lot Register'!B70</f>
        <v>Method lineage</v>
      </c>
      <c r="D450" s="19" t="str">
        <f aca="false">'Lot Register'!D70</f>
        <v>MS-LF</v>
      </c>
      <c r="E450" s="19" t="str">
        <f aca="false">'Lot Register'!G70</f>
        <v>ST-LF-REC</v>
      </c>
      <c r="F450" s="9" t="s">
        <v>584</v>
      </c>
      <c r="G450" s="9" t="s">
        <v>585</v>
      </c>
      <c r="H450" s="9" t="s">
        <v>586</v>
      </c>
      <c r="I450" s="9" t="s">
        <v>565</v>
      </c>
      <c r="J450" s="11" t="s">
        <v>238</v>
      </c>
      <c r="K450" s="47" t="n">
        <f aca="false">Controls!B26</f>
        <v>0</v>
      </c>
      <c r="L450" s="47" t="str">
        <f aca="false">IF(K450=1,"PASS","OPEN")</f>
        <v>OPEN</v>
      </c>
    </row>
    <row r="451" customFormat="false" ht="15" hidden="false" customHeight="false" outlineLevel="0" collapsed="false">
      <c r="A451" s="19" t="str">
        <f aca="false">"DEC-"&amp;B451&amp;"-G4"</f>
        <v>DEC-MTH-LF-REC-L2-G4</v>
      </c>
      <c r="B451" s="19" t="str">
        <f aca="false">'Lot Register'!A70</f>
        <v>MTH-LF-REC-L2</v>
      </c>
      <c r="C451" s="19" t="str">
        <f aca="false">'Lot Register'!B70</f>
        <v>Method lineage</v>
      </c>
      <c r="D451" s="19" t="str">
        <f aca="false">'Lot Register'!D70</f>
        <v>MS-LF</v>
      </c>
      <c r="E451" s="19" t="str">
        <f aca="false">'Lot Register'!G70</f>
        <v>ST-LF-REC</v>
      </c>
      <c r="F451" s="9" t="s">
        <v>587</v>
      </c>
      <c r="G451" s="9" t="s">
        <v>588</v>
      </c>
      <c r="H451" s="9" t="s">
        <v>589</v>
      </c>
      <c r="I451" s="9" t="s">
        <v>562</v>
      </c>
      <c r="J451" s="11" t="s">
        <v>238</v>
      </c>
      <c r="K451" s="47" t="n">
        <f aca="false">Controls!B26</f>
        <v>0</v>
      </c>
      <c r="L451" s="47" t="str">
        <f aca="false">IF(K451=1,"PASS","OPEN")</f>
        <v>OPEN</v>
      </c>
    </row>
    <row r="452" customFormat="false" ht="15" hidden="false" customHeight="false" outlineLevel="0" collapsed="false">
      <c r="A452" s="19" t="str">
        <f aca="false">"DEC-"&amp;B452&amp;"-G5"</f>
        <v>DEC-MTH-LF-REC-L2-G5</v>
      </c>
      <c r="B452" s="19" t="str">
        <f aca="false">'Lot Register'!A70</f>
        <v>MTH-LF-REC-L2</v>
      </c>
      <c r="C452" s="19" t="str">
        <f aca="false">'Lot Register'!B70</f>
        <v>Method lineage</v>
      </c>
      <c r="D452" s="19" t="str">
        <f aca="false">'Lot Register'!D70</f>
        <v>MS-LF</v>
      </c>
      <c r="E452" s="19" t="str">
        <f aca="false">'Lot Register'!G70</f>
        <v>ST-LF-REC</v>
      </c>
      <c r="F452" s="9" t="s">
        <v>590</v>
      </c>
      <c r="G452" s="9" t="s">
        <v>591</v>
      </c>
      <c r="H452" s="9" t="s">
        <v>592</v>
      </c>
      <c r="I452" s="9" t="s">
        <v>565</v>
      </c>
      <c r="J452" s="11" t="s">
        <v>238</v>
      </c>
      <c r="K452" s="47" t="n">
        <f aca="false">Controls!B26</f>
        <v>0</v>
      </c>
      <c r="L452" s="47" t="str">
        <f aca="false">IF(K452=1,"PASS","OPEN")</f>
        <v>OPEN</v>
      </c>
    </row>
    <row r="453" customFormat="false" ht="15" hidden="false" customHeight="false" outlineLevel="0" collapsed="false">
      <c r="A453" s="19" t="str">
        <f aca="false">"DEC-"&amp;B453&amp;"-G6"</f>
        <v>DEC-MTH-LF-REC-L2-G6</v>
      </c>
      <c r="B453" s="19" t="str">
        <f aca="false">'Lot Register'!A70</f>
        <v>MTH-LF-REC-L2</v>
      </c>
      <c r="C453" s="19" t="str">
        <f aca="false">'Lot Register'!B70</f>
        <v>Method lineage</v>
      </c>
      <c r="D453" s="19" t="str">
        <f aca="false">'Lot Register'!D70</f>
        <v>MS-LF</v>
      </c>
      <c r="E453" s="19" t="str">
        <f aca="false">'Lot Register'!G70</f>
        <v>ST-LF-REC</v>
      </c>
      <c r="F453" s="9" t="s">
        <v>593</v>
      </c>
      <c r="G453" s="9" t="s">
        <v>594</v>
      </c>
      <c r="H453" s="9" t="s">
        <v>595</v>
      </c>
      <c r="I453" s="9" t="s">
        <v>570</v>
      </c>
      <c r="J453" s="11" t="s">
        <v>238</v>
      </c>
      <c r="K453" s="47" t="n">
        <f aca="false">Controls!B26</f>
        <v>0</v>
      </c>
      <c r="L453" s="47" t="str">
        <f aca="false">IF(K453=1,"PASS","OPEN")</f>
        <v>OPEN</v>
      </c>
    </row>
    <row r="454" customFormat="false" ht="15" hidden="false" customHeight="false" outlineLevel="0" collapsed="false">
      <c r="A454" s="19" t="str">
        <f aca="false">"DEC-"&amp;B454&amp;"-G7"</f>
        <v>DEC-MTH-LF-REC-L2-G7</v>
      </c>
      <c r="B454" s="19" t="str">
        <f aca="false">'Lot Register'!A70</f>
        <v>MTH-LF-REC-L2</v>
      </c>
      <c r="C454" s="19" t="str">
        <f aca="false">'Lot Register'!B70</f>
        <v>Method lineage</v>
      </c>
      <c r="D454" s="19" t="str">
        <f aca="false">'Lot Register'!D70</f>
        <v>MS-LF</v>
      </c>
      <c r="E454" s="19" t="str">
        <f aca="false">'Lot Register'!G70</f>
        <v>ST-LF-REC</v>
      </c>
      <c r="F454" s="9" t="s">
        <v>596</v>
      </c>
      <c r="G454" s="9" t="s">
        <v>597</v>
      </c>
      <c r="H454" s="9" t="s">
        <v>598</v>
      </c>
      <c r="I454" s="9" t="s">
        <v>570</v>
      </c>
      <c r="J454" s="11" t="s">
        <v>238</v>
      </c>
      <c r="K454" s="47" t="n">
        <f aca="false">Controls!B26</f>
        <v>0</v>
      </c>
      <c r="L454" s="47" t="str">
        <f aca="false">IF(K454=1,"PASS","OPEN")</f>
        <v>OPEN</v>
      </c>
    </row>
    <row r="455" customFormat="false" ht="15" hidden="false" customHeight="false" outlineLevel="0" collapsed="false">
      <c r="A455" s="19" t="str">
        <f aca="false">"DEC-"&amp;B455&amp;"-G1"</f>
        <v>DEC-REG-LF-REC-G1</v>
      </c>
      <c r="B455" s="19" t="str">
        <f aca="false">'Lot Register'!A71</f>
        <v>REG-LF-REC</v>
      </c>
      <c r="C455" s="19" t="str">
        <f aca="false">'Lot Register'!B71</f>
        <v>Regeneration tool</v>
      </c>
      <c r="D455" s="19" t="str">
        <f aca="false">'Lot Register'!D71</f>
        <v>MS-LF</v>
      </c>
      <c r="E455" s="19" t="str">
        <f aca="false">'Lot Register'!G71</f>
        <v>ST-LF-REC</v>
      </c>
      <c r="F455" s="9" t="s">
        <v>578</v>
      </c>
      <c r="G455" s="9" t="s">
        <v>579</v>
      </c>
      <c r="H455" s="9" t="s">
        <v>580</v>
      </c>
      <c r="I455" s="9" t="s">
        <v>562</v>
      </c>
      <c r="J455" s="11" t="s">
        <v>238</v>
      </c>
      <c r="K455" s="47" t="n">
        <f aca="false">Controls!B26</f>
        <v>0</v>
      </c>
      <c r="L455" s="47" t="str">
        <f aca="false">IF(K455=1,"PASS","OPEN")</f>
        <v>OPEN</v>
      </c>
    </row>
    <row r="456" customFormat="false" ht="15" hidden="false" customHeight="false" outlineLevel="0" collapsed="false">
      <c r="A456" s="19" t="str">
        <f aca="false">"DEC-"&amp;B456&amp;"-G2"</f>
        <v>DEC-REG-LF-REC-G2</v>
      </c>
      <c r="B456" s="19" t="str">
        <f aca="false">'Lot Register'!A71</f>
        <v>REG-LF-REC</v>
      </c>
      <c r="C456" s="19" t="str">
        <f aca="false">'Lot Register'!B71</f>
        <v>Regeneration tool</v>
      </c>
      <c r="D456" s="19" t="str">
        <f aca="false">'Lot Register'!D71</f>
        <v>MS-LF</v>
      </c>
      <c r="E456" s="19" t="str">
        <f aca="false">'Lot Register'!G71</f>
        <v>ST-LF-REC</v>
      </c>
      <c r="F456" s="9" t="s">
        <v>581</v>
      </c>
      <c r="G456" s="9" t="s">
        <v>582</v>
      </c>
      <c r="H456" s="9" t="s">
        <v>583</v>
      </c>
      <c r="I456" s="9" t="s">
        <v>560</v>
      </c>
      <c r="J456" s="11" t="s">
        <v>238</v>
      </c>
      <c r="K456" s="47" t="n">
        <f aca="false">Controls!B26</f>
        <v>0</v>
      </c>
      <c r="L456" s="47" t="str">
        <f aca="false">IF(K456=1,"PASS","OPEN")</f>
        <v>OPEN</v>
      </c>
    </row>
    <row r="457" customFormat="false" ht="15" hidden="false" customHeight="false" outlineLevel="0" collapsed="false">
      <c r="A457" s="19" t="str">
        <f aca="false">"DEC-"&amp;B457&amp;"-G3"</f>
        <v>DEC-REG-LF-REC-G3</v>
      </c>
      <c r="B457" s="19" t="str">
        <f aca="false">'Lot Register'!A71</f>
        <v>REG-LF-REC</v>
      </c>
      <c r="C457" s="19" t="str">
        <f aca="false">'Lot Register'!B71</f>
        <v>Regeneration tool</v>
      </c>
      <c r="D457" s="19" t="str">
        <f aca="false">'Lot Register'!D71</f>
        <v>MS-LF</v>
      </c>
      <c r="E457" s="19" t="str">
        <f aca="false">'Lot Register'!G71</f>
        <v>ST-LF-REC</v>
      </c>
      <c r="F457" s="9" t="s">
        <v>584</v>
      </c>
      <c r="G457" s="9" t="s">
        <v>585</v>
      </c>
      <c r="H457" s="9" t="s">
        <v>586</v>
      </c>
      <c r="I457" s="9" t="s">
        <v>565</v>
      </c>
      <c r="J457" s="11" t="s">
        <v>238</v>
      </c>
      <c r="K457" s="47" t="n">
        <f aca="false">Controls!B26</f>
        <v>0</v>
      </c>
      <c r="L457" s="47" t="str">
        <f aca="false">IF(K457=1,"PASS","OPEN")</f>
        <v>OPEN</v>
      </c>
    </row>
    <row r="458" customFormat="false" ht="15" hidden="false" customHeight="false" outlineLevel="0" collapsed="false">
      <c r="A458" s="19" t="str">
        <f aca="false">"DEC-"&amp;B458&amp;"-G4"</f>
        <v>DEC-REG-LF-REC-G4</v>
      </c>
      <c r="B458" s="19" t="str">
        <f aca="false">'Lot Register'!A71</f>
        <v>REG-LF-REC</v>
      </c>
      <c r="C458" s="19" t="str">
        <f aca="false">'Lot Register'!B71</f>
        <v>Regeneration tool</v>
      </c>
      <c r="D458" s="19" t="str">
        <f aca="false">'Lot Register'!D71</f>
        <v>MS-LF</v>
      </c>
      <c r="E458" s="19" t="str">
        <f aca="false">'Lot Register'!G71</f>
        <v>ST-LF-REC</v>
      </c>
      <c r="F458" s="9" t="s">
        <v>587</v>
      </c>
      <c r="G458" s="9" t="s">
        <v>588</v>
      </c>
      <c r="H458" s="9" t="s">
        <v>589</v>
      </c>
      <c r="I458" s="9" t="s">
        <v>562</v>
      </c>
      <c r="J458" s="11" t="s">
        <v>238</v>
      </c>
      <c r="K458" s="47" t="n">
        <f aca="false">Controls!B26</f>
        <v>0</v>
      </c>
      <c r="L458" s="47" t="str">
        <f aca="false">IF(K458=1,"PASS","OPEN")</f>
        <v>OPEN</v>
      </c>
    </row>
    <row r="459" customFormat="false" ht="15" hidden="false" customHeight="false" outlineLevel="0" collapsed="false">
      <c r="A459" s="19" t="str">
        <f aca="false">"DEC-"&amp;B459&amp;"-G5"</f>
        <v>DEC-REG-LF-REC-G5</v>
      </c>
      <c r="B459" s="19" t="str">
        <f aca="false">'Lot Register'!A71</f>
        <v>REG-LF-REC</v>
      </c>
      <c r="C459" s="19" t="str">
        <f aca="false">'Lot Register'!B71</f>
        <v>Regeneration tool</v>
      </c>
      <c r="D459" s="19" t="str">
        <f aca="false">'Lot Register'!D71</f>
        <v>MS-LF</v>
      </c>
      <c r="E459" s="19" t="str">
        <f aca="false">'Lot Register'!G71</f>
        <v>ST-LF-REC</v>
      </c>
      <c r="F459" s="9" t="s">
        <v>590</v>
      </c>
      <c r="G459" s="9" t="s">
        <v>591</v>
      </c>
      <c r="H459" s="9" t="s">
        <v>592</v>
      </c>
      <c r="I459" s="9" t="s">
        <v>565</v>
      </c>
      <c r="J459" s="11" t="s">
        <v>238</v>
      </c>
      <c r="K459" s="47" t="n">
        <f aca="false">Controls!B26</f>
        <v>0</v>
      </c>
      <c r="L459" s="47" t="str">
        <f aca="false">IF(K459=1,"PASS","OPEN")</f>
        <v>OPEN</v>
      </c>
    </row>
    <row r="460" customFormat="false" ht="15" hidden="false" customHeight="false" outlineLevel="0" collapsed="false">
      <c r="A460" s="19" t="str">
        <f aca="false">"DEC-"&amp;B460&amp;"-G6"</f>
        <v>DEC-REG-LF-REC-G6</v>
      </c>
      <c r="B460" s="19" t="str">
        <f aca="false">'Lot Register'!A71</f>
        <v>REG-LF-REC</v>
      </c>
      <c r="C460" s="19" t="str">
        <f aca="false">'Lot Register'!B71</f>
        <v>Regeneration tool</v>
      </c>
      <c r="D460" s="19" t="str">
        <f aca="false">'Lot Register'!D71</f>
        <v>MS-LF</v>
      </c>
      <c r="E460" s="19" t="str">
        <f aca="false">'Lot Register'!G71</f>
        <v>ST-LF-REC</v>
      </c>
      <c r="F460" s="9" t="s">
        <v>593</v>
      </c>
      <c r="G460" s="9" t="s">
        <v>594</v>
      </c>
      <c r="H460" s="9" t="s">
        <v>595</v>
      </c>
      <c r="I460" s="9" t="s">
        <v>570</v>
      </c>
      <c r="J460" s="11" t="s">
        <v>238</v>
      </c>
      <c r="K460" s="47" t="n">
        <f aca="false">Controls!B26</f>
        <v>0</v>
      </c>
      <c r="L460" s="47" t="str">
        <f aca="false">IF(K460=1,"PASS","OPEN")</f>
        <v>OPEN</v>
      </c>
    </row>
    <row r="461" customFormat="false" ht="15" hidden="false" customHeight="false" outlineLevel="0" collapsed="false">
      <c r="A461" s="19" t="str">
        <f aca="false">"DEC-"&amp;B461&amp;"-G7"</f>
        <v>DEC-REG-LF-REC-G7</v>
      </c>
      <c r="B461" s="19" t="str">
        <f aca="false">'Lot Register'!A71</f>
        <v>REG-LF-REC</v>
      </c>
      <c r="C461" s="19" t="str">
        <f aca="false">'Lot Register'!B71</f>
        <v>Regeneration tool</v>
      </c>
      <c r="D461" s="19" t="str">
        <f aca="false">'Lot Register'!D71</f>
        <v>MS-LF</v>
      </c>
      <c r="E461" s="19" t="str">
        <f aca="false">'Lot Register'!G71</f>
        <v>ST-LF-REC</v>
      </c>
      <c r="F461" s="9" t="s">
        <v>596</v>
      </c>
      <c r="G461" s="9" t="s">
        <v>597</v>
      </c>
      <c r="H461" s="9" t="s">
        <v>598</v>
      </c>
      <c r="I461" s="9" t="s">
        <v>570</v>
      </c>
      <c r="J461" s="11" t="s">
        <v>238</v>
      </c>
      <c r="K461" s="47" t="n">
        <f aca="false">Controls!B26</f>
        <v>0</v>
      </c>
      <c r="L461" s="47" t="str">
        <f aca="false">IF(K461=1,"PASS","OPEN")</f>
        <v>OPEN</v>
      </c>
    </row>
    <row r="462" customFormat="false" ht="15" hidden="false" customHeight="false" outlineLevel="0" collapsed="false">
      <c r="A462" s="19" t="str">
        <f aca="false">"DEC-"&amp;B462&amp;"-G1"</f>
        <v>DEC-INT-LF-REC-G1</v>
      </c>
      <c r="B462" s="19" t="str">
        <f aca="false">'Lot Register'!A72</f>
        <v>INT-LF-REC</v>
      </c>
      <c r="C462" s="19" t="str">
        <f aca="false">'Lot Register'!B72</f>
        <v>Station integration</v>
      </c>
      <c r="D462" s="19" t="str">
        <f aca="false">'Lot Register'!D72</f>
        <v>MS-LF</v>
      </c>
      <c r="E462" s="19" t="str">
        <f aca="false">'Lot Register'!G72</f>
        <v>ST-LF-REC</v>
      </c>
      <c r="F462" s="9" t="s">
        <v>578</v>
      </c>
      <c r="G462" s="9" t="s">
        <v>579</v>
      </c>
      <c r="H462" s="9" t="s">
        <v>580</v>
      </c>
      <c r="I462" s="9" t="s">
        <v>562</v>
      </c>
      <c r="J462" s="11" t="s">
        <v>238</v>
      </c>
      <c r="K462" s="47" t="n">
        <f aca="false">Controls!B26</f>
        <v>0</v>
      </c>
      <c r="L462" s="47" t="str">
        <f aca="false">IF(K462=1,"PASS","OPEN")</f>
        <v>OPEN</v>
      </c>
    </row>
    <row r="463" customFormat="false" ht="15" hidden="false" customHeight="false" outlineLevel="0" collapsed="false">
      <c r="A463" s="19" t="str">
        <f aca="false">"DEC-"&amp;B463&amp;"-G2"</f>
        <v>DEC-INT-LF-REC-G2</v>
      </c>
      <c r="B463" s="19" t="str">
        <f aca="false">'Lot Register'!A72</f>
        <v>INT-LF-REC</v>
      </c>
      <c r="C463" s="19" t="str">
        <f aca="false">'Lot Register'!B72</f>
        <v>Station integration</v>
      </c>
      <c r="D463" s="19" t="str">
        <f aca="false">'Lot Register'!D72</f>
        <v>MS-LF</v>
      </c>
      <c r="E463" s="19" t="str">
        <f aca="false">'Lot Register'!G72</f>
        <v>ST-LF-REC</v>
      </c>
      <c r="F463" s="9" t="s">
        <v>581</v>
      </c>
      <c r="G463" s="9" t="s">
        <v>582</v>
      </c>
      <c r="H463" s="9" t="s">
        <v>583</v>
      </c>
      <c r="I463" s="9" t="s">
        <v>560</v>
      </c>
      <c r="J463" s="11" t="s">
        <v>238</v>
      </c>
      <c r="K463" s="47" t="n">
        <f aca="false">Controls!B26</f>
        <v>0</v>
      </c>
      <c r="L463" s="47" t="str">
        <f aca="false">IF(K463=1,"PASS","OPEN")</f>
        <v>OPEN</v>
      </c>
    </row>
    <row r="464" customFormat="false" ht="15" hidden="false" customHeight="false" outlineLevel="0" collapsed="false">
      <c r="A464" s="19" t="str">
        <f aca="false">"DEC-"&amp;B464&amp;"-G3"</f>
        <v>DEC-INT-LF-REC-G3</v>
      </c>
      <c r="B464" s="19" t="str">
        <f aca="false">'Lot Register'!A72</f>
        <v>INT-LF-REC</v>
      </c>
      <c r="C464" s="19" t="str">
        <f aca="false">'Lot Register'!B72</f>
        <v>Station integration</v>
      </c>
      <c r="D464" s="19" t="str">
        <f aca="false">'Lot Register'!D72</f>
        <v>MS-LF</v>
      </c>
      <c r="E464" s="19" t="str">
        <f aca="false">'Lot Register'!G72</f>
        <v>ST-LF-REC</v>
      </c>
      <c r="F464" s="9" t="s">
        <v>584</v>
      </c>
      <c r="G464" s="9" t="s">
        <v>585</v>
      </c>
      <c r="H464" s="9" t="s">
        <v>586</v>
      </c>
      <c r="I464" s="9" t="s">
        <v>565</v>
      </c>
      <c r="J464" s="11" t="s">
        <v>238</v>
      </c>
      <c r="K464" s="47" t="n">
        <f aca="false">Controls!B26</f>
        <v>0</v>
      </c>
      <c r="L464" s="47" t="str">
        <f aca="false">IF(K464=1,"PASS","OPEN")</f>
        <v>OPEN</v>
      </c>
    </row>
    <row r="465" customFormat="false" ht="15" hidden="false" customHeight="false" outlineLevel="0" collapsed="false">
      <c r="A465" s="19" t="str">
        <f aca="false">"DEC-"&amp;B465&amp;"-G4"</f>
        <v>DEC-INT-LF-REC-G4</v>
      </c>
      <c r="B465" s="19" t="str">
        <f aca="false">'Lot Register'!A72</f>
        <v>INT-LF-REC</v>
      </c>
      <c r="C465" s="19" t="str">
        <f aca="false">'Lot Register'!B72</f>
        <v>Station integration</v>
      </c>
      <c r="D465" s="19" t="str">
        <f aca="false">'Lot Register'!D72</f>
        <v>MS-LF</v>
      </c>
      <c r="E465" s="19" t="str">
        <f aca="false">'Lot Register'!G72</f>
        <v>ST-LF-REC</v>
      </c>
      <c r="F465" s="9" t="s">
        <v>587</v>
      </c>
      <c r="G465" s="9" t="s">
        <v>588</v>
      </c>
      <c r="H465" s="9" t="s">
        <v>589</v>
      </c>
      <c r="I465" s="9" t="s">
        <v>562</v>
      </c>
      <c r="J465" s="11" t="s">
        <v>238</v>
      </c>
      <c r="K465" s="47" t="n">
        <f aca="false">Controls!B26</f>
        <v>0</v>
      </c>
      <c r="L465" s="47" t="str">
        <f aca="false">IF(K465=1,"PASS","OPEN")</f>
        <v>OPEN</v>
      </c>
    </row>
    <row r="466" customFormat="false" ht="15" hidden="false" customHeight="false" outlineLevel="0" collapsed="false">
      <c r="A466" s="19" t="str">
        <f aca="false">"DEC-"&amp;B466&amp;"-G5"</f>
        <v>DEC-INT-LF-REC-G5</v>
      </c>
      <c r="B466" s="19" t="str">
        <f aca="false">'Lot Register'!A72</f>
        <v>INT-LF-REC</v>
      </c>
      <c r="C466" s="19" t="str">
        <f aca="false">'Lot Register'!B72</f>
        <v>Station integration</v>
      </c>
      <c r="D466" s="19" t="str">
        <f aca="false">'Lot Register'!D72</f>
        <v>MS-LF</v>
      </c>
      <c r="E466" s="19" t="str">
        <f aca="false">'Lot Register'!G72</f>
        <v>ST-LF-REC</v>
      </c>
      <c r="F466" s="9" t="s">
        <v>590</v>
      </c>
      <c r="G466" s="9" t="s">
        <v>591</v>
      </c>
      <c r="H466" s="9" t="s">
        <v>592</v>
      </c>
      <c r="I466" s="9" t="s">
        <v>565</v>
      </c>
      <c r="J466" s="11" t="s">
        <v>238</v>
      </c>
      <c r="K466" s="47" t="n">
        <f aca="false">Controls!B26</f>
        <v>0</v>
      </c>
      <c r="L466" s="47" t="str">
        <f aca="false">IF(K466=1,"PASS","OPEN")</f>
        <v>OPEN</v>
      </c>
    </row>
    <row r="467" customFormat="false" ht="15" hidden="false" customHeight="false" outlineLevel="0" collapsed="false">
      <c r="A467" s="19" t="str">
        <f aca="false">"DEC-"&amp;B467&amp;"-G6"</f>
        <v>DEC-INT-LF-REC-G6</v>
      </c>
      <c r="B467" s="19" t="str">
        <f aca="false">'Lot Register'!A72</f>
        <v>INT-LF-REC</v>
      </c>
      <c r="C467" s="19" t="str">
        <f aca="false">'Lot Register'!B72</f>
        <v>Station integration</v>
      </c>
      <c r="D467" s="19" t="str">
        <f aca="false">'Lot Register'!D72</f>
        <v>MS-LF</v>
      </c>
      <c r="E467" s="19" t="str">
        <f aca="false">'Lot Register'!G72</f>
        <v>ST-LF-REC</v>
      </c>
      <c r="F467" s="9" t="s">
        <v>593</v>
      </c>
      <c r="G467" s="9" t="s">
        <v>594</v>
      </c>
      <c r="H467" s="9" t="s">
        <v>595</v>
      </c>
      <c r="I467" s="9" t="s">
        <v>570</v>
      </c>
      <c r="J467" s="11" t="s">
        <v>238</v>
      </c>
      <c r="K467" s="47" t="n">
        <f aca="false">Controls!B26</f>
        <v>0</v>
      </c>
      <c r="L467" s="47" t="str">
        <f aca="false">IF(K467=1,"PASS","OPEN")</f>
        <v>OPEN</v>
      </c>
    </row>
    <row r="468" customFormat="false" ht="15" hidden="false" customHeight="false" outlineLevel="0" collapsed="false">
      <c r="A468" s="19" t="str">
        <f aca="false">"DEC-"&amp;B468&amp;"-G7"</f>
        <v>DEC-INT-LF-REC-G7</v>
      </c>
      <c r="B468" s="19" t="str">
        <f aca="false">'Lot Register'!A72</f>
        <v>INT-LF-REC</v>
      </c>
      <c r="C468" s="19" t="str">
        <f aca="false">'Lot Register'!B72</f>
        <v>Station integration</v>
      </c>
      <c r="D468" s="19" t="str">
        <f aca="false">'Lot Register'!D72</f>
        <v>MS-LF</v>
      </c>
      <c r="E468" s="19" t="str">
        <f aca="false">'Lot Register'!G72</f>
        <v>ST-LF-REC</v>
      </c>
      <c r="F468" s="9" t="s">
        <v>596</v>
      </c>
      <c r="G468" s="9" t="s">
        <v>597</v>
      </c>
      <c r="H468" s="9" t="s">
        <v>598</v>
      </c>
      <c r="I468" s="9" t="s">
        <v>570</v>
      </c>
      <c r="J468" s="11" t="s">
        <v>238</v>
      </c>
      <c r="K468" s="47" t="n">
        <f aca="false">Controls!B26</f>
        <v>0</v>
      </c>
      <c r="L468" s="47" t="str">
        <f aca="false">IF(K468=1,"PASS","OPEN")</f>
        <v>OPEN</v>
      </c>
    </row>
    <row r="469" customFormat="false" ht="15" hidden="false" customHeight="false" outlineLevel="0" collapsed="false">
      <c r="A469" s="19" t="str">
        <f aca="false">"DEC-"&amp;B469&amp;"-G1"</f>
        <v>DEC-RIG-HU-CHA-G1</v>
      </c>
      <c r="B469" s="19" t="str">
        <f aca="false">'Lot Register'!A73</f>
        <v>RIG-HU-CHA</v>
      </c>
      <c r="C469" s="19" t="str">
        <f aca="false">'Lot Register'!B73</f>
        <v>Root-native rig</v>
      </c>
      <c r="D469" s="19" t="str">
        <f aca="false">'Lot Register'!D73</f>
        <v>MS-HU</v>
      </c>
      <c r="E469" s="19" t="str">
        <f aca="false">'Lot Register'!G73</f>
        <v>ST-HU-CHA</v>
      </c>
      <c r="F469" s="9" t="s">
        <v>578</v>
      </c>
      <c r="G469" s="9" t="s">
        <v>579</v>
      </c>
      <c r="H469" s="9" t="s">
        <v>580</v>
      </c>
      <c r="I469" s="9" t="s">
        <v>562</v>
      </c>
      <c r="J469" s="11" t="s">
        <v>238</v>
      </c>
      <c r="K469" s="47" t="n">
        <f aca="false">Controls!B26</f>
        <v>0</v>
      </c>
      <c r="L469" s="47" t="str">
        <f aca="false">IF(K469=1,"PASS","OPEN")</f>
        <v>OPEN</v>
      </c>
    </row>
    <row r="470" customFormat="false" ht="15" hidden="false" customHeight="false" outlineLevel="0" collapsed="false">
      <c r="A470" s="19" t="str">
        <f aca="false">"DEC-"&amp;B470&amp;"-G2"</f>
        <v>DEC-RIG-HU-CHA-G2</v>
      </c>
      <c r="B470" s="19" t="str">
        <f aca="false">'Lot Register'!A73</f>
        <v>RIG-HU-CHA</v>
      </c>
      <c r="C470" s="19" t="str">
        <f aca="false">'Lot Register'!B73</f>
        <v>Root-native rig</v>
      </c>
      <c r="D470" s="19" t="str">
        <f aca="false">'Lot Register'!D73</f>
        <v>MS-HU</v>
      </c>
      <c r="E470" s="19" t="str">
        <f aca="false">'Lot Register'!G73</f>
        <v>ST-HU-CHA</v>
      </c>
      <c r="F470" s="9" t="s">
        <v>581</v>
      </c>
      <c r="G470" s="9" t="s">
        <v>582</v>
      </c>
      <c r="H470" s="9" t="s">
        <v>583</v>
      </c>
      <c r="I470" s="9" t="s">
        <v>560</v>
      </c>
      <c r="J470" s="11" t="s">
        <v>238</v>
      </c>
      <c r="K470" s="47" t="n">
        <f aca="false">Controls!B26</f>
        <v>0</v>
      </c>
      <c r="L470" s="47" t="str">
        <f aca="false">IF(K470=1,"PASS","OPEN")</f>
        <v>OPEN</v>
      </c>
    </row>
    <row r="471" customFormat="false" ht="15" hidden="false" customHeight="false" outlineLevel="0" collapsed="false">
      <c r="A471" s="19" t="str">
        <f aca="false">"DEC-"&amp;B471&amp;"-G3"</f>
        <v>DEC-RIG-HU-CHA-G3</v>
      </c>
      <c r="B471" s="19" t="str">
        <f aca="false">'Lot Register'!A73</f>
        <v>RIG-HU-CHA</v>
      </c>
      <c r="C471" s="19" t="str">
        <f aca="false">'Lot Register'!B73</f>
        <v>Root-native rig</v>
      </c>
      <c r="D471" s="19" t="str">
        <f aca="false">'Lot Register'!D73</f>
        <v>MS-HU</v>
      </c>
      <c r="E471" s="19" t="str">
        <f aca="false">'Lot Register'!G73</f>
        <v>ST-HU-CHA</v>
      </c>
      <c r="F471" s="9" t="s">
        <v>584</v>
      </c>
      <c r="G471" s="9" t="s">
        <v>585</v>
      </c>
      <c r="H471" s="9" t="s">
        <v>586</v>
      </c>
      <c r="I471" s="9" t="s">
        <v>565</v>
      </c>
      <c r="J471" s="11" t="s">
        <v>238</v>
      </c>
      <c r="K471" s="47" t="n">
        <f aca="false">Controls!B26</f>
        <v>0</v>
      </c>
      <c r="L471" s="47" t="str">
        <f aca="false">IF(K471=1,"PASS","OPEN")</f>
        <v>OPEN</v>
      </c>
    </row>
    <row r="472" customFormat="false" ht="15" hidden="false" customHeight="false" outlineLevel="0" collapsed="false">
      <c r="A472" s="19" t="str">
        <f aca="false">"DEC-"&amp;B472&amp;"-G4"</f>
        <v>DEC-RIG-HU-CHA-G4</v>
      </c>
      <c r="B472" s="19" t="str">
        <f aca="false">'Lot Register'!A73</f>
        <v>RIG-HU-CHA</v>
      </c>
      <c r="C472" s="19" t="str">
        <f aca="false">'Lot Register'!B73</f>
        <v>Root-native rig</v>
      </c>
      <c r="D472" s="19" t="str">
        <f aca="false">'Lot Register'!D73</f>
        <v>MS-HU</v>
      </c>
      <c r="E472" s="19" t="str">
        <f aca="false">'Lot Register'!G73</f>
        <v>ST-HU-CHA</v>
      </c>
      <c r="F472" s="9" t="s">
        <v>587</v>
      </c>
      <c r="G472" s="9" t="s">
        <v>588</v>
      </c>
      <c r="H472" s="9" t="s">
        <v>589</v>
      </c>
      <c r="I472" s="9" t="s">
        <v>562</v>
      </c>
      <c r="J472" s="11" t="s">
        <v>238</v>
      </c>
      <c r="K472" s="47" t="n">
        <f aca="false">Controls!B26</f>
        <v>0</v>
      </c>
      <c r="L472" s="47" t="str">
        <f aca="false">IF(K472=1,"PASS","OPEN")</f>
        <v>OPEN</v>
      </c>
    </row>
    <row r="473" customFormat="false" ht="15" hidden="false" customHeight="false" outlineLevel="0" collapsed="false">
      <c r="A473" s="19" t="str">
        <f aca="false">"DEC-"&amp;B473&amp;"-G5"</f>
        <v>DEC-RIG-HU-CHA-G5</v>
      </c>
      <c r="B473" s="19" t="str">
        <f aca="false">'Lot Register'!A73</f>
        <v>RIG-HU-CHA</v>
      </c>
      <c r="C473" s="19" t="str">
        <f aca="false">'Lot Register'!B73</f>
        <v>Root-native rig</v>
      </c>
      <c r="D473" s="19" t="str">
        <f aca="false">'Lot Register'!D73</f>
        <v>MS-HU</v>
      </c>
      <c r="E473" s="19" t="str">
        <f aca="false">'Lot Register'!G73</f>
        <v>ST-HU-CHA</v>
      </c>
      <c r="F473" s="9" t="s">
        <v>590</v>
      </c>
      <c r="G473" s="9" t="s">
        <v>591</v>
      </c>
      <c r="H473" s="9" t="s">
        <v>592</v>
      </c>
      <c r="I473" s="9" t="s">
        <v>565</v>
      </c>
      <c r="J473" s="11" t="s">
        <v>238</v>
      </c>
      <c r="K473" s="47" t="n">
        <f aca="false">Controls!B26</f>
        <v>0</v>
      </c>
      <c r="L473" s="47" t="str">
        <f aca="false">IF(K473=1,"PASS","OPEN")</f>
        <v>OPEN</v>
      </c>
    </row>
    <row r="474" customFormat="false" ht="15" hidden="false" customHeight="false" outlineLevel="0" collapsed="false">
      <c r="A474" s="19" t="str">
        <f aca="false">"DEC-"&amp;B474&amp;"-G6"</f>
        <v>DEC-RIG-HU-CHA-G6</v>
      </c>
      <c r="B474" s="19" t="str">
        <f aca="false">'Lot Register'!A73</f>
        <v>RIG-HU-CHA</v>
      </c>
      <c r="C474" s="19" t="str">
        <f aca="false">'Lot Register'!B73</f>
        <v>Root-native rig</v>
      </c>
      <c r="D474" s="19" t="str">
        <f aca="false">'Lot Register'!D73</f>
        <v>MS-HU</v>
      </c>
      <c r="E474" s="19" t="str">
        <f aca="false">'Lot Register'!G73</f>
        <v>ST-HU-CHA</v>
      </c>
      <c r="F474" s="9" t="s">
        <v>593</v>
      </c>
      <c r="G474" s="9" t="s">
        <v>594</v>
      </c>
      <c r="H474" s="9" t="s">
        <v>595</v>
      </c>
      <c r="I474" s="9" t="s">
        <v>570</v>
      </c>
      <c r="J474" s="11" t="s">
        <v>238</v>
      </c>
      <c r="K474" s="47" t="n">
        <f aca="false">Controls!B26</f>
        <v>0</v>
      </c>
      <c r="L474" s="47" t="str">
        <f aca="false">IF(K474=1,"PASS","OPEN")</f>
        <v>OPEN</v>
      </c>
    </row>
    <row r="475" customFormat="false" ht="15" hidden="false" customHeight="false" outlineLevel="0" collapsed="false">
      <c r="A475" s="19" t="str">
        <f aca="false">"DEC-"&amp;B475&amp;"-G7"</f>
        <v>DEC-RIG-HU-CHA-G7</v>
      </c>
      <c r="B475" s="19" t="str">
        <f aca="false">'Lot Register'!A73</f>
        <v>RIG-HU-CHA</v>
      </c>
      <c r="C475" s="19" t="str">
        <f aca="false">'Lot Register'!B73</f>
        <v>Root-native rig</v>
      </c>
      <c r="D475" s="19" t="str">
        <f aca="false">'Lot Register'!D73</f>
        <v>MS-HU</v>
      </c>
      <c r="E475" s="19" t="str">
        <f aca="false">'Lot Register'!G73</f>
        <v>ST-HU-CHA</v>
      </c>
      <c r="F475" s="9" t="s">
        <v>596</v>
      </c>
      <c r="G475" s="9" t="s">
        <v>597</v>
      </c>
      <c r="H475" s="9" t="s">
        <v>598</v>
      </c>
      <c r="I475" s="9" t="s">
        <v>570</v>
      </c>
      <c r="J475" s="11" t="s">
        <v>238</v>
      </c>
      <c r="K475" s="47" t="n">
        <f aca="false">Controls!B26</f>
        <v>0</v>
      </c>
      <c r="L475" s="47" t="str">
        <f aca="false">IF(K475=1,"PASS","OPEN")</f>
        <v>OPEN</v>
      </c>
    </row>
    <row r="476" customFormat="false" ht="15" hidden="false" customHeight="false" outlineLevel="0" collapsed="false">
      <c r="A476" s="19" t="str">
        <f aca="false">"DEC-"&amp;B476&amp;"-G1"</f>
        <v>DEC-MTH-HU-CHA-L1-G1</v>
      </c>
      <c r="B476" s="19" t="str">
        <f aca="false">'Lot Register'!A74</f>
        <v>MTH-HU-CHA-L1</v>
      </c>
      <c r="C476" s="19" t="str">
        <f aca="false">'Lot Register'!B74</f>
        <v>Method lineage</v>
      </c>
      <c r="D476" s="19" t="str">
        <f aca="false">'Lot Register'!D74</f>
        <v>MS-HU</v>
      </c>
      <c r="E476" s="19" t="str">
        <f aca="false">'Lot Register'!G74</f>
        <v>ST-HU-CHA</v>
      </c>
      <c r="F476" s="9" t="s">
        <v>578</v>
      </c>
      <c r="G476" s="9" t="s">
        <v>579</v>
      </c>
      <c r="H476" s="9" t="s">
        <v>580</v>
      </c>
      <c r="I476" s="9" t="s">
        <v>562</v>
      </c>
      <c r="J476" s="11" t="s">
        <v>238</v>
      </c>
      <c r="K476" s="47" t="n">
        <f aca="false">Controls!B26</f>
        <v>0</v>
      </c>
      <c r="L476" s="47" t="str">
        <f aca="false">IF(K476=1,"PASS","OPEN")</f>
        <v>OPEN</v>
      </c>
    </row>
    <row r="477" customFormat="false" ht="15" hidden="false" customHeight="false" outlineLevel="0" collapsed="false">
      <c r="A477" s="19" t="str">
        <f aca="false">"DEC-"&amp;B477&amp;"-G2"</f>
        <v>DEC-MTH-HU-CHA-L1-G2</v>
      </c>
      <c r="B477" s="19" t="str">
        <f aca="false">'Lot Register'!A74</f>
        <v>MTH-HU-CHA-L1</v>
      </c>
      <c r="C477" s="19" t="str">
        <f aca="false">'Lot Register'!B74</f>
        <v>Method lineage</v>
      </c>
      <c r="D477" s="19" t="str">
        <f aca="false">'Lot Register'!D74</f>
        <v>MS-HU</v>
      </c>
      <c r="E477" s="19" t="str">
        <f aca="false">'Lot Register'!G74</f>
        <v>ST-HU-CHA</v>
      </c>
      <c r="F477" s="9" t="s">
        <v>581</v>
      </c>
      <c r="G477" s="9" t="s">
        <v>582</v>
      </c>
      <c r="H477" s="9" t="s">
        <v>583</v>
      </c>
      <c r="I477" s="9" t="s">
        <v>560</v>
      </c>
      <c r="J477" s="11" t="s">
        <v>238</v>
      </c>
      <c r="K477" s="47" t="n">
        <f aca="false">Controls!B26</f>
        <v>0</v>
      </c>
      <c r="L477" s="47" t="str">
        <f aca="false">IF(K477=1,"PASS","OPEN")</f>
        <v>OPEN</v>
      </c>
    </row>
    <row r="478" customFormat="false" ht="15" hidden="false" customHeight="false" outlineLevel="0" collapsed="false">
      <c r="A478" s="19" t="str">
        <f aca="false">"DEC-"&amp;B478&amp;"-G3"</f>
        <v>DEC-MTH-HU-CHA-L1-G3</v>
      </c>
      <c r="B478" s="19" t="str">
        <f aca="false">'Lot Register'!A74</f>
        <v>MTH-HU-CHA-L1</v>
      </c>
      <c r="C478" s="19" t="str">
        <f aca="false">'Lot Register'!B74</f>
        <v>Method lineage</v>
      </c>
      <c r="D478" s="19" t="str">
        <f aca="false">'Lot Register'!D74</f>
        <v>MS-HU</v>
      </c>
      <c r="E478" s="19" t="str">
        <f aca="false">'Lot Register'!G74</f>
        <v>ST-HU-CHA</v>
      </c>
      <c r="F478" s="9" t="s">
        <v>584</v>
      </c>
      <c r="G478" s="9" t="s">
        <v>585</v>
      </c>
      <c r="H478" s="9" t="s">
        <v>586</v>
      </c>
      <c r="I478" s="9" t="s">
        <v>565</v>
      </c>
      <c r="J478" s="11" t="s">
        <v>238</v>
      </c>
      <c r="K478" s="47" t="n">
        <f aca="false">Controls!B26</f>
        <v>0</v>
      </c>
      <c r="L478" s="47" t="str">
        <f aca="false">IF(K478=1,"PASS","OPEN")</f>
        <v>OPEN</v>
      </c>
    </row>
    <row r="479" customFormat="false" ht="15" hidden="false" customHeight="false" outlineLevel="0" collapsed="false">
      <c r="A479" s="19" t="str">
        <f aca="false">"DEC-"&amp;B479&amp;"-G4"</f>
        <v>DEC-MTH-HU-CHA-L1-G4</v>
      </c>
      <c r="B479" s="19" t="str">
        <f aca="false">'Lot Register'!A74</f>
        <v>MTH-HU-CHA-L1</v>
      </c>
      <c r="C479" s="19" t="str">
        <f aca="false">'Lot Register'!B74</f>
        <v>Method lineage</v>
      </c>
      <c r="D479" s="19" t="str">
        <f aca="false">'Lot Register'!D74</f>
        <v>MS-HU</v>
      </c>
      <c r="E479" s="19" t="str">
        <f aca="false">'Lot Register'!G74</f>
        <v>ST-HU-CHA</v>
      </c>
      <c r="F479" s="9" t="s">
        <v>587</v>
      </c>
      <c r="G479" s="9" t="s">
        <v>588</v>
      </c>
      <c r="H479" s="9" t="s">
        <v>589</v>
      </c>
      <c r="I479" s="9" t="s">
        <v>562</v>
      </c>
      <c r="J479" s="11" t="s">
        <v>238</v>
      </c>
      <c r="K479" s="47" t="n">
        <f aca="false">Controls!B26</f>
        <v>0</v>
      </c>
      <c r="L479" s="47" t="str">
        <f aca="false">IF(K479=1,"PASS","OPEN")</f>
        <v>OPEN</v>
      </c>
    </row>
    <row r="480" customFormat="false" ht="15" hidden="false" customHeight="false" outlineLevel="0" collapsed="false">
      <c r="A480" s="19" t="str">
        <f aca="false">"DEC-"&amp;B480&amp;"-G5"</f>
        <v>DEC-MTH-HU-CHA-L1-G5</v>
      </c>
      <c r="B480" s="19" t="str">
        <f aca="false">'Lot Register'!A74</f>
        <v>MTH-HU-CHA-L1</v>
      </c>
      <c r="C480" s="19" t="str">
        <f aca="false">'Lot Register'!B74</f>
        <v>Method lineage</v>
      </c>
      <c r="D480" s="19" t="str">
        <f aca="false">'Lot Register'!D74</f>
        <v>MS-HU</v>
      </c>
      <c r="E480" s="19" t="str">
        <f aca="false">'Lot Register'!G74</f>
        <v>ST-HU-CHA</v>
      </c>
      <c r="F480" s="9" t="s">
        <v>590</v>
      </c>
      <c r="G480" s="9" t="s">
        <v>591</v>
      </c>
      <c r="H480" s="9" t="s">
        <v>592</v>
      </c>
      <c r="I480" s="9" t="s">
        <v>565</v>
      </c>
      <c r="J480" s="11" t="s">
        <v>238</v>
      </c>
      <c r="K480" s="47" t="n">
        <f aca="false">Controls!B26</f>
        <v>0</v>
      </c>
      <c r="L480" s="47" t="str">
        <f aca="false">IF(K480=1,"PASS","OPEN")</f>
        <v>OPEN</v>
      </c>
    </row>
    <row r="481" customFormat="false" ht="15" hidden="false" customHeight="false" outlineLevel="0" collapsed="false">
      <c r="A481" s="19" t="str">
        <f aca="false">"DEC-"&amp;B481&amp;"-G6"</f>
        <v>DEC-MTH-HU-CHA-L1-G6</v>
      </c>
      <c r="B481" s="19" t="str">
        <f aca="false">'Lot Register'!A74</f>
        <v>MTH-HU-CHA-L1</v>
      </c>
      <c r="C481" s="19" t="str">
        <f aca="false">'Lot Register'!B74</f>
        <v>Method lineage</v>
      </c>
      <c r="D481" s="19" t="str">
        <f aca="false">'Lot Register'!D74</f>
        <v>MS-HU</v>
      </c>
      <c r="E481" s="19" t="str">
        <f aca="false">'Lot Register'!G74</f>
        <v>ST-HU-CHA</v>
      </c>
      <c r="F481" s="9" t="s">
        <v>593</v>
      </c>
      <c r="G481" s="9" t="s">
        <v>594</v>
      </c>
      <c r="H481" s="9" t="s">
        <v>595</v>
      </c>
      <c r="I481" s="9" t="s">
        <v>570</v>
      </c>
      <c r="J481" s="11" t="s">
        <v>238</v>
      </c>
      <c r="K481" s="47" t="n">
        <f aca="false">Controls!B26</f>
        <v>0</v>
      </c>
      <c r="L481" s="47" t="str">
        <f aca="false">IF(K481=1,"PASS","OPEN")</f>
        <v>OPEN</v>
      </c>
    </row>
    <row r="482" customFormat="false" ht="15" hidden="false" customHeight="false" outlineLevel="0" collapsed="false">
      <c r="A482" s="19" t="str">
        <f aca="false">"DEC-"&amp;B482&amp;"-G7"</f>
        <v>DEC-MTH-HU-CHA-L1-G7</v>
      </c>
      <c r="B482" s="19" t="str">
        <f aca="false">'Lot Register'!A74</f>
        <v>MTH-HU-CHA-L1</v>
      </c>
      <c r="C482" s="19" t="str">
        <f aca="false">'Lot Register'!B74</f>
        <v>Method lineage</v>
      </c>
      <c r="D482" s="19" t="str">
        <f aca="false">'Lot Register'!D74</f>
        <v>MS-HU</v>
      </c>
      <c r="E482" s="19" t="str">
        <f aca="false">'Lot Register'!G74</f>
        <v>ST-HU-CHA</v>
      </c>
      <c r="F482" s="9" t="s">
        <v>596</v>
      </c>
      <c r="G482" s="9" t="s">
        <v>597</v>
      </c>
      <c r="H482" s="9" t="s">
        <v>598</v>
      </c>
      <c r="I482" s="9" t="s">
        <v>570</v>
      </c>
      <c r="J482" s="11" t="s">
        <v>238</v>
      </c>
      <c r="K482" s="47" t="n">
        <f aca="false">Controls!B26</f>
        <v>0</v>
      </c>
      <c r="L482" s="47" t="str">
        <f aca="false">IF(K482=1,"PASS","OPEN")</f>
        <v>OPEN</v>
      </c>
    </row>
    <row r="483" customFormat="false" ht="15" hidden="false" customHeight="false" outlineLevel="0" collapsed="false">
      <c r="A483" s="19" t="str">
        <f aca="false">"DEC-"&amp;B483&amp;"-G1"</f>
        <v>DEC-MTH-HU-CHA-L2-G1</v>
      </c>
      <c r="B483" s="19" t="str">
        <f aca="false">'Lot Register'!A75</f>
        <v>MTH-HU-CHA-L2</v>
      </c>
      <c r="C483" s="19" t="str">
        <f aca="false">'Lot Register'!B75</f>
        <v>Method lineage</v>
      </c>
      <c r="D483" s="19" t="str">
        <f aca="false">'Lot Register'!D75</f>
        <v>MS-HU</v>
      </c>
      <c r="E483" s="19" t="str">
        <f aca="false">'Lot Register'!G75</f>
        <v>ST-HU-CHA</v>
      </c>
      <c r="F483" s="9" t="s">
        <v>578</v>
      </c>
      <c r="G483" s="9" t="s">
        <v>579</v>
      </c>
      <c r="H483" s="9" t="s">
        <v>580</v>
      </c>
      <c r="I483" s="9" t="s">
        <v>562</v>
      </c>
      <c r="J483" s="11" t="s">
        <v>238</v>
      </c>
      <c r="K483" s="47" t="n">
        <f aca="false">Controls!B26</f>
        <v>0</v>
      </c>
      <c r="L483" s="47" t="str">
        <f aca="false">IF(K483=1,"PASS","OPEN")</f>
        <v>OPEN</v>
      </c>
    </row>
    <row r="484" customFormat="false" ht="15" hidden="false" customHeight="false" outlineLevel="0" collapsed="false">
      <c r="A484" s="19" t="str">
        <f aca="false">"DEC-"&amp;B484&amp;"-G2"</f>
        <v>DEC-MTH-HU-CHA-L2-G2</v>
      </c>
      <c r="B484" s="19" t="str">
        <f aca="false">'Lot Register'!A75</f>
        <v>MTH-HU-CHA-L2</v>
      </c>
      <c r="C484" s="19" t="str">
        <f aca="false">'Lot Register'!B75</f>
        <v>Method lineage</v>
      </c>
      <c r="D484" s="19" t="str">
        <f aca="false">'Lot Register'!D75</f>
        <v>MS-HU</v>
      </c>
      <c r="E484" s="19" t="str">
        <f aca="false">'Lot Register'!G75</f>
        <v>ST-HU-CHA</v>
      </c>
      <c r="F484" s="9" t="s">
        <v>581</v>
      </c>
      <c r="G484" s="9" t="s">
        <v>582</v>
      </c>
      <c r="H484" s="9" t="s">
        <v>583</v>
      </c>
      <c r="I484" s="9" t="s">
        <v>560</v>
      </c>
      <c r="J484" s="11" t="s">
        <v>238</v>
      </c>
      <c r="K484" s="47" t="n">
        <f aca="false">Controls!B26</f>
        <v>0</v>
      </c>
      <c r="L484" s="47" t="str">
        <f aca="false">IF(K484=1,"PASS","OPEN")</f>
        <v>OPEN</v>
      </c>
    </row>
    <row r="485" customFormat="false" ht="15" hidden="false" customHeight="false" outlineLevel="0" collapsed="false">
      <c r="A485" s="19" t="str">
        <f aca="false">"DEC-"&amp;B485&amp;"-G3"</f>
        <v>DEC-MTH-HU-CHA-L2-G3</v>
      </c>
      <c r="B485" s="19" t="str">
        <f aca="false">'Lot Register'!A75</f>
        <v>MTH-HU-CHA-L2</v>
      </c>
      <c r="C485" s="19" t="str">
        <f aca="false">'Lot Register'!B75</f>
        <v>Method lineage</v>
      </c>
      <c r="D485" s="19" t="str">
        <f aca="false">'Lot Register'!D75</f>
        <v>MS-HU</v>
      </c>
      <c r="E485" s="19" t="str">
        <f aca="false">'Lot Register'!G75</f>
        <v>ST-HU-CHA</v>
      </c>
      <c r="F485" s="9" t="s">
        <v>584</v>
      </c>
      <c r="G485" s="9" t="s">
        <v>585</v>
      </c>
      <c r="H485" s="9" t="s">
        <v>586</v>
      </c>
      <c r="I485" s="9" t="s">
        <v>565</v>
      </c>
      <c r="J485" s="11" t="s">
        <v>238</v>
      </c>
      <c r="K485" s="47" t="n">
        <f aca="false">Controls!B26</f>
        <v>0</v>
      </c>
      <c r="L485" s="47" t="str">
        <f aca="false">IF(K485=1,"PASS","OPEN")</f>
        <v>OPEN</v>
      </c>
    </row>
    <row r="486" customFormat="false" ht="15" hidden="false" customHeight="false" outlineLevel="0" collapsed="false">
      <c r="A486" s="19" t="str">
        <f aca="false">"DEC-"&amp;B486&amp;"-G4"</f>
        <v>DEC-MTH-HU-CHA-L2-G4</v>
      </c>
      <c r="B486" s="19" t="str">
        <f aca="false">'Lot Register'!A75</f>
        <v>MTH-HU-CHA-L2</v>
      </c>
      <c r="C486" s="19" t="str">
        <f aca="false">'Lot Register'!B75</f>
        <v>Method lineage</v>
      </c>
      <c r="D486" s="19" t="str">
        <f aca="false">'Lot Register'!D75</f>
        <v>MS-HU</v>
      </c>
      <c r="E486" s="19" t="str">
        <f aca="false">'Lot Register'!G75</f>
        <v>ST-HU-CHA</v>
      </c>
      <c r="F486" s="9" t="s">
        <v>587</v>
      </c>
      <c r="G486" s="9" t="s">
        <v>588</v>
      </c>
      <c r="H486" s="9" t="s">
        <v>589</v>
      </c>
      <c r="I486" s="9" t="s">
        <v>562</v>
      </c>
      <c r="J486" s="11" t="s">
        <v>238</v>
      </c>
      <c r="K486" s="47" t="n">
        <f aca="false">Controls!B26</f>
        <v>0</v>
      </c>
      <c r="L486" s="47" t="str">
        <f aca="false">IF(K486=1,"PASS","OPEN")</f>
        <v>OPEN</v>
      </c>
    </row>
    <row r="487" customFormat="false" ht="15" hidden="false" customHeight="false" outlineLevel="0" collapsed="false">
      <c r="A487" s="19" t="str">
        <f aca="false">"DEC-"&amp;B487&amp;"-G5"</f>
        <v>DEC-MTH-HU-CHA-L2-G5</v>
      </c>
      <c r="B487" s="19" t="str">
        <f aca="false">'Lot Register'!A75</f>
        <v>MTH-HU-CHA-L2</v>
      </c>
      <c r="C487" s="19" t="str">
        <f aca="false">'Lot Register'!B75</f>
        <v>Method lineage</v>
      </c>
      <c r="D487" s="19" t="str">
        <f aca="false">'Lot Register'!D75</f>
        <v>MS-HU</v>
      </c>
      <c r="E487" s="19" t="str">
        <f aca="false">'Lot Register'!G75</f>
        <v>ST-HU-CHA</v>
      </c>
      <c r="F487" s="9" t="s">
        <v>590</v>
      </c>
      <c r="G487" s="9" t="s">
        <v>591</v>
      </c>
      <c r="H487" s="9" t="s">
        <v>592</v>
      </c>
      <c r="I487" s="9" t="s">
        <v>565</v>
      </c>
      <c r="J487" s="11" t="s">
        <v>238</v>
      </c>
      <c r="K487" s="47" t="n">
        <f aca="false">Controls!B26</f>
        <v>0</v>
      </c>
      <c r="L487" s="47" t="str">
        <f aca="false">IF(K487=1,"PASS","OPEN")</f>
        <v>OPEN</v>
      </c>
    </row>
    <row r="488" customFormat="false" ht="15" hidden="false" customHeight="false" outlineLevel="0" collapsed="false">
      <c r="A488" s="19" t="str">
        <f aca="false">"DEC-"&amp;B488&amp;"-G6"</f>
        <v>DEC-MTH-HU-CHA-L2-G6</v>
      </c>
      <c r="B488" s="19" t="str">
        <f aca="false">'Lot Register'!A75</f>
        <v>MTH-HU-CHA-L2</v>
      </c>
      <c r="C488" s="19" t="str">
        <f aca="false">'Lot Register'!B75</f>
        <v>Method lineage</v>
      </c>
      <c r="D488" s="19" t="str">
        <f aca="false">'Lot Register'!D75</f>
        <v>MS-HU</v>
      </c>
      <c r="E488" s="19" t="str">
        <f aca="false">'Lot Register'!G75</f>
        <v>ST-HU-CHA</v>
      </c>
      <c r="F488" s="9" t="s">
        <v>593</v>
      </c>
      <c r="G488" s="9" t="s">
        <v>594</v>
      </c>
      <c r="H488" s="9" t="s">
        <v>595</v>
      </c>
      <c r="I488" s="9" t="s">
        <v>570</v>
      </c>
      <c r="J488" s="11" t="s">
        <v>238</v>
      </c>
      <c r="K488" s="47" t="n">
        <f aca="false">Controls!B26</f>
        <v>0</v>
      </c>
      <c r="L488" s="47" t="str">
        <f aca="false">IF(K488=1,"PASS","OPEN")</f>
        <v>OPEN</v>
      </c>
    </row>
    <row r="489" customFormat="false" ht="15" hidden="false" customHeight="false" outlineLevel="0" collapsed="false">
      <c r="A489" s="19" t="str">
        <f aca="false">"DEC-"&amp;B489&amp;"-G7"</f>
        <v>DEC-MTH-HU-CHA-L2-G7</v>
      </c>
      <c r="B489" s="19" t="str">
        <f aca="false">'Lot Register'!A75</f>
        <v>MTH-HU-CHA-L2</v>
      </c>
      <c r="C489" s="19" t="str">
        <f aca="false">'Lot Register'!B75</f>
        <v>Method lineage</v>
      </c>
      <c r="D489" s="19" t="str">
        <f aca="false">'Lot Register'!D75</f>
        <v>MS-HU</v>
      </c>
      <c r="E489" s="19" t="str">
        <f aca="false">'Lot Register'!G75</f>
        <v>ST-HU-CHA</v>
      </c>
      <c r="F489" s="9" t="s">
        <v>596</v>
      </c>
      <c r="G489" s="9" t="s">
        <v>597</v>
      </c>
      <c r="H489" s="9" t="s">
        <v>598</v>
      </c>
      <c r="I489" s="9" t="s">
        <v>570</v>
      </c>
      <c r="J489" s="11" t="s">
        <v>238</v>
      </c>
      <c r="K489" s="47" t="n">
        <f aca="false">Controls!B26</f>
        <v>0</v>
      </c>
      <c r="L489" s="47" t="str">
        <f aca="false">IF(K489=1,"PASS","OPEN")</f>
        <v>OPEN</v>
      </c>
    </row>
    <row r="490" customFormat="false" ht="15" hidden="false" customHeight="false" outlineLevel="0" collapsed="false">
      <c r="A490" s="19" t="str">
        <f aca="false">"DEC-"&amp;B490&amp;"-G1"</f>
        <v>DEC-REG-HU-CHA-G1</v>
      </c>
      <c r="B490" s="19" t="str">
        <f aca="false">'Lot Register'!A76</f>
        <v>REG-HU-CHA</v>
      </c>
      <c r="C490" s="19" t="str">
        <f aca="false">'Lot Register'!B76</f>
        <v>Regeneration tool</v>
      </c>
      <c r="D490" s="19" t="str">
        <f aca="false">'Lot Register'!D76</f>
        <v>MS-HU</v>
      </c>
      <c r="E490" s="19" t="str">
        <f aca="false">'Lot Register'!G76</f>
        <v>ST-HU-CHA</v>
      </c>
      <c r="F490" s="9" t="s">
        <v>578</v>
      </c>
      <c r="G490" s="9" t="s">
        <v>579</v>
      </c>
      <c r="H490" s="9" t="s">
        <v>580</v>
      </c>
      <c r="I490" s="9" t="s">
        <v>562</v>
      </c>
      <c r="J490" s="11" t="s">
        <v>238</v>
      </c>
      <c r="K490" s="47" t="n">
        <f aca="false">Controls!B26</f>
        <v>0</v>
      </c>
      <c r="L490" s="47" t="str">
        <f aca="false">IF(K490=1,"PASS","OPEN")</f>
        <v>OPEN</v>
      </c>
    </row>
    <row r="491" customFormat="false" ht="15" hidden="false" customHeight="false" outlineLevel="0" collapsed="false">
      <c r="A491" s="19" t="str">
        <f aca="false">"DEC-"&amp;B491&amp;"-G2"</f>
        <v>DEC-REG-HU-CHA-G2</v>
      </c>
      <c r="B491" s="19" t="str">
        <f aca="false">'Lot Register'!A76</f>
        <v>REG-HU-CHA</v>
      </c>
      <c r="C491" s="19" t="str">
        <f aca="false">'Lot Register'!B76</f>
        <v>Regeneration tool</v>
      </c>
      <c r="D491" s="19" t="str">
        <f aca="false">'Lot Register'!D76</f>
        <v>MS-HU</v>
      </c>
      <c r="E491" s="19" t="str">
        <f aca="false">'Lot Register'!G76</f>
        <v>ST-HU-CHA</v>
      </c>
      <c r="F491" s="9" t="s">
        <v>581</v>
      </c>
      <c r="G491" s="9" t="s">
        <v>582</v>
      </c>
      <c r="H491" s="9" t="s">
        <v>583</v>
      </c>
      <c r="I491" s="9" t="s">
        <v>560</v>
      </c>
      <c r="J491" s="11" t="s">
        <v>238</v>
      </c>
      <c r="K491" s="47" t="n">
        <f aca="false">Controls!B26</f>
        <v>0</v>
      </c>
      <c r="L491" s="47" t="str">
        <f aca="false">IF(K491=1,"PASS","OPEN")</f>
        <v>OPEN</v>
      </c>
    </row>
    <row r="492" customFormat="false" ht="15" hidden="false" customHeight="false" outlineLevel="0" collapsed="false">
      <c r="A492" s="19" t="str">
        <f aca="false">"DEC-"&amp;B492&amp;"-G3"</f>
        <v>DEC-REG-HU-CHA-G3</v>
      </c>
      <c r="B492" s="19" t="str">
        <f aca="false">'Lot Register'!A76</f>
        <v>REG-HU-CHA</v>
      </c>
      <c r="C492" s="19" t="str">
        <f aca="false">'Lot Register'!B76</f>
        <v>Regeneration tool</v>
      </c>
      <c r="D492" s="19" t="str">
        <f aca="false">'Lot Register'!D76</f>
        <v>MS-HU</v>
      </c>
      <c r="E492" s="19" t="str">
        <f aca="false">'Lot Register'!G76</f>
        <v>ST-HU-CHA</v>
      </c>
      <c r="F492" s="9" t="s">
        <v>584</v>
      </c>
      <c r="G492" s="9" t="s">
        <v>585</v>
      </c>
      <c r="H492" s="9" t="s">
        <v>586</v>
      </c>
      <c r="I492" s="9" t="s">
        <v>565</v>
      </c>
      <c r="J492" s="11" t="s">
        <v>238</v>
      </c>
      <c r="K492" s="47" t="n">
        <f aca="false">Controls!B26</f>
        <v>0</v>
      </c>
      <c r="L492" s="47" t="str">
        <f aca="false">IF(K492=1,"PASS","OPEN")</f>
        <v>OPEN</v>
      </c>
    </row>
    <row r="493" customFormat="false" ht="15" hidden="false" customHeight="false" outlineLevel="0" collapsed="false">
      <c r="A493" s="19" t="str">
        <f aca="false">"DEC-"&amp;B493&amp;"-G4"</f>
        <v>DEC-REG-HU-CHA-G4</v>
      </c>
      <c r="B493" s="19" t="str">
        <f aca="false">'Lot Register'!A76</f>
        <v>REG-HU-CHA</v>
      </c>
      <c r="C493" s="19" t="str">
        <f aca="false">'Lot Register'!B76</f>
        <v>Regeneration tool</v>
      </c>
      <c r="D493" s="19" t="str">
        <f aca="false">'Lot Register'!D76</f>
        <v>MS-HU</v>
      </c>
      <c r="E493" s="19" t="str">
        <f aca="false">'Lot Register'!G76</f>
        <v>ST-HU-CHA</v>
      </c>
      <c r="F493" s="9" t="s">
        <v>587</v>
      </c>
      <c r="G493" s="9" t="s">
        <v>588</v>
      </c>
      <c r="H493" s="9" t="s">
        <v>589</v>
      </c>
      <c r="I493" s="9" t="s">
        <v>562</v>
      </c>
      <c r="J493" s="11" t="s">
        <v>238</v>
      </c>
      <c r="K493" s="47" t="n">
        <f aca="false">Controls!B26</f>
        <v>0</v>
      </c>
      <c r="L493" s="47" t="str">
        <f aca="false">IF(K493=1,"PASS","OPEN")</f>
        <v>OPEN</v>
      </c>
    </row>
    <row r="494" customFormat="false" ht="15" hidden="false" customHeight="false" outlineLevel="0" collapsed="false">
      <c r="A494" s="19" t="str">
        <f aca="false">"DEC-"&amp;B494&amp;"-G5"</f>
        <v>DEC-REG-HU-CHA-G5</v>
      </c>
      <c r="B494" s="19" t="str">
        <f aca="false">'Lot Register'!A76</f>
        <v>REG-HU-CHA</v>
      </c>
      <c r="C494" s="19" t="str">
        <f aca="false">'Lot Register'!B76</f>
        <v>Regeneration tool</v>
      </c>
      <c r="D494" s="19" t="str">
        <f aca="false">'Lot Register'!D76</f>
        <v>MS-HU</v>
      </c>
      <c r="E494" s="19" t="str">
        <f aca="false">'Lot Register'!G76</f>
        <v>ST-HU-CHA</v>
      </c>
      <c r="F494" s="9" t="s">
        <v>590</v>
      </c>
      <c r="G494" s="9" t="s">
        <v>591</v>
      </c>
      <c r="H494" s="9" t="s">
        <v>592</v>
      </c>
      <c r="I494" s="9" t="s">
        <v>565</v>
      </c>
      <c r="J494" s="11" t="s">
        <v>238</v>
      </c>
      <c r="K494" s="47" t="n">
        <f aca="false">Controls!B26</f>
        <v>0</v>
      </c>
      <c r="L494" s="47" t="str">
        <f aca="false">IF(K494=1,"PASS","OPEN")</f>
        <v>OPEN</v>
      </c>
    </row>
    <row r="495" customFormat="false" ht="15" hidden="false" customHeight="false" outlineLevel="0" collapsed="false">
      <c r="A495" s="19" t="str">
        <f aca="false">"DEC-"&amp;B495&amp;"-G6"</f>
        <v>DEC-REG-HU-CHA-G6</v>
      </c>
      <c r="B495" s="19" t="str">
        <f aca="false">'Lot Register'!A76</f>
        <v>REG-HU-CHA</v>
      </c>
      <c r="C495" s="19" t="str">
        <f aca="false">'Lot Register'!B76</f>
        <v>Regeneration tool</v>
      </c>
      <c r="D495" s="19" t="str">
        <f aca="false">'Lot Register'!D76</f>
        <v>MS-HU</v>
      </c>
      <c r="E495" s="19" t="str">
        <f aca="false">'Lot Register'!G76</f>
        <v>ST-HU-CHA</v>
      </c>
      <c r="F495" s="9" t="s">
        <v>593</v>
      </c>
      <c r="G495" s="9" t="s">
        <v>594</v>
      </c>
      <c r="H495" s="9" t="s">
        <v>595</v>
      </c>
      <c r="I495" s="9" t="s">
        <v>570</v>
      </c>
      <c r="J495" s="11" t="s">
        <v>238</v>
      </c>
      <c r="K495" s="47" t="n">
        <f aca="false">Controls!B26</f>
        <v>0</v>
      </c>
      <c r="L495" s="47" t="str">
        <f aca="false">IF(K495=1,"PASS","OPEN")</f>
        <v>OPEN</v>
      </c>
    </row>
    <row r="496" customFormat="false" ht="15" hidden="false" customHeight="false" outlineLevel="0" collapsed="false">
      <c r="A496" s="19" t="str">
        <f aca="false">"DEC-"&amp;B496&amp;"-G7"</f>
        <v>DEC-REG-HU-CHA-G7</v>
      </c>
      <c r="B496" s="19" t="str">
        <f aca="false">'Lot Register'!A76</f>
        <v>REG-HU-CHA</v>
      </c>
      <c r="C496" s="19" t="str">
        <f aca="false">'Lot Register'!B76</f>
        <v>Regeneration tool</v>
      </c>
      <c r="D496" s="19" t="str">
        <f aca="false">'Lot Register'!D76</f>
        <v>MS-HU</v>
      </c>
      <c r="E496" s="19" t="str">
        <f aca="false">'Lot Register'!G76</f>
        <v>ST-HU-CHA</v>
      </c>
      <c r="F496" s="9" t="s">
        <v>596</v>
      </c>
      <c r="G496" s="9" t="s">
        <v>597</v>
      </c>
      <c r="H496" s="9" t="s">
        <v>598</v>
      </c>
      <c r="I496" s="9" t="s">
        <v>570</v>
      </c>
      <c r="J496" s="11" t="s">
        <v>238</v>
      </c>
      <c r="K496" s="47" t="n">
        <f aca="false">Controls!B26</f>
        <v>0</v>
      </c>
      <c r="L496" s="47" t="str">
        <f aca="false">IF(K496=1,"PASS","OPEN")</f>
        <v>OPEN</v>
      </c>
    </row>
    <row r="497" customFormat="false" ht="15" hidden="false" customHeight="false" outlineLevel="0" collapsed="false">
      <c r="A497" s="19" t="str">
        <f aca="false">"DEC-"&amp;B497&amp;"-G1"</f>
        <v>DEC-INT-HU-CHA-G1</v>
      </c>
      <c r="B497" s="19" t="str">
        <f aca="false">'Lot Register'!A77</f>
        <v>INT-HU-CHA</v>
      </c>
      <c r="C497" s="19" t="str">
        <f aca="false">'Lot Register'!B77</f>
        <v>Station integration</v>
      </c>
      <c r="D497" s="19" t="str">
        <f aca="false">'Lot Register'!D77</f>
        <v>MS-HU</v>
      </c>
      <c r="E497" s="19" t="str">
        <f aca="false">'Lot Register'!G77</f>
        <v>ST-HU-CHA</v>
      </c>
      <c r="F497" s="9" t="s">
        <v>578</v>
      </c>
      <c r="G497" s="9" t="s">
        <v>579</v>
      </c>
      <c r="H497" s="9" t="s">
        <v>580</v>
      </c>
      <c r="I497" s="9" t="s">
        <v>562</v>
      </c>
      <c r="J497" s="11" t="s">
        <v>238</v>
      </c>
      <c r="K497" s="47" t="n">
        <f aca="false">Controls!B26</f>
        <v>0</v>
      </c>
      <c r="L497" s="47" t="str">
        <f aca="false">IF(K497=1,"PASS","OPEN")</f>
        <v>OPEN</v>
      </c>
    </row>
    <row r="498" customFormat="false" ht="15" hidden="false" customHeight="false" outlineLevel="0" collapsed="false">
      <c r="A498" s="19" t="str">
        <f aca="false">"DEC-"&amp;B498&amp;"-G2"</f>
        <v>DEC-INT-HU-CHA-G2</v>
      </c>
      <c r="B498" s="19" t="str">
        <f aca="false">'Lot Register'!A77</f>
        <v>INT-HU-CHA</v>
      </c>
      <c r="C498" s="19" t="str">
        <f aca="false">'Lot Register'!B77</f>
        <v>Station integration</v>
      </c>
      <c r="D498" s="19" t="str">
        <f aca="false">'Lot Register'!D77</f>
        <v>MS-HU</v>
      </c>
      <c r="E498" s="19" t="str">
        <f aca="false">'Lot Register'!G77</f>
        <v>ST-HU-CHA</v>
      </c>
      <c r="F498" s="9" t="s">
        <v>581</v>
      </c>
      <c r="G498" s="9" t="s">
        <v>582</v>
      </c>
      <c r="H498" s="9" t="s">
        <v>583</v>
      </c>
      <c r="I498" s="9" t="s">
        <v>560</v>
      </c>
      <c r="J498" s="11" t="s">
        <v>238</v>
      </c>
      <c r="K498" s="47" t="n">
        <f aca="false">Controls!B26</f>
        <v>0</v>
      </c>
      <c r="L498" s="47" t="str">
        <f aca="false">IF(K498=1,"PASS","OPEN")</f>
        <v>OPEN</v>
      </c>
    </row>
    <row r="499" customFormat="false" ht="15" hidden="false" customHeight="false" outlineLevel="0" collapsed="false">
      <c r="A499" s="19" t="str">
        <f aca="false">"DEC-"&amp;B499&amp;"-G3"</f>
        <v>DEC-INT-HU-CHA-G3</v>
      </c>
      <c r="B499" s="19" t="str">
        <f aca="false">'Lot Register'!A77</f>
        <v>INT-HU-CHA</v>
      </c>
      <c r="C499" s="19" t="str">
        <f aca="false">'Lot Register'!B77</f>
        <v>Station integration</v>
      </c>
      <c r="D499" s="19" t="str">
        <f aca="false">'Lot Register'!D77</f>
        <v>MS-HU</v>
      </c>
      <c r="E499" s="19" t="str">
        <f aca="false">'Lot Register'!G77</f>
        <v>ST-HU-CHA</v>
      </c>
      <c r="F499" s="9" t="s">
        <v>584</v>
      </c>
      <c r="G499" s="9" t="s">
        <v>585</v>
      </c>
      <c r="H499" s="9" t="s">
        <v>586</v>
      </c>
      <c r="I499" s="9" t="s">
        <v>565</v>
      </c>
      <c r="J499" s="11" t="s">
        <v>238</v>
      </c>
      <c r="K499" s="47" t="n">
        <f aca="false">Controls!B26</f>
        <v>0</v>
      </c>
      <c r="L499" s="47" t="str">
        <f aca="false">IF(K499=1,"PASS","OPEN")</f>
        <v>OPEN</v>
      </c>
    </row>
    <row r="500" customFormat="false" ht="15" hidden="false" customHeight="false" outlineLevel="0" collapsed="false">
      <c r="A500" s="19" t="str">
        <f aca="false">"DEC-"&amp;B500&amp;"-G4"</f>
        <v>DEC-INT-HU-CHA-G4</v>
      </c>
      <c r="B500" s="19" t="str">
        <f aca="false">'Lot Register'!A77</f>
        <v>INT-HU-CHA</v>
      </c>
      <c r="C500" s="19" t="str">
        <f aca="false">'Lot Register'!B77</f>
        <v>Station integration</v>
      </c>
      <c r="D500" s="19" t="str">
        <f aca="false">'Lot Register'!D77</f>
        <v>MS-HU</v>
      </c>
      <c r="E500" s="19" t="str">
        <f aca="false">'Lot Register'!G77</f>
        <v>ST-HU-CHA</v>
      </c>
      <c r="F500" s="9" t="s">
        <v>587</v>
      </c>
      <c r="G500" s="9" t="s">
        <v>588</v>
      </c>
      <c r="H500" s="9" t="s">
        <v>589</v>
      </c>
      <c r="I500" s="9" t="s">
        <v>562</v>
      </c>
      <c r="J500" s="11" t="s">
        <v>238</v>
      </c>
      <c r="K500" s="47" t="n">
        <f aca="false">Controls!B26</f>
        <v>0</v>
      </c>
      <c r="L500" s="47" t="str">
        <f aca="false">IF(K500=1,"PASS","OPEN")</f>
        <v>OPEN</v>
      </c>
    </row>
    <row r="501" customFormat="false" ht="15" hidden="false" customHeight="false" outlineLevel="0" collapsed="false">
      <c r="A501" s="19" t="str">
        <f aca="false">"DEC-"&amp;B501&amp;"-G5"</f>
        <v>DEC-INT-HU-CHA-G5</v>
      </c>
      <c r="B501" s="19" t="str">
        <f aca="false">'Lot Register'!A77</f>
        <v>INT-HU-CHA</v>
      </c>
      <c r="C501" s="19" t="str">
        <f aca="false">'Lot Register'!B77</f>
        <v>Station integration</v>
      </c>
      <c r="D501" s="19" t="str">
        <f aca="false">'Lot Register'!D77</f>
        <v>MS-HU</v>
      </c>
      <c r="E501" s="19" t="str">
        <f aca="false">'Lot Register'!G77</f>
        <v>ST-HU-CHA</v>
      </c>
      <c r="F501" s="9" t="s">
        <v>590</v>
      </c>
      <c r="G501" s="9" t="s">
        <v>591</v>
      </c>
      <c r="H501" s="9" t="s">
        <v>592</v>
      </c>
      <c r="I501" s="9" t="s">
        <v>565</v>
      </c>
      <c r="J501" s="11" t="s">
        <v>238</v>
      </c>
      <c r="K501" s="47" t="n">
        <f aca="false">Controls!B26</f>
        <v>0</v>
      </c>
      <c r="L501" s="47" t="str">
        <f aca="false">IF(K501=1,"PASS","OPEN")</f>
        <v>OPEN</v>
      </c>
    </row>
    <row r="502" customFormat="false" ht="15" hidden="false" customHeight="false" outlineLevel="0" collapsed="false">
      <c r="A502" s="19" t="str">
        <f aca="false">"DEC-"&amp;B502&amp;"-G6"</f>
        <v>DEC-INT-HU-CHA-G6</v>
      </c>
      <c r="B502" s="19" t="str">
        <f aca="false">'Lot Register'!A77</f>
        <v>INT-HU-CHA</v>
      </c>
      <c r="C502" s="19" t="str">
        <f aca="false">'Lot Register'!B77</f>
        <v>Station integration</v>
      </c>
      <c r="D502" s="19" t="str">
        <f aca="false">'Lot Register'!D77</f>
        <v>MS-HU</v>
      </c>
      <c r="E502" s="19" t="str">
        <f aca="false">'Lot Register'!G77</f>
        <v>ST-HU-CHA</v>
      </c>
      <c r="F502" s="9" t="s">
        <v>593</v>
      </c>
      <c r="G502" s="9" t="s">
        <v>594</v>
      </c>
      <c r="H502" s="9" t="s">
        <v>595</v>
      </c>
      <c r="I502" s="9" t="s">
        <v>570</v>
      </c>
      <c r="J502" s="11" t="s">
        <v>238</v>
      </c>
      <c r="K502" s="47" t="n">
        <f aca="false">Controls!B26</f>
        <v>0</v>
      </c>
      <c r="L502" s="47" t="str">
        <f aca="false">IF(K502=1,"PASS","OPEN")</f>
        <v>OPEN</v>
      </c>
    </row>
    <row r="503" customFormat="false" ht="15" hidden="false" customHeight="false" outlineLevel="0" collapsed="false">
      <c r="A503" s="19" t="str">
        <f aca="false">"DEC-"&amp;B503&amp;"-G7"</f>
        <v>DEC-INT-HU-CHA-G7</v>
      </c>
      <c r="B503" s="19" t="str">
        <f aca="false">'Lot Register'!A77</f>
        <v>INT-HU-CHA</v>
      </c>
      <c r="C503" s="19" t="str">
        <f aca="false">'Lot Register'!B77</f>
        <v>Station integration</v>
      </c>
      <c r="D503" s="19" t="str">
        <f aca="false">'Lot Register'!D77</f>
        <v>MS-HU</v>
      </c>
      <c r="E503" s="19" t="str">
        <f aca="false">'Lot Register'!G77</f>
        <v>ST-HU-CHA</v>
      </c>
      <c r="F503" s="9" t="s">
        <v>596</v>
      </c>
      <c r="G503" s="9" t="s">
        <v>597</v>
      </c>
      <c r="H503" s="9" t="s">
        <v>598</v>
      </c>
      <c r="I503" s="9" t="s">
        <v>570</v>
      </c>
      <c r="J503" s="11" t="s">
        <v>238</v>
      </c>
      <c r="K503" s="47" t="n">
        <f aca="false">Controls!B26</f>
        <v>0</v>
      </c>
      <c r="L503" s="47" t="str">
        <f aca="false">IF(K503=1,"PASS","OPEN")</f>
        <v>OPEN</v>
      </c>
    </row>
    <row r="504" customFormat="false" ht="15" hidden="false" customHeight="false" outlineLevel="0" collapsed="false">
      <c r="A504" s="19" t="str">
        <f aca="false">"DEC-"&amp;B504&amp;"-G1"</f>
        <v>DEC-RIG-HU-CON-G1</v>
      </c>
      <c r="B504" s="19" t="str">
        <f aca="false">'Lot Register'!A78</f>
        <v>RIG-HU-CON</v>
      </c>
      <c r="C504" s="19" t="str">
        <f aca="false">'Lot Register'!B78</f>
        <v>Root-native rig</v>
      </c>
      <c r="D504" s="19" t="str">
        <f aca="false">'Lot Register'!D78</f>
        <v>MS-HU</v>
      </c>
      <c r="E504" s="19" t="str">
        <f aca="false">'Lot Register'!G78</f>
        <v>ST-HU-CON</v>
      </c>
      <c r="F504" s="9" t="s">
        <v>578</v>
      </c>
      <c r="G504" s="9" t="s">
        <v>579</v>
      </c>
      <c r="H504" s="9" t="s">
        <v>580</v>
      </c>
      <c r="I504" s="9" t="s">
        <v>562</v>
      </c>
      <c r="J504" s="11" t="s">
        <v>238</v>
      </c>
      <c r="K504" s="47" t="n">
        <f aca="false">Controls!B26</f>
        <v>0</v>
      </c>
      <c r="L504" s="47" t="str">
        <f aca="false">IF(K504=1,"PASS","OPEN")</f>
        <v>OPEN</v>
      </c>
    </row>
    <row r="505" customFormat="false" ht="15" hidden="false" customHeight="false" outlineLevel="0" collapsed="false">
      <c r="A505" s="19" t="str">
        <f aca="false">"DEC-"&amp;B505&amp;"-G2"</f>
        <v>DEC-RIG-HU-CON-G2</v>
      </c>
      <c r="B505" s="19" t="str">
        <f aca="false">'Lot Register'!A78</f>
        <v>RIG-HU-CON</v>
      </c>
      <c r="C505" s="19" t="str">
        <f aca="false">'Lot Register'!B78</f>
        <v>Root-native rig</v>
      </c>
      <c r="D505" s="19" t="str">
        <f aca="false">'Lot Register'!D78</f>
        <v>MS-HU</v>
      </c>
      <c r="E505" s="19" t="str">
        <f aca="false">'Lot Register'!G78</f>
        <v>ST-HU-CON</v>
      </c>
      <c r="F505" s="9" t="s">
        <v>581</v>
      </c>
      <c r="G505" s="9" t="s">
        <v>582</v>
      </c>
      <c r="H505" s="9" t="s">
        <v>583</v>
      </c>
      <c r="I505" s="9" t="s">
        <v>560</v>
      </c>
      <c r="J505" s="11" t="s">
        <v>238</v>
      </c>
      <c r="K505" s="47" t="n">
        <f aca="false">Controls!B26</f>
        <v>0</v>
      </c>
      <c r="L505" s="47" t="str">
        <f aca="false">IF(K505=1,"PASS","OPEN")</f>
        <v>OPEN</v>
      </c>
    </row>
    <row r="506" customFormat="false" ht="15" hidden="false" customHeight="false" outlineLevel="0" collapsed="false">
      <c r="A506" s="19" t="str">
        <f aca="false">"DEC-"&amp;B506&amp;"-G3"</f>
        <v>DEC-RIG-HU-CON-G3</v>
      </c>
      <c r="B506" s="19" t="str">
        <f aca="false">'Lot Register'!A78</f>
        <v>RIG-HU-CON</v>
      </c>
      <c r="C506" s="19" t="str">
        <f aca="false">'Lot Register'!B78</f>
        <v>Root-native rig</v>
      </c>
      <c r="D506" s="19" t="str">
        <f aca="false">'Lot Register'!D78</f>
        <v>MS-HU</v>
      </c>
      <c r="E506" s="19" t="str">
        <f aca="false">'Lot Register'!G78</f>
        <v>ST-HU-CON</v>
      </c>
      <c r="F506" s="9" t="s">
        <v>584</v>
      </c>
      <c r="G506" s="9" t="s">
        <v>585</v>
      </c>
      <c r="H506" s="9" t="s">
        <v>586</v>
      </c>
      <c r="I506" s="9" t="s">
        <v>565</v>
      </c>
      <c r="J506" s="11" t="s">
        <v>238</v>
      </c>
      <c r="K506" s="47" t="n">
        <f aca="false">Controls!B26</f>
        <v>0</v>
      </c>
      <c r="L506" s="47" t="str">
        <f aca="false">IF(K506=1,"PASS","OPEN")</f>
        <v>OPEN</v>
      </c>
    </row>
    <row r="507" customFormat="false" ht="15" hidden="false" customHeight="false" outlineLevel="0" collapsed="false">
      <c r="A507" s="19" t="str">
        <f aca="false">"DEC-"&amp;B507&amp;"-G4"</f>
        <v>DEC-RIG-HU-CON-G4</v>
      </c>
      <c r="B507" s="19" t="str">
        <f aca="false">'Lot Register'!A78</f>
        <v>RIG-HU-CON</v>
      </c>
      <c r="C507" s="19" t="str">
        <f aca="false">'Lot Register'!B78</f>
        <v>Root-native rig</v>
      </c>
      <c r="D507" s="19" t="str">
        <f aca="false">'Lot Register'!D78</f>
        <v>MS-HU</v>
      </c>
      <c r="E507" s="19" t="str">
        <f aca="false">'Lot Register'!G78</f>
        <v>ST-HU-CON</v>
      </c>
      <c r="F507" s="9" t="s">
        <v>587</v>
      </c>
      <c r="G507" s="9" t="s">
        <v>588</v>
      </c>
      <c r="H507" s="9" t="s">
        <v>589</v>
      </c>
      <c r="I507" s="9" t="s">
        <v>562</v>
      </c>
      <c r="J507" s="11" t="s">
        <v>238</v>
      </c>
      <c r="K507" s="47" t="n">
        <f aca="false">Controls!B26</f>
        <v>0</v>
      </c>
      <c r="L507" s="47" t="str">
        <f aca="false">IF(K507=1,"PASS","OPEN")</f>
        <v>OPEN</v>
      </c>
    </row>
    <row r="508" customFormat="false" ht="15" hidden="false" customHeight="false" outlineLevel="0" collapsed="false">
      <c r="A508" s="19" t="str">
        <f aca="false">"DEC-"&amp;B508&amp;"-G5"</f>
        <v>DEC-RIG-HU-CON-G5</v>
      </c>
      <c r="B508" s="19" t="str">
        <f aca="false">'Lot Register'!A78</f>
        <v>RIG-HU-CON</v>
      </c>
      <c r="C508" s="19" t="str">
        <f aca="false">'Lot Register'!B78</f>
        <v>Root-native rig</v>
      </c>
      <c r="D508" s="19" t="str">
        <f aca="false">'Lot Register'!D78</f>
        <v>MS-HU</v>
      </c>
      <c r="E508" s="19" t="str">
        <f aca="false">'Lot Register'!G78</f>
        <v>ST-HU-CON</v>
      </c>
      <c r="F508" s="9" t="s">
        <v>590</v>
      </c>
      <c r="G508" s="9" t="s">
        <v>591</v>
      </c>
      <c r="H508" s="9" t="s">
        <v>592</v>
      </c>
      <c r="I508" s="9" t="s">
        <v>565</v>
      </c>
      <c r="J508" s="11" t="s">
        <v>238</v>
      </c>
      <c r="K508" s="47" t="n">
        <f aca="false">Controls!B26</f>
        <v>0</v>
      </c>
      <c r="L508" s="47" t="str">
        <f aca="false">IF(K508=1,"PASS","OPEN")</f>
        <v>OPEN</v>
      </c>
    </row>
    <row r="509" customFormat="false" ht="15" hidden="false" customHeight="false" outlineLevel="0" collapsed="false">
      <c r="A509" s="19" t="str">
        <f aca="false">"DEC-"&amp;B509&amp;"-G6"</f>
        <v>DEC-RIG-HU-CON-G6</v>
      </c>
      <c r="B509" s="19" t="str">
        <f aca="false">'Lot Register'!A78</f>
        <v>RIG-HU-CON</v>
      </c>
      <c r="C509" s="19" t="str">
        <f aca="false">'Lot Register'!B78</f>
        <v>Root-native rig</v>
      </c>
      <c r="D509" s="19" t="str">
        <f aca="false">'Lot Register'!D78</f>
        <v>MS-HU</v>
      </c>
      <c r="E509" s="19" t="str">
        <f aca="false">'Lot Register'!G78</f>
        <v>ST-HU-CON</v>
      </c>
      <c r="F509" s="9" t="s">
        <v>593</v>
      </c>
      <c r="G509" s="9" t="s">
        <v>594</v>
      </c>
      <c r="H509" s="9" t="s">
        <v>595</v>
      </c>
      <c r="I509" s="9" t="s">
        <v>570</v>
      </c>
      <c r="J509" s="11" t="s">
        <v>238</v>
      </c>
      <c r="K509" s="47" t="n">
        <f aca="false">Controls!B26</f>
        <v>0</v>
      </c>
      <c r="L509" s="47" t="str">
        <f aca="false">IF(K509=1,"PASS","OPEN")</f>
        <v>OPEN</v>
      </c>
    </row>
    <row r="510" customFormat="false" ht="15" hidden="false" customHeight="false" outlineLevel="0" collapsed="false">
      <c r="A510" s="19" t="str">
        <f aca="false">"DEC-"&amp;B510&amp;"-G7"</f>
        <v>DEC-RIG-HU-CON-G7</v>
      </c>
      <c r="B510" s="19" t="str">
        <f aca="false">'Lot Register'!A78</f>
        <v>RIG-HU-CON</v>
      </c>
      <c r="C510" s="19" t="str">
        <f aca="false">'Lot Register'!B78</f>
        <v>Root-native rig</v>
      </c>
      <c r="D510" s="19" t="str">
        <f aca="false">'Lot Register'!D78</f>
        <v>MS-HU</v>
      </c>
      <c r="E510" s="19" t="str">
        <f aca="false">'Lot Register'!G78</f>
        <v>ST-HU-CON</v>
      </c>
      <c r="F510" s="9" t="s">
        <v>596</v>
      </c>
      <c r="G510" s="9" t="s">
        <v>597</v>
      </c>
      <c r="H510" s="9" t="s">
        <v>598</v>
      </c>
      <c r="I510" s="9" t="s">
        <v>570</v>
      </c>
      <c r="J510" s="11" t="s">
        <v>238</v>
      </c>
      <c r="K510" s="47" t="n">
        <f aca="false">Controls!B26</f>
        <v>0</v>
      </c>
      <c r="L510" s="47" t="str">
        <f aca="false">IF(K510=1,"PASS","OPEN")</f>
        <v>OPEN</v>
      </c>
    </row>
    <row r="511" customFormat="false" ht="15" hidden="false" customHeight="false" outlineLevel="0" collapsed="false">
      <c r="A511" s="19" t="str">
        <f aca="false">"DEC-"&amp;B511&amp;"-G1"</f>
        <v>DEC-MTH-HU-CON-L1-G1</v>
      </c>
      <c r="B511" s="19" t="str">
        <f aca="false">'Lot Register'!A79</f>
        <v>MTH-HU-CON-L1</v>
      </c>
      <c r="C511" s="19" t="str">
        <f aca="false">'Lot Register'!B79</f>
        <v>Method lineage</v>
      </c>
      <c r="D511" s="19" t="str">
        <f aca="false">'Lot Register'!D79</f>
        <v>MS-HU</v>
      </c>
      <c r="E511" s="19" t="str">
        <f aca="false">'Lot Register'!G79</f>
        <v>ST-HU-CON</v>
      </c>
      <c r="F511" s="9" t="s">
        <v>578</v>
      </c>
      <c r="G511" s="9" t="s">
        <v>579</v>
      </c>
      <c r="H511" s="9" t="s">
        <v>580</v>
      </c>
      <c r="I511" s="9" t="s">
        <v>562</v>
      </c>
      <c r="J511" s="11" t="s">
        <v>238</v>
      </c>
      <c r="K511" s="47" t="n">
        <f aca="false">Controls!B26</f>
        <v>0</v>
      </c>
      <c r="L511" s="47" t="str">
        <f aca="false">IF(K511=1,"PASS","OPEN")</f>
        <v>OPEN</v>
      </c>
    </row>
    <row r="512" customFormat="false" ht="15" hidden="false" customHeight="false" outlineLevel="0" collapsed="false">
      <c r="A512" s="19" t="str">
        <f aca="false">"DEC-"&amp;B512&amp;"-G2"</f>
        <v>DEC-MTH-HU-CON-L1-G2</v>
      </c>
      <c r="B512" s="19" t="str">
        <f aca="false">'Lot Register'!A79</f>
        <v>MTH-HU-CON-L1</v>
      </c>
      <c r="C512" s="19" t="str">
        <f aca="false">'Lot Register'!B79</f>
        <v>Method lineage</v>
      </c>
      <c r="D512" s="19" t="str">
        <f aca="false">'Lot Register'!D79</f>
        <v>MS-HU</v>
      </c>
      <c r="E512" s="19" t="str">
        <f aca="false">'Lot Register'!G79</f>
        <v>ST-HU-CON</v>
      </c>
      <c r="F512" s="9" t="s">
        <v>581</v>
      </c>
      <c r="G512" s="9" t="s">
        <v>582</v>
      </c>
      <c r="H512" s="9" t="s">
        <v>583</v>
      </c>
      <c r="I512" s="9" t="s">
        <v>560</v>
      </c>
      <c r="J512" s="11" t="s">
        <v>238</v>
      </c>
      <c r="K512" s="47" t="n">
        <f aca="false">Controls!B26</f>
        <v>0</v>
      </c>
      <c r="L512" s="47" t="str">
        <f aca="false">IF(K512=1,"PASS","OPEN")</f>
        <v>OPEN</v>
      </c>
    </row>
    <row r="513" customFormat="false" ht="15" hidden="false" customHeight="false" outlineLevel="0" collapsed="false">
      <c r="A513" s="19" t="str">
        <f aca="false">"DEC-"&amp;B513&amp;"-G3"</f>
        <v>DEC-MTH-HU-CON-L1-G3</v>
      </c>
      <c r="B513" s="19" t="str">
        <f aca="false">'Lot Register'!A79</f>
        <v>MTH-HU-CON-L1</v>
      </c>
      <c r="C513" s="19" t="str">
        <f aca="false">'Lot Register'!B79</f>
        <v>Method lineage</v>
      </c>
      <c r="D513" s="19" t="str">
        <f aca="false">'Lot Register'!D79</f>
        <v>MS-HU</v>
      </c>
      <c r="E513" s="19" t="str">
        <f aca="false">'Lot Register'!G79</f>
        <v>ST-HU-CON</v>
      </c>
      <c r="F513" s="9" t="s">
        <v>584</v>
      </c>
      <c r="G513" s="9" t="s">
        <v>585</v>
      </c>
      <c r="H513" s="9" t="s">
        <v>586</v>
      </c>
      <c r="I513" s="9" t="s">
        <v>565</v>
      </c>
      <c r="J513" s="11" t="s">
        <v>238</v>
      </c>
      <c r="K513" s="47" t="n">
        <f aca="false">Controls!B26</f>
        <v>0</v>
      </c>
      <c r="L513" s="47" t="str">
        <f aca="false">IF(K513=1,"PASS","OPEN")</f>
        <v>OPEN</v>
      </c>
    </row>
    <row r="514" customFormat="false" ht="15" hidden="false" customHeight="false" outlineLevel="0" collapsed="false">
      <c r="A514" s="19" t="str">
        <f aca="false">"DEC-"&amp;B514&amp;"-G4"</f>
        <v>DEC-MTH-HU-CON-L1-G4</v>
      </c>
      <c r="B514" s="19" t="str">
        <f aca="false">'Lot Register'!A79</f>
        <v>MTH-HU-CON-L1</v>
      </c>
      <c r="C514" s="19" t="str">
        <f aca="false">'Lot Register'!B79</f>
        <v>Method lineage</v>
      </c>
      <c r="D514" s="19" t="str">
        <f aca="false">'Lot Register'!D79</f>
        <v>MS-HU</v>
      </c>
      <c r="E514" s="19" t="str">
        <f aca="false">'Lot Register'!G79</f>
        <v>ST-HU-CON</v>
      </c>
      <c r="F514" s="9" t="s">
        <v>587</v>
      </c>
      <c r="G514" s="9" t="s">
        <v>588</v>
      </c>
      <c r="H514" s="9" t="s">
        <v>589</v>
      </c>
      <c r="I514" s="9" t="s">
        <v>562</v>
      </c>
      <c r="J514" s="11" t="s">
        <v>238</v>
      </c>
      <c r="K514" s="47" t="n">
        <f aca="false">Controls!B26</f>
        <v>0</v>
      </c>
      <c r="L514" s="47" t="str">
        <f aca="false">IF(K514=1,"PASS","OPEN")</f>
        <v>OPEN</v>
      </c>
    </row>
    <row r="515" customFormat="false" ht="15" hidden="false" customHeight="false" outlineLevel="0" collapsed="false">
      <c r="A515" s="19" t="str">
        <f aca="false">"DEC-"&amp;B515&amp;"-G5"</f>
        <v>DEC-MTH-HU-CON-L1-G5</v>
      </c>
      <c r="B515" s="19" t="str">
        <f aca="false">'Lot Register'!A79</f>
        <v>MTH-HU-CON-L1</v>
      </c>
      <c r="C515" s="19" t="str">
        <f aca="false">'Lot Register'!B79</f>
        <v>Method lineage</v>
      </c>
      <c r="D515" s="19" t="str">
        <f aca="false">'Lot Register'!D79</f>
        <v>MS-HU</v>
      </c>
      <c r="E515" s="19" t="str">
        <f aca="false">'Lot Register'!G79</f>
        <v>ST-HU-CON</v>
      </c>
      <c r="F515" s="9" t="s">
        <v>590</v>
      </c>
      <c r="G515" s="9" t="s">
        <v>591</v>
      </c>
      <c r="H515" s="9" t="s">
        <v>592</v>
      </c>
      <c r="I515" s="9" t="s">
        <v>565</v>
      </c>
      <c r="J515" s="11" t="s">
        <v>238</v>
      </c>
      <c r="K515" s="47" t="n">
        <f aca="false">Controls!B26</f>
        <v>0</v>
      </c>
      <c r="L515" s="47" t="str">
        <f aca="false">IF(K515=1,"PASS","OPEN")</f>
        <v>OPEN</v>
      </c>
    </row>
    <row r="516" customFormat="false" ht="15" hidden="false" customHeight="false" outlineLevel="0" collapsed="false">
      <c r="A516" s="19" t="str">
        <f aca="false">"DEC-"&amp;B516&amp;"-G6"</f>
        <v>DEC-MTH-HU-CON-L1-G6</v>
      </c>
      <c r="B516" s="19" t="str">
        <f aca="false">'Lot Register'!A79</f>
        <v>MTH-HU-CON-L1</v>
      </c>
      <c r="C516" s="19" t="str">
        <f aca="false">'Lot Register'!B79</f>
        <v>Method lineage</v>
      </c>
      <c r="D516" s="19" t="str">
        <f aca="false">'Lot Register'!D79</f>
        <v>MS-HU</v>
      </c>
      <c r="E516" s="19" t="str">
        <f aca="false">'Lot Register'!G79</f>
        <v>ST-HU-CON</v>
      </c>
      <c r="F516" s="9" t="s">
        <v>593</v>
      </c>
      <c r="G516" s="9" t="s">
        <v>594</v>
      </c>
      <c r="H516" s="9" t="s">
        <v>595</v>
      </c>
      <c r="I516" s="9" t="s">
        <v>570</v>
      </c>
      <c r="J516" s="11" t="s">
        <v>238</v>
      </c>
      <c r="K516" s="47" t="n">
        <f aca="false">Controls!B26</f>
        <v>0</v>
      </c>
      <c r="L516" s="47" t="str">
        <f aca="false">IF(K516=1,"PASS","OPEN")</f>
        <v>OPEN</v>
      </c>
    </row>
    <row r="517" customFormat="false" ht="15" hidden="false" customHeight="false" outlineLevel="0" collapsed="false">
      <c r="A517" s="19" t="str">
        <f aca="false">"DEC-"&amp;B517&amp;"-G7"</f>
        <v>DEC-MTH-HU-CON-L1-G7</v>
      </c>
      <c r="B517" s="19" t="str">
        <f aca="false">'Lot Register'!A79</f>
        <v>MTH-HU-CON-L1</v>
      </c>
      <c r="C517" s="19" t="str">
        <f aca="false">'Lot Register'!B79</f>
        <v>Method lineage</v>
      </c>
      <c r="D517" s="19" t="str">
        <f aca="false">'Lot Register'!D79</f>
        <v>MS-HU</v>
      </c>
      <c r="E517" s="19" t="str">
        <f aca="false">'Lot Register'!G79</f>
        <v>ST-HU-CON</v>
      </c>
      <c r="F517" s="9" t="s">
        <v>596</v>
      </c>
      <c r="G517" s="9" t="s">
        <v>597</v>
      </c>
      <c r="H517" s="9" t="s">
        <v>598</v>
      </c>
      <c r="I517" s="9" t="s">
        <v>570</v>
      </c>
      <c r="J517" s="11" t="s">
        <v>238</v>
      </c>
      <c r="K517" s="47" t="n">
        <f aca="false">Controls!B26</f>
        <v>0</v>
      </c>
      <c r="L517" s="47" t="str">
        <f aca="false">IF(K517=1,"PASS","OPEN")</f>
        <v>OPEN</v>
      </c>
    </row>
    <row r="518" customFormat="false" ht="15" hidden="false" customHeight="false" outlineLevel="0" collapsed="false">
      <c r="A518" s="19" t="str">
        <f aca="false">"DEC-"&amp;B518&amp;"-G1"</f>
        <v>DEC-MTH-HU-CON-L2-G1</v>
      </c>
      <c r="B518" s="19" t="str">
        <f aca="false">'Lot Register'!A80</f>
        <v>MTH-HU-CON-L2</v>
      </c>
      <c r="C518" s="19" t="str">
        <f aca="false">'Lot Register'!B80</f>
        <v>Method lineage</v>
      </c>
      <c r="D518" s="19" t="str">
        <f aca="false">'Lot Register'!D80</f>
        <v>MS-HU</v>
      </c>
      <c r="E518" s="19" t="str">
        <f aca="false">'Lot Register'!G80</f>
        <v>ST-HU-CON</v>
      </c>
      <c r="F518" s="9" t="s">
        <v>578</v>
      </c>
      <c r="G518" s="9" t="s">
        <v>579</v>
      </c>
      <c r="H518" s="9" t="s">
        <v>580</v>
      </c>
      <c r="I518" s="9" t="s">
        <v>562</v>
      </c>
      <c r="J518" s="11" t="s">
        <v>238</v>
      </c>
      <c r="K518" s="47" t="n">
        <f aca="false">Controls!B26</f>
        <v>0</v>
      </c>
      <c r="L518" s="47" t="str">
        <f aca="false">IF(K518=1,"PASS","OPEN")</f>
        <v>OPEN</v>
      </c>
    </row>
    <row r="519" customFormat="false" ht="15" hidden="false" customHeight="false" outlineLevel="0" collapsed="false">
      <c r="A519" s="19" t="str">
        <f aca="false">"DEC-"&amp;B519&amp;"-G2"</f>
        <v>DEC-MTH-HU-CON-L2-G2</v>
      </c>
      <c r="B519" s="19" t="str">
        <f aca="false">'Lot Register'!A80</f>
        <v>MTH-HU-CON-L2</v>
      </c>
      <c r="C519" s="19" t="str">
        <f aca="false">'Lot Register'!B80</f>
        <v>Method lineage</v>
      </c>
      <c r="D519" s="19" t="str">
        <f aca="false">'Lot Register'!D80</f>
        <v>MS-HU</v>
      </c>
      <c r="E519" s="19" t="str">
        <f aca="false">'Lot Register'!G80</f>
        <v>ST-HU-CON</v>
      </c>
      <c r="F519" s="9" t="s">
        <v>581</v>
      </c>
      <c r="G519" s="9" t="s">
        <v>582</v>
      </c>
      <c r="H519" s="9" t="s">
        <v>583</v>
      </c>
      <c r="I519" s="9" t="s">
        <v>560</v>
      </c>
      <c r="J519" s="11" t="s">
        <v>238</v>
      </c>
      <c r="K519" s="47" t="n">
        <f aca="false">Controls!B26</f>
        <v>0</v>
      </c>
      <c r="L519" s="47" t="str">
        <f aca="false">IF(K519=1,"PASS","OPEN")</f>
        <v>OPEN</v>
      </c>
    </row>
    <row r="520" customFormat="false" ht="15" hidden="false" customHeight="false" outlineLevel="0" collapsed="false">
      <c r="A520" s="19" t="str">
        <f aca="false">"DEC-"&amp;B520&amp;"-G3"</f>
        <v>DEC-MTH-HU-CON-L2-G3</v>
      </c>
      <c r="B520" s="19" t="str">
        <f aca="false">'Lot Register'!A80</f>
        <v>MTH-HU-CON-L2</v>
      </c>
      <c r="C520" s="19" t="str">
        <f aca="false">'Lot Register'!B80</f>
        <v>Method lineage</v>
      </c>
      <c r="D520" s="19" t="str">
        <f aca="false">'Lot Register'!D80</f>
        <v>MS-HU</v>
      </c>
      <c r="E520" s="19" t="str">
        <f aca="false">'Lot Register'!G80</f>
        <v>ST-HU-CON</v>
      </c>
      <c r="F520" s="9" t="s">
        <v>584</v>
      </c>
      <c r="G520" s="9" t="s">
        <v>585</v>
      </c>
      <c r="H520" s="9" t="s">
        <v>586</v>
      </c>
      <c r="I520" s="9" t="s">
        <v>565</v>
      </c>
      <c r="J520" s="11" t="s">
        <v>238</v>
      </c>
      <c r="K520" s="47" t="n">
        <f aca="false">Controls!B26</f>
        <v>0</v>
      </c>
      <c r="L520" s="47" t="str">
        <f aca="false">IF(K520=1,"PASS","OPEN")</f>
        <v>OPEN</v>
      </c>
    </row>
    <row r="521" customFormat="false" ht="15" hidden="false" customHeight="false" outlineLevel="0" collapsed="false">
      <c r="A521" s="19" t="str">
        <f aca="false">"DEC-"&amp;B521&amp;"-G4"</f>
        <v>DEC-MTH-HU-CON-L2-G4</v>
      </c>
      <c r="B521" s="19" t="str">
        <f aca="false">'Lot Register'!A80</f>
        <v>MTH-HU-CON-L2</v>
      </c>
      <c r="C521" s="19" t="str">
        <f aca="false">'Lot Register'!B80</f>
        <v>Method lineage</v>
      </c>
      <c r="D521" s="19" t="str">
        <f aca="false">'Lot Register'!D80</f>
        <v>MS-HU</v>
      </c>
      <c r="E521" s="19" t="str">
        <f aca="false">'Lot Register'!G80</f>
        <v>ST-HU-CON</v>
      </c>
      <c r="F521" s="9" t="s">
        <v>587</v>
      </c>
      <c r="G521" s="9" t="s">
        <v>588</v>
      </c>
      <c r="H521" s="9" t="s">
        <v>589</v>
      </c>
      <c r="I521" s="9" t="s">
        <v>562</v>
      </c>
      <c r="J521" s="11" t="s">
        <v>238</v>
      </c>
      <c r="K521" s="47" t="n">
        <f aca="false">Controls!B26</f>
        <v>0</v>
      </c>
      <c r="L521" s="47" t="str">
        <f aca="false">IF(K521=1,"PASS","OPEN")</f>
        <v>OPEN</v>
      </c>
    </row>
    <row r="522" customFormat="false" ht="15" hidden="false" customHeight="false" outlineLevel="0" collapsed="false">
      <c r="A522" s="19" t="str">
        <f aca="false">"DEC-"&amp;B522&amp;"-G5"</f>
        <v>DEC-MTH-HU-CON-L2-G5</v>
      </c>
      <c r="B522" s="19" t="str">
        <f aca="false">'Lot Register'!A80</f>
        <v>MTH-HU-CON-L2</v>
      </c>
      <c r="C522" s="19" t="str">
        <f aca="false">'Lot Register'!B80</f>
        <v>Method lineage</v>
      </c>
      <c r="D522" s="19" t="str">
        <f aca="false">'Lot Register'!D80</f>
        <v>MS-HU</v>
      </c>
      <c r="E522" s="19" t="str">
        <f aca="false">'Lot Register'!G80</f>
        <v>ST-HU-CON</v>
      </c>
      <c r="F522" s="9" t="s">
        <v>590</v>
      </c>
      <c r="G522" s="9" t="s">
        <v>591</v>
      </c>
      <c r="H522" s="9" t="s">
        <v>592</v>
      </c>
      <c r="I522" s="9" t="s">
        <v>565</v>
      </c>
      <c r="J522" s="11" t="s">
        <v>238</v>
      </c>
      <c r="K522" s="47" t="n">
        <f aca="false">Controls!B26</f>
        <v>0</v>
      </c>
      <c r="L522" s="47" t="str">
        <f aca="false">IF(K522=1,"PASS","OPEN")</f>
        <v>OPEN</v>
      </c>
    </row>
    <row r="523" customFormat="false" ht="15" hidden="false" customHeight="false" outlineLevel="0" collapsed="false">
      <c r="A523" s="19" t="str">
        <f aca="false">"DEC-"&amp;B523&amp;"-G6"</f>
        <v>DEC-MTH-HU-CON-L2-G6</v>
      </c>
      <c r="B523" s="19" t="str">
        <f aca="false">'Lot Register'!A80</f>
        <v>MTH-HU-CON-L2</v>
      </c>
      <c r="C523" s="19" t="str">
        <f aca="false">'Lot Register'!B80</f>
        <v>Method lineage</v>
      </c>
      <c r="D523" s="19" t="str">
        <f aca="false">'Lot Register'!D80</f>
        <v>MS-HU</v>
      </c>
      <c r="E523" s="19" t="str">
        <f aca="false">'Lot Register'!G80</f>
        <v>ST-HU-CON</v>
      </c>
      <c r="F523" s="9" t="s">
        <v>593</v>
      </c>
      <c r="G523" s="9" t="s">
        <v>594</v>
      </c>
      <c r="H523" s="9" t="s">
        <v>595</v>
      </c>
      <c r="I523" s="9" t="s">
        <v>570</v>
      </c>
      <c r="J523" s="11" t="s">
        <v>238</v>
      </c>
      <c r="K523" s="47" t="n">
        <f aca="false">Controls!B26</f>
        <v>0</v>
      </c>
      <c r="L523" s="47" t="str">
        <f aca="false">IF(K523=1,"PASS","OPEN")</f>
        <v>OPEN</v>
      </c>
    </row>
    <row r="524" customFormat="false" ht="15" hidden="false" customHeight="false" outlineLevel="0" collapsed="false">
      <c r="A524" s="19" t="str">
        <f aca="false">"DEC-"&amp;B524&amp;"-G7"</f>
        <v>DEC-MTH-HU-CON-L2-G7</v>
      </c>
      <c r="B524" s="19" t="str">
        <f aca="false">'Lot Register'!A80</f>
        <v>MTH-HU-CON-L2</v>
      </c>
      <c r="C524" s="19" t="str">
        <f aca="false">'Lot Register'!B80</f>
        <v>Method lineage</v>
      </c>
      <c r="D524" s="19" t="str">
        <f aca="false">'Lot Register'!D80</f>
        <v>MS-HU</v>
      </c>
      <c r="E524" s="19" t="str">
        <f aca="false">'Lot Register'!G80</f>
        <v>ST-HU-CON</v>
      </c>
      <c r="F524" s="9" t="s">
        <v>596</v>
      </c>
      <c r="G524" s="9" t="s">
        <v>597</v>
      </c>
      <c r="H524" s="9" t="s">
        <v>598</v>
      </c>
      <c r="I524" s="9" t="s">
        <v>570</v>
      </c>
      <c r="J524" s="11" t="s">
        <v>238</v>
      </c>
      <c r="K524" s="47" t="n">
        <f aca="false">Controls!B26</f>
        <v>0</v>
      </c>
      <c r="L524" s="47" t="str">
        <f aca="false">IF(K524=1,"PASS","OPEN")</f>
        <v>OPEN</v>
      </c>
    </row>
    <row r="525" customFormat="false" ht="15" hidden="false" customHeight="false" outlineLevel="0" collapsed="false">
      <c r="A525" s="19" t="str">
        <f aca="false">"DEC-"&amp;B525&amp;"-G1"</f>
        <v>DEC-REG-HU-CON-G1</v>
      </c>
      <c r="B525" s="19" t="str">
        <f aca="false">'Lot Register'!A81</f>
        <v>REG-HU-CON</v>
      </c>
      <c r="C525" s="19" t="str">
        <f aca="false">'Lot Register'!B81</f>
        <v>Regeneration tool</v>
      </c>
      <c r="D525" s="19" t="str">
        <f aca="false">'Lot Register'!D81</f>
        <v>MS-HU</v>
      </c>
      <c r="E525" s="19" t="str">
        <f aca="false">'Lot Register'!G81</f>
        <v>ST-HU-CON</v>
      </c>
      <c r="F525" s="9" t="s">
        <v>578</v>
      </c>
      <c r="G525" s="9" t="s">
        <v>579</v>
      </c>
      <c r="H525" s="9" t="s">
        <v>580</v>
      </c>
      <c r="I525" s="9" t="s">
        <v>562</v>
      </c>
      <c r="J525" s="11" t="s">
        <v>238</v>
      </c>
      <c r="K525" s="47" t="n">
        <f aca="false">Controls!B26</f>
        <v>0</v>
      </c>
      <c r="L525" s="47" t="str">
        <f aca="false">IF(K525=1,"PASS","OPEN")</f>
        <v>OPEN</v>
      </c>
    </row>
    <row r="526" customFormat="false" ht="15" hidden="false" customHeight="false" outlineLevel="0" collapsed="false">
      <c r="A526" s="19" t="str">
        <f aca="false">"DEC-"&amp;B526&amp;"-G2"</f>
        <v>DEC-REG-HU-CON-G2</v>
      </c>
      <c r="B526" s="19" t="str">
        <f aca="false">'Lot Register'!A81</f>
        <v>REG-HU-CON</v>
      </c>
      <c r="C526" s="19" t="str">
        <f aca="false">'Lot Register'!B81</f>
        <v>Regeneration tool</v>
      </c>
      <c r="D526" s="19" t="str">
        <f aca="false">'Lot Register'!D81</f>
        <v>MS-HU</v>
      </c>
      <c r="E526" s="19" t="str">
        <f aca="false">'Lot Register'!G81</f>
        <v>ST-HU-CON</v>
      </c>
      <c r="F526" s="9" t="s">
        <v>581</v>
      </c>
      <c r="G526" s="9" t="s">
        <v>582</v>
      </c>
      <c r="H526" s="9" t="s">
        <v>583</v>
      </c>
      <c r="I526" s="9" t="s">
        <v>560</v>
      </c>
      <c r="J526" s="11" t="s">
        <v>238</v>
      </c>
      <c r="K526" s="47" t="n">
        <f aca="false">Controls!B26</f>
        <v>0</v>
      </c>
      <c r="L526" s="47" t="str">
        <f aca="false">IF(K526=1,"PASS","OPEN")</f>
        <v>OPEN</v>
      </c>
    </row>
    <row r="527" customFormat="false" ht="15" hidden="false" customHeight="false" outlineLevel="0" collapsed="false">
      <c r="A527" s="19" t="str">
        <f aca="false">"DEC-"&amp;B527&amp;"-G3"</f>
        <v>DEC-REG-HU-CON-G3</v>
      </c>
      <c r="B527" s="19" t="str">
        <f aca="false">'Lot Register'!A81</f>
        <v>REG-HU-CON</v>
      </c>
      <c r="C527" s="19" t="str">
        <f aca="false">'Lot Register'!B81</f>
        <v>Regeneration tool</v>
      </c>
      <c r="D527" s="19" t="str">
        <f aca="false">'Lot Register'!D81</f>
        <v>MS-HU</v>
      </c>
      <c r="E527" s="19" t="str">
        <f aca="false">'Lot Register'!G81</f>
        <v>ST-HU-CON</v>
      </c>
      <c r="F527" s="9" t="s">
        <v>584</v>
      </c>
      <c r="G527" s="9" t="s">
        <v>585</v>
      </c>
      <c r="H527" s="9" t="s">
        <v>586</v>
      </c>
      <c r="I527" s="9" t="s">
        <v>565</v>
      </c>
      <c r="J527" s="11" t="s">
        <v>238</v>
      </c>
      <c r="K527" s="47" t="n">
        <f aca="false">Controls!B26</f>
        <v>0</v>
      </c>
      <c r="L527" s="47" t="str">
        <f aca="false">IF(K527=1,"PASS","OPEN")</f>
        <v>OPEN</v>
      </c>
    </row>
    <row r="528" customFormat="false" ht="15" hidden="false" customHeight="false" outlineLevel="0" collapsed="false">
      <c r="A528" s="19" t="str">
        <f aca="false">"DEC-"&amp;B528&amp;"-G4"</f>
        <v>DEC-REG-HU-CON-G4</v>
      </c>
      <c r="B528" s="19" t="str">
        <f aca="false">'Lot Register'!A81</f>
        <v>REG-HU-CON</v>
      </c>
      <c r="C528" s="19" t="str">
        <f aca="false">'Lot Register'!B81</f>
        <v>Regeneration tool</v>
      </c>
      <c r="D528" s="19" t="str">
        <f aca="false">'Lot Register'!D81</f>
        <v>MS-HU</v>
      </c>
      <c r="E528" s="19" t="str">
        <f aca="false">'Lot Register'!G81</f>
        <v>ST-HU-CON</v>
      </c>
      <c r="F528" s="9" t="s">
        <v>587</v>
      </c>
      <c r="G528" s="9" t="s">
        <v>588</v>
      </c>
      <c r="H528" s="9" t="s">
        <v>589</v>
      </c>
      <c r="I528" s="9" t="s">
        <v>562</v>
      </c>
      <c r="J528" s="11" t="s">
        <v>238</v>
      </c>
      <c r="K528" s="47" t="n">
        <f aca="false">Controls!B26</f>
        <v>0</v>
      </c>
      <c r="L528" s="47" t="str">
        <f aca="false">IF(K528=1,"PASS","OPEN")</f>
        <v>OPEN</v>
      </c>
    </row>
    <row r="529" customFormat="false" ht="15" hidden="false" customHeight="false" outlineLevel="0" collapsed="false">
      <c r="A529" s="19" t="str">
        <f aca="false">"DEC-"&amp;B529&amp;"-G5"</f>
        <v>DEC-REG-HU-CON-G5</v>
      </c>
      <c r="B529" s="19" t="str">
        <f aca="false">'Lot Register'!A81</f>
        <v>REG-HU-CON</v>
      </c>
      <c r="C529" s="19" t="str">
        <f aca="false">'Lot Register'!B81</f>
        <v>Regeneration tool</v>
      </c>
      <c r="D529" s="19" t="str">
        <f aca="false">'Lot Register'!D81</f>
        <v>MS-HU</v>
      </c>
      <c r="E529" s="19" t="str">
        <f aca="false">'Lot Register'!G81</f>
        <v>ST-HU-CON</v>
      </c>
      <c r="F529" s="9" t="s">
        <v>590</v>
      </c>
      <c r="G529" s="9" t="s">
        <v>591</v>
      </c>
      <c r="H529" s="9" t="s">
        <v>592</v>
      </c>
      <c r="I529" s="9" t="s">
        <v>565</v>
      </c>
      <c r="J529" s="11" t="s">
        <v>238</v>
      </c>
      <c r="K529" s="47" t="n">
        <f aca="false">Controls!B26</f>
        <v>0</v>
      </c>
      <c r="L529" s="47" t="str">
        <f aca="false">IF(K529=1,"PASS","OPEN")</f>
        <v>OPEN</v>
      </c>
    </row>
    <row r="530" customFormat="false" ht="15" hidden="false" customHeight="false" outlineLevel="0" collapsed="false">
      <c r="A530" s="19" t="str">
        <f aca="false">"DEC-"&amp;B530&amp;"-G6"</f>
        <v>DEC-REG-HU-CON-G6</v>
      </c>
      <c r="B530" s="19" t="str">
        <f aca="false">'Lot Register'!A81</f>
        <v>REG-HU-CON</v>
      </c>
      <c r="C530" s="19" t="str">
        <f aca="false">'Lot Register'!B81</f>
        <v>Regeneration tool</v>
      </c>
      <c r="D530" s="19" t="str">
        <f aca="false">'Lot Register'!D81</f>
        <v>MS-HU</v>
      </c>
      <c r="E530" s="19" t="str">
        <f aca="false">'Lot Register'!G81</f>
        <v>ST-HU-CON</v>
      </c>
      <c r="F530" s="9" t="s">
        <v>593</v>
      </c>
      <c r="G530" s="9" t="s">
        <v>594</v>
      </c>
      <c r="H530" s="9" t="s">
        <v>595</v>
      </c>
      <c r="I530" s="9" t="s">
        <v>570</v>
      </c>
      <c r="J530" s="11" t="s">
        <v>238</v>
      </c>
      <c r="K530" s="47" t="n">
        <f aca="false">Controls!B26</f>
        <v>0</v>
      </c>
      <c r="L530" s="47" t="str">
        <f aca="false">IF(K530=1,"PASS","OPEN")</f>
        <v>OPEN</v>
      </c>
    </row>
    <row r="531" customFormat="false" ht="15" hidden="false" customHeight="false" outlineLevel="0" collapsed="false">
      <c r="A531" s="19" t="str">
        <f aca="false">"DEC-"&amp;B531&amp;"-G7"</f>
        <v>DEC-REG-HU-CON-G7</v>
      </c>
      <c r="B531" s="19" t="str">
        <f aca="false">'Lot Register'!A81</f>
        <v>REG-HU-CON</v>
      </c>
      <c r="C531" s="19" t="str">
        <f aca="false">'Lot Register'!B81</f>
        <v>Regeneration tool</v>
      </c>
      <c r="D531" s="19" t="str">
        <f aca="false">'Lot Register'!D81</f>
        <v>MS-HU</v>
      </c>
      <c r="E531" s="19" t="str">
        <f aca="false">'Lot Register'!G81</f>
        <v>ST-HU-CON</v>
      </c>
      <c r="F531" s="9" t="s">
        <v>596</v>
      </c>
      <c r="G531" s="9" t="s">
        <v>597</v>
      </c>
      <c r="H531" s="9" t="s">
        <v>598</v>
      </c>
      <c r="I531" s="9" t="s">
        <v>570</v>
      </c>
      <c r="J531" s="11" t="s">
        <v>238</v>
      </c>
      <c r="K531" s="47" t="n">
        <f aca="false">Controls!B26</f>
        <v>0</v>
      </c>
      <c r="L531" s="47" t="str">
        <f aca="false">IF(K531=1,"PASS","OPEN")</f>
        <v>OPEN</v>
      </c>
    </row>
    <row r="532" customFormat="false" ht="15" hidden="false" customHeight="false" outlineLevel="0" collapsed="false">
      <c r="A532" s="19" t="str">
        <f aca="false">"DEC-"&amp;B532&amp;"-G1"</f>
        <v>DEC-INT-HU-CON-G1</v>
      </c>
      <c r="B532" s="19" t="str">
        <f aca="false">'Lot Register'!A82</f>
        <v>INT-HU-CON</v>
      </c>
      <c r="C532" s="19" t="str">
        <f aca="false">'Lot Register'!B82</f>
        <v>Station integration</v>
      </c>
      <c r="D532" s="19" t="str">
        <f aca="false">'Lot Register'!D82</f>
        <v>MS-HU</v>
      </c>
      <c r="E532" s="19" t="str">
        <f aca="false">'Lot Register'!G82</f>
        <v>ST-HU-CON</v>
      </c>
      <c r="F532" s="9" t="s">
        <v>578</v>
      </c>
      <c r="G532" s="9" t="s">
        <v>579</v>
      </c>
      <c r="H532" s="9" t="s">
        <v>580</v>
      </c>
      <c r="I532" s="9" t="s">
        <v>562</v>
      </c>
      <c r="J532" s="11" t="s">
        <v>238</v>
      </c>
      <c r="K532" s="47" t="n">
        <f aca="false">Controls!B26</f>
        <v>0</v>
      </c>
      <c r="L532" s="47" t="str">
        <f aca="false">IF(K532=1,"PASS","OPEN")</f>
        <v>OPEN</v>
      </c>
    </row>
    <row r="533" customFormat="false" ht="15" hidden="false" customHeight="false" outlineLevel="0" collapsed="false">
      <c r="A533" s="19" t="str">
        <f aca="false">"DEC-"&amp;B533&amp;"-G2"</f>
        <v>DEC-INT-HU-CON-G2</v>
      </c>
      <c r="B533" s="19" t="str">
        <f aca="false">'Lot Register'!A82</f>
        <v>INT-HU-CON</v>
      </c>
      <c r="C533" s="19" t="str">
        <f aca="false">'Lot Register'!B82</f>
        <v>Station integration</v>
      </c>
      <c r="D533" s="19" t="str">
        <f aca="false">'Lot Register'!D82</f>
        <v>MS-HU</v>
      </c>
      <c r="E533" s="19" t="str">
        <f aca="false">'Lot Register'!G82</f>
        <v>ST-HU-CON</v>
      </c>
      <c r="F533" s="9" t="s">
        <v>581</v>
      </c>
      <c r="G533" s="9" t="s">
        <v>582</v>
      </c>
      <c r="H533" s="9" t="s">
        <v>583</v>
      </c>
      <c r="I533" s="9" t="s">
        <v>560</v>
      </c>
      <c r="J533" s="11" t="s">
        <v>238</v>
      </c>
      <c r="K533" s="47" t="n">
        <f aca="false">Controls!B26</f>
        <v>0</v>
      </c>
      <c r="L533" s="47" t="str">
        <f aca="false">IF(K533=1,"PASS","OPEN")</f>
        <v>OPEN</v>
      </c>
    </row>
    <row r="534" customFormat="false" ht="15" hidden="false" customHeight="false" outlineLevel="0" collapsed="false">
      <c r="A534" s="19" t="str">
        <f aca="false">"DEC-"&amp;B534&amp;"-G3"</f>
        <v>DEC-INT-HU-CON-G3</v>
      </c>
      <c r="B534" s="19" t="str">
        <f aca="false">'Lot Register'!A82</f>
        <v>INT-HU-CON</v>
      </c>
      <c r="C534" s="19" t="str">
        <f aca="false">'Lot Register'!B82</f>
        <v>Station integration</v>
      </c>
      <c r="D534" s="19" t="str">
        <f aca="false">'Lot Register'!D82</f>
        <v>MS-HU</v>
      </c>
      <c r="E534" s="19" t="str">
        <f aca="false">'Lot Register'!G82</f>
        <v>ST-HU-CON</v>
      </c>
      <c r="F534" s="9" t="s">
        <v>584</v>
      </c>
      <c r="G534" s="9" t="s">
        <v>585</v>
      </c>
      <c r="H534" s="9" t="s">
        <v>586</v>
      </c>
      <c r="I534" s="9" t="s">
        <v>565</v>
      </c>
      <c r="J534" s="11" t="s">
        <v>238</v>
      </c>
      <c r="K534" s="47" t="n">
        <f aca="false">Controls!B26</f>
        <v>0</v>
      </c>
      <c r="L534" s="47" t="str">
        <f aca="false">IF(K534=1,"PASS","OPEN")</f>
        <v>OPEN</v>
      </c>
    </row>
    <row r="535" customFormat="false" ht="15" hidden="false" customHeight="false" outlineLevel="0" collapsed="false">
      <c r="A535" s="19" t="str">
        <f aca="false">"DEC-"&amp;B535&amp;"-G4"</f>
        <v>DEC-INT-HU-CON-G4</v>
      </c>
      <c r="B535" s="19" t="str">
        <f aca="false">'Lot Register'!A82</f>
        <v>INT-HU-CON</v>
      </c>
      <c r="C535" s="19" t="str">
        <f aca="false">'Lot Register'!B82</f>
        <v>Station integration</v>
      </c>
      <c r="D535" s="19" t="str">
        <f aca="false">'Lot Register'!D82</f>
        <v>MS-HU</v>
      </c>
      <c r="E535" s="19" t="str">
        <f aca="false">'Lot Register'!G82</f>
        <v>ST-HU-CON</v>
      </c>
      <c r="F535" s="9" t="s">
        <v>587</v>
      </c>
      <c r="G535" s="9" t="s">
        <v>588</v>
      </c>
      <c r="H535" s="9" t="s">
        <v>589</v>
      </c>
      <c r="I535" s="9" t="s">
        <v>562</v>
      </c>
      <c r="J535" s="11" t="s">
        <v>238</v>
      </c>
      <c r="K535" s="47" t="n">
        <f aca="false">Controls!B26</f>
        <v>0</v>
      </c>
      <c r="L535" s="47" t="str">
        <f aca="false">IF(K535=1,"PASS","OPEN")</f>
        <v>OPEN</v>
      </c>
    </row>
    <row r="536" customFormat="false" ht="15" hidden="false" customHeight="false" outlineLevel="0" collapsed="false">
      <c r="A536" s="19" t="str">
        <f aca="false">"DEC-"&amp;B536&amp;"-G5"</f>
        <v>DEC-INT-HU-CON-G5</v>
      </c>
      <c r="B536" s="19" t="str">
        <f aca="false">'Lot Register'!A82</f>
        <v>INT-HU-CON</v>
      </c>
      <c r="C536" s="19" t="str">
        <f aca="false">'Lot Register'!B82</f>
        <v>Station integration</v>
      </c>
      <c r="D536" s="19" t="str">
        <f aca="false">'Lot Register'!D82</f>
        <v>MS-HU</v>
      </c>
      <c r="E536" s="19" t="str">
        <f aca="false">'Lot Register'!G82</f>
        <v>ST-HU-CON</v>
      </c>
      <c r="F536" s="9" t="s">
        <v>590</v>
      </c>
      <c r="G536" s="9" t="s">
        <v>591</v>
      </c>
      <c r="H536" s="9" t="s">
        <v>592</v>
      </c>
      <c r="I536" s="9" t="s">
        <v>565</v>
      </c>
      <c r="J536" s="11" t="s">
        <v>238</v>
      </c>
      <c r="K536" s="47" t="n">
        <f aca="false">Controls!B26</f>
        <v>0</v>
      </c>
      <c r="L536" s="47" t="str">
        <f aca="false">IF(K536=1,"PASS","OPEN")</f>
        <v>OPEN</v>
      </c>
    </row>
    <row r="537" customFormat="false" ht="15" hidden="false" customHeight="false" outlineLevel="0" collapsed="false">
      <c r="A537" s="19" t="str">
        <f aca="false">"DEC-"&amp;B537&amp;"-G6"</f>
        <v>DEC-INT-HU-CON-G6</v>
      </c>
      <c r="B537" s="19" t="str">
        <f aca="false">'Lot Register'!A82</f>
        <v>INT-HU-CON</v>
      </c>
      <c r="C537" s="19" t="str">
        <f aca="false">'Lot Register'!B82</f>
        <v>Station integration</v>
      </c>
      <c r="D537" s="19" t="str">
        <f aca="false">'Lot Register'!D82</f>
        <v>MS-HU</v>
      </c>
      <c r="E537" s="19" t="str">
        <f aca="false">'Lot Register'!G82</f>
        <v>ST-HU-CON</v>
      </c>
      <c r="F537" s="9" t="s">
        <v>593</v>
      </c>
      <c r="G537" s="9" t="s">
        <v>594</v>
      </c>
      <c r="H537" s="9" t="s">
        <v>595</v>
      </c>
      <c r="I537" s="9" t="s">
        <v>570</v>
      </c>
      <c r="J537" s="11" t="s">
        <v>238</v>
      </c>
      <c r="K537" s="47" t="n">
        <f aca="false">Controls!B26</f>
        <v>0</v>
      </c>
      <c r="L537" s="47" t="str">
        <f aca="false">IF(K537=1,"PASS","OPEN")</f>
        <v>OPEN</v>
      </c>
    </row>
    <row r="538" customFormat="false" ht="15" hidden="false" customHeight="false" outlineLevel="0" collapsed="false">
      <c r="A538" s="19" t="str">
        <f aca="false">"DEC-"&amp;B538&amp;"-G7"</f>
        <v>DEC-INT-HU-CON-G7</v>
      </c>
      <c r="B538" s="19" t="str">
        <f aca="false">'Lot Register'!A82</f>
        <v>INT-HU-CON</v>
      </c>
      <c r="C538" s="19" t="str">
        <f aca="false">'Lot Register'!B82</f>
        <v>Station integration</v>
      </c>
      <c r="D538" s="19" t="str">
        <f aca="false">'Lot Register'!D82</f>
        <v>MS-HU</v>
      </c>
      <c r="E538" s="19" t="str">
        <f aca="false">'Lot Register'!G82</f>
        <v>ST-HU-CON</v>
      </c>
      <c r="F538" s="9" t="s">
        <v>596</v>
      </c>
      <c r="G538" s="9" t="s">
        <v>597</v>
      </c>
      <c r="H538" s="9" t="s">
        <v>598</v>
      </c>
      <c r="I538" s="9" t="s">
        <v>570</v>
      </c>
      <c r="J538" s="11" t="s">
        <v>238</v>
      </c>
      <c r="K538" s="47" t="n">
        <f aca="false">Controls!B26</f>
        <v>0</v>
      </c>
      <c r="L538" s="47" t="str">
        <f aca="false">IF(K538=1,"PASS","OPEN")</f>
        <v>OPEN</v>
      </c>
    </row>
    <row r="539" customFormat="false" ht="15" hidden="false" customHeight="false" outlineLevel="0" collapsed="false">
      <c r="A539" s="19" t="str">
        <f aca="false">"DEC-"&amp;B539&amp;"-G1"</f>
        <v>DEC-RIG-HU-REC-G1</v>
      </c>
      <c r="B539" s="19" t="str">
        <f aca="false">'Lot Register'!A83</f>
        <v>RIG-HU-REC</v>
      </c>
      <c r="C539" s="19" t="str">
        <f aca="false">'Lot Register'!B83</f>
        <v>Root-native rig</v>
      </c>
      <c r="D539" s="19" t="str">
        <f aca="false">'Lot Register'!D83</f>
        <v>MS-HU</v>
      </c>
      <c r="E539" s="19" t="str">
        <f aca="false">'Lot Register'!G83</f>
        <v>ST-HU-REC</v>
      </c>
      <c r="F539" s="9" t="s">
        <v>578</v>
      </c>
      <c r="G539" s="9" t="s">
        <v>579</v>
      </c>
      <c r="H539" s="9" t="s">
        <v>580</v>
      </c>
      <c r="I539" s="9" t="s">
        <v>562</v>
      </c>
      <c r="J539" s="11" t="s">
        <v>238</v>
      </c>
      <c r="K539" s="47" t="n">
        <f aca="false">Controls!B26</f>
        <v>0</v>
      </c>
      <c r="L539" s="47" t="str">
        <f aca="false">IF(K539=1,"PASS","OPEN")</f>
        <v>OPEN</v>
      </c>
    </row>
    <row r="540" customFormat="false" ht="15" hidden="false" customHeight="false" outlineLevel="0" collapsed="false">
      <c r="A540" s="19" t="str">
        <f aca="false">"DEC-"&amp;B540&amp;"-G2"</f>
        <v>DEC-RIG-HU-REC-G2</v>
      </c>
      <c r="B540" s="19" t="str">
        <f aca="false">'Lot Register'!A83</f>
        <v>RIG-HU-REC</v>
      </c>
      <c r="C540" s="19" t="str">
        <f aca="false">'Lot Register'!B83</f>
        <v>Root-native rig</v>
      </c>
      <c r="D540" s="19" t="str">
        <f aca="false">'Lot Register'!D83</f>
        <v>MS-HU</v>
      </c>
      <c r="E540" s="19" t="str">
        <f aca="false">'Lot Register'!G83</f>
        <v>ST-HU-REC</v>
      </c>
      <c r="F540" s="9" t="s">
        <v>581</v>
      </c>
      <c r="G540" s="9" t="s">
        <v>582</v>
      </c>
      <c r="H540" s="9" t="s">
        <v>583</v>
      </c>
      <c r="I540" s="9" t="s">
        <v>560</v>
      </c>
      <c r="J540" s="11" t="s">
        <v>238</v>
      </c>
      <c r="K540" s="47" t="n">
        <f aca="false">Controls!B26</f>
        <v>0</v>
      </c>
      <c r="L540" s="47" t="str">
        <f aca="false">IF(K540=1,"PASS","OPEN")</f>
        <v>OPEN</v>
      </c>
    </row>
    <row r="541" customFormat="false" ht="15" hidden="false" customHeight="false" outlineLevel="0" collapsed="false">
      <c r="A541" s="19" t="str">
        <f aca="false">"DEC-"&amp;B541&amp;"-G3"</f>
        <v>DEC-RIG-HU-REC-G3</v>
      </c>
      <c r="B541" s="19" t="str">
        <f aca="false">'Lot Register'!A83</f>
        <v>RIG-HU-REC</v>
      </c>
      <c r="C541" s="19" t="str">
        <f aca="false">'Lot Register'!B83</f>
        <v>Root-native rig</v>
      </c>
      <c r="D541" s="19" t="str">
        <f aca="false">'Lot Register'!D83</f>
        <v>MS-HU</v>
      </c>
      <c r="E541" s="19" t="str">
        <f aca="false">'Lot Register'!G83</f>
        <v>ST-HU-REC</v>
      </c>
      <c r="F541" s="9" t="s">
        <v>584</v>
      </c>
      <c r="G541" s="9" t="s">
        <v>585</v>
      </c>
      <c r="H541" s="9" t="s">
        <v>586</v>
      </c>
      <c r="I541" s="9" t="s">
        <v>565</v>
      </c>
      <c r="J541" s="11" t="s">
        <v>238</v>
      </c>
      <c r="K541" s="47" t="n">
        <f aca="false">Controls!B26</f>
        <v>0</v>
      </c>
      <c r="L541" s="47" t="str">
        <f aca="false">IF(K541=1,"PASS","OPEN")</f>
        <v>OPEN</v>
      </c>
    </row>
    <row r="542" customFormat="false" ht="15" hidden="false" customHeight="false" outlineLevel="0" collapsed="false">
      <c r="A542" s="19" t="str">
        <f aca="false">"DEC-"&amp;B542&amp;"-G4"</f>
        <v>DEC-RIG-HU-REC-G4</v>
      </c>
      <c r="B542" s="19" t="str">
        <f aca="false">'Lot Register'!A83</f>
        <v>RIG-HU-REC</v>
      </c>
      <c r="C542" s="19" t="str">
        <f aca="false">'Lot Register'!B83</f>
        <v>Root-native rig</v>
      </c>
      <c r="D542" s="19" t="str">
        <f aca="false">'Lot Register'!D83</f>
        <v>MS-HU</v>
      </c>
      <c r="E542" s="19" t="str">
        <f aca="false">'Lot Register'!G83</f>
        <v>ST-HU-REC</v>
      </c>
      <c r="F542" s="9" t="s">
        <v>587</v>
      </c>
      <c r="G542" s="9" t="s">
        <v>588</v>
      </c>
      <c r="H542" s="9" t="s">
        <v>589</v>
      </c>
      <c r="I542" s="9" t="s">
        <v>562</v>
      </c>
      <c r="J542" s="11" t="s">
        <v>238</v>
      </c>
      <c r="K542" s="47" t="n">
        <f aca="false">Controls!B26</f>
        <v>0</v>
      </c>
      <c r="L542" s="47" t="str">
        <f aca="false">IF(K542=1,"PASS","OPEN")</f>
        <v>OPEN</v>
      </c>
    </row>
    <row r="543" customFormat="false" ht="15" hidden="false" customHeight="false" outlineLevel="0" collapsed="false">
      <c r="A543" s="19" t="str">
        <f aca="false">"DEC-"&amp;B543&amp;"-G5"</f>
        <v>DEC-RIG-HU-REC-G5</v>
      </c>
      <c r="B543" s="19" t="str">
        <f aca="false">'Lot Register'!A83</f>
        <v>RIG-HU-REC</v>
      </c>
      <c r="C543" s="19" t="str">
        <f aca="false">'Lot Register'!B83</f>
        <v>Root-native rig</v>
      </c>
      <c r="D543" s="19" t="str">
        <f aca="false">'Lot Register'!D83</f>
        <v>MS-HU</v>
      </c>
      <c r="E543" s="19" t="str">
        <f aca="false">'Lot Register'!G83</f>
        <v>ST-HU-REC</v>
      </c>
      <c r="F543" s="9" t="s">
        <v>590</v>
      </c>
      <c r="G543" s="9" t="s">
        <v>591</v>
      </c>
      <c r="H543" s="9" t="s">
        <v>592</v>
      </c>
      <c r="I543" s="9" t="s">
        <v>565</v>
      </c>
      <c r="J543" s="11" t="s">
        <v>238</v>
      </c>
      <c r="K543" s="47" t="n">
        <f aca="false">Controls!B26</f>
        <v>0</v>
      </c>
      <c r="L543" s="47" t="str">
        <f aca="false">IF(K543=1,"PASS","OPEN")</f>
        <v>OPEN</v>
      </c>
    </row>
    <row r="544" customFormat="false" ht="15" hidden="false" customHeight="false" outlineLevel="0" collapsed="false">
      <c r="A544" s="19" t="str">
        <f aca="false">"DEC-"&amp;B544&amp;"-G6"</f>
        <v>DEC-RIG-HU-REC-G6</v>
      </c>
      <c r="B544" s="19" t="str">
        <f aca="false">'Lot Register'!A83</f>
        <v>RIG-HU-REC</v>
      </c>
      <c r="C544" s="19" t="str">
        <f aca="false">'Lot Register'!B83</f>
        <v>Root-native rig</v>
      </c>
      <c r="D544" s="19" t="str">
        <f aca="false">'Lot Register'!D83</f>
        <v>MS-HU</v>
      </c>
      <c r="E544" s="19" t="str">
        <f aca="false">'Lot Register'!G83</f>
        <v>ST-HU-REC</v>
      </c>
      <c r="F544" s="9" t="s">
        <v>593</v>
      </c>
      <c r="G544" s="9" t="s">
        <v>594</v>
      </c>
      <c r="H544" s="9" t="s">
        <v>595</v>
      </c>
      <c r="I544" s="9" t="s">
        <v>570</v>
      </c>
      <c r="J544" s="11" t="s">
        <v>238</v>
      </c>
      <c r="K544" s="47" t="n">
        <f aca="false">Controls!B26</f>
        <v>0</v>
      </c>
      <c r="L544" s="47" t="str">
        <f aca="false">IF(K544=1,"PASS","OPEN")</f>
        <v>OPEN</v>
      </c>
    </row>
    <row r="545" customFormat="false" ht="15" hidden="false" customHeight="false" outlineLevel="0" collapsed="false">
      <c r="A545" s="19" t="str">
        <f aca="false">"DEC-"&amp;B545&amp;"-G7"</f>
        <v>DEC-RIG-HU-REC-G7</v>
      </c>
      <c r="B545" s="19" t="str">
        <f aca="false">'Lot Register'!A83</f>
        <v>RIG-HU-REC</v>
      </c>
      <c r="C545" s="19" t="str">
        <f aca="false">'Lot Register'!B83</f>
        <v>Root-native rig</v>
      </c>
      <c r="D545" s="19" t="str">
        <f aca="false">'Lot Register'!D83</f>
        <v>MS-HU</v>
      </c>
      <c r="E545" s="19" t="str">
        <f aca="false">'Lot Register'!G83</f>
        <v>ST-HU-REC</v>
      </c>
      <c r="F545" s="9" t="s">
        <v>596</v>
      </c>
      <c r="G545" s="9" t="s">
        <v>597</v>
      </c>
      <c r="H545" s="9" t="s">
        <v>598</v>
      </c>
      <c r="I545" s="9" t="s">
        <v>570</v>
      </c>
      <c r="J545" s="11" t="s">
        <v>238</v>
      </c>
      <c r="K545" s="47" t="n">
        <f aca="false">Controls!B26</f>
        <v>0</v>
      </c>
      <c r="L545" s="47" t="str">
        <f aca="false">IF(K545=1,"PASS","OPEN")</f>
        <v>OPEN</v>
      </c>
    </row>
    <row r="546" customFormat="false" ht="15" hidden="false" customHeight="false" outlineLevel="0" collapsed="false">
      <c r="A546" s="19" t="str">
        <f aca="false">"DEC-"&amp;B546&amp;"-G1"</f>
        <v>DEC-MTH-HU-REC-L1-G1</v>
      </c>
      <c r="B546" s="19" t="str">
        <f aca="false">'Lot Register'!A84</f>
        <v>MTH-HU-REC-L1</v>
      </c>
      <c r="C546" s="19" t="str">
        <f aca="false">'Lot Register'!B84</f>
        <v>Method lineage</v>
      </c>
      <c r="D546" s="19" t="str">
        <f aca="false">'Lot Register'!D84</f>
        <v>MS-HU</v>
      </c>
      <c r="E546" s="19" t="str">
        <f aca="false">'Lot Register'!G84</f>
        <v>ST-HU-REC</v>
      </c>
      <c r="F546" s="9" t="s">
        <v>578</v>
      </c>
      <c r="G546" s="9" t="s">
        <v>579</v>
      </c>
      <c r="H546" s="9" t="s">
        <v>580</v>
      </c>
      <c r="I546" s="9" t="s">
        <v>562</v>
      </c>
      <c r="J546" s="11" t="s">
        <v>238</v>
      </c>
      <c r="K546" s="47" t="n">
        <f aca="false">Controls!B26</f>
        <v>0</v>
      </c>
      <c r="L546" s="47" t="str">
        <f aca="false">IF(K546=1,"PASS","OPEN")</f>
        <v>OPEN</v>
      </c>
    </row>
    <row r="547" customFormat="false" ht="15" hidden="false" customHeight="false" outlineLevel="0" collapsed="false">
      <c r="A547" s="19" t="str">
        <f aca="false">"DEC-"&amp;B547&amp;"-G2"</f>
        <v>DEC-MTH-HU-REC-L1-G2</v>
      </c>
      <c r="B547" s="19" t="str">
        <f aca="false">'Lot Register'!A84</f>
        <v>MTH-HU-REC-L1</v>
      </c>
      <c r="C547" s="19" t="str">
        <f aca="false">'Lot Register'!B84</f>
        <v>Method lineage</v>
      </c>
      <c r="D547" s="19" t="str">
        <f aca="false">'Lot Register'!D84</f>
        <v>MS-HU</v>
      </c>
      <c r="E547" s="19" t="str">
        <f aca="false">'Lot Register'!G84</f>
        <v>ST-HU-REC</v>
      </c>
      <c r="F547" s="9" t="s">
        <v>581</v>
      </c>
      <c r="G547" s="9" t="s">
        <v>582</v>
      </c>
      <c r="H547" s="9" t="s">
        <v>583</v>
      </c>
      <c r="I547" s="9" t="s">
        <v>560</v>
      </c>
      <c r="J547" s="11" t="s">
        <v>238</v>
      </c>
      <c r="K547" s="47" t="n">
        <f aca="false">Controls!B26</f>
        <v>0</v>
      </c>
      <c r="L547" s="47" t="str">
        <f aca="false">IF(K547=1,"PASS","OPEN")</f>
        <v>OPEN</v>
      </c>
    </row>
    <row r="548" customFormat="false" ht="15" hidden="false" customHeight="false" outlineLevel="0" collapsed="false">
      <c r="A548" s="19" t="str">
        <f aca="false">"DEC-"&amp;B548&amp;"-G3"</f>
        <v>DEC-MTH-HU-REC-L1-G3</v>
      </c>
      <c r="B548" s="19" t="str">
        <f aca="false">'Lot Register'!A84</f>
        <v>MTH-HU-REC-L1</v>
      </c>
      <c r="C548" s="19" t="str">
        <f aca="false">'Lot Register'!B84</f>
        <v>Method lineage</v>
      </c>
      <c r="D548" s="19" t="str">
        <f aca="false">'Lot Register'!D84</f>
        <v>MS-HU</v>
      </c>
      <c r="E548" s="19" t="str">
        <f aca="false">'Lot Register'!G84</f>
        <v>ST-HU-REC</v>
      </c>
      <c r="F548" s="9" t="s">
        <v>584</v>
      </c>
      <c r="G548" s="9" t="s">
        <v>585</v>
      </c>
      <c r="H548" s="9" t="s">
        <v>586</v>
      </c>
      <c r="I548" s="9" t="s">
        <v>565</v>
      </c>
      <c r="J548" s="11" t="s">
        <v>238</v>
      </c>
      <c r="K548" s="47" t="n">
        <f aca="false">Controls!B26</f>
        <v>0</v>
      </c>
      <c r="L548" s="47" t="str">
        <f aca="false">IF(K548=1,"PASS","OPEN")</f>
        <v>OPEN</v>
      </c>
    </row>
    <row r="549" customFormat="false" ht="15" hidden="false" customHeight="false" outlineLevel="0" collapsed="false">
      <c r="A549" s="19" t="str">
        <f aca="false">"DEC-"&amp;B549&amp;"-G4"</f>
        <v>DEC-MTH-HU-REC-L1-G4</v>
      </c>
      <c r="B549" s="19" t="str">
        <f aca="false">'Lot Register'!A84</f>
        <v>MTH-HU-REC-L1</v>
      </c>
      <c r="C549" s="19" t="str">
        <f aca="false">'Lot Register'!B84</f>
        <v>Method lineage</v>
      </c>
      <c r="D549" s="19" t="str">
        <f aca="false">'Lot Register'!D84</f>
        <v>MS-HU</v>
      </c>
      <c r="E549" s="19" t="str">
        <f aca="false">'Lot Register'!G84</f>
        <v>ST-HU-REC</v>
      </c>
      <c r="F549" s="9" t="s">
        <v>587</v>
      </c>
      <c r="G549" s="9" t="s">
        <v>588</v>
      </c>
      <c r="H549" s="9" t="s">
        <v>589</v>
      </c>
      <c r="I549" s="9" t="s">
        <v>562</v>
      </c>
      <c r="J549" s="11" t="s">
        <v>238</v>
      </c>
      <c r="K549" s="47" t="n">
        <f aca="false">Controls!B26</f>
        <v>0</v>
      </c>
      <c r="L549" s="47" t="str">
        <f aca="false">IF(K549=1,"PASS","OPEN")</f>
        <v>OPEN</v>
      </c>
    </row>
    <row r="550" customFormat="false" ht="15" hidden="false" customHeight="false" outlineLevel="0" collapsed="false">
      <c r="A550" s="19" t="str">
        <f aca="false">"DEC-"&amp;B550&amp;"-G5"</f>
        <v>DEC-MTH-HU-REC-L1-G5</v>
      </c>
      <c r="B550" s="19" t="str">
        <f aca="false">'Lot Register'!A84</f>
        <v>MTH-HU-REC-L1</v>
      </c>
      <c r="C550" s="19" t="str">
        <f aca="false">'Lot Register'!B84</f>
        <v>Method lineage</v>
      </c>
      <c r="D550" s="19" t="str">
        <f aca="false">'Lot Register'!D84</f>
        <v>MS-HU</v>
      </c>
      <c r="E550" s="19" t="str">
        <f aca="false">'Lot Register'!G84</f>
        <v>ST-HU-REC</v>
      </c>
      <c r="F550" s="9" t="s">
        <v>590</v>
      </c>
      <c r="G550" s="9" t="s">
        <v>591</v>
      </c>
      <c r="H550" s="9" t="s">
        <v>592</v>
      </c>
      <c r="I550" s="9" t="s">
        <v>565</v>
      </c>
      <c r="J550" s="11" t="s">
        <v>238</v>
      </c>
      <c r="K550" s="47" t="n">
        <f aca="false">Controls!B26</f>
        <v>0</v>
      </c>
      <c r="L550" s="47" t="str">
        <f aca="false">IF(K550=1,"PASS","OPEN")</f>
        <v>OPEN</v>
      </c>
    </row>
    <row r="551" customFormat="false" ht="15" hidden="false" customHeight="false" outlineLevel="0" collapsed="false">
      <c r="A551" s="19" t="str">
        <f aca="false">"DEC-"&amp;B551&amp;"-G6"</f>
        <v>DEC-MTH-HU-REC-L1-G6</v>
      </c>
      <c r="B551" s="19" t="str">
        <f aca="false">'Lot Register'!A84</f>
        <v>MTH-HU-REC-L1</v>
      </c>
      <c r="C551" s="19" t="str">
        <f aca="false">'Lot Register'!B84</f>
        <v>Method lineage</v>
      </c>
      <c r="D551" s="19" t="str">
        <f aca="false">'Lot Register'!D84</f>
        <v>MS-HU</v>
      </c>
      <c r="E551" s="19" t="str">
        <f aca="false">'Lot Register'!G84</f>
        <v>ST-HU-REC</v>
      </c>
      <c r="F551" s="9" t="s">
        <v>593</v>
      </c>
      <c r="G551" s="9" t="s">
        <v>594</v>
      </c>
      <c r="H551" s="9" t="s">
        <v>595</v>
      </c>
      <c r="I551" s="9" t="s">
        <v>570</v>
      </c>
      <c r="J551" s="11" t="s">
        <v>238</v>
      </c>
      <c r="K551" s="47" t="n">
        <f aca="false">Controls!B26</f>
        <v>0</v>
      </c>
      <c r="L551" s="47" t="str">
        <f aca="false">IF(K551=1,"PASS","OPEN")</f>
        <v>OPEN</v>
      </c>
    </row>
    <row r="552" customFormat="false" ht="15" hidden="false" customHeight="false" outlineLevel="0" collapsed="false">
      <c r="A552" s="19" t="str">
        <f aca="false">"DEC-"&amp;B552&amp;"-G7"</f>
        <v>DEC-MTH-HU-REC-L1-G7</v>
      </c>
      <c r="B552" s="19" t="str">
        <f aca="false">'Lot Register'!A84</f>
        <v>MTH-HU-REC-L1</v>
      </c>
      <c r="C552" s="19" t="str">
        <f aca="false">'Lot Register'!B84</f>
        <v>Method lineage</v>
      </c>
      <c r="D552" s="19" t="str">
        <f aca="false">'Lot Register'!D84</f>
        <v>MS-HU</v>
      </c>
      <c r="E552" s="19" t="str">
        <f aca="false">'Lot Register'!G84</f>
        <v>ST-HU-REC</v>
      </c>
      <c r="F552" s="9" t="s">
        <v>596</v>
      </c>
      <c r="G552" s="9" t="s">
        <v>597</v>
      </c>
      <c r="H552" s="9" t="s">
        <v>598</v>
      </c>
      <c r="I552" s="9" t="s">
        <v>570</v>
      </c>
      <c r="J552" s="11" t="s">
        <v>238</v>
      </c>
      <c r="K552" s="47" t="n">
        <f aca="false">Controls!B26</f>
        <v>0</v>
      </c>
      <c r="L552" s="47" t="str">
        <f aca="false">IF(K552=1,"PASS","OPEN")</f>
        <v>OPEN</v>
      </c>
    </row>
    <row r="553" customFormat="false" ht="15" hidden="false" customHeight="false" outlineLevel="0" collapsed="false">
      <c r="A553" s="19" t="str">
        <f aca="false">"DEC-"&amp;B553&amp;"-G1"</f>
        <v>DEC-MTH-HU-REC-L2-G1</v>
      </c>
      <c r="B553" s="19" t="str">
        <f aca="false">'Lot Register'!A85</f>
        <v>MTH-HU-REC-L2</v>
      </c>
      <c r="C553" s="19" t="str">
        <f aca="false">'Lot Register'!B85</f>
        <v>Method lineage</v>
      </c>
      <c r="D553" s="19" t="str">
        <f aca="false">'Lot Register'!D85</f>
        <v>MS-HU</v>
      </c>
      <c r="E553" s="19" t="str">
        <f aca="false">'Lot Register'!G85</f>
        <v>ST-HU-REC</v>
      </c>
      <c r="F553" s="9" t="s">
        <v>578</v>
      </c>
      <c r="G553" s="9" t="s">
        <v>579</v>
      </c>
      <c r="H553" s="9" t="s">
        <v>580</v>
      </c>
      <c r="I553" s="9" t="s">
        <v>562</v>
      </c>
      <c r="J553" s="11" t="s">
        <v>238</v>
      </c>
      <c r="K553" s="47" t="n">
        <f aca="false">Controls!B26</f>
        <v>0</v>
      </c>
      <c r="L553" s="47" t="str">
        <f aca="false">IF(K553=1,"PASS","OPEN")</f>
        <v>OPEN</v>
      </c>
    </row>
    <row r="554" customFormat="false" ht="15" hidden="false" customHeight="false" outlineLevel="0" collapsed="false">
      <c r="A554" s="19" t="str">
        <f aca="false">"DEC-"&amp;B554&amp;"-G2"</f>
        <v>DEC-MTH-HU-REC-L2-G2</v>
      </c>
      <c r="B554" s="19" t="str">
        <f aca="false">'Lot Register'!A85</f>
        <v>MTH-HU-REC-L2</v>
      </c>
      <c r="C554" s="19" t="str">
        <f aca="false">'Lot Register'!B85</f>
        <v>Method lineage</v>
      </c>
      <c r="D554" s="19" t="str">
        <f aca="false">'Lot Register'!D85</f>
        <v>MS-HU</v>
      </c>
      <c r="E554" s="19" t="str">
        <f aca="false">'Lot Register'!G85</f>
        <v>ST-HU-REC</v>
      </c>
      <c r="F554" s="9" t="s">
        <v>581</v>
      </c>
      <c r="G554" s="9" t="s">
        <v>582</v>
      </c>
      <c r="H554" s="9" t="s">
        <v>583</v>
      </c>
      <c r="I554" s="9" t="s">
        <v>560</v>
      </c>
      <c r="J554" s="11" t="s">
        <v>238</v>
      </c>
      <c r="K554" s="47" t="n">
        <f aca="false">Controls!B26</f>
        <v>0</v>
      </c>
      <c r="L554" s="47" t="str">
        <f aca="false">IF(K554=1,"PASS","OPEN")</f>
        <v>OPEN</v>
      </c>
    </row>
    <row r="555" customFormat="false" ht="15" hidden="false" customHeight="false" outlineLevel="0" collapsed="false">
      <c r="A555" s="19" t="str">
        <f aca="false">"DEC-"&amp;B555&amp;"-G3"</f>
        <v>DEC-MTH-HU-REC-L2-G3</v>
      </c>
      <c r="B555" s="19" t="str">
        <f aca="false">'Lot Register'!A85</f>
        <v>MTH-HU-REC-L2</v>
      </c>
      <c r="C555" s="19" t="str">
        <f aca="false">'Lot Register'!B85</f>
        <v>Method lineage</v>
      </c>
      <c r="D555" s="19" t="str">
        <f aca="false">'Lot Register'!D85</f>
        <v>MS-HU</v>
      </c>
      <c r="E555" s="19" t="str">
        <f aca="false">'Lot Register'!G85</f>
        <v>ST-HU-REC</v>
      </c>
      <c r="F555" s="9" t="s">
        <v>584</v>
      </c>
      <c r="G555" s="9" t="s">
        <v>585</v>
      </c>
      <c r="H555" s="9" t="s">
        <v>586</v>
      </c>
      <c r="I555" s="9" t="s">
        <v>565</v>
      </c>
      <c r="J555" s="11" t="s">
        <v>238</v>
      </c>
      <c r="K555" s="47" t="n">
        <f aca="false">Controls!B26</f>
        <v>0</v>
      </c>
      <c r="L555" s="47" t="str">
        <f aca="false">IF(K555=1,"PASS","OPEN")</f>
        <v>OPEN</v>
      </c>
    </row>
    <row r="556" customFormat="false" ht="15" hidden="false" customHeight="false" outlineLevel="0" collapsed="false">
      <c r="A556" s="19" t="str">
        <f aca="false">"DEC-"&amp;B556&amp;"-G4"</f>
        <v>DEC-MTH-HU-REC-L2-G4</v>
      </c>
      <c r="B556" s="19" t="str">
        <f aca="false">'Lot Register'!A85</f>
        <v>MTH-HU-REC-L2</v>
      </c>
      <c r="C556" s="19" t="str">
        <f aca="false">'Lot Register'!B85</f>
        <v>Method lineage</v>
      </c>
      <c r="D556" s="19" t="str">
        <f aca="false">'Lot Register'!D85</f>
        <v>MS-HU</v>
      </c>
      <c r="E556" s="19" t="str">
        <f aca="false">'Lot Register'!G85</f>
        <v>ST-HU-REC</v>
      </c>
      <c r="F556" s="9" t="s">
        <v>587</v>
      </c>
      <c r="G556" s="9" t="s">
        <v>588</v>
      </c>
      <c r="H556" s="9" t="s">
        <v>589</v>
      </c>
      <c r="I556" s="9" t="s">
        <v>562</v>
      </c>
      <c r="J556" s="11" t="s">
        <v>238</v>
      </c>
      <c r="K556" s="47" t="n">
        <f aca="false">Controls!B26</f>
        <v>0</v>
      </c>
      <c r="L556" s="47" t="str">
        <f aca="false">IF(K556=1,"PASS","OPEN")</f>
        <v>OPEN</v>
      </c>
    </row>
    <row r="557" customFormat="false" ht="15" hidden="false" customHeight="false" outlineLevel="0" collapsed="false">
      <c r="A557" s="19" t="str">
        <f aca="false">"DEC-"&amp;B557&amp;"-G5"</f>
        <v>DEC-MTH-HU-REC-L2-G5</v>
      </c>
      <c r="B557" s="19" t="str">
        <f aca="false">'Lot Register'!A85</f>
        <v>MTH-HU-REC-L2</v>
      </c>
      <c r="C557" s="19" t="str">
        <f aca="false">'Lot Register'!B85</f>
        <v>Method lineage</v>
      </c>
      <c r="D557" s="19" t="str">
        <f aca="false">'Lot Register'!D85</f>
        <v>MS-HU</v>
      </c>
      <c r="E557" s="19" t="str">
        <f aca="false">'Lot Register'!G85</f>
        <v>ST-HU-REC</v>
      </c>
      <c r="F557" s="9" t="s">
        <v>590</v>
      </c>
      <c r="G557" s="9" t="s">
        <v>591</v>
      </c>
      <c r="H557" s="9" t="s">
        <v>592</v>
      </c>
      <c r="I557" s="9" t="s">
        <v>565</v>
      </c>
      <c r="J557" s="11" t="s">
        <v>238</v>
      </c>
      <c r="K557" s="47" t="n">
        <f aca="false">Controls!B26</f>
        <v>0</v>
      </c>
      <c r="L557" s="47" t="str">
        <f aca="false">IF(K557=1,"PASS","OPEN")</f>
        <v>OPEN</v>
      </c>
    </row>
    <row r="558" customFormat="false" ht="15" hidden="false" customHeight="false" outlineLevel="0" collapsed="false">
      <c r="A558" s="19" t="str">
        <f aca="false">"DEC-"&amp;B558&amp;"-G6"</f>
        <v>DEC-MTH-HU-REC-L2-G6</v>
      </c>
      <c r="B558" s="19" t="str">
        <f aca="false">'Lot Register'!A85</f>
        <v>MTH-HU-REC-L2</v>
      </c>
      <c r="C558" s="19" t="str">
        <f aca="false">'Lot Register'!B85</f>
        <v>Method lineage</v>
      </c>
      <c r="D558" s="19" t="str">
        <f aca="false">'Lot Register'!D85</f>
        <v>MS-HU</v>
      </c>
      <c r="E558" s="19" t="str">
        <f aca="false">'Lot Register'!G85</f>
        <v>ST-HU-REC</v>
      </c>
      <c r="F558" s="9" t="s">
        <v>593</v>
      </c>
      <c r="G558" s="9" t="s">
        <v>594</v>
      </c>
      <c r="H558" s="9" t="s">
        <v>595</v>
      </c>
      <c r="I558" s="9" t="s">
        <v>570</v>
      </c>
      <c r="J558" s="11" t="s">
        <v>238</v>
      </c>
      <c r="K558" s="47" t="n">
        <f aca="false">Controls!B26</f>
        <v>0</v>
      </c>
      <c r="L558" s="47" t="str">
        <f aca="false">IF(K558=1,"PASS","OPEN")</f>
        <v>OPEN</v>
      </c>
    </row>
    <row r="559" customFormat="false" ht="15" hidden="false" customHeight="false" outlineLevel="0" collapsed="false">
      <c r="A559" s="19" t="str">
        <f aca="false">"DEC-"&amp;B559&amp;"-G7"</f>
        <v>DEC-MTH-HU-REC-L2-G7</v>
      </c>
      <c r="B559" s="19" t="str">
        <f aca="false">'Lot Register'!A85</f>
        <v>MTH-HU-REC-L2</v>
      </c>
      <c r="C559" s="19" t="str">
        <f aca="false">'Lot Register'!B85</f>
        <v>Method lineage</v>
      </c>
      <c r="D559" s="19" t="str">
        <f aca="false">'Lot Register'!D85</f>
        <v>MS-HU</v>
      </c>
      <c r="E559" s="19" t="str">
        <f aca="false">'Lot Register'!G85</f>
        <v>ST-HU-REC</v>
      </c>
      <c r="F559" s="9" t="s">
        <v>596</v>
      </c>
      <c r="G559" s="9" t="s">
        <v>597</v>
      </c>
      <c r="H559" s="9" t="s">
        <v>598</v>
      </c>
      <c r="I559" s="9" t="s">
        <v>570</v>
      </c>
      <c r="J559" s="11" t="s">
        <v>238</v>
      </c>
      <c r="K559" s="47" t="n">
        <f aca="false">Controls!B26</f>
        <v>0</v>
      </c>
      <c r="L559" s="47" t="str">
        <f aca="false">IF(K559=1,"PASS","OPEN")</f>
        <v>OPEN</v>
      </c>
    </row>
    <row r="560" customFormat="false" ht="15" hidden="false" customHeight="false" outlineLevel="0" collapsed="false">
      <c r="A560" s="19" t="str">
        <f aca="false">"DEC-"&amp;B560&amp;"-G1"</f>
        <v>DEC-REG-HU-REC-G1</v>
      </c>
      <c r="B560" s="19" t="str">
        <f aca="false">'Lot Register'!A86</f>
        <v>REG-HU-REC</v>
      </c>
      <c r="C560" s="19" t="str">
        <f aca="false">'Lot Register'!B86</f>
        <v>Regeneration tool</v>
      </c>
      <c r="D560" s="19" t="str">
        <f aca="false">'Lot Register'!D86</f>
        <v>MS-HU</v>
      </c>
      <c r="E560" s="19" t="str">
        <f aca="false">'Lot Register'!G86</f>
        <v>ST-HU-REC</v>
      </c>
      <c r="F560" s="9" t="s">
        <v>578</v>
      </c>
      <c r="G560" s="9" t="s">
        <v>579</v>
      </c>
      <c r="H560" s="9" t="s">
        <v>580</v>
      </c>
      <c r="I560" s="9" t="s">
        <v>562</v>
      </c>
      <c r="J560" s="11" t="s">
        <v>238</v>
      </c>
      <c r="K560" s="47" t="n">
        <f aca="false">Controls!B26</f>
        <v>0</v>
      </c>
      <c r="L560" s="47" t="str">
        <f aca="false">IF(K560=1,"PASS","OPEN")</f>
        <v>OPEN</v>
      </c>
    </row>
    <row r="561" customFormat="false" ht="15" hidden="false" customHeight="false" outlineLevel="0" collapsed="false">
      <c r="A561" s="19" t="str">
        <f aca="false">"DEC-"&amp;B561&amp;"-G2"</f>
        <v>DEC-REG-HU-REC-G2</v>
      </c>
      <c r="B561" s="19" t="str">
        <f aca="false">'Lot Register'!A86</f>
        <v>REG-HU-REC</v>
      </c>
      <c r="C561" s="19" t="str">
        <f aca="false">'Lot Register'!B86</f>
        <v>Regeneration tool</v>
      </c>
      <c r="D561" s="19" t="str">
        <f aca="false">'Lot Register'!D86</f>
        <v>MS-HU</v>
      </c>
      <c r="E561" s="19" t="str">
        <f aca="false">'Lot Register'!G86</f>
        <v>ST-HU-REC</v>
      </c>
      <c r="F561" s="9" t="s">
        <v>581</v>
      </c>
      <c r="G561" s="9" t="s">
        <v>582</v>
      </c>
      <c r="H561" s="9" t="s">
        <v>583</v>
      </c>
      <c r="I561" s="9" t="s">
        <v>560</v>
      </c>
      <c r="J561" s="11" t="s">
        <v>238</v>
      </c>
      <c r="K561" s="47" t="n">
        <f aca="false">Controls!B26</f>
        <v>0</v>
      </c>
      <c r="L561" s="47" t="str">
        <f aca="false">IF(K561=1,"PASS","OPEN")</f>
        <v>OPEN</v>
      </c>
    </row>
    <row r="562" customFormat="false" ht="15" hidden="false" customHeight="false" outlineLevel="0" collapsed="false">
      <c r="A562" s="19" t="str">
        <f aca="false">"DEC-"&amp;B562&amp;"-G3"</f>
        <v>DEC-REG-HU-REC-G3</v>
      </c>
      <c r="B562" s="19" t="str">
        <f aca="false">'Lot Register'!A86</f>
        <v>REG-HU-REC</v>
      </c>
      <c r="C562" s="19" t="str">
        <f aca="false">'Lot Register'!B86</f>
        <v>Regeneration tool</v>
      </c>
      <c r="D562" s="19" t="str">
        <f aca="false">'Lot Register'!D86</f>
        <v>MS-HU</v>
      </c>
      <c r="E562" s="19" t="str">
        <f aca="false">'Lot Register'!G86</f>
        <v>ST-HU-REC</v>
      </c>
      <c r="F562" s="9" t="s">
        <v>584</v>
      </c>
      <c r="G562" s="9" t="s">
        <v>585</v>
      </c>
      <c r="H562" s="9" t="s">
        <v>586</v>
      </c>
      <c r="I562" s="9" t="s">
        <v>565</v>
      </c>
      <c r="J562" s="11" t="s">
        <v>238</v>
      </c>
      <c r="K562" s="47" t="n">
        <f aca="false">Controls!B26</f>
        <v>0</v>
      </c>
      <c r="L562" s="47" t="str">
        <f aca="false">IF(K562=1,"PASS","OPEN")</f>
        <v>OPEN</v>
      </c>
    </row>
    <row r="563" customFormat="false" ht="15" hidden="false" customHeight="false" outlineLevel="0" collapsed="false">
      <c r="A563" s="19" t="str">
        <f aca="false">"DEC-"&amp;B563&amp;"-G4"</f>
        <v>DEC-REG-HU-REC-G4</v>
      </c>
      <c r="B563" s="19" t="str">
        <f aca="false">'Lot Register'!A86</f>
        <v>REG-HU-REC</v>
      </c>
      <c r="C563" s="19" t="str">
        <f aca="false">'Lot Register'!B86</f>
        <v>Regeneration tool</v>
      </c>
      <c r="D563" s="19" t="str">
        <f aca="false">'Lot Register'!D86</f>
        <v>MS-HU</v>
      </c>
      <c r="E563" s="19" t="str">
        <f aca="false">'Lot Register'!G86</f>
        <v>ST-HU-REC</v>
      </c>
      <c r="F563" s="9" t="s">
        <v>587</v>
      </c>
      <c r="G563" s="9" t="s">
        <v>588</v>
      </c>
      <c r="H563" s="9" t="s">
        <v>589</v>
      </c>
      <c r="I563" s="9" t="s">
        <v>562</v>
      </c>
      <c r="J563" s="11" t="s">
        <v>238</v>
      </c>
      <c r="K563" s="47" t="n">
        <f aca="false">Controls!B26</f>
        <v>0</v>
      </c>
      <c r="L563" s="47" t="str">
        <f aca="false">IF(K563=1,"PASS","OPEN")</f>
        <v>OPEN</v>
      </c>
    </row>
    <row r="564" customFormat="false" ht="15" hidden="false" customHeight="false" outlineLevel="0" collapsed="false">
      <c r="A564" s="19" t="str">
        <f aca="false">"DEC-"&amp;B564&amp;"-G5"</f>
        <v>DEC-REG-HU-REC-G5</v>
      </c>
      <c r="B564" s="19" t="str">
        <f aca="false">'Lot Register'!A86</f>
        <v>REG-HU-REC</v>
      </c>
      <c r="C564" s="19" t="str">
        <f aca="false">'Lot Register'!B86</f>
        <v>Regeneration tool</v>
      </c>
      <c r="D564" s="19" t="str">
        <f aca="false">'Lot Register'!D86</f>
        <v>MS-HU</v>
      </c>
      <c r="E564" s="19" t="str">
        <f aca="false">'Lot Register'!G86</f>
        <v>ST-HU-REC</v>
      </c>
      <c r="F564" s="9" t="s">
        <v>590</v>
      </c>
      <c r="G564" s="9" t="s">
        <v>591</v>
      </c>
      <c r="H564" s="9" t="s">
        <v>592</v>
      </c>
      <c r="I564" s="9" t="s">
        <v>565</v>
      </c>
      <c r="J564" s="11" t="s">
        <v>238</v>
      </c>
      <c r="K564" s="47" t="n">
        <f aca="false">Controls!B26</f>
        <v>0</v>
      </c>
      <c r="L564" s="47" t="str">
        <f aca="false">IF(K564=1,"PASS","OPEN")</f>
        <v>OPEN</v>
      </c>
    </row>
    <row r="565" customFormat="false" ht="15" hidden="false" customHeight="false" outlineLevel="0" collapsed="false">
      <c r="A565" s="19" t="str">
        <f aca="false">"DEC-"&amp;B565&amp;"-G6"</f>
        <v>DEC-REG-HU-REC-G6</v>
      </c>
      <c r="B565" s="19" t="str">
        <f aca="false">'Lot Register'!A86</f>
        <v>REG-HU-REC</v>
      </c>
      <c r="C565" s="19" t="str">
        <f aca="false">'Lot Register'!B86</f>
        <v>Regeneration tool</v>
      </c>
      <c r="D565" s="19" t="str">
        <f aca="false">'Lot Register'!D86</f>
        <v>MS-HU</v>
      </c>
      <c r="E565" s="19" t="str">
        <f aca="false">'Lot Register'!G86</f>
        <v>ST-HU-REC</v>
      </c>
      <c r="F565" s="9" t="s">
        <v>593</v>
      </c>
      <c r="G565" s="9" t="s">
        <v>594</v>
      </c>
      <c r="H565" s="9" t="s">
        <v>595</v>
      </c>
      <c r="I565" s="9" t="s">
        <v>570</v>
      </c>
      <c r="J565" s="11" t="s">
        <v>238</v>
      </c>
      <c r="K565" s="47" t="n">
        <f aca="false">Controls!B26</f>
        <v>0</v>
      </c>
      <c r="L565" s="47" t="str">
        <f aca="false">IF(K565=1,"PASS","OPEN")</f>
        <v>OPEN</v>
      </c>
    </row>
    <row r="566" customFormat="false" ht="15" hidden="false" customHeight="false" outlineLevel="0" collapsed="false">
      <c r="A566" s="19" t="str">
        <f aca="false">"DEC-"&amp;B566&amp;"-G7"</f>
        <v>DEC-REG-HU-REC-G7</v>
      </c>
      <c r="B566" s="19" t="str">
        <f aca="false">'Lot Register'!A86</f>
        <v>REG-HU-REC</v>
      </c>
      <c r="C566" s="19" t="str">
        <f aca="false">'Lot Register'!B86</f>
        <v>Regeneration tool</v>
      </c>
      <c r="D566" s="19" t="str">
        <f aca="false">'Lot Register'!D86</f>
        <v>MS-HU</v>
      </c>
      <c r="E566" s="19" t="str">
        <f aca="false">'Lot Register'!G86</f>
        <v>ST-HU-REC</v>
      </c>
      <c r="F566" s="9" t="s">
        <v>596</v>
      </c>
      <c r="G566" s="9" t="s">
        <v>597</v>
      </c>
      <c r="H566" s="9" t="s">
        <v>598</v>
      </c>
      <c r="I566" s="9" t="s">
        <v>570</v>
      </c>
      <c r="J566" s="11" t="s">
        <v>238</v>
      </c>
      <c r="K566" s="47" t="n">
        <f aca="false">Controls!B26</f>
        <v>0</v>
      </c>
      <c r="L566" s="47" t="str">
        <f aca="false">IF(K566=1,"PASS","OPEN")</f>
        <v>OPEN</v>
      </c>
    </row>
    <row r="567" customFormat="false" ht="15" hidden="false" customHeight="false" outlineLevel="0" collapsed="false">
      <c r="A567" s="19" t="str">
        <f aca="false">"DEC-"&amp;B567&amp;"-G1"</f>
        <v>DEC-INT-HU-REC-G1</v>
      </c>
      <c r="B567" s="19" t="str">
        <f aca="false">'Lot Register'!A87</f>
        <v>INT-HU-REC</v>
      </c>
      <c r="C567" s="19" t="str">
        <f aca="false">'Lot Register'!B87</f>
        <v>Station integration</v>
      </c>
      <c r="D567" s="19" t="str">
        <f aca="false">'Lot Register'!D87</f>
        <v>MS-HU</v>
      </c>
      <c r="E567" s="19" t="str">
        <f aca="false">'Lot Register'!G87</f>
        <v>ST-HU-REC</v>
      </c>
      <c r="F567" s="9" t="s">
        <v>578</v>
      </c>
      <c r="G567" s="9" t="s">
        <v>579</v>
      </c>
      <c r="H567" s="9" t="s">
        <v>580</v>
      </c>
      <c r="I567" s="9" t="s">
        <v>562</v>
      </c>
      <c r="J567" s="11" t="s">
        <v>238</v>
      </c>
      <c r="K567" s="47" t="n">
        <f aca="false">Controls!B26</f>
        <v>0</v>
      </c>
      <c r="L567" s="47" t="str">
        <f aca="false">IF(K567=1,"PASS","OPEN")</f>
        <v>OPEN</v>
      </c>
    </row>
    <row r="568" customFormat="false" ht="15" hidden="false" customHeight="false" outlineLevel="0" collapsed="false">
      <c r="A568" s="19" t="str">
        <f aca="false">"DEC-"&amp;B568&amp;"-G2"</f>
        <v>DEC-INT-HU-REC-G2</v>
      </c>
      <c r="B568" s="19" t="str">
        <f aca="false">'Lot Register'!A87</f>
        <v>INT-HU-REC</v>
      </c>
      <c r="C568" s="19" t="str">
        <f aca="false">'Lot Register'!B87</f>
        <v>Station integration</v>
      </c>
      <c r="D568" s="19" t="str">
        <f aca="false">'Lot Register'!D87</f>
        <v>MS-HU</v>
      </c>
      <c r="E568" s="19" t="str">
        <f aca="false">'Lot Register'!G87</f>
        <v>ST-HU-REC</v>
      </c>
      <c r="F568" s="9" t="s">
        <v>581</v>
      </c>
      <c r="G568" s="9" t="s">
        <v>582</v>
      </c>
      <c r="H568" s="9" t="s">
        <v>583</v>
      </c>
      <c r="I568" s="9" t="s">
        <v>560</v>
      </c>
      <c r="J568" s="11" t="s">
        <v>238</v>
      </c>
      <c r="K568" s="47" t="n">
        <f aca="false">Controls!B26</f>
        <v>0</v>
      </c>
      <c r="L568" s="47" t="str">
        <f aca="false">IF(K568=1,"PASS","OPEN")</f>
        <v>OPEN</v>
      </c>
    </row>
    <row r="569" customFormat="false" ht="15" hidden="false" customHeight="false" outlineLevel="0" collapsed="false">
      <c r="A569" s="19" t="str">
        <f aca="false">"DEC-"&amp;B569&amp;"-G3"</f>
        <v>DEC-INT-HU-REC-G3</v>
      </c>
      <c r="B569" s="19" t="str">
        <f aca="false">'Lot Register'!A87</f>
        <v>INT-HU-REC</v>
      </c>
      <c r="C569" s="19" t="str">
        <f aca="false">'Lot Register'!B87</f>
        <v>Station integration</v>
      </c>
      <c r="D569" s="19" t="str">
        <f aca="false">'Lot Register'!D87</f>
        <v>MS-HU</v>
      </c>
      <c r="E569" s="19" t="str">
        <f aca="false">'Lot Register'!G87</f>
        <v>ST-HU-REC</v>
      </c>
      <c r="F569" s="9" t="s">
        <v>584</v>
      </c>
      <c r="G569" s="9" t="s">
        <v>585</v>
      </c>
      <c r="H569" s="9" t="s">
        <v>586</v>
      </c>
      <c r="I569" s="9" t="s">
        <v>565</v>
      </c>
      <c r="J569" s="11" t="s">
        <v>238</v>
      </c>
      <c r="K569" s="47" t="n">
        <f aca="false">Controls!B26</f>
        <v>0</v>
      </c>
      <c r="L569" s="47" t="str">
        <f aca="false">IF(K569=1,"PASS","OPEN")</f>
        <v>OPEN</v>
      </c>
    </row>
    <row r="570" customFormat="false" ht="15" hidden="false" customHeight="false" outlineLevel="0" collapsed="false">
      <c r="A570" s="19" t="str">
        <f aca="false">"DEC-"&amp;B570&amp;"-G4"</f>
        <v>DEC-INT-HU-REC-G4</v>
      </c>
      <c r="B570" s="19" t="str">
        <f aca="false">'Lot Register'!A87</f>
        <v>INT-HU-REC</v>
      </c>
      <c r="C570" s="19" t="str">
        <f aca="false">'Lot Register'!B87</f>
        <v>Station integration</v>
      </c>
      <c r="D570" s="19" t="str">
        <f aca="false">'Lot Register'!D87</f>
        <v>MS-HU</v>
      </c>
      <c r="E570" s="19" t="str">
        <f aca="false">'Lot Register'!G87</f>
        <v>ST-HU-REC</v>
      </c>
      <c r="F570" s="9" t="s">
        <v>587</v>
      </c>
      <c r="G570" s="9" t="s">
        <v>588</v>
      </c>
      <c r="H570" s="9" t="s">
        <v>589</v>
      </c>
      <c r="I570" s="9" t="s">
        <v>562</v>
      </c>
      <c r="J570" s="11" t="s">
        <v>238</v>
      </c>
      <c r="K570" s="47" t="n">
        <f aca="false">Controls!B26</f>
        <v>0</v>
      </c>
      <c r="L570" s="47" t="str">
        <f aca="false">IF(K570=1,"PASS","OPEN")</f>
        <v>OPEN</v>
      </c>
    </row>
    <row r="571" customFormat="false" ht="15" hidden="false" customHeight="false" outlineLevel="0" collapsed="false">
      <c r="A571" s="19" t="str">
        <f aca="false">"DEC-"&amp;B571&amp;"-G5"</f>
        <v>DEC-INT-HU-REC-G5</v>
      </c>
      <c r="B571" s="19" t="str">
        <f aca="false">'Lot Register'!A87</f>
        <v>INT-HU-REC</v>
      </c>
      <c r="C571" s="19" t="str">
        <f aca="false">'Lot Register'!B87</f>
        <v>Station integration</v>
      </c>
      <c r="D571" s="19" t="str">
        <f aca="false">'Lot Register'!D87</f>
        <v>MS-HU</v>
      </c>
      <c r="E571" s="19" t="str">
        <f aca="false">'Lot Register'!G87</f>
        <v>ST-HU-REC</v>
      </c>
      <c r="F571" s="9" t="s">
        <v>590</v>
      </c>
      <c r="G571" s="9" t="s">
        <v>591</v>
      </c>
      <c r="H571" s="9" t="s">
        <v>592</v>
      </c>
      <c r="I571" s="9" t="s">
        <v>565</v>
      </c>
      <c r="J571" s="11" t="s">
        <v>238</v>
      </c>
      <c r="K571" s="47" t="n">
        <f aca="false">Controls!B26</f>
        <v>0</v>
      </c>
      <c r="L571" s="47" t="str">
        <f aca="false">IF(K571=1,"PASS","OPEN")</f>
        <v>OPEN</v>
      </c>
    </row>
    <row r="572" customFormat="false" ht="15" hidden="false" customHeight="false" outlineLevel="0" collapsed="false">
      <c r="A572" s="19" t="str">
        <f aca="false">"DEC-"&amp;B572&amp;"-G6"</f>
        <v>DEC-INT-HU-REC-G6</v>
      </c>
      <c r="B572" s="19" t="str">
        <f aca="false">'Lot Register'!A87</f>
        <v>INT-HU-REC</v>
      </c>
      <c r="C572" s="19" t="str">
        <f aca="false">'Lot Register'!B87</f>
        <v>Station integration</v>
      </c>
      <c r="D572" s="19" t="str">
        <f aca="false">'Lot Register'!D87</f>
        <v>MS-HU</v>
      </c>
      <c r="E572" s="19" t="str">
        <f aca="false">'Lot Register'!G87</f>
        <v>ST-HU-REC</v>
      </c>
      <c r="F572" s="9" t="s">
        <v>593</v>
      </c>
      <c r="G572" s="9" t="s">
        <v>594</v>
      </c>
      <c r="H572" s="9" t="s">
        <v>595</v>
      </c>
      <c r="I572" s="9" t="s">
        <v>570</v>
      </c>
      <c r="J572" s="11" t="s">
        <v>238</v>
      </c>
      <c r="K572" s="47" t="n">
        <f aca="false">Controls!B26</f>
        <v>0</v>
      </c>
      <c r="L572" s="47" t="str">
        <f aca="false">IF(K572=1,"PASS","OPEN")</f>
        <v>OPEN</v>
      </c>
    </row>
    <row r="573" customFormat="false" ht="15" hidden="false" customHeight="false" outlineLevel="0" collapsed="false">
      <c r="A573" s="19" t="str">
        <f aca="false">"DEC-"&amp;B573&amp;"-G7"</f>
        <v>DEC-INT-HU-REC-G7</v>
      </c>
      <c r="B573" s="19" t="str">
        <f aca="false">'Lot Register'!A87</f>
        <v>INT-HU-REC</v>
      </c>
      <c r="C573" s="19" t="str">
        <f aca="false">'Lot Register'!B87</f>
        <v>Station integration</v>
      </c>
      <c r="D573" s="19" t="str">
        <f aca="false">'Lot Register'!D87</f>
        <v>MS-HU</v>
      </c>
      <c r="E573" s="19" t="str">
        <f aca="false">'Lot Register'!G87</f>
        <v>ST-HU-REC</v>
      </c>
      <c r="F573" s="9" t="s">
        <v>596</v>
      </c>
      <c r="G573" s="9" t="s">
        <v>597</v>
      </c>
      <c r="H573" s="9" t="s">
        <v>598</v>
      </c>
      <c r="I573" s="9" t="s">
        <v>570</v>
      </c>
      <c r="J573" s="11" t="s">
        <v>238</v>
      </c>
      <c r="K573" s="47" t="n">
        <f aca="false">Controls!B26</f>
        <v>0</v>
      </c>
      <c r="L573" s="47" t="str">
        <f aca="false">IF(K573=1,"PASS","OPEN")</f>
        <v>OPEN</v>
      </c>
    </row>
    <row r="574" customFormat="false" ht="15" hidden="false" customHeight="false" outlineLevel="0" collapsed="false">
      <c r="A574" s="19" t="str">
        <f aca="false">"DEC-"&amp;B574&amp;"-G1"</f>
        <v>DEC-RIG-RT-CHA-G1</v>
      </c>
      <c r="B574" s="19" t="str">
        <f aca="false">'Lot Register'!A88</f>
        <v>RIG-RT-CHA</v>
      </c>
      <c r="C574" s="19" t="str">
        <f aca="false">'Lot Register'!B88</f>
        <v>Root-native rig</v>
      </c>
      <c r="D574" s="19" t="str">
        <f aca="false">'Lot Register'!D88</f>
        <v>MS-RT</v>
      </c>
      <c r="E574" s="19" t="str">
        <f aca="false">'Lot Register'!G88</f>
        <v>ST-RT-CHA</v>
      </c>
      <c r="F574" s="9" t="s">
        <v>578</v>
      </c>
      <c r="G574" s="9" t="s">
        <v>579</v>
      </c>
      <c r="H574" s="9" t="s">
        <v>580</v>
      </c>
      <c r="I574" s="9" t="s">
        <v>562</v>
      </c>
      <c r="J574" s="11" t="s">
        <v>238</v>
      </c>
      <c r="K574" s="47" t="n">
        <f aca="false">Controls!B26</f>
        <v>0</v>
      </c>
      <c r="L574" s="47" t="str">
        <f aca="false">IF(K574=1,"PASS","OPEN")</f>
        <v>OPEN</v>
      </c>
    </row>
    <row r="575" customFormat="false" ht="15" hidden="false" customHeight="false" outlineLevel="0" collapsed="false">
      <c r="A575" s="19" t="str">
        <f aca="false">"DEC-"&amp;B575&amp;"-G2"</f>
        <v>DEC-RIG-RT-CHA-G2</v>
      </c>
      <c r="B575" s="19" t="str">
        <f aca="false">'Lot Register'!A88</f>
        <v>RIG-RT-CHA</v>
      </c>
      <c r="C575" s="19" t="str">
        <f aca="false">'Lot Register'!B88</f>
        <v>Root-native rig</v>
      </c>
      <c r="D575" s="19" t="str">
        <f aca="false">'Lot Register'!D88</f>
        <v>MS-RT</v>
      </c>
      <c r="E575" s="19" t="str">
        <f aca="false">'Lot Register'!G88</f>
        <v>ST-RT-CHA</v>
      </c>
      <c r="F575" s="9" t="s">
        <v>581</v>
      </c>
      <c r="G575" s="9" t="s">
        <v>582</v>
      </c>
      <c r="H575" s="9" t="s">
        <v>583</v>
      </c>
      <c r="I575" s="9" t="s">
        <v>560</v>
      </c>
      <c r="J575" s="11" t="s">
        <v>238</v>
      </c>
      <c r="K575" s="47" t="n">
        <f aca="false">Controls!B26</f>
        <v>0</v>
      </c>
      <c r="L575" s="47" t="str">
        <f aca="false">IF(K575=1,"PASS","OPEN")</f>
        <v>OPEN</v>
      </c>
    </row>
    <row r="576" customFormat="false" ht="15" hidden="false" customHeight="false" outlineLevel="0" collapsed="false">
      <c r="A576" s="19" t="str">
        <f aca="false">"DEC-"&amp;B576&amp;"-G3"</f>
        <v>DEC-RIG-RT-CHA-G3</v>
      </c>
      <c r="B576" s="19" t="str">
        <f aca="false">'Lot Register'!A88</f>
        <v>RIG-RT-CHA</v>
      </c>
      <c r="C576" s="19" t="str">
        <f aca="false">'Lot Register'!B88</f>
        <v>Root-native rig</v>
      </c>
      <c r="D576" s="19" t="str">
        <f aca="false">'Lot Register'!D88</f>
        <v>MS-RT</v>
      </c>
      <c r="E576" s="19" t="str">
        <f aca="false">'Lot Register'!G88</f>
        <v>ST-RT-CHA</v>
      </c>
      <c r="F576" s="9" t="s">
        <v>584</v>
      </c>
      <c r="G576" s="9" t="s">
        <v>585</v>
      </c>
      <c r="H576" s="9" t="s">
        <v>586</v>
      </c>
      <c r="I576" s="9" t="s">
        <v>565</v>
      </c>
      <c r="J576" s="11" t="s">
        <v>238</v>
      </c>
      <c r="K576" s="47" t="n">
        <f aca="false">Controls!B26</f>
        <v>0</v>
      </c>
      <c r="L576" s="47" t="str">
        <f aca="false">IF(K576=1,"PASS","OPEN")</f>
        <v>OPEN</v>
      </c>
    </row>
    <row r="577" customFormat="false" ht="15" hidden="false" customHeight="false" outlineLevel="0" collapsed="false">
      <c r="A577" s="19" t="str">
        <f aca="false">"DEC-"&amp;B577&amp;"-G4"</f>
        <v>DEC-RIG-RT-CHA-G4</v>
      </c>
      <c r="B577" s="19" t="str">
        <f aca="false">'Lot Register'!A88</f>
        <v>RIG-RT-CHA</v>
      </c>
      <c r="C577" s="19" t="str">
        <f aca="false">'Lot Register'!B88</f>
        <v>Root-native rig</v>
      </c>
      <c r="D577" s="19" t="str">
        <f aca="false">'Lot Register'!D88</f>
        <v>MS-RT</v>
      </c>
      <c r="E577" s="19" t="str">
        <f aca="false">'Lot Register'!G88</f>
        <v>ST-RT-CHA</v>
      </c>
      <c r="F577" s="9" t="s">
        <v>587</v>
      </c>
      <c r="G577" s="9" t="s">
        <v>588</v>
      </c>
      <c r="H577" s="9" t="s">
        <v>589</v>
      </c>
      <c r="I577" s="9" t="s">
        <v>562</v>
      </c>
      <c r="J577" s="11" t="s">
        <v>238</v>
      </c>
      <c r="K577" s="47" t="n">
        <f aca="false">Controls!B26</f>
        <v>0</v>
      </c>
      <c r="L577" s="47" t="str">
        <f aca="false">IF(K577=1,"PASS","OPEN")</f>
        <v>OPEN</v>
      </c>
    </row>
    <row r="578" customFormat="false" ht="15" hidden="false" customHeight="false" outlineLevel="0" collapsed="false">
      <c r="A578" s="19" t="str">
        <f aca="false">"DEC-"&amp;B578&amp;"-G5"</f>
        <v>DEC-RIG-RT-CHA-G5</v>
      </c>
      <c r="B578" s="19" t="str">
        <f aca="false">'Lot Register'!A88</f>
        <v>RIG-RT-CHA</v>
      </c>
      <c r="C578" s="19" t="str">
        <f aca="false">'Lot Register'!B88</f>
        <v>Root-native rig</v>
      </c>
      <c r="D578" s="19" t="str">
        <f aca="false">'Lot Register'!D88</f>
        <v>MS-RT</v>
      </c>
      <c r="E578" s="19" t="str">
        <f aca="false">'Lot Register'!G88</f>
        <v>ST-RT-CHA</v>
      </c>
      <c r="F578" s="9" t="s">
        <v>590</v>
      </c>
      <c r="G578" s="9" t="s">
        <v>591</v>
      </c>
      <c r="H578" s="9" t="s">
        <v>592</v>
      </c>
      <c r="I578" s="9" t="s">
        <v>565</v>
      </c>
      <c r="J578" s="11" t="s">
        <v>238</v>
      </c>
      <c r="K578" s="47" t="n">
        <f aca="false">Controls!B26</f>
        <v>0</v>
      </c>
      <c r="L578" s="47" t="str">
        <f aca="false">IF(K578=1,"PASS","OPEN")</f>
        <v>OPEN</v>
      </c>
    </row>
    <row r="579" customFormat="false" ht="15" hidden="false" customHeight="false" outlineLevel="0" collapsed="false">
      <c r="A579" s="19" t="str">
        <f aca="false">"DEC-"&amp;B579&amp;"-G6"</f>
        <v>DEC-RIG-RT-CHA-G6</v>
      </c>
      <c r="B579" s="19" t="str">
        <f aca="false">'Lot Register'!A88</f>
        <v>RIG-RT-CHA</v>
      </c>
      <c r="C579" s="19" t="str">
        <f aca="false">'Lot Register'!B88</f>
        <v>Root-native rig</v>
      </c>
      <c r="D579" s="19" t="str">
        <f aca="false">'Lot Register'!D88</f>
        <v>MS-RT</v>
      </c>
      <c r="E579" s="19" t="str">
        <f aca="false">'Lot Register'!G88</f>
        <v>ST-RT-CHA</v>
      </c>
      <c r="F579" s="9" t="s">
        <v>593</v>
      </c>
      <c r="G579" s="9" t="s">
        <v>594</v>
      </c>
      <c r="H579" s="9" t="s">
        <v>595</v>
      </c>
      <c r="I579" s="9" t="s">
        <v>570</v>
      </c>
      <c r="J579" s="11" t="s">
        <v>238</v>
      </c>
      <c r="K579" s="47" t="n">
        <f aca="false">Controls!B26</f>
        <v>0</v>
      </c>
      <c r="L579" s="47" t="str">
        <f aca="false">IF(K579=1,"PASS","OPEN")</f>
        <v>OPEN</v>
      </c>
    </row>
    <row r="580" customFormat="false" ht="15" hidden="false" customHeight="false" outlineLevel="0" collapsed="false">
      <c r="A580" s="19" t="str">
        <f aca="false">"DEC-"&amp;B580&amp;"-G7"</f>
        <v>DEC-RIG-RT-CHA-G7</v>
      </c>
      <c r="B580" s="19" t="str">
        <f aca="false">'Lot Register'!A88</f>
        <v>RIG-RT-CHA</v>
      </c>
      <c r="C580" s="19" t="str">
        <f aca="false">'Lot Register'!B88</f>
        <v>Root-native rig</v>
      </c>
      <c r="D580" s="19" t="str">
        <f aca="false">'Lot Register'!D88</f>
        <v>MS-RT</v>
      </c>
      <c r="E580" s="19" t="str">
        <f aca="false">'Lot Register'!G88</f>
        <v>ST-RT-CHA</v>
      </c>
      <c r="F580" s="9" t="s">
        <v>596</v>
      </c>
      <c r="G580" s="9" t="s">
        <v>597</v>
      </c>
      <c r="H580" s="9" t="s">
        <v>598</v>
      </c>
      <c r="I580" s="9" t="s">
        <v>570</v>
      </c>
      <c r="J580" s="11" t="s">
        <v>238</v>
      </c>
      <c r="K580" s="47" t="n">
        <f aca="false">Controls!B26</f>
        <v>0</v>
      </c>
      <c r="L580" s="47" t="str">
        <f aca="false">IF(K580=1,"PASS","OPEN")</f>
        <v>OPEN</v>
      </c>
    </row>
    <row r="581" customFormat="false" ht="15" hidden="false" customHeight="false" outlineLevel="0" collapsed="false">
      <c r="A581" s="19" t="str">
        <f aca="false">"DEC-"&amp;B581&amp;"-G1"</f>
        <v>DEC-MTH-RT-CHA-L1-G1</v>
      </c>
      <c r="B581" s="19" t="str">
        <f aca="false">'Lot Register'!A89</f>
        <v>MTH-RT-CHA-L1</v>
      </c>
      <c r="C581" s="19" t="str">
        <f aca="false">'Lot Register'!B89</f>
        <v>Method lineage</v>
      </c>
      <c r="D581" s="19" t="str">
        <f aca="false">'Lot Register'!D89</f>
        <v>MS-RT</v>
      </c>
      <c r="E581" s="19" t="str">
        <f aca="false">'Lot Register'!G89</f>
        <v>ST-RT-CHA</v>
      </c>
      <c r="F581" s="9" t="s">
        <v>578</v>
      </c>
      <c r="G581" s="9" t="s">
        <v>579</v>
      </c>
      <c r="H581" s="9" t="s">
        <v>580</v>
      </c>
      <c r="I581" s="9" t="s">
        <v>562</v>
      </c>
      <c r="J581" s="11" t="s">
        <v>238</v>
      </c>
      <c r="K581" s="47" t="n">
        <f aca="false">Controls!B26</f>
        <v>0</v>
      </c>
      <c r="L581" s="47" t="str">
        <f aca="false">IF(K581=1,"PASS","OPEN")</f>
        <v>OPEN</v>
      </c>
    </row>
    <row r="582" customFormat="false" ht="15" hidden="false" customHeight="false" outlineLevel="0" collapsed="false">
      <c r="A582" s="19" t="str">
        <f aca="false">"DEC-"&amp;B582&amp;"-G2"</f>
        <v>DEC-MTH-RT-CHA-L1-G2</v>
      </c>
      <c r="B582" s="19" t="str">
        <f aca="false">'Lot Register'!A89</f>
        <v>MTH-RT-CHA-L1</v>
      </c>
      <c r="C582" s="19" t="str">
        <f aca="false">'Lot Register'!B89</f>
        <v>Method lineage</v>
      </c>
      <c r="D582" s="19" t="str">
        <f aca="false">'Lot Register'!D89</f>
        <v>MS-RT</v>
      </c>
      <c r="E582" s="19" t="str">
        <f aca="false">'Lot Register'!G89</f>
        <v>ST-RT-CHA</v>
      </c>
      <c r="F582" s="9" t="s">
        <v>581</v>
      </c>
      <c r="G582" s="9" t="s">
        <v>582</v>
      </c>
      <c r="H582" s="9" t="s">
        <v>583</v>
      </c>
      <c r="I582" s="9" t="s">
        <v>560</v>
      </c>
      <c r="J582" s="11" t="s">
        <v>238</v>
      </c>
      <c r="K582" s="47" t="n">
        <f aca="false">Controls!B26</f>
        <v>0</v>
      </c>
      <c r="L582" s="47" t="str">
        <f aca="false">IF(K582=1,"PASS","OPEN")</f>
        <v>OPEN</v>
      </c>
    </row>
    <row r="583" customFormat="false" ht="15" hidden="false" customHeight="false" outlineLevel="0" collapsed="false">
      <c r="A583" s="19" t="str">
        <f aca="false">"DEC-"&amp;B583&amp;"-G3"</f>
        <v>DEC-MTH-RT-CHA-L1-G3</v>
      </c>
      <c r="B583" s="19" t="str">
        <f aca="false">'Lot Register'!A89</f>
        <v>MTH-RT-CHA-L1</v>
      </c>
      <c r="C583" s="19" t="str">
        <f aca="false">'Lot Register'!B89</f>
        <v>Method lineage</v>
      </c>
      <c r="D583" s="19" t="str">
        <f aca="false">'Lot Register'!D89</f>
        <v>MS-RT</v>
      </c>
      <c r="E583" s="19" t="str">
        <f aca="false">'Lot Register'!G89</f>
        <v>ST-RT-CHA</v>
      </c>
      <c r="F583" s="9" t="s">
        <v>584</v>
      </c>
      <c r="G583" s="9" t="s">
        <v>585</v>
      </c>
      <c r="H583" s="9" t="s">
        <v>586</v>
      </c>
      <c r="I583" s="9" t="s">
        <v>565</v>
      </c>
      <c r="J583" s="11" t="s">
        <v>238</v>
      </c>
      <c r="K583" s="47" t="n">
        <f aca="false">Controls!B26</f>
        <v>0</v>
      </c>
      <c r="L583" s="47" t="str">
        <f aca="false">IF(K583=1,"PASS","OPEN")</f>
        <v>OPEN</v>
      </c>
    </row>
    <row r="584" customFormat="false" ht="15" hidden="false" customHeight="false" outlineLevel="0" collapsed="false">
      <c r="A584" s="19" t="str">
        <f aca="false">"DEC-"&amp;B584&amp;"-G4"</f>
        <v>DEC-MTH-RT-CHA-L1-G4</v>
      </c>
      <c r="B584" s="19" t="str">
        <f aca="false">'Lot Register'!A89</f>
        <v>MTH-RT-CHA-L1</v>
      </c>
      <c r="C584" s="19" t="str">
        <f aca="false">'Lot Register'!B89</f>
        <v>Method lineage</v>
      </c>
      <c r="D584" s="19" t="str">
        <f aca="false">'Lot Register'!D89</f>
        <v>MS-RT</v>
      </c>
      <c r="E584" s="19" t="str">
        <f aca="false">'Lot Register'!G89</f>
        <v>ST-RT-CHA</v>
      </c>
      <c r="F584" s="9" t="s">
        <v>587</v>
      </c>
      <c r="G584" s="9" t="s">
        <v>588</v>
      </c>
      <c r="H584" s="9" t="s">
        <v>589</v>
      </c>
      <c r="I584" s="9" t="s">
        <v>562</v>
      </c>
      <c r="J584" s="11" t="s">
        <v>238</v>
      </c>
      <c r="K584" s="47" t="n">
        <f aca="false">Controls!B26</f>
        <v>0</v>
      </c>
      <c r="L584" s="47" t="str">
        <f aca="false">IF(K584=1,"PASS","OPEN")</f>
        <v>OPEN</v>
      </c>
    </row>
    <row r="585" customFormat="false" ht="15" hidden="false" customHeight="false" outlineLevel="0" collapsed="false">
      <c r="A585" s="19" t="str">
        <f aca="false">"DEC-"&amp;B585&amp;"-G5"</f>
        <v>DEC-MTH-RT-CHA-L1-G5</v>
      </c>
      <c r="B585" s="19" t="str">
        <f aca="false">'Lot Register'!A89</f>
        <v>MTH-RT-CHA-L1</v>
      </c>
      <c r="C585" s="19" t="str">
        <f aca="false">'Lot Register'!B89</f>
        <v>Method lineage</v>
      </c>
      <c r="D585" s="19" t="str">
        <f aca="false">'Lot Register'!D89</f>
        <v>MS-RT</v>
      </c>
      <c r="E585" s="19" t="str">
        <f aca="false">'Lot Register'!G89</f>
        <v>ST-RT-CHA</v>
      </c>
      <c r="F585" s="9" t="s">
        <v>590</v>
      </c>
      <c r="G585" s="9" t="s">
        <v>591</v>
      </c>
      <c r="H585" s="9" t="s">
        <v>592</v>
      </c>
      <c r="I585" s="9" t="s">
        <v>565</v>
      </c>
      <c r="J585" s="11" t="s">
        <v>238</v>
      </c>
      <c r="K585" s="47" t="n">
        <f aca="false">Controls!B26</f>
        <v>0</v>
      </c>
      <c r="L585" s="47" t="str">
        <f aca="false">IF(K585=1,"PASS","OPEN")</f>
        <v>OPEN</v>
      </c>
    </row>
    <row r="586" customFormat="false" ht="15" hidden="false" customHeight="false" outlineLevel="0" collapsed="false">
      <c r="A586" s="19" t="str">
        <f aca="false">"DEC-"&amp;B586&amp;"-G6"</f>
        <v>DEC-MTH-RT-CHA-L1-G6</v>
      </c>
      <c r="B586" s="19" t="str">
        <f aca="false">'Lot Register'!A89</f>
        <v>MTH-RT-CHA-L1</v>
      </c>
      <c r="C586" s="19" t="str">
        <f aca="false">'Lot Register'!B89</f>
        <v>Method lineage</v>
      </c>
      <c r="D586" s="19" t="str">
        <f aca="false">'Lot Register'!D89</f>
        <v>MS-RT</v>
      </c>
      <c r="E586" s="19" t="str">
        <f aca="false">'Lot Register'!G89</f>
        <v>ST-RT-CHA</v>
      </c>
      <c r="F586" s="9" t="s">
        <v>593</v>
      </c>
      <c r="G586" s="9" t="s">
        <v>594</v>
      </c>
      <c r="H586" s="9" t="s">
        <v>595</v>
      </c>
      <c r="I586" s="9" t="s">
        <v>570</v>
      </c>
      <c r="J586" s="11" t="s">
        <v>238</v>
      </c>
      <c r="K586" s="47" t="n">
        <f aca="false">Controls!B26</f>
        <v>0</v>
      </c>
      <c r="L586" s="47" t="str">
        <f aca="false">IF(K586=1,"PASS","OPEN")</f>
        <v>OPEN</v>
      </c>
    </row>
    <row r="587" customFormat="false" ht="15" hidden="false" customHeight="false" outlineLevel="0" collapsed="false">
      <c r="A587" s="19" t="str">
        <f aca="false">"DEC-"&amp;B587&amp;"-G7"</f>
        <v>DEC-MTH-RT-CHA-L1-G7</v>
      </c>
      <c r="B587" s="19" t="str">
        <f aca="false">'Lot Register'!A89</f>
        <v>MTH-RT-CHA-L1</v>
      </c>
      <c r="C587" s="19" t="str">
        <f aca="false">'Lot Register'!B89</f>
        <v>Method lineage</v>
      </c>
      <c r="D587" s="19" t="str">
        <f aca="false">'Lot Register'!D89</f>
        <v>MS-RT</v>
      </c>
      <c r="E587" s="19" t="str">
        <f aca="false">'Lot Register'!G89</f>
        <v>ST-RT-CHA</v>
      </c>
      <c r="F587" s="9" t="s">
        <v>596</v>
      </c>
      <c r="G587" s="9" t="s">
        <v>597</v>
      </c>
      <c r="H587" s="9" t="s">
        <v>598</v>
      </c>
      <c r="I587" s="9" t="s">
        <v>570</v>
      </c>
      <c r="J587" s="11" t="s">
        <v>238</v>
      </c>
      <c r="K587" s="47" t="n">
        <f aca="false">Controls!B26</f>
        <v>0</v>
      </c>
      <c r="L587" s="47" t="str">
        <f aca="false">IF(K587=1,"PASS","OPEN")</f>
        <v>OPEN</v>
      </c>
    </row>
    <row r="588" customFormat="false" ht="15" hidden="false" customHeight="false" outlineLevel="0" collapsed="false">
      <c r="A588" s="19" t="str">
        <f aca="false">"DEC-"&amp;B588&amp;"-G1"</f>
        <v>DEC-MTH-RT-CHA-L2-G1</v>
      </c>
      <c r="B588" s="19" t="str">
        <f aca="false">'Lot Register'!A90</f>
        <v>MTH-RT-CHA-L2</v>
      </c>
      <c r="C588" s="19" t="str">
        <f aca="false">'Lot Register'!B90</f>
        <v>Method lineage</v>
      </c>
      <c r="D588" s="19" t="str">
        <f aca="false">'Lot Register'!D90</f>
        <v>MS-RT</v>
      </c>
      <c r="E588" s="19" t="str">
        <f aca="false">'Lot Register'!G90</f>
        <v>ST-RT-CHA</v>
      </c>
      <c r="F588" s="9" t="s">
        <v>578</v>
      </c>
      <c r="G588" s="9" t="s">
        <v>579</v>
      </c>
      <c r="H588" s="9" t="s">
        <v>580</v>
      </c>
      <c r="I588" s="9" t="s">
        <v>562</v>
      </c>
      <c r="J588" s="11" t="s">
        <v>238</v>
      </c>
      <c r="K588" s="47" t="n">
        <f aca="false">Controls!B26</f>
        <v>0</v>
      </c>
      <c r="L588" s="47" t="str">
        <f aca="false">IF(K588=1,"PASS","OPEN")</f>
        <v>OPEN</v>
      </c>
    </row>
    <row r="589" customFormat="false" ht="15" hidden="false" customHeight="false" outlineLevel="0" collapsed="false">
      <c r="A589" s="19" t="str">
        <f aca="false">"DEC-"&amp;B589&amp;"-G2"</f>
        <v>DEC-MTH-RT-CHA-L2-G2</v>
      </c>
      <c r="B589" s="19" t="str">
        <f aca="false">'Lot Register'!A90</f>
        <v>MTH-RT-CHA-L2</v>
      </c>
      <c r="C589" s="19" t="str">
        <f aca="false">'Lot Register'!B90</f>
        <v>Method lineage</v>
      </c>
      <c r="D589" s="19" t="str">
        <f aca="false">'Lot Register'!D90</f>
        <v>MS-RT</v>
      </c>
      <c r="E589" s="19" t="str">
        <f aca="false">'Lot Register'!G90</f>
        <v>ST-RT-CHA</v>
      </c>
      <c r="F589" s="9" t="s">
        <v>581</v>
      </c>
      <c r="G589" s="9" t="s">
        <v>582</v>
      </c>
      <c r="H589" s="9" t="s">
        <v>583</v>
      </c>
      <c r="I589" s="9" t="s">
        <v>560</v>
      </c>
      <c r="J589" s="11" t="s">
        <v>238</v>
      </c>
      <c r="K589" s="47" t="n">
        <f aca="false">Controls!B26</f>
        <v>0</v>
      </c>
      <c r="L589" s="47" t="str">
        <f aca="false">IF(K589=1,"PASS","OPEN")</f>
        <v>OPEN</v>
      </c>
    </row>
    <row r="590" customFormat="false" ht="15" hidden="false" customHeight="false" outlineLevel="0" collapsed="false">
      <c r="A590" s="19" t="str">
        <f aca="false">"DEC-"&amp;B590&amp;"-G3"</f>
        <v>DEC-MTH-RT-CHA-L2-G3</v>
      </c>
      <c r="B590" s="19" t="str">
        <f aca="false">'Lot Register'!A90</f>
        <v>MTH-RT-CHA-L2</v>
      </c>
      <c r="C590" s="19" t="str">
        <f aca="false">'Lot Register'!B90</f>
        <v>Method lineage</v>
      </c>
      <c r="D590" s="19" t="str">
        <f aca="false">'Lot Register'!D90</f>
        <v>MS-RT</v>
      </c>
      <c r="E590" s="19" t="str">
        <f aca="false">'Lot Register'!G90</f>
        <v>ST-RT-CHA</v>
      </c>
      <c r="F590" s="9" t="s">
        <v>584</v>
      </c>
      <c r="G590" s="9" t="s">
        <v>585</v>
      </c>
      <c r="H590" s="9" t="s">
        <v>586</v>
      </c>
      <c r="I590" s="9" t="s">
        <v>565</v>
      </c>
      <c r="J590" s="11" t="s">
        <v>238</v>
      </c>
      <c r="K590" s="47" t="n">
        <f aca="false">Controls!B26</f>
        <v>0</v>
      </c>
      <c r="L590" s="47" t="str">
        <f aca="false">IF(K590=1,"PASS","OPEN")</f>
        <v>OPEN</v>
      </c>
    </row>
    <row r="591" customFormat="false" ht="15" hidden="false" customHeight="false" outlineLevel="0" collapsed="false">
      <c r="A591" s="19" t="str">
        <f aca="false">"DEC-"&amp;B591&amp;"-G4"</f>
        <v>DEC-MTH-RT-CHA-L2-G4</v>
      </c>
      <c r="B591" s="19" t="str">
        <f aca="false">'Lot Register'!A90</f>
        <v>MTH-RT-CHA-L2</v>
      </c>
      <c r="C591" s="19" t="str">
        <f aca="false">'Lot Register'!B90</f>
        <v>Method lineage</v>
      </c>
      <c r="D591" s="19" t="str">
        <f aca="false">'Lot Register'!D90</f>
        <v>MS-RT</v>
      </c>
      <c r="E591" s="19" t="str">
        <f aca="false">'Lot Register'!G90</f>
        <v>ST-RT-CHA</v>
      </c>
      <c r="F591" s="9" t="s">
        <v>587</v>
      </c>
      <c r="G591" s="9" t="s">
        <v>588</v>
      </c>
      <c r="H591" s="9" t="s">
        <v>589</v>
      </c>
      <c r="I591" s="9" t="s">
        <v>562</v>
      </c>
      <c r="J591" s="11" t="s">
        <v>238</v>
      </c>
      <c r="K591" s="47" t="n">
        <f aca="false">Controls!B26</f>
        <v>0</v>
      </c>
      <c r="L591" s="47" t="str">
        <f aca="false">IF(K591=1,"PASS","OPEN")</f>
        <v>OPEN</v>
      </c>
    </row>
    <row r="592" customFormat="false" ht="15" hidden="false" customHeight="false" outlineLevel="0" collapsed="false">
      <c r="A592" s="19" t="str">
        <f aca="false">"DEC-"&amp;B592&amp;"-G5"</f>
        <v>DEC-MTH-RT-CHA-L2-G5</v>
      </c>
      <c r="B592" s="19" t="str">
        <f aca="false">'Lot Register'!A90</f>
        <v>MTH-RT-CHA-L2</v>
      </c>
      <c r="C592" s="19" t="str">
        <f aca="false">'Lot Register'!B90</f>
        <v>Method lineage</v>
      </c>
      <c r="D592" s="19" t="str">
        <f aca="false">'Lot Register'!D90</f>
        <v>MS-RT</v>
      </c>
      <c r="E592" s="19" t="str">
        <f aca="false">'Lot Register'!G90</f>
        <v>ST-RT-CHA</v>
      </c>
      <c r="F592" s="9" t="s">
        <v>590</v>
      </c>
      <c r="G592" s="9" t="s">
        <v>591</v>
      </c>
      <c r="H592" s="9" t="s">
        <v>592</v>
      </c>
      <c r="I592" s="9" t="s">
        <v>565</v>
      </c>
      <c r="J592" s="11" t="s">
        <v>238</v>
      </c>
      <c r="K592" s="47" t="n">
        <f aca="false">Controls!B26</f>
        <v>0</v>
      </c>
      <c r="L592" s="47" t="str">
        <f aca="false">IF(K592=1,"PASS","OPEN")</f>
        <v>OPEN</v>
      </c>
    </row>
    <row r="593" customFormat="false" ht="15" hidden="false" customHeight="false" outlineLevel="0" collapsed="false">
      <c r="A593" s="19" t="str">
        <f aca="false">"DEC-"&amp;B593&amp;"-G6"</f>
        <v>DEC-MTH-RT-CHA-L2-G6</v>
      </c>
      <c r="B593" s="19" t="str">
        <f aca="false">'Lot Register'!A90</f>
        <v>MTH-RT-CHA-L2</v>
      </c>
      <c r="C593" s="19" t="str">
        <f aca="false">'Lot Register'!B90</f>
        <v>Method lineage</v>
      </c>
      <c r="D593" s="19" t="str">
        <f aca="false">'Lot Register'!D90</f>
        <v>MS-RT</v>
      </c>
      <c r="E593" s="19" t="str">
        <f aca="false">'Lot Register'!G90</f>
        <v>ST-RT-CHA</v>
      </c>
      <c r="F593" s="9" t="s">
        <v>593</v>
      </c>
      <c r="G593" s="9" t="s">
        <v>594</v>
      </c>
      <c r="H593" s="9" t="s">
        <v>595</v>
      </c>
      <c r="I593" s="9" t="s">
        <v>570</v>
      </c>
      <c r="J593" s="11" t="s">
        <v>238</v>
      </c>
      <c r="K593" s="47" t="n">
        <f aca="false">Controls!B26</f>
        <v>0</v>
      </c>
      <c r="L593" s="47" t="str">
        <f aca="false">IF(K593=1,"PASS","OPEN")</f>
        <v>OPEN</v>
      </c>
    </row>
    <row r="594" customFormat="false" ht="15" hidden="false" customHeight="false" outlineLevel="0" collapsed="false">
      <c r="A594" s="19" t="str">
        <f aca="false">"DEC-"&amp;B594&amp;"-G7"</f>
        <v>DEC-MTH-RT-CHA-L2-G7</v>
      </c>
      <c r="B594" s="19" t="str">
        <f aca="false">'Lot Register'!A90</f>
        <v>MTH-RT-CHA-L2</v>
      </c>
      <c r="C594" s="19" t="str">
        <f aca="false">'Lot Register'!B90</f>
        <v>Method lineage</v>
      </c>
      <c r="D594" s="19" t="str">
        <f aca="false">'Lot Register'!D90</f>
        <v>MS-RT</v>
      </c>
      <c r="E594" s="19" t="str">
        <f aca="false">'Lot Register'!G90</f>
        <v>ST-RT-CHA</v>
      </c>
      <c r="F594" s="9" t="s">
        <v>596</v>
      </c>
      <c r="G594" s="9" t="s">
        <v>597</v>
      </c>
      <c r="H594" s="9" t="s">
        <v>598</v>
      </c>
      <c r="I594" s="9" t="s">
        <v>570</v>
      </c>
      <c r="J594" s="11" t="s">
        <v>238</v>
      </c>
      <c r="K594" s="47" t="n">
        <f aca="false">Controls!B26</f>
        <v>0</v>
      </c>
      <c r="L594" s="47" t="str">
        <f aca="false">IF(K594=1,"PASS","OPEN")</f>
        <v>OPEN</v>
      </c>
    </row>
    <row r="595" customFormat="false" ht="15" hidden="false" customHeight="false" outlineLevel="0" collapsed="false">
      <c r="A595" s="19" t="str">
        <f aca="false">"DEC-"&amp;B595&amp;"-G1"</f>
        <v>DEC-REG-RT-CHA-G1</v>
      </c>
      <c r="B595" s="19" t="str">
        <f aca="false">'Lot Register'!A91</f>
        <v>REG-RT-CHA</v>
      </c>
      <c r="C595" s="19" t="str">
        <f aca="false">'Lot Register'!B91</f>
        <v>Regeneration tool</v>
      </c>
      <c r="D595" s="19" t="str">
        <f aca="false">'Lot Register'!D91</f>
        <v>MS-RT</v>
      </c>
      <c r="E595" s="19" t="str">
        <f aca="false">'Lot Register'!G91</f>
        <v>ST-RT-CHA</v>
      </c>
      <c r="F595" s="9" t="s">
        <v>578</v>
      </c>
      <c r="G595" s="9" t="s">
        <v>579</v>
      </c>
      <c r="H595" s="9" t="s">
        <v>580</v>
      </c>
      <c r="I595" s="9" t="s">
        <v>562</v>
      </c>
      <c r="J595" s="11" t="s">
        <v>238</v>
      </c>
      <c r="K595" s="47" t="n">
        <f aca="false">Controls!B26</f>
        <v>0</v>
      </c>
      <c r="L595" s="47" t="str">
        <f aca="false">IF(K595=1,"PASS","OPEN")</f>
        <v>OPEN</v>
      </c>
    </row>
    <row r="596" customFormat="false" ht="15" hidden="false" customHeight="false" outlineLevel="0" collapsed="false">
      <c r="A596" s="19" t="str">
        <f aca="false">"DEC-"&amp;B596&amp;"-G2"</f>
        <v>DEC-REG-RT-CHA-G2</v>
      </c>
      <c r="B596" s="19" t="str">
        <f aca="false">'Lot Register'!A91</f>
        <v>REG-RT-CHA</v>
      </c>
      <c r="C596" s="19" t="str">
        <f aca="false">'Lot Register'!B91</f>
        <v>Regeneration tool</v>
      </c>
      <c r="D596" s="19" t="str">
        <f aca="false">'Lot Register'!D91</f>
        <v>MS-RT</v>
      </c>
      <c r="E596" s="19" t="str">
        <f aca="false">'Lot Register'!G91</f>
        <v>ST-RT-CHA</v>
      </c>
      <c r="F596" s="9" t="s">
        <v>581</v>
      </c>
      <c r="G596" s="9" t="s">
        <v>582</v>
      </c>
      <c r="H596" s="9" t="s">
        <v>583</v>
      </c>
      <c r="I596" s="9" t="s">
        <v>560</v>
      </c>
      <c r="J596" s="11" t="s">
        <v>238</v>
      </c>
      <c r="K596" s="47" t="n">
        <f aca="false">Controls!B26</f>
        <v>0</v>
      </c>
      <c r="L596" s="47" t="str">
        <f aca="false">IF(K596=1,"PASS","OPEN")</f>
        <v>OPEN</v>
      </c>
    </row>
    <row r="597" customFormat="false" ht="15" hidden="false" customHeight="false" outlineLevel="0" collapsed="false">
      <c r="A597" s="19" t="str">
        <f aca="false">"DEC-"&amp;B597&amp;"-G3"</f>
        <v>DEC-REG-RT-CHA-G3</v>
      </c>
      <c r="B597" s="19" t="str">
        <f aca="false">'Lot Register'!A91</f>
        <v>REG-RT-CHA</v>
      </c>
      <c r="C597" s="19" t="str">
        <f aca="false">'Lot Register'!B91</f>
        <v>Regeneration tool</v>
      </c>
      <c r="D597" s="19" t="str">
        <f aca="false">'Lot Register'!D91</f>
        <v>MS-RT</v>
      </c>
      <c r="E597" s="19" t="str">
        <f aca="false">'Lot Register'!G91</f>
        <v>ST-RT-CHA</v>
      </c>
      <c r="F597" s="9" t="s">
        <v>584</v>
      </c>
      <c r="G597" s="9" t="s">
        <v>585</v>
      </c>
      <c r="H597" s="9" t="s">
        <v>586</v>
      </c>
      <c r="I597" s="9" t="s">
        <v>565</v>
      </c>
      <c r="J597" s="11" t="s">
        <v>238</v>
      </c>
      <c r="K597" s="47" t="n">
        <f aca="false">Controls!B26</f>
        <v>0</v>
      </c>
      <c r="L597" s="47" t="str">
        <f aca="false">IF(K597=1,"PASS","OPEN")</f>
        <v>OPEN</v>
      </c>
    </row>
    <row r="598" customFormat="false" ht="15" hidden="false" customHeight="false" outlineLevel="0" collapsed="false">
      <c r="A598" s="19" t="str">
        <f aca="false">"DEC-"&amp;B598&amp;"-G4"</f>
        <v>DEC-REG-RT-CHA-G4</v>
      </c>
      <c r="B598" s="19" t="str">
        <f aca="false">'Lot Register'!A91</f>
        <v>REG-RT-CHA</v>
      </c>
      <c r="C598" s="19" t="str">
        <f aca="false">'Lot Register'!B91</f>
        <v>Regeneration tool</v>
      </c>
      <c r="D598" s="19" t="str">
        <f aca="false">'Lot Register'!D91</f>
        <v>MS-RT</v>
      </c>
      <c r="E598" s="19" t="str">
        <f aca="false">'Lot Register'!G91</f>
        <v>ST-RT-CHA</v>
      </c>
      <c r="F598" s="9" t="s">
        <v>587</v>
      </c>
      <c r="G598" s="9" t="s">
        <v>588</v>
      </c>
      <c r="H598" s="9" t="s">
        <v>589</v>
      </c>
      <c r="I598" s="9" t="s">
        <v>562</v>
      </c>
      <c r="J598" s="11" t="s">
        <v>238</v>
      </c>
      <c r="K598" s="47" t="n">
        <f aca="false">Controls!B26</f>
        <v>0</v>
      </c>
      <c r="L598" s="47" t="str">
        <f aca="false">IF(K598=1,"PASS","OPEN")</f>
        <v>OPEN</v>
      </c>
    </row>
    <row r="599" customFormat="false" ht="15" hidden="false" customHeight="false" outlineLevel="0" collapsed="false">
      <c r="A599" s="19" t="str">
        <f aca="false">"DEC-"&amp;B599&amp;"-G5"</f>
        <v>DEC-REG-RT-CHA-G5</v>
      </c>
      <c r="B599" s="19" t="str">
        <f aca="false">'Lot Register'!A91</f>
        <v>REG-RT-CHA</v>
      </c>
      <c r="C599" s="19" t="str">
        <f aca="false">'Lot Register'!B91</f>
        <v>Regeneration tool</v>
      </c>
      <c r="D599" s="19" t="str">
        <f aca="false">'Lot Register'!D91</f>
        <v>MS-RT</v>
      </c>
      <c r="E599" s="19" t="str">
        <f aca="false">'Lot Register'!G91</f>
        <v>ST-RT-CHA</v>
      </c>
      <c r="F599" s="9" t="s">
        <v>590</v>
      </c>
      <c r="G599" s="9" t="s">
        <v>591</v>
      </c>
      <c r="H599" s="9" t="s">
        <v>592</v>
      </c>
      <c r="I599" s="9" t="s">
        <v>565</v>
      </c>
      <c r="J599" s="11" t="s">
        <v>238</v>
      </c>
      <c r="K599" s="47" t="n">
        <f aca="false">Controls!B26</f>
        <v>0</v>
      </c>
      <c r="L599" s="47" t="str">
        <f aca="false">IF(K599=1,"PASS","OPEN")</f>
        <v>OPEN</v>
      </c>
    </row>
    <row r="600" customFormat="false" ht="15" hidden="false" customHeight="false" outlineLevel="0" collapsed="false">
      <c r="A600" s="19" t="str">
        <f aca="false">"DEC-"&amp;B600&amp;"-G6"</f>
        <v>DEC-REG-RT-CHA-G6</v>
      </c>
      <c r="B600" s="19" t="str">
        <f aca="false">'Lot Register'!A91</f>
        <v>REG-RT-CHA</v>
      </c>
      <c r="C600" s="19" t="str">
        <f aca="false">'Lot Register'!B91</f>
        <v>Regeneration tool</v>
      </c>
      <c r="D600" s="19" t="str">
        <f aca="false">'Lot Register'!D91</f>
        <v>MS-RT</v>
      </c>
      <c r="E600" s="19" t="str">
        <f aca="false">'Lot Register'!G91</f>
        <v>ST-RT-CHA</v>
      </c>
      <c r="F600" s="9" t="s">
        <v>593</v>
      </c>
      <c r="G600" s="9" t="s">
        <v>594</v>
      </c>
      <c r="H600" s="9" t="s">
        <v>595</v>
      </c>
      <c r="I600" s="9" t="s">
        <v>570</v>
      </c>
      <c r="J600" s="11" t="s">
        <v>238</v>
      </c>
      <c r="K600" s="47" t="n">
        <f aca="false">Controls!B26</f>
        <v>0</v>
      </c>
      <c r="L600" s="47" t="str">
        <f aca="false">IF(K600=1,"PASS","OPEN")</f>
        <v>OPEN</v>
      </c>
    </row>
    <row r="601" customFormat="false" ht="15" hidden="false" customHeight="false" outlineLevel="0" collapsed="false">
      <c r="A601" s="19" t="str">
        <f aca="false">"DEC-"&amp;B601&amp;"-G7"</f>
        <v>DEC-REG-RT-CHA-G7</v>
      </c>
      <c r="B601" s="19" t="str">
        <f aca="false">'Lot Register'!A91</f>
        <v>REG-RT-CHA</v>
      </c>
      <c r="C601" s="19" t="str">
        <f aca="false">'Lot Register'!B91</f>
        <v>Regeneration tool</v>
      </c>
      <c r="D601" s="19" t="str">
        <f aca="false">'Lot Register'!D91</f>
        <v>MS-RT</v>
      </c>
      <c r="E601" s="19" t="str">
        <f aca="false">'Lot Register'!G91</f>
        <v>ST-RT-CHA</v>
      </c>
      <c r="F601" s="9" t="s">
        <v>596</v>
      </c>
      <c r="G601" s="9" t="s">
        <v>597</v>
      </c>
      <c r="H601" s="9" t="s">
        <v>598</v>
      </c>
      <c r="I601" s="9" t="s">
        <v>570</v>
      </c>
      <c r="J601" s="11" t="s">
        <v>238</v>
      </c>
      <c r="K601" s="47" t="n">
        <f aca="false">Controls!B26</f>
        <v>0</v>
      </c>
      <c r="L601" s="47" t="str">
        <f aca="false">IF(K601=1,"PASS","OPEN")</f>
        <v>OPEN</v>
      </c>
    </row>
    <row r="602" customFormat="false" ht="15" hidden="false" customHeight="false" outlineLevel="0" collapsed="false">
      <c r="A602" s="19" t="str">
        <f aca="false">"DEC-"&amp;B602&amp;"-G1"</f>
        <v>DEC-INT-RT-CHA-G1</v>
      </c>
      <c r="B602" s="19" t="str">
        <f aca="false">'Lot Register'!A92</f>
        <v>INT-RT-CHA</v>
      </c>
      <c r="C602" s="19" t="str">
        <f aca="false">'Lot Register'!B92</f>
        <v>Station integration</v>
      </c>
      <c r="D602" s="19" t="str">
        <f aca="false">'Lot Register'!D92</f>
        <v>MS-RT</v>
      </c>
      <c r="E602" s="19" t="str">
        <f aca="false">'Lot Register'!G92</f>
        <v>ST-RT-CHA</v>
      </c>
      <c r="F602" s="9" t="s">
        <v>578</v>
      </c>
      <c r="G602" s="9" t="s">
        <v>579</v>
      </c>
      <c r="H602" s="9" t="s">
        <v>580</v>
      </c>
      <c r="I602" s="9" t="s">
        <v>562</v>
      </c>
      <c r="J602" s="11" t="s">
        <v>238</v>
      </c>
      <c r="K602" s="47" t="n">
        <f aca="false">Controls!B26</f>
        <v>0</v>
      </c>
      <c r="L602" s="47" t="str">
        <f aca="false">IF(K602=1,"PASS","OPEN")</f>
        <v>OPEN</v>
      </c>
    </row>
    <row r="603" customFormat="false" ht="15" hidden="false" customHeight="false" outlineLevel="0" collapsed="false">
      <c r="A603" s="19" t="str">
        <f aca="false">"DEC-"&amp;B603&amp;"-G2"</f>
        <v>DEC-INT-RT-CHA-G2</v>
      </c>
      <c r="B603" s="19" t="str">
        <f aca="false">'Lot Register'!A92</f>
        <v>INT-RT-CHA</v>
      </c>
      <c r="C603" s="19" t="str">
        <f aca="false">'Lot Register'!B92</f>
        <v>Station integration</v>
      </c>
      <c r="D603" s="19" t="str">
        <f aca="false">'Lot Register'!D92</f>
        <v>MS-RT</v>
      </c>
      <c r="E603" s="19" t="str">
        <f aca="false">'Lot Register'!G92</f>
        <v>ST-RT-CHA</v>
      </c>
      <c r="F603" s="9" t="s">
        <v>581</v>
      </c>
      <c r="G603" s="9" t="s">
        <v>582</v>
      </c>
      <c r="H603" s="9" t="s">
        <v>583</v>
      </c>
      <c r="I603" s="9" t="s">
        <v>560</v>
      </c>
      <c r="J603" s="11" t="s">
        <v>238</v>
      </c>
      <c r="K603" s="47" t="n">
        <f aca="false">Controls!B26</f>
        <v>0</v>
      </c>
      <c r="L603" s="47" t="str">
        <f aca="false">IF(K603=1,"PASS","OPEN")</f>
        <v>OPEN</v>
      </c>
    </row>
    <row r="604" customFormat="false" ht="15" hidden="false" customHeight="false" outlineLevel="0" collapsed="false">
      <c r="A604" s="19" t="str">
        <f aca="false">"DEC-"&amp;B604&amp;"-G3"</f>
        <v>DEC-INT-RT-CHA-G3</v>
      </c>
      <c r="B604" s="19" t="str">
        <f aca="false">'Lot Register'!A92</f>
        <v>INT-RT-CHA</v>
      </c>
      <c r="C604" s="19" t="str">
        <f aca="false">'Lot Register'!B92</f>
        <v>Station integration</v>
      </c>
      <c r="D604" s="19" t="str">
        <f aca="false">'Lot Register'!D92</f>
        <v>MS-RT</v>
      </c>
      <c r="E604" s="19" t="str">
        <f aca="false">'Lot Register'!G92</f>
        <v>ST-RT-CHA</v>
      </c>
      <c r="F604" s="9" t="s">
        <v>584</v>
      </c>
      <c r="G604" s="9" t="s">
        <v>585</v>
      </c>
      <c r="H604" s="9" t="s">
        <v>586</v>
      </c>
      <c r="I604" s="9" t="s">
        <v>565</v>
      </c>
      <c r="J604" s="11" t="s">
        <v>238</v>
      </c>
      <c r="K604" s="47" t="n">
        <f aca="false">Controls!B26</f>
        <v>0</v>
      </c>
      <c r="L604" s="47" t="str">
        <f aca="false">IF(K604=1,"PASS","OPEN")</f>
        <v>OPEN</v>
      </c>
    </row>
    <row r="605" customFormat="false" ht="15" hidden="false" customHeight="false" outlineLevel="0" collapsed="false">
      <c r="A605" s="19" t="str">
        <f aca="false">"DEC-"&amp;B605&amp;"-G4"</f>
        <v>DEC-INT-RT-CHA-G4</v>
      </c>
      <c r="B605" s="19" t="str">
        <f aca="false">'Lot Register'!A92</f>
        <v>INT-RT-CHA</v>
      </c>
      <c r="C605" s="19" t="str">
        <f aca="false">'Lot Register'!B92</f>
        <v>Station integration</v>
      </c>
      <c r="D605" s="19" t="str">
        <f aca="false">'Lot Register'!D92</f>
        <v>MS-RT</v>
      </c>
      <c r="E605" s="19" t="str">
        <f aca="false">'Lot Register'!G92</f>
        <v>ST-RT-CHA</v>
      </c>
      <c r="F605" s="9" t="s">
        <v>587</v>
      </c>
      <c r="G605" s="9" t="s">
        <v>588</v>
      </c>
      <c r="H605" s="9" t="s">
        <v>589</v>
      </c>
      <c r="I605" s="9" t="s">
        <v>562</v>
      </c>
      <c r="J605" s="11" t="s">
        <v>238</v>
      </c>
      <c r="K605" s="47" t="n">
        <f aca="false">Controls!B26</f>
        <v>0</v>
      </c>
      <c r="L605" s="47" t="str">
        <f aca="false">IF(K605=1,"PASS","OPEN")</f>
        <v>OPEN</v>
      </c>
    </row>
    <row r="606" customFormat="false" ht="15" hidden="false" customHeight="false" outlineLevel="0" collapsed="false">
      <c r="A606" s="19" t="str">
        <f aca="false">"DEC-"&amp;B606&amp;"-G5"</f>
        <v>DEC-INT-RT-CHA-G5</v>
      </c>
      <c r="B606" s="19" t="str">
        <f aca="false">'Lot Register'!A92</f>
        <v>INT-RT-CHA</v>
      </c>
      <c r="C606" s="19" t="str">
        <f aca="false">'Lot Register'!B92</f>
        <v>Station integration</v>
      </c>
      <c r="D606" s="19" t="str">
        <f aca="false">'Lot Register'!D92</f>
        <v>MS-RT</v>
      </c>
      <c r="E606" s="19" t="str">
        <f aca="false">'Lot Register'!G92</f>
        <v>ST-RT-CHA</v>
      </c>
      <c r="F606" s="9" t="s">
        <v>590</v>
      </c>
      <c r="G606" s="9" t="s">
        <v>591</v>
      </c>
      <c r="H606" s="9" t="s">
        <v>592</v>
      </c>
      <c r="I606" s="9" t="s">
        <v>565</v>
      </c>
      <c r="J606" s="11" t="s">
        <v>238</v>
      </c>
      <c r="K606" s="47" t="n">
        <f aca="false">Controls!B26</f>
        <v>0</v>
      </c>
      <c r="L606" s="47" t="str">
        <f aca="false">IF(K606=1,"PASS","OPEN")</f>
        <v>OPEN</v>
      </c>
    </row>
    <row r="607" customFormat="false" ht="15" hidden="false" customHeight="false" outlineLevel="0" collapsed="false">
      <c r="A607" s="19" t="str">
        <f aca="false">"DEC-"&amp;B607&amp;"-G6"</f>
        <v>DEC-INT-RT-CHA-G6</v>
      </c>
      <c r="B607" s="19" t="str">
        <f aca="false">'Lot Register'!A92</f>
        <v>INT-RT-CHA</v>
      </c>
      <c r="C607" s="19" t="str">
        <f aca="false">'Lot Register'!B92</f>
        <v>Station integration</v>
      </c>
      <c r="D607" s="19" t="str">
        <f aca="false">'Lot Register'!D92</f>
        <v>MS-RT</v>
      </c>
      <c r="E607" s="19" t="str">
        <f aca="false">'Lot Register'!G92</f>
        <v>ST-RT-CHA</v>
      </c>
      <c r="F607" s="9" t="s">
        <v>593</v>
      </c>
      <c r="G607" s="9" t="s">
        <v>594</v>
      </c>
      <c r="H607" s="9" t="s">
        <v>595</v>
      </c>
      <c r="I607" s="9" t="s">
        <v>570</v>
      </c>
      <c r="J607" s="11" t="s">
        <v>238</v>
      </c>
      <c r="K607" s="47" t="n">
        <f aca="false">Controls!B26</f>
        <v>0</v>
      </c>
      <c r="L607" s="47" t="str">
        <f aca="false">IF(K607=1,"PASS","OPEN")</f>
        <v>OPEN</v>
      </c>
    </row>
    <row r="608" customFormat="false" ht="15" hidden="false" customHeight="false" outlineLevel="0" collapsed="false">
      <c r="A608" s="19" t="str">
        <f aca="false">"DEC-"&amp;B608&amp;"-G7"</f>
        <v>DEC-INT-RT-CHA-G7</v>
      </c>
      <c r="B608" s="19" t="str">
        <f aca="false">'Lot Register'!A92</f>
        <v>INT-RT-CHA</v>
      </c>
      <c r="C608" s="19" t="str">
        <f aca="false">'Lot Register'!B92</f>
        <v>Station integration</v>
      </c>
      <c r="D608" s="19" t="str">
        <f aca="false">'Lot Register'!D92</f>
        <v>MS-RT</v>
      </c>
      <c r="E608" s="19" t="str">
        <f aca="false">'Lot Register'!G92</f>
        <v>ST-RT-CHA</v>
      </c>
      <c r="F608" s="9" t="s">
        <v>596</v>
      </c>
      <c r="G608" s="9" t="s">
        <v>597</v>
      </c>
      <c r="H608" s="9" t="s">
        <v>598</v>
      </c>
      <c r="I608" s="9" t="s">
        <v>570</v>
      </c>
      <c r="J608" s="11" t="s">
        <v>238</v>
      </c>
      <c r="K608" s="47" t="n">
        <f aca="false">Controls!B26</f>
        <v>0</v>
      </c>
      <c r="L608" s="47" t="str">
        <f aca="false">IF(K608=1,"PASS","OPEN")</f>
        <v>OPEN</v>
      </c>
    </row>
    <row r="609" customFormat="false" ht="15" hidden="false" customHeight="false" outlineLevel="0" collapsed="false">
      <c r="A609" s="19" t="str">
        <f aca="false">"DEC-"&amp;B609&amp;"-G1"</f>
        <v>DEC-RIG-RT-CON-G1</v>
      </c>
      <c r="B609" s="19" t="str">
        <f aca="false">'Lot Register'!A93</f>
        <v>RIG-RT-CON</v>
      </c>
      <c r="C609" s="19" t="str">
        <f aca="false">'Lot Register'!B93</f>
        <v>Root-native rig</v>
      </c>
      <c r="D609" s="19" t="str">
        <f aca="false">'Lot Register'!D93</f>
        <v>MS-RT</v>
      </c>
      <c r="E609" s="19" t="str">
        <f aca="false">'Lot Register'!G93</f>
        <v>ST-RT-CON</v>
      </c>
      <c r="F609" s="9" t="s">
        <v>578</v>
      </c>
      <c r="G609" s="9" t="s">
        <v>579</v>
      </c>
      <c r="H609" s="9" t="s">
        <v>580</v>
      </c>
      <c r="I609" s="9" t="s">
        <v>562</v>
      </c>
      <c r="J609" s="11" t="s">
        <v>238</v>
      </c>
      <c r="K609" s="47" t="n">
        <f aca="false">Controls!B26</f>
        <v>0</v>
      </c>
      <c r="L609" s="47" t="str">
        <f aca="false">IF(K609=1,"PASS","OPEN")</f>
        <v>OPEN</v>
      </c>
    </row>
    <row r="610" customFormat="false" ht="15" hidden="false" customHeight="false" outlineLevel="0" collapsed="false">
      <c r="A610" s="19" t="str">
        <f aca="false">"DEC-"&amp;B610&amp;"-G2"</f>
        <v>DEC-RIG-RT-CON-G2</v>
      </c>
      <c r="B610" s="19" t="str">
        <f aca="false">'Lot Register'!A93</f>
        <v>RIG-RT-CON</v>
      </c>
      <c r="C610" s="19" t="str">
        <f aca="false">'Lot Register'!B93</f>
        <v>Root-native rig</v>
      </c>
      <c r="D610" s="19" t="str">
        <f aca="false">'Lot Register'!D93</f>
        <v>MS-RT</v>
      </c>
      <c r="E610" s="19" t="str">
        <f aca="false">'Lot Register'!G93</f>
        <v>ST-RT-CON</v>
      </c>
      <c r="F610" s="9" t="s">
        <v>581</v>
      </c>
      <c r="G610" s="9" t="s">
        <v>582</v>
      </c>
      <c r="H610" s="9" t="s">
        <v>583</v>
      </c>
      <c r="I610" s="9" t="s">
        <v>560</v>
      </c>
      <c r="J610" s="11" t="s">
        <v>238</v>
      </c>
      <c r="K610" s="47" t="n">
        <f aca="false">Controls!B26</f>
        <v>0</v>
      </c>
      <c r="L610" s="47" t="str">
        <f aca="false">IF(K610=1,"PASS","OPEN")</f>
        <v>OPEN</v>
      </c>
    </row>
    <row r="611" customFormat="false" ht="15" hidden="false" customHeight="false" outlineLevel="0" collapsed="false">
      <c r="A611" s="19" t="str">
        <f aca="false">"DEC-"&amp;B611&amp;"-G3"</f>
        <v>DEC-RIG-RT-CON-G3</v>
      </c>
      <c r="B611" s="19" t="str">
        <f aca="false">'Lot Register'!A93</f>
        <v>RIG-RT-CON</v>
      </c>
      <c r="C611" s="19" t="str">
        <f aca="false">'Lot Register'!B93</f>
        <v>Root-native rig</v>
      </c>
      <c r="D611" s="19" t="str">
        <f aca="false">'Lot Register'!D93</f>
        <v>MS-RT</v>
      </c>
      <c r="E611" s="19" t="str">
        <f aca="false">'Lot Register'!G93</f>
        <v>ST-RT-CON</v>
      </c>
      <c r="F611" s="9" t="s">
        <v>584</v>
      </c>
      <c r="G611" s="9" t="s">
        <v>585</v>
      </c>
      <c r="H611" s="9" t="s">
        <v>586</v>
      </c>
      <c r="I611" s="9" t="s">
        <v>565</v>
      </c>
      <c r="J611" s="11" t="s">
        <v>238</v>
      </c>
      <c r="K611" s="47" t="n">
        <f aca="false">Controls!B26</f>
        <v>0</v>
      </c>
      <c r="L611" s="47" t="str">
        <f aca="false">IF(K611=1,"PASS","OPEN")</f>
        <v>OPEN</v>
      </c>
    </row>
    <row r="612" customFormat="false" ht="15" hidden="false" customHeight="false" outlineLevel="0" collapsed="false">
      <c r="A612" s="19" t="str">
        <f aca="false">"DEC-"&amp;B612&amp;"-G4"</f>
        <v>DEC-RIG-RT-CON-G4</v>
      </c>
      <c r="B612" s="19" t="str">
        <f aca="false">'Lot Register'!A93</f>
        <v>RIG-RT-CON</v>
      </c>
      <c r="C612" s="19" t="str">
        <f aca="false">'Lot Register'!B93</f>
        <v>Root-native rig</v>
      </c>
      <c r="D612" s="19" t="str">
        <f aca="false">'Lot Register'!D93</f>
        <v>MS-RT</v>
      </c>
      <c r="E612" s="19" t="str">
        <f aca="false">'Lot Register'!G93</f>
        <v>ST-RT-CON</v>
      </c>
      <c r="F612" s="9" t="s">
        <v>587</v>
      </c>
      <c r="G612" s="9" t="s">
        <v>588</v>
      </c>
      <c r="H612" s="9" t="s">
        <v>589</v>
      </c>
      <c r="I612" s="9" t="s">
        <v>562</v>
      </c>
      <c r="J612" s="11" t="s">
        <v>238</v>
      </c>
      <c r="K612" s="47" t="n">
        <f aca="false">Controls!B26</f>
        <v>0</v>
      </c>
      <c r="L612" s="47" t="str">
        <f aca="false">IF(K612=1,"PASS","OPEN")</f>
        <v>OPEN</v>
      </c>
    </row>
    <row r="613" customFormat="false" ht="15" hidden="false" customHeight="false" outlineLevel="0" collapsed="false">
      <c r="A613" s="19" t="str">
        <f aca="false">"DEC-"&amp;B613&amp;"-G5"</f>
        <v>DEC-RIG-RT-CON-G5</v>
      </c>
      <c r="B613" s="19" t="str">
        <f aca="false">'Lot Register'!A93</f>
        <v>RIG-RT-CON</v>
      </c>
      <c r="C613" s="19" t="str">
        <f aca="false">'Lot Register'!B93</f>
        <v>Root-native rig</v>
      </c>
      <c r="D613" s="19" t="str">
        <f aca="false">'Lot Register'!D93</f>
        <v>MS-RT</v>
      </c>
      <c r="E613" s="19" t="str">
        <f aca="false">'Lot Register'!G93</f>
        <v>ST-RT-CON</v>
      </c>
      <c r="F613" s="9" t="s">
        <v>590</v>
      </c>
      <c r="G613" s="9" t="s">
        <v>591</v>
      </c>
      <c r="H613" s="9" t="s">
        <v>592</v>
      </c>
      <c r="I613" s="9" t="s">
        <v>565</v>
      </c>
      <c r="J613" s="11" t="s">
        <v>238</v>
      </c>
      <c r="K613" s="47" t="n">
        <f aca="false">Controls!B26</f>
        <v>0</v>
      </c>
      <c r="L613" s="47" t="str">
        <f aca="false">IF(K613=1,"PASS","OPEN")</f>
        <v>OPEN</v>
      </c>
    </row>
    <row r="614" customFormat="false" ht="15" hidden="false" customHeight="false" outlineLevel="0" collapsed="false">
      <c r="A614" s="19" t="str">
        <f aca="false">"DEC-"&amp;B614&amp;"-G6"</f>
        <v>DEC-RIG-RT-CON-G6</v>
      </c>
      <c r="B614" s="19" t="str">
        <f aca="false">'Lot Register'!A93</f>
        <v>RIG-RT-CON</v>
      </c>
      <c r="C614" s="19" t="str">
        <f aca="false">'Lot Register'!B93</f>
        <v>Root-native rig</v>
      </c>
      <c r="D614" s="19" t="str">
        <f aca="false">'Lot Register'!D93</f>
        <v>MS-RT</v>
      </c>
      <c r="E614" s="19" t="str">
        <f aca="false">'Lot Register'!G93</f>
        <v>ST-RT-CON</v>
      </c>
      <c r="F614" s="9" t="s">
        <v>593</v>
      </c>
      <c r="G614" s="9" t="s">
        <v>594</v>
      </c>
      <c r="H614" s="9" t="s">
        <v>595</v>
      </c>
      <c r="I614" s="9" t="s">
        <v>570</v>
      </c>
      <c r="J614" s="11" t="s">
        <v>238</v>
      </c>
      <c r="K614" s="47" t="n">
        <f aca="false">Controls!B26</f>
        <v>0</v>
      </c>
      <c r="L614" s="47" t="str">
        <f aca="false">IF(K614=1,"PASS","OPEN")</f>
        <v>OPEN</v>
      </c>
    </row>
    <row r="615" customFormat="false" ht="15" hidden="false" customHeight="false" outlineLevel="0" collapsed="false">
      <c r="A615" s="19" t="str">
        <f aca="false">"DEC-"&amp;B615&amp;"-G7"</f>
        <v>DEC-RIG-RT-CON-G7</v>
      </c>
      <c r="B615" s="19" t="str">
        <f aca="false">'Lot Register'!A93</f>
        <v>RIG-RT-CON</v>
      </c>
      <c r="C615" s="19" t="str">
        <f aca="false">'Lot Register'!B93</f>
        <v>Root-native rig</v>
      </c>
      <c r="D615" s="19" t="str">
        <f aca="false">'Lot Register'!D93</f>
        <v>MS-RT</v>
      </c>
      <c r="E615" s="19" t="str">
        <f aca="false">'Lot Register'!G93</f>
        <v>ST-RT-CON</v>
      </c>
      <c r="F615" s="9" t="s">
        <v>596</v>
      </c>
      <c r="G615" s="9" t="s">
        <v>597</v>
      </c>
      <c r="H615" s="9" t="s">
        <v>598</v>
      </c>
      <c r="I615" s="9" t="s">
        <v>570</v>
      </c>
      <c r="J615" s="11" t="s">
        <v>238</v>
      </c>
      <c r="K615" s="47" t="n">
        <f aca="false">Controls!B26</f>
        <v>0</v>
      </c>
      <c r="L615" s="47" t="str">
        <f aca="false">IF(K615=1,"PASS","OPEN")</f>
        <v>OPEN</v>
      </c>
    </row>
    <row r="616" customFormat="false" ht="15" hidden="false" customHeight="false" outlineLevel="0" collapsed="false">
      <c r="A616" s="19" t="str">
        <f aca="false">"DEC-"&amp;B616&amp;"-G1"</f>
        <v>DEC-MTH-RT-CON-L1-G1</v>
      </c>
      <c r="B616" s="19" t="str">
        <f aca="false">'Lot Register'!A94</f>
        <v>MTH-RT-CON-L1</v>
      </c>
      <c r="C616" s="19" t="str">
        <f aca="false">'Lot Register'!B94</f>
        <v>Method lineage</v>
      </c>
      <c r="D616" s="19" t="str">
        <f aca="false">'Lot Register'!D94</f>
        <v>MS-RT</v>
      </c>
      <c r="E616" s="19" t="str">
        <f aca="false">'Lot Register'!G94</f>
        <v>ST-RT-CON</v>
      </c>
      <c r="F616" s="9" t="s">
        <v>578</v>
      </c>
      <c r="G616" s="9" t="s">
        <v>579</v>
      </c>
      <c r="H616" s="9" t="s">
        <v>580</v>
      </c>
      <c r="I616" s="9" t="s">
        <v>562</v>
      </c>
      <c r="J616" s="11" t="s">
        <v>238</v>
      </c>
      <c r="K616" s="47" t="n">
        <f aca="false">Controls!B26</f>
        <v>0</v>
      </c>
      <c r="L616" s="47" t="str">
        <f aca="false">IF(K616=1,"PASS","OPEN")</f>
        <v>OPEN</v>
      </c>
    </row>
    <row r="617" customFormat="false" ht="15" hidden="false" customHeight="false" outlineLevel="0" collapsed="false">
      <c r="A617" s="19" t="str">
        <f aca="false">"DEC-"&amp;B617&amp;"-G2"</f>
        <v>DEC-MTH-RT-CON-L1-G2</v>
      </c>
      <c r="B617" s="19" t="str">
        <f aca="false">'Lot Register'!A94</f>
        <v>MTH-RT-CON-L1</v>
      </c>
      <c r="C617" s="19" t="str">
        <f aca="false">'Lot Register'!B94</f>
        <v>Method lineage</v>
      </c>
      <c r="D617" s="19" t="str">
        <f aca="false">'Lot Register'!D94</f>
        <v>MS-RT</v>
      </c>
      <c r="E617" s="19" t="str">
        <f aca="false">'Lot Register'!G94</f>
        <v>ST-RT-CON</v>
      </c>
      <c r="F617" s="9" t="s">
        <v>581</v>
      </c>
      <c r="G617" s="9" t="s">
        <v>582</v>
      </c>
      <c r="H617" s="9" t="s">
        <v>583</v>
      </c>
      <c r="I617" s="9" t="s">
        <v>560</v>
      </c>
      <c r="J617" s="11" t="s">
        <v>238</v>
      </c>
      <c r="K617" s="47" t="n">
        <f aca="false">Controls!B26</f>
        <v>0</v>
      </c>
      <c r="L617" s="47" t="str">
        <f aca="false">IF(K617=1,"PASS","OPEN")</f>
        <v>OPEN</v>
      </c>
    </row>
    <row r="618" customFormat="false" ht="15" hidden="false" customHeight="false" outlineLevel="0" collapsed="false">
      <c r="A618" s="19" t="str">
        <f aca="false">"DEC-"&amp;B618&amp;"-G3"</f>
        <v>DEC-MTH-RT-CON-L1-G3</v>
      </c>
      <c r="B618" s="19" t="str">
        <f aca="false">'Lot Register'!A94</f>
        <v>MTH-RT-CON-L1</v>
      </c>
      <c r="C618" s="19" t="str">
        <f aca="false">'Lot Register'!B94</f>
        <v>Method lineage</v>
      </c>
      <c r="D618" s="19" t="str">
        <f aca="false">'Lot Register'!D94</f>
        <v>MS-RT</v>
      </c>
      <c r="E618" s="19" t="str">
        <f aca="false">'Lot Register'!G94</f>
        <v>ST-RT-CON</v>
      </c>
      <c r="F618" s="9" t="s">
        <v>584</v>
      </c>
      <c r="G618" s="9" t="s">
        <v>585</v>
      </c>
      <c r="H618" s="9" t="s">
        <v>586</v>
      </c>
      <c r="I618" s="9" t="s">
        <v>565</v>
      </c>
      <c r="J618" s="11" t="s">
        <v>238</v>
      </c>
      <c r="K618" s="47" t="n">
        <f aca="false">Controls!B26</f>
        <v>0</v>
      </c>
      <c r="L618" s="47" t="str">
        <f aca="false">IF(K618=1,"PASS","OPEN")</f>
        <v>OPEN</v>
      </c>
    </row>
    <row r="619" customFormat="false" ht="15" hidden="false" customHeight="false" outlineLevel="0" collapsed="false">
      <c r="A619" s="19" t="str">
        <f aca="false">"DEC-"&amp;B619&amp;"-G4"</f>
        <v>DEC-MTH-RT-CON-L1-G4</v>
      </c>
      <c r="B619" s="19" t="str">
        <f aca="false">'Lot Register'!A94</f>
        <v>MTH-RT-CON-L1</v>
      </c>
      <c r="C619" s="19" t="str">
        <f aca="false">'Lot Register'!B94</f>
        <v>Method lineage</v>
      </c>
      <c r="D619" s="19" t="str">
        <f aca="false">'Lot Register'!D94</f>
        <v>MS-RT</v>
      </c>
      <c r="E619" s="19" t="str">
        <f aca="false">'Lot Register'!G94</f>
        <v>ST-RT-CON</v>
      </c>
      <c r="F619" s="9" t="s">
        <v>587</v>
      </c>
      <c r="G619" s="9" t="s">
        <v>588</v>
      </c>
      <c r="H619" s="9" t="s">
        <v>589</v>
      </c>
      <c r="I619" s="9" t="s">
        <v>562</v>
      </c>
      <c r="J619" s="11" t="s">
        <v>238</v>
      </c>
      <c r="K619" s="47" t="n">
        <f aca="false">Controls!B26</f>
        <v>0</v>
      </c>
      <c r="L619" s="47" t="str">
        <f aca="false">IF(K619=1,"PASS","OPEN")</f>
        <v>OPEN</v>
      </c>
    </row>
    <row r="620" customFormat="false" ht="15" hidden="false" customHeight="false" outlineLevel="0" collapsed="false">
      <c r="A620" s="19" t="str">
        <f aca="false">"DEC-"&amp;B620&amp;"-G5"</f>
        <v>DEC-MTH-RT-CON-L1-G5</v>
      </c>
      <c r="B620" s="19" t="str">
        <f aca="false">'Lot Register'!A94</f>
        <v>MTH-RT-CON-L1</v>
      </c>
      <c r="C620" s="19" t="str">
        <f aca="false">'Lot Register'!B94</f>
        <v>Method lineage</v>
      </c>
      <c r="D620" s="19" t="str">
        <f aca="false">'Lot Register'!D94</f>
        <v>MS-RT</v>
      </c>
      <c r="E620" s="19" t="str">
        <f aca="false">'Lot Register'!G94</f>
        <v>ST-RT-CON</v>
      </c>
      <c r="F620" s="9" t="s">
        <v>590</v>
      </c>
      <c r="G620" s="9" t="s">
        <v>591</v>
      </c>
      <c r="H620" s="9" t="s">
        <v>592</v>
      </c>
      <c r="I620" s="9" t="s">
        <v>565</v>
      </c>
      <c r="J620" s="11" t="s">
        <v>238</v>
      </c>
      <c r="K620" s="47" t="n">
        <f aca="false">Controls!B26</f>
        <v>0</v>
      </c>
      <c r="L620" s="47" t="str">
        <f aca="false">IF(K620=1,"PASS","OPEN")</f>
        <v>OPEN</v>
      </c>
    </row>
    <row r="621" customFormat="false" ht="15" hidden="false" customHeight="false" outlineLevel="0" collapsed="false">
      <c r="A621" s="19" t="str">
        <f aca="false">"DEC-"&amp;B621&amp;"-G6"</f>
        <v>DEC-MTH-RT-CON-L1-G6</v>
      </c>
      <c r="B621" s="19" t="str">
        <f aca="false">'Lot Register'!A94</f>
        <v>MTH-RT-CON-L1</v>
      </c>
      <c r="C621" s="19" t="str">
        <f aca="false">'Lot Register'!B94</f>
        <v>Method lineage</v>
      </c>
      <c r="D621" s="19" t="str">
        <f aca="false">'Lot Register'!D94</f>
        <v>MS-RT</v>
      </c>
      <c r="E621" s="19" t="str">
        <f aca="false">'Lot Register'!G94</f>
        <v>ST-RT-CON</v>
      </c>
      <c r="F621" s="9" t="s">
        <v>593</v>
      </c>
      <c r="G621" s="9" t="s">
        <v>594</v>
      </c>
      <c r="H621" s="9" t="s">
        <v>595</v>
      </c>
      <c r="I621" s="9" t="s">
        <v>570</v>
      </c>
      <c r="J621" s="11" t="s">
        <v>238</v>
      </c>
      <c r="K621" s="47" t="n">
        <f aca="false">Controls!B26</f>
        <v>0</v>
      </c>
      <c r="L621" s="47" t="str">
        <f aca="false">IF(K621=1,"PASS","OPEN")</f>
        <v>OPEN</v>
      </c>
    </row>
    <row r="622" customFormat="false" ht="15" hidden="false" customHeight="false" outlineLevel="0" collapsed="false">
      <c r="A622" s="19" t="str">
        <f aca="false">"DEC-"&amp;B622&amp;"-G7"</f>
        <v>DEC-MTH-RT-CON-L1-G7</v>
      </c>
      <c r="B622" s="19" t="str">
        <f aca="false">'Lot Register'!A94</f>
        <v>MTH-RT-CON-L1</v>
      </c>
      <c r="C622" s="19" t="str">
        <f aca="false">'Lot Register'!B94</f>
        <v>Method lineage</v>
      </c>
      <c r="D622" s="19" t="str">
        <f aca="false">'Lot Register'!D94</f>
        <v>MS-RT</v>
      </c>
      <c r="E622" s="19" t="str">
        <f aca="false">'Lot Register'!G94</f>
        <v>ST-RT-CON</v>
      </c>
      <c r="F622" s="9" t="s">
        <v>596</v>
      </c>
      <c r="G622" s="9" t="s">
        <v>597</v>
      </c>
      <c r="H622" s="9" t="s">
        <v>598</v>
      </c>
      <c r="I622" s="9" t="s">
        <v>570</v>
      </c>
      <c r="J622" s="11" t="s">
        <v>238</v>
      </c>
      <c r="K622" s="47" t="n">
        <f aca="false">Controls!B26</f>
        <v>0</v>
      </c>
      <c r="L622" s="47" t="str">
        <f aca="false">IF(K622=1,"PASS","OPEN")</f>
        <v>OPEN</v>
      </c>
    </row>
    <row r="623" customFormat="false" ht="15" hidden="false" customHeight="false" outlineLevel="0" collapsed="false">
      <c r="A623" s="19" t="str">
        <f aca="false">"DEC-"&amp;B623&amp;"-G1"</f>
        <v>DEC-MTH-RT-CON-L2-G1</v>
      </c>
      <c r="B623" s="19" t="str">
        <f aca="false">'Lot Register'!A95</f>
        <v>MTH-RT-CON-L2</v>
      </c>
      <c r="C623" s="19" t="str">
        <f aca="false">'Lot Register'!B95</f>
        <v>Method lineage</v>
      </c>
      <c r="D623" s="19" t="str">
        <f aca="false">'Lot Register'!D95</f>
        <v>MS-RT</v>
      </c>
      <c r="E623" s="19" t="str">
        <f aca="false">'Lot Register'!G95</f>
        <v>ST-RT-CON</v>
      </c>
      <c r="F623" s="9" t="s">
        <v>578</v>
      </c>
      <c r="G623" s="9" t="s">
        <v>579</v>
      </c>
      <c r="H623" s="9" t="s">
        <v>580</v>
      </c>
      <c r="I623" s="9" t="s">
        <v>562</v>
      </c>
      <c r="J623" s="11" t="s">
        <v>238</v>
      </c>
      <c r="K623" s="47" t="n">
        <f aca="false">Controls!B26</f>
        <v>0</v>
      </c>
      <c r="L623" s="47" t="str">
        <f aca="false">IF(K623=1,"PASS","OPEN")</f>
        <v>OPEN</v>
      </c>
    </row>
    <row r="624" customFormat="false" ht="15" hidden="false" customHeight="false" outlineLevel="0" collapsed="false">
      <c r="A624" s="19" t="str">
        <f aca="false">"DEC-"&amp;B624&amp;"-G2"</f>
        <v>DEC-MTH-RT-CON-L2-G2</v>
      </c>
      <c r="B624" s="19" t="str">
        <f aca="false">'Lot Register'!A95</f>
        <v>MTH-RT-CON-L2</v>
      </c>
      <c r="C624" s="19" t="str">
        <f aca="false">'Lot Register'!B95</f>
        <v>Method lineage</v>
      </c>
      <c r="D624" s="19" t="str">
        <f aca="false">'Lot Register'!D95</f>
        <v>MS-RT</v>
      </c>
      <c r="E624" s="19" t="str">
        <f aca="false">'Lot Register'!G95</f>
        <v>ST-RT-CON</v>
      </c>
      <c r="F624" s="9" t="s">
        <v>581</v>
      </c>
      <c r="G624" s="9" t="s">
        <v>582</v>
      </c>
      <c r="H624" s="9" t="s">
        <v>583</v>
      </c>
      <c r="I624" s="9" t="s">
        <v>560</v>
      </c>
      <c r="J624" s="11" t="s">
        <v>238</v>
      </c>
      <c r="K624" s="47" t="n">
        <f aca="false">Controls!B26</f>
        <v>0</v>
      </c>
      <c r="L624" s="47" t="str">
        <f aca="false">IF(K624=1,"PASS","OPEN")</f>
        <v>OPEN</v>
      </c>
    </row>
    <row r="625" customFormat="false" ht="15" hidden="false" customHeight="false" outlineLevel="0" collapsed="false">
      <c r="A625" s="19" t="str">
        <f aca="false">"DEC-"&amp;B625&amp;"-G3"</f>
        <v>DEC-MTH-RT-CON-L2-G3</v>
      </c>
      <c r="B625" s="19" t="str">
        <f aca="false">'Lot Register'!A95</f>
        <v>MTH-RT-CON-L2</v>
      </c>
      <c r="C625" s="19" t="str">
        <f aca="false">'Lot Register'!B95</f>
        <v>Method lineage</v>
      </c>
      <c r="D625" s="19" t="str">
        <f aca="false">'Lot Register'!D95</f>
        <v>MS-RT</v>
      </c>
      <c r="E625" s="19" t="str">
        <f aca="false">'Lot Register'!G95</f>
        <v>ST-RT-CON</v>
      </c>
      <c r="F625" s="9" t="s">
        <v>584</v>
      </c>
      <c r="G625" s="9" t="s">
        <v>585</v>
      </c>
      <c r="H625" s="9" t="s">
        <v>586</v>
      </c>
      <c r="I625" s="9" t="s">
        <v>565</v>
      </c>
      <c r="J625" s="11" t="s">
        <v>238</v>
      </c>
      <c r="K625" s="47" t="n">
        <f aca="false">Controls!B26</f>
        <v>0</v>
      </c>
      <c r="L625" s="47" t="str">
        <f aca="false">IF(K625=1,"PASS","OPEN")</f>
        <v>OPEN</v>
      </c>
    </row>
    <row r="626" customFormat="false" ht="15" hidden="false" customHeight="false" outlineLevel="0" collapsed="false">
      <c r="A626" s="19" t="str">
        <f aca="false">"DEC-"&amp;B626&amp;"-G4"</f>
        <v>DEC-MTH-RT-CON-L2-G4</v>
      </c>
      <c r="B626" s="19" t="str">
        <f aca="false">'Lot Register'!A95</f>
        <v>MTH-RT-CON-L2</v>
      </c>
      <c r="C626" s="19" t="str">
        <f aca="false">'Lot Register'!B95</f>
        <v>Method lineage</v>
      </c>
      <c r="D626" s="19" t="str">
        <f aca="false">'Lot Register'!D95</f>
        <v>MS-RT</v>
      </c>
      <c r="E626" s="19" t="str">
        <f aca="false">'Lot Register'!G95</f>
        <v>ST-RT-CON</v>
      </c>
      <c r="F626" s="9" t="s">
        <v>587</v>
      </c>
      <c r="G626" s="9" t="s">
        <v>588</v>
      </c>
      <c r="H626" s="9" t="s">
        <v>589</v>
      </c>
      <c r="I626" s="9" t="s">
        <v>562</v>
      </c>
      <c r="J626" s="11" t="s">
        <v>238</v>
      </c>
      <c r="K626" s="47" t="n">
        <f aca="false">Controls!B26</f>
        <v>0</v>
      </c>
      <c r="L626" s="47" t="str">
        <f aca="false">IF(K626=1,"PASS","OPEN")</f>
        <v>OPEN</v>
      </c>
    </row>
    <row r="627" customFormat="false" ht="15" hidden="false" customHeight="false" outlineLevel="0" collapsed="false">
      <c r="A627" s="19" t="str">
        <f aca="false">"DEC-"&amp;B627&amp;"-G5"</f>
        <v>DEC-MTH-RT-CON-L2-G5</v>
      </c>
      <c r="B627" s="19" t="str">
        <f aca="false">'Lot Register'!A95</f>
        <v>MTH-RT-CON-L2</v>
      </c>
      <c r="C627" s="19" t="str">
        <f aca="false">'Lot Register'!B95</f>
        <v>Method lineage</v>
      </c>
      <c r="D627" s="19" t="str">
        <f aca="false">'Lot Register'!D95</f>
        <v>MS-RT</v>
      </c>
      <c r="E627" s="19" t="str">
        <f aca="false">'Lot Register'!G95</f>
        <v>ST-RT-CON</v>
      </c>
      <c r="F627" s="9" t="s">
        <v>590</v>
      </c>
      <c r="G627" s="9" t="s">
        <v>591</v>
      </c>
      <c r="H627" s="9" t="s">
        <v>592</v>
      </c>
      <c r="I627" s="9" t="s">
        <v>565</v>
      </c>
      <c r="J627" s="11" t="s">
        <v>238</v>
      </c>
      <c r="K627" s="47" t="n">
        <f aca="false">Controls!B26</f>
        <v>0</v>
      </c>
      <c r="L627" s="47" t="str">
        <f aca="false">IF(K627=1,"PASS","OPEN")</f>
        <v>OPEN</v>
      </c>
    </row>
    <row r="628" customFormat="false" ht="15" hidden="false" customHeight="false" outlineLevel="0" collapsed="false">
      <c r="A628" s="19" t="str">
        <f aca="false">"DEC-"&amp;B628&amp;"-G6"</f>
        <v>DEC-MTH-RT-CON-L2-G6</v>
      </c>
      <c r="B628" s="19" t="str">
        <f aca="false">'Lot Register'!A95</f>
        <v>MTH-RT-CON-L2</v>
      </c>
      <c r="C628" s="19" t="str">
        <f aca="false">'Lot Register'!B95</f>
        <v>Method lineage</v>
      </c>
      <c r="D628" s="19" t="str">
        <f aca="false">'Lot Register'!D95</f>
        <v>MS-RT</v>
      </c>
      <c r="E628" s="19" t="str">
        <f aca="false">'Lot Register'!G95</f>
        <v>ST-RT-CON</v>
      </c>
      <c r="F628" s="9" t="s">
        <v>593</v>
      </c>
      <c r="G628" s="9" t="s">
        <v>594</v>
      </c>
      <c r="H628" s="9" t="s">
        <v>595</v>
      </c>
      <c r="I628" s="9" t="s">
        <v>570</v>
      </c>
      <c r="J628" s="11" t="s">
        <v>238</v>
      </c>
      <c r="K628" s="47" t="n">
        <f aca="false">Controls!B26</f>
        <v>0</v>
      </c>
      <c r="L628" s="47" t="str">
        <f aca="false">IF(K628=1,"PASS","OPEN")</f>
        <v>OPEN</v>
      </c>
    </row>
    <row r="629" customFormat="false" ht="15" hidden="false" customHeight="false" outlineLevel="0" collapsed="false">
      <c r="A629" s="19" t="str">
        <f aca="false">"DEC-"&amp;B629&amp;"-G7"</f>
        <v>DEC-MTH-RT-CON-L2-G7</v>
      </c>
      <c r="B629" s="19" t="str">
        <f aca="false">'Lot Register'!A95</f>
        <v>MTH-RT-CON-L2</v>
      </c>
      <c r="C629" s="19" t="str">
        <f aca="false">'Lot Register'!B95</f>
        <v>Method lineage</v>
      </c>
      <c r="D629" s="19" t="str">
        <f aca="false">'Lot Register'!D95</f>
        <v>MS-RT</v>
      </c>
      <c r="E629" s="19" t="str">
        <f aca="false">'Lot Register'!G95</f>
        <v>ST-RT-CON</v>
      </c>
      <c r="F629" s="9" t="s">
        <v>596</v>
      </c>
      <c r="G629" s="9" t="s">
        <v>597</v>
      </c>
      <c r="H629" s="9" t="s">
        <v>598</v>
      </c>
      <c r="I629" s="9" t="s">
        <v>570</v>
      </c>
      <c r="J629" s="11" t="s">
        <v>238</v>
      </c>
      <c r="K629" s="47" t="n">
        <f aca="false">Controls!B26</f>
        <v>0</v>
      </c>
      <c r="L629" s="47" t="str">
        <f aca="false">IF(K629=1,"PASS","OPEN")</f>
        <v>OPEN</v>
      </c>
    </row>
    <row r="630" customFormat="false" ht="15" hidden="false" customHeight="false" outlineLevel="0" collapsed="false">
      <c r="A630" s="19" t="str">
        <f aca="false">"DEC-"&amp;B630&amp;"-G1"</f>
        <v>DEC-REG-RT-CON-G1</v>
      </c>
      <c r="B630" s="19" t="str">
        <f aca="false">'Lot Register'!A96</f>
        <v>REG-RT-CON</v>
      </c>
      <c r="C630" s="19" t="str">
        <f aca="false">'Lot Register'!B96</f>
        <v>Regeneration tool</v>
      </c>
      <c r="D630" s="19" t="str">
        <f aca="false">'Lot Register'!D96</f>
        <v>MS-RT</v>
      </c>
      <c r="E630" s="19" t="str">
        <f aca="false">'Lot Register'!G96</f>
        <v>ST-RT-CON</v>
      </c>
      <c r="F630" s="9" t="s">
        <v>578</v>
      </c>
      <c r="G630" s="9" t="s">
        <v>579</v>
      </c>
      <c r="H630" s="9" t="s">
        <v>580</v>
      </c>
      <c r="I630" s="9" t="s">
        <v>562</v>
      </c>
      <c r="J630" s="11" t="s">
        <v>238</v>
      </c>
      <c r="K630" s="47" t="n">
        <f aca="false">Controls!B26</f>
        <v>0</v>
      </c>
      <c r="L630" s="47" t="str">
        <f aca="false">IF(K630=1,"PASS","OPEN")</f>
        <v>OPEN</v>
      </c>
    </row>
    <row r="631" customFormat="false" ht="15" hidden="false" customHeight="false" outlineLevel="0" collapsed="false">
      <c r="A631" s="19" t="str">
        <f aca="false">"DEC-"&amp;B631&amp;"-G2"</f>
        <v>DEC-REG-RT-CON-G2</v>
      </c>
      <c r="B631" s="19" t="str">
        <f aca="false">'Lot Register'!A96</f>
        <v>REG-RT-CON</v>
      </c>
      <c r="C631" s="19" t="str">
        <f aca="false">'Lot Register'!B96</f>
        <v>Regeneration tool</v>
      </c>
      <c r="D631" s="19" t="str">
        <f aca="false">'Lot Register'!D96</f>
        <v>MS-RT</v>
      </c>
      <c r="E631" s="19" t="str">
        <f aca="false">'Lot Register'!G96</f>
        <v>ST-RT-CON</v>
      </c>
      <c r="F631" s="9" t="s">
        <v>581</v>
      </c>
      <c r="G631" s="9" t="s">
        <v>582</v>
      </c>
      <c r="H631" s="9" t="s">
        <v>583</v>
      </c>
      <c r="I631" s="9" t="s">
        <v>560</v>
      </c>
      <c r="J631" s="11" t="s">
        <v>238</v>
      </c>
      <c r="K631" s="47" t="n">
        <f aca="false">Controls!B26</f>
        <v>0</v>
      </c>
      <c r="L631" s="47" t="str">
        <f aca="false">IF(K631=1,"PASS","OPEN")</f>
        <v>OPEN</v>
      </c>
    </row>
    <row r="632" customFormat="false" ht="15" hidden="false" customHeight="false" outlineLevel="0" collapsed="false">
      <c r="A632" s="19" t="str">
        <f aca="false">"DEC-"&amp;B632&amp;"-G3"</f>
        <v>DEC-REG-RT-CON-G3</v>
      </c>
      <c r="B632" s="19" t="str">
        <f aca="false">'Lot Register'!A96</f>
        <v>REG-RT-CON</v>
      </c>
      <c r="C632" s="19" t="str">
        <f aca="false">'Lot Register'!B96</f>
        <v>Regeneration tool</v>
      </c>
      <c r="D632" s="19" t="str">
        <f aca="false">'Lot Register'!D96</f>
        <v>MS-RT</v>
      </c>
      <c r="E632" s="19" t="str">
        <f aca="false">'Lot Register'!G96</f>
        <v>ST-RT-CON</v>
      </c>
      <c r="F632" s="9" t="s">
        <v>584</v>
      </c>
      <c r="G632" s="9" t="s">
        <v>585</v>
      </c>
      <c r="H632" s="9" t="s">
        <v>586</v>
      </c>
      <c r="I632" s="9" t="s">
        <v>565</v>
      </c>
      <c r="J632" s="11" t="s">
        <v>238</v>
      </c>
      <c r="K632" s="47" t="n">
        <f aca="false">Controls!B26</f>
        <v>0</v>
      </c>
      <c r="L632" s="47" t="str">
        <f aca="false">IF(K632=1,"PASS","OPEN")</f>
        <v>OPEN</v>
      </c>
    </row>
    <row r="633" customFormat="false" ht="15" hidden="false" customHeight="false" outlineLevel="0" collapsed="false">
      <c r="A633" s="19" t="str">
        <f aca="false">"DEC-"&amp;B633&amp;"-G4"</f>
        <v>DEC-REG-RT-CON-G4</v>
      </c>
      <c r="B633" s="19" t="str">
        <f aca="false">'Lot Register'!A96</f>
        <v>REG-RT-CON</v>
      </c>
      <c r="C633" s="19" t="str">
        <f aca="false">'Lot Register'!B96</f>
        <v>Regeneration tool</v>
      </c>
      <c r="D633" s="19" t="str">
        <f aca="false">'Lot Register'!D96</f>
        <v>MS-RT</v>
      </c>
      <c r="E633" s="19" t="str">
        <f aca="false">'Lot Register'!G96</f>
        <v>ST-RT-CON</v>
      </c>
      <c r="F633" s="9" t="s">
        <v>587</v>
      </c>
      <c r="G633" s="9" t="s">
        <v>588</v>
      </c>
      <c r="H633" s="9" t="s">
        <v>589</v>
      </c>
      <c r="I633" s="9" t="s">
        <v>562</v>
      </c>
      <c r="J633" s="11" t="s">
        <v>238</v>
      </c>
      <c r="K633" s="47" t="n">
        <f aca="false">Controls!B26</f>
        <v>0</v>
      </c>
      <c r="L633" s="47" t="str">
        <f aca="false">IF(K633=1,"PASS","OPEN")</f>
        <v>OPEN</v>
      </c>
    </row>
    <row r="634" customFormat="false" ht="15" hidden="false" customHeight="false" outlineLevel="0" collapsed="false">
      <c r="A634" s="19" t="str">
        <f aca="false">"DEC-"&amp;B634&amp;"-G5"</f>
        <v>DEC-REG-RT-CON-G5</v>
      </c>
      <c r="B634" s="19" t="str">
        <f aca="false">'Lot Register'!A96</f>
        <v>REG-RT-CON</v>
      </c>
      <c r="C634" s="19" t="str">
        <f aca="false">'Lot Register'!B96</f>
        <v>Regeneration tool</v>
      </c>
      <c r="D634" s="19" t="str">
        <f aca="false">'Lot Register'!D96</f>
        <v>MS-RT</v>
      </c>
      <c r="E634" s="19" t="str">
        <f aca="false">'Lot Register'!G96</f>
        <v>ST-RT-CON</v>
      </c>
      <c r="F634" s="9" t="s">
        <v>590</v>
      </c>
      <c r="G634" s="9" t="s">
        <v>591</v>
      </c>
      <c r="H634" s="9" t="s">
        <v>592</v>
      </c>
      <c r="I634" s="9" t="s">
        <v>565</v>
      </c>
      <c r="J634" s="11" t="s">
        <v>238</v>
      </c>
      <c r="K634" s="47" t="n">
        <f aca="false">Controls!B26</f>
        <v>0</v>
      </c>
      <c r="L634" s="47" t="str">
        <f aca="false">IF(K634=1,"PASS","OPEN")</f>
        <v>OPEN</v>
      </c>
    </row>
    <row r="635" customFormat="false" ht="15" hidden="false" customHeight="false" outlineLevel="0" collapsed="false">
      <c r="A635" s="19" t="str">
        <f aca="false">"DEC-"&amp;B635&amp;"-G6"</f>
        <v>DEC-REG-RT-CON-G6</v>
      </c>
      <c r="B635" s="19" t="str">
        <f aca="false">'Lot Register'!A96</f>
        <v>REG-RT-CON</v>
      </c>
      <c r="C635" s="19" t="str">
        <f aca="false">'Lot Register'!B96</f>
        <v>Regeneration tool</v>
      </c>
      <c r="D635" s="19" t="str">
        <f aca="false">'Lot Register'!D96</f>
        <v>MS-RT</v>
      </c>
      <c r="E635" s="19" t="str">
        <f aca="false">'Lot Register'!G96</f>
        <v>ST-RT-CON</v>
      </c>
      <c r="F635" s="9" t="s">
        <v>593</v>
      </c>
      <c r="G635" s="9" t="s">
        <v>594</v>
      </c>
      <c r="H635" s="9" t="s">
        <v>595</v>
      </c>
      <c r="I635" s="9" t="s">
        <v>570</v>
      </c>
      <c r="J635" s="11" t="s">
        <v>238</v>
      </c>
      <c r="K635" s="47" t="n">
        <f aca="false">Controls!B26</f>
        <v>0</v>
      </c>
      <c r="L635" s="47" t="str">
        <f aca="false">IF(K635=1,"PASS","OPEN")</f>
        <v>OPEN</v>
      </c>
    </row>
    <row r="636" customFormat="false" ht="15" hidden="false" customHeight="false" outlineLevel="0" collapsed="false">
      <c r="A636" s="19" t="str">
        <f aca="false">"DEC-"&amp;B636&amp;"-G7"</f>
        <v>DEC-REG-RT-CON-G7</v>
      </c>
      <c r="B636" s="19" t="str">
        <f aca="false">'Lot Register'!A96</f>
        <v>REG-RT-CON</v>
      </c>
      <c r="C636" s="19" t="str">
        <f aca="false">'Lot Register'!B96</f>
        <v>Regeneration tool</v>
      </c>
      <c r="D636" s="19" t="str">
        <f aca="false">'Lot Register'!D96</f>
        <v>MS-RT</v>
      </c>
      <c r="E636" s="19" t="str">
        <f aca="false">'Lot Register'!G96</f>
        <v>ST-RT-CON</v>
      </c>
      <c r="F636" s="9" t="s">
        <v>596</v>
      </c>
      <c r="G636" s="9" t="s">
        <v>597</v>
      </c>
      <c r="H636" s="9" t="s">
        <v>598</v>
      </c>
      <c r="I636" s="9" t="s">
        <v>570</v>
      </c>
      <c r="J636" s="11" t="s">
        <v>238</v>
      </c>
      <c r="K636" s="47" t="n">
        <f aca="false">Controls!B26</f>
        <v>0</v>
      </c>
      <c r="L636" s="47" t="str">
        <f aca="false">IF(K636=1,"PASS","OPEN")</f>
        <v>OPEN</v>
      </c>
    </row>
    <row r="637" customFormat="false" ht="15" hidden="false" customHeight="false" outlineLevel="0" collapsed="false">
      <c r="A637" s="19" t="str">
        <f aca="false">"DEC-"&amp;B637&amp;"-G1"</f>
        <v>DEC-INT-RT-CON-G1</v>
      </c>
      <c r="B637" s="19" t="str">
        <f aca="false">'Lot Register'!A97</f>
        <v>INT-RT-CON</v>
      </c>
      <c r="C637" s="19" t="str">
        <f aca="false">'Lot Register'!B97</f>
        <v>Station integration</v>
      </c>
      <c r="D637" s="19" t="str">
        <f aca="false">'Lot Register'!D97</f>
        <v>MS-RT</v>
      </c>
      <c r="E637" s="19" t="str">
        <f aca="false">'Lot Register'!G97</f>
        <v>ST-RT-CON</v>
      </c>
      <c r="F637" s="9" t="s">
        <v>578</v>
      </c>
      <c r="G637" s="9" t="s">
        <v>579</v>
      </c>
      <c r="H637" s="9" t="s">
        <v>580</v>
      </c>
      <c r="I637" s="9" t="s">
        <v>562</v>
      </c>
      <c r="J637" s="11" t="s">
        <v>238</v>
      </c>
      <c r="K637" s="47" t="n">
        <f aca="false">Controls!B26</f>
        <v>0</v>
      </c>
      <c r="L637" s="47" t="str">
        <f aca="false">IF(K637=1,"PASS","OPEN")</f>
        <v>OPEN</v>
      </c>
    </row>
    <row r="638" customFormat="false" ht="15" hidden="false" customHeight="false" outlineLevel="0" collapsed="false">
      <c r="A638" s="19" t="str">
        <f aca="false">"DEC-"&amp;B638&amp;"-G2"</f>
        <v>DEC-INT-RT-CON-G2</v>
      </c>
      <c r="B638" s="19" t="str">
        <f aca="false">'Lot Register'!A97</f>
        <v>INT-RT-CON</v>
      </c>
      <c r="C638" s="19" t="str">
        <f aca="false">'Lot Register'!B97</f>
        <v>Station integration</v>
      </c>
      <c r="D638" s="19" t="str">
        <f aca="false">'Lot Register'!D97</f>
        <v>MS-RT</v>
      </c>
      <c r="E638" s="19" t="str">
        <f aca="false">'Lot Register'!G97</f>
        <v>ST-RT-CON</v>
      </c>
      <c r="F638" s="9" t="s">
        <v>581</v>
      </c>
      <c r="G638" s="9" t="s">
        <v>582</v>
      </c>
      <c r="H638" s="9" t="s">
        <v>583</v>
      </c>
      <c r="I638" s="9" t="s">
        <v>560</v>
      </c>
      <c r="J638" s="11" t="s">
        <v>238</v>
      </c>
      <c r="K638" s="47" t="n">
        <f aca="false">Controls!B26</f>
        <v>0</v>
      </c>
      <c r="L638" s="47" t="str">
        <f aca="false">IF(K638=1,"PASS","OPEN")</f>
        <v>OPEN</v>
      </c>
    </row>
    <row r="639" customFormat="false" ht="15" hidden="false" customHeight="false" outlineLevel="0" collapsed="false">
      <c r="A639" s="19" t="str">
        <f aca="false">"DEC-"&amp;B639&amp;"-G3"</f>
        <v>DEC-INT-RT-CON-G3</v>
      </c>
      <c r="B639" s="19" t="str">
        <f aca="false">'Lot Register'!A97</f>
        <v>INT-RT-CON</v>
      </c>
      <c r="C639" s="19" t="str">
        <f aca="false">'Lot Register'!B97</f>
        <v>Station integration</v>
      </c>
      <c r="D639" s="19" t="str">
        <f aca="false">'Lot Register'!D97</f>
        <v>MS-RT</v>
      </c>
      <c r="E639" s="19" t="str">
        <f aca="false">'Lot Register'!G97</f>
        <v>ST-RT-CON</v>
      </c>
      <c r="F639" s="9" t="s">
        <v>584</v>
      </c>
      <c r="G639" s="9" t="s">
        <v>585</v>
      </c>
      <c r="H639" s="9" t="s">
        <v>586</v>
      </c>
      <c r="I639" s="9" t="s">
        <v>565</v>
      </c>
      <c r="J639" s="11" t="s">
        <v>238</v>
      </c>
      <c r="K639" s="47" t="n">
        <f aca="false">Controls!B26</f>
        <v>0</v>
      </c>
      <c r="L639" s="47" t="str">
        <f aca="false">IF(K639=1,"PASS","OPEN")</f>
        <v>OPEN</v>
      </c>
    </row>
    <row r="640" customFormat="false" ht="15" hidden="false" customHeight="false" outlineLevel="0" collapsed="false">
      <c r="A640" s="19" t="str">
        <f aca="false">"DEC-"&amp;B640&amp;"-G4"</f>
        <v>DEC-INT-RT-CON-G4</v>
      </c>
      <c r="B640" s="19" t="str">
        <f aca="false">'Lot Register'!A97</f>
        <v>INT-RT-CON</v>
      </c>
      <c r="C640" s="19" t="str">
        <f aca="false">'Lot Register'!B97</f>
        <v>Station integration</v>
      </c>
      <c r="D640" s="19" t="str">
        <f aca="false">'Lot Register'!D97</f>
        <v>MS-RT</v>
      </c>
      <c r="E640" s="19" t="str">
        <f aca="false">'Lot Register'!G97</f>
        <v>ST-RT-CON</v>
      </c>
      <c r="F640" s="9" t="s">
        <v>587</v>
      </c>
      <c r="G640" s="9" t="s">
        <v>588</v>
      </c>
      <c r="H640" s="9" t="s">
        <v>589</v>
      </c>
      <c r="I640" s="9" t="s">
        <v>562</v>
      </c>
      <c r="J640" s="11" t="s">
        <v>238</v>
      </c>
      <c r="K640" s="47" t="n">
        <f aca="false">Controls!B26</f>
        <v>0</v>
      </c>
      <c r="L640" s="47" t="str">
        <f aca="false">IF(K640=1,"PASS","OPEN")</f>
        <v>OPEN</v>
      </c>
    </row>
    <row r="641" customFormat="false" ht="15" hidden="false" customHeight="false" outlineLevel="0" collapsed="false">
      <c r="A641" s="19" t="str">
        <f aca="false">"DEC-"&amp;B641&amp;"-G5"</f>
        <v>DEC-INT-RT-CON-G5</v>
      </c>
      <c r="B641" s="19" t="str">
        <f aca="false">'Lot Register'!A97</f>
        <v>INT-RT-CON</v>
      </c>
      <c r="C641" s="19" t="str">
        <f aca="false">'Lot Register'!B97</f>
        <v>Station integration</v>
      </c>
      <c r="D641" s="19" t="str">
        <f aca="false">'Lot Register'!D97</f>
        <v>MS-RT</v>
      </c>
      <c r="E641" s="19" t="str">
        <f aca="false">'Lot Register'!G97</f>
        <v>ST-RT-CON</v>
      </c>
      <c r="F641" s="9" t="s">
        <v>590</v>
      </c>
      <c r="G641" s="9" t="s">
        <v>591</v>
      </c>
      <c r="H641" s="9" t="s">
        <v>592</v>
      </c>
      <c r="I641" s="9" t="s">
        <v>565</v>
      </c>
      <c r="J641" s="11" t="s">
        <v>238</v>
      </c>
      <c r="K641" s="47" t="n">
        <f aca="false">Controls!B26</f>
        <v>0</v>
      </c>
      <c r="L641" s="47" t="str">
        <f aca="false">IF(K641=1,"PASS","OPEN")</f>
        <v>OPEN</v>
      </c>
    </row>
    <row r="642" customFormat="false" ht="15" hidden="false" customHeight="false" outlineLevel="0" collapsed="false">
      <c r="A642" s="19" t="str">
        <f aca="false">"DEC-"&amp;B642&amp;"-G6"</f>
        <v>DEC-INT-RT-CON-G6</v>
      </c>
      <c r="B642" s="19" t="str">
        <f aca="false">'Lot Register'!A97</f>
        <v>INT-RT-CON</v>
      </c>
      <c r="C642" s="19" t="str">
        <f aca="false">'Lot Register'!B97</f>
        <v>Station integration</v>
      </c>
      <c r="D642" s="19" t="str">
        <f aca="false">'Lot Register'!D97</f>
        <v>MS-RT</v>
      </c>
      <c r="E642" s="19" t="str">
        <f aca="false">'Lot Register'!G97</f>
        <v>ST-RT-CON</v>
      </c>
      <c r="F642" s="9" t="s">
        <v>593</v>
      </c>
      <c r="G642" s="9" t="s">
        <v>594</v>
      </c>
      <c r="H642" s="9" t="s">
        <v>595</v>
      </c>
      <c r="I642" s="9" t="s">
        <v>570</v>
      </c>
      <c r="J642" s="11" t="s">
        <v>238</v>
      </c>
      <c r="K642" s="47" t="n">
        <f aca="false">Controls!B26</f>
        <v>0</v>
      </c>
      <c r="L642" s="47" t="str">
        <f aca="false">IF(K642=1,"PASS","OPEN")</f>
        <v>OPEN</v>
      </c>
    </row>
    <row r="643" customFormat="false" ht="15" hidden="false" customHeight="false" outlineLevel="0" collapsed="false">
      <c r="A643" s="19" t="str">
        <f aca="false">"DEC-"&amp;B643&amp;"-G7"</f>
        <v>DEC-INT-RT-CON-G7</v>
      </c>
      <c r="B643" s="19" t="str">
        <f aca="false">'Lot Register'!A97</f>
        <v>INT-RT-CON</v>
      </c>
      <c r="C643" s="19" t="str">
        <f aca="false">'Lot Register'!B97</f>
        <v>Station integration</v>
      </c>
      <c r="D643" s="19" t="str">
        <f aca="false">'Lot Register'!D97</f>
        <v>MS-RT</v>
      </c>
      <c r="E643" s="19" t="str">
        <f aca="false">'Lot Register'!G97</f>
        <v>ST-RT-CON</v>
      </c>
      <c r="F643" s="9" t="s">
        <v>596</v>
      </c>
      <c r="G643" s="9" t="s">
        <v>597</v>
      </c>
      <c r="H643" s="9" t="s">
        <v>598</v>
      </c>
      <c r="I643" s="9" t="s">
        <v>570</v>
      </c>
      <c r="J643" s="11" t="s">
        <v>238</v>
      </c>
      <c r="K643" s="47" t="n">
        <f aca="false">Controls!B26</f>
        <v>0</v>
      </c>
      <c r="L643" s="47" t="str">
        <f aca="false">IF(K643=1,"PASS","OPEN")</f>
        <v>OPEN</v>
      </c>
    </row>
    <row r="644" customFormat="false" ht="15" hidden="false" customHeight="false" outlineLevel="0" collapsed="false">
      <c r="A644" s="19" t="str">
        <f aca="false">"DEC-"&amp;B644&amp;"-G1"</f>
        <v>DEC-RIG-RT-REC-G1</v>
      </c>
      <c r="B644" s="19" t="str">
        <f aca="false">'Lot Register'!A98</f>
        <v>RIG-RT-REC</v>
      </c>
      <c r="C644" s="19" t="str">
        <f aca="false">'Lot Register'!B98</f>
        <v>Root-native rig</v>
      </c>
      <c r="D644" s="19" t="str">
        <f aca="false">'Lot Register'!D98</f>
        <v>MS-RT</v>
      </c>
      <c r="E644" s="19" t="str">
        <f aca="false">'Lot Register'!G98</f>
        <v>ST-RT-REC</v>
      </c>
      <c r="F644" s="9" t="s">
        <v>578</v>
      </c>
      <c r="G644" s="9" t="s">
        <v>579</v>
      </c>
      <c r="H644" s="9" t="s">
        <v>580</v>
      </c>
      <c r="I644" s="9" t="s">
        <v>562</v>
      </c>
      <c r="J644" s="11" t="s">
        <v>238</v>
      </c>
      <c r="K644" s="47" t="n">
        <f aca="false">Controls!B26</f>
        <v>0</v>
      </c>
      <c r="L644" s="47" t="str">
        <f aca="false">IF(K644=1,"PASS","OPEN")</f>
        <v>OPEN</v>
      </c>
    </row>
    <row r="645" customFormat="false" ht="15" hidden="false" customHeight="false" outlineLevel="0" collapsed="false">
      <c r="A645" s="19" t="str">
        <f aca="false">"DEC-"&amp;B645&amp;"-G2"</f>
        <v>DEC-RIG-RT-REC-G2</v>
      </c>
      <c r="B645" s="19" t="str">
        <f aca="false">'Lot Register'!A98</f>
        <v>RIG-RT-REC</v>
      </c>
      <c r="C645" s="19" t="str">
        <f aca="false">'Lot Register'!B98</f>
        <v>Root-native rig</v>
      </c>
      <c r="D645" s="19" t="str">
        <f aca="false">'Lot Register'!D98</f>
        <v>MS-RT</v>
      </c>
      <c r="E645" s="19" t="str">
        <f aca="false">'Lot Register'!G98</f>
        <v>ST-RT-REC</v>
      </c>
      <c r="F645" s="9" t="s">
        <v>581</v>
      </c>
      <c r="G645" s="9" t="s">
        <v>582</v>
      </c>
      <c r="H645" s="9" t="s">
        <v>583</v>
      </c>
      <c r="I645" s="9" t="s">
        <v>560</v>
      </c>
      <c r="J645" s="11" t="s">
        <v>238</v>
      </c>
      <c r="K645" s="47" t="n">
        <f aca="false">Controls!B26</f>
        <v>0</v>
      </c>
      <c r="L645" s="47" t="str">
        <f aca="false">IF(K645=1,"PASS","OPEN")</f>
        <v>OPEN</v>
      </c>
    </row>
    <row r="646" customFormat="false" ht="15" hidden="false" customHeight="false" outlineLevel="0" collapsed="false">
      <c r="A646" s="19" t="str">
        <f aca="false">"DEC-"&amp;B646&amp;"-G3"</f>
        <v>DEC-RIG-RT-REC-G3</v>
      </c>
      <c r="B646" s="19" t="str">
        <f aca="false">'Lot Register'!A98</f>
        <v>RIG-RT-REC</v>
      </c>
      <c r="C646" s="19" t="str">
        <f aca="false">'Lot Register'!B98</f>
        <v>Root-native rig</v>
      </c>
      <c r="D646" s="19" t="str">
        <f aca="false">'Lot Register'!D98</f>
        <v>MS-RT</v>
      </c>
      <c r="E646" s="19" t="str">
        <f aca="false">'Lot Register'!G98</f>
        <v>ST-RT-REC</v>
      </c>
      <c r="F646" s="9" t="s">
        <v>584</v>
      </c>
      <c r="G646" s="9" t="s">
        <v>585</v>
      </c>
      <c r="H646" s="9" t="s">
        <v>586</v>
      </c>
      <c r="I646" s="9" t="s">
        <v>565</v>
      </c>
      <c r="J646" s="11" t="s">
        <v>238</v>
      </c>
      <c r="K646" s="47" t="n">
        <f aca="false">Controls!B26</f>
        <v>0</v>
      </c>
      <c r="L646" s="47" t="str">
        <f aca="false">IF(K646=1,"PASS","OPEN")</f>
        <v>OPEN</v>
      </c>
    </row>
    <row r="647" customFormat="false" ht="15" hidden="false" customHeight="false" outlineLevel="0" collapsed="false">
      <c r="A647" s="19" t="str">
        <f aca="false">"DEC-"&amp;B647&amp;"-G4"</f>
        <v>DEC-RIG-RT-REC-G4</v>
      </c>
      <c r="B647" s="19" t="str">
        <f aca="false">'Lot Register'!A98</f>
        <v>RIG-RT-REC</v>
      </c>
      <c r="C647" s="19" t="str">
        <f aca="false">'Lot Register'!B98</f>
        <v>Root-native rig</v>
      </c>
      <c r="D647" s="19" t="str">
        <f aca="false">'Lot Register'!D98</f>
        <v>MS-RT</v>
      </c>
      <c r="E647" s="19" t="str">
        <f aca="false">'Lot Register'!G98</f>
        <v>ST-RT-REC</v>
      </c>
      <c r="F647" s="9" t="s">
        <v>587</v>
      </c>
      <c r="G647" s="9" t="s">
        <v>588</v>
      </c>
      <c r="H647" s="9" t="s">
        <v>589</v>
      </c>
      <c r="I647" s="9" t="s">
        <v>562</v>
      </c>
      <c r="J647" s="11" t="s">
        <v>238</v>
      </c>
      <c r="K647" s="47" t="n">
        <f aca="false">Controls!B26</f>
        <v>0</v>
      </c>
      <c r="L647" s="47" t="str">
        <f aca="false">IF(K647=1,"PASS","OPEN")</f>
        <v>OPEN</v>
      </c>
    </row>
    <row r="648" customFormat="false" ht="15" hidden="false" customHeight="false" outlineLevel="0" collapsed="false">
      <c r="A648" s="19" t="str">
        <f aca="false">"DEC-"&amp;B648&amp;"-G5"</f>
        <v>DEC-RIG-RT-REC-G5</v>
      </c>
      <c r="B648" s="19" t="str">
        <f aca="false">'Lot Register'!A98</f>
        <v>RIG-RT-REC</v>
      </c>
      <c r="C648" s="19" t="str">
        <f aca="false">'Lot Register'!B98</f>
        <v>Root-native rig</v>
      </c>
      <c r="D648" s="19" t="str">
        <f aca="false">'Lot Register'!D98</f>
        <v>MS-RT</v>
      </c>
      <c r="E648" s="19" t="str">
        <f aca="false">'Lot Register'!G98</f>
        <v>ST-RT-REC</v>
      </c>
      <c r="F648" s="9" t="s">
        <v>590</v>
      </c>
      <c r="G648" s="9" t="s">
        <v>591</v>
      </c>
      <c r="H648" s="9" t="s">
        <v>592</v>
      </c>
      <c r="I648" s="9" t="s">
        <v>565</v>
      </c>
      <c r="J648" s="11" t="s">
        <v>238</v>
      </c>
      <c r="K648" s="47" t="n">
        <f aca="false">Controls!B26</f>
        <v>0</v>
      </c>
      <c r="L648" s="47" t="str">
        <f aca="false">IF(K648=1,"PASS","OPEN")</f>
        <v>OPEN</v>
      </c>
    </row>
    <row r="649" customFormat="false" ht="15" hidden="false" customHeight="false" outlineLevel="0" collapsed="false">
      <c r="A649" s="19" t="str">
        <f aca="false">"DEC-"&amp;B649&amp;"-G6"</f>
        <v>DEC-RIG-RT-REC-G6</v>
      </c>
      <c r="B649" s="19" t="str">
        <f aca="false">'Lot Register'!A98</f>
        <v>RIG-RT-REC</v>
      </c>
      <c r="C649" s="19" t="str">
        <f aca="false">'Lot Register'!B98</f>
        <v>Root-native rig</v>
      </c>
      <c r="D649" s="19" t="str">
        <f aca="false">'Lot Register'!D98</f>
        <v>MS-RT</v>
      </c>
      <c r="E649" s="19" t="str">
        <f aca="false">'Lot Register'!G98</f>
        <v>ST-RT-REC</v>
      </c>
      <c r="F649" s="9" t="s">
        <v>593</v>
      </c>
      <c r="G649" s="9" t="s">
        <v>594</v>
      </c>
      <c r="H649" s="9" t="s">
        <v>595</v>
      </c>
      <c r="I649" s="9" t="s">
        <v>570</v>
      </c>
      <c r="J649" s="11" t="s">
        <v>238</v>
      </c>
      <c r="K649" s="47" t="n">
        <f aca="false">Controls!B26</f>
        <v>0</v>
      </c>
      <c r="L649" s="47" t="str">
        <f aca="false">IF(K649=1,"PASS","OPEN")</f>
        <v>OPEN</v>
      </c>
    </row>
    <row r="650" customFormat="false" ht="15" hidden="false" customHeight="false" outlineLevel="0" collapsed="false">
      <c r="A650" s="19" t="str">
        <f aca="false">"DEC-"&amp;B650&amp;"-G7"</f>
        <v>DEC-RIG-RT-REC-G7</v>
      </c>
      <c r="B650" s="19" t="str">
        <f aca="false">'Lot Register'!A98</f>
        <v>RIG-RT-REC</v>
      </c>
      <c r="C650" s="19" t="str">
        <f aca="false">'Lot Register'!B98</f>
        <v>Root-native rig</v>
      </c>
      <c r="D650" s="19" t="str">
        <f aca="false">'Lot Register'!D98</f>
        <v>MS-RT</v>
      </c>
      <c r="E650" s="19" t="str">
        <f aca="false">'Lot Register'!G98</f>
        <v>ST-RT-REC</v>
      </c>
      <c r="F650" s="9" t="s">
        <v>596</v>
      </c>
      <c r="G650" s="9" t="s">
        <v>597</v>
      </c>
      <c r="H650" s="9" t="s">
        <v>598</v>
      </c>
      <c r="I650" s="9" t="s">
        <v>570</v>
      </c>
      <c r="J650" s="11" t="s">
        <v>238</v>
      </c>
      <c r="K650" s="47" t="n">
        <f aca="false">Controls!B26</f>
        <v>0</v>
      </c>
      <c r="L650" s="47" t="str">
        <f aca="false">IF(K650=1,"PASS","OPEN")</f>
        <v>OPEN</v>
      </c>
    </row>
    <row r="651" customFormat="false" ht="15" hidden="false" customHeight="false" outlineLevel="0" collapsed="false">
      <c r="A651" s="19" t="str">
        <f aca="false">"DEC-"&amp;B651&amp;"-G1"</f>
        <v>DEC-MTH-RT-REC-L1-G1</v>
      </c>
      <c r="B651" s="19" t="str">
        <f aca="false">'Lot Register'!A99</f>
        <v>MTH-RT-REC-L1</v>
      </c>
      <c r="C651" s="19" t="str">
        <f aca="false">'Lot Register'!B99</f>
        <v>Method lineage</v>
      </c>
      <c r="D651" s="19" t="str">
        <f aca="false">'Lot Register'!D99</f>
        <v>MS-RT</v>
      </c>
      <c r="E651" s="19" t="str">
        <f aca="false">'Lot Register'!G99</f>
        <v>ST-RT-REC</v>
      </c>
      <c r="F651" s="9" t="s">
        <v>578</v>
      </c>
      <c r="G651" s="9" t="s">
        <v>579</v>
      </c>
      <c r="H651" s="9" t="s">
        <v>580</v>
      </c>
      <c r="I651" s="9" t="s">
        <v>562</v>
      </c>
      <c r="J651" s="11" t="s">
        <v>238</v>
      </c>
      <c r="K651" s="47" t="n">
        <f aca="false">Controls!B26</f>
        <v>0</v>
      </c>
      <c r="L651" s="47" t="str">
        <f aca="false">IF(K651=1,"PASS","OPEN")</f>
        <v>OPEN</v>
      </c>
    </row>
    <row r="652" customFormat="false" ht="15" hidden="false" customHeight="false" outlineLevel="0" collapsed="false">
      <c r="A652" s="19" t="str">
        <f aca="false">"DEC-"&amp;B652&amp;"-G2"</f>
        <v>DEC-MTH-RT-REC-L1-G2</v>
      </c>
      <c r="B652" s="19" t="str">
        <f aca="false">'Lot Register'!A99</f>
        <v>MTH-RT-REC-L1</v>
      </c>
      <c r="C652" s="19" t="str">
        <f aca="false">'Lot Register'!B99</f>
        <v>Method lineage</v>
      </c>
      <c r="D652" s="19" t="str">
        <f aca="false">'Lot Register'!D99</f>
        <v>MS-RT</v>
      </c>
      <c r="E652" s="19" t="str">
        <f aca="false">'Lot Register'!G99</f>
        <v>ST-RT-REC</v>
      </c>
      <c r="F652" s="9" t="s">
        <v>581</v>
      </c>
      <c r="G652" s="9" t="s">
        <v>582</v>
      </c>
      <c r="H652" s="9" t="s">
        <v>583</v>
      </c>
      <c r="I652" s="9" t="s">
        <v>560</v>
      </c>
      <c r="J652" s="11" t="s">
        <v>238</v>
      </c>
      <c r="K652" s="47" t="n">
        <f aca="false">Controls!B26</f>
        <v>0</v>
      </c>
      <c r="L652" s="47" t="str">
        <f aca="false">IF(K652=1,"PASS","OPEN")</f>
        <v>OPEN</v>
      </c>
    </row>
    <row r="653" customFormat="false" ht="15" hidden="false" customHeight="false" outlineLevel="0" collapsed="false">
      <c r="A653" s="19" t="str">
        <f aca="false">"DEC-"&amp;B653&amp;"-G3"</f>
        <v>DEC-MTH-RT-REC-L1-G3</v>
      </c>
      <c r="B653" s="19" t="str">
        <f aca="false">'Lot Register'!A99</f>
        <v>MTH-RT-REC-L1</v>
      </c>
      <c r="C653" s="19" t="str">
        <f aca="false">'Lot Register'!B99</f>
        <v>Method lineage</v>
      </c>
      <c r="D653" s="19" t="str">
        <f aca="false">'Lot Register'!D99</f>
        <v>MS-RT</v>
      </c>
      <c r="E653" s="19" t="str">
        <f aca="false">'Lot Register'!G99</f>
        <v>ST-RT-REC</v>
      </c>
      <c r="F653" s="9" t="s">
        <v>584</v>
      </c>
      <c r="G653" s="9" t="s">
        <v>585</v>
      </c>
      <c r="H653" s="9" t="s">
        <v>586</v>
      </c>
      <c r="I653" s="9" t="s">
        <v>565</v>
      </c>
      <c r="J653" s="11" t="s">
        <v>238</v>
      </c>
      <c r="K653" s="47" t="n">
        <f aca="false">Controls!B26</f>
        <v>0</v>
      </c>
      <c r="L653" s="47" t="str">
        <f aca="false">IF(K653=1,"PASS","OPEN")</f>
        <v>OPEN</v>
      </c>
    </row>
    <row r="654" customFormat="false" ht="15" hidden="false" customHeight="false" outlineLevel="0" collapsed="false">
      <c r="A654" s="19" t="str">
        <f aca="false">"DEC-"&amp;B654&amp;"-G4"</f>
        <v>DEC-MTH-RT-REC-L1-G4</v>
      </c>
      <c r="B654" s="19" t="str">
        <f aca="false">'Lot Register'!A99</f>
        <v>MTH-RT-REC-L1</v>
      </c>
      <c r="C654" s="19" t="str">
        <f aca="false">'Lot Register'!B99</f>
        <v>Method lineage</v>
      </c>
      <c r="D654" s="19" t="str">
        <f aca="false">'Lot Register'!D99</f>
        <v>MS-RT</v>
      </c>
      <c r="E654" s="19" t="str">
        <f aca="false">'Lot Register'!G99</f>
        <v>ST-RT-REC</v>
      </c>
      <c r="F654" s="9" t="s">
        <v>587</v>
      </c>
      <c r="G654" s="9" t="s">
        <v>588</v>
      </c>
      <c r="H654" s="9" t="s">
        <v>589</v>
      </c>
      <c r="I654" s="9" t="s">
        <v>562</v>
      </c>
      <c r="J654" s="11" t="s">
        <v>238</v>
      </c>
      <c r="K654" s="47" t="n">
        <f aca="false">Controls!B26</f>
        <v>0</v>
      </c>
      <c r="L654" s="47" t="str">
        <f aca="false">IF(K654=1,"PASS","OPEN")</f>
        <v>OPEN</v>
      </c>
    </row>
    <row r="655" customFormat="false" ht="15" hidden="false" customHeight="false" outlineLevel="0" collapsed="false">
      <c r="A655" s="19" t="str">
        <f aca="false">"DEC-"&amp;B655&amp;"-G5"</f>
        <v>DEC-MTH-RT-REC-L1-G5</v>
      </c>
      <c r="B655" s="19" t="str">
        <f aca="false">'Lot Register'!A99</f>
        <v>MTH-RT-REC-L1</v>
      </c>
      <c r="C655" s="19" t="str">
        <f aca="false">'Lot Register'!B99</f>
        <v>Method lineage</v>
      </c>
      <c r="D655" s="19" t="str">
        <f aca="false">'Lot Register'!D99</f>
        <v>MS-RT</v>
      </c>
      <c r="E655" s="19" t="str">
        <f aca="false">'Lot Register'!G99</f>
        <v>ST-RT-REC</v>
      </c>
      <c r="F655" s="9" t="s">
        <v>590</v>
      </c>
      <c r="G655" s="9" t="s">
        <v>591</v>
      </c>
      <c r="H655" s="9" t="s">
        <v>592</v>
      </c>
      <c r="I655" s="9" t="s">
        <v>565</v>
      </c>
      <c r="J655" s="11" t="s">
        <v>238</v>
      </c>
      <c r="K655" s="47" t="n">
        <f aca="false">Controls!B26</f>
        <v>0</v>
      </c>
      <c r="L655" s="47" t="str">
        <f aca="false">IF(K655=1,"PASS","OPEN")</f>
        <v>OPEN</v>
      </c>
    </row>
    <row r="656" customFormat="false" ht="15" hidden="false" customHeight="false" outlineLevel="0" collapsed="false">
      <c r="A656" s="19" t="str">
        <f aca="false">"DEC-"&amp;B656&amp;"-G6"</f>
        <v>DEC-MTH-RT-REC-L1-G6</v>
      </c>
      <c r="B656" s="19" t="str">
        <f aca="false">'Lot Register'!A99</f>
        <v>MTH-RT-REC-L1</v>
      </c>
      <c r="C656" s="19" t="str">
        <f aca="false">'Lot Register'!B99</f>
        <v>Method lineage</v>
      </c>
      <c r="D656" s="19" t="str">
        <f aca="false">'Lot Register'!D99</f>
        <v>MS-RT</v>
      </c>
      <c r="E656" s="19" t="str">
        <f aca="false">'Lot Register'!G99</f>
        <v>ST-RT-REC</v>
      </c>
      <c r="F656" s="9" t="s">
        <v>593</v>
      </c>
      <c r="G656" s="9" t="s">
        <v>594</v>
      </c>
      <c r="H656" s="9" t="s">
        <v>595</v>
      </c>
      <c r="I656" s="9" t="s">
        <v>570</v>
      </c>
      <c r="J656" s="11" t="s">
        <v>238</v>
      </c>
      <c r="K656" s="47" t="n">
        <f aca="false">Controls!B26</f>
        <v>0</v>
      </c>
      <c r="L656" s="47" t="str">
        <f aca="false">IF(K656=1,"PASS","OPEN")</f>
        <v>OPEN</v>
      </c>
    </row>
    <row r="657" customFormat="false" ht="15" hidden="false" customHeight="false" outlineLevel="0" collapsed="false">
      <c r="A657" s="19" t="str">
        <f aca="false">"DEC-"&amp;B657&amp;"-G7"</f>
        <v>DEC-MTH-RT-REC-L1-G7</v>
      </c>
      <c r="B657" s="19" t="str">
        <f aca="false">'Lot Register'!A99</f>
        <v>MTH-RT-REC-L1</v>
      </c>
      <c r="C657" s="19" t="str">
        <f aca="false">'Lot Register'!B99</f>
        <v>Method lineage</v>
      </c>
      <c r="D657" s="19" t="str">
        <f aca="false">'Lot Register'!D99</f>
        <v>MS-RT</v>
      </c>
      <c r="E657" s="19" t="str">
        <f aca="false">'Lot Register'!G99</f>
        <v>ST-RT-REC</v>
      </c>
      <c r="F657" s="9" t="s">
        <v>596</v>
      </c>
      <c r="G657" s="9" t="s">
        <v>597</v>
      </c>
      <c r="H657" s="9" t="s">
        <v>598</v>
      </c>
      <c r="I657" s="9" t="s">
        <v>570</v>
      </c>
      <c r="J657" s="11" t="s">
        <v>238</v>
      </c>
      <c r="K657" s="47" t="n">
        <f aca="false">Controls!B26</f>
        <v>0</v>
      </c>
      <c r="L657" s="47" t="str">
        <f aca="false">IF(K657=1,"PASS","OPEN")</f>
        <v>OPEN</v>
      </c>
    </row>
    <row r="658" customFormat="false" ht="15" hidden="false" customHeight="false" outlineLevel="0" collapsed="false">
      <c r="A658" s="19" t="str">
        <f aca="false">"DEC-"&amp;B658&amp;"-G1"</f>
        <v>DEC-MTH-RT-REC-L2-G1</v>
      </c>
      <c r="B658" s="19" t="str">
        <f aca="false">'Lot Register'!A100</f>
        <v>MTH-RT-REC-L2</v>
      </c>
      <c r="C658" s="19" t="str">
        <f aca="false">'Lot Register'!B100</f>
        <v>Method lineage</v>
      </c>
      <c r="D658" s="19" t="str">
        <f aca="false">'Lot Register'!D100</f>
        <v>MS-RT</v>
      </c>
      <c r="E658" s="19" t="str">
        <f aca="false">'Lot Register'!G100</f>
        <v>ST-RT-REC</v>
      </c>
      <c r="F658" s="9" t="s">
        <v>578</v>
      </c>
      <c r="G658" s="9" t="s">
        <v>579</v>
      </c>
      <c r="H658" s="9" t="s">
        <v>580</v>
      </c>
      <c r="I658" s="9" t="s">
        <v>562</v>
      </c>
      <c r="J658" s="11" t="s">
        <v>238</v>
      </c>
      <c r="K658" s="47" t="n">
        <f aca="false">Controls!B26</f>
        <v>0</v>
      </c>
      <c r="L658" s="47" t="str">
        <f aca="false">IF(K658=1,"PASS","OPEN")</f>
        <v>OPEN</v>
      </c>
    </row>
    <row r="659" customFormat="false" ht="15" hidden="false" customHeight="false" outlineLevel="0" collapsed="false">
      <c r="A659" s="19" t="str">
        <f aca="false">"DEC-"&amp;B659&amp;"-G2"</f>
        <v>DEC-MTH-RT-REC-L2-G2</v>
      </c>
      <c r="B659" s="19" t="str">
        <f aca="false">'Lot Register'!A100</f>
        <v>MTH-RT-REC-L2</v>
      </c>
      <c r="C659" s="19" t="str">
        <f aca="false">'Lot Register'!B100</f>
        <v>Method lineage</v>
      </c>
      <c r="D659" s="19" t="str">
        <f aca="false">'Lot Register'!D100</f>
        <v>MS-RT</v>
      </c>
      <c r="E659" s="19" t="str">
        <f aca="false">'Lot Register'!G100</f>
        <v>ST-RT-REC</v>
      </c>
      <c r="F659" s="9" t="s">
        <v>581</v>
      </c>
      <c r="G659" s="9" t="s">
        <v>582</v>
      </c>
      <c r="H659" s="9" t="s">
        <v>583</v>
      </c>
      <c r="I659" s="9" t="s">
        <v>560</v>
      </c>
      <c r="J659" s="11" t="s">
        <v>238</v>
      </c>
      <c r="K659" s="47" t="n">
        <f aca="false">Controls!B26</f>
        <v>0</v>
      </c>
      <c r="L659" s="47" t="str">
        <f aca="false">IF(K659=1,"PASS","OPEN")</f>
        <v>OPEN</v>
      </c>
    </row>
    <row r="660" customFormat="false" ht="15" hidden="false" customHeight="false" outlineLevel="0" collapsed="false">
      <c r="A660" s="19" t="str">
        <f aca="false">"DEC-"&amp;B660&amp;"-G3"</f>
        <v>DEC-MTH-RT-REC-L2-G3</v>
      </c>
      <c r="B660" s="19" t="str">
        <f aca="false">'Lot Register'!A100</f>
        <v>MTH-RT-REC-L2</v>
      </c>
      <c r="C660" s="19" t="str">
        <f aca="false">'Lot Register'!B100</f>
        <v>Method lineage</v>
      </c>
      <c r="D660" s="19" t="str">
        <f aca="false">'Lot Register'!D100</f>
        <v>MS-RT</v>
      </c>
      <c r="E660" s="19" t="str">
        <f aca="false">'Lot Register'!G100</f>
        <v>ST-RT-REC</v>
      </c>
      <c r="F660" s="9" t="s">
        <v>584</v>
      </c>
      <c r="G660" s="9" t="s">
        <v>585</v>
      </c>
      <c r="H660" s="9" t="s">
        <v>586</v>
      </c>
      <c r="I660" s="9" t="s">
        <v>565</v>
      </c>
      <c r="J660" s="11" t="s">
        <v>238</v>
      </c>
      <c r="K660" s="47" t="n">
        <f aca="false">Controls!B26</f>
        <v>0</v>
      </c>
      <c r="L660" s="47" t="str">
        <f aca="false">IF(K660=1,"PASS","OPEN")</f>
        <v>OPEN</v>
      </c>
    </row>
    <row r="661" customFormat="false" ht="15" hidden="false" customHeight="false" outlineLevel="0" collapsed="false">
      <c r="A661" s="19" t="str">
        <f aca="false">"DEC-"&amp;B661&amp;"-G4"</f>
        <v>DEC-MTH-RT-REC-L2-G4</v>
      </c>
      <c r="B661" s="19" t="str">
        <f aca="false">'Lot Register'!A100</f>
        <v>MTH-RT-REC-L2</v>
      </c>
      <c r="C661" s="19" t="str">
        <f aca="false">'Lot Register'!B100</f>
        <v>Method lineage</v>
      </c>
      <c r="D661" s="19" t="str">
        <f aca="false">'Lot Register'!D100</f>
        <v>MS-RT</v>
      </c>
      <c r="E661" s="19" t="str">
        <f aca="false">'Lot Register'!G100</f>
        <v>ST-RT-REC</v>
      </c>
      <c r="F661" s="9" t="s">
        <v>587</v>
      </c>
      <c r="G661" s="9" t="s">
        <v>588</v>
      </c>
      <c r="H661" s="9" t="s">
        <v>589</v>
      </c>
      <c r="I661" s="9" t="s">
        <v>562</v>
      </c>
      <c r="J661" s="11" t="s">
        <v>238</v>
      </c>
      <c r="K661" s="47" t="n">
        <f aca="false">Controls!B26</f>
        <v>0</v>
      </c>
      <c r="L661" s="47" t="str">
        <f aca="false">IF(K661=1,"PASS","OPEN")</f>
        <v>OPEN</v>
      </c>
    </row>
    <row r="662" customFormat="false" ht="15" hidden="false" customHeight="false" outlineLevel="0" collapsed="false">
      <c r="A662" s="19" t="str">
        <f aca="false">"DEC-"&amp;B662&amp;"-G5"</f>
        <v>DEC-MTH-RT-REC-L2-G5</v>
      </c>
      <c r="B662" s="19" t="str">
        <f aca="false">'Lot Register'!A100</f>
        <v>MTH-RT-REC-L2</v>
      </c>
      <c r="C662" s="19" t="str">
        <f aca="false">'Lot Register'!B100</f>
        <v>Method lineage</v>
      </c>
      <c r="D662" s="19" t="str">
        <f aca="false">'Lot Register'!D100</f>
        <v>MS-RT</v>
      </c>
      <c r="E662" s="19" t="str">
        <f aca="false">'Lot Register'!G100</f>
        <v>ST-RT-REC</v>
      </c>
      <c r="F662" s="9" t="s">
        <v>590</v>
      </c>
      <c r="G662" s="9" t="s">
        <v>591</v>
      </c>
      <c r="H662" s="9" t="s">
        <v>592</v>
      </c>
      <c r="I662" s="9" t="s">
        <v>565</v>
      </c>
      <c r="J662" s="11" t="s">
        <v>238</v>
      </c>
      <c r="K662" s="47" t="n">
        <f aca="false">Controls!B26</f>
        <v>0</v>
      </c>
      <c r="L662" s="47" t="str">
        <f aca="false">IF(K662=1,"PASS","OPEN")</f>
        <v>OPEN</v>
      </c>
    </row>
    <row r="663" customFormat="false" ht="15" hidden="false" customHeight="false" outlineLevel="0" collapsed="false">
      <c r="A663" s="19" t="str">
        <f aca="false">"DEC-"&amp;B663&amp;"-G6"</f>
        <v>DEC-MTH-RT-REC-L2-G6</v>
      </c>
      <c r="B663" s="19" t="str">
        <f aca="false">'Lot Register'!A100</f>
        <v>MTH-RT-REC-L2</v>
      </c>
      <c r="C663" s="19" t="str">
        <f aca="false">'Lot Register'!B100</f>
        <v>Method lineage</v>
      </c>
      <c r="D663" s="19" t="str">
        <f aca="false">'Lot Register'!D100</f>
        <v>MS-RT</v>
      </c>
      <c r="E663" s="19" t="str">
        <f aca="false">'Lot Register'!G100</f>
        <v>ST-RT-REC</v>
      </c>
      <c r="F663" s="9" t="s">
        <v>593</v>
      </c>
      <c r="G663" s="9" t="s">
        <v>594</v>
      </c>
      <c r="H663" s="9" t="s">
        <v>595</v>
      </c>
      <c r="I663" s="9" t="s">
        <v>570</v>
      </c>
      <c r="J663" s="11" t="s">
        <v>238</v>
      </c>
      <c r="K663" s="47" t="n">
        <f aca="false">Controls!B26</f>
        <v>0</v>
      </c>
      <c r="L663" s="47" t="str">
        <f aca="false">IF(K663=1,"PASS","OPEN")</f>
        <v>OPEN</v>
      </c>
    </row>
    <row r="664" customFormat="false" ht="15" hidden="false" customHeight="false" outlineLevel="0" collapsed="false">
      <c r="A664" s="19" t="str">
        <f aca="false">"DEC-"&amp;B664&amp;"-G7"</f>
        <v>DEC-MTH-RT-REC-L2-G7</v>
      </c>
      <c r="B664" s="19" t="str">
        <f aca="false">'Lot Register'!A100</f>
        <v>MTH-RT-REC-L2</v>
      </c>
      <c r="C664" s="19" t="str">
        <f aca="false">'Lot Register'!B100</f>
        <v>Method lineage</v>
      </c>
      <c r="D664" s="19" t="str">
        <f aca="false">'Lot Register'!D100</f>
        <v>MS-RT</v>
      </c>
      <c r="E664" s="19" t="str">
        <f aca="false">'Lot Register'!G100</f>
        <v>ST-RT-REC</v>
      </c>
      <c r="F664" s="9" t="s">
        <v>596</v>
      </c>
      <c r="G664" s="9" t="s">
        <v>597</v>
      </c>
      <c r="H664" s="9" t="s">
        <v>598</v>
      </c>
      <c r="I664" s="9" t="s">
        <v>570</v>
      </c>
      <c r="J664" s="11" t="s">
        <v>238</v>
      </c>
      <c r="K664" s="47" t="n">
        <f aca="false">Controls!B26</f>
        <v>0</v>
      </c>
      <c r="L664" s="47" t="str">
        <f aca="false">IF(K664=1,"PASS","OPEN")</f>
        <v>OPEN</v>
      </c>
    </row>
    <row r="665" customFormat="false" ht="15" hidden="false" customHeight="false" outlineLevel="0" collapsed="false">
      <c r="A665" s="19" t="str">
        <f aca="false">"DEC-"&amp;B665&amp;"-G1"</f>
        <v>DEC-REG-RT-REC-G1</v>
      </c>
      <c r="B665" s="19" t="str">
        <f aca="false">'Lot Register'!A101</f>
        <v>REG-RT-REC</v>
      </c>
      <c r="C665" s="19" t="str">
        <f aca="false">'Lot Register'!B101</f>
        <v>Regeneration tool</v>
      </c>
      <c r="D665" s="19" t="str">
        <f aca="false">'Lot Register'!D101</f>
        <v>MS-RT</v>
      </c>
      <c r="E665" s="19" t="str">
        <f aca="false">'Lot Register'!G101</f>
        <v>ST-RT-REC</v>
      </c>
      <c r="F665" s="9" t="s">
        <v>578</v>
      </c>
      <c r="G665" s="9" t="s">
        <v>579</v>
      </c>
      <c r="H665" s="9" t="s">
        <v>580</v>
      </c>
      <c r="I665" s="9" t="s">
        <v>562</v>
      </c>
      <c r="J665" s="11" t="s">
        <v>238</v>
      </c>
      <c r="K665" s="47" t="n">
        <f aca="false">Controls!B26</f>
        <v>0</v>
      </c>
      <c r="L665" s="47" t="str">
        <f aca="false">IF(K665=1,"PASS","OPEN")</f>
        <v>OPEN</v>
      </c>
    </row>
    <row r="666" customFormat="false" ht="15" hidden="false" customHeight="false" outlineLevel="0" collapsed="false">
      <c r="A666" s="19" t="str">
        <f aca="false">"DEC-"&amp;B666&amp;"-G2"</f>
        <v>DEC-REG-RT-REC-G2</v>
      </c>
      <c r="B666" s="19" t="str">
        <f aca="false">'Lot Register'!A101</f>
        <v>REG-RT-REC</v>
      </c>
      <c r="C666" s="19" t="str">
        <f aca="false">'Lot Register'!B101</f>
        <v>Regeneration tool</v>
      </c>
      <c r="D666" s="19" t="str">
        <f aca="false">'Lot Register'!D101</f>
        <v>MS-RT</v>
      </c>
      <c r="E666" s="19" t="str">
        <f aca="false">'Lot Register'!G101</f>
        <v>ST-RT-REC</v>
      </c>
      <c r="F666" s="9" t="s">
        <v>581</v>
      </c>
      <c r="G666" s="9" t="s">
        <v>582</v>
      </c>
      <c r="H666" s="9" t="s">
        <v>583</v>
      </c>
      <c r="I666" s="9" t="s">
        <v>560</v>
      </c>
      <c r="J666" s="11" t="s">
        <v>238</v>
      </c>
      <c r="K666" s="47" t="n">
        <f aca="false">Controls!B26</f>
        <v>0</v>
      </c>
      <c r="L666" s="47" t="str">
        <f aca="false">IF(K666=1,"PASS","OPEN")</f>
        <v>OPEN</v>
      </c>
    </row>
    <row r="667" customFormat="false" ht="15" hidden="false" customHeight="false" outlineLevel="0" collapsed="false">
      <c r="A667" s="19" t="str">
        <f aca="false">"DEC-"&amp;B667&amp;"-G3"</f>
        <v>DEC-REG-RT-REC-G3</v>
      </c>
      <c r="B667" s="19" t="str">
        <f aca="false">'Lot Register'!A101</f>
        <v>REG-RT-REC</v>
      </c>
      <c r="C667" s="19" t="str">
        <f aca="false">'Lot Register'!B101</f>
        <v>Regeneration tool</v>
      </c>
      <c r="D667" s="19" t="str">
        <f aca="false">'Lot Register'!D101</f>
        <v>MS-RT</v>
      </c>
      <c r="E667" s="19" t="str">
        <f aca="false">'Lot Register'!G101</f>
        <v>ST-RT-REC</v>
      </c>
      <c r="F667" s="9" t="s">
        <v>584</v>
      </c>
      <c r="G667" s="9" t="s">
        <v>585</v>
      </c>
      <c r="H667" s="9" t="s">
        <v>586</v>
      </c>
      <c r="I667" s="9" t="s">
        <v>565</v>
      </c>
      <c r="J667" s="11" t="s">
        <v>238</v>
      </c>
      <c r="K667" s="47" t="n">
        <f aca="false">Controls!B26</f>
        <v>0</v>
      </c>
      <c r="L667" s="47" t="str">
        <f aca="false">IF(K667=1,"PASS","OPEN")</f>
        <v>OPEN</v>
      </c>
    </row>
    <row r="668" customFormat="false" ht="15" hidden="false" customHeight="false" outlineLevel="0" collapsed="false">
      <c r="A668" s="19" t="str">
        <f aca="false">"DEC-"&amp;B668&amp;"-G4"</f>
        <v>DEC-REG-RT-REC-G4</v>
      </c>
      <c r="B668" s="19" t="str">
        <f aca="false">'Lot Register'!A101</f>
        <v>REG-RT-REC</v>
      </c>
      <c r="C668" s="19" t="str">
        <f aca="false">'Lot Register'!B101</f>
        <v>Regeneration tool</v>
      </c>
      <c r="D668" s="19" t="str">
        <f aca="false">'Lot Register'!D101</f>
        <v>MS-RT</v>
      </c>
      <c r="E668" s="19" t="str">
        <f aca="false">'Lot Register'!G101</f>
        <v>ST-RT-REC</v>
      </c>
      <c r="F668" s="9" t="s">
        <v>587</v>
      </c>
      <c r="G668" s="9" t="s">
        <v>588</v>
      </c>
      <c r="H668" s="9" t="s">
        <v>589</v>
      </c>
      <c r="I668" s="9" t="s">
        <v>562</v>
      </c>
      <c r="J668" s="11" t="s">
        <v>238</v>
      </c>
      <c r="K668" s="47" t="n">
        <f aca="false">Controls!B26</f>
        <v>0</v>
      </c>
      <c r="L668" s="47" t="str">
        <f aca="false">IF(K668=1,"PASS","OPEN")</f>
        <v>OPEN</v>
      </c>
    </row>
    <row r="669" customFormat="false" ht="15" hidden="false" customHeight="false" outlineLevel="0" collapsed="false">
      <c r="A669" s="19" t="str">
        <f aca="false">"DEC-"&amp;B669&amp;"-G5"</f>
        <v>DEC-REG-RT-REC-G5</v>
      </c>
      <c r="B669" s="19" t="str">
        <f aca="false">'Lot Register'!A101</f>
        <v>REG-RT-REC</v>
      </c>
      <c r="C669" s="19" t="str">
        <f aca="false">'Lot Register'!B101</f>
        <v>Regeneration tool</v>
      </c>
      <c r="D669" s="19" t="str">
        <f aca="false">'Lot Register'!D101</f>
        <v>MS-RT</v>
      </c>
      <c r="E669" s="19" t="str">
        <f aca="false">'Lot Register'!G101</f>
        <v>ST-RT-REC</v>
      </c>
      <c r="F669" s="9" t="s">
        <v>590</v>
      </c>
      <c r="G669" s="9" t="s">
        <v>591</v>
      </c>
      <c r="H669" s="9" t="s">
        <v>592</v>
      </c>
      <c r="I669" s="9" t="s">
        <v>565</v>
      </c>
      <c r="J669" s="11" t="s">
        <v>238</v>
      </c>
      <c r="K669" s="47" t="n">
        <f aca="false">Controls!B26</f>
        <v>0</v>
      </c>
      <c r="L669" s="47" t="str">
        <f aca="false">IF(K669=1,"PASS","OPEN")</f>
        <v>OPEN</v>
      </c>
    </row>
    <row r="670" customFormat="false" ht="15" hidden="false" customHeight="false" outlineLevel="0" collapsed="false">
      <c r="A670" s="19" t="str">
        <f aca="false">"DEC-"&amp;B670&amp;"-G6"</f>
        <v>DEC-REG-RT-REC-G6</v>
      </c>
      <c r="B670" s="19" t="str">
        <f aca="false">'Lot Register'!A101</f>
        <v>REG-RT-REC</v>
      </c>
      <c r="C670" s="19" t="str">
        <f aca="false">'Lot Register'!B101</f>
        <v>Regeneration tool</v>
      </c>
      <c r="D670" s="19" t="str">
        <f aca="false">'Lot Register'!D101</f>
        <v>MS-RT</v>
      </c>
      <c r="E670" s="19" t="str">
        <f aca="false">'Lot Register'!G101</f>
        <v>ST-RT-REC</v>
      </c>
      <c r="F670" s="9" t="s">
        <v>593</v>
      </c>
      <c r="G670" s="9" t="s">
        <v>594</v>
      </c>
      <c r="H670" s="9" t="s">
        <v>595</v>
      </c>
      <c r="I670" s="9" t="s">
        <v>570</v>
      </c>
      <c r="J670" s="11" t="s">
        <v>238</v>
      </c>
      <c r="K670" s="47" t="n">
        <f aca="false">Controls!B26</f>
        <v>0</v>
      </c>
      <c r="L670" s="47" t="str">
        <f aca="false">IF(K670=1,"PASS","OPEN")</f>
        <v>OPEN</v>
      </c>
    </row>
    <row r="671" customFormat="false" ht="15" hidden="false" customHeight="false" outlineLevel="0" collapsed="false">
      <c r="A671" s="19" t="str">
        <f aca="false">"DEC-"&amp;B671&amp;"-G7"</f>
        <v>DEC-REG-RT-REC-G7</v>
      </c>
      <c r="B671" s="19" t="str">
        <f aca="false">'Lot Register'!A101</f>
        <v>REG-RT-REC</v>
      </c>
      <c r="C671" s="19" t="str">
        <f aca="false">'Lot Register'!B101</f>
        <v>Regeneration tool</v>
      </c>
      <c r="D671" s="19" t="str">
        <f aca="false">'Lot Register'!D101</f>
        <v>MS-RT</v>
      </c>
      <c r="E671" s="19" t="str">
        <f aca="false">'Lot Register'!G101</f>
        <v>ST-RT-REC</v>
      </c>
      <c r="F671" s="9" t="s">
        <v>596</v>
      </c>
      <c r="G671" s="9" t="s">
        <v>597</v>
      </c>
      <c r="H671" s="9" t="s">
        <v>598</v>
      </c>
      <c r="I671" s="9" t="s">
        <v>570</v>
      </c>
      <c r="J671" s="11" t="s">
        <v>238</v>
      </c>
      <c r="K671" s="47" t="n">
        <f aca="false">Controls!B26</f>
        <v>0</v>
      </c>
      <c r="L671" s="47" t="str">
        <f aca="false">IF(K671=1,"PASS","OPEN")</f>
        <v>OPEN</v>
      </c>
    </row>
    <row r="672" customFormat="false" ht="15" hidden="false" customHeight="false" outlineLevel="0" collapsed="false">
      <c r="A672" s="19" t="str">
        <f aca="false">"DEC-"&amp;B672&amp;"-G1"</f>
        <v>DEC-INT-RT-REC-G1</v>
      </c>
      <c r="B672" s="19" t="str">
        <f aca="false">'Lot Register'!A102</f>
        <v>INT-RT-REC</v>
      </c>
      <c r="C672" s="19" t="str">
        <f aca="false">'Lot Register'!B102</f>
        <v>Station integration</v>
      </c>
      <c r="D672" s="19" t="str">
        <f aca="false">'Lot Register'!D102</f>
        <v>MS-RT</v>
      </c>
      <c r="E672" s="19" t="str">
        <f aca="false">'Lot Register'!G102</f>
        <v>ST-RT-REC</v>
      </c>
      <c r="F672" s="9" t="s">
        <v>578</v>
      </c>
      <c r="G672" s="9" t="s">
        <v>579</v>
      </c>
      <c r="H672" s="9" t="s">
        <v>580</v>
      </c>
      <c r="I672" s="9" t="s">
        <v>562</v>
      </c>
      <c r="J672" s="11" t="s">
        <v>238</v>
      </c>
      <c r="K672" s="47" t="n">
        <f aca="false">Controls!B26</f>
        <v>0</v>
      </c>
      <c r="L672" s="47" t="str">
        <f aca="false">IF(K672=1,"PASS","OPEN")</f>
        <v>OPEN</v>
      </c>
    </row>
    <row r="673" customFormat="false" ht="15" hidden="false" customHeight="false" outlineLevel="0" collapsed="false">
      <c r="A673" s="19" t="str">
        <f aca="false">"DEC-"&amp;B673&amp;"-G2"</f>
        <v>DEC-INT-RT-REC-G2</v>
      </c>
      <c r="B673" s="19" t="str">
        <f aca="false">'Lot Register'!A102</f>
        <v>INT-RT-REC</v>
      </c>
      <c r="C673" s="19" t="str">
        <f aca="false">'Lot Register'!B102</f>
        <v>Station integration</v>
      </c>
      <c r="D673" s="19" t="str">
        <f aca="false">'Lot Register'!D102</f>
        <v>MS-RT</v>
      </c>
      <c r="E673" s="19" t="str">
        <f aca="false">'Lot Register'!G102</f>
        <v>ST-RT-REC</v>
      </c>
      <c r="F673" s="9" t="s">
        <v>581</v>
      </c>
      <c r="G673" s="9" t="s">
        <v>582</v>
      </c>
      <c r="H673" s="9" t="s">
        <v>583</v>
      </c>
      <c r="I673" s="9" t="s">
        <v>560</v>
      </c>
      <c r="J673" s="11" t="s">
        <v>238</v>
      </c>
      <c r="K673" s="47" t="n">
        <f aca="false">Controls!B26</f>
        <v>0</v>
      </c>
      <c r="L673" s="47" t="str">
        <f aca="false">IF(K673=1,"PASS","OPEN")</f>
        <v>OPEN</v>
      </c>
    </row>
    <row r="674" customFormat="false" ht="15" hidden="false" customHeight="false" outlineLevel="0" collapsed="false">
      <c r="A674" s="19" t="str">
        <f aca="false">"DEC-"&amp;B674&amp;"-G3"</f>
        <v>DEC-INT-RT-REC-G3</v>
      </c>
      <c r="B674" s="19" t="str">
        <f aca="false">'Lot Register'!A102</f>
        <v>INT-RT-REC</v>
      </c>
      <c r="C674" s="19" t="str">
        <f aca="false">'Lot Register'!B102</f>
        <v>Station integration</v>
      </c>
      <c r="D674" s="19" t="str">
        <f aca="false">'Lot Register'!D102</f>
        <v>MS-RT</v>
      </c>
      <c r="E674" s="19" t="str">
        <f aca="false">'Lot Register'!G102</f>
        <v>ST-RT-REC</v>
      </c>
      <c r="F674" s="9" t="s">
        <v>584</v>
      </c>
      <c r="G674" s="9" t="s">
        <v>585</v>
      </c>
      <c r="H674" s="9" t="s">
        <v>586</v>
      </c>
      <c r="I674" s="9" t="s">
        <v>565</v>
      </c>
      <c r="J674" s="11" t="s">
        <v>238</v>
      </c>
      <c r="K674" s="47" t="n">
        <f aca="false">Controls!B26</f>
        <v>0</v>
      </c>
      <c r="L674" s="47" t="str">
        <f aca="false">IF(K674=1,"PASS","OPEN")</f>
        <v>OPEN</v>
      </c>
    </row>
    <row r="675" customFormat="false" ht="15" hidden="false" customHeight="false" outlineLevel="0" collapsed="false">
      <c r="A675" s="19" t="str">
        <f aca="false">"DEC-"&amp;B675&amp;"-G4"</f>
        <v>DEC-INT-RT-REC-G4</v>
      </c>
      <c r="B675" s="19" t="str">
        <f aca="false">'Lot Register'!A102</f>
        <v>INT-RT-REC</v>
      </c>
      <c r="C675" s="19" t="str">
        <f aca="false">'Lot Register'!B102</f>
        <v>Station integration</v>
      </c>
      <c r="D675" s="19" t="str">
        <f aca="false">'Lot Register'!D102</f>
        <v>MS-RT</v>
      </c>
      <c r="E675" s="19" t="str">
        <f aca="false">'Lot Register'!G102</f>
        <v>ST-RT-REC</v>
      </c>
      <c r="F675" s="9" t="s">
        <v>587</v>
      </c>
      <c r="G675" s="9" t="s">
        <v>588</v>
      </c>
      <c r="H675" s="9" t="s">
        <v>589</v>
      </c>
      <c r="I675" s="9" t="s">
        <v>562</v>
      </c>
      <c r="J675" s="11" t="s">
        <v>238</v>
      </c>
      <c r="K675" s="47" t="n">
        <f aca="false">Controls!B26</f>
        <v>0</v>
      </c>
      <c r="L675" s="47" t="str">
        <f aca="false">IF(K675=1,"PASS","OPEN")</f>
        <v>OPEN</v>
      </c>
    </row>
    <row r="676" customFormat="false" ht="15" hidden="false" customHeight="false" outlineLevel="0" collapsed="false">
      <c r="A676" s="19" t="str">
        <f aca="false">"DEC-"&amp;B676&amp;"-G5"</f>
        <v>DEC-INT-RT-REC-G5</v>
      </c>
      <c r="B676" s="19" t="str">
        <f aca="false">'Lot Register'!A102</f>
        <v>INT-RT-REC</v>
      </c>
      <c r="C676" s="19" t="str">
        <f aca="false">'Lot Register'!B102</f>
        <v>Station integration</v>
      </c>
      <c r="D676" s="19" t="str">
        <f aca="false">'Lot Register'!D102</f>
        <v>MS-RT</v>
      </c>
      <c r="E676" s="19" t="str">
        <f aca="false">'Lot Register'!G102</f>
        <v>ST-RT-REC</v>
      </c>
      <c r="F676" s="9" t="s">
        <v>590</v>
      </c>
      <c r="G676" s="9" t="s">
        <v>591</v>
      </c>
      <c r="H676" s="9" t="s">
        <v>592</v>
      </c>
      <c r="I676" s="9" t="s">
        <v>565</v>
      </c>
      <c r="J676" s="11" t="s">
        <v>238</v>
      </c>
      <c r="K676" s="47" t="n">
        <f aca="false">Controls!B26</f>
        <v>0</v>
      </c>
      <c r="L676" s="47" t="str">
        <f aca="false">IF(K676=1,"PASS","OPEN")</f>
        <v>OPEN</v>
      </c>
    </row>
    <row r="677" customFormat="false" ht="15" hidden="false" customHeight="false" outlineLevel="0" collapsed="false">
      <c r="A677" s="19" t="str">
        <f aca="false">"DEC-"&amp;B677&amp;"-G6"</f>
        <v>DEC-INT-RT-REC-G6</v>
      </c>
      <c r="B677" s="19" t="str">
        <f aca="false">'Lot Register'!A102</f>
        <v>INT-RT-REC</v>
      </c>
      <c r="C677" s="19" t="str">
        <f aca="false">'Lot Register'!B102</f>
        <v>Station integration</v>
      </c>
      <c r="D677" s="19" t="str">
        <f aca="false">'Lot Register'!D102</f>
        <v>MS-RT</v>
      </c>
      <c r="E677" s="19" t="str">
        <f aca="false">'Lot Register'!G102</f>
        <v>ST-RT-REC</v>
      </c>
      <c r="F677" s="9" t="s">
        <v>593</v>
      </c>
      <c r="G677" s="9" t="s">
        <v>594</v>
      </c>
      <c r="H677" s="9" t="s">
        <v>595</v>
      </c>
      <c r="I677" s="9" t="s">
        <v>570</v>
      </c>
      <c r="J677" s="11" t="s">
        <v>238</v>
      </c>
      <c r="K677" s="47" t="n">
        <f aca="false">Controls!B26</f>
        <v>0</v>
      </c>
      <c r="L677" s="47" t="str">
        <f aca="false">IF(K677=1,"PASS","OPEN")</f>
        <v>OPEN</v>
      </c>
    </row>
    <row r="678" customFormat="false" ht="15" hidden="false" customHeight="false" outlineLevel="0" collapsed="false">
      <c r="A678" s="19" t="str">
        <f aca="false">"DEC-"&amp;B678&amp;"-G7"</f>
        <v>DEC-INT-RT-REC-G7</v>
      </c>
      <c r="B678" s="19" t="str">
        <f aca="false">'Lot Register'!A102</f>
        <v>INT-RT-REC</v>
      </c>
      <c r="C678" s="19" t="str">
        <f aca="false">'Lot Register'!B102</f>
        <v>Station integration</v>
      </c>
      <c r="D678" s="19" t="str">
        <f aca="false">'Lot Register'!D102</f>
        <v>MS-RT</v>
      </c>
      <c r="E678" s="19" t="str">
        <f aca="false">'Lot Register'!G102</f>
        <v>ST-RT-REC</v>
      </c>
      <c r="F678" s="9" t="s">
        <v>596</v>
      </c>
      <c r="G678" s="9" t="s">
        <v>597</v>
      </c>
      <c r="H678" s="9" t="s">
        <v>598</v>
      </c>
      <c r="I678" s="9" t="s">
        <v>570</v>
      </c>
      <c r="J678" s="11" t="s">
        <v>238</v>
      </c>
      <c r="K678" s="47" t="n">
        <f aca="false">Controls!B26</f>
        <v>0</v>
      </c>
      <c r="L678" s="47" t="str">
        <f aca="false">IF(K678=1,"PASS","OPEN")</f>
        <v>OPEN</v>
      </c>
    </row>
    <row r="679" customFormat="false" ht="15" hidden="false" customHeight="false" outlineLevel="0" collapsed="false">
      <c r="A679" s="19" t="str">
        <f aca="false">"DEC-"&amp;B679&amp;"-G1"</f>
        <v>DEC-CAN-ET-A-G1</v>
      </c>
      <c r="B679" s="19" t="str">
        <f aca="false">'Lot Register'!A103</f>
        <v>CAN-ET-A</v>
      </c>
      <c r="C679" s="19" t="str">
        <f aca="false">'Lot Register'!B103</f>
        <v>Candidate mechanism</v>
      </c>
      <c r="D679" s="19" t="str">
        <f aca="false">'Lot Register'!D103</f>
        <v>MS-ET</v>
      </c>
      <c r="E679" s="19" t="str">
        <f aca="false">'Lot Register'!G103</f>
        <v>ET TRUTH TRAIN</v>
      </c>
      <c r="F679" s="9" t="s">
        <v>578</v>
      </c>
      <c r="G679" s="9" t="s">
        <v>579</v>
      </c>
      <c r="H679" s="9" t="s">
        <v>580</v>
      </c>
      <c r="I679" s="9" t="s">
        <v>562</v>
      </c>
      <c r="J679" s="11" t="s">
        <v>238</v>
      </c>
      <c r="K679" s="47" t="n">
        <f aca="false">Controls!B26</f>
        <v>0</v>
      </c>
      <c r="L679" s="47" t="str">
        <f aca="false">IF(K679=1,"PASS","OPEN")</f>
        <v>OPEN</v>
      </c>
    </row>
    <row r="680" customFormat="false" ht="15" hidden="false" customHeight="false" outlineLevel="0" collapsed="false">
      <c r="A680" s="19" t="str">
        <f aca="false">"DEC-"&amp;B680&amp;"-G2"</f>
        <v>DEC-CAN-ET-A-G2</v>
      </c>
      <c r="B680" s="19" t="str">
        <f aca="false">'Lot Register'!A103</f>
        <v>CAN-ET-A</v>
      </c>
      <c r="C680" s="19" t="str">
        <f aca="false">'Lot Register'!B103</f>
        <v>Candidate mechanism</v>
      </c>
      <c r="D680" s="19" t="str">
        <f aca="false">'Lot Register'!D103</f>
        <v>MS-ET</v>
      </c>
      <c r="E680" s="19" t="str">
        <f aca="false">'Lot Register'!G103</f>
        <v>ET TRUTH TRAIN</v>
      </c>
      <c r="F680" s="9" t="s">
        <v>581</v>
      </c>
      <c r="G680" s="9" t="s">
        <v>582</v>
      </c>
      <c r="H680" s="9" t="s">
        <v>583</v>
      </c>
      <c r="I680" s="9" t="s">
        <v>560</v>
      </c>
      <c r="J680" s="11" t="s">
        <v>238</v>
      </c>
      <c r="K680" s="47" t="n">
        <f aca="false">Controls!B26</f>
        <v>0</v>
      </c>
      <c r="L680" s="47" t="str">
        <f aca="false">IF(K680=1,"PASS","OPEN")</f>
        <v>OPEN</v>
      </c>
    </row>
    <row r="681" customFormat="false" ht="15" hidden="false" customHeight="false" outlineLevel="0" collapsed="false">
      <c r="A681" s="19" t="str">
        <f aca="false">"DEC-"&amp;B681&amp;"-G3"</f>
        <v>DEC-CAN-ET-A-G3</v>
      </c>
      <c r="B681" s="19" t="str">
        <f aca="false">'Lot Register'!A103</f>
        <v>CAN-ET-A</v>
      </c>
      <c r="C681" s="19" t="str">
        <f aca="false">'Lot Register'!B103</f>
        <v>Candidate mechanism</v>
      </c>
      <c r="D681" s="19" t="str">
        <f aca="false">'Lot Register'!D103</f>
        <v>MS-ET</v>
      </c>
      <c r="E681" s="19" t="str">
        <f aca="false">'Lot Register'!G103</f>
        <v>ET TRUTH TRAIN</v>
      </c>
      <c r="F681" s="9" t="s">
        <v>584</v>
      </c>
      <c r="G681" s="9" t="s">
        <v>585</v>
      </c>
      <c r="H681" s="9" t="s">
        <v>586</v>
      </c>
      <c r="I681" s="9" t="s">
        <v>565</v>
      </c>
      <c r="J681" s="11" t="s">
        <v>238</v>
      </c>
      <c r="K681" s="47" t="n">
        <f aca="false">Controls!B26</f>
        <v>0</v>
      </c>
      <c r="L681" s="47" t="str">
        <f aca="false">IF(K681=1,"PASS","OPEN")</f>
        <v>OPEN</v>
      </c>
    </row>
    <row r="682" customFormat="false" ht="15" hidden="false" customHeight="false" outlineLevel="0" collapsed="false">
      <c r="A682" s="19" t="str">
        <f aca="false">"DEC-"&amp;B682&amp;"-G4"</f>
        <v>DEC-CAN-ET-A-G4</v>
      </c>
      <c r="B682" s="19" t="str">
        <f aca="false">'Lot Register'!A103</f>
        <v>CAN-ET-A</v>
      </c>
      <c r="C682" s="19" t="str">
        <f aca="false">'Lot Register'!B103</f>
        <v>Candidate mechanism</v>
      </c>
      <c r="D682" s="19" t="str">
        <f aca="false">'Lot Register'!D103</f>
        <v>MS-ET</v>
      </c>
      <c r="E682" s="19" t="str">
        <f aca="false">'Lot Register'!G103</f>
        <v>ET TRUTH TRAIN</v>
      </c>
      <c r="F682" s="9" t="s">
        <v>587</v>
      </c>
      <c r="G682" s="9" t="s">
        <v>588</v>
      </c>
      <c r="H682" s="9" t="s">
        <v>589</v>
      </c>
      <c r="I682" s="9" t="s">
        <v>562</v>
      </c>
      <c r="J682" s="11" t="s">
        <v>238</v>
      </c>
      <c r="K682" s="47" t="n">
        <f aca="false">Controls!B26</f>
        <v>0</v>
      </c>
      <c r="L682" s="47" t="str">
        <f aca="false">IF(K682=1,"PASS","OPEN")</f>
        <v>OPEN</v>
      </c>
    </row>
    <row r="683" customFormat="false" ht="15" hidden="false" customHeight="false" outlineLevel="0" collapsed="false">
      <c r="A683" s="19" t="str">
        <f aca="false">"DEC-"&amp;B683&amp;"-G5"</f>
        <v>DEC-CAN-ET-A-G5</v>
      </c>
      <c r="B683" s="19" t="str">
        <f aca="false">'Lot Register'!A103</f>
        <v>CAN-ET-A</v>
      </c>
      <c r="C683" s="19" t="str">
        <f aca="false">'Lot Register'!B103</f>
        <v>Candidate mechanism</v>
      </c>
      <c r="D683" s="19" t="str">
        <f aca="false">'Lot Register'!D103</f>
        <v>MS-ET</v>
      </c>
      <c r="E683" s="19" t="str">
        <f aca="false">'Lot Register'!G103</f>
        <v>ET TRUTH TRAIN</v>
      </c>
      <c r="F683" s="9" t="s">
        <v>590</v>
      </c>
      <c r="G683" s="9" t="s">
        <v>591</v>
      </c>
      <c r="H683" s="9" t="s">
        <v>592</v>
      </c>
      <c r="I683" s="9" t="s">
        <v>565</v>
      </c>
      <c r="J683" s="11" t="s">
        <v>238</v>
      </c>
      <c r="K683" s="47" t="n">
        <f aca="false">Controls!B26</f>
        <v>0</v>
      </c>
      <c r="L683" s="47" t="str">
        <f aca="false">IF(K683=1,"PASS","OPEN")</f>
        <v>OPEN</v>
      </c>
    </row>
    <row r="684" customFormat="false" ht="15" hidden="false" customHeight="false" outlineLevel="0" collapsed="false">
      <c r="A684" s="19" t="str">
        <f aca="false">"DEC-"&amp;B684&amp;"-G6"</f>
        <v>DEC-CAN-ET-A-G6</v>
      </c>
      <c r="B684" s="19" t="str">
        <f aca="false">'Lot Register'!A103</f>
        <v>CAN-ET-A</v>
      </c>
      <c r="C684" s="19" t="str">
        <f aca="false">'Lot Register'!B103</f>
        <v>Candidate mechanism</v>
      </c>
      <c r="D684" s="19" t="str">
        <f aca="false">'Lot Register'!D103</f>
        <v>MS-ET</v>
      </c>
      <c r="E684" s="19" t="str">
        <f aca="false">'Lot Register'!G103</f>
        <v>ET TRUTH TRAIN</v>
      </c>
      <c r="F684" s="9" t="s">
        <v>593</v>
      </c>
      <c r="G684" s="9" t="s">
        <v>594</v>
      </c>
      <c r="H684" s="9" t="s">
        <v>595</v>
      </c>
      <c r="I684" s="9" t="s">
        <v>570</v>
      </c>
      <c r="J684" s="11" t="s">
        <v>238</v>
      </c>
      <c r="K684" s="47" t="n">
        <f aca="false">Controls!B26</f>
        <v>0</v>
      </c>
      <c r="L684" s="47" t="str">
        <f aca="false">IF(K684=1,"PASS","OPEN")</f>
        <v>OPEN</v>
      </c>
    </row>
    <row r="685" customFormat="false" ht="15" hidden="false" customHeight="false" outlineLevel="0" collapsed="false">
      <c r="A685" s="19" t="str">
        <f aca="false">"DEC-"&amp;B685&amp;"-G7"</f>
        <v>DEC-CAN-ET-A-G7</v>
      </c>
      <c r="B685" s="19" t="str">
        <f aca="false">'Lot Register'!A103</f>
        <v>CAN-ET-A</v>
      </c>
      <c r="C685" s="19" t="str">
        <f aca="false">'Lot Register'!B103</f>
        <v>Candidate mechanism</v>
      </c>
      <c r="D685" s="19" t="str">
        <f aca="false">'Lot Register'!D103</f>
        <v>MS-ET</v>
      </c>
      <c r="E685" s="19" t="str">
        <f aca="false">'Lot Register'!G103</f>
        <v>ET TRUTH TRAIN</v>
      </c>
      <c r="F685" s="9" t="s">
        <v>596</v>
      </c>
      <c r="G685" s="9" t="s">
        <v>597</v>
      </c>
      <c r="H685" s="9" t="s">
        <v>598</v>
      </c>
      <c r="I685" s="9" t="s">
        <v>570</v>
      </c>
      <c r="J685" s="11" t="s">
        <v>238</v>
      </c>
      <c r="K685" s="47" t="n">
        <f aca="false">Controls!B26</f>
        <v>0</v>
      </c>
      <c r="L685" s="47" t="str">
        <f aca="false">IF(K685=1,"PASS","OPEN")</f>
        <v>OPEN</v>
      </c>
    </row>
    <row r="686" customFormat="false" ht="15" hidden="false" customHeight="false" outlineLevel="0" collapsed="false">
      <c r="A686" s="19" t="str">
        <f aca="false">"DEC-"&amp;B686&amp;"-G1"</f>
        <v>DEC-CAN-CT-C-G1</v>
      </c>
      <c r="B686" s="19" t="str">
        <f aca="false">'Lot Register'!A104</f>
        <v>CAN-CT-C</v>
      </c>
      <c r="C686" s="19" t="str">
        <f aca="false">'Lot Register'!B104</f>
        <v>Candidate mechanism</v>
      </c>
      <c r="D686" s="19" t="str">
        <f aca="false">'Lot Register'!D104</f>
        <v>MS-CT</v>
      </c>
      <c r="E686" s="19" t="str">
        <f aca="false">'Lot Register'!G104</f>
        <v>CT TRUTH TRAIN</v>
      </c>
      <c r="F686" s="9" t="s">
        <v>578</v>
      </c>
      <c r="G686" s="9" t="s">
        <v>579</v>
      </c>
      <c r="H686" s="9" t="s">
        <v>580</v>
      </c>
      <c r="I686" s="9" t="s">
        <v>562</v>
      </c>
      <c r="J686" s="11" t="s">
        <v>238</v>
      </c>
      <c r="K686" s="47" t="n">
        <f aca="false">Controls!B26</f>
        <v>0</v>
      </c>
      <c r="L686" s="47" t="str">
        <f aca="false">IF(K686=1,"PASS","OPEN")</f>
        <v>OPEN</v>
      </c>
    </row>
    <row r="687" customFormat="false" ht="15" hidden="false" customHeight="false" outlineLevel="0" collapsed="false">
      <c r="A687" s="19" t="str">
        <f aca="false">"DEC-"&amp;B687&amp;"-G2"</f>
        <v>DEC-CAN-CT-C-G2</v>
      </c>
      <c r="B687" s="19" t="str">
        <f aca="false">'Lot Register'!A104</f>
        <v>CAN-CT-C</v>
      </c>
      <c r="C687" s="19" t="str">
        <f aca="false">'Lot Register'!B104</f>
        <v>Candidate mechanism</v>
      </c>
      <c r="D687" s="19" t="str">
        <f aca="false">'Lot Register'!D104</f>
        <v>MS-CT</v>
      </c>
      <c r="E687" s="19" t="str">
        <f aca="false">'Lot Register'!G104</f>
        <v>CT TRUTH TRAIN</v>
      </c>
      <c r="F687" s="9" t="s">
        <v>581</v>
      </c>
      <c r="G687" s="9" t="s">
        <v>582</v>
      </c>
      <c r="H687" s="9" t="s">
        <v>583</v>
      </c>
      <c r="I687" s="9" t="s">
        <v>560</v>
      </c>
      <c r="J687" s="11" t="s">
        <v>238</v>
      </c>
      <c r="K687" s="47" t="n">
        <f aca="false">Controls!B26</f>
        <v>0</v>
      </c>
      <c r="L687" s="47" t="str">
        <f aca="false">IF(K687=1,"PASS","OPEN")</f>
        <v>OPEN</v>
      </c>
    </row>
    <row r="688" customFormat="false" ht="15" hidden="false" customHeight="false" outlineLevel="0" collapsed="false">
      <c r="A688" s="19" t="str">
        <f aca="false">"DEC-"&amp;B688&amp;"-G3"</f>
        <v>DEC-CAN-CT-C-G3</v>
      </c>
      <c r="B688" s="19" t="str">
        <f aca="false">'Lot Register'!A104</f>
        <v>CAN-CT-C</v>
      </c>
      <c r="C688" s="19" t="str">
        <f aca="false">'Lot Register'!B104</f>
        <v>Candidate mechanism</v>
      </c>
      <c r="D688" s="19" t="str">
        <f aca="false">'Lot Register'!D104</f>
        <v>MS-CT</v>
      </c>
      <c r="E688" s="19" t="str">
        <f aca="false">'Lot Register'!G104</f>
        <v>CT TRUTH TRAIN</v>
      </c>
      <c r="F688" s="9" t="s">
        <v>584</v>
      </c>
      <c r="G688" s="9" t="s">
        <v>585</v>
      </c>
      <c r="H688" s="9" t="s">
        <v>586</v>
      </c>
      <c r="I688" s="9" t="s">
        <v>565</v>
      </c>
      <c r="J688" s="11" t="s">
        <v>238</v>
      </c>
      <c r="K688" s="47" t="n">
        <f aca="false">Controls!B26</f>
        <v>0</v>
      </c>
      <c r="L688" s="47" t="str">
        <f aca="false">IF(K688=1,"PASS","OPEN")</f>
        <v>OPEN</v>
      </c>
    </row>
    <row r="689" customFormat="false" ht="15" hidden="false" customHeight="false" outlineLevel="0" collapsed="false">
      <c r="A689" s="19" t="str">
        <f aca="false">"DEC-"&amp;B689&amp;"-G4"</f>
        <v>DEC-CAN-CT-C-G4</v>
      </c>
      <c r="B689" s="19" t="str">
        <f aca="false">'Lot Register'!A104</f>
        <v>CAN-CT-C</v>
      </c>
      <c r="C689" s="19" t="str">
        <f aca="false">'Lot Register'!B104</f>
        <v>Candidate mechanism</v>
      </c>
      <c r="D689" s="19" t="str">
        <f aca="false">'Lot Register'!D104</f>
        <v>MS-CT</v>
      </c>
      <c r="E689" s="19" t="str">
        <f aca="false">'Lot Register'!G104</f>
        <v>CT TRUTH TRAIN</v>
      </c>
      <c r="F689" s="9" t="s">
        <v>587</v>
      </c>
      <c r="G689" s="9" t="s">
        <v>588</v>
      </c>
      <c r="H689" s="9" t="s">
        <v>589</v>
      </c>
      <c r="I689" s="9" t="s">
        <v>562</v>
      </c>
      <c r="J689" s="11" t="s">
        <v>238</v>
      </c>
      <c r="K689" s="47" t="n">
        <f aca="false">Controls!B26</f>
        <v>0</v>
      </c>
      <c r="L689" s="47" t="str">
        <f aca="false">IF(K689=1,"PASS","OPEN")</f>
        <v>OPEN</v>
      </c>
    </row>
    <row r="690" customFormat="false" ht="15" hidden="false" customHeight="false" outlineLevel="0" collapsed="false">
      <c r="A690" s="19" t="str">
        <f aca="false">"DEC-"&amp;B690&amp;"-G5"</f>
        <v>DEC-CAN-CT-C-G5</v>
      </c>
      <c r="B690" s="19" t="str">
        <f aca="false">'Lot Register'!A104</f>
        <v>CAN-CT-C</v>
      </c>
      <c r="C690" s="19" t="str">
        <f aca="false">'Lot Register'!B104</f>
        <v>Candidate mechanism</v>
      </c>
      <c r="D690" s="19" t="str">
        <f aca="false">'Lot Register'!D104</f>
        <v>MS-CT</v>
      </c>
      <c r="E690" s="19" t="str">
        <f aca="false">'Lot Register'!G104</f>
        <v>CT TRUTH TRAIN</v>
      </c>
      <c r="F690" s="9" t="s">
        <v>590</v>
      </c>
      <c r="G690" s="9" t="s">
        <v>591</v>
      </c>
      <c r="H690" s="9" t="s">
        <v>592</v>
      </c>
      <c r="I690" s="9" t="s">
        <v>565</v>
      </c>
      <c r="J690" s="11" t="s">
        <v>238</v>
      </c>
      <c r="K690" s="47" t="n">
        <f aca="false">Controls!B26</f>
        <v>0</v>
      </c>
      <c r="L690" s="47" t="str">
        <f aca="false">IF(K690=1,"PASS","OPEN")</f>
        <v>OPEN</v>
      </c>
    </row>
    <row r="691" customFormat="false" ht="15" hidden="false" customHeight="false" outlineLevel="0" collapsed="false">
      <c r="A691" s="19" t="str">
        <f aca="false">"DEC-"&amp;B691&amp;"-G6"</f>
        <v>DEC-CAN-CT-C-G6</v>
      </c>
      <c r="B691" s="19" t="str">
        <f aca="false">'Lot Register'!A104</f>
        <v>CAN-CT-C</v>
      </c>
      <c r="C691" s="19" t="str">
        <f aca="false">'Lot Register'!B104</f>
        <v>Candidate mechanism</v>
      </c>
      <c r="D691" s="19" t="str">
        <f aca="false">'Lot Register'!D104</f>
        <v>MS-CT</v>
      </c>
      <c r="E691" s="19" t="str">
        <f aca="false">'Lot Register'!G104</f>
        <v>CT TRUTH TRAIN</v>
      </c>
      <c r="F691" s="9" t="s">
        <v>593</v>
      </c>
      <c r="G691" s="9" t="s">
        <v>594</v>
      </c>
      <c r="H691" s="9" t="s">
        <v>595</v>
      </c>
      <c r="I691" s="9" t="s">
        <v>570</v>
      </c>
      <c r="J691" s="11" t="s">
        <v>238</v>
      </c>
      <c r="K691" s="47" t="n">
        <f aca="false">Controls!B26</f>
        <v>0</v>
      </c>
      <c r="L691" s="47" t="str">
        <f aca="false">IF(K691=1,"PASS","OPEN")</f>
        <v>OPEN</v>
      </c>
    </row>
    <row r="692" customFormat="false" ht="15" hidden="false" customHeight="false" outlineLevel="0" collapsed="false">
      <c r="A692" s="19" t="str">
        <f aca="false">"DEC-"&amp;B692&amp;"-G7"</f>
        <v>DEC-CAN-CT-C-G7</v>
      </c>
      <c r="B692" s="19" t="str">
        <f aca="false">'Lot Register'!A104</f>
        <v>CAN-CT-C</v>
      </c>
      <c r="C692" s="19" t="str">
        <f aca="false">'Lot Register'!B104</f>
        <v>Candidate mechanism</v>
      </c>
      <c r="D692" s="19" t="str">
        <f aca="false">'Lot Register'!D104</f>
        <v>MS-CT</v>
      </c>
      <c r="E692" s="19" t="str">
        <f aca="false">'Lot Register'!G104</f>
        <v>CT TRUTH TRAIN</v>
      </c>
      <c r="F692" s="9" t="s">
        <v>596</v>
      </c>
      <c r="G692" s="9" t="s">
        <v>597</v>
      </c>
      <c r="H692" s="9" t="s">
        <v>598</v>
      </c>
      <c r="I692" s="9" t="s">
        <v>570</v>
      </c>
      <c r="J692" s="11" t="s">
        <v>238</v>
      </c>
      <c r="K692" s="47" t="n">
        <f aca="false">Controls!B26</f>
        <v>0</v>
      </c>
      <c r="L692" s="47" t="str">
        <f aca="false">IF(K692=1,"PASS","OPEN")</f>
        <v>OPEN</v>
      </c>
    </row>
    <row r="693" customFormat="false" ht="15" hidden="false" customHeight="false" outlineLevel="0" collapsed="false">
      <c r="A693" s="19" t="str">
        <f aca="false">"DEC-"&amp;B693&amp;"-G1"</f>
        <v>DEC-CAN-HC-A-G1</v>
      </c>
      <c r="B693" s="19" t="str">
        <f aca="false">'Lot Register'!A105</f>
        <v>CAN-HC-A</v>
      </c>
      <c r="C693" s="19" t="str">
        <f aca="false">'Lot Register'!B105</f>
        <v>Candidate mechanism</v>
      </c>
      <c r="D693" s="19" t="str">
        <f aca="false">'Lot Register'!D105</f>
        <v>MS-HC</v>
      </c>
      <c r="E693" s="19" t="str">
        <f aca="false">'Lot Register'!G105</f>
        <v>HC TRUTH TRAIN</v>
      </c>
      <c r="F693" s="9" t="s">
        <v>578</v>
      </c>
      <c r="G693" s="9" t="s">
        <v>579</v>
      </c>
      <c r="H693" s="9" t="s">
        <v>580</v>
      </c>
      <c r="I693" s="9" t="s">
        <v>562</v>
      </c>
      <c r="J693" s="11" t="s">
        <v>238</v>
      </c>
      <c r="K693" s="47" t="n">
        <f aca="false">Controls!B26</f>
        <v>0</v>
      </c>
      <c r="L693" s="47" t="str">
        <f aca="false">IF(K693=1,"PASS","OPEN")</f>
        <v>OPEN</v>
      </c>
    </row>
    <row r="694" customFormat="false" ht="15" hidden="false" customHeight="false" outlineLevel="0" collapsed="false">
      <c r="A694" s="19" t="str">
        <f aca="false">"DEC-"&amp;B694&amp;"-G2"</f>
        <v>DEC-CAN-HC-A-G2</v>
      </c>
      <c r="B694" s="19" t="str">
        <f aca="false">'Lot Register'!A105</f>
        <v>CAN-HC-A</v>
      </c>
      <c r="C694" s="19" t="str">
        <f aca="false">'Lot Register'!B105</f>
        <v>Candidate mechanism</v>
      </c>
      <c r="D694" s="19" t="str">
        <f aca="false">'Lot Register'!D105</f>
        <v>MS-HC</v>
      </c>
      <c r="E694" s="19" t="str">
        <f aca="false">'Lot Register'!G105</f>
        <v>HC TRUTH TRAIN</v>
      </c>
      <c r="F694" s="9" t="s">
        <v>581</v>
      </c>
      <c r="G694" s="9" t="s">
        <v>582</v>
      </c>
      <c r="H694" s="9" t="s">
        <v>583</v>
      </c>
      <c r="I694" s="9" t="s">
        <v>560</v>
      </c>
      <c r="J694" s="11" t="s">
        <v>238</v>
      </c>
      <c r="K694" s="47" t="n">
        <f aca="false">Controls!B26</f>
        <v>0</v>
      </c>
      <c r="L694" s="47" t="str">
        <f aca="false">IF(K694=1,"PASS","OPEN")</f>
        <v>OPEN</v>
      </c>
    </row>
    <row r="695" customFormat="false" ht="15" hidden="false" customHeight="false" outlineLevel="0" collapsed="false">
      <c r="A695" s="19" t="str">
        <f aca="false">"DEC-"&amp;B695&amp;"-G3"</f>
        <v>DEC-CAN-HC-A-G3</v>
      </c>
      <c r="B695" s="19" t="str">
        <f aca="false">'Lot Register'!A105</f>
        <v>CAN-HC-A</v>
      </c>
      <c r="C695" s="19" t="str">
        <f aca="false">'Lot Register'!B105</f>
        <v>Candidate mechanism</v>
      </c>
      <c r="D695" s="19" t="str">
        <f aca="false">'Lot Register'!D105</f>
        <v>MS-HC</v>
      </c>
      <c r="E695" s="19" t="str">
        <f aca="false">'Lot Register'!G105</f>
        <v>HC TRUTH TRAIN</v>
      </c>
      <c r="F695" s="9" t="s">
        <v>584</v>
      </c>
      <c r="G695" s="9" t="s">
        <v>585</v>
      </c>
      <c r="H695" s="9" t="s">
        <v>586</v>
      </c>
      <c r="I695" s="9" t="s">
        <v>565</v>
      </c>
      <c r="J695" s="11" t="s">
        <v>238</v>
      </c>
      <c r="K695" s="47" t="n">
        <f aca="false">Controls!B26</f>
        <v>0</v>
      </c>
      <c r="L695" s="47" t="str">
        <f aca="false">IF(K695=1,"PASS","OPEN")</f>
        <v>OPEN</v>
      </c>
    </row>
    <row r="696" customFormat="false" ht="15" hidden="false" customHeight="false" outlineLevel="0" collapsed="false">
      <c r="A696" s="19" t="str">
        <f aca="false">"DEC-"&amp;B696&amp;"-G4"</f>
        <v>DEC-CAN-HC-A-G4</v>
      </c>
      <c r="B696" s="19" t="str">
        <f aca="false">'Lot Register'!A105</f>
        <v>CAN-HC-A</v>
      </c>
      <c r="C696" s="19" t="str">
        <f aca="false">'Lot Register'!B105</f>
        <v>Candidate mechanism</v>
      </c>
      <c r="D696" s="19" t="str">
        <f aca="false">'Lot Register'!D105</f>
        <v>MS-HC</v>
      </c>
      <c r="E696" s="19" t="str">
        <f aca="false">'Lot Register'!G105</f>
        <v>HC TRUTH TRAIN</v>
      </c>
      <c r="F696" s="9" t="s">
        <v>587</v>
      </c>
      <c r="G696" s="9" t="s">
        <v>588</v>
      </c>
      <c r="H696" s="9" t="s">
        <v>589</v>
      </c>
      <c r="I696" s="9" t="s">
        <v>562</v>
      </c>
      <c r="J696" s="11" t="s">
        <v>238</v>
      </c>
      <c r="K696" s="47" t="n">
        <f aca="false">Controls!B26</f>
        <v>0</v>
      </c>
      <c r="L696" s="47" t="str">
        <f aca="false">IF(K696=1,"PASS","OPEN")</f>
        <v>OPEN</v>
      </c>
    </row>
    <row r="697" customFormat="false" ht="15" hidden="false" customHeight="false" outlineLevel="0" collapsed="false">
      <c r="A697" s="19" t="str">
        <f aca="false">"DEC-"&amp;B697&amp;"-G5"</f>
        <v>DEC-CAN-HC-A-G5</v>
      </c>
      <c r="B697" s="19" t="str">
        <f aca="false">'Lot Register'!A105</f>
        <v>CAN-HC-A</v>
      </c>
      <c r="C697" s="19" t="str">
        <f aca="false">'Lot Register'!B105</f>
        <v>Candidate mechanism</v>
      </c>
      <c r="D697" s="19" t="str">
        <f aca="false">'Lot Register'!D105</f>
        <v>MS-HC</v>
      </c>
      <c r="E697" s="19" t="str">
        <f aca="false">'Lot Register'!G105</f>
        <v>HC TRUTH TRAIN</v>
      </c>
      <c r="F697" s="9" t="s">
        <v>590</v>
      </c>
      <c r="G697" s="9" t="s">
        <v>591</v>
      </c>
      <c r="H697" s="9" t="s">
        <v>592</v>
      </c>
      <c r="I697" s="9" t="s">
        <v>565</v>
      </c>
      <c r="J697" s="11" t="s">
        <v>238</v>
      </c>
      <c r="K697" s="47" t="n">
        <f aca="false">Controls!B26</f>
        <v>0</v>
      </c>
      <c r="L697" s="47" t="str">
        <f aca="false">IF(K697=1,"PASS","OPEN")</f>
        <v>OPEN</v>
      </c>
    </row>
    <row r="698" customFormat="false" ht="15" hidden="false" customHeight="false" outlineLevel="0" collapsed="false">
      <c r="A698" s="19" t="str">
        <f aca="false">"DEC-"&amp;B698&amp;"-G6"</f>
        <v>DEC-CAN-HC-A-G6</v>
      </c>
      <c r="B698" s="19" t="str">
        <f aca="false">'Lot Register'!A105</f>
        <v>CAN-HC-A</v>
      </c>
      <c r="C698" s="19" t="str">
        <f aca="false">'Lot Register'!B105</f>
        <v>Candidate mechanism</v>
      </c>
      <c r="D698" s="19" t="str">
        <f aca="false">'Lot Register'!D105</f>
        <v>MS-HC</v>
      </c>
      <c r="E698" s="19" t="str">
        <f aca="false">'Lot Register'!G105</f>
        <v>HC TRUTH TRAIN</v>
      </c>
      <c r="F698" s="9" t="s">
        <v>593</v>
      </c>
      <c r="G698" s="9" t="s">
        <v>594</v>
      </c>
      <c r="H698" s="9" t="s">
        <v>595</v>
      </c>
      <c r="I698" s="9" t="s">
        <v>570</v>
      </c>
      <c r="J698" s="11" t="s">
        <v>238</v>
      </c>
      <c r="K698" s="47" t="n">
        <f aca="false">Controls!B26</f>
        <v>0</v>
      </c>
      <c r="L698" s="47" t="str">
        <f aca="false">IF(K698=1,"PASS","OPEN")</f>
        <v>OPEN</v>
      </c>
    </row>
    <row r="699" customFormat="false" ht="15" hidden="false" customHeight="false" outlineLevel="0" collapsed="false">
      <c r="A699" s="19" t="str">
        <f aca="false">"DEC-"&amp;B699&amp;"-G7"</f>
        <v>DEC-CAN-HC-A-G7</v>
      </c>
      <c r="B699" s="19" t="str">
        <f aca="false">'Lot Register'!A105</f>
        <v>CAN-HC-A</v>
      </c>
      <c r="C699" s="19" t="str">
        <f aca="false">'Lot Register'!B105</f>
        <v>Candidate mechanism</v>
      </c>
      <c r="D699" s="19" t="str">
        <f aca="false">'Lot Register'!D105</f>
        <v>MS-HC</v>
      </c>
      <c r="E699" s="19" t="str">
        <f aca="false">'Lot Register'!G105</f>
        <v>HC TRUTH TRAIN</v>
      </c>
      <c r="F699" s="9" t="s">
        <v>596</v>
      </c>
      <c r="G699" s="9" t="s">
        <v>597</v>
      </c>
      <c r="H699" s="9" t="s">
        <v>598</v>
      </c>
      <c r="I699" s="9" t="s">
        <v>570</v>
      </c>
      <c r="J699" s="11" t="s">
        <v>238</v>
      </c>
      <c r="K699" s="47" t="n">
        <f aca="false">Controls!B26</f>
        <v>0</v>
      </c>
      <c r="L699" s="47" t="str">
        <f aca="false">IF(K699=1,"PASS","OPEN")</f>
        <v>OPEN</v>
      </c>
    </row>
    <row r="700" customFormat="false" ht="15" hidden="false" customHeight="false" outlineLevel="0" collapsed="false">
      <c r="A700" s="19" t="str">
        <f aca="false">"DEC-"&amp;B700&amp;"-G1"</f>
        <v>DEC-CAN-LF-B-G1</v>
      </c>
      <c r="B700" s="19" t="str">
        <f aca="false">'Lot Register'!A106</f>
        <v>CAN-LF-B</v>
      </c>
      <c r="C700" s="19" t="str">
        <f aca="false">'Lot Register'!B106</f>
        <v>Candidate mechanism</v>
      </c>
      <c r="D700" s="19" t="str">
        <f aca="false">'Lot Register'!D106</f>
        <v>MS-LF</v>
      </c>
      <c r="E700" s="19" t="str">
        <f aca="false">'Lot Register'!G106</f>
        <v>LF TRUTH TRAIN</v>
      </c>
      <c r="F700" s="9" t="s">
        <v>578</v>
      </c>
      <c r="G700" s="9" t="s">
        <v>579</v>
      </c>
      <c r="H700" s="9" t="s">
        <v>580</v>
      </c>
      <c r="I700" s="9" t="s">
        <v>562</v>
      </c>
      <c r="J700" s="11" t="s">
        <v>238</v>
      </c>
      <c r="K700" s="47" t="n">
        <f aca="false">Controls!B26</f>
        <v>0</v>
      </c>
      <c r="L700" s="47" t="str">
        <f aca="false">IF(K700=1,"PASS","OPEN")</f>
        <v>OPEN</v>
      </c>
    </row>
    <row r="701" customFormat="false" ht="15" hidden="false" customHeight="false" outlineLevel="0" collapsed="false">
      <c r="A701" s="19" t="str">
        <f aca="false">"DEC-"&amp;B701&amp;"-G2"</f>
        <v>DEC-CAN-LF-B-G2</v>
      </c>
      <c r="B701" s="19" t="str">
        <f aca="false">'Lot Register'!A106</f>
        <v>CAN-LF-B</v>
      </c>
      <c r="C701" s="19" t="str">
        <f aca="false">'Lot Register'!B106</f>
        <v>Candidate mechanism</v>
      </c>
      <c r="D701" s="19" t="str">
        <f aca="false">'Lot Register'!D106</f>
        <v>MS-LF</v>
      </c>
      <c r="E701" s="19" t="str">
        <f aca="false">'Lot Register'!G106</f>
        <v>LF TRUTH TRAIN</v>
      </c>
      <c r="F701" s="9" t="s">
        <v>581</v>
      </c>
      <c r="G701" s="9" t="s">
        <v>582</v>
      </c>
      <c r="H701" s="9" t="s">
        <v>583</v>
      </c>
      <c r="I701" s="9" t="s">
        <v>560</v>
      </c>
      <c r="J701" s="11" t="s">
        <v>238</v>
      </c>
      <c r="K701" s="47" t="n">
        <f aca="false">Controls!B26</f>
        <v>0</v>
      </c>
      <c r="L701" s="47" t="str">
        <f aca="false">IF(K701=1,"PASS","OPEN")</f>
        <v>OPEN</v>
      </c>
    </row>
    <row r="702" customFormat="false" ht="15" hidden="false" customHeight="false" outlineLevel="0" collapsed="false">
      <c r="A702" s="19" t="str">
        <f aca="false">"DEC-"&amp;B702&amp;"-G3"</f>
        <v>DEC-CAN-LF-B-G3</v>
      </c>
      <c r="B702" s="19" t="str">
        <f aca="false">'Lot Register'!A106</f>
        <v>CAN-LF-B</v>
      </c>
      <c r="C702" s="19" t="str">
        <f aca="false">'Lot Register'!B106</f>
        <v>Candidate mechanism</v>
      </c>
      <c r="D702" s="19" t="str">
        <f aca="false">'Lot Register'!D106</f>
        <v>MS-LF</v>
      </c>
      <c r="E702" s="19" t="str">
        <f aca="false">'Lot Register'!G106</f>
        <v>LF TRUTH TRAIN</v>
      </c>
      <c r="F702" s="9" t="s">
        <v>584</v>
      </c>
      <c r="G702" s="9" t="s">
        <v>585</v>
      </c>
      <c r="H702" s="9" t="s">
        <v>586</v>
      </c>
      <c r="I702" s="9" t="s">
        <v>565</v>
      </c>
      <c r="J702" s="11" t="s">
        <v>238</v>
      </c>
      <c r="K702" s="47" t="n">
        <f aca="false">Controls!B26</f>
        <v>0</v>
      </c>
      <c r="L702" s="47" t="str">
        <f aca="false">IF(K702=1,"PASS","OPEN")</f>
        <v>OPEN</v>
      </c>
    </row>
    <row r="703" customFormat="false" ht="15" hidden="false" customHeight="false" outlineLevel="0" collapsed="false">
      <c r="A703" s="19" t="str">
        <f aca="false">"DEC-"&amp;B703&amp;"-G4"</f>
        <v>DEC-CAN-LF-B-G4</v>
      </c>
      <c r="B703" s="19" t="str">
        <f aca="false">'Lot Register'!A106</f>
        <v>CAN-LF-B</v>
      </c>
      <c r="C703" s="19" t="str">
        <f aca="false">'Lot Register'!B106</f>
        <v>Candidate mechanism</v>
      </c>
      <c r="D703" s="19" t="str">
        <f aca="false">'Lot Register'!D106</f>
        <v>MS-LF</v>
      </c>
      <c r="E703" s="19" t="str">
        <f aca="false">'Lot Register'!G106</f>
        <v>LF TRUTH TRAIN</v>
      </c>
      <c r="F703" s="9" t="s">
        <v>587</v>
      </c>
      <c r="G703" s="9" t="s">
        <v>588</v>
      </c>
      <c r="H703" s="9" t="s">
        <v>589</v>
      </c>
      <c r="I703" s="9" t="s">
        <v>562</v>
      </c>
      <c r="J703" s="11" t="s">
        <v>238</v>
      </c>
      <c r="K703" s="47" t="n">
        <f aca="false">Controls!B26</f>
        <v>0</v>
      </c>
      <c r="L703" s="47" t="str">
        <f aca="false">IF(K703=1,"PASS","OPEN")</f>
        <v>OPEN</v>
      </c>
    </row>
    <row r="704" customFormat="false" ht="15" hidden="false" customHeight="false" outlineLevel="0" collapsed="false">
      <c r="A704" s="19" t="str">
        <f aca="false">"DEC-"&amp;B704&amp;"-G5"</f>
        <v>DEC-CAN-LF-B-G5</v>
      </c>
      <c r="B704" s="19" t="str">
        <f aca="false">'Lot Register'!A106</f>
        <v>CAN-LF-B</v>
      </c>
      <c r="C704" s="19" t="str">
        <f aca="false">'Lot Register'!B106</f>
        <v>Candidate mechanism</v>
      </c>
      <c r="D704" s="19" t="str">
        <f aca="false">'Lot Register'!D106</f>
        <v>MS-LF</v>
      </c>
      <c r="E704" s="19" t="str">
        <f aca="false">'Lot Register'!G106</f>
        <v>LF TRUTH TRAIN</v>
      </c>
      <c r="F704" s="9" t="s">
        <v>590</v>
      </c>
      <c r="G704" s="9" t="s">
        <v>591</v>
      </c>
      <c r="H704" s="9" t="s">
        <v>592</v>
      </c>
      <c r="I704" s="9" t="s">
        <v>565</v>
      </c>
      <c r="J704" s="11" t="s">
        <v>238</v>
      </c>
      <c r="K704" s="47" t="n">
        <f aca="false">Controls!B26</f>
        <v>0</v>
      </c>
      <c r="L704" s="47" t="str">
        <f aca="false">IF(K704=1,"PASS","OPEN")</f>
        <v>OPEN</v>
      </c>
    </row>
    <row r="705" customFormat="false" ht="15" hidden="false" customHeight="false" outlineLevel="0" collapsed="false">
      <c r="A705" s="19" t="str">
        <f aca="false">"DEC-"&amp;B705&amp;"-G6"</f>
        <v>DEC-CAN-LF-B-G6</v>
      </c>
      <c r="B705" s="19" t="str">
        <f aca="false">'Lot Register'!A106</f>
        <v>CAN-LF-B</v>
      </c>
      <c r="C705" s="19" t="str">
        <f aca="false">'Lot Register'!B106</f>
        <v>Candidate mechanism</v>
      </c>
      <c r="D705" s="19" t="str">
        <f aca="false">'Lot Register'!D106</f>
        <v>MS-LF</v>
      </c>
      <c r="E705" s="19" t="str">
        <f aca="false">'Lot Register'!G106</f>
        <v>LF TRUTH TRAIN</v>
      </c>
      <c r="F705" s="9" t="s">
        <v>593</v>
      </c>
      <c r="G705" s="9" t="s">
        <v>594</v>
      </c>
      <c r="H705" s="9" t="s">
        <v>595</v>
      </c>
      <c r="I705" s="9" t="s">
        <v>570</v>
      </c>
      <c r="J705" s="11" t="s">
        <v>238</v>
      </c>
      <c r="K705" s="47" t="n">
        <f aca="false">Controls!B26</f>
        <v>0</v>
      </c>
      <c r="L705" s="47" t="str">
        <f aca="false">IF(K705=1,"PASS","OPEN")</f>
        <v>OPEN</v>
      </c>
    </row>
    <row r="706" customFormat="false" ht="15" hidden="false" customHeight="false" outlineLevel="0" collapsed="false">
      <c r="A706" s="19" t="str">
        <f aca="false">"DEC-"&amp;B706&amp;"-G7"</f>
        <v>DEC-CAN-LF-B-G7</v>
      </c>
      <c r="B706" s="19" t="str">
        <f aca="false">'Lot Register'!A106</f>
        <v>CAN-LF-B</v>
      </c>
      <c r="C706" s="19" t="str">
        <f aca="false">'Lot Register'!B106</f>
        <v>Candidate mechanism</v>
      </c>
      <c r="D706" s="19" t="str">
        <f aca="false">'Lot Register'!D106</f>
        <v>MS-LF</v>
      </c>
      <c r="E706" s="19" t="str">
        <f aca="false">'Lot Register'!G106</f>
        <v>LF TRUTH TRAIN</v>
      </c>
      <c r="F706" s="9" t="s">
        <v>596</v>
      </c>
      <c r="G706" s="9" t="s">
        <v>597</v>
      </c>
      <c r="H706" s="9" t="s">
        <v>598</v>
      </c>
      <c r="I706" s="9" t="s">
        <v>570</v>
      </c>
      <c r="J706" s="11" t="s">
        <v>238</v>
      </c>
      <c r="K706" s="47" t="n">
        <f aca="false">Controls!B26</f>
        <v>0</v>
      </c>
      <c r="L706" s="47" t="str">
        <f aca="false">IF(K706=1,"PASS","OPEN")</f>
        <v>OPEN</v>
      </c>
    </row>
    <row r="707" customFormat="false" ht="15" hidden="false" customHeight="false" outlineLevel="0" collapsed="false">
      <c r="A707" s="19" t="str">
        <f aca="false">"DEC-"&amp;B707&amp;"-G1"</f>
        <v>DEC-CAN-HU-A-G1</v>
      </c>
      <c r="B707" s="19" t="str">
        <f aca="false">'Lot Register'!A107</f>
        <v>CAN-HU-A</v>
      </c>
      <c r="C707" s="19" t="str">
        <f aca="false">'Lot Register'!B107</f>
        <v>Candidate mechanism</v>
      </c>
      <c r="D707" s="19" t="str">
        <f aca="false">'Lot Register'!D107</f>
        <v>MS-HU</v>
      </c>
      <c r="E707" s="19" t="str">
        <f aca="false">'Lot Register'!G107</f>
        <v>HU TRUTH TRAIN</v>
      </c>
      <c r="F707" s="9" t="s">
        <v>578</v>
      </c>
      <c r="G707" s="9" t="s">
        <v>579</v>
      </c>
      <c r="H707" s="9" t="s">
        <v>580</v>
      </c>
      <c r="I707" s="9" t="s">
        <v>562</v>
      </c>
      <c r="J707" s="11" t="s">
        <v>238</v>
      </c>
      <c r="K707" s="47" t="n">
        <f aca="false">Controls!B26</f>
        <v>0</v>
      </c>
      <c r="L707" s="47" t="str">
        <f aca="false">IF(K707=1,"PASS","OPEN")</f>
        <v>OPEN</v>
      </c>
    </row>
    <row r="708" customFormat="false" ht="15" hidden="false" customHeight="false" outlineLevel="0" collapsed="false">
      <c r="A708" s="19" t="str">
        <f aca="false">"DEC-"&amp;B708&amp;"-G2"</f>
        <v>DEC-CAN-HU-A-G2</v>
      </c>
      <c r="B708" s="19" t="str">
        <f aca="false">'Lot Register'!A107</f>
        <v>CAN-HU-A</v>
      </c>
      <c r="C708" s="19" t="str">
        <f aca="false">'Lot Register'!B107</f>
        <v>Candidate mechanism</v>
      </c>
      <c r="D708" s="19" t="str">
        <f aca="false">'Lot Register'!D107</f>
        <v>MS-HU</v>
      </c>
      <c r="E708" s="19" t="str">
        <f aca="false">'Lot Register'!G107</f>
        <v>HU TRUTH TRAIN</v>
      </c>
      <c r="F708" s="9" t="s">
        <v>581</v>
      </c>
      <c r="G708" s="9" t="s">
        <v>582</v>
      </c>
      <c r="H708" s="9" t="s">
        <v>583</v>
      </c>
      <c r="I708" s="9" t="s">
        <v>560</v>
      </c>
      <c r="J708" s="11" t="s">
        <v>238</v>
      </c>
      <c r="K708" s="47" t="n">
        <f aca="false">Controls!B26</f>
        <v>0</v>
      </c>
      <c r="L708" s="47" t="str">
        <f aca="false">IF(K708=1,"PASS","OPEN")</f>
        <v>OPEN</v>
      </c>
    </row>
    <row r="709" customFormat="false" ht="15" hidden="false" customHeight="false" outlineLevel="0" collapsed="false">
      <c r="A709" s="19" t="str">
        <f aca="false">"DEC-"&amp;B709&amp;"-G3"</f>
        <v>DEC-CAN-HU-A-G3</v>
      </c>
      <c r="B709" s="19" t="str">
        <f aca="false">'Lot Register'!A107</f>
        <v>CAN-HU-A</v>
      </c>
      <c r="C709" s="19" t="str">
        <f aca="false">'Lot Register'!B107</f>
        <v>Candidate mechanism</v>
      </c>
      <c r="D709" s="19" t="str">
        <f aca="false">'Lot Register'!D107</f>
        <v>MS-HU</v>
      </c>
      <c r="E709" s="19" t="str">
        <f aca="false">'Lot Register'!G107</f>
        <v>HU TRUTH TRAIN</v>
      </c>
      <c r="F709" s="9" t="s">
        <v>584</v>
      </c>
      <c r="G709" s="9" t="s">
        <v>585</v>
      </c>
      <c r="H709" s="9" t="s">
        <v>586</v>
      </c>
      <c r="I709" s="9" t="s">
        <v>565</v>
      </c>
      <c r="J709" s="11" t="s">
        <v>238</v>
      </c>
      <c r="K709" s="47" t="n">
        <f aca="false">Controls!B26</f>
        <v>0</v>
      </c>
      <c r="L709" s="47" t="str">
        <f aca="false">IF(K709=1,"PASS","OPEN")</f>
        <v>OPEN</v>
      </c>
    </row>
    <row r="710" customFormat="false" ht="15" hidden="false" customHeight="false" outlineLevel="0" collapsed="false">
      <c r="A710" s="19" t="str">
        <f aca="false">"DEC-"&amp;B710&amp;"-G4"</f>
        <v>DEC-CAN-HU-A-G4</v>
      </c>
      <c r="B710" s="19" t="str">
        <f aca="false">'Lot Register'!A107</f>
        <v>CAN-HU-A</v>
      </c>
      <c r="C710" s="19" t="str">
        <f aca="false">'Lot Register'!B107</f>
        <v>Candidate mechanism</v>
      </c>
      <c r="D710" s="19" t="str">
        <f aca="false">'Lot Register'!D107</f>
        <v>MS-HU</v>
      </c>
      <c r="E710" s="19" t="str">
        <f aca="false">'Lot Register'!G107</f>
        <v>HU TRUTH TRAIN</v>
      </c>
      <c r="F710" s="9" t="s">
        <v>587</v>
      </c>
      <c r="G710" s="9" t="s">
        <v>588</v>
      </c>
      <c r="H710" s="9" t="s">
        <v>589</v>
      </c>
      <c r="I710" s="9" t="s">
        <v>562</v>
      </c>
      <c r="J710" s="11" t="s">
        <v>238</v>
      </c>
      <c r="K710" s="47" t="n">
        <f aca="false">Controls!B26</f>
        <v>0</v>
      </c>
      <c r="L710" s="47" t="str">
        <f aca="false">IF(K710=1,"PASS","OPEN")</f>
        <v>OPEN</v>
      </c>
    </row>
    <row r="711" customFormat="false" ht="15" hidden="false" customHeight="false" outlineLevel="0" collapsed="false">
      <c r="A711" s="19" t="str">
        <f aca="false">"DEC-"&amp;B711&amp;"-G5"</f>
        <v>DEC-CAN-HU-A-G5</v>
      </c>
      <c r="B711" s="19" t="str">
        <f aca="false">'Lot Register'!A107</f>
        <v>CAN-HU-A</v>
      </c>
      <c r="C711" s="19" t="str">
        <f aca="false">'Lot Register'!B107</f>
        <v>Candidate mechanism</v>
      </c>
      <c r="D711" s="19" t="str">
        <f aca="false">'Lot Register'!D107</f>
        <v>MS-HU</v>
      </c>
      <c r="E711" s="19" t="str">
        <f aca="false">'Lot Register'!G107</f>
        <v>HU TRUTH TRAIN</v>
      </c>
      <c r="F711" s="9" t="s">
        <v>590</v>
      </c>
      <c r="G711" s="9" t="s">
        <v>591</v>
      </c>
      <c r="H711" s="9" t="s">
        <v>592</v>
      </c>
      <c r="I711" s="9" t="s">
        <v>565</v>
      </c>
      <c r="J711" s="11" t="s">
        <v>238</v>
      </c>
      <c r="K711" s="47" t="n">
        <f aca="false">Controls!B26</f>
        <v>0</v>
      </c>
      <c r="L711" s="47" t="str">
        <f aca="false">IF(K711=1,"PASS","OPEN")</f>
        <v>OPEN</v>
      </c>
    </row>
    <row r="712" customFormat="false" ht="15" hidden="false" customHeight="false" outlineLevel="0" collapsed="false">
      <c r="A712" s="19" t="str">
        <f aca="false">"DEC-"&amp;B712&amp;"-G6"</f>
        <v>DEC-CAN-HU-A-G6</v>
      </c>
      <c r="B712" s="19" t="str">
        <f aca="false">'Lot Register'!A107</f>
        <v>CAN-HU-A</v>
      </c>
      <c r="C712" s="19" t="str">
        <f aca="false">'Lot Register'!B107</f>
        <v>Candidate mechanism</v>
      </c>
      <c r="D712" s="19" t="str">
        <f aca="false">'Lot Register'!D107</f>
        <v>MS-HU</v>
      </c>
      <c r="E712" s="19" t="str">
        <f aca="false">'Lot Register'!G107</f>
        <v>HU TRUTH TRAIN</v>
      </c>
      <c r="F712" s="9" t="s">
        <v>593</v>
      </c>
      <c r="G712" s="9" t="s">
        <v>594</v>
      </c>
      <c r="H712" s="9" t="s">
        <v>595</v>
      </c>
      <c r="I712" s="9" t="s">
        <v>570</v>
      </c>
      <c r="J712" s="11" t="s">
        <v>238</v>
      </c>
      <c r="K712" s="47" t="n">
        <f aca="false">Controls!B26</f>
        <v>0</v>
      </c>
      <c r="L712" s="47" t="str">
        <f aca="false">IF(K712=1,"PASS","OPEN")</f>
        <v>OPEN</v>
      </c>
    </row>
    <row r="713" customFormat="false" ht="15" hidden="false" customHeight="false" outlineLevel="0" collapsed="false">
      <c r="A713" s="19" t="str">
        <f aca="false">"DEC-"&amp;B713&amp;"-G7"</f>
        <v>DEC-CAN-HU-A-G7</v>
      </c>
      <c r="B713" s="19" t="str">
        <f aca="false">'Lot Register'!A107</f>
        <v>CAN-HU-A</v>
      </c>
      <c r="C713" s="19" t="str">
        <f aca="false">'Lot Register'!B107</f>
        <v>Candidate mechanism</v>
      </c>
      <c r="D713" s="19" t="str">
        <f aca="false">'Lot Register'!D107</f>
        <v>MS-HU</v>
      </c>
      <c r="E713" s="19" t="str">
        <f aca="false">'Lot Register'!G107</f>
        <v>HU TRUTH TRAIN</v>
      </c>
      <c r="F713" s="9" t="s">
        <v>596</v>
      </c>
      <c r="G713" s="9" t="s">
        <v>597</v>
      </c>
      <c r="H713" s="9" t="s">
        <v>598</v>
      </c>
      <c r="I713" s="9" t="s">
        <v>570</v>
      </c>
      <c r="J713" s="11" t="s">
        <v>238</v>
      </c>
      <c r="K713" s="47" t="n">
        <f aca="false">Controls!B26</f>
        <v>0</v>
      </c>
      <c r="L713" s="47" t="str">
        <f aca="false">IF(K713=1,"PASS","OPEN")</f>
        <v>OPEN</v>
      </c>
    </row>
    <row r="714" customFormat="false" ht="15" hidden="false" customHeight="false" outlineLevel="0" collapsed="false">
      <c r="A714" s="19" t="str">
        <f aca="false">"DEC-"&amp;B714&amp;"-G1"</f>
        <v>DEC-CAN-RT-B-G1</v>
      </c>
      <c r="B714" s="19" t="str">
        <f aca="false">'Lot Register'!A108</f>
        <v>CAN-RT-B</v>
      </c>
      <c r="C714" s="19" t="str">
        <f aca="false">'Lot Register'!B108</f>
        <v>Candidate mechanism</v>
      </c>
      <c r="D714" s="19" t="str">
        <f aca="false">'Lot Register'!D108</f>
        <v>MS-RT</v>
      </c>
      <c r="E714" s="19" t="str">
        <f aca="false">'Lot Register'!G108</f>
        <v>RT TRUTH TRAIN</v>
      </c>
      <c r="F714" s="9" t="s">
        <v>578</v>
      </c>
      <c r="G714" s="9" t="s">
        <v>579</v>
      </c>
      <c r="H714" s="9" t="s">
        <v>580</v>
      </c>
      <c r="I714" s="9" t="s">
        <v>562</v>
      </c>
      <c r="J714" s="11" t="s">
        <v>238</v>
      </c>
      <c r="K714" s="47" t="n">
        <f aca="false">Controls!B26</f>
        <v>0</v>
      </c>
      <c r="L714" s="47" t="str">
        <f aca="false">IF(K714=1,"PASS","OPEN")</f>
        <v>OPEN</v>
      </c>
    </row>
    <row r="715" customFormat="false" ht="15" hidden="false" customHeight="false" outlineLevel="0" collapsed="false">
      <c r="A715" s="19" t="str">
        <f aca="false">"DEC-"&amp;B715&amp;"-G2"</f>
        <v>DEC-CAN-RT-B-G2</v>
      </c>
      <c r="B715" s="19" t="str">
        <f aca="false">'Lot Register'!A108</f>
        <v>CAN-RT-B</v>
      </c>
      <c r="C715" s="19" t="str">
        <f aca="false">'Lot Register'!B108</f>
        <v>Candidate mechanism</v>
      </c>
      <c r="D715" s="19" t="str">
        <f aca="false">'Lot Register'!D108</f>
        <v>MS-RT</v>
      </c>
      <c r="E715" s="19" t="str">
        <f aca="false">'Lot Register'!G108</f>
        <v>RT TRUTH TRAIN</v>
      </c>
      <c r="F715" s="9" t="s">
        <v>581</v>
      </c>
      <c r="G715" s="9" t="s">
        <v>582</v>
      </c>
      <c r="H715" s="9" t="s">
        <v>583</v>
      </c>
      <c r="I715" s="9" t="s">
        <v>560</v>
      </c>
      <c r="J715" s="11" t="s">
        <v>238</v>
      </c>
      <c r="K715" s="47" t="n">
        <f aca="false">Controls!B26</f>
        <v>0</v>
      </c>
      <c r="L715" s="47" t="str">
        <f aca="false">IF(K715=1,"PASS","OPEN")</f>
        <v>OPEN</v>
      </c>
    </row>
    <row r="716" customFormat="false" ht="15" hidden="false" customHeight="false" outlineLevel="0" collapsed="false">
      <c r="A716" s="19" t="str">
        <f aca="false">"DEC-"&amp;B716&amp;"-G3"</f>
        <v>DEC-CAN-RT-B-G3</v>
      </c>
      <c r="B716" s="19" t="str">
        <f aca="false">'Lot Register'!A108</f>
        <v>CAN-RT-B</v>
      </c>
      <c r="C716" s="19" t="str">
        <f aca="false">'Lot Register'!B108</f>
        <v>Candidate mechanism</v>
      </c>
      <c r="D716" s="19" t="str">
        <f aca="false">'Lot Register'!D108</f>
        <v>MS-RT</v>
      </c>
      <c r="E716" s="19" t="str">
        <f aca="false">'Lot Register'!G108</f>
        <v>RT TRUTH TRAIN</v>
      </c>
      <c r="F716" s="9" t="s">
        <v>584</v>
      </c>
      <c r="G716" s="9" t="s">
        <v>585</v>
      </c>
      <c r="H716" s="9" t="s">
        <v>586</v>
      </c>
      <c r="I716" s="9" t="s">
        <v>565</v>
      </c>
      <c r="J716" s="11" t="s">
        <v>238</v>
      </c>
      <c r="K716" s="47" t="n">
        <f aca="false">Controls!B26</f>
        <v>0</v>
      </c>
      <c r="L716" s="47" t="str">
        <f aca="false">IF(K716=1,"PASS","OPEN")</f>
        <v>OPEN</v>
      </c>
    </row>
    <row r="717" customFormat="false" ht="15" hidden="false" customHeight="false" outlineLevel="0" collapsed="false">
      <c r="A717" s="19" t="str">
        <f aca="false">"DEC-"&amp;B717&amp;"-G4"</f>
        <v>DEC-CAN-RT-B-G4</v>
      </c>
      <c r="B717" s="19" t="str">
        <f aca="false">'Lot Register'!A108</f>
        <v>CAN-RT-B</v>
      </c>
      <c r="C717" s="19" t="str">
        <f aca="false">'Lot Register'!B108</f>
        <v>Candidate mechanism</v>
      </c>
      <c r="D717" s="19" t="str">
        <f aca="false">'Lot Register'!D108</f>
        <v>MS-RT</v>
      </c>
      <c r="E717" s="19" t="str">
        <f aca="false">'Lot Register'!G108</f>
        <v>RT TRUTH TRAIN</v>
      </c>
      <c r="F717" s="9" t="s">
        <v>587</v>
      </c>
      <c r="G717" s="9" t="s">
        <v>588</v>
      </c>
      <c r="H717" s="9" t="s">
        <v>589</v>
      </c>
      <c r="I717" s="9" t="s">
        <v>562</v>
      </c>
      <c r="J717" s="11" t="s">
        <v>238</v>
      </c>
      <c r="K717" s="47" t="n">
        <f aca="false">Controls!B26</f>
        <v>0</v>
      </c>
      <c r="L717" s="47" t="str">
        <f aca="false">IF(K717=1,"PASS","OPEN")</f>
        <v>OPEN</v>
      </c>
    </row>
    <row r="718" customFormat="false" ht="15" hidden="false" customHeight="false" outlineLevel="0" collapsed="false">
      <c r="A718" s="19" t="str">
        <f aca="false">"DEC-"&amp;B718&amp;"-G5"</f>
        <v>DEC-CAN-RT-B-G5</v>
      </c>
      <c r="B718" s="19" t="str">
        <f aca="false">'Lot Register'!A108</f>
        <v>CAN-RT-B</v>
      </c>
      <c r="C718" s="19" t="str">
        <f aca="false">'Lot Register'!B108</f>
        <v>Candidate mechanism</v>
      </c>
      <c r="D718" s="19" t="str">
        <f aca="false">'Lot Register'!D108</f>
        <v>MS-RT</v>
      </c>
      <c r="E718" s="19" t="str">
        <f aca="false">'Lot Register'!G108</f>
        <v>RT TRUTH TRAIN</v>
      </c>
      <c r="F718" s="9" t="s">
        <v>590</v>
      </c>
      <c r="G718" s="9" t="s">
        <v>591</v>
      </c>
      <c r="H718" s="9" t="s">
        <v>592</v>
      </c>
      <c r="I718" s="9" t="s">
        <v>565</v>
      </c>
      <c r="J718" s="11" t="s">
        <v>238</v>
      </c>
      <c r="K718" s="47" t="n">
        <f aca="false">Controls!B26</f>
        <v>0</v>
      </c>
      <c r="L718" s="47" t="str">
        <f aca="false">IF(K718=1,"PASS","OPEN")</f>
        <v>OPEN</v>
      </c>
    </row>
    <row r="719" customFormat="false" ht="15" hidden="false" customHeight="false" outlineLevel="0" collapsed="false">
      <c r="A719" s="19" t="str">
        <f aca="false">"DEC-"&amp;B719&amp;"-G6"</f>
        <v>DEC-CAN-RT-B-G6</v>
      </c>
      <c r="B719" s="19" t="str">
        <f aca="false">'Lot Register'!A108</f>
        <v>CAN-RT-B</v>
      </c>
      <c r="C719" s="19" t="str">
        <f aca="false">'Lot Register'!B108</f>
        <v>Candidate mechanism</v>
      </c>
      <c r="D719" s="19" t="str">
        <f aca="false">'Lot Register'!D108</f>
        <v>MS-RT</v>
      </c>
      <c r="E719" s="19" t="str">
        <f aca="false">'Lot Register'!G108</f>
        <v>RT TRUTH TRAIN</v>
      </c>
      <c r="F719" s="9" t="s">
        <v>593</v>
      </c>
      <c r="G719" s="9" t="s">
        <v>594</v>
      </c>
      <c r="H719" s="9" t="s">
        <v>595</v>
      </c>
      <c r="I719" s="9" t="s">
        <v>570</v>
      </c>
      <c r="J719" s="11" t="s">
        <v>238</v>
      </c>
      <c r="K719" s="47" t="n">
        <f aca="false">Controls!B26</f>
        <v>0</v>
      </c>
      <c r="L719" s="47" t="str">
        <f aca="false">IF(K719=1,"PASS","OPEN")</f>
        <v>OPEN</v>
      </c>
    </row>
    <row r="720" customFormat="false" ht="15" hidden="false" customHeight="false" outlineLevel="0" collapsed="false">
      <c r="A720" s="20" t="str">
        <f aca="false">"DEC-"&amp;B720&amp;"-G7"</f>
        <v>DEC-CAN-RT-B-G7</v>
      </c>
      <c r="B720" s="20" t="str">
        <f aca="false">'Lot Register'!A108</f>
        <v>CAN-RT-B</v>
      </c>
      <c r="C720" s="20" t="str">
        <f aca="false">'Lot Register'!B108</f>
        <v>Candidate mechanism</v>
      </c>
      <c r="D720" s="20" t="str">
        <f aca="false">'Lot Register'!D108</f>
        <v>MS-RT</v>
      </c>
      <c r="E720" s="20" t="str">
        <f aca="false">'Lot Register'!G108</f>
        <v>RT TRUTH TRAIN</v>
      </c>
      <c r="F720" s="12" t="s">
        <v>596</v>
      </c>
      <c r="G720" s="12" t="s">
        <v>597</v>
      </c>
      <c r="H720" s="12" t="s">
        <v>598</v>
      </c>
      <c r="I720" s="12" t="s">
        <v>570</v>
      </c>
      <c r="J720" s="14" t="s">
        <v>238</v>
      </c>
      <c r="K720" s="48" t="n">
        <f aca="false">Controls!B26</f>
        <v>0</v>
      </c>
      <c r="L720" s="48" t="str">
        <f aca="false">IF(K720=1,"PASS","OPEN")</f>
        <v>OPEN</v>
      </c>
    </row>
  </sheetData>
  <mergeCells count="2">
    <mergeCell ref="A2:L2"/>
    <mergeCell ref="A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55"/>
    <col collapsed="false" customWidth="true" hidden="false" outlineLevel="0" max="5" min="5" style="0" width="42"/>
    <col collapsed="false" customWidth="true" hidden="false" outlineLevel="0" max="6" min="6" style="0" width="50"/>
    <col collapsed="false" customWidth="true" hidden="false" outlineLevel="0" max="7" min="7" style="0" width="28"/>
    <col collapsed="false" customWidth="true" hidden="false" outlineLevel="0" max="8" min="8" style="0" width="16"/>
  </cols>
  <sheetData>
    <row r="2" customFormat="false" ht="24" hidden="false" customHeight="true" outlineLevel="0" collapsed="false">
      <c r="A2" s="1" t="s">
        <v>599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3" t="s">
        <v>600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23" hidden="false" customHeight="true" outlineLevel="0" collapsed="false">
      <c r="A6" s="5" t="s">
        <v>601</v>
      </c>
      <c r="B6" s="6" t="s">
        <v>575</v>
      </c>
      <c r="C6" s="6" t="s">
        <v>602</v>
      </c>
      <c r="D6" s="6" t="s">
        <v>603</v>
      </c>
      <c r="E6" s="6" t="s">
        <v>604</v>
      </c>
      <c r="F6" s="6" t="s">
        <v>605</v>
      </c>
      <c r="G6" s="6" t="s">
        <v>606</v>
      </c>
      <c r="H6" s="7" t="s">
        <v>607</v>
      </c>
    </row>
    <row r="7" customFormat="false" ht="15" hidden="false" customHeight="false" outlineLevel="0" collapsed="false">
      <c r="A7" s="8" t="s">
        <v>608</v>
      </c>
      <c r="B7" s="8" t="s">
        <v>609</v>
      </c>
      <c r="C7" s="8" t="s">
        <v>610</v>
      </c>
      <c r="D7" s="8" t="s">
        <v>611</v>
      </c>
      <c r="E7" s="8" t="s">
        <v>612</v>
      </c>
      <c r="F7" s="8" t="s">
        <v>613</v>
      </c>
      <c r="G7" s="8" t="s">
        <v>83</v>
      </c>
      <c r="H7" s="8" t="s">
        <v>614</v>
      </c>
    </row>
    <row r="8" customFormat="false" ht="15" hidden="false" customHeight="false" outlineLevel="0" collapsed="false">
      <c r="A8" s="9" t="s">
        <v>615</v>
      </c>
      <c r="B8" s="9" t="s">
        <v>616</v>
      </c>
      <c r="C8" s="9" t="s">
        <v>617</v>
      </c>
      <c r="D8" s="9" t="s">
        <v>618</v>
      </c>
      <c r="E8" s="9" t="s">
        <v>619</v>
      </c>
      <c r="F8" s="9" t="s">
        <v>620</v>
      </c>
      <c r="G8" s="9" t="s">
        <v>83</v>
      </c>
      <c r="H8" s="9" t="s">
        <v>81</v>
      </c>
    </row>
    <row r="9" customFormat="false" ht="15" hidden="false" customHeight="false" outlineLevel="0" collapsed="false">
      <c r="A9" s="9" t="s">
        <v>189</v>
      </c>
      <c r="B9" s="9" t="s">
        <v>621</v>
      </c>
      <c r="C9" s="9" t="s">
        <v>622</v>
      </c>
      <c r="D9" s="9" t="s">
        <v>623</v>
      </c>
      <c r="E9" s="9" t="s">
        <v>624</v>
      </c>
      <c r="F9" s="9" t="s">
        <v>625</v>
      </c>
      <c r="G9" s="9" t="s">
        <v>626</v>
      </c>
      <c r="H9" s="9" t="s">
        <v>81</v>
      </c>
    </row>
    <row r="10" customFormat="false" ht="15" hidden="false" customHeight="false" outlineLevel="0" collapsed="false">
      <c r="A10" s="9" t="s">
        <v>194</v>
      </c>
      <c r="B10" s="9" t="s">
        <v>627</v>
      </c>
      <c r="C10" s="9" t="s">
        <v>628</v>
      </c>
      <c r="D10" s="9" t="s">
        <v>629</v>
      </c>
      <c r="E10" s="9" t="s">
        <v>630</v>
      </c>
      <c r="F10" s="9" t="s">
        <v>631</v>
      </c>
      <c r="G10" s="9" t="s">
        <v>632</v>
      </c>
      <c r="H10" s="9" t="s">
        <v>81</v>
      </c>
    </row>
    <row r="11" customFormat="false" ht="15" hidden="false" customHeight="false" outlineLevel="0" collapsed="false">
      <c r="A11" s="9" t="s">
        <v>204</v>
      </c>
      <c r="B11" s="9" t="s">
        <v>633</v>
      </c>
      <c r="C11" s="9" t="s">
        <v>634</v>
      </c>
      <c r="D11" s="9" t="s">
        <v>635</v>
      </c>
      <c r="E11" s="9" t="s">
        <v>636</v>
      </c>
      <c r="F11" s="9" t="s">
        <v>637</v>
      </c>
      <c r="G11" s="9" t="s">
        <v>626</v>
      </c>
      <c r="H11" s="9" t="s">
        <v>81</v>
      </c>
    </row>
    <row r="12" customFormat="false" ht="15" hidden="false" customHeight="false" outlineLevel="0" collapsed="false">
      <c r="A12" s="9" t="s">
        <v>638</v>
      </c>
      <c r="B12" s="9" t="s">
        <v>639</v>
      </c>
      <c r="C12" s="9" t="s">
        <v>640</v>
      </c>
      <c r="D12" s="9" t="s">
        <v>641</v>
      </c>
      <c r="E12" s="9" t="s">
        <v>642</v>
      </c>
      <c r="F12" s="9" t="s">
        <v>643</v>
      </c>
      <c r="G12" s="9" t="s">
        <v>644</v>
      </c>
      <c r="H12" s="9" t="s">
        <v>81</v>
      </c>
    </row>
    <row r="13" customFormat="false" ht="15" hidden="false" customHeight="false" outlineLevel="0" collapsed="false">
      <c r="A13" s="12" t="s">
        <v>645</v>
      </c>
      <c r="B13" s="12" t="s">
        <v>597</v>
      </c>
      <c r="C13" s="12" t="s">
        <v>646</v>
      </c>
      <c r="D13" s="12" t="s">
        <v>647</v>
      </c>
      <c r="E13" s="12" t="s">
        <v>648</v>
      </c>
      <c r="F13" s="12" t="s">
        <v>649</v>
      </c>
      <c r="G13" s="12" t="s">
        <v>650</v>
      </c>
      <c r="H13" s="12" t="s">
        <v>81</v>
      </c>
    </row>
  </sheetData>
  <mergeCells count="2">
    <mergeCell ref="A2:H2"/>
    <mergeCell ref="A4:H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6" min="4" style="0" width="14"/>
    <col collapsed="false" customWidth="true" hidden="false" outlineLevel="0" max="7" min="7" style="0" width="17"/>
    <col collapsed="false" customWidth="true" hidden="false" outlineLevel="0" max="8" min="8" style="0" width="24"/>
    <col collapsed="false" customWidth="true" hidden="false" outlineLevel="0" max="9" min="9" style="0" width="25"/>
    <col collapsed="false" customWidth="true" hidden="false" outlineLevel="0" max="10" min="10" style="0" width="18"/>
    <col collapsed="false" customWidth="true" hidden="false" outlineLevel="0" max="11" min="11" style="0" width="22"/>
    <col collapsed="false" customWidth="true" hidden="false" outlineLevel="0" max="12" min="12" style="0" width="20"/>
  </cols>
  <sheetData>
    <row r="2" customFormat="false" ht="24" hidden="false" customHeight="true" outlineLevel="0" collapsed="false">
      <c r="A2" s="1" t="s">
        <v>651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3" t="s">
        <v>652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3" hidden="false" customHeight="true" outlineLevel="0" collapsed="false">
      <c r="A6" s="5" t="s">
        <v>176</v>
      </c>
      <c r="B6" s="6" t="s">
        <v>177</v>
      </c>
      <c r="C6" s="6" t="s">
        <v>179</v>
      </c>
      <c r="D6" s="6" t="s">
        <v>653</v>
      </c>
      <c r="E6" s="6" t="s">
        <v>654</v>
      </c>
      <c r="F6" s="6" t="s">
        <v>655</v>
      </c>
      <c r="G6" s="6" t="s">
        <v>656</v>
      </c>
      <c r="H6" s="6" t="s">
        <v>657</v>
      </c>
      <c r="I6" s="6" t="s">
        <v>658</v>
      </c>
      <c r="J6" s="6" t="s">
        <v>659</v>
      </c>
      <c r="K6" s="6" t="s">
        <v>660</v>
      </c>
      <c r="L6" s="7" t="s">
        <v>661</v>
      </c>
    </row>
    <row r="7" customFormat="false" ht="15" hidden="false" customHeight="false" outlineLevel="0" collapsed="false">
      <c r="A7" s="8" t="s">
        <v>186</v>
      </c>
      <c r="B7" s="8" t="s">
        <v>187</v>
      </c>
      <c r="C7" s="27" t="n">
        <v>0.72</v>
      </c>
      <c r="D7" s="49" t="n">
        <v>0.25</v>
      </c>
      <c r="E7" s="49" t="n">
        <v>0.5</v>
      </c>
      <c r="F7" s="49" t="n">
        <v>0</v>
      </c>
      <c r="G7" s="49" t="n">
        <v>0.25</v>
      </c>
      <c r="H7" s="28" t="n">
        <f aca="false">C7*(D7+E7)</f>
        <v>0.54</v>
      </c>
      <c r="I7" s="28" t="n">
        <f aca="false">C7*(D7+E7+F7)</f>
        <v>0.54</v>
      </c>
      <c r="J7" s="28" t="n">
        <f aca="false">C7</f>
        <v>0.72</v>
      </c>
      <c r="K7" s="28" t="n">
        <f aca="false">Controls!B23</f>
        <v>0</v>
      </c>
      <c r="L7" s="28" t="n">
        <f aca="false">Controls!B24</f>
        <v>0</v>
      </c>
    </row>
    <row r="8" customFormat="false" ht="15" hidden="false" customHeight="false" outlineLevel="0" collapsed="false">
      <c r="A8" s="9" t="s">
        <v>192</v>
      </c>
      <c r="B8" s="9" t="s">
        <v>187</v>
      </c>
      <c r="C8" s="30" t="n">
        <v>5.7</v>
      </c>
      <c r="D8" s="50" t="n">
        <v>0.25</v>
      </c>
      <c r="E8" s="50" t="n">
        <v>0.5</v>
      </c>
      <c r="F8" s="50" t="n">
        <v>0</v>
      </c>
      <c r="G8" s="50" t="n">
        <v>0.25</v>
      </c>
      <c r="H8" s="31" t="n">
        <f aca="false">C8*(D8+E8)</f>
        <v>4.275</v>
      </c>
      <c r="I8" s="31" t="n">
        <f aca="false">C8*(D8+E8+F8)</f>
        <v>4.275</v>
      </c>
      <c r="J8" s="31" t="n">
        <f aca="false">C8</f>
        <v>5.7</v>
      </c>
      <c r="K8" s="31" t="n">
        <f aca="false">Controls!B23</f>
        <v>0</v>
      </c>
      <c r="L8" s="31" t="n">
        <f aca="false">Controls!B24</f>
        <v>0</v>
      </c>
    </row>
    <row r="9" customFormat="false" ht="15" hidden="false" customHeight="false" outlineLevel="0" collapsed="false">
      <c r="A9" s="9" t="s">
        <v>197</v>
      </c>
      <c r="B9" s="9" t="s">
        <v>187</v>
      </c>
      <c r="C9" s="30" t="n">
        <v>3.24</v>
      </c>
      <c r="D9" s="50" t="n">
        <v>0.25</v>
      </c>
      <c r="E9" s="50" t="n">
        <v>0.5</v>
      </c>
      <c r="F9" s="50" t="n">
        <v>0</v>
      </c>
      <c r="G9" s="50" t="n">
        <v>0.25</v>
      </c>
      <c r="H9" s="31" t="n">
        <f aca="false">C9*(D9+E9)</f>
        <v>2.43</v>
      </c>
      <c r="I9" s="31" t="n">
        <f aca="false">C9*(D9+E9+F9)</f>
        <v>2.43</v>
      </c>
      <c r="J9" s="31" t="n">
        <f aca="false">C9</f>
        <v>3.24</v>
      </c>
      <c r="K9" s="31" t="n">
        <f aca="false">Controls!B23</f>
        <v>0</v>
      </c>
      <c r="L9" s="31" t="n">
        <f aca="false">Controls!B24</f>
        <v>0</v>
      </c>
    </row>
    <row r="10" customFormat="false" ht="15" hidden="false" customHeight="false" outlineLevel="0" collapsed="false">
      <c r="A10" s="9" t="s">
        <v>200</v>
      </c>
      <c r="B10" s="9" t="s">
        <v>187</v>
      </c>
      <c r="C10" s="30" t="n">
        <v>1.2</v>
      </c>
      <c r="D10" s="50" t="n">
        <v>0.25</v>
      </c>
      <c r="E10" s="50" t="n">
        <v>0.5</v>
      </c>
      <c r="F10" s="50" t="n">
        <v>0</v>
      </c>
      <c r="G10" s="50" t="n">
        <v>0.25</v>
      </c>
      <c r="H10" s="31" t="n">
        <f aca="false">C10*(D10+E10)</f>
        <v>0.9</v>
      </c>
      <c r="I10" s="31" t="n">
        <f aca="false">C10*(D10+E10+F10)</f>
        <v>0.9</v>
      </c>
      <c r="J10" s="31" t="n">
        <f aca="false">C10</f>
        <v>1.2</v>
      </c>
      <c r="K10" s="31" t="n">
        <f aca="false">Controls!B23</f>
        <v>0</v>
      </c>
      <c r="L10" s="31" t="n">
        <f aca="false">Controls!B24</f>
        <v>0</v>
      </c>
    </row>
    <row r="11" customFormat="false" ht="15" hidden="false" customHeight="false" outlineLevel="0" collapsed="false">
      <c r="A11" s="9" t="s">
        <v>203</v>
      </c>
      <c r="B11" s="9" t="s">
        <v>187</v>
      </c>
      <c r="C11" s="30" t="n">
        <v>1.14</v>
      </c>
      <c r="D11" s="50" t="n">
        <v>0.25</v>
      </c>
      <c r="E11" s="50" t="n">
        <v>0.5</v>
      </c>
      <c r="F11" s="50" t="n">
        <v>0</v>
      </c>
      <c r="G11" s="50" t="n">
        <v>0.25</v>
      </c>
      <c r="H11" s="31" t="n">
        <f aca="false">C11*(D11+E11)</f>
        <v>0.855</v>
      </c>
      <c r="I11" s="31" t="n">
        <f aca="false">C11*(D11+E11+F11)</f>
        <v>0.855</v>
      </c>
      <c r="J11" s="31" t="n">
        <f aca="false">C11</f>
        <v>1.14</v>
      </c>
      <c r="K11" s="31" t="n">
        <f aca="false">Controls!B23</f>
        <v>0</v>
      </c>
      <c r="L11" s="31" t="n">
        <f aca="false">Controls!B24</f>
        <v>0</v>
      </c>
    </row>
    <row r="12" customFormat="false" ht="15" hidden="false" customHeight="false" outlineLevel="0" collapsed="false">
      <c r="A12" s="12" t="s">
        <v>207</v>
      </c>
      <c r="B12" s="12" t="s">
        <v>208</v>
      </c>
      <c r="C12" s="33" t="n">
        <v>3.58691281932057</v>
      </c>
      <c r="D12" s="51" t="n">
        <v>0.15</v>
      </c>
      <c r="E12" s="51" t="n">
        <v>0.35</v>
      </c>
      <c r="F12" s="51" t="n">
        <v>0.35</v>
      </c>
      <c r="G12" s="51" t="n">
        <v>0.15</v>
      </c>
      <c r="H12" s="34" t="n">
        <f aca="false">C12*(D12+E12)</f>
        <v>1.79345640966028</v>
      </c>
      <c r="I12" s="34" t="n">
        <f aca="false">C12*(D12+E12+F12)</f>
        <v>3.04887589642248</v>
      </c>
      <c r="J12" s="34" t="n">
        <f aca="false">C12</f>
        <v>3.58691281932057</v>
      </c>
      <c r="K12" s="34" t="n">
        <f aca="false">Controls!B23</f>
        <v>0</v>
      </c>
      <c r="L12" s="34" t="n">
        <f aca="false">Controls!B24</f>
        <v>0</v>
      </c>
    </row>
    <row r="13" customFormat="false" ht="23" hidden="false" customHeight="true" outlineLevel="0" collapsed="false">
      <c r="A13" s="15" t="s">
        <v>210</v>
      </c>
      <c r="B13" s="16" t="s">
        <v>212</v>
      </c>
      <c r="C13" s="37" t="n">
        <f aca="false">SUM(C7:C12)</f>
        <v>15.5869128193206</v>
      </c>
      <c r="D13" s="16"/>
      <c r="E13" s="16"/>
      <c r="F13" s="16"/>
      <c r="G13" s="16"/>
      <c r="H13" s="37" t="n">
        <f aca="false">SUM(H7:H12)</f>
        <v>10.7934564096603</v>
      </c>
      <c r="I13" s="37" t="n">
        <f aca="false">SUM(I7:I12)</f>
        <v>12.0488758964225</v>
      </c>
      <c r="J13" s="37" t="n">
        <f aca="false">SUM(J7:J12)</f>
        <v>15.5869128193206</v>
      </c>
      <c r="K13" s="37" t="n">
        <f aca="false">SUM(K7:K12)</f>
        <v>0</v>
      </c>
      <c r="L13" s="52" t="n">
        <f aca="false">SUM(L7:L12)</f>
        <v>0</v>
      </c>
    </row>
    <row r="14" customFormat="false" ht="15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15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5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customFormat="false" ht="23" hidden="false" customHeight="true" outlineLevel="0" collapsed="false">
      <c r="A17" s="15" t="s">
        <v>662</v>
      </c>
      <c r="B17" s="16" t="s">
        <v>663</v>
      </c>
      <c r="C17" s="16" t="s">
        <v>664</v>
      </c>
      <c r="D17" s="17" t="s">
        <v>110</v>
      </c>
      <c r="E17" s="4"/>
      <c r="F17" s="4"/>
      <c r="G17" s="4"/>
      <c r="H17" s="4"/>
      <c r="I17" s="4"/>
      <c r="J17" s="4"/>
      <c r="K17" s="4"/>
      <c r="L17" s="4"/>
    </row>
    <row r="18" customFormat="false" ht="15" hidden="false" customHeight="false" outlineLevel="0" collapsed="false">
      <c r="A18" s="8" t="s">
        <v>665</v>
      </c>
      <c r="B18" s="28" t="n">
        <f aca="false">H13</f>
        <v>10.7934564096603</v>
      </c>
      <c r="C18" s="28" t="n">
        <f aca="false">J13-B18</f>
        <v>4.79345640966028</v>
      </c>
      <c r="D18" s="8" t="s">
        <v>666</v>
      </c>
      <c r="E18" s="4"/>
      <c r="F18" s="4"/>
      <c r="G18" s="4"/>
      <c r="H18" s="4"/>
      <c r="I18" s="4"/>
      <c r="J18" s="4"/>
      <c r="K18" s="4"/>
      <c r="L18" s="4"/>
    </row>
    <row r="19" customFormat="false" ht="15" hidden="false" customHeight="false" outlineLevel="0" collapsed="false">
      <c r="A19" s="9" t="s">
        <v>667</v>
      </c>
      <c r="B19" s="31" t="n">
        <f aca="false">SUM(H7:H11)+I12</f>
        <v>12.0488758964225</v>
      </c>
      <c r="C19" s="31" t="n">
        <f aca="false">J13-B19</f>
        <v>3.53803692289808</v>
      </c>
      <c r="D19" s="9" t="s">
        <v>668</v>
      </c>
      <c r="E19" s="4"/>
      <c r="F19" s="4"/>
      <c r="G19" s="4"/>
      <c r="H19" s="4"/>
      <c r="I19" s="4"/>
      <c r="J19" s="4"/>
      <c r="K19" s="4"/>
      <c r="L19" s="4"/>
    </row>
    <row r="20" customFormat="false" ht="15" hidden="false" customHeight="false" outlineLevel="0" collapsed="false">
      <c r="A20" s="9" t="s">
        <v>669</v>
      </c>
      <c r="B20" s="31" t="n">
        <f aca="false">J13</f>
        <v>15.5869128193206</v>
      </c>
      <c r="C20" s="31" t="n">
        <f aca="false">J13-B20</f>
        <v>0</v>
      </c>
      <c r="D20" s="9" t="s">
        <v>670</v>
      </c>
      <c r="E20" s="4"/>
      <c r="F20" s="4"/>
      <c r="G20" s="4"/>
      <c r="H20" s="4"/>
      <c r="I20" s="4"/>
      <c r="J20" s="4"/>
      <c r="K20" s="4"/>
      <c r="L20" s="4"/>
    </row>
    <row r="21" customFormat="false" ht="15" hidden="false" customHeight="false" outlineLevel="0" collapsed="false">
      <c r="A21" s="12" t="s">
        <v>671</v>
      </c>
      <c r="B21" s="34" t="n">
        <f aca="false">L13</f>
        <v>0</v>
      </c>
      <c r="C21" s="34" t="n">
        <f aca="false">J13-B21</f>
        <v>15.5869128193206</v>
      </c>
      <c r="D21" s="12" t="s">
        <v>672</v>
      </c>
      <c r="E21" s="4"/>
      <c r="F21" s="4"/>
      <c r="G21" s="4"/>
      <c r="H21" s="4"/>
      <c r="I21" s="4"/>
      <c r="J21" s="4"/>
      <c r="K21" s="4"/>
      <c r="L21" s="4"/>
    </row>
  </sheetData>
  <mergeCells count="2">
    <mergeCell ref="A2:L2"/>
    <mergeCell ref="A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39"/>
    <col collapsed="false" customWidth="true" hidden="false" outlineLevel="0" max="3" min="3" style="0" width="52"/>
    <col collapsed="false" customWidth="true" hidden="false" outlineLevel="0" max="4" min="4" style="0" width="38"/>
    <col collapsed="false" customWidth="true" hidden="false" outlineLevel="0" max="5" min="5" style="0" width="58"/>
    <col collapsed="false" customWidth="true" hidden="false" outlineLevel="0" max="6" min="6" style="0" width="18"/>
    <col collapsed="false" customWidth="true" hidden="false" outlineLevel="0" max="7" min="7" style="0" width="17"/>
  </cols>
  <sheetData>
    <row r="2" customFormat="false" ht="24" hidden="false" customHeight="true" outlineLevel="0" collapsed="false">
      <c r="A2" s="1" t="s">
        <v>673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674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109</v>
      </c>
      <c r="B6" s="6" t="s">
        <v>675</v>
      </c>
      <c r="C6" s="6" t="s">
        <v>676</v>
      </c>
      <c r="D6" s="6" t="s">
        <v>677</v>
      </c>
      <c r="E6" s="6" t="s">
        <v>678</v>
      </c>
      <c r="F6" s="6" t="s">
        <v>679</v>
      </c>
      <c r="G6" s="7" t="s">
        <v>5</v>
      </c>
    </row>
    <row r="7" customFormat="false" ht="15" hidden="false" customHeight="false" outlineLevel="0" collapsed="false">
      <c r="A7" s="8" t="s">
        <v>560</v>
      </c>
      <c r="B7" s="8" t="s">
        <v>680</v>
      </c>
      <c r="C7" s="8" t="s">
        <v>681</v>
      </c>
      <c r="D7" s="8" t="s">
        <v>682</v>
      </c>
      <c r="E7" s="8" t="s">
        <v>683</v>
      </c>
      <c r="F7" s="8" t="s">
        <v>475</v>
      </c>
      <c r="G7" s="8" t="s">
        <v>20</v>
      </c>
    </row>
    <row r="8" customFormat="false" ht="15" hidden="false" customHeight="false" outlineLevel="0" collapsed="false">
      <c r="A8" s="9" t="s">
        <v>562</v>
      </c>
      <c r="B8" s="9" t="s">
        <v>684</v>
      </c>
      <c r="C8" s="9" t="s">
        <v>685</v>
      </c>
      <c r="D8" s="9" t="s">
        <v>686</v>
      </c>
      <c r="E8" s="9" t="s">
        <v>687</v>
      </c>
      <c r="F8" s="9" t="s">
        <v>475</v>
      </c>
      <c r="G8" s="9" t="s">
        <v>20</v>
      </c>
    </row>
    <row r="9" customFormat="false" ht="15" hidden="false" customHeight="false" outlineLevel="0" collapsed="false">
      <c r="A9" s="9" t="s">
        <v>565</v>
      </c>
      <c r="B9" s="9" t="s">
        <v>688</v>
      </c>
      <c r="C9" s="9" t="s">
        <v>689</v>
      </c>
      <c r="D9" s="9" t="s">
        <v>690</v>
      </c>
      <c r="E9" s="9" t="s">
        <v>691</v>
      </c>
      <c r="F9" s="9" t="s">
        <v>475</v>
      </c>
      <c r="G9" s="9" t="s">
        <v>20</v>
      </c>
    </row>
    <row r="10" customFormat="false" ht="15" hidden="false" customHeight="false" outlineLevel="0" collapsed="false">
      <c r="A10" s="9" t="s">
        <v>568</v>
      </c>
      <c r="B10" s="9" t="s">
        <v>692</v>
      </c>
      <c r="C10" s="9" t="s">
        <v>693</v>
      </c>
      <c r="D10" s="9" t="s">
        <v>694</v>
      </c>
      <c r="E10" s="9" t="s">
        <v>695</v>
      </c>
      <c r="F10" s="9" t="s">
        <v>475</v>
      </c>
      <c r="G10" s="9" t="s">
        <v>20</v>
      </c>
    </row>
    <row r="11" customFormat="false" ht="15" hidden="false" customHeight="false" outlineLevel="0" collapsed="false">
      <c r="A11" s="9" t="s">
        <v>570</v>
      </c>
      <c r="B11" s="9" t="s">
        <v>696</v>
      </c>
      <c r="C11" s="9" t="s">
        <v>697</v>
      </c>
      <c r="D11" s="9" t="s">
        <v>698</v>
      </c>
      <c r="E11" s="9" t="s">
        <v>699</v>
      </c>
      <c r="F11" s="9" t="s">
        <v>475</v>
      </c>
      <c r="G11" s="9" t="s">
        <v>20</v>
      </c>
    </row>
    <row r="12" customFormat="false" ht="15" hidden="false" customHeight="false" outlineLevel="0" collapsed="false">
      <c r="A12" s="12" t="s">
        <v>700</v>
      </c>
      <c r="B12" s="12" t="s">
        <v>701</v>
      </c>
      <c r="C12" s="12" t="s">
        <v>702</v>
      </c>
      <c r="D12" s="12" t="s">
        <v>703</v>
      </c>
      <c r="E12" s="12" t="s">
        <v>704</v>
      </c>
      <c r="F12" s="12" t="s">
        <v>475</v>
      </c>
      <c r="G12" s="12" t="s">
        <v>20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8"/>
    <col collapsed="false" customWidth="true" hidden="false" outlineLevel="0" max="3" min="3" style="0" width="60"/>
    <col collapsed="false" customWidth="true" hidden="false" outlineLevel="0" max="4" min="4" style="0" width="23"/>
    <col collapsed="false" customWidth="true" hidden="false" outlineLevel="0" max="5" min="5" style="0" width="33"/>
    <col collapsed="false" customWidth="true" hidden="false" outlineLevel="0" max="6" min="6" style="0" width="27"/>
  </cols>
  <sheetData>
    <row r="2" customFormat="false" ht="24" hidden="false" customHeight="true" outlineLevel="0" collapsed="false">
      <c r="A2" s="1" t="s">
        <v>705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706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</row>
    <row r="6" customFormat="false" ht="23" hidden="false" customHeight="true" outlineLevel="0" collapsed="false">
      <c r="A6" s="5" t="s">
        <v>707</v>
      </c>
      <c r="B6" s="6" t="s">
        <v>708</v>
      </c>
      <c r="C6" s="6" t="s">
        <v>709</v>
      </c>
      <c r="D6" s="6" t="s">
        <v>710</v>
      </c>
      <c r="E6" s="6" t="s">
        <v>711</v>
      </c>
      <c r="F6" s="7" t="s">
        <v>712</v>
      </c>
    </row>
    <row r="7" customFormat="false" ht="15" hidden="false" customHeight="false" outlineLevel="0" collapsed="false">
      <c r="A7" s="8" t="s">
        <v>713</v>
      </c>
      <c r="B7" s="8" t="s">
        <v>714</v>
      </c>
      <c r="C7" s="8" t="s">
        <v>715</v>
      </c>
      <c r="D7" s="8" t="s">
        <v>716</v>
      </c>
      <c r="E7" s="8" t="s">
        <v>717</v>
      </c>
      <c r="F7" s="8" t="s">
        <v>718</v>
      </c>
    </row>
    <row r="8" customFormat="false" ht="15" hidden="false" customHeight="false" outlineLevel="0" collapsed="false">
      <c r="A8" s="9" t="s">
        <v>719</v>
      </c>
      <c r="B8" s="9" t="s">
        <v>720</v>
      </c>
      <c r="C8" s="9" t="s">
        <v>721</v>
      </c>
      <c r="D8" s="9" t="s">
        <v>716</v>
      </c>
      <c r="E8" s="9" t="s">
        <v>722</v>
      </c>
      <c r="F8" s="9" t="s">
        <v>723</v>
      </c>
    </row>
    <row r="9" customFormat="false" ht="15" hidden="false" customHeight="false" outlineLevel="0" collapsed="false">
      <c r="A9" s="9" t="s">
        <v>724</v>
      </c>
      <c r="B9" s="9" t="s">
        <v>725</v>
      </c>
      <c r="C9" s="9" t="s">
        <v>726</v>
      </c>
      <c r="D9" s="9" t="s">
        <v>716</v>
      </c>
      <c r="E9" s="9" t="s">
        <v>727</v>
      </c>
      <c r="F9" s="9" t="s">
        <v>728</v>
      </c>
    </row>
    <row r="10" customFormat="false" ht="15" hidden="false" customHeight="false" outlineLevel="0" collapsed="false">
      <c r="A10" s="9" t="s">
        <v>729</v>
      </c>
      <c r="B10" s="9" t="s">
        <v>730</v>
      </c>
      <c r="C10" s="9" t="s">
        <v>731</v>
      </c>
      <c r="D10" s="9" t="s">
        <v>716</v>
      </c>
      <c r="E10" s="9" t="s">
        <v>732</v>
      </c>
      <c r="F10" s="9" t="s">
        <v>733</v>
      </c>
    </row>
    <row r="11" customFormat="false" ht="15" hidden="false" customHeight="false" outlineLevel="0" collapsed="false">
      <c r="A11" s="9" t="s">
        <v>734</v>
      </c>
      <c r="B11" s="9" t="s">
        <v>735</v>
      </c>
      <c r="C11" s="9" t="s">
        <v>736</v>
      </c>
      <c r="D11" s="9" t="s">
        <v>716</v>
      </c>
      <c r="E11" s="9" t="s">
        <v>737</v>
      </c>
      <c r="F11" s="9" t="s">
        <v>738</v>
      </c>
    </row>
    <row r="12" customFormat="false" ht="15" hidden="false" customHeight="false" outlineLevel="0" collapsed="false">
      <c r="A12" s="9" t="s">
        <v>739</v>
      </c>
      <c r="B12" s="9" t="s">
        <v>740</v>
      </c>
      <c r="C12" s="9" t="s">
        <v>741</v>
      </c>
      <c r="D12" s="9" t="s">
        <v>716</v>
      </c>
      <c r="E12" s="9" t="s">
        <v>742</v>
      </c>
      <c r="F12" s="9" t="s">
        <v>743</v>
      </c>
    </row>
    <row r="13" customFormat="false" ht="15" hidden="false" customHeight="false" outlineLevel="0" collapsed="false">
      <c r="A13" s="9" t="s">
        <v>744</v>
      </c>
      <c r="B13" s="9" t="s">
        <v>745</v>
      </c>
      <c r="C13" s="9" t="s">
        <v>746</v>
      </c>
      <c r="D13" s="9" t="s">
        <v>747</v>
      </c>
      <c r="E13" s="9" t="s">
        <v>748</v>
      </c>
      <c r="F13" s="9" t="s">
        <v>749</v>
      </c>
    </row>
    <row r="14" customFormat="false" ht="15" hidden="false" customHeight="false" outlineLevel="0" collapsed="false">
      <c r="A14" s="12" t="s">
        <v>750</v>
      </c>
      <c r="B14" s="12" t="s">
        <v>751</v>
      </c>
      <c r="C14" s="12" t="s">
        <v>752</v>
      </c>
      <c r="D14" s="12" t="s">
        <v>753</v>
      </c>
      <c r="E14" s="12" t="s">
        <v>754</v>
      </c>
      <c r="F14" s="12" t="s">
        <v>749</v>
      </c>
    </row>
  </sheetData>
  <mergeCells count="2">
    <mergeCell ref="A2:F2"/>
    <mergeCell ref="A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9"/>
    <col collapsed="false" customWidth="true" hidden="false" outlineLevel="0" max="3" min="3" style="0" width="50"/>
    <col collapsed="false" customWidth="true" hidden="false" outlineLevel="0" max="4" min="4" style="0" width="51"/>
    <col collapsed="false" customWidth="true" hidden="false" outlineLevel="0" max="5" min="5" style="0" width="18"/>
    <col collapsed="false" customWidth="true" hidden="false" outlineLevel="0" max="6" min="6" style="0" width="13"/>
  </cols>
  <sheetData>
    <row r="2" customFormat="false" ht="24" hidden="false" customHeight="true" outlineLevel="0" collapsed="false">
      <c r="A2" s="1" t="s">
        <v>755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3" t="s">
        <v>756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</row>
    <row r="6" customFormat="false" ht="23" hidden="false" customHeight="true" outlineLevel="0" collapsed="false">
      <c r="A6" s="5" t="s">
        <v>486</v>
      </c>
      <c r="B6" s="6" t="s">
        <v>757</v>
      </c>
      <c r="C6" s="6" t="s">
        <v>758</v>
      </c>
      <c r="D6" s="6" t="s">
        <v>605</v>
      </c>
      <c r="E6" s="6" t="s">
        <v>759</v>
      </c>
      <c r="F6" s="7" t="s">
        <v>5</v>
      </c>
    </row>
    <row r="7" customFormat="false" ht="15" hidden="false" customHeight="false" outlineLevel="0" collapsed="false">
      <c r="A7" s="8" t="s">
        <v>760</v>
      </c>
      <c r="B7" s="8" t="s">
        <v>761</v>
      </c>
      <c r="C7" s="8" t="s">
        <v>762</v>
      </c>
      <c r="D7" s="8" t="s">
        <v>763</v>
      </c>
      <c r="E7" s="8" t="s">
        <v>764</v>
      </c>
      <c r="F7" s="8" t="s">
        <v>765</v>
      </c>
    </row>
    <row r="8" customFormat="false" ht="15" hidden="false" customHeight="false" outlineLevel="0" collapsed="false">
      <c r="A8" s="9" t="s">
        <v>766</v>
      </c>
      <c r="B8" s="9" t="s">
        <v>767</v>
      </c>
      <c r="C8" s="9" t="s">
        <v>768</v>
      </c>
      <c r="D8" s="9" t="s">
        <v>769</v>
      </c>
      <c r="E8" s="9" t="s">
        <v>764</v>
      </c>
      <c r="F8" s="9" t="s">
        <v>765</v>
      </c>
    </row>
    <row r="9" customFormat="false" ht="15" hidden="false" customHeight="false" outlineLevel="0" collapsed="false">
      <c r="A9" s="9" t="s">
        <v>770</v>
      </c>
      <c r="B9" s="9" t="s">
        <v>771</v>
      </c>
      <c r="C9" s="9" t="s">
        <v>772</v>
      </c>
      <c r="D9" s="9" t="s">
        <v>773</v>
      </c>
      <c r="E9" s="9" t="s">
        <v>774</v>
      </c>
      <c r="F9" s="9" t="s">
        <v>765</v>
      </c>
    </row>
    <row r="10" customFormat="false" ht="15" hidden="false" customHeight="false" outlineLevel="0" collapsed="false">
      <c r="A10" s="9" t="s">
        <v>775</v>
      </c>
      <c r="B10" s="9" t="s">
        <v>776</v>
      </c>
      <c r="C10" s="9" t="s">
        <v>777</v>
      </c>
      <c r="D10" s="9" t="s">
        <v>778</v>
      </c>
      <c r="E10" s="9" t="s">
        <v>764</v>
      </c>
      <c r="F10" s="9" t="s">
        <v>765</v>
      </c>
    </row>
    <row r="11" customFormat="false" ht="15" hidden="false" customHeight="false" outlineLevel="0" collapsed="false">
      <c r="A11" s="9" t="s">
        <v>779</v>
      </c>
      <c r="B11" s="9" t="s">
        <v>780</v>
      </c>
      <c r="C11" s="9" t="s">
        <v>781</v>
      </c>
      <c r="D11" s="9" t="s">
        <v>782</v>
      </c>
      <c r="E11" s="9" t="s">
        <v>774</v>
      </c>
      <c r="F11" s="9" t="s">
        <v>765</v>
      </c>
    </row>
    <row r="12" customFormat="false" ht="15" hidden="false" customHeight="false" outlineLevel="0" collapsed="false">
      <c r="A12" s="9" t="s">
        <v>783</v>
      </c>
      <c r="B12" s="9" t="s">
        <v>784</v>
      </c>
      <c r="C12" s="9" t="s">
        <v>785</v>
      </c>
      <c r="D12" s="9" t="s">
        <v>786</v>
      </c>
      <c r="E12" s="9" t="s">
        <v>787</v>
      </c>
      <c r="F12" s="9" t="s">
        <v>765</v>
      </c>
    </row>
    <row r="13" customFormat="false" ht="15" hidden="false" customHeight="false" outlineLevel="0" collapsed="false">
      <c r="A13" s="9" t="s">
        <v>788</v>
      </c>
      <c r="B13" s="9" t="s">
        <v>789</v>
      </c>
      <c r="C13" s="9" t="s">
        <v>790</v>
      </c>
      <c r="D13" s="9" t="s">
        <v>791</v>
      </c>
      <c r="E13" s="9" t="s">
        <v>792</v>
      </c>
      <c r="F13" s="9" t="s">
        <v>765</v>
      </c>
    </row>
    <row r="14" customFormat="false" ht="15" hidden="false" customHeight="false" outlineLevel="0" collapsed="false">
      <c r="A14" s="9" t="s">
        <v>793</v>
      </c>
      <c r="B14" s="9" t="s">
        <v>794</v>
      </c>
      <c r="C14" s="9" t="s">
        <v>795</v>
      </c>
      <c r="D14" s="9" t="s">
        <v>796</v>
      </c>
      <c r="E14" s="9" t="s">
        <v>797</v>
      </c>
      <c r="F14" s="9" t="s">
        <v>765</v>
      </c>
    </row>
    <row r="15" customFormat="false" ht="15" hidden="false" customHeight="false" outlineLevel="0" collapsed="false">
      <c r="A15" s="9" t="s">
        <v>798</v>
      </c>
      <c r="B15" s="9" t="s">
        <v>799</v>
      </c>
      <c r="C15" s="9" t="s">
        <v>800</v>
      </c>
      <c r="D15" s="9" t="s">
        <v>801</v>
      </c>
      <c r="E15" s="9" t="s">
        <v>792</v>
      </c>
      <c r="F15" s="9" t="s">
        <v>765</v>
      </c>
    </row>
    <row r="16" customFormat="false" ht="15" hidden="false" customHeight="false" outlineLevel="0" collapsed="false">
      <c r="A16" s="9" t="s">
        <v>802</v>
      </c>
      <c r="B16" s="9" t="s">
        <v>803</v>
      </c>
      <c r="C16" s="9" t="s">
        <v>804</v>
      </c>
      <c r="D16" s="9" t="s">
        <v>805</v>
      </c>
      <c r="E16" s="9" t="s">
        <v>787</v>
      </c>
      <c r="F16" s="9" t="s">
        <v>765</v>
      </c>
    </row>
    <row r="17" customFormat="false" ht="15" hidden="false" customHeight="false" outlineLevel="0" collapsed="false">
      <c r="A17" s="9" t="s">
        <v>806</v>
      </c>
      <c r="B17" s="9" t="s">
        <v>807</v>
      </c>
      <c r="C17" s="9" t="s">
        <v>808</v>
      </c>
      <c r="D17" s="9" t="s">
        <v>809</v>
      </c>
      <c r="E17" s="9" t="s">
        <v>238</v>
      </c>
      <c r="F17" s="9" t="s">
        <v>765</v>
      </c>
    </row>
    <row r="18" customFormat="false" ht="15" hidden="false" customHeight="false" outlineLevel="0" collapsed="false">
      <c r="A18" s="9" t="s">
        <v>810</v>
      </c>
      <c r="B18" s="9" t="s">
        <v>811</v>
      </c>
      <c r="C18" s="9" t="s">
        <v>812</v>
      </c>
      <c r="D18" s="9" t="s">
        <v>813</v>
      </c>
      <c r="E18" s="9" t="s">
        <v>238</v>
      </c>
      <c r="F18" s="9" t="s">
        <v>765</v>
      </c>
    </row>
    <row r="19" customFormat="false" ht="15" hidden="false" customHeight="false" outlineLevel="0" collapsed="false">
      <c r="A19" s="9" t="s">
        <v>814</v>
      </c>
      <c r="B19" s="9" t="s">
        <v>815</v>
      </c>
      <c r="C19" s="9" t="s">
        <v>816</v>
      </c>
      <c r="D19" s="9" t="s">
        <v>817</v>
      </c>
      <c r="E19" s="9" t="s">
        <v>818</v>
      </c>
      <c r="F19" s="9" t="s">
        <v>765</v>
      </c>
    </row>
    <row r="20" customFormat="false" ht="15" hidden="false" customHeight="false" outlineLevel="0" collapsed="false">
      <c r="A20" s="9" t="s">
        <v>819</v>
      </c>
      <c r="B20" s="9" t="s">
        <v>820</v>
      </c>
      <c r="C20" s="9" t="s">
        <v>821</v>
      </c>
      <c r="D20" s="9" t="s">
        <v>822</v>
      </c>
      <c r="E20" s="9" t="s">
        <v>823</v>
      </c>
      <c r="F20" s="9" t="s">
        <v>765</v>
      </c>
    </row>
    <row r="21" customFormat="false" ht="15" hidden="false" customHeight="false" outlineLevel="0" collapsed="false">
      <c r="A21" s="9" t="s">
        <v>824</v>
      </c>
      <c r="B21" s="9" t="s">
        <v>825</v>
      </c>
      <c r="C21" s="9" t="s">
        <v>826</v>
      </c>
      <c r="D21" s="9" t="s">
        <v>827</v>
      </c>
      <c r="E21" s="9" t="s">
        <v>764</v>
      </c>
      <c r="F21" s="9" t="s">
        <v>765</v>
      </c>
    </row>
    <row r="22" customFormat="false" ht="15" hidden="false" customHeight="false" outlineLevel="0" collapsed="false">
      <c r="A22" s="12" t="s">
        <v>828</v>
      </c>
      <c r="B22" s="12" t="s">
        <v>829</v>
      </c>
      <c r="C22" s="12" t="s">
        <v>830</v>
      </c>
      <c r="D22" s="12" t="s">
        <v>831</v>
      </c>
      <c r="E22" s="12" t="s">
        <v>81</v>
      </c>
      <c r="F22" s="12" t="s">
        <v>765</v>
      </c>
    </row>
  </sheetData>
  <mergeCells count="2">
    <mergeCell ref="A2:F2"/>
    <mergeCell ref="A4:F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8"/>
    <col collapsed="false" customWidth="true" hidden="false" outlineLevel="0" max="7" min="6" style="0" width="20"/>
  </cols>
  <sheetData>
    <row r="2" customFormat="false" ht="24" hidden="false" customHeight="true" outlineLevel="0" collapsed="false">
      <c r="A2" s="1" t="s">
        <v>832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3" t="s">
        <v>833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</row>
    <row r="6" customFormat="false" ht="23" hidden="false" customHeight="true" outlineLevel="0" collapsed="false">
      <c r="A6" s="5" t="s">
        <v>486</v>
      </c>
      <c r="B6" s="6" t="s">
        <v>834</v>
      </c>
      <c r="C6" s="6" t="s">
        <v>835</v>
      </c>
      <c r="D6" s="6" t="s">
        <v>836</v>
      </c>
      <c r="E6" s="6" t="s">
        <v>837</v>
      </c>
      <c r="F6" s="6" t="s">
        <v>838</v>
      </c>
      <c r="G6" s="7" t="s">
        <v>839</v>
      </c>
    </row>
    <row r="7" customFormat="false" ht="15" hidden="false" customHeight="false" outlineLevel="0" collapsed="false">
      <c r="A7" s="8" t="s">
        <v>840</v>
      </c>
      <c r="B7" s="8" t="s">
        <v>841</v>
      </c>
      <c r="C7" s="53" t="n">
        <v>12</v>
      </c>
      <c r="D7" s="53" t="n">
        <v>13</v>
      </c>
      <c r="E7" s="53" t="n">
        <v>2</v>
      </c>
      <c r="F7" s="54" t="s">
        <v>842</v>
      </c>
      <c r="G7" s="54" t="s">
        <v>842</v>
      </c>
    </row>
    <row r="8" customFormat="false" ht="15" hidden="false" customHeight="false" outlineLevel="0" collapsed="false">
      <c r="A8" s="9" t="s">
        <v>843</v>
      </c>
      <c r="B8" s="9" t="s">
        <v>844</v>
      </c>
      <c r="C8" s="55" t="n">
        <v>3.58691281932057</v>
      </c>
      <c r="D8" s="55" t="n">
        <v>4</v>
      </c>
      <c r="E8" s="55" t="n">
        <v>2</v>
      </c>
      <c r="F8" s="56" t="s">
        <v>842</v>
      </c>
      <c r="G8" s="56" t="s">
        <v>842</v>
      </c>
    </row>
    <row r="9" customFormat="false" ht="15" hidden="false" customHeight="false" outlineLevel="0" collapsed="false">
      <c r="A9" s="9" t="s">
        <v>845</v>
      </c>
      <c r="B9" s="9" t="s">
        <v>846</v>
      </c>
      <c r="C9" s="55" t="n">
        <v>6</v>
      </c>
      <c r="D9" s="55" t="n">
        <v>5</v>
      </c>
      <c r="E9" s="55" t="n">
        <v>2</v>
      </c>
      <c r="F9" s="56" t="s">
        <v>842</v>
      </c>
      <c r="G9" s="56" t="s">
        <v>842</v>
      </c>
    </row>
    <row r="10" customFormat="false" ht="15" hidden="false" customHeight="false" outlineLevel="0" collapsed="false">
      <c r="A10" s="9" t="s">
        <v>847</v>
      </c>
      <c r="B10" s="9" t="s">
        <v>848</v>
      </c>
      <c r="C10" s="55" t="n">
        <v>3</v>
      </c>
      <c r="D10" s="55" t="n">
        <v>2</v>
      </c>
      <c r="E10" s="55" t="n">
        <v>2</v>
      </c>
      <c r="F10" s="56" t="s">
        <v>842</v>
      </c>
      <c r="G10" s="56" t="s">
        <v>842</v>
      </c>
    </row>
    <row r="11" customFormat="false" ht="15" hidden="false" customHeight="false" outlineLevel="0" collapsed="false">
      <c r="A11" s="9" t="s">
        <v>849</v>
      </c>
      <c r="B11" s="9" t="s">
        <v>850</v>
      </c>
      <c r="C11" s="55" t="n">
        <v>6</v>
      </c>
      <c r="D11" s="55" t="n">
        <v>5</v>
      </c>
      <c r="E11" s="55" t="n">
        <v>1</v>
      </c>
      <c r="F11" s="56" t="s">
        <v>842</v>
      </c>
      <c r="G11" s="56" t="s">
        <v>842</v>
      </c>
    </row>
    <row r="12" customFormat="false" ht="15" hidden="false" customHeight="false" outlineLevel="0" collapsed="false">
      <c r="A12" s="9" t="s">
        <v>851</v>
      </c>
      <c r="B12" s="9" t="s">
        <v>852</v>
      </c>
      <c r="C12" s="55" t="n">
        <v>18</v>
      </c>
      <c r="D12" s="55" t="n">
        <v>17</v>
      </c>
      <c r="E12" s="55" t="n">
        <v>1</v>
      </c>
      <c r="F12" s="56" t="s">
        <v>842</v>
      </c>
      <c r="G12" s="56" t="s">
        <v>842</v>
      </c>
    </row>
    <row r="13" customFormat="false" ht="15" hidden="false" customHeight="false" outlineLevel="0" collapsed="false">
      <c r="A13" s="9" t="s">
        <v>853</v>
      </c>
      <c r="B13" s="9" t="s">
        <v>854</v>
      </c>
      <c r="C13" s="55" t="n">
        <v>36</v>
      </c>
      <c r="D13" s="55" t="n">
        <v>35</v>
      </c>
      <c r="E13" s="55" t="n">
        <v>1</v>
      </c>
      <c r="F13" s="56" t="s">
        <v>842</v>
      </c>
      <c r="G13" s="56" t="s">
        <v>842</v>
      </c>
    </row>
    <row r="14" customFormat="false" ht="15" hidden="false" customHeight="false" outlineLevel="0" collapsed="false">
      <c r="A14" s="9" t="s">
        <v>855</v>
      </c>
      <c r="B14" s="9" t="s">
        <v>856</v>
      </c>
      <c r="C14" s="55" t="n">
        <v>18</v>
      </c>
      <c r="D14" s="55" t="n">
        <v>17</v>
      </c>
      <c r="E14" s="55" t="n">
        <v>1</v>
      </c>
      <c r="F14" s="56" t="s">
        <v>842</v>
      </c>
      <c r="G14" s="56" t="s">
        <v>842</v>
      </c>
    </row>
    <row r="15" customFormat="false" ht="15" hidden="false" customHeight="false" outlineLevel="0" collapsed="false">
      <c r="A15" s="9" t="s">
        <v>857</v>
      </c>
      <c r="B15" s="9" t="s">
        <v>858</v>
      </c>
      <c r="C15" s="55" t="n">
        <v>18</v>
      </c>
      <c r="D15" s="55" t="n">
        <v>17</v>
      </c>
      <c r="E15" s="55" t="n">
        <v>1</v>
      </c>
      <c r="F15" s="56" t="s">
        <v>842</v>
      </c>
      <c r="G15" s="56" t="s">
        <v>842</v>
      </c>
    </row>
    <row r="16" customFormat="false" ht="15" hidden="false" customHeight="false" outlineLevel="0" collapsed="false">
      <c r="A16" s="9" t="s">
        <v>859</v>
      </c>
      <c r="B16" s="9" t="s">
        <v>860</v>
      </c>
      <c r="C16" s="55" t="n">
        <v>6</v>
      </c>
      <c r="D16" s="55" t="n">
        <v>5</v>
      </c>
      <c r="E16" s="55" t="n">
        <v>1</v>
      </c>
      <c r="F16" s="56" t="s">
        <v>842</v>
      </c>
      <c r="G16" s="56" t="s">
        <v>842</v>
      </c>
    </row>
    <row r="17" customFormat="false" ht="15" hidden="false" customHeight="false" outlineLevel="0" collapsed="false">
      <c r="A17" s="9" t="s">
        <v>861</v>
      </c>
      <c r="B17" s="9" t="s">
        <v>862</v>
      </c>
      <c r="C17" s="55" t="n">
        <v>48</v>
      </c>
      <c r="D17" s="55" t="n">
        <v>47</v>
      </c>
      <c r="E17" s="55" t="n">
        <v>1</v>
      </c>
      <c r="F17" s="56" t="s">
        <v>842</v>
      </c>
      <c r="G17" s="56" t="s">
        <v>842</v>
      </c>
    </row>
    <row r="18" customFormat="false" ht="15" hidden="false" customHeight="false" outlineLevel="0" collapsed="false">
      <c r="A18" s="9" t="s">
        <v>863</v>
      </c>
      <c r="B18" s="9" t="s">
        <v>864</v>
      </c>
      <c r="C18" s="55" t="n">
        <v>5</v>
      </c>
      <c r="D18" s="55" t="n">
        <v>4</v>
      </c>
      <c r="E18" s="55" t="n">
        <v>2</v>
      </c>
      <c r="F18" s="56" t="s">
        <v>842</v>
      </c>
      <c r="G18" s="56" t="s">
        <v>842</v>
      </c>
    </row>
    <row r="19" customFormat="false" ht="15" hidden="false" customHeight="false" outlineLevel="0" collapsed="false">
      <c r="A19" s="9" t="s">
        <v>865</v>
      </c>
      <c r="B19" s="9" t="s">
        <v>866</v>
      </c>
      <c r="C19" s="55" t="n">
        <v>7</v>
      </c>
      <c r="D19" s="55" t="n">
        <v>6</v>
      </c>
      <c r="E19" s="55" t="n">
        <v>2</v>
      </c>
      <c r="F19" s="56" t="s">
        <v>842</v>
      </c>
      <c r="G19" s="56" t="s">
        <v>842</v>
      </c>
    </row>
    <row r="20" customFormat="false" ht="15" hidden="false" customHeight="false" outlineLevel="0" collapsed="false">
      <c r="A20" s="9" t="s">
        <v>867</v>
      </c>
      <c r="B20" s="9" t="s">
        <v>868</v>
      </c>
      <c r="C20" s="55" t="n">
        <v>0</v>
      </c>
      <c r="D20" s="55" t="n">
        <v>1</v>
      </c>
      <c r="E20" s="55" t="n">
        <v>1</v>
      </c>
      <c r="F20" s="56" t="s">
        <v>842</v>
      </c>
      <c r="G20" s="56" t="s">
        <v>842</v>
      </c>
    </row>
    <row r="21" customFormat="false" ht="15" hidden="false" customHeight="false" outlineLevel="0" collapsed="false">
      <c r="A21" s="9" t="s">
        <v>869</v>
      </c>
      <c r="B21" s="9" t="s">
        <v>870</v>
      </c>
      <c r="C21" s="55" t="n">
        <v>0</v>
      </c>
      <c r="D21" s="55" t="n">
        <v>1</v>
      </c>
      <c r="E21" s="55" t="n">
        <v>1</v>
      </c>
      <c r="F21" s="56" t="s">
        <v>842</v>
      </c>
      <c r="G21" s="56" t="s">
        <v>842</v>
      </c>
    </row>
    <row r="22" customFormat="false" ht="15" hidden="false" customHeight="false" outlineLevel="0" collapsed="false">
      <c r="A22" s="9" t="s">
        <v>871</v>
      </c>
      <c r="B22" s="9" t="s">
        <v>872</v>
      </c>
      <c r="C22" s="55" t="n">
        <v>0</v>
      </c>
      <c r="D22" s="55" t="n">
        <v>1</v>
      </c>
      <c r="E22" s="55" t="n">
        <v>1</v>
      </c>
      <c r="F22" s="56" t="s">
        <v>842</v>
      </c>
      <c r="G22" s="56" t="s">
        <v>842</v>
      </c>
    </row>
    <row r="23" customFormat="false" ht="15" hidden="false" customHeight="false" outlineLevel="0" collapsed="false">
      <c r="A23" s="9" t="s">
        <v>873</v>
      </c>
      <c r="B23" s="9" t="s">
        <v>874</v>
      </c>
      <c r="C23" s="55" t="n">
        <v>0</v>
      </c>
      <c r="D23" s="55" t="n">
        <v>1</v>
      </c>
      <c r="E23" s="55" t="n">
        <v>2</v>
      </c>
      <c r="F23" s="56" t="s">
        <v>842</v>
      </c>
      <c r="G23" s="56" t="s">
        <v>842</v>
      </c>
    </row>
    <row r="24" customFormat="false" ht="15" hidden="false" customHeight="false" outlineLevel="0" collapsed="false">
      <c r="A24" s="12" t="s">
        <v>875</v>
      </c>
      <c r="B24" s="12" t="s">
        <v>876</v>
      </c>
      <c r="C24" s="57" t="n">
        <v>0</v>
      </c>
      <c r="D24" s="57" t="n">
        <v>1</v>
      </c>
      <c r="E24" s="57" t="n">
        <v>1</v>
      </c>
      <c r="F24" s="58" t="s">
        <v>842</v>
      </c>
      <c r="G24" s="58" t="s">
        <v>842</v>
      </c>
    </row>
  </sheetData>
  <mergeCells count="2">
    <mergeCell ref="A2:G2"/>
    <mergeCell ref="A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3"/>
    <col collapsed="false" customWidth="true" hidden="false" outlineLevel="0" max="3" min="2" style="0" width="24"/>
    <col collapsed="false" customWidth="true" hidden="false" outlineLevel="0" max="4" min="4" style="0" width="20"/>
    <col collapsed="false" customWidth="true" hidden="false" outlineLevel="0" max="5" min="5" style="0" width="14"/>
  </cols>
  <sheetData>
    <row r="2" customFormat="false" ht="24" hidden="false" customHeight="true" outlineLevel="0" collapsed="false">
      <c r="A2" s="1" t="s">
        <v>877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878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879</v>
      </c>
      <c r="B6" s="6" t="s">
        <v>95</v>
      </c>
      <c r="C6" s="6" t="s">
        <v>880</v>
      </c>
      <c r="D6" s="6" t="s">
        <v>881</v>
      </c>
      <c r="E6" s="7" t="s">
        <v>5</v>
      </c>
    </row>
    <row r="7" customFormat="false" ht="15" hidden="false" customHeight="false" outlineLevel="0" collapsed="false">
      <c r="A7" s="8" t="s">
        <v>54</v>
      </c>
      <c r="B7" s="59" t="n">
        <f aca="false">Controls!B7</f>
        <v>12</v>
      </c>
      <c r="C7" s="53" t="n">
        <v>12</v>
      </c>
      <c r="D7" s="59" t="n">
        <f aca="false">B7-C7</f>
        <v>0</v>
      </c>
      <c r="E7" s="18" t="str">
        <f aca="false">IF(ABS(D7)&lt;0.000001,"PASS","FAIL")</f>
        <v>PASS</v>
      </c>
    </row>
    <row r="8" customFormat="false" ht="15" hidden="false" customHeight="false" outlineLevel="0" collapsed="false">
      <c r="A8" s="9" t="s">
        <v>61</v>
      </c>
      <c r="B8" s="60" t="n">
        <f aca="false">Controls!B8</f>
        <v>3.58691281932057</v>
      </c>
      <c r="C8" s="55" t="n">
        <v>3.58691281932057</v>
      </c>
      <c r="D8" s="60" t="n">
        <f aca="false">B8-C8</f>
        <v>0</v>
      </c>
      <c r="E8" s="19" t="str">
        <f aca="false">IF(ABS(D8)&lt;0.000001,"PASS","FAIL")</f>
        <v>PASS</v>
      </c>
    </row>
    <row r="9" customFormat="false" ht="15" hidden="false" customHeight="false" outlineLevel="0" collapsed="false">
      <c r="A9" s="9" t="s">
        <v>102</v>
      </c>
      <c r="B9" s="60" t="n">
        <f aca="false">Controls!B7+Controls!B8</f>
        <v>15.5869128193206</v>
      </c>
      <c r="C9" s="55" t="n">
        <v>15.5869128193206</v>
      </c>
      <c r="D9" s="60" t="n">
        <f aca="false">B9-C9</f>
        <v>0</v>
      </c>
      <c r="E9" s="19" t="str">
        <f aca="false">IF(ABS(D9)&lt;0.000001,"PASS","FAIL")</f>
        <v>PASS</v>
      </c>
    </row>
    <row r="10" customFormat="false" ht="15" hidden="false" customHeight="false" outlineLevel="0" collapsed="false">
      <c r="A10" s="9" t="s">
        <v>882</v>
      </c>
      <c r="B10" s="60" t="n">
        <f aca="false">Controls!B9</f>
        <v>6</v>
      </c>
      <c r="C10" s="55" t="n">
        <v>6</v>
      </c>
      <c r="D10" s="60" t="n">
        <f aca="false">B10-C10</f>
        <v>0</v>
      </c>
      <c r="E10" s="19" t="str">
        <f aca="false">IF(ABS(D10)&lt;0.000001,"PASS","FAIL")</f>
        <v>PASS</v>
      </c>
    </row>
    <row r="11" customFormat="false" ht="15" hidden="false" customHeight="false" outlineLevel="0" collapsed="false">
      <c r="A11" s="9" t="s">
        <v>119</v>
      </c>
      <c r="B11" s="60" t="n">
        <f aca="false">Controls!B10</f>
        <v>3</v>
      </c>
      <c r="C11" s="55" t="n">
        <v>3</v>
      </c>
      <c r="D11" s="60" t="n">
        <f aca="false">B11-C11</f>
        <v>0</v>
      </c>
      <c r="E11" s="19" t="str">
        <f aca="false">IF(ABS(D11)&lt;0.000001,"PASS","FAIL")</f>
        <v>PASS</v>
      </c>
    </row>
    <row r="12" customFormat="false" ht="15" hidden="false" customHeight="false" outlineLevel="0" collapsed="false">
      <c r="A12" s="9" t="s">
        <v>883</v>
      </c>
      <c r="B12" s="60" t="n">
        <f aca="false">Controls!B9*Controls!B10</f>
        <v>18</v>
      </c>
      <c r="C12" s="55" t="n">
        <v>18</v>
      </c>
      <c r="D12" s="60" t="n">
        <f aca="false">B12-C12</f>
        <v>0</v>
      </c>
      <c r="E12" s="19" t="str">
        <f aca="false">IF(ABS(D12)&lt;0.000001,"PASS","FAIL")</f>
        <v>PASS</v>
      </c>
    </row>
    <row r="13" customFormat="false" ht="15" hidden="false" customHeight="false" outlineLevel="0" collapsed="false">
      <c r="A13" s="9" t="s">
        <v>884</v>
      </c>
      <c r="B13" s="60" t="n">
        <f aca="false">Controls!B11</f>
        <v>6</v>
      </c>
      <c r="C13" s="55" t="n">
        <v>6</v>
      </c>
      <c r="D13" s="60" t="n">
        <f aca="false">B13-C13</f>
        <v>0</v>
      </c>
      <c r="E13" s="19" t="str">
        <f aca="false">IF(ABS(D13)&lt;0.000001,"PASS","FAIL")</f>
        <v>PASS</v>
      </c>
    </row>
    <row r="14" customFormat="false" ht="15" hidden="false" customHeight="false" outlineLevel="0" collapsed="false">
      <c r="A14" s="9" t="s">
        <v>885</v>
      </c>
      <c r="B14" s="60" t="n">
        <f aca="false">Controls!B12</f>
        <v>18</v>
      </c>
      <c r="C14" s="55" t="n">
        <v>18</v>
      </c>
      <c r="D14" s="60" t="n">
        <f aca="false">B14-C14</f>
        <v>0</v>
      </c>
      <c r="E14" s="19" t="str">
        <f aca="false">IF(ABS(D14)&lt;0.000001,"PASS","FAIL")</f>
        <v>PASS</v>
      </c>
    </row>
    <row r="15" customFormat="false" ht="15" hidden="false" customHeight="false" outlineLevel="0" collapsed="false">
      <c r="A15" s="9" t="s">
        <v>886</v>
      </c>
      <c r="B15" s="60" t="n">
        <f aca="false">Controls!B13</f>
        <v>36</v>
      </c>
      <c r="C15" s="55" t="n">
        <v>36</v>
      </c>
      <c r="D15" s="60" t="n">
        <f aca="false">B15-C15</f>
        <v>0</v>
      </c>
      <c r="E15" s="19" t="str">
        <f aca="false">IF(ABS(D15)&lt;0.000001,"PASS","FAIL")</f>
        <v>PASS</v>
      </c>
    </row>
    <row r="16" customFormat="false" ht="15" hidden="false" customHeight="false" outlineLevel="0" collapsed="false">
      <c r="A16" s="9" t="s">
        <v>887</v>
      </c>
      <c r="B16" s="60" t="n">
        <f aca="false">Controls!B14</f>
        <v>18</v>
      </c>
      <c r="C16" s="55" t="n">
        <v>18</v>
      </c>
      <c r="D16" s="60" t="n">
        <f aca="false">B16-C16</f>
        <v>0</v>
      </c>
      <c r="E16" s="19" t="str">
        <f aca="false">IF(ABS(D16)&lt;0.000001,"PASS","FAIL")</f>
        <v>PASS</v>
      </c>
    </row>
    <row r="17" customFormat="false" ht="15" hidden="false" customHeight="false" outlineLevel="0" collapsed="false">
      <c r="A17" s="9" t="s">
        <v>888</v>
      </c>
      <c r="B17" s="60" t="n">
        <f aca="false">Controls!B15</f>
        <v>18</v>
      </c>
      <c r="C17" s="55" t="n">
        <v>18</v>
      </c>
      <c r="D17" s="60" t="n">
        <f aca="false">B17-C17</f>
        <v>0</v>
      </c>
      <c r="E17" s="19" t="str">
        <f aca="false">IF(ABS(D17)&lt;0.000001,"PASS","FAIL")</f>
        <v>PASS</v>
      </c>
    </row>
    <row r="18" customFormat="false" ht="15" hidden="false" customHeight="false" outlineLevel="0" collapsed="false">
      <c r="A18" s="9" t="s">
        <v>33</v>
      </c>
      <c r="B18" s="60" t="n">
        <f aca="false">Controls!B16</f>
        <v>6</v>
      </c>
      <c r="C18" s="55" t="n">
        <v>6</v>
      </c>
      <c r="D18" s="60" t="n">
        <f aca="false">B18-C18</f>
        <v>0</v>
      </c>
      <c r="E18" s="19" t="str">
        <f aca="false">IF(ABS(D18)&lt;0.000001,"PASS","FAIL")</f>
        <v>PASS</v>
      </c>
    </row>
    <row r="19" customFormat="false" ht="15" hidden="false" customHeight="false" outlineLevel="0" collapsed="false">
      <c r="A19" s="9" t="s">
        <v>889</v>
      </c>
      <c r="B19" s="60" t="n">
        <f aca="false">'Lot Classes'!D13</f>
        <v>102</v>
      </c>
      <c r="C19" s="55" t="n">
        <v>102</v>
      </c>
      <c r="D19" s="60" t="n">
        <f aca="false">B19-C19</f>
        <v>0</v>
      </c>
      <c r="E19" s="19" t="str">
        <f aca="false">IF(ABS(D19)&lt;0.000001,"PASS","FAIL")</f>
        <v>PASS</v>
      </c>
    </row>
    <row r="20" customFormat="false" ht="15" hidden="false" customHeight="false" outlineLevel="0" collapsed="false">
      <c r="A20" s="9" t="s">
        <v>890</v>
      </c>
      <c r="B20" s="60" t="n">
        <f aca="false">COUNTA('Lot Register'!A7:A108)</f>
        <v>102</v>
      </c>
      <c r="C20" s="55" t="n">
        <v>102</v>
      </c>
      <c r="D20" s="60" t="n">
        <f aca="false">B20-C20</f>
        <v>0</v>
      </c>
      <c r="E20" s="19" t="str">
        <f aca="false">IF(ABS(D20)&lt;0.000001,"PASS","FAIL")</f>
        <v>PASS</v>
      </c>
    </row>
    <row r="21" customFormat="false" ht="15" hidden="false" customHeight="false" outlineLevel="0" collapsed="false">
      <c r="A21" s="9" t="s">
        <v>891</v>
      </c>
      <c r="B21" s="60" t="n">
        <f aca="false">COUNTIF('Lot Register'!C7:C108,"Public")</f>
        <v>96</v>
      </c>
      <c r="C21" s="55" t="n">
        <v>96</v>
      </c>
      <c r="D21" s="60" t="n">
        <f aca="false">B21-C21</f>
        <v>0</v>
      </c>
      <c r="E21" s="19" t="str">
        <f aca="false">IF(ABS(D21)&lt;0.000001,"PASS","FAIL")</f>
        <v>PASS</v>
      </c>
    </row>
    <row r="22" customFormat="false" ht="15" hidden="false" customHeight="false" outlineLevel="0" collapsed="false">
      <c r="A22" s="9" t="s">
        <v>892</v>
      </c>
      <c r="B22" s="60" t="n">
        <f aca="false">COUNTIF('Lot Register'!C7:C108,"Private option")</f>
        <v>6</v>
      </c>
      <c r="C22" s="55" t="n">
        <v>6</v>
      </c>
      <c r="D22" s="60" t="n">
        <f aca="false">B22-C22</f>
        <v>0</v>
      </c>
      <c r="E22" s="19" t="str">
        <f aca="false">IF(ABS(D22)&lt;0.000001,"PASS","FAIL")</f>
        <v>PASS</v>
      </c>
    </row>
    <row r="23" customFormat="false" ht="15" hidden="false" customHeight="false" outlineLevel="0" collapsed="false">
      <c r="A23" s="9" t="s">
        <v>101</v>
      </c>
      <c r="B23" s="60" t="n">
        <f aca="false">SUM('Lot Classes'!E7:E11)</f>
        <v>12</v>
      </c>
      <c r="C23" s="55" t="n">
        <v>12</v>
      </c>
      <c r="D23" s="60" t="n">
        <f aca="false">B23-C23</f>
        <v>0</v>
      </c>
      <c r="E23" s="19" t="str">
        <f aca="false">IF(ABS(D23)&lt;0.000001,"PASS","FAIL")</f>
        <v>PASS</v>
      </c>
    </row>
    <row r="24" customFormat="false" ht="15" hidden="false" customHeight="false" outlineLevel="0" collapsed="false">
      <c r="A24" s="9" t="s">
        <v>893</v>
      </c>
      <c r="B24" s="60" t="n">
        <f aca="false">'Lot Classes'!E12</f>
        <v>3.58691281932057</v>
      </c>
      <c r="C24" s="55" t="n">
        <v>3.58691281932057</v>
      </c>
      <c r="D24" s="60" t="n">
        <f aca="false">B24-C24</f>
        <v>0</v>
      </c>
      <c r="E24" s="19" t="str">
        <f aca="false">IF(ABS(D24)&lt;0.000001,"PASS","FAIL")</f>
        <v>PASS</v>
      </c>
    </row>
    <row r="25" customFormat="false" ht="15" hidden="false" customHeight="false" outlineLevel="0" collapsed="false">
      <c r="A25" s="9" t="s">
        <v>894</v>
      </c>
      <c r="B25" s="60" t="n">
        <f aca="false">'Lot Classes'!E13</f>
        <v>15.5869128193206</v>
      </c>
      <c r="C25" s="55" t="n">
        <v>15.5869128193206</v>
      </c>
      <c r="D25" s="60" t="n">
        <f aca="false">B25-C25</f>
        <v>0</v>
      </c>
      <c r="E25" s="19" t="str">
        <f aca="false">IF(ABS(D25)&lt;0.000001,"PASS","FAIL")</f>
        <v>PASS</v>
      </c>
    </row>
    <row r="26" customFormat="false" ht="15" hidden="false" customHeight="false" outlineLevel="0" collapsed="false">
      <c r="A26" s="9" t="s">
        <v>895</v>
      </c>
      <c r="B26" s="60" t="n">
        <f aca="false">SUM('Lot Register'!K7:K108)</f>
        <v>15.5869128193206</v>
      </c>
      <c r="C26" s="55" t="n">
        <v>15.5869128193206</v>
      </c>
      <c r="D26" s="60" t="n">
        <f aca="false">B26-C26</f>
        <v>-1.24344978758018E-014</v>
      </c>
      <c r="E26" s="19" t="str">
        <f aca="false">IF(ABS(D26)&lt;0.000001,"PASS","FAIL")</f>
        <v>PASS</v>
      </c>
    </row>
    <row r="27" customFormat="false" ht="15" hidden="false" customHeight="false" outlineLevel="0" collapsed="false">
      <c r="A27" s="9" t="s">
        <v>896</v>
      </c>
      <c r="B27" s="60" t="n">
        <f aca="false">COUNTIF(Alternatives!P7:P11,"SELECT")</f>
        <v>1</v>
      </c>
      <c r="C27" s="55" t="n">
        <v>1</v>
      </c>
      <c r="D27" s="60" t="n">
        <f aca="false">B27-C27</f>
        <v>0</v>
      </c>
      <c r="E27" s="19" t="str">
        <f aca="false">IF(ABS(D27)&lt;0.000001,"PASS","FAIL")</f>
        <v>PASS</v>
      </c>
    </row>
    <row r="28" customFormat="false" ht="15" hidden="false" customHeight="false" outlineLevel="0" collapsed="false">
      <c r="A28" s="9" t="s">
        <v>897</v>
      </c>
      <c r="B28" s="60" t="n">
        <f aca="false">Alternatives!N7</f>
        <v>12</v>
      </c>
      <c r="C28" s="55" t="n">
        <v>12</v>
      </c>
      <c r="D28" s="60" t="n">
        <f aca="false">B28-C28</f>
        <v>0</v>
      </c>
      <c r="E28" s="19" t="str">
        <f aca="false">IF(ABS(D28)&lt;0.000001,"PASS","FAIL")</f>
        <v>PASS</v>
      </c>
    </row>
    <row r="29" customFormat="false" ht="15" hidden="false" customHeight="false" outlineLevel="0" collapsed="false">
      <c r="A29" s="9" t="s">
        <v>898</v>
      </c>
      <c r="B29" s="60" t="n">
        <f aca="false">COUNTIF(Alternatives!P7:P11,"REJECT")</f>
        <v>4</v>
      </c>
      <c r="C29" s="55" t="n">
        <v>4</v>
      </c>
      <c r="D29" s="60" t="n">
        <f aca="false">B29-C29</f>
        <v>0</v>
      </c>
      <c r="E29" s="19" t="str">
        <f aca="false">IF(ABS(D29)&lt;0.000001,"PASS","FAIL")</f>
        <v>PASS</v>
      </c>
    </row>
    <row r="30" customFormat="false" ht="15" hidden="false" customHeight="false" outlineLevel="0" collapsed="false">
      <c r="A30" s="9" t="s">
        <v>899</v>
      </c>
      <c r="B30" s="60" t="n">
        <f aca="false">COUNTA('Substrate Rotation'!A7:A12)</f>
        <v>6</v>
      </c>
      <c r="C30" s="55" t="n">
        <v>6</v>
      </c>
      <c r="D30" s="60" t="n">
        <f aca="false">B30-C30</f>
        <v>0</v>
      </c>
      <c r="E30" s="19" t="str">
        <f aca="false">IF(ABS(D30)&lt;0.000001,"PASS","FAIL")</f>
        <v>PASS</v>
      </c>
    </row>
    <row r="31" customFormat="false" ht="15" hidden="false" customHeight="false" outlineLevel="0" collapsed="false">
      <c r="A31" s="9" t="s">
        <v>900</v>
      </c>
      <c r="B31" s="60" t="n">
        <f aca="false">SUM('Substrate Rotation'!F7:F12)</f>
        <v>18</v>
      </c>
      <c r="C31" s="55" t="n">
        <v>18</v>
      </c>
      <c r="D31" s="60" t="n">
        <f aca="false">B31-C31</f>
        <v>0</v>
      </c>
      <c r="E31" s="19" t="str">
        <f aca="false">IF(ABS(D31)&lt;0.000001,"PASS","FAIL")</f>
        <v>PASS</v>
      </c>
    </row>
    <row r="32" customFormat="false" ht="15" hidden="false" customHeight="false" outlineLevel="0" collapsed="false">
      <c r="A32" s="9" t="s">
        <v>901</v>
      </c>
      <c r="B32" s="60" t="n">
        <f aca="false">SUM('Substrate Rotation'!G7:G12)</f>
        <v>18</v>
      </c>
      <c r="C32" s="55" t="n">
        <v>18</v>
      </c>
      <c r="D32" s="60" t="n">
        <f aca="false">B32-C32</f>
        <v>0</v>
      </c>
      <c r="E32" s="19" t="str">
        <f aca="false">IF(ABS(D32)&lt;0.000001,"PASS","FAIL")</f>
        <v>PASS</v>
      </c>
    </row>
    <row r="33" customFormat="false" ht="15" hidden="false" customHeight="false" outlineLevel="0" collapsed="false">
      <c r="A33" s="9" t="s">
        <v>902</v>
      </c>
      <c r="B33" s="60" t="n">
        <f aca="false">SUM('Substrate Rotation'!H7:H12)</f>
        <v>18</v>
      </c>
      <c r="C33" s="55" t="n">
        <v>18</v>
      </c>
      <c r="D33" s="60" t="n">
        <f aca="false">B33-C33</f>
        <v>0</v>
      </c>
      <c r="E33" s="19" t="str">
        <f aca="false">IF(ABS(D33)&lt;0.000001,"PASS","FAIL")</f>
        <v>PASS</v>
      </c>
    </row>
    <row r="34" customFormat="false" ht="15" hidden="false" customHeight="false" outlineLevel="0" collapsed="false">
      <c r="A34" s="9" t="s">
        <v>903</v>
      </c>
      <c r="B34" s="60" t="n">
        <f aca="false">COUNTA('Station Crosswalk'!A7:A24)</f>
        <v>18</v>
      </c>
      <c r="C34" s="55" t="n">
        <v>18</v>
      </c>
      <c r="D34" s="60" t="n">
        <f aca="false">B34-C34</f>
        <v>0</v>
      </c>
      <c r="E34" s="19" t="str">
        <f aca="false">IF(ABS(D34)&lt;0.000001,"PASS","FAIL")</f>
        <v>PASS</v>
      </c>
    </row>
    <row r="35" customFormat="false" ht="15" hidden="false" customHeight="false" outlineLevel="0" collapsed="false">
      <c r="A35" s="9" t="s">
        <v>904</v>
      </c>
      <c r="B35" s="60" t="n">
        <f aca="false">COUNTA('Method Lots'!A7:A42)</f>
        <v>36</v>
      </c>
      <c r="C35" s="55" t="n">
        <v>36</v>
      </c>
      <c r="D35" s="60" t="n">
        <f aca="false">B35-C35</f>
        <v>0</v>
      </c>
      <c r="E35" s="19" t="str">
        <f aca="false">IF(ABS(D35)&lt;0.000001,"PASS","FAIL")</f>
        <v>PASS</v>
      </c>
    </row>
    <row r="36" customFormat="false" ht="15" hidden="false" customHeight="false" outlineLevel="0" collapsed="false">
      <c r="A36" s="9" t="s">
        <v>905</v>
      </c>
      <c r="B36" s="60" t="n">
        <f aca="false">SUM('Method Lots'!G7:G42)</f>
        <v>144</v>
      </c>
      <c r="C36" s="55" t="n">
        <v>144</v>
      </c>
      <c r="D36" s="60" t="n">
        <f aca="false">B36-C36</f>
        <v>0</v>
      </c>
      <c r="E36" s="19" t="str">
        <f aca="false">IF(ABS(D36)&lt;0.000001,"PASS","FAIL")</f>
        <v>PASS</v>
      </c>
    </row>
    <row r="37" customFormat="false" ht="15" hidden="false" customHeight="false" outlineLevel="0" collapsed="false">
      <c r="A37" s="9" t="s">
        <v>906</v>
      </c>
      <c r="B37" s="60" t="n">
        <f aca="false">Controls!B17</f>
        <v>48</v>
      </c>
      <c r="C37" s="55" t="n">
        <v>48</v>
      </c>
      <c r="D37" s="60" t="n">
        <f aca="false">B37-C37</f>
        <v>0</v>
      </c>
      <c r="E37" s="19" t="str">
        <f aca="false">IF(ABS(D37)&lt;0.000001,"PASS","FAIL")</f>
        <v>PASS</v>
      </c>
    </row>
    <row r="38" customFormat="false" ht="15" hidden="false" customHeight="false" outlineLevel="0" collapsed="false">
      <c r="A38" s="9" t="s">
        <v>907</v>
      </c>
      <c r="B38" s="60" t="n">
        <f aca="false">COUNTA('Control Groups'!A7:A54)</f>
        <v>48</v>
      </c>
      <c r="C38" s="55" t="n">
        <v>48</v>
      </c>
      <c r="D38" s="60" t="n">
        <f aca="false">B38-C38</f>
        <v>0</v>
      </c>
      <c r="E38" s="19" t="str">
        <f aca="false">IF(ABS(D38)&lt;0.000001,"PASS","FAIL")</f>
        <v>PASS</v>
      </c>
    </row>
    <row r="39" customFormat="false" ht="15" hidden="false" customHeight="false" outlineLevel="0" collapsed="false">
      <c r="A39" s="9" t="s">
        <v>908</v>
      </c>
      <c r="B39" s="60" t="n">
        <f aca="false">COUNTIF('Control Groups'!B7:B54,"Candidate")</f>
        <v>6</v>
      </c>
      <c r="C39" s="55" t="n">
        <v>6</v>
      </c>
      <c r="D39" s="60" t="n">
        <f aca="false">B39-C39</f>
        <v>0</v>
      </c>
      <c r="E39" s="19" t="str">
        <f aca="false">IF(ABS(D39)&lt;0.000001,"PASS","FAIL")</f>
        <v>PASS</v>
      </c>
    </row>
    <row r="40" customFormat="false" ht="15" hidden="false" customHeight="false" outlineLevel="0" collapsed="false">
      <c r="A40" s="9" t="s">
        <v>909</v>
      </c>
      <c r="B40" s="60" t="n">
        <f aca="false">COUNTIF('Control Groups'!B7:B54,"Public decisive")</f>
        <v>36</v>
      </c>
      <c r="C40" s="55" t="n">
        <v>36</v>
      </c>
      <c r="D40" s="60" t="n">
        <f aca="false">B40-C40</f>
        <v>0</v>
      </c>
      <c r="E40" s="19" t="str">
        <f aca="false">IF(ABS(D40)&lt;0.000001,"PASS","FAIL")</f>
        <v>PASS</v>
      </c>
    </row>
    <row r="41" customFormat="false" ht="15" hidden="false" customHeight="false" outlineLevel="0" collapsed="false">
      <c r="A41" s="9" t="s">
        <v>910</v>
      </c>
      <c r="B41" s="60" t="n">
        <f aca="false">COUNTIF('Control Groups'!B7:B54,"Public boundary")</f>
        <v>6</v>
      </c>
      <c r="C41" s="55" t="n">
        <v>6</v>
      </c>
      <c r="D41" s="60" t="n">
        <f aca="false">B41-C41</f>
        <v>0</v>
      </c>
      <c r="E41" s="19" t="str">
        <f aca="false">IF(ABS(D41)&lt;0.000001,"PASS","FAIL")</f>
        <v>PASS</v>
      </c>
    </row>
    <row r="42" customFormat="false" ht="15" hidden="false" customHeight="false" outlineLevel="0" collapsed="false">
      <c r="A42" s="9" t="s">
        <v>911</v>
      </c>
      <c r="B42" s="60" t="n">
        <f aca="false">SUM('Control Groups'!E7:E54)</f>
        <v>102</v>
      </c>
      <c r="C42" s="55" t="n">
        <v>102</v>
      </c>
      <c r="D42" s="60" t="n">
        <f aca="false">B42-C42</f>
        <v>0</v>
      </c>
      <c r="E42" s="19" t="str">
        <f aca="false">IF(ABS(D42)&lt;0.000001,"PASS","FAIL")</f>
        <v>PASS</v>
      </c>
    </row>
    <row r="43" customFormat="false" ht="15" hidden="false" customHeight="false" outlineLevel="0" collapsed="false">
      <c r="A43" s="9" t="s">
        <v>912</v>
      </c>
      <c r="B43" s="60" t="n">
        <f aca="false">COUNTIF('Control Groups'!G7:G54,"FAIL")</f>
        <v>0</v>
      </c>
      <c r="C43" s="55" t="n">
        <v>0</v>
      </c>
      <c r="D43" s="60" t="n">
        <f aca="false">B43-C43</f>
        <v>0</v>
      </c>
      <c r="E43" s="19" t="str">
        <f aca="false">IF(ABS(D43)&lt;0.000001,"PASS","FAIL")</f>
        <v>PASS</v>
      </c>
    </row>
    <row r="44" customFormat="false" ht="15" hidden="false" customHeight="false" outlineLevel="0" collapsed="false">
      <c r="A44" s="9" t="s">
        <v>913</v>
      </c>
      <c r="B44" s="60" t="n">
        <f aca="false">COUNTA('Collision Rules'!A7:A18)</f>
        <v>12</v>
      </c>
      <c r="C44" s="55" t="n">
        <v>12</v>
      </c>
      <c r="D44" s="60" t="n">
        <f aca="false">B44-C44</f>
        <v>0</v>
      </c>
      <c r="E44" s="19" t="str">
        <f aca="false">IF(ABS(D44)&lt;0.000001,"PASS","FAIL")</f>
        <v>PASS</v>
      </c>
    </row>
    <row r="45" customFormat="false" ht="15" hidden="false" customHeight="false" outlineLevel="0" collapsed="false">
      <c r="A45" s="9" t="s">
        <v>914</v>
      </c>
      <c r="B45" s="60" t="n">
        <f aca="false">COUNTIF('Collision Rules'!G7:G18,"FROZEN")</f>
        <v>12</v>
      </c>
      <c r="C45" s="55" t="n">
        <v>12</v>
      </c>
      <c r="D45" s="60" t="n">
        <f aca="false">B45-C45</f>
        <v>0</v>
      </c>
      <c r="E45" s="19" t="str">
        <f aca="false">IF(ABS(D45)&lt;0.000001,"PASS","FAIL")</f>
        <v>PASS</v>
      </c>
    </row>
    <row r="46" customFormat="false" ht="15" hidden="false" customHeight="false" outlineLevel="0" collapsed="false">
      <c r="A46" s="9" t="s">
        <v>134</v>
      </c>
      <c r="B46" s="60" t="n">
        <f aca="false">Controls!B18</f>
        <v>5</v>
      </c>
      <c r="C46" s="55" t="n">
        <v>5</v>
      </c>
      <c r="D46" s="60" t="n">
        <f aca="false">B46-C46</f>
        <v>0</v>
      </c>
      <c r="E46" s="19" t="str">
        <f aca="false">IF(ABS(D46)&lt;0.000001,"PASS","FAIL")</f>
        <v>PASS</v>
      </c>
    </row>
    <row r="47" customFormat="false" ht="15" hidden="false" customHeight="false" outlineLevel="0" collapsed="false">
      <c r="A47" s="9" t="s">
        <v>915</v>
      </c>
      <c r="B47" s="60" t="n">
        <f aca="false">COUNTA('Lot Register'!A7:A108)*Controls!B18</f>
        <v>510</v>
      </c>
      <c r="C47" s="55" t="n">
        <v>510</v>
      </c>
      <c r="D47" s="60" t="n">
        <f aca="false">B47-C47</f>
        <v>0</v>
      </c>
      <c r="E47" s="19" t="str">
        <f aca="false">IF(ABS(D47)&lt;0.000001,"PASS","FAIL")</f>
        <v>PASS</v>
      </c>
    </row>
    <row r="48" customFormat="false" ht="15" hidden="false" customHeight="false" outlineLevel="0" collapsed="false">
      <c r="A48" s="9" t="s">
        <v>916</v>
      </c>
      <c r="B48" s="60" t="n">
        <f aca="false">COUNTA('Acceptance Packets'!A7:A516)</f>
        <v>510</v>
      </c>
      <c r="C48" s="55" t="n">
        <v>510</v>
      </c>
      <c r="D48" s="60" t="n">
        <f aca="false">B48-C48</f>
        <v>0</v>
      </c>
      <c r="E48" s="19" t="str">
        <f aca="false">IF(ABS(D48)&lt;0.000001,"PASS","FAIL")</f>
        <v>PASS</v>
      </c>
    </row>
    <row r="49" customFormat="false" ht="15" hidden="false" customHeight="false" outlineLevel="0" collapsed="false">
      <c r="A49" s="9" t="s">
        <v>917</v>
      </c>
      <c r="B49" s="60" t="n">
        <f aca="false">COUNTIF('Acceptance Packets'!I7:I516,"SOURCE EMPTY")</f>
        <v>510</v>
      </c>
      <c r="C49" s="55" t="n">
        <v>510</v>
      </c>
      <c r="D49" s="60" t="n">
        <f aca="false">B49-C49</f>
        <v>0</v>
      </c>
      <c r="E49" s="19" t="str">
        <f aca="false">IF(ABS(D49)&lt;0.000001,"PASS","FAIL")</f>
        <v>PASS</v>
      </c>
    </row>
    <row r="50" customFormat="false" ht="15" hidden="false" customHeight="false" outlineLevel="0" collapsed="false">
      <c r="A50" s="9" t="s">
        <v>918</v>
      </c>
      <c r="B50" s="60" t="n">
        <f aca="false">SUM('Acceptance Packets'!J7:J516)</f>
        <v>0</v>
      </c>
      <c r="C50" s="55" t="n">
        <v>0</v>
      </c>
      <c r="D50" s="60" t="n">
        <f aca="false">B50-C50</f>
        <v>0</v>
      </c>
      <c r="E50" s="19" t="str">
        <f aca="false">IF(ABS(D50)&lt;0.000001,"PASS","FAIL")</f>
        <v>PASS</v>
      </c>
    </row>
    <row r="51" customFormat="false" ht="15" hidden="false" customHeight="false" outlineLevel="0" collapsed="false">
      <c r="A51" s="9" t="s">
        <v>919</v>
      </c>
      <c r="B51" s="60" t="n">
        <f aca="false">COUNTIF('Acceptance Packets'!K7:K516,"OPEN")</f>
        <v>510</v>
      </c>
      <c r="C51" s="55" t="n">
        <v>510</v>
      </c>
      <c r="D51" s="60" t="n">
        <f aca="false">B51-C51</f>
        <v>0</v>
      </c>
      <c r="E51" s="19" t="str">
        <f aca="false">IF(ABS(D51)&lt;0.000001,"PASS","FAIL")</f>
        <v>PASS</v>
      </c>
    </row>
    <row r="52" customFormat="false" ht="15" hidden="false" customHeight="false" outlineLevel="0" collapsed="false">
      <c r="A52" s="9" t="s">
        <v>920</v>
      </c>
      <c r="B52" s="60" t="n">
        <f aca="false">Controls!B19</f>
        <v>7</v>
      </c>
      <c r="C52" s="55" t="n">
        <v>7</v>
      </c>
      <c r="D52" s="60" t="n">
        <f aca="false">B52-C52</f>
        <v>0</v>
      </c>
      <c r="E52" s="19" t="str">
        <f aca="false">IF(ABS(D52)&lt;0.000001,"PASS","FAIL")</f>
        <v>PASS</v>
      </c>
    </row>
    <row r="53" customFormat="false" ht="15" hidden="false" customHeight="false" outlineLevel="0" collapsed="false">
      <c r="A53" s="9" t="s">
        <v>921</v>
      </c>
      <c r="B53" s="60" t="n">
        <f aca="false">COUNTA('Lot Register'!A7:A108)*Controls!B19</f>
        <v>714</v>
      </c>
      <c r="C53" s="55" t="n">
        <v>714</v>
      </c>
      <c r="D53" s="60" t="n">
        <f aca="false">B53-C53</f>
        <v>0</v>
      </c>
      <c r="E53" s="19" t="str">
        <f aca="false">IF(ABS(D53)&lt;0.000001,"PASS","FAIL")</f>
        <v>PASS</v>
      </c>
    </row>
    <row r="54" customFormat="false" ht="15" hidden="false" customHeight="false" outlineLevel="0" collapsed="false">
      <c r="A54" s="9" t="s">
        <v>922</v>
      </c>
      <c r="B54" s="60" t="n">
        <f aca="false">COUNTA('Acceptance Gates'!A7:A720)</f>
        <v>714</v>
      </c>
      <c r="C54" s="55" t="n">
        <v>714</v>
      </c>
      <c r="D54" s="60" t="n">
        <f aca="false">B54-C54</f>
        <v>0</v>
      </c>
      <c r="E54" s="19" t="str">
        <f aca="false">IF(ABS(D54)&lt;0.000001,"PASS","FAIL")</f>
        <v>PASS</v>
      </c>
    </row>
    <row r="55" customFormat="false" ht="15" hidden="false" customHeight="false" outlineLevel="0" collapsed="false">
      <c r="A55" s="9" t="s">
        <v>923</v>
      </c>
      <c r="B55" s="60" t="n">
        <f aca="false">COUNTIF('Acceptance Gates'!J7:J720,"SOURCE EMPTY")</f>
        <v>714</v>
      </c>
      <c r="C55" s="55" t="n">
        <v>714</v>
      </c>
      <c r="D55" s="60" t="n">
        <f aca="false">B55-C55</f>
        <v>0</v>
      </c>
      <c r="E55" s="19" t="str">
        <f aca="false">IF(ABS(D55)&lt;0.000001,"PASS","FAIL")</f>
        <v>PASS</v>
      </c>
    </row>
    <row r="56" customFormat="false" ht="15" hidden="false" customHeight="false" outlineLevel="0" collapsed="false">
      <c r="A56" s="9" t="s">
        <v>924</v>
      </c>
      <c r="B56" s="60" t="n">
        <f aca="false">SUM('Acceptance Gates'!K7:K720)</f>
        <v>0</v>
      </c>
      <c r="C56" s="55" t="n">
        <v>0</v>
      </c>
      <c r="D56" s="60" t="n">
        <f aca="false">B56-C56</f>
        <v>0</v>
      </c>
      <c r="E56" s="19" t="str">
        <f aca="false">IF(ABS(D56)&lt;0.000001,"PASS","FAIL")</f>
        <v>PASS</v>
      </c>
    </row>
    <row r="57" customFormat="false" ht="15" hidden="false" customHeight="false" outlineLevel="0" collapsed="false">
      <c r="A57" s="9" t="s">
        <v>925</v>
      </c>
      <c r="B57" s="60" t="n">
        <f aca="false">COUNTIF('Acceptance Gates'!L7:L720,"OPEN")</f>
        <v>714</v>
      </c>
      <c r="C57" s="55" t="n">
        <v>714</v>
      </c>
      <c r="D57" s="60" t="n">
        <f aca="false">B57-C57</f>
        <v>0</v>
      </c>
      <c r="E57" s="19" t="str">
        <f aca="false">IF(ABS(D57)&lt;0.000001,"PASS","FAIL")</f>
        <v>PASS</v>
      </c>
    </row>
    <row r="58" customFormat="false" ht="15" hidden="false" customHeight="false" outlineLevel="0" collapsed="false">
      <c r="A58" s="9" t="s">
        <v>926</v>
      </c>
      <c r="B58" s="60" t="n">
        <f aca="false">COUNTA('Release Sequence'!A7:A13)</f>
        <v>7</v>
      </c>
      <c r="C58" s="55" t="n">
        <v>7</v>
      </c>
      <c r="D58" s="60" t="n">
        <f aca="false">B58-C58</f>
        <v>0</v>
      </c>
      <c r="E58" s="19" t="str">
        <f aca="false">IF(ABS(D58)&lt;0.000001,"PASS","FAIL")</f>
        <v>PASS</v>
      </c>
    </row>
    <row r="59" customFormat="false" ht="15" hidden="false" customHeight="false" outlineLevel="0" collapsed="false">
      <c r="A59" s="9" t="s">
        <v>927</v>
      </c>
      <c r="B59" s="60" t="n">
        <f aca="false">COUNTIF('Release Sequence'!H7:H13,"HELD")</f>
        <v>6</v>
      </c>
      <c r="C59" s="55" t="n">
        <v>6</v>
      </c>
      <c r="D59" s="60" t="n">
        <f aca="false">B59-C59</f>
        <v>0</v>
      </c>
      <c r="E59" s="19" t="str">
        <f aca="false">IF(ABS(D59)&lt;0.000001,"PASS","FAIL")</f>
        <v>PASS</v>
      </c>
    </row>
    <row r="60" customFormat="false" ht="15" hidden="false" customHeight="false" outlineLevel="0" collapsed="false">
      <c r="A60" s="9" t="s">
        <v>928</v>
      </c>
      <c r="B60" s="60" t="n">
        <f aca="false">SUM('Payment Schedule'!H7:H11)</f>
        <v>9</v>
      </c>
      <c r="C60" s="55" t="n">
        <v>9</v>
      </c>
      <c r="D60" s="60" t="n">
        <f aca="false">B60-C60</f>
        <v>1.77635683940025E-015</v>
      </c>
      <c r="E60" s="19" t="str">
        <f aca="false">IF(ABS(D60)&lt;0.000001,"PASS","FAIL")</f>
        <v>PASS</v>
      </c>
    </row>
    <row r="61" customFormat="false" ht="15" hidden="false" customHeight="false" outlineLevel="0" collapsed="false">
      <c r="A61" s="9" t="s">
        <v>929</v>
      </c>
      <c r="B61" s="60" t="n">
        <f aca="false">'Payment Schedule'!H12</f>
        <v>1.79345640966028</v>
      </c>
      <c r="C61" s="55" t="n">
        <v>1.79345640966028</v>
      </c>
      <c r="D61" s="60" t="n">
        <f aca="false">B61-C61</f>
        <v>0</v>
      </c>
      <c r="E61" s="19" t="str">
        <f aca="false">IF(ABS(D61)&lt;0.000001,"PASS","FAIL")</f>
        <v>PASS</v>
      </c>
    </row>
    <row r="62" customFormat="false" ht="15" hidden="false" customHeight="false" outlineLevel="0" collapsed="false">
      <c r="A62" s="9" t="s">
        <v>930</v>
      </c>
      <c r="B62" s="60" t="n">
        <f aca="false">'Payment Schedule'!B18</f>
        <v>10.7934564096603</v>
      </c>
      <c r="C62" s="55" t="n">
        <v>10.7934564096603</v>
      </c>
      <c r="D62" s="60" t="n">
        <f aca="false">B62-C62</f>
        <v>1.77635683940025E-015</v>
      </c>
      <c r="E62" s="19" t="str">
        <f aca="false">IF(ABS(D62)&lt;0.000001,"PASS","FAIL")</f>
        <v>PASS</v>
      </c>
    </row>
    <row r="63" customFormat="false" ht="15" hidden="false" customHeight="false" outlineLevel="0" collapsed="false">
      <c r="A63" s="9" t="s">
        <v>931</v>
      </c>
      <c r="B63" s="60" t="n">
        <f aca="false">'Payment Schedule'!B19</f>
        <v>12.0488758964225</v>
      </c>
      <c r="C63" s="55" t="n">
        <v>12.0488758964225</v>
      </c>
      <c r="D63" s="60" t="n">
        <f aca="false">B63-C63</f>
        <v>1.77635683940025E-015</v>
      </c>
      <c r="E63" s="19" t="str">
        <f aca="false">IF(ABS(D63)&lt;0.000001,"PASS","FAIL")</f>
        <v>PASS</v>
      </c>
    </row>
    <row r="64" customFormat="false" ht="15" hidden="false" customHeight="false" outlineLevel="0" collapsed="false">
      <c r="A64" s="9" t="s">
        <v>75</v>
      </c>
      <c r="B64" s="60" t="n">
        <f aca="false">'Payment Schedule'!C19</f>
        <v>3.53803692289808</v>
      </c>
      <c r="C64" s="55" t="n">
        <v>3.53803692289809</v>
      </c>
      <c r="D64" s="60" t="n">
        <f aca="false">B64-C64</f>
        <v>-1.77635683940025E-015</v>
      </c>
      <c r="E64" s="19" t="str">
        <f aca="false">IF(ABS(D64)&lt;0.000001,"PASS","FAIL")</f>
        <v>PASS</v>
      </c>
    </row>
    <row r="65" customFormat="false" ht="15" hidden="false" customHeight="false" outlineLevel="0" collapsed="false">
      <c r="A65" s="9" t="s">
        <v>932</v>
      </c>
      <c r="B65" s="60" t="n">
        <f aca="false">COUNTA('Authority Separation'!A7:A12)</f>
        <v>6</v>
      </c>
      <c r="C65" s="55" t="n">
        <v>6</v>
      </c>
      <c r="D65" s="60" t="n">
        <f aca="false">B65-C65</f>
        <v>0</v>
      </c>
      <c r="E65" s="19" t="str">
        <f aca="false">IF(ABS(D65)&lt;0.000001,"PASS","FAIL")</f>
        <v>PASS</v>
      </c>
    </row>
    <row r="66" customFormat="false" ht="15" hidden="false" customHeight="false" outlineLevel="0" collapsed="false">
      <c r="A66" s="9" t="s">
        <v>933</v>
      </c>
      <c r="B66" s="60" t="n">
        <f aca="false">COUNTIF('Authority Separation'!F7:F12,"NO")</f>
        <v>6</v>
      </c>
      <c r="C66" s="55" t="n">
        <v>6</v>
      </c>
      <c r="D66" s="60" t="n">
        <f aca="false">B66-C66</f>
        <v>0</v>
      </c>
      <c r="E66" s="19" t="str">
        <f aca="false">IF(ABS(D66)&lt;0.000001,"PASS","FAIL")</f>
        <v>PASS</v>
      </c>
    </row>
    <row r="67" customFormat="false" ht="15" hidden="false" customHeight="false" outlineLevel="0" collapsed="false">
      <c r="A67" s="9" t="s">
        <v>934</v>
      </c>
      <c r="B67" s="60" t="n">
        <f aca="false">COUNTA('Industrial Base'!A7:A14)</f>
        <v>8</v>
      </c>
      <c r="C67" s="55" t="n">
        <v>8</v>
      </c>
      <c r="D67" s="60" t="n">
        <f aca="false">B67-C67</f>
        <v>0</v>
      </c>
      <c r="E67" s="19" t="str">
        <f aca="false">IF(ABS(D67)&lt;0.000001,"PASS","FAIL")</f>
        <v>PASS</v>
      </c>
    </row>
    <row r="68" customFormat="false" ht="15" hidden="false" customHeight="false" outlineLevel="0" collapsed="false">
      <c r="A68" s="9" t="s">
        <v>935</v>
      </c>
      <c r="B68" s="60" t="n">
        <f aca="false">COUNTA('Stress Tests'!A7:A22)</f>
        <v>16</v>
      </c>
      <c r="C68" s="55" t="n">
        <v>16</v>
      </c>
      <c r="D68" s="60" t="n">
        <f aca="false">B68-C68</f>
        <v>0</v>
      </c>
      <c r="E68" s="19" t="str">
        <f aca="false">IF(ABS(D68)&lt;0.000001,"PASS","FAIL")</f>
        <v>PASS</v>
      </c>
    </row>
    <row r="69" customFormat="false" ht="15" hidden="false" customHeight="false" outlineLevel="0" collapsed="false">
      <c r="A69" s="9" t="s">
        <v>936</v>
      </c>
      <c r="B69" s="60" t="n">
        <f aca="false">COUNTIF('Stress Tests'!F7:F22,"PASS")</f>
        <v>16</v>
      </c>
      <c r="C69" s="55" t="n">
        <v>16</v>
      </c>
      <c r="D69" s="60" t="n">
        <f aca="false">B69-C69</f>
        <v>0</v>
      </c>
      <c r="E69" s="19" t="str">
        <f aca="false">IF(ABS(D69)&lt;0.000001,"PASS","FAIL")</f>
        <v>PASS</v>
      </c>
    </row>
    <row r="70" customFormat="false" ht="15" hidden="false" customHeight="false" outlineLevel="0" collapsed="false">
      <c r="A70" s="9" t="s">
        <v>937</v>
      </c>
      <c r="B70" s="60" t="n">
        <f aca="false">COUNTIF('Lot Register'!L7:L108,"SOURCE EMPTY")</f>
        <v>102</v>
      </c>
      <c r="C70" s="55" t="n">
        <v>102</v>
      </c>
      <c r="D70" s="60" t="n">
        <f aca="false">B70-C70</f>
        <v>0</v>
      </c>
      <c r="E70" s="19" t="str">
        <f aca="false">IF(ABS(D70)&lt;0.000001,"PASS","FAIL")</f>
        <v>PASS</v>
      </c>
    </row>
    <row r="71" customFormat="false" ht="15" hidden="false" customHeight="false" outlineLevel="0" collapsed="false">
      <c r="A71" s="9" t="s">
        <v>938</v>
      </c>
      <c r="B71" s="60" t="n">
        <f aca="false">COUNTIF('Lot Register'!M7:M108,"SOURCE EMPTY")</f>
        <v>102</v>
      </c>
      <c r="C71" s="55" t="n">
        <v>102</v>
      </c>
      <c r="D71" s="60" t="n">
        <f aca="false">B71-C71</f>
        <v>0</v>
      </c>
      <c r="E71" s="19" t="str">
        <f aca="false">IF(ABS(D71)&lt;0.000001,"PASS","FAIL")</f>
        <v>PASS</v>
      </c>
    </row>
    <row r="72" customFormat="false" ht="15" hidden="false" customHeight="false" outlineLevel="0" collapsed="false">
      <c r="A72" s="9" t="s">
        <v>939</v>
      </c>
      <c r="B72" s="60" t="n">
        <f aca="false">SUM('Lot Register'!N7:N108)</f>
        <v>0</v>
      </c>
      <c r="C72" s="55" t="n">
        <v>0</v>
      </c>
      <c r="D72" s="60" t="n">
        <f aca="false">B72-C72</f>
        <v>0</v>
      </c>
      <c r="E72" s="19" t="str">
        <f aca="false">IF(ABS(D72)&lt;0.000001,"PASS","FAIL")</f>
        <v>PASS</v>
      </c>
    </row>
    <row r="73" customFormat="false" ht="15" hidden="false" customHeight="false" outlineLevel="0" collapsed="false">
      <c r="A73" s="9" t="s">
        <v>940</v>
      </c>
      <c r="B73" s="60" t="n">
        <f aca="false">SUM('Lot Register'!O7:O108)</f>
        <v>0</v>
      </c>
      <c r="C73" s="55" t="n">
        <v>0</v>
      </c>
      <c r="D73" s="60" t="n">
        <f aca="false">B73-C73</f>
        <v>0</v>
      </c>
      <c r="E73" s="19" t="str">
        <f aca="false">IF(ABS(D73)&lt;0.000001,"PASS","FAIL")</f>
        <v>PASS</v>
      </c>
    </row>
    <row r="74" customFormat="false" ht="15" hidden="false" customHeight="false" outlineLevel="0" collapsed="false">
      <c r="A74" s="9" t="s">
        <v>941</v>
      </c>
      <c r="B74" s="60" t="n">
        <f aca="false">SUM('Lot Register'!P7:P108)</f>
        <v>0</v>
      </c>
      <c r="C74" s="55" t="n">
        <v>0</v>
      </c>
      <c r="D74" s="60" t="n">
        <f aca="false">B74-C74</f>
        <v>0</v>
      </c>
      <c r="E74" s="19" t="str">
        <f aca="false">IF(ABS(D74)&lt;0.000001,"PASS","FAIL")</f>
        <v>PASS</v>
      </c>
    </row>
    <row r="75" customFormat="false" ht="15" hidden="false" customHeight="false" outlineLevel="0" collapsed="false">
      <c r="A75" s="9" t="s">
        <v>942</v>
      </c>
      <c r="B75" s="60" t="n">
        <f aca="false">SUM('Lot Register'!Q7:Q108)</f>
        <v>0</v>
      </c>
      <c r="C75" s="55" t="n">
        <v>0</v>
      </c>
      <c r="D75" s="60" t="n">
        <f aca="false">B75-C75</f>
        <v>0</v>
      </c>
      <c r="E75" s="19" t="str">
        <f aca="false">IF(ABS(D75)&lt;0.000001,"PASS","FAIL")</f>
        <v>PASS</v>
      </c>
    </row>
    <row r="76" customFormat="false" ht="15" hidden="false" customHeight="false" outlineLevel="0" collapsed="false">
      <c r="A76" s="9" t="s">
        <v>943</v>
      </c>
      <c r="B76" s="60" t="n">
        <f aca="false">SUM('Lot Register'!R7:R108)</f>
        <v>0</v>
      </c>
      <c r="C76" s="55" t="n">
        <v>0</v>
      </c>
      <c r="D76" s="60" t="n">
        <f aca="false">B76-C76</f>
        <v>0</v>
      </c>
      <c r="E76" s="19" t="str">
        <f aca="false">IF(ABS(D76)&lt;0.000001,"PASS","FAIL")</f>
        <v>PASS</v>
      </c>
    </row>
    <row r="77" customFormat="false" ht="15" hidden="false" customHeight="false" outlineLevel="0" collapsed="false">
      <c r="A77" s="9" t="s">
        <v>944</v>
      </c>
      <c r="B77" s="60" t="n">
        <f aca="false">SUM('Lot Register'!S7:S108)</f>
        <v>0</v>
      </c>
      <c r="C77" s="55" t="n">
        <v>0</v>
      </c>
      <c r="D77" s="60" t="n">
        <f aca="false">B77-C77</f>
        <v>0</v>
      </c>
      <c r="E77" s="19" t="str">
        <f aca="false">IF(ABS(D77)&lt;0.000001,"PASS","FAIL")</f>
        <v>PASS</v>
      </c>
    </row>
    <row r="78" customFormat="false" ht="15" hidden="false" customHeight="false" outlineLevel="0" collapsed="false">
      <c r="A78" s="9" t="s">
        <v>945</v>
      </c>
      <c r="B78" s="60" t="n">
        <f aca="false">Controls!B20</f>
        <v>0</v>
      </c>
      <c r="C78" s="55" t="n">
        <v>0</v>
      </c>
      <c r="D78" s="60" t="n">
        <f aca="false">B78-C78</f>
        <v>0</v>
      </c>
      <c r="E78" s="19" t="str">
        <f aca="false">IF(ABS(D78)&lt;0.000001,"PASS","FAIL")</f>
        <v>PASS</v>
      </c>
    </row>
    <row r="79" customFormat="false" ht="15" hidden="false" customHeight="false" outlineLevel="0" collapsed="false">
      <c r="A79" s="9" t="s">
        <v>946</v>
      </c>
      <c r="B79" s="60" t="n">
        <f aca="false">Controls!B21</f>
        <v>0</v>
      </c>
      <c r="C79" s="55" t="n">
        <v>0</v>
      </c>
      <c r="D79" s="60" t="n">
        <f aca="false">B79-C79</f>
        <v>0</v>
      </c>
      <c r="E79" s="19" t="str">
        <f aca="false">IF(ABS(D79)&lt;0.000001,"PASS","FAIL")</f>
        <v>PASS</v>
      </c>
    </row>
    <row r="80" customFormat="false" ht="15" hidden="false" customHeight="false" outlineLevel="0" collapsed="false">
      <c r="A80" s="9" t="s">
        <v>947</v>
      </c>
      <c r="B80" s="60" t="n">
        <f aca="false">Controls!B22</f>
        <v>0</v>
      </c>
      <c r="C80" s="55" t="n">
        <v>0</v>
      </c>
      <c r="D80" s="60" t="n">
        <f aca="false">B80-C80</f>
        <v>0</v>
      </c>
      <c r="E80" s="19" t="str">
        <f aca="false">IF(ABS(D80)&lt;0.000001,"PASS","FAIL")</f>
        <v>PASS</v>
      </c>
    </row>
    <row r="81" customFormat="false" ht="15" hidden="false" customHeight="false" outlineLevel="0" collapsed="false">
      <c r="A81" s="9" t="s">
        <v>948</v>
      </c>
      <c r="B81" s="60" t="n">
        <f aca="false">Controls!B23</f>
        <v>0</v>
      </c>
      <c r="C81" s="55" t="n">
        <v>0</v>
      </c>
      <c r="D81" s="60" t="n">
        <f aca="false">B81-C81</f>
        <v>0</v>
      </c>
      <c r="E81" s="19" t="str">
        <f aca="false">IF(ABS(D81)&lt;0.000001,"PASS","FAIL")</f>
        <v>PASS</v>
      </c>
    </row>
    <row r="82" customFormat="false" ht="15" hidden="false" customHeight="false" outlineLevel="0" collapsed="false">
      <c r="A82" s="9" t="s">
        <v>949</v>
      </c>
      <c r="B82" s="60" t="n">
        <f aca="false">Controls!B24</f>
        <v>0</v>
      </c>
      <c r="C82" s="55" t="n">
        <v>0</v>
      </c>
      <c r="D82" s="60" t="n">
        <f aca="false">B82-C82</f>
        <v>0</v>
      </c>
      <c r="E82" s="19" t="str">
        <f aca="false">IF(ABS(D82)&lt;0.000001,"PASS","FAIL")</f>
        <v>PASS</v>
      </c>
    </row>
    <row r="83" customFormat="false" ht="15" hidden="false" customHeight="false" outlineLevel="0" collapsed="false">
      <c r="A83" s="9" t="s">
        <v>950</v>
      </c>
      <c r="B83" s="60" t="n">
        <f aca="false">Controls!B25</f>
        <v>0</v>
      </c>
      <c r="C83" s="55" t="n">
        <v>0</v>
      </c>
      <c r="D83" s="60" t="n">
        <f aca="false">B83-C83</f>
        <v>0</v>
      </c>
      <c r="E83" s="19" t="str">
        <f aca="false">IF(ABS(D83)&lt;0.000001,"PASS","FAIL")</f>
        <v>PASS</v>
      </c>
    </row>
    <row r="84" customFormat="false" ht="15" hidden="false" customHeight="false" outlineLevel="0" collapsed="false">
      <c r="A84" s="9" t="s">
        <v>951</v>
      </c>
      <c r="B84" s="60" t="n">
        <f aca="false">Controls!B26</f>
        <v>0</v>
      </c>
      <c r="C84" s="55" t="n">
        <v>0</v>
      </c>
      <c r="D84" s="60" t="n">
        <f aca="false">B84-C84</f>
        <v>0</v>
      </c>
      <c r="E84" s="19" t="str">
        <f aca="false">IF(ABS(D84)&lt;0.000001,"PASS","FAIL")</f>
        <v>PASS</v>
      </c>
    </row>
    <row r="85" customFormat="false" ht="15" hidden="false" customHeight="false" outlineLevel="0" collapsed="false">
      <c r="A85" s="9" t="s">
        <v>952</v>
      </c>
      <c r="B85" s="60" t="n">
        <f aca="false">Controls!B27</f>
        <v>0</v>
      </c>
      <c r="C85" s="55" t="n">
        <v>0</v>
      </c>
      <c r="D85" s="60" t="n">
        <f aca="false">B85-C85</f>
        <v>0</v>
      </c>
      <c r="E85" s="19" t="str">
        <f aca="false">IF(ABS(D85)&lt;0.000001,"PASS","FAIL")</f>
        <v>PASS</v>
      </c>
    </row>
    <row r="86" customFormat="false" ht="15" hidden="false" customHeight="false" outlineLevel="0" collapsed="false">
      <c r="A86" s="12" t="s">
        <v>953</v>
      </c>
      <c r="B86" s="61" t="n">
        <f aca="false">Controls!B28</f>
        <v>0</v>
      </c>
      <c r="C86" s="57" t="n">
        <v>0</v>
      </c>
      <c r="D86" s="61" t="n">
        <f aca="false">B86-C86</f>
        <v>0</v>
      </c>
      <c r="E86" s="20" t="str">
        <f aca="false">IF(ABS(D86)&lt;0.000001,"PASS","FAIL")</f>
        <v>PASS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58"/>
    <col collapsed="false" customWidth="true" hidden="false" outlineLevel="0" max="3" min="3" style="0" width="57"/>
    <col collapsed="false" customWidth="true" hidden="false" outlineLevel="0" max="4" min="4" style="0" width="23"/>
    <col collapsed="false" customWidth="true" hidden="false" outlineLevel="0" max="5" min="5" style="0" width="55"/>
  </cols>
  <sheetData>
    <row r="2" customFormat="false" ht="24" hidden="false" customHeight="true" outlineLevel="0" collapsed="false">
      <c r="A2" s="1" t="s">
        <v>954</v>
      </c>
      <c r="B2" s="1"/>
      <c r="C2" s="1"/>
      <c r="D2" s="1"/>
      <c r="E2" s="1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3" t="s">
        <v>955</v>
      </c>
      <c r="B4" s="3"/>
      <c r="C4" s="3"/>
      <c r="D4" s="3"/>
      <c r="E4" s="3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3" hidden="false" customHeight="true" outlineLevel="0" collapsed="false">
      <c r="A6" s="5" t="s">
        <v>956</v>
      </c>
      <c r="B6" s="6" t="s">
        <v>957</v>
      </c>
      <c r="C6" s="6" t="s">
        <v>220</v>
      </c>
      <c r="D6" s="6" t="s">
        <v>958</v>
      </c>
      <c r="E6" s="7" t="s">
        <v>959</v>
      </c>
    </row>
    <row r="7" customFormat="false" ht="15" hidden="false" customHeight="false" outlineLevel="0" collapsed="false">
      <c r="A7" s="8" t="s">
        <v>112</v>
      </c>
      <c r="B7" s="8" t="s">
        <v>960</v>
      </c>
      <c r="C7" s="8" t="s">
        <v>961</v>
      </c>
      <c r="D7" s="8" t="s">
        <v>962</v>
      </c>
      <c r="E7" s="8" t="s">
        <v>963</v>
      </c>
    </row>
    <row r="8" customFormat="false" ht="15" hidden="false" customHeight="false" outlineLevel="0" collapsed="false">
      <c r="A8" s="9" t="s">
        <v>115</v>
      </c>
      <c r="B8" s="9" t="s">
        <v>964</v>
      </c>
      <c r="C8" s="9" t="s">
        <v>965</v>
      </c>
      <c r="D8" s="9" t="s">
        <v>962</v>
      </c>
      <c r="E8" s="9" t="s">
        <v>966</v>
      </c>
    </row>
    <row r="9" customFormat="false" ht="15" hidden="false" customHeight="false" outlineLevel="0" collapsed="false">
      <c r="A9" s="9" t="s">
        <v>967</v>
      </c>
      <c r="B9" s="9" t="s">
        <v>968</v>
      </c>
      <c r="C9" s="9" t="s">
        <v>969</v>
      </c>
      <c r="D9" s="9" t="s">
        <v>962</v>
      </c>
      <c r="E9" s="9" t="s">
        <v>970</v>
      </c>
    </row>
    <row r="10" customFormat="false" ht="15" hidden="false" customHeight="false" outlineLevel="0" collapsed="false">
      <c r="A10" s="9" t="s">
        <v>971</v>
      </c>
      <c r="B10" s="9" t="s">
        <v>972</v>
      </c>
      <c r="C10" s="9" t="s">
        <v>973</v>
      </c>
      <c r="D10" s="9" t="s">
        <v>962</v>
      </c>
      <c r="E10" s="9" t="s">
        <v>974</v>
      </c>
    </row>
    <row r="11" customFormat="false" ht="15" hidden="false" customHeight="false" outlineLevel="0" collapsed="false">
      <c r="A11" s="9" t="s">
        <v>975</v>
      </c>
      <c r="B11" s="9" t="s">
        <v>976</v>
      </c>
      <c r="C11" s="9" t="s">
        <v>977</v>
      </c>
      <c r="D11" s="9" t="s">
        <v>962</v>
      </c>
      <c r="E11" s="9" t="s">
        <v>978</v>
      </c>
    </row>
    <row r="12" customFormat="false" ht="15" hidden="false" customHeight="false" outlineLevel="0" collapsed="false">
      <c r="A12" s="9" t="s">
        <v>979</v>
      </c>
      <c r="B12" s="9" t="s">
        <v>980</v>
      </c>
      <c r="C12" s="9" t="s">
        <v>981</v>
      </c>
      <c r="D12" s="9" t="s">
        <v>982</v>
      </c>
      <c r="E12" s="9" t="s">
        <v>983</v>
      </c>
    </row>
    <row r="13" customFormat="false" ht="15" hidden="false" customHeight="false" outlineLevel="0" collapsed="false">
      <c r="A13" s="9" t="s">
        <v>984</v>
      </c>
      <c r="B13" s="9" t="s">
        <v>985</v>
      </c>
      <c r="C13" s="9" t="s">
        <v>986</v>
      </c>
      <c r="D13" s="9" t="s">
        <v>987</v>
      </c>
      <c r="E13" s="9" t="s">
        <v>988</v>
      </c>
    </row>
    <row r="14" customFormat="false" ht="15" hidden="false" customHeight="false" outlineLevel="0" collapsed="false">
      <c r="A14" s="12" t="s">
        <v>989</v>
      </c>
      <c r="B14" s="12" t="s">
        <v>990</v>
      </c>
      <c r="C14" s="12" t="s">
        <v>991</v>
      </c>
      <c r="D14" s="12" t="s">
        <v>992</v>
      </c>
      <c r="E14" s="12" t="s">
        <v>993</v>
      </c>
    </row>
  </sheetData>
  <mergeCells count="2">
    <mergeCell ref="A2:E2"/>
    <mergeCell ref="A4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