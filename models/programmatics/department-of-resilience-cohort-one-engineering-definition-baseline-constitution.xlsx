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ecision Tests" sheetId="2" state="visible" r:id="rId4"/>
    <sheet name="Baseline Register" sheetId="3" state="visible" r:id="rId5"/>
    <sheet name="Load Cases" sheetId="4" state="visible" r:id="rId6"/>
    <sheet name="Account Grammar" sheetId="5" state="visible" r:id="rId7"/>
    <sheet name="Provenance Ledger" sheetId="6" state="visible" r:id="rId8"/>
    <sheet name="Closure Rules" sheetId="7" state="visible" r:id="rId9"/>
    <sheet name="Package Crosswalk" sheetId="8" state="visible" r:id="rId10"/>
    <sheet name="Technology Thrusts" sheetId="9" state="visible" r:id="rId11"/>
    <sheet name="Finance" sheetId="10" state="visible" r:id="rId12"/>
    <sheet name="Inputs" sheetId="11" state="visible" r:id="rId13"/>
    <sheet name="Mutations" sheetId="12" state="visible" r:id="rId14"/>
    <sheet name="Audit" sheetId="13" state="visible" r:id="rId15"/>
    <sheet name="ReadMe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<sst xmlns="http://schemas.openxmlformats.org/spreadsheetml/2006/main" count="2667" uniqueCount="1045">
  <si>
    <t xml:space="preserve">Cohort-one Engineering Definition Baselines</t>
  </si>
  <si>
    <t xml:space="preserve">EDB-1 defines six unlike source-specific baselines, their physical worlds, provenance and closure law. Numerical closure remains open.</t>
  </si>
  <si>
    <t xml:space="preserve">Decision</t>
  </si>
  <si>
    <t xml:space="preserve">Form</t>
  </si>
  <si>
    <t xml:space="preserve">Minimum W03 margin</t>
  </si>
  <si>
    <t xml:space="preserve">ET-A-A</t>
  </si>
  <si>
    <t xml:space="preserve">Selected architecture</t>
  </si>
  <si>
    <t xml:space="preserve">Six sovereign baselines with a public semantic kernel</t>
  </si>
  <si>
    <t xml:space="preserve">CT-C-B</t>
  </si>
  <si>
    <t xml:space="preserve">Configuration objects</t>
  </si>
  <si>
    <t xml:space="preserve">one for each active cohort-one form</t>
  </si>
  <si>
    <t xml:space="preserve">HC-A-C</t>
  </si>
  <si>
    <t xml:space="preserve">Physical worlds</t>
  </si>
  <si>
    <t xml:space="preserve">four per form</t>
  </si>
  <si>
    <t xml:space="preserve">LF-B-A</t>
  </si>
  <si>
    <t xml:space="preserve">Noncompensatory accounts</t>
  </si>
  <si>
    <t xml:space="preserve">nine per form</t>
  </si>
  <si>
    <t xml:space="preserve">HU-A-B</t>
  </si>
  <si>
    <t xml:space="preserve">Source records</t>
  </si>
  <si>
    <t xml:space="preserve">twelve per form</t>
  </si>
  <si>
    <t xml:space="preserve">RT-B-C</t>
  </si>
  <si>
    <t xml:space="preserve">Present claim</t>
  </si>
  <si>
    <t xml:space="preserve">grammar constituted; all physical measurements and acceptances remain zero</t>
  </si>
  <si>
    <t xml:space="preserve">Engineering boundary</t>
  </si>
  <si>
    <t xml:space="preserve">Configuration rule</t>
  </si>
  <si>
    <t xml:space="preserve">one content-addressed baseline binds all five packages for one form</t>
  </si>
  <si>
    <t xml:space="preserve">Load-case rule</t>
  </si>
  <si>
    <t xml:space="preserve">nominal, largest-cell loss, fatal keystone and cold rebuild use the same baseline</t>
  </si>
  <si>
    <t xml:space="preserve">Account rule</t>
  </si>
  <si>
    <t xml:space="preserve">service, mass, energy, flow, thermal, geometry, rights, residual and rebuild are conjunctive</t>
  </si>
  <si>
    <t xml:space="preserve">Source rule</t>
  </si>
  <si>
    <t xml:space="preserve">every inherited value carries class, allowed use, expiry and an explicit measured flag</t>
  </si>
  <si>
    <t xml:space="preserve">Missingness rule</t>
  </si>
  <si>
    <t xml:space="preserve">blank or open coefficient orders HOLD; midpoint and zero substitution are prohibited</t>
  </si>
  <si>
    <t xml:space="preserve">Technology rule</t>
  </si>
  <si>
    <t xml:space="preserve">eighteen form-induced advances end in fatal prototype events</t>
  </si>
  <si>
    <t xml:space="preserve">Authority rule</t>
  </si>
  <si>
    <t xml:space="preserve">design closure cannot create evidence, selection, MAKE, REP-4, capability or production credit</t>
  </si>
  <si>
    <t xml:space="preserve">Pass ledger</t>
  </si>
  <si>
    <t xml:space="preserve">Items opened</t>
  </si>
  <si>
    <t xml:space="preserve">Items closed</t>
  </si>
  <si>
    <t xml:space="preserve">Net change</t>
  </si>
  <si>
    <t xml:space="preserve">Running open total</t>
  </si>
  <si>
    <t xml:space="preserve">EDB passes consumed</t>
  </si>
  <si>
    <t xml:space="preserve">Branch budget</t>
  </si>
  <si>
    <t xml:space="preserve">No-KILL count since HR-02</t>
  </si>
  <si>
    <t xml:space="preserve">Engineering baseline architecture</t>
  </si>
  <si>
    <t xml:space="preserve">A candidate must pass every hard gate. A high score cannot compensate for one failed boundary.</t>
  </si>
  <si>
    <t xml:space="preserve">Candidate</t>
  </si>
  <si>
    <t xml:space="preserve">Architecture</t>
  </si>
  <si>
    <t xml:space="preserve">Root-native</t>
  </si>
  <si>
    <t xml:space="preserve">Four worlds</t>
  </si>
  <si>
    <t xml:space="preserve">Nine accounts</t>
  </si>
  <si>
    <t xml:space="preserve">Public provenance</t>
  </si>
  <si>
    <t xml:space="preserve">Unknowns visible</t>
  </si>
  <si>
    <t xml:space="preserve">Noncompensatory</t>
  </si>
  <si>
    <t xml:space="preserve">Cold rebuild</t>
  </si>
  <si>
    <t xml:space="preserve">Thirty packages</t>
  </si>
  <si>
    <t xml:space="preserve">Zero conversion</t>
  </si>
  <si>
    <t xml:space="preserve">Five-pass return</t>
  </si>
  <si>
    <t xml:space="preserve">Passed</t>
  </si>
  <si>
    <t xml:space="preserve">Disposition</t>
  </si>
  <si>
    <t xml:space="preserve">C1</t>
  </si>
  <si>
    <t xml:space="preserve">Common platform master model</t>
  </si>
  <si>
    <t xml:space="preserve">C2</t>
  </si>
  <si>
    <t xml:space="preserve">Six contractor digital twins</t>
  </si>
  <si>
    <t xml:space="preserve">C3</t>
  </si>
  <si>
    <t xml:space="preserve">Interface-only baseline</t>
  </si>
  <si>
    <t xml:space="preserve">C4</t>
  </si>
  <si>
    <t xml:space="preserve">Root-native baselines with common solver</t>
  </si>
  <si>
    <t xml:space="preserve">C5</t>
  </si>
  <si>
    <t xml:space="preserve">Six sovereign baselines with public semantic kernel</t>
  </si>
  <si>
    <t xml:space="preserve">Selected interpretation</t>
  </si>
  <si>
    <t xml:space="preserve">EDB-1</t>
  </si>
  <si>
    <t xml:space="preserve">Six source-specific configuration baselines under one narrow semantic grammar</t>
  </si>
  <si>
    <t xml:space="preserve">Shared layer</t>
  </si>
  <si>
    <t xml:space="preserve">Meaning only</t>
  </si>
  <si>
    <t xml:space="preserve">IDs, units, boundaries, provenance, uncertainty, causal trace, civil obligation</t>
  </si>
  <si>
    <t xml:space="preserve">Prohibited common layer</t>
  </si>
  <si>
    <t xml:space="preserve">Implementation</t>
  </si>
  <si>
    <t xml:space="preserve">No common solver, controller, geometry, safeing path, runtime or predicted performance</t>
  </si>
  <si>
    <t xml:space="preserve">Present authority</t>
  </si>
  <si>
    <t xml:space="preserve">SPECIFICATION</t>
  </si>
  <si>
    <t xml:space="preserve">No measurement, evidence, selection, MAKE, REP-4, capability or production credit</t>
  </si>
  <si>
    <t xml:space="preserve">Cohort-one configuration baselines</t>
  </si>
  <si>
    <t xml:space="preserve">Each row is a controlled source-specific design object. It remains unmeasured and unaccepted.</t>
  </si>
  <si>
    <t xml:space="preserve">Root</t>
  </si>
  <si>
    <t xml:space="preserve">Service system</t>
  </si>
  <si>
    <t xml:space="preserve">Physical topology</t>
  </si>
  <si>
    <t xml:space="preserve">System envelope</t>
  </si>
  <si>
    <t xml:space="preserve">Largest isolated cell</t>
  </si>
  <si>
    <t xml:space="preserve">Reach</t>
  </si>
  <si>
    <t xml:space="preserve">Independence</t>
  </si>
  <si>
    <t xml:space="preserve">Load cases</t>
  </si>
  <si>
    <t xml:space="preserve">Account rules</t>
  </si>
  <si>
    <t xml:space="preserve">Form ceiling (USD M)</t>
  </si>
  <si>
    <t xml:space="preserve">Measured inputs</t>
  </si>
  <si>
    <t xml:space="preserve">State</t>
  </si>
  <si>
    <t xml:space="preserve">ET-A</t>
  </si>
  <si>
    <t xml:space="preserve">Pelagic exchange</t>
  </si>
  <si>
    <t xml:space="preserve">Twin-body pelagic exchange</t>
  </si>
  <si>
    <t xml:space="preserve">160–210 × 90–130 × 26–36 m; 8–12 m draft</t>
  </si>
  <si>
    <t xml:space="preserve">130–180 × 25–40 × 25–35 m</t>
  </si>
  <si>
    <t xml:space="preserve">1–3 km</t>
  </si>
  <si>
    <t xml:space="preserve">two complete custody paths</t>
  </si>
  <si>
    <t xml:space="preserve">CT-C</t>
  </si>
  <si>
    <t xml:space="preserve">Occupied-boundary infrastructure</t>
  </si>
  <si>
    <t xml:space="preserve">Sectional suspended utility belt</t>
  </si>
  <si>
    <t xml:space="preserve">800–2,000 × 12–22 × 45–120 m</t>
  </si>
  <si>
    <t xml:space="preserve">100–250 × 6–10 × 6–12 m</t>
  </si>
  <si>
    <t xml:space="preserve">2–6 km</t>
  </si>
  <si>
    <t xml:space="preserve">five anchor zones and five trunks</t>
  </si>
  <si>
    <t xml:space="preserve">HC-A</t>
  </si>
  <si>
    <t xml:space="preserve">Atmospheric intervention</t>
  </si>
  <si>
    <t xml:space="preserve">Distributed rotorborne cells</t>
  </si>
  <si>
    <t xml:space="preserve">1–3 × 5–12 × 0.05–0.5 km intervention field</t>
  </si>
  <si>
    <t xml:space="preserve">12–24 × 12–28 × 4–9 m</t>
  </si>
  <si>
    <t xml:space="preserve">3–20 km</t>
  </si>
  <si>
    <t xml:space="preserve">five rotor cells with local control</t>
  </si>
  <si>
    <t xml:space="preserve">LF-B</t>
  </si>
  <si>
    <t xml:space="preserve">Geothermal water and power</t>
  </si>
  <si>
    <t xml:space="preserve">Cellular radial multi-bore field</t>
  </si>
  <si>
    <t xml:space="preserve">500–1,500 × 500–1,500 × 20–45 m; 2.5–6 km depth</t>
  </si>
  <si>
    <t xml:space="preserve">120–250 × 120–250 × 20–45 m</t>
  </si>
  <si>
    <t xml:space="preserve">15.5–30 km</t>
  </si>
  <si>
    <t xml:space="preserve">nine access slots around four conversion cells</t>
  </si>
  <si>
    <t xml:space="preserve">HU-A</t>
  </si>
  <si>
    <t xml:space="preserve">Clinical continuity</t>
  </si>
  <si>
    <t xml:space="preserve">Sectional bypassed care spine</t>
  </si>
  <si>
    <t xml:space="preserve">350–800 × 80–180 × 12–30 m</t>
  </si>
  <si>
    <t xml:space="preserve">50–100 × 50–80 × 12–30 m</t>
  </si>
  <si>
    <t xml:space="preserve">1–5 km</t>
  </si>
  <si>
    <t xml:space="preserve">eight spine sections with independent bypass</t>
  </si>
  <si>
    <t xml:space="preserve">RT-B</t>
  </si>
  <si>
    <t xml:space="preserve">Disconnected regeneration</t>
  </si>
  <si>
    <t xml:space="preserve">Parallel mobile microfactory trainlets</t>
  </si>
  <si>
    <t xml:space="preserve">500–2,000 × 100–400 × 8–16 m</t>
  </si>
  <si>
    <t xml:space="preserve">100–250 × 25–60 × 8–16 m</t>
  </si>
  <si>
    <t xml:space="preserve">5–20 km</t>
  </si>
  <si>
    <t xml:space="preserve">five complete mobile trainlets</t>
  </si>
  <si>
    <t xml:space="preserve">Registered load cases</t>
  </si>
  <si>
    <t xml:space="preserve">Four worlds apply to every form. Their conditions differ by mechanism and remain unobserved.</t>
  </si>
  <si>
    <t xml:space="preserve">Case</t>
  </si>
  <si>
    <t xml:space="preserve">World</t>
  </si>
  <si>
    <t xml:space="preserve">Configuration</t>
  </si>
  <si>
    <t xml:space="preserve">Denial or intervention</t>
  </si>
  <si>
    <t xml:space="preserve">Required controlled outcome</t>
  </si>
  <si>
    <t xml:space="preserve">Observation</t>
  </si>
  <si>
    <t xml:space="preserve">Evidence credit</t>
  </si>
  <si>
    <t xml:space="preserve">Source</t>
  </si>
  <si>
    <t xml:space="preserve">ET-A-A-W01</t>
  </si>
  <si>
    <t xml:space="preserve">NOMINAL</t>
  </si>
  <si>
    <t xml:space="preserve">lower-bound configured article</t>
  </si>
  <si>
    <t xml:space="preserve">none</t>
  </si>
  <si>
    <t xml:space="preserve">close all nine account rules at the registered service denominator</t>
  </si>
  <si>
    <t xml:space="preserve">Passes 216/219</t>
  </si>
  <si>
    <t xml:space="preserve">SPECIFIED / UNOBSERVED</t>
  </si>
  <si>
    <t xml:space="preserve">ET-A-A-W02</t>
  </si>
  <si>
    <t xml:space="preserve">LARGEST_CELL_LOSS</t>
  </si>
  <si>
    <t xml:space="preserve">same baseline and receiver</t>
  </si>
  <si>
    <t xml:space="preserve">preserve complete service without cross-boundary propagation</t>
  </si>
  <si>
    <t xml:space="preserve">Pass 219</t>
  </si>
  <si>
    <t xml:space="preserve">ET-A-A-W03</t>
  </si>
  <si>
    <t xml:space="preserve">FATAL_KEYSTONE</t>
  </si>
  <si>
    <t xml:space="preserve">full causal interface</t>
  </si>
  <si>
    <t xml:space="preserve">disable one body and its energy, control and custody chain at peak relative motion</t>
  </si>
  <si>
    <t xml:space="preserve">produce the disqualifying observation or pass every conjunctive boundary</t>
  </si>
  <si>
    <t xml:space="preserve">Pass 225</t>
  </si>
  <si>
    <t xml:space="preserve">ET-A-A-W04</t>
  </si>
  <si>
    <t xml:space="preserve">COLD_REBUILD</t>
  </si>
  <si>
    <t xml:space="preserve">sealed public record and physical inventory</t>
  </si>
  <si>
    <t xml:space="preserve">deny builder team, runtime, vendor key and tacit setup</t>
  </si>
  <si>
    <t xml:space="preserve">reconstruct and requalify the complete causal section within 168 h</t>
  </si>
  <si>
    <t xml:space="preserve">Passes 219/232</t>
  </si>
  <si>
    <t xml:space="preserve">CT-C-B-W01</t>
  </si>
  <si>
    <t xml:space="preserve">CT-C-B-W02</t>
  </si>
  <si>
    <t xml:space="preserve">CT-C-B-W03</t>
  </si>
  <si>
    <t xml:space="preserve">release one anchor zone and fault one mixed-utility belt section under occupied load</t>
  </si>
  <si>
    <t xml:space="preserve">CT-C-B-W04</t>
  </si>
  <si>
    <t xml:space="preserve">HC-A-C-W01</t>
  </si>
  <si>
    <t xml:space="preserve">HC-A-C-W02</t>
  </si>
  <si>
    <t xml:space="preserve">HC-A-C-W03</t>
  </si>
  <si>
    <t xml:space="preserve">deny the coordination network and safe one rotor cell inside a plume corridor</t>
  </si>
  <si>
    <t xml:space="preserve">HC-A-C-W04</t>
  </si>
  <si>
    <t xml:space="preserve">LF-B-A-W01</t>
  </si>
  <si>
    <t xml:space="preserve">LF-B-A-W02</t>
  </si>
  <si>
    <t xml:space="preserve">LF-B-A-W03</t>
  </si>
  <si>
    <t xml:space="preserve">isolate one radial header, conversion cell and bore at full thermal state</t>
  </si>
  <si>
    <t xml:space="preserve">LF-B-A-W04</t>
  </si>
  <si>
    <t xml:space="preserve">HU-A-B-W01</t>
  </si>
  <si>
    <t xml:space="preserve">HU-A-B-W02</t>
  </si>
  <si>
    <t xml:space="preserve">HU-A-B-W03</t>
  </si>
  <si>
    <t xml:space="preserve">block one spine section and bypass during active ten-line care</t>
  </si>
  <si>
    <t xml:space="preserve">HU-A-B-W04</t>
  </si>
  <si>
    <t xml:space="preserve">RT-B-C-W01</t>
  </si>
  <si>
    <t xml:space="preserve">RT-B-C-W02</t>
  </si>
  <si>
    <t xml:space="preserve">RT-B-C-W03</t>
  </si>
  <si>
    <t xml:space="preserve">isolate one trainlet, deny vendor keys and remove its largest energy cell</t>
  </si>
  <si>
    <t xml:space="preserve">RT-B-C-W04</t>
  </si>
  <si>
    <t xml:space="preserve">Noncompensatory account grammar</t>
  </si>
  <si>
    <t xml:space="preserve">Every form must close all nine accounts in all four worlds. Missing inputs order HOLD and never become zero.</t>
  </si>
  <si>
    <t xml:space="preserve">Record</t>
  </si>
  <si>
    <t xml:space="preserve">Account</t>
  </si>
  <si>
    <t xml:space="preserve">Definition</t>
  </si>
  <si>
    <t xml:space="preserve">Unit</t>
  </si>
  <si>
    <t xml:space="preserve">Inherited design input</t>
  </si>
  <si>
    <t xml:space="preserve">Input class</t>
  </si>
  <si>
    <t xml:space="preserve">Closure rule</t>
  </si>
  <si>
    <t xml:space="preserve">Missing treatment</t>
  </si>
  <si>
    <t xml:space="preserve">Measured input</t>
  </si>
  <si>
    <t xml:space="preserve">Current state</t>
  </si>
  <si>
    <t xml:space="preserve">Next physical object</t>
  </si>
  <si>
    <t xml:space="preserve">ET-A-A-SVC</t>
  </si>
  <si>
    <t xml:space="preserve">SVC</t>
  </si>
  <si>
    <t xml:space="preserve">Service denominator</t>
  </si>
  <si>
    <t xml:space="preserve">root-native service</t>
  </si>
  <si>
    <t xml:space="preserve">600 t/h rated; at least 241 t/h surviving path; start by h72; sustain 30 d</t>
  </si>
  <si>
    <t xml:space="preserve">INHERITED REQUIREMENT</t>
  </si>
  <si>
    <t xml:space="preserve">registered service and duration are conjunctive</t>
  </si>
  <si>
    <t xml:space="preserve">HOLD</t>
  </si>
  <si>
    <t xml:space="preserve">DEFINED / UNMEASURED</t>
  </si>
  <si>
    <t xml:space="preserve">receiver-complete service trace</t>
  </si>
  <si>
    <t xml:space="preserve">ET-A-A-MASS</t>
  </si>
  <si>
    <t xml:space="preserve">MASS</t>
  </si>
  <si>
    <t xml:space="preserve">Mass and custody</t>
  </si>
  <si>
    <t xml:space="preserve">root-native mass</t>
  </si>
  <si>
    <t xml:space="preserve">102,000 t requirement; 112,000 t survivor capacity</t>
  </si>
  <si>
    <t xml:space="preserve">INHERITED DESIGN HYPOTHESIS</t>
  </si>
  <si>
    <t xml:space="preserve">owned mass and custody close nominal and loss worlds</t>
  </si>
  <si>
    <t xml:space="preserve">weighed article and custody ledger</t>
  </si>
  <si>
    <t xml:space="preserve">ET-A-A-ENERGY</t>
  </si>
  <si>
    <t xml:space="preserve">ENERGY</t>
  </si>
  <si>
    <t xml:space="preserve">Energy balance</t>
  </si>
  <si>
    <t xml:space="preserve">MW</t>
  </si>
  <si>
    <t xml:space="preserve">96 MW requirement; 100 MW survivor capacity</t>
  </si>
  <si>
    <t xml:space="preserve">generation, storage, start and rejection close by cell</t>
  </si>
  <si>
    <t xml:space="preserve">instrumented bus and black-start test</t>
  </si>
  <si>
    <t xml:space="preserve">ET-A-A-FLOW</t>
  </si>
  <si>
    <t xml:space="preserve">FLOW</t>
  </si>
  <si>
    <t xml:space="preserve">Flow or productive rate</t>
  </si>
  <si>
    <t xml:space="preserve">root-native rate</t>
  </si>
  <si>
    <t xml:space="preserve">235 t/h lower-bound requirement; 241 t/h survivor capacity</t>
  </si>
  <si>
    <t xml:space="preserve">delivered rate closes at the lawful receiver after loss</t>
  </si>
  <si>
    <t xml:space="preserve">metered causal flow section</t>
  </si>
  <si>
    <t xml:space="preserve">ET-A-A-THERMAL</t>
  </si>
  <si>
    <t xml:space="preserve">THERMAL</t>
  </si>
  <si>
    <t xml:space="preserve">Thermal state</t>
  </si>
  <si>
    <t xml:space="preserve">root-native heat</t>
  </si>
  <si>
    <t xml:space="preserve">OPEN: connector-drive and wet-dry transient rejection</t>
  </si>
  <si>
    <t xml:space="preserve">MISSING DESIGN COEFFICIENT</t>
  </si>
  <si>
    <t xml:space="preserve">source, conversion, storage and rejection close transient and sustained states</t>
  </si>
  <si>
    <t xml:space="preserve">DEFINED / COEFFICIENT OPEN</t>
  </si>
  <si>
    <t xml:space="preserve">calorimetric transient section</t>
  </si>
  <si>
    <t xml:space="preserve">ET-A-A-GEOMETRY</t>
  </si>
  <si>
    <t xml:space="preserve">GEOMETRY</t>
  </si>
  <si>
    <t xml:space="preserve">Geometry and load path</t>
  </si>
  <si>
    <t xml:space="preserve">interval</t>
  </si>
  <si>
    <t xml:space="preserve">INHERITED INTERVAL</t>
  </si>
  <si>
    <t xml:space="preserve">every decisive interface fits inside the baseline without midpoint substitution</t>
  </si>
  <si>
    <t xml:space="preserve">surveyed coordinate and load article</t>
  </si>
  <si>
    <t xml:space="preserve">ET-A-A-RIGHTS</t>
  </si>
  <si>
    <t xml:space="preserve">RIGHTS</t>
  </si>
  <si>
    <t xml:space="preserve">Safe state and civil rights</t>
  </si>
  <si>
    <t xml:space="preserve">conjunctive</t>
  </si>
  <si>
    <t xml:space="preserve">six refuge/receiver zones; five survive largest loss</t>
  </si>
  <si>
    <t xml:space="preserve">detection, isolation, refuge, egress, consent and disposition all close</t>
  </si>
  <si>
    <t xml:space="preserve">receiver and protected-state drill</t>
  </si>
  <si>
    <t xml:space="preserve">ET-A-A-RESIDUAL</t>
  </si>
  <si>
    <t xml:space="preserve">RESIDUAL</t>
  </si>
  <si>
    <t xml:space="preserve">Residual custody</t>
  </si>
  <si>
    <t xml:space="preserve">root-native residual</t>
  </si>
  <si>
    <t xml:space="preserve">1,200 t/day requirement; 1,260 t/day survivor capacity</t>
  </si>
  <si>
    <t xml:space="preserve">generated, retained, treated and released material reconciles</t>
  </si>
  <si>
    <t xml:space="preserve">sealed residual balance trial</t>
  </si>
  <si>
    <t xml:space="preserve">ET-A-A-REBUILD</t>
  </si>
  <si>
    <t xml:space="preserve">REBUILD</t>
  </si>
  <si>
    <t xml:space="preserve">Cold reconstruction</t>
  </si>
  <si>
    <t xml:space="preserve">h</t>
  </si>
  <si>
    <t xml:space="preserve">complete exchange section within 168 h</t>
  </si>
  <si>
    <t xml:space="preserve">INHERITED TEST CEILING</t>
  </si>
  <si>
    <t xml:space="preserve">outside team rebuilds and requalifies without prohibited dependencies</t>
  </si>
  <si>
    <t xml:space="preserve">clean-team reconstruction event</t>
  </si>
  <si>
    <t xml:space="preserve">CT-C-B-SVC</t>
  </si>
  <si>
    <t xml:space="preserve">105,000 people; 42,800 households; 180 route-km by h168</t>
  </si>
  <si>
    <t xml:space="preserve">CT-C-B-MASS</t>
  </si>
  <si>
    <t xml:space="preserve">31,000 t requirement; 32,400 t survivor capacity</t>
  </si>
  <si>
    <t xml:space="preserve">CT-C-B-ENERGY</t>
  </si>
  <si>
    <t xml:space="preserve">42 MW requirement; 43.2 MW survivor capacity</t>
  </si>
  <si>
    <t xml:space="preserve">CT-C-B-FLOW</t>
  </si>
  <si>
    <t xml:space="preserve">five complete trunks; four survive largest loss</t>
  </si>
  <si>
    <t xml:space="preserve">CT-C-B-THERMAL</t>
  </si>
  <si>
    <t xml:space="preserve">OPEN: mixed-utility fault and smoke-heat rejection</t>
  </si>
  <si>
    <t xml:space="preserve">CT-C-B-GEOMETRY</t>
  </si>
  <si>
    <t xml:space="preserve">CT-C-B-RIGHTS</t>
  </si>
  <si>
    <t xml:space="preserve">eight occupied safe zones; seven survive largest loss</t>
  </si>
  <si>
    <t xml:space="preserve">CT-C-B-RESIDUAL</t>
  </si>
  <si>
    <t xml:space="preserve">220 t/day requirement; 231 t/day survivor capacity</t>
  </si>
  <si>
    <t xml:space="preserve">CT-C-B-REBUILD</t>
  </si>
  <si>
    <t xml:space="preserve">occupied-spine section within 168 h</t>
  </si>
  <si>
    <t xml:space="preserve">HC-A-C-SVC</t>
  </si>
  <si>
    <t xml:space="preserve">first attributable effect by h6; 1 km by h18; hold 72 h</t>
  </si>
  <si>
    <t xml:space="preserve">HC-A-C-MASS</t>
  </si>
  <si>
    <t xml:space="preserve">54,000 t requirement; 56,700 t survivor capacity</t>
  </si>
  <si>
    <t xml:space="preserve">HC-A-C-ENERGY</t>
  </si>
  <si>
    <t xml:space="preserve">140 MW requirement; 144 MW survivor capacity</t>
  </si>
  <si>
    <t xml:space="preserve">HC-A-C-FLOW</t>
  </si>
  <si>
    <t xml:space="preserve">103 km/day requirement; 106 km/day survivor capacity</t>
  </si>
  <si>
    <t xml:space="preserve">HC-A-C-THERMAL</t>
  </si>
  <si>
    <t xml:space="preserve">OPEN: 72 h rotor, power and hot-zone refill thermal state</t>
  </si>
  <si>
    <t xml:space="preserve">HC-A-C-GEOMETRY</t>
  </si>
  <si>
    <t xml:space="preserve">HC-A-C-RIGHTS</t>
  </si>
  <si>
    <t xml:space="preserve">eight response/avoidance zones; seven survive largest loss</t>
  </si>
  <si>
    <t xml:space="preserve">HC-A-C-RESIDUAL</t>
  </si>
  <si>
    <t xml:space="preserve">900 t/day requirement; 945 t/day survivor capacity</t>
  </si>
  <si>
    <t xml:space="preserve">HC-A-C-REBUILD</t>
  </si>
  <si>
    <t xml:space="preserve">sensing-to-runoff section within 168 h</t>
  </si>
  <si>
    <t xml:space="preserve">LF-B-A-SVC</t>
  </si>
  <si>
    <t xml:space="preserve">25,000 m³/day water; 25 MW electric; 20 MWth by h72; four positions by d21</t>
  </si>
  <si>
    <t xml:space="preserve">LF-B-A-MASS</t>
  </si>
  <si>
    <t xml:space="preserve">31.1 kt access requirement; 31.9 kt survivor capacity</t>
  </si>
  <si>
    <t xml:space="preserve">LF-B-A-ENERGY</t>
  </si>
  <si>
    <t xml:space="preserve">37.4 MW requirement; 39 MW survivor capacity</t>
  </si>
  <si>
    <t xml:space="preserve">LF-B-A-FLOW</t>
  </si>
  <si>
    <t xml:space="preserve">25,000 m³/day product; two 15.5 km routes</t>
  </si>
  <si>
    <t xml:space="preserve">LF-B-A-THERMAL</t>
  </si>
  <si>
    <t xml:space="preserve">OPEN: reservoir decline, conversion and injection heat balance</t>
  </si>
  <si>
    <t xml:space="preserve">LF-B-A-GEOMETRY</t>
  </si>
  <si>
    <t xml:space="preserve">LF-B-A-RIGHTS</t>
  </si>
  <si>
    <t xml:space="preserve">three product-water cells; two survive largest loss</t>
  </si>
  <si>
    <t xml:space="preserve">LF-B-A-RESIDUAL</t>
  </si>
  <si>
    <t xml:space="preserve">20,000 m³/day requirement; 20,600 m³/day survivor injection</t>
  </si>
  <si>
    <t xml:space="preserve">LF-B-A-REBUILD</t>
  </si>
  <si>
    <t xml:space="preserve">bores-to-injection section within 168 h</t>
  </si>
  <si>
    <t xml:space="preserve">HU-A-B-SVC</t>
  </si>
  <si>
    <t xml:space="preserve">2,500 definitive episodes; 5,000 regulated transfers; complete ten-line care</t>
  </si>
  <si>
    <t xml:space="preserve">HU-A-B-MASS</t>
  </si>
  <si>
    <t xml:space="preserve">50.0 kt requirement; 51.5 kt survivor capacity</t>
  </si>
  <si>
    <t xml:space="preserve">HU-A-B-ENERGY</t>
  </si>
  <si>
    <t xml:space="preserve">52 MW requirement; 55 MW survivor capacity</t>
  </si>
  <si>
    <t xml:space="preserve">HU-A-B-FLOW</t>
  </si>
  <si>
    <t xml:space="preserve">ten indivisible care lines across independent routes</t>
  </si>
  <si>
    <t xml:space="preserve">HU-A-B-THERMAL</t>
  </si>
  <si>
    <t xml:space="preserve">OPEN: sterile heat, cold-chain and occupied-zone rejection</t>
  </si>
  <si>
    <t xml:space="preserve">HU-A-B-GEOMETRY</t>
  </si>
  <si>
    <t xml:space="preserve">HU-A-B-RIGHTS</t>
  </si>
  <si>
    <t xml:space="preserve">eight clinical/refuge zones; seven survive largest loss</t>
  </si>
  <si>
    <t xml:space="preserve">HU-A-B-RESIDUAL</t>
  </si>
  <si>
    <t xml:space="preserve">350 t/day requirement; 368 t/day survivor capacity</t>
  </si>
  <si>
    <t xml:space="preserve">HU-A-B-REBUILD</t>
  </si>
  <si>
    <t xml:space="preserve">all ten care-line interfaces within 168 h</t>
  </si>
  <si>
    <t xml:space="preserve">RT-B-C-SVC</t>
  </si>
  <si>
    <t xml:space="preserve">99-position stack; 2,970 position-days; critical classes restored within 168 h</t>
  </si>
  <si>
    <t xml:space="preserve">RT-B-C-MASS</t>
  </si>
  <si>
    <t xml:space="preserve">72,000 t requirement; 75,600 t survivor capacity</t>
  </si>
  <si>
    <t xml:space="preserve">RT-B-C-ENERGY</t>
  </si>
  <si>
    <t xml:space="preserve">155 MW requirement; 159 MW survivor capacity</t>
  </si>
  <si>
    <t xml:space="preserve">RT-B-C-FLOW</t>
  </si>
  <si>
    <t xml:space="preserve">five complete meshes; four survive largest loss</t>
  </si>
  <si>
    <t xml:space="preserve">RT-B-C-THERMAL</t>
  </si>
  <si>
    <t xml:space="preserve">OPEN: process-heat and machine-cell rejection under islanding</t>
  </si>
  <si>
    <t xml:space="preserve">RT-B-C-GEOMETRY</t>
  </si>
  <si>
    <t xml:space="preserve">RT-B-C-RIGHTS</t>
  </si>
  <si>
    <t xml:space="preserve">nine receiver/release envelopes; eight survive largest loss</t>
  </si>
  <si>
    <t xml:space="preserve">RT-B-C-RESIDUAL</t>
  </si>
  <si>
    <t xml:space="preserve">RT-B-C-REBUILD</t>
  </si>
  <si>
    <t xml:space="preserve">dirty-return-to-release trainlet within 168 h</t>
  </si>
  <si>
    <t xml:space="preserve">Repository source and provenance ledger</t>
  </si>
  <si>
    <t xml:space="preserve">Every inherited value is a design input with an allowed use and expiry. No repository estimate is relabeled as measurement.</t>
  </si>
  <si>
    <t xml:space="preserve">Source record</t>
  </si>
  <si>
    <t xml:space="preserve">Parameter family</t>
  </si>
  <si>
    <t xml:space="preserve">Source artifact</t>
  </si>
  <si>
    <t xml:space="preserve">Pass</t>
  </si>
  <si>
    <t xml:space="preserve">Source class</t>
  </si>
  <si>
    <t xml:space="preserve">Inherited value</t>
  </si>
  <si>
    <t xml:space="preserve">Allowed use</t>
  </si>
  <si>
    <t xml:space="preserve">Measured</t>
  </si>
  <si>
    <t xml:space="preserve">Expiry trigger</t>
  </si>
  <si>
    <t xml:space="preserve">S001</t>
  </si>
  <si>
    <t xml:space="preserve">department-of-resilience-six-root-form-giving-candidate-article-requirement-constitution.md</t>
  </si>
  <si>
    <t xml:space="preserve">DESIGN REQUIREMENT</t>
  </si>
  <si>
    <t xml:space="preserve">root-native</t>
  </si>
  <si>
    <t xml:space="preserve">size test article and receiver burden</t>
  </si>
  <si>
    <t xml:space="preserve">denominator supersession</t>
  </si>
  <si>
    <t xml:space="preserve">ADMITTED / UNMEASURED</t>
  </si>
  <si>
    <t xml:space="preserve">S002</t>
  </si>
  <si>
    <t xml:space="preserve">Article boundary</t>
  </si>
  <si>
    <t xml:space="preserve">motion-decoupled flow and dry custody</t>
  </si>
  <si>
    <t xml:space="preserve">text</t>
  </si>
  <si>
    <t xml:space="preserve">bound causal interface</t>
  </si>
  <si>
    <t xml:space="preserve">boundary supersession</t>
  </si>
  <si>
    <t xml:space="preserve">S003</t>
  </si>
  <si>
    <t xml:space="preserve">Internal partitions</t>
  </si>
  <si>
    <t xml:space="preserve">department-of-resilience-six-root-internal-section-architecture-and-measurement-constitution.md</t>
  </si>
  <si>
    <t xml:space="preserve">DESIGN HYPOTHESIS</t>
  </si>
  <si>
    <t xml:space="preserve">define loss-isolated cells</t>
  </si>
  <si>
    <t xml:space="preserve">section supersession</t>
  </si>
  <si>
    <t xml:space="preserve">S004</t>
  </si>
  <si>
    <t xml:space="preserve">Mass account</t>
  </si>
  <si>
    <t xml:space="preserve">prepare mass ledger</t>
  </si>
  <si>
    <t xml:space="preserve">measured mass available</t>
  </si>
  <si>
    <t xml:space="preserve">S005</t>
  </si>
  <si>
    <t xml:space="preserve">Energy account</t>
  </si>
  <si>
    <t xml:space="preserve">prepare energy ledger</t>
  </si>
  <si>
    <t xml:space="preserve">measured power available</t>
  </si>
  <si>
    <t xml:space="preserve">S006</t>
  </si>
  <si>
    <t xml:space="preserve">Flow account</t>
  </si>
  <si>
    <t xml:space="preserve">prepare rate ledger</t>
  </si>
  <si>
    <t xml:space="preserve">measured flow available</t>
  </si>
  <si>
    <t xml:space="preserve">S007</t>
  </si>
  <si>
    <t xml:space="preserve">Civil and safe state</t>
  </si>
  <si>
    <t xml:space="preserve">prepare protected-state protocol</t>
  </si>
  <si>
    <t xml:space="preserve">rights covenant supersession</t>
  </si>
  <si>
    <t xml:space="preserve">S008</t>
  </si>
  <si>
    <t xml:space="preserve">Residual account</t>
  </si>
  <si>
    <t xml:space="preserve">prepare residual ledger</t>
  </si>
  <si>
    <t xml:space="preserve">measured residual available</t>
  </si>
  <si>
    <t xml:space="preserve">S009</t>
  </si>
  <si>
    <t xml:space="preserve">Cold rebuild ceiling</t>
  </si>
  <si>
    <t xml:space="preserve">TEST CEILING</t>
  </si>
  <si>
    <t xml:space="preserve">prepare reconstruction event</t>
  </si>
  <si>
    <t xml:space="preserve">clock supersession</t>
  </si>
  <si>
    <t xml:space="preserve">S010</t>
  </si>
  <si>
    <t xml:space="preserve">Dimension envelope</t>
  </si>
  <si>
    <t xml:space="preserve">department-of-resilience-six-root-native-dimension-envelope-and-decisive-interface-atlas.md</t>
  </si>
  <si>
    <t xml:space="preserve">PLANNING INTERVAL</t>
  </si>
  <si>
    <t xml:space="preserve">bound exploration without midpoint</t>
  </si>
  <si>
    <t xml:space="preserve">surveyed geometry available</t>
  </si>
  <si>
    <t xml:space="preserve">S011</t>
  </si>
  <si>
    <t xml:space="preserve">Fatal event</t>
  </si>
  <si>
    <t xml:space="preserve">department-of-resilience-six-root-pre-evidence-form-selection-covenant-and-return.md</t>
  </si>
  <si>
    <t xml:space="preserve">EXPERIMENT SPECIFICATION</t>
  </si>
  <si>
    <t xml:space="preserve">freeze disqualifying test</t>
  </si>
  <si>
    <t xml:space="preserve">event invalidation</t>
  </si>
  <si>
    <t xml:space="preserve">S012</t>
  </si>
  <si>
    <t xml:space="preserve">Form ceiling</t>
  </si>
  <si>
    <t xml:space="preserve">department-of-resilience-cohort-one-execution-warrant-and-protected-sibling-reserve.md</t>
  </si>
  <si>
    <t xml:space="preserve">FISCAL CEILING</t>
  </si>
  <si>
    <t xml:space="preserve">USD M</t>
  </si>
  <si>
    <t xml:space="preserve">cap five design packages</t>
  </si>
  <si>
    <t xml:space="preserve">fiscal supersession</t>
  </si>
  <si>
    <t xml:space="preserve">S013</t>
  </si>
  <si>
    <t xml:space="preserve">S014</t>
  </si>
  <si>
    <t xml:space="preserve">fault-contained attachment and five-utility insertion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</si>
  <si>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</si>
  <si>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</si>
  <si>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</si>
  <si>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</si>
  <si>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</si>
  <si>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</si>
  <si>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</si>
  <si>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</si>
  <si>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</si>
  <si>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</si>
  <si>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</si>
  <si>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</si>
  <si>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attributable held-line effect under network denial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</si>
  <si>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</si>
  <si>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</si>
  <si>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</si>
  <si>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</si>
  <si>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</si>
  <si>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</si>
  <si>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</si>
  <si>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</si>
  <si>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</si>
  <si>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</si>
  <si>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</si>
  <si>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</si>
  <si>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hazard-limited source, conversion and brine custody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</si>
  <si>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</si>
  <si>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</si>
  <si>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</si>
  <si>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</si>
  <si>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</si>
  <si>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</si>
  <si>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</si>
  <si>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</si>
  <si>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</si>
  <si>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</si>
  <si>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</si>
  <si>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</si>
  <si>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complete ten-line clinical metabolism and supported discharge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</si>
  <si>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</si>
  <si>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</si>
  <si>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</si>
  <si>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</si>
  <si>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</si>
  <si>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</si>
  <si>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</si>
  <si>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</si>
  <si>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</si>
  <si>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</si>
  <si>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</si>
  <si>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</si>
  <si>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qualified release with complete ancestry under disconnection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</si>
  <si>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</si>
  <si>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</si>
  <si>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</si>
  <si>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</si>
  <si>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</si>
  <si>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</si>
  <si>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</si>
  <si>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</si>
  <si>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</si>
  <si>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</si>
  <si>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Baseline closure rules</t>
  </si>
  <si>
    <t xml:space="preserve">The rules make missingness, uncertainty, failure and downstream authority explicit.</t>
  </si>
  <si>
    <t xml:space="preserve">Rule</t>
  </si>
  <si>
    <t xml:space="preserve">Class</t>
  </si>
  <si>
    <t xml:space="preserve">Subject</t>
  </si>
  <si>
    <t xml:space="preserve">Requirement</t>
  </si>
  <si>
    <t xml:space="preserve">Failure disposition</t>
  </si>
  <si>
    <t xml:space="preserve">Cannot substitute</t>
  </si>
  <si>
    <t xml:space="preserve">Authority</t>
  </si>
  <si>
    <t xml:space="preserve">R01</t>
  </si>
  <si>
    <t xml:space="preserve">CONFIGURATION</t>
  </si>
  <si>
    <t xml:space="preserve">one baseline per form</t>
  </si>
  <si>
    <t xml:space="preserve">one content-addressed configuration binds all packages</t>
  </si>
  <si>
    <t xml:space="preserve">package-local drift</t>
  </si>
  <si>
    <t xml:space="preserve">CONSTITUTED</t>
  </si>
  <si>
    <t xml:space="preserve">R02</t>
  </si>
  <si>
    <t xml:space="preserve">root independence</t>
  </si>
  <si>
    <t xml:space="preserve">no shared decisive solver, controller, safeing path or runtime</t>
  </si>
  <si>
    <t xml:space="preserve">KILL / REDESIGN</t>
  </si>
  <si>
    <t xml:space="preserve">semantic interoperability</t>
  </si>
  <si>
    <t xml:space="preserve">R03</t>
  </si>
  <si>
    <t xml:space="preserve">WORLD</t>
  </si>
  <si>
    <t xml:space="preserve">nominal</t>
  </si>
  <si>
    <t xml:space="preserve">all nine accounts close together</t>
  </si>
  <si>
    <t xml:space="preserve">favorable subsystem</t>
  </si>
  <si>
    <t xml:space="preserve">R04</t>
  </si>
  <si>
    <t xml:space="preserve">largest-cell loss</t>
  </si>
  <si>
    <t xml:space="preserve">same configuration and receiver; one largest cell absent</t>
  </si>
  <si>
    <t xml:space="preserve">aggregate reserve</t>
  </si>
  <si>
    <t xml:space="preserve">R05</t>
  </si>
  <si>
    <t xml:space="preserve">fatal keystone</t>
  </si>
  <si>
    <t xml:space="preserve">frozen intervention and disqualifying observation</t>
  </si>
  <si>
    <t xml:space="preserve">WITHDRAW after valid failure</t>
  </si>
  <si>
    <t xml:space="preserve">simulation</t>
  </si>
  <si>
    <t xml:space="preserve">R06</t>
  </si>
  <si>
    <t xml:space="preserve">cold rebuild</t>
  </si>
  <si>
    <t xml:space="preserve">builder team, runtime, private keys and tacit setup denied</t>
  </si>
  <si>
    <t xml:space="preserve">vendor service</t>
  </si>
  <si>
    <t xml:space="preserve">R07</t>
  </si>
  <si>
    <t xml:space="preserve">ACCOUNT</t>
  </si>
  <si>
    <t xml:space="preserve">service</t>
  </si>
  <si>
    <t xml:space="preserve">time, duration, receiver and quality are conjunctive</t>
  </si>
  <si>
    <t xml:space="preserve">gross output</t>
  </si>
  <si>
    <t xml:space="preserve">R08</t>
  </si>
  <si>
    <t xml:space="preserve">mass</t>
  </si>
  <si>
    <t xml:space="preserve">owned inventory and custody close by configuration</t>
  </si>
  <si>
    <t xml:space="preserve">transport capacity</t>
  </si>
  <si>
    <t xml:space="preserve">R09</t>
  </si>
  <si>
    <t xml:space="preserve">energy</t>
  </si>
  <si>
    <t xml:space="preserve">generation, storage, black start and rejection close by cell</t>
  </si>
  <si>
    <t xml:space="preserve">nameplate power</t>
  </si>
  <si>
    <t xml:space="preserve">R10</t>
  </si>
  <si>
    <t xml:space="preserve">flow</t>
  </si>
  <si>
    <t xml:space="preserve">source-to-receiver causal rate closes after loss</t>
  </si>
  <si>
    <t xml:space="preserve">machine throughput</t>
  </si>
  <si>
    <t xml:space="preserve">R11</t>
  </si>
  <si>
    <t xml:space="preserve">thermal</t>
  </si>
  <si>
    <t xml:space="preserve">transient and sustained temperature states remain bounded</t>
  </si>
  <si>
    <t xml:space="preserve">electrical surplus</t>
  </si>
  <si>
    <t xml:space="preserve">R12</t>
  </si>
  <si>
    <t xml:space="preserve">geometry</t>
  </si>
  <si>
    <t xml:space="preserve">decisive interfaces fit without midpoint substitution</t>
  </si>
  <si>
    <t xml:space="preserve">rendered proportions</t>
  </si>
  <si>
    <t xml:space="preserve">R13</t>
  </si>
  <si>
    <t xml:space="preserve">rights</t>
  </si>
  <si>
    <t xml:space="preserve">service volume</t>
  </si>
  <si>
    <t xml:space="preserve">R14</t>
  </si>
  <si>
    <t xml:space="preserve">residual</t>
  </si>
  <si>
    <t xml:space="preserve">generated through released material reconciles</t>
  </si>
  <si>
    <t xml:space="preserve">treatment nameplate</t>
  </si>
  <si>
    <t xml:space="preserve">R15</t>
  </si>
  <si>
    <t xml:space="preserve">rebuild</t>
  </si>
  <si>
    <t xml:space="preserve">outside team reconstructs and requalifies within 168 h</t>
  </si>
  <si>
    <t xml:space="preserve">modularity claim</t>
  </si>
  <si>
    <t xml:space="preserve">R16</t>
  </si>
  <si>
    <t xml:space="preserve">SOURCE</t>
  </si>
  <si>
    <t xml:space="preserve">missing input</t>
  </si>
  <si>
    <t xml:space="preserve">blank remains blank and orders HOLD</t>
  </si>
  <si>
    <t xml:space="preserve">zero or midpoint</t>
  </si>
  <si>
    <t xml:space="preserve">R17</t>
  </si>
  <si>
    <t xml:space="preserve">interval input</t>
  </si>
  <si>
    <t xml:space="preserve">evaluate bounds and declared dependency, never silent midpoint</t>
  </si>
  <si>
    <t xml:space="preserve">single point</t>
  </si>
  <si>
    <t xml:space="preserve">R18</t>
  </si>
  <si>
    <t xml:space="preserve">assumption</t>
  </si>
  <si>
    <t xml:space="preserve">carry source class, use and expiry beside value</t>
  </si>
  <si>
    <t xml:space="preserve">format color</t>
  </si>
  <si>
    <t xml:space="preserve">R19</t>
  </si>
  <si>
    <t xml:space="preserve">new measurement</t>
  </si>
  <si>
    <t xml:space="preserve">append raw observation; do not overwrite inherited input</t>
  </si>
  <si>
    <t xml:space="preserve">REVIEW</t>
  </si>
  <si>
    <t xml:space="preserve">design estimate</t>
  </si>
  <si>
    <t xml:space="preserve">R20</t>
  </si>
  <si>
    <t xml:space="preserve">PACKAGE</t>
  </si>
  <si>
    <t xml:space="preserve">five-package crosswalk</t>
  </si>
  <si>
    <t xml:space="preserve">every account has at least two accountable packages</t>
  </si>
  <si>
    <t xml:space="preserve">whole-form office</t>
  </si>
  <si>
    <t xml:space="preserve">R21</t>
  </si>
  <si>
    <t xml:space="preserve">AUTHORITY</t>
  </si>
  <si>
    <t xml:space="preserve">design closure</t>
  </si>
  <si>
    <t xml:space="preserve">may create reconstructable engineering artifact only</t>
  </si>
  <si>
    <t xml:space="preserve">physical evidence</t>
  </si>
  <si>
    <t xml:space="preserve">AVA-TC</t>
  </si>
  <si>
    <t xml:space="preserve">R22</t>
  </si>
  <si>
    <t xml:space="preserve">payment</t>
  </si>
  <si>
    <t xml:space="preserve">requires AVW, milestone and FDW</t>
  </si>
  <si>
    <t xml:space="preserve">technical credit</t>
  </si>
  <si>
    <t xml:space="preserve">R23</t>
  </si>
  <si>
    <t xml:space="preserve">representation</t>
  </si>
  <si>
    <t xml:space="preserve">REP-4 requires measured as-built metrology</t>
  </si>
  <si>
    <t xml:space="preserve">TERMINATE conversion</t>
  </si>
  <si>
    <t xml:space="preserve">REP-3 image</t>
  </si>
  <si>
    <t xml:space="preserve">Pass 220</t>
  </si>
  <si>
    <t xml:space="preserve">R24</t>
  </si>
  <si>
    <t xml:space="preserve">physical work</t>
  </si>
  <si>
    <t xml:space="preserve">MAKE requires separate construction warrant</t>
  </si>
  <si>
    <t xml:space="preserve">paid design</t>
  </si>
  <si>
    <t xml:space="preserve">Pass 235</t>
  </si>
  <si>
    <t xml:space="preserve">Thirty-package account crosswalk</t>
  </si>
  <si>
    <t xml:space="preserve">Five packages divide accountability without allowing one package or office to declare whole-form closure.</t>
  </si>
  <si>
    <t xml:space="preserve">Package</t>
  </si>
  <si>
    <t xml:space="preserve">Family</t>
  </si>
  <si>
    <t xml:space="preserve">Work package</t>
  </si>
  <si>
    <t xml:space="preserve">Share</t>
  </si>
  <si>
    <t xml:space="preserve">Ceiling (USD M)</t>
  </si>
  <si>
    <t xml:space="preserve">Accounts covered</t>
  </si>
  <si>
    <t xml:space="preserve">P01</t>
  </si>
  <si>
    <t xml:space="preserve">METHOD</t>
  </si>
  <si>
    <t xml:space="preserve">Event method and denominator</t>
  </si>
  <si>
    <t xml:space="preserve">P02</t>
  </si>
  <si>
    <t xml:space="preserve">MEASURE</t>
  </si>
  <si>
    <t xml:space="preserve">Instrumentation, custody and validity</t>
  </si>
  <si>
    <t xml:space="preserve">P03</t>
  </si>
  <si>
    <t xml:space="preserve">CIVIL</t>
  </si>
  <si>
    <t xml:space="preserve">Rights, receiver and residual closure</t>
  </si>
  <si>
    <t xml:space="preserve">P04</t>
  </si>
  <si>
    <t xml:space="preserve">ARTICLE</t>
  </si>
  <si>
    <t xml:space="preserve">Destructive-article engineering</t>
  </si>
  <si>
    <t xml:space="preserve">P05</t>
  </si>
  <si>
    <t xml:space="preserve">Cold reconstruction and challenge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</si>
  <si>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</si>
  <si>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</si>
  <si>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</si>
  <si>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</si>
  <si>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</si>
  <si>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</si>
  <si>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</si>
  <si>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</si>
  <si>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</si>
  <si>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</si>
  <si>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</si>
  <si>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</si>
  <si>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</si>
  <si>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</si>
  <si>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</si>
  <si>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</si>
  <si>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</si>
  <si>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</si>
  <si>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</si>
  <si>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</si>
  <si>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</si>
  <si>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</si>
  <si>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</si>
  <si>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</si>
  <si>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</si>
  <si>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Form-induced technology programs</t>
  </si>
  <si>
    <t xml:space="preserve">Eighteen advances follow from the active forms. Each ends in a fatal prototype event, not a technology demonstration.</t>
  </si>
  <si>
    <t xml:space="preserve">Campaign</t>
  </si>
  <si>
    <t xml:space="preserve">Decisive interface</t>
  </si>
  <si>
    <t xml:space="preserve">Required advance</t>
  </si>
  <si>
    <t xml:space="preserve">Why existing class is insufficient</t>
  </si>
  <si>
    <t xml:space="preserve">Fatal prototype event</t>
  </si>
  <si>
    <t xml:space="preserve">Evidence</t>
  </si>
  <si>
    <t xml:space="preserve">T001</t>
  </si>
  <si>
    <t xml:space="preserve">moving-source receiver</t>
  </si>
  <si>
    <t xml:space="preserve">active six-axis transfer saddle</t>
  </si>
  <si>
    <t xml:space="preserve">ordinary offshore cranes do not preserve two custody-complete paths</t>
  </si>
  <si>
    <t xml:space="preserve">remove one saddle at rated transfer; surviving path retains metered custody</t>
  </si>
  <si>
    <t xml:space="preserve">OPEN / UNPROVEN</t>
  </si>
  <si>
    <t xml:space="preserve">T002</t>
  </si>
  <si>
    <t xml:space="preserve">wet-dry break</t>
  </si>
  <si>
    <t xml:space="preserve">self-forming amphibious shore bridge</t>
  </si>
  <si>
    <t xml:space="preserve">fixed ramps cannot follow changing beach and flood profiles</t>
  </si>
  <si>
    <t xml:space="preserve">erase one shore segment and cold-build replacement without stopping other path</t>
  </si>
  <si>
    <t xml:space="preserve">T003</t>
  </si>
  <si>
    <t xml:space="preserve">dry custody</t>
  </si>
  <si>
    <t xml:space="preserve">distributed tamper-evident flow metrology</t>
  </si>
  <si>
    <t xml:space="preserve">one custody station is a common failure under salt, motion and disconnection</t>
  </si>
  <si>
    <t xml:space="preserve">deny network and one meter chain; reconcile wet receipt to dry handoff locally</t>
  </si>
  <si>
    <t xml:space="preserve">T013</t>
  </si>
  <si>
    <t xml:space="preserve">suspended belt</t>
  </si>
  <si>
    <t xml:space="preserve">active-tension anchor zones with passive arrest</t>
  </si>
  <si>
    <t xml:space="preserve">façade access systems lack utility mass and fault containment</t>
  </si>
  <si>
    <t xml:space="preserve">release one anchor zone and arrest belt without progressive peel</t>
  </si>
  <si>
    <t xml:space="preserve">T014</t>
  </si>
  <si>
    <t xml:space="preserve">belt break</t>
  </si>
  <si>
    <t xml:space="preserve">automatic fluid, electrical and smoke guillotines</t>
  </si>
  <si>
    <t xml:space="preserve">existing disconnects do not coordinate all five trunks</t>
  </si>
  <si>
    <t xml:space="preserve">fault one trunk and prove no cross-trunk propagation</t>
  </si>
  <si>
    <t xml:space="preserve">T015</t>
  </si>
  <si>
    <t xml:space="preserve">occupied insertion</t>
  </si>
  <si>
    <t xml:space="preserve">contamination-aware climbing robotics</t>
  </si>
  <si>
    <t xml:space="preserve">construction robots assume clean evacuated work zones</t>
  </si>
  <si>
    <t xml:space="preserve">install through occupied denial zone without deleting egress or consent</t>
  </si>
  <si>
    <t xml:space="preserve">T025</t>
  </si>
  <si>
    <t xml:space="preserve">rotor cell</t>
  </si>
  <si>
    <t xml:space="preserve">cooperative heavy-lift rotors without decisive mesh</t>
  </si>
  <si>
    <t xml:space="preserve">swarms usually need central scheduling and positioning</t>
  </si>
  <si>
    <t xml:space="preserve">deny coordination network and retain local sector control</t>
  </si>
  <si>
    <t xml:space="preserve">T026</t>
  </si>
  <si>
    <t xml:space="preserve">refill</t>
  </si>
  <si>
    <t xml:space="preserve">hot-zone robotic battery-fluid exchange</t>
  </si>
  <si>
    <t xml:space="preserve">airport refill cycles break persistence and expose crews</t>
  </si>
  <si>
    <t xml:space="preserve">fault one refill lane and sustain sector from second local lane</t>
  </si>
  <si>
    <t xml:space="preserve">T027</t>
  </si>
  <si>
    <t xml:space="preserve">edge sensing</t>
  </si>
  <si>
    <t xml:space="preserve">self-calibrating particulate and heat tomography</t>
  </si>
  <si>
    <t xml:space="preserve">low-cost sensors drift in dense smoke and cannot support attribution</t>
  </si>
  <si>
    <t xml:space="preserve">inject correlated drift and force HOLD rather than false effect</t>
  </si>
  <si>
    <t xml:space="preserve">T028</t>
  </si>
  <si>
    <t xml:space="preserve">reservoir contact</t>
  </si>
  <si>
    <t xml:space="preserve">rapid multi-bore subsurface inference</t>
  </si>
  <si>
    <t xml:space="preserve">exploration is slow and centralizes uncertainty in one model</t>
  </si>
  <si>
    <t xml:space="preserve">blind one bore family and bound drawdown from independent local measurements</t>
  </si>
  <si>
    <t xml:space="preserve">T029</t>
  </si>
  <si>
    <t xml:space="preserve">radial headers</t>
  </si>
  <si>
    <t xml:space="preserve">loss-defined high-temperature fluid switching</t>
  </si>
  <si>
    <t xml:space="preserve">geothermal headers centralize separation and brine custody</t>
  </si>
  <si>
    <t xml:space="preserve">rupture one header and retain independent product and return paths</t>
  </si>
  <si>
    <t xml:space="preserve">T030</t>
  </si>
  <si>
    <t xml:space="preserve">mineral custody</t>
  </si>
  <si>
    <t xml:space="preserve">continuous brine-to-mineral closed metabolism</t>
  </si>
  <si>
    <t xml:space="preserve">commercial plants externalize variable brine chemistry</t>
  </si>
  <si>
    <t xml:space="preserve">change chemistry abruptly and reconcile retained, treated and released mass</t>
  </si>
  <si>
    <t xml:space="preserve">T040</t>
  </si>
  <si>
    <t xml:space="preserve">care spine</t>
  </si>
  <si>
    <t xml:space="preserve">acuity-reconfigurable complete care sections</t>
  </si>
  <si>
    <t xml:space="preserve">fixed departments cannot preserve all care lines through section loss</t>
  </si>
  <si>
    <t xml:space="preserve">block one spine section and preserve ten-line care through bypass</t>
  </si>
  <si>
    <t xml:space="preserve">T041</t>
  </si>
  <si>
    <t xml:space="preserve">clinical utility</t>
  </si>
  <si>
    <t xml:space="preserve">plug-safe islanded clinical utility cells</t>
  </si>
  <si>
    <t xml:space="preserve">hospital utilities share central air, power and sterile metabolism</t>
  </si>
  <si>
    <t xml:space="preserve">trip one cell and preserve definitive episodes without cross-contamination</t>
  </si>
  <si>
    <t xml:space="preserve">T042</t>
  </si>
  <si>
    <t xml:space="preserve">relationship state</t>
  </si>
  <si>
    <t xml:space="preserve">offline person-household-care ledger</t>
  </si>
  <si>
    <t xml:space="preserve">bed counts and cloud records do not prove supported discharge</t>
  </si>
  <si>
    <t xml:space="preserve">deny destination and network while retaining lawful episode disposition</t>
  </si>
  <si>
    <t xml:space="preserve">T052</t>
  </si>
  <si>
    <t xml:space="preserve">mobile trainlet</t>
  </si>
  <si>
    <t xml:space="preserve">self-contained multi-process trainlets</t>
  </si>
  <si>
    <t xml:space="preserve">mobile workshops omit complete material, metrology and release chains</t>
  </si>
  <si>
    <t xml:space="preserve">isolate one trainlet and preserve qualified release in the others</t>
  </si>
  <si>
    <t xml:space="preserve">T053</t>
  </si>
  <si>
    <t xml:space="preserve">process energy</t>
  </si>
  <si>
    <t xml:space="preserve">islanded pulsed process-energy cells</t>
  </si>
  <si>
    <t xml:space="preserve">generic microgrids do not isolate thermal and subtractive peaks</t>
  </si>
  <si>
    <t xml:space="preserve">remove largest energy cell and finish a qualified route</t>
  </si>
  <si>
    <t xml:space="preserve">T054</t>
  </si>
  <si>
    <t xml:space="preserve">self-describing machines and fixtures</t>
  </si>
  <si>
    <t xml:space="preserve">machine tools depend on vendor software, keys and tacit setup</t>
  </si>
  <si>
    <t xml:space="preserve">clean team rebuilds one trainlet with vendors and private keys denied</t>
  </si>
  <si>
    <t xml:space="preserve">Cohort-one design finance</t>
  </si>
  <si>
    <t xml:space="preserve">The pass allocates no new money and makes no payment. Form ceilings reconcile to the inherited obligation.</t>
  </si>
  <si>
    <t xml:space="preserve">Method 20%</t>
  </si>
  <si>
    <t xml:space="preserve">Measure 25%</t>
  </si>
  <si>
    <t xml:space="preserve">Civil 15%</t>
  </si>
  <si>
    <t xml:space="preserve">Article 25%</t>
  </si>
  <si>
    <t xml:space="preserve">Rebuild 15%</t>
  </si>
  <si>
    <t xml:space="preserve">Current paid</t>
  </si>
  <si>
    <t xml:space="preserve">Total</t>
  </si>
  <si>
    <t xml:space="preserve">Conservation controls</t>
  </si>
  <si>
    <t xml:space="preserve">Control</t>
  </si>
  <si>
    <t xml:space="preserve">Amount (USD M)</t>
  </si>
  <si>
    <t xml:space="preserve">Interpretation</t>
  </si>
  <si>
    <t xml:space="preserve">Cohort-one obligation</t>
  </si>
  <si>
    <t xml:space="preserve">active design liability</t>
  </si>
  <si>
    <t xml:space="preserve">Protected sibling reserve</t>
  </si>
  <si>
    <t xml:space="preserve">unavailable to cohort-one overruns</t>
  </si>
  <si>
    <t xml:space="preserve">FRAME ceiling</t>
  </si>
  <si>
    <t xml:space="preserve">conserved across all forms</t>
  </si>
  <si>
    <t xml:space="preserve">Artifact-estate capital ceiling</t>
  </si>
  <si>
    <t xml:space="preserve">nested inside public-method reserve</t>
  </si>
  <si>
    <t xml:space="preserve">Artifact-estate operating ceiling</t>
  </si>
  <si>
    <t xml:space="preserve">inside reconstruction and escrow</t>
  </si>
  <si>
    <t xml:space="preserve">Current payments</t>
  </si>
  <si>
    <t xml:space="preserve">cash finality remains zero</t>
  </si>
  <si>
    <t xml:space="preserve">Engineering baseline controls</t>
  </si>
  <si>
    <t xml:space="preserve">Blue values are inherited controls or explicit zero states. No cell contains a measured physical result.</t>
  </si>
  <si>
    <t xml:space="preserve">Constitution controls</t>
  </si>
  <si>
    <t xml:space="preserve">Roots</t>
  </si>
  <si>
    <t xml:space="preserve">count</t>
  </si>
  <si>
    <t xml:space="preserve">FR-03</t>
  </si>
  <si>
    <t xml:space="preserve">Active forms</t>
  </si>
  <si>
    <t xml:space="preserve">Pass 227</t>
  </si>
  <si>
    <t xml:space="preserve">Accounts per form</t>
  </si>
  <si>
    <t xml:space="preserve">Load cases per form</t>
  </si>
  <si>
    <t xml:space="preserve">Active packages</t>
  </si>
  <si>
    <t xml:space="preserve">Pass 229</t>
  </si>
  <si>
    <t xml:space="preserve">Source records per form</t>
  </si>
  <si>
    <t xml:space="preserve">Provenance records</t>
  </si>
  <si>
    <t xml:space="preserve">direct arithmetic</t>
  </si>
  <si>
    <t xml:space="preserve">Technology thrusts</t>
  </si>
  <si>
    <t xml:space="preserve">Pass 224 active forms</t>
  </si>
  <si>
    <t xml:space="preserve">Closure rules</t>
  </si>
  <si>
    <t xml:space="preserve">Adverse screen</t>
  </si>
  <si>
    <t xml:space="preserve">share</t>
  </si>
  <si>
    <t xml:space="preserve">Pass 218</t>
  </si>
  <si>
    <t xml:space="preserve">Closure threshold</t>
  </si>
  <si>
    <t xml:space="preserve">ratio</t>
  </si>
  <si>
    <t xml:space="preserve">Pass 216</t>
  </si>
  <si>
    <t xml:space="preserve">Cold rebuild maximum</t>
  </si>
  <si>
    <t xml:space="preserve">Pass 226</t>
  </si>
  <si>
    <t xml:space="preserve">Pass 233</t>
  </si>
  <si>
    <t xml:space="preserve">Pass 232</t>
  </si>
  <si>
    <t xml:space="preserve">Tolerance</t>
  </si>
  <si>
    <t xml:space="preserve">model control</t>
  </si>
  <si>
    <t xml:space="preserve">Current implementation and authority</t>
  </si>
  <si>
    <t xml:space="preserve">Measured physical coefficients</t>
  </si>
  <si>
    <t xml:space="preserve">source empty</t>
  </si>
  <si>
    <t xml:space="preserve">Accepted engineering baselines</t>
  </si>
  <si>
    <t xml:space="preserve">held</t>
  </si>
  <si>
    <t xml:space="preserve">Valid artifacts</t>
  </si>
  <si>
    <t xml:space="preserve">Paid claims</t>
  </si>
  <si>
    <t xml:space="preserve">Accepted observations</t>
  </si>
  <si>
    <t xml:space="preserve">Selected forms</t>
  </si>
  <si>
    <t xml:space="preserve">MAKE warrants</t>
  </si>
  <si>
    <t xml:space="preserve">REP-4 records</t>
  </si>
  <si>
    <t xml:space="preserve">Capability credit</t>
  </si>
  <si>
    <t xml:space="preserve">Production credit</t>
  </si>
  <si>
    <t xml:space="preserve">Renderings authorized</t>
  </si>
  <si>
    <t xml:space="preserve">Controlled mutation register</t>
  </si>
  <si>
    <t xml:space="preserve">Each corruption is applied to the live workbook, detected by a named audit and restored before export.</t>
  </si>
  <si>
    <t xml:space="preserve">Mutation</t>
  </si>
  <si>
    <t xml:space="preserve">Target</t>
  </si>
  <si>
    <t xml:space="preserve">Baseline</t>
  </si>
  <si>
    <t xml:space="preserve">Mutated</t>
  </si>
  <si>
    <t xml:space="preserve">Expected audit</t>
  </si>
  <si>
    <t xml:space="preserve">Detected</t>
  </si>
  <si>
    <t xml:space="preserve">Restored</t>
  </si>
  <si>
    <t xml:space="preserve">M01</t>
  </si>
  <si>
    <t xml:space="preserve">Inputs!B7</t>
  </si>
  <si>
    <t xml:space="preserve">A01</t>
  </si>
  <si>
    <t xml:space="preserve">YES</t>
  </si>
  <si>
    <t xml:space="preserve">M02</t>
  </si>
  <si>
    <t xml:space="preserve">Inputs!B8</t>
  </si>
  <si>
    <t xml:space="preserve">A02</t>
  </si>
  <si>
    <t xml:space="preserve">M03</t>
  </si>
  <si>
    <t xml:space="preserve">Inputs!B9</t>
  </si>
  <si>
    <t xml:space="preserve">A03</t>
  </si>
  <si>
    <t xml:space="preserve">M04</t>
  </si>
  <si>
    <t xml:space="preserve">Inputs!B10</t>
  </si>
  <si>
    <t xml:space="preserve">A04</t>
  </si>
  <si>
    <t xml:space="preserve">M05</t>
  </si>
  <si>
    <t xml:space="preserve">Inputs!B11</t>
  </si>
  <si>
    <t xml:space="preserve">A05</t>
  </si>
  <si>
    <t xml:space="preserve">M06</t>
  </si>
  <si>
    <t xml:space="preserve">Inputs!B12</t>
  </si>
  <si>
    <t xml:space="preserve">A06</t>
  </si>
  <si>
    <t xml:space="preserve">M07</t>
  </si>
  <si>
    <t xml:space="preserve">Inputs!B13</t>
  </si>
  <si>
    <t xml:space="preserve">A07</t>
  </si>
  <si>
    <t xml:space="preserve">M08</t>
  </si>
  <si>
    <t xml:space="preserve">Inputs!B14</t>
  </si>
  <si>
    <t xml:space="preserve">A08</t>
  </si>
  <si>
    <t xml:space="preserve">M09</t>
  </si>
  <si>
    <t xml:space="preserve">Inputs!B15</t>
  </si>
  <si>
    <t xml:space="preserve">A09</t>
  </si>
  <si>
    <t xml:space="preserve">M10</t>
  </si>
  <si>
    <t xml:space="preserve">Inputs!B16</t>
  </si>
  <si>
    <t xml:space="preserve">A10</t>
  </si>
  <si>
    <t xml:space="preserve">M11</t>
  </si>
  <si>
    <t xml:space="preserve">Inputs!B17</t>
  </si>
  <si>
    <t xml:space="preserve">A11</t>
  </si>
  <si>
    <t xml:space="preserve">M12</t>
  </si>
  <si>
    <t xml:space="preserve">Inputs!B18</t>
  </si>
  <si>
    <t xml:space="preserve">A12</t>
  </si>
  <si>
    <t xml:space="preserve">M13</t>
  </si>
  <si>
    <t xml:space="preserve">Inputs!B19</t>
  </si>
  <si>
    <t xml:space="preserve">A13</t>
  </si>
  <si>
    <t xml:space="preserve">M14</t>
  </si>
  <si>
    <t xml:space="preserve">Inputs!B20</t>
  </si>
  <si>
    <t xml:space="preserve">A14</t>
  </si>
  <si>
    <t xml:space="preserve">M15</t>
  </si>
  <si>
    <t xml:space="preserve">Inputs!B22</t>
  </si>
  <si>
    <t xml:space="preserve">A16</t>
  </si>
  <si>
    <t xml:space="preserve">M16</t>
  </si>
  <si>
    <t xml:space="preserve">Inputs!B23</t>
  </si>
  <si>
    <t xml:space="preserve">A17</t>
  </si>
  <si>
    <t xml:space="preserve">M17</t>
  </si>
  <si>
    <t xml:space="preserve">Inputs!B29</t>
  </si>
  <si>
    <t xml:space="preserve">A51</t>
  </si>
  <si>
    <t xml:space="preserve">M18</t>
  </si>
  <si>
    <t xml:space="preserve">Inputs!B30</t>
  </si>
  <si>
    <t xml:space="preserve">A52</t>
  </si>
  <si>
    <t xml:space="preserve">M19</t>
  </si>
  <si>
    <t xml:space="preserve">Inputs!B33</t>
  </si>
  <si>
    <t xml:space="preserve">A54</t>
  </si>
  <si>
    <t xml:space="preserve">M20</t>
  </si>
  <si>
    <t xml:space="preserve">Inputs!B35</t>
  </si>
  <si>
    <t xml:space="preserve">A55</t>
  </si>
  <si>
    <t xml:space="preserve">M21</t>
  </si>
  <si>
    <t xml:space="preserve">Inputs!B36</t>
  </si>
  <si>
    <t xml:space="preserve">A56</t>
  </si>
  <si>
    <t xml:space="preserve">M22</t>
  </si>
  <si>
    <t xml:space="preserve">Inputs!B39</t>
  </si>
  <si>
    <t xml:space="preserve">A57</t>
  </si>
  <si>
    <t xml:space="preserve">Terminal audit</t>
  </si>
  <si>
    <t xml:space="preserve">Audit is one-way. No engineering, finance or authority result depends on this sheet.</t>
  </si>
  <si>
    <t xml:space="preserve">Audit</t>
  </si>
  <si>
    <t xml:space="preserve">Test</t>
  </si>
  <si>
    <t xml:space="preserve">Observed</t>
  </si>
  <si>
    <t xml:space="preserve">Expected</t>
  </si>
  <si>
    <t xml:space="preserve">Status</t>
  </si>
  <si>
    <t xml:space="preserve">Root control</t>
  </si>
  <si>
    <t xml:space="preserve">Form control</t>
  </si>
  <si>
    <t xml:space="preserve">Account control</t>
  </si>
  <si>
    <t xml:space="preserve">World control</t>
  </si>
  <si>
    <t xml:space="preserve">Package control</t>
  </si>
  <si>
    <t xml:space="preserve">Provenance control</t>
  </si>
  <si>
    <t xml:space="preserve">Technology control</t>
  </si>
  <si>
    <t xml:space="preserve">Closure-rule control</t>
  </si>
  <si>
    <t xml:space="preserve">Rebuild maximum</t>
  </si>
  <si>
    <t xml:space="preserve">Cohort obligation</t>
  </si>
  <si>
    <t xml:space="preserve">Sibling reserve</t>
  </si>
  <si>
    <t xml:space="preserve">A15</t>
  </si>
  <si>
    <t xml:space="preserve">Capital ceiling</t>
  </si>
  <si>
    <t xml:space="preserve">Operating ceiling</t>
  </si>
  <si>
    <t xml:space="preserve">A18</t>
  </si>
  <si>
    <t xml:space="preserve">Five candidate architectures</t>
  </si>
  <si>
    <t xml:space="preserve">A19</t>
  </si>
  <si>
    <t xml:space="preserve">One selected architecture</t>
  </si>
  <si>
    <t xml:space="preserve">A20</t>
  </si>
  <si>
    <t xml:space="preserve">Selected candidate passes ten gates</t>
  </si>
  <si>
    <t xml:space="preserve">A21</t>
  </si>
  <si>
    <t xml:space="preserve">Six baseline records</t>
  </si>
  <si>
    <t xml:space="preserve">A22</t>
  </si>
  <si>
    <t xml:space="preserve">All baseline states constituted</t>
  </si>
  <si>
    <t xml:space="preserve">A23</t>
  </si>
  <si>
    <t xml:space="preserve">Twenty-four load cases</t>
  </si>
  <si>
    <t xml:space="preserve">A24</t>
  </si>
  <si>
    <t xml:space="preserve">Six nominal worlds</t>
  </si>
  <si>
    <t xml:space="preserve">A25</t>
  </si>
  <si>
    <t xml:space="preserve">Six loss worlds</t>
  </si>
  <si>
    <t xml:space="preserve">A26</t>
  </si>
  <si>
    <t xml:space="preserve">Six fatal worlds</t>
  </si>
  <si>
    <t xml:space="preserve">A27</t>
  </si>
  <si>
    <t xml:space="preserve">Six rebuild worlds</t>
  </si>
  <si>
    <t xml:space="preserve">A28</t>
  </si>
  <si>
    <t xml:space="preserve">Load-case evidence zero</t>
  </si>
  <si>
    <t xml:space="preserve">A29</t>
  </si>
  <si>
    <t xml:space="preserve">Fifty-four account records</t>
  </si>
  <si>
    <t xml:space="preserve">A30</t>
  </si>
  <si>
    <t xml:space="preserve">Six thermal coefficients open</t>
  </si>
  <si>
    <t xml:space="preserve">A31</t>
  </si>
  <si>
    <t xml:space="preserve">Account measurements zero</t>
  </si>
  <si>
    <t xml:space="preserve">A32</t>
  </si>
  <si>
    <t xml:space="preserve">Seventy-two provenance records</t>
  </si>
  <si>
    <t xml:space="preserve">A33</t>
  </si>
  <si>
    <t xml:space="preserve">Provenance measurements zero</t>
  </si>
  <si>
    <t xml:space="preserve">A34</t>
  </si>
  <si>
    <t xml:space="preserve">Twelve source records ET</t>
  </si>
  <si>
    <t xml:space="preserve">A35</t>
  </si>
  <si>
    <t xml:space="preserve">Twelve source records RT</t>
  </si>
  <si>
    <t xml:space="preserve">A36</t>
  </si>
  <si>
    <t xml:space="preserve">Twenty-four closure rules</t>
  </si>
  <si>
    <t xml:space="preserve">A37</t>
  </si>
  <si>
    <t xml:space="preserve">All closure rules constituted</t>
  </si>
  <si>
    <t xml:space="preserve">A38</t>
  </si>
  <si>
    <t xml:space="preserve">Thirty package records</t>
  </si>
  <si>
    <t xml:space="preserve">A39</t>
  </si>
  <si>
    <t xml:space="preserve">Package shares reconcile ET</t>
  </si>
  <si>
    <t xml:space="preserve">A40</t>
  </si>
  <si>
    <t xml:space="preserve">Package ceilings reconcile</t>
  </si>
  <si>
    <t xml:space="preserve">A41</t>
  </si>
  <si>
    <t xml:space="preserve">All packages assigned</t>
  </si>
  <si>
    <t xml:space="preserve">A42</t>
  </si>
  <si>
    <t xml:space="preserve">Eighteen technology thrusts</t>
  </si>
  <si>
    <t xml:space="preserve">A43</t>
  </si>
  <si>
    <t xml:space="preserve">Technology evidence zero</t>
  </si>
  <si>
    <t xml:space="preserve">A44</t>
  </si>
  <si>
    <t xml:space="preserve">Finance form ceilings reconcile</t>
  </si>
  <si>
    <t xml:space="preserve">A45</t>
  </si>
  <si>
    <t xml:space="preserve">Finance method share</t>
  </si>
  <si>
    <t xml:space="preserve">A46</t>
  </si>
  <si>
    <t xml:space="preserve">Finance measure share</t>
  </si>
  <si>
    <t xml:space="preserve">A47</t>
  </si>
  <si>
    <t xml:space="preserve">Finance civil share</t>
  </si>
  <si>
    <t xml:space="preserve">A48</t>
  </si>
  <si>
    <t xml:space="preserve">Finance article share</t>
  </si>
  <si>
    <t xml:space="preserve">A49</t>
  </si>
  <si>
    <t xml:space="preserve">Finance rebuild share</t>
  </si>
  <si>
    <t xml:space="preserve">A50</t>
  </si>
  <si>
    <t xml:space="preserve">Paid amount zero</t>
  </si>
  <si>
    <t xml:space="preserve">Measured coefficients zero</t>
  </si>
  <si>
    <t xml:space="preserve">Accepted baselines zero</t>
  </si>
  <si>
    <t xml:space="preserve">A53</t>
  </si>
  <si>
    <t xml:space="preserve">Valid artifacts zero</t>
  </si>
  <si>
    <t xml:space="preserve">Accepted observations zero</t>
  </si>
  <si>
    <t xml:space="preserve">MAKE zero</t>
  </si>
  <si>
    <t xml:space="preserve">REP-4 zero</t>
  </si>
  <si>
    <t xml:space="preserve">Rendering authority zero</t>
  </si>
  <si>
    <t xml:space="preserve">A58</t>
  </si>
  <si>
    <t xml:space="preserve">Items opened one</t>
  </si>
  <si>
    <t xml:space="preserve">A59</t>
  </si>
  <si>
    <t xml:space="preserve">Items closed one</t>
  </si>
  <si>
    <t xml:space="preserve">A60</t>
  </si>
  <si>
    <t xml:space="preserve">Net change zero</t>
  </si>
  <si>
    <t xml:space="preserve">A61</t>
  </si>
  <si>
    <t xml:space="preserve">Running open total one</t>
  </si>
  <si>
    <t xml:space="preserve">A62</t>
  </si>
  <si>
    <t xml:space="preserve">EDB pass count one</t>
  </si>
  <si>
    <t xml:space="preserve">A63</t>
  </si>
  <si>
    <t xml:space="preserve">Branch budget five</t>
  </si>
  <si>
    <t xml:space="preserve">Model notes and limits</t>
  </si>
  <si>
    <t xml:space="preserve">This workbook defines engineering baselines and their closure law. It does not report a completed design or physical result.</t>
  </si>
  <si>
    <t xml:space="preserve">Purpose</t>
  </si>
  <si>
    <t xml:space="preserve">EDB-1 replaces one generic platform model with six source-specific configuration baselines.</t>
  </si>
  <si>
    <t xml:space="preserve">The shared semantic kernel covers identity, units, boundaries, provenance, uncertainty, causal trace and civil obligation only.</t>
  </si>
  <si>
    <t xml:space="preserve">Each form carries four physical worlds, nine conjunctive accounts, twelve source records and five accountable work packages.</t>
  </si>
  <si>
    <t xml:space="preserve">The six thermal rows are intentionally open coefficients. Missing values order HOLD and do not become favorable zeros.</t>
  </si>
  <si>
    <t xml:space="preserve">Inherited values are repository design inputs. Measured fields remain blank and all accepted evidence remains zero.</t>
  </si>
  <si>
    <t xml:space="preserve">Eighteen technology advances are tied to fatal prototype events. None is a production program or readiness claim.</t>
  </si>
  <si>
    <t xml:space="preserve">EDB-1 closes the registered grammar question and opens numerical service, mass, energy, flow and thermal closure next.</t>
  </si>
  <si>
    <t xml:space="preserve">Current boundary</t>
  </si>
  <si>
    <t xml:space="preserve">Six baseline objects are constituted but unmeasured and unaccepted.</t>
  </si>
  <si>
    <t xml:space="preserve">Twenty-four load cases are specified and contain no observations or evidence credit.</t>
  </si>
  <si>
    <t xml:space="preserve">Fifty-four account rules exist; six thermal coefficients remain explicitly open.</t>
  </si>
  <si>
    <t xml:space="preserve">Thirty packages remain funded design work. No artifact-validity or payment state advances.</t>
  </si>
  <si>
    <t xml:space="preserve">The USD179M cohort obligation and USD359M later-sibling reserve remain conserved.</t>
  </si>
  <si>
    <t xml:space="preserve">No evidence, selection, MAKE, REP-4, capability, production or rendering authority is created.</t>
  </si>
  <si>
    <t xml:space="preserve">The inherited minimum W03 margins are design arithmetic, not reliability or safety estimates.</t>
  </si>
  <si>
    <t xml:space="preserve">Sources and precision</t>
  </si>
  <si>
    <t xml:space="preserve">Repository sources: Passes 216, 219, 224, 225, 229, 232, 233 and 235. No external sources were used.</t>
  </si>
  <si>
    <t xml:space="preserve">Source artifact filenames, allowed uses and expiry triggers are carried in the Provenance Ledger.</t>
  </si>
  <si>
    <t xml:space="preserve">Financial figures preserve predecessor workbook arithmetic. Reader-facing prose rounds to three significant figures.</t>
  </si>
  <si>
    <t xml:space="preserve">Intervals remain intervals. The workbook never inserts a midpoint as a measured or preferred design value.</t>
  </si>
  <si>
    <t xml:space="preserve">Observed and measured cells are deliberately blank or zero until a separately authorized physical program exists.</t>
  </si>
  <si>
    <t xml:space="preserve">Vehicle and facility renderings remain deferred.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</si>
</sst>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%"/>
    <numFmt numFmtId="166" formatCode="\$#,##0.0"/>
    <numFmt numFmtId="167" formatCode="0%"/>
    <numFmt numFmtId="168" formatCode="0.0%"/>
    <numFmt numFmtId="169" formatCode="0.000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A5E"/>
      <name val="Arial"/>
      <family val="0"/>
      <charset val="1"/>
    </font>
    <font>
      <i val="true"/>
      <sz val="9"/>
      <color rgb="FF607080"/>
      <name val="Arial"/>
      <family val="0"/>
      <charset val="1"/>
    </font>
    <font>
      <b val="true"/>
      <sz val="9"/>
      <color rgb="FF173A5E"/>
      <name val="Arial"/>
      <family val="0"/>
      <charset val="1"/>
    </font>
    <font>
      <sz val="8"/>
      <color rgb="FF24324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  <font>
      <b val="true"/>
      <sz val="9"/>
      <color rgb="FFFFFFFF"/>
      <name val="Arial"/>
      <family val="0"/>
      <charset val="1"/>
    </font>
    <font>
      <sz val="8"/>
      <color rgb="FF008000"/>
      <name val="Arial"/>
      <family val="0"/>
      <charset val="1"/>
    </font>
    <font>
      <sz val="8"/>
      <color rgb="FF0000FF"/>
      <name val="Arial"/>
      <family val="0"/>
      <charset val="1"/>
    </font>
    <font>
      <sz val="7"/>
      <color rgb="FF243240"/>
      <name val="Arial"/>
      <family val="0"/>
      <charset val="1"/>
    </font>
    <font>
      <sz val="7"/>
      <color rgb="FF0000FF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7F3"/>
        <bgColor rgb="FFD9D9D9"/>
      </patternFill>
    </fill>
    <fill>
      <patternFill patternType="solid">
        <fgColor rgb="FF275D8C"/>
        <bgColor rgb="FF173A5E"/>
      </patternFill>
    </fill>
    <fill>
      <patternFill patternType="solid">
        <fgColor rgb="FFFFF2CC"/>
        <bgColor rgb="FFFCE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FB7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3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7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7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7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6"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173A5E"/>
      </font>
      <fill>
        <patternFill>
          <bgColor rgb="FFEEF5F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B00"/>
      <rgbColor rgb="FF800080"/>
      <rgbColor rgb="FF008080"/>
      <rgbColor rgb="FFCCCCCC"/>
      <rgbColor rgb="FF7F8C8D"/>
      <rgbColor rgb="FF9999FF"/>
      <rgbColor rgb="FF993366"/>
      <rgbColor rgb="FFFFF2CC"/>
      <rgbColor rgb="FFD9E7F3"/>
      <rgbColor rgb="FF660066"/>
      <rgbColor rgb="FFFF8080"/>
      <rgbColor rgb="FF275D8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A"/>
      <rgbColor rgb="FFCCFFCC"/>
      <rgbColor rgb="FFFCE8E6"/>
      <rgbColor rgb="FF9FB7C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7080"/>
      <rgbColor rgb="FF8B8B8B"/>
      <rgbColor rgb="FF173A5E"/>
      <rgbColor rgb="FF339966"/>
      <rgbColor rgb="FF003300"/>
      <rgbColor rgb="FF333300"/>
      <rgbColor rgb="FF993300"/>
      <rgbColor rgb="FF993366"/>
      <rgbColor rgb="FF333399"/>
      <rgbColor rgb="FF2432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Inherited minimum loss-world 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"Minimum W03 margin"</c:f>
              <c:strCache>
                <c:ptCount val="1"/>
                <c:pt idx="0">
                  <c:v>Minimum W03 margin</c:v>
                </c:pt>
              </c:strCache>
            </c:strRef>
          </c:tx>
          <c:spPr>
            <a:solidFill>
              <a:srgbClr val="275D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Summary!$L$7:$L$12</c:f>
              <c:strCache>
                <c:ptCount val="6"/>
                <c:pt idx="0">
                  <c:v>ET-A-A</c:v>
                </c:pt>
                <c:pt idx="1">
                  <c:v>CT-C-B</c:v>
                </c:pt>
                <c:pt idx="2">
                  <c:v>HC-A-C</c:v>
                </c:pt>
                <c:pt idx="3">
                  <c:v>LF-B-A</c:v>
                </c:pt>
                <c:pt idx="4">
                  <c:v>HU-A-B</c:v>
                </c:pt>
                <c:pt idx="5">
                  <c:v>RT-B-C</c:v>
                </c:pt>
              </c:strCache>
            </c:strRef>
          </c:cat>
          <c:val>
            <c:numRef>
              <c:f>Summary!$M$7:$M$12</c:f>
              <c:numCache>
                <c:formatCode>0.000%</c:formatCode>
                <c:ptCount val="6"/>
                <c:pt idx="0">
                  <c:v>0.00166962699822526</c:v>
                </c:pt>
                <c:pt idx="1">
                  <c:v>0.00285714285714289</c:v>
                </c:pt>
                <c:pt idx="2">
                  <c:v>0.00339805825242712</c:v>
                </c:pt>
                <c:pt idx="3">
                  <c:v>0.00151246983105402</c:v>
                </c:pt>
                <c:pt idx="4">
                  <c:v>0.00327500000000014</c:v>
                </c:pt>
                <c:pt idx="5">
                  <c:v>0.000161290322580721</c:v>
                </c:pt>
              </c:numCache>
            </c:numRef>
          </c:val>
        </c:ser>
        <c:gapWidth val="150"/>
        <c:overlap val="0"/>
        <c:axId val="4312932"/>
        <c:axId val="44814136"/>
      </c:barChart>
      <c:catAx>
        <c:axId val="431293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4814136"/>
        <c:crosses val="autoZero"/>
        <c:auto val="1"/>
        <c:lblAlgn val="ctr"/>
        <c:lblOffset val="100"/>
        <c:noMultiLvlLbl val="0"/>
      </c:catAx>
      <c:valAx>
        <c:axId val="4481413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312932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</xdr:row>
      <xdr:rowOff>0</xdr:rowOff>
    </xdr:from>
    <xdr:to>
      <xdr:col>15</xdr:col>
      <xdr:colOff>845280</xdr:colOff>
      <xdr:row>23</xdr:row>
      <xdr:rowOff>189720</xdr:rowOff>
    </xdr:to>
    <xdr:graphicFrame>
      <xdr:nvGraphicFramePr>
        <xdr:cNvPr id="1" name="Chart"/>
        <xdr:cNvGraphicFramePr/>
      </xdr:nvGraphicFramePr>
      <xdr:xfrm>
        <a:off x="9351720" y="965160"/>
        <a:ext cx="8175600" cy="361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A5E"/>
    <pageSetUpPr fitToPage="false"/>
  </sheetPr>
  <dimension ref="A1:N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1"/>
    <col collapsed="false" customWidth="true" hidden="false" outlineLevel="0" max="2" min="2" style="1" width="20"/>
    <col collapsed="false" customWidth="true" hidden="false" outlineLevel="0" max="3" min="3" style="1" width="25"/>
    <col collapsed="false" customWidth="true" hidden="false" outlineLevel="0" max="6" min="4" style="1" width="16"/>
    <col collapsed="false" customWidth="true" hidden="false" outlineLevel="0" max="11" min="8" style="1" width="12"/>
    <col collapsed="false" customWidth="true" hidden="false" outlineLevel="0" max="12" min="12" style="1" width="14"/>
    <col collapsed="false" customWidth="true" hidden="false" outlineLevel="0" max="13" min="13" style="1" width="18"/>
    <col collapsed="false" customWidth="true" hidden="false" outlineLevel="0" max="16" min="14" style="1" width="12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A6" s="5" t="s">
        <v>2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3"/>
      <c r="H6" s="3"/>
      <c r="I6" s="3"/>
      <c r="J6" s="3"/>
      <c r="K6" s="3"/>
      <c r="L6" s="3" t="s">
        <v>3</v>
      </c>
      <c r="M6" s="3" t="s">
        <v>4</v>
      </c>
      <c r="N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 t="s">
        <v>5</v>
      </c>
      <c r="M7" s="6" t="n">
        <v>0.00166962699822526</v>
      </c>
      <c r="N7" s="3"/>
    </row>
    <row r="8" customFormat="false" ht="15" hidden="false" customHeight="false" outlineLevel="0" collapsed="false">
      <c r="A8" s="7" t="s">
        <v>6</v>
      </c>
      <c r="B8" s="7" t="s">
        <v>7</v>
      </c>
      <c r="C8" s="7"/>
      <c r="D8" s="7"/>
      <c r="E8" s="7"/>
      <c r="F8" s="7"/>
      <c r="G8" s="3"/>
      <c r="H8" s="3"/>
      <c r="I8" s="3"/>
      <c r="J8" s="3"/>
      <c r="K8" s="3"/>
      <c r="L8" s="3" t="s">
        <v>8</v>
      </c>
      <c r="M8" s="6" t="n">
        <v>0.00285714285714289</v>
      </c>
      <c r="N8" s="3"/>
    </row>
    <row r="9" customFormat="false" ht="15" hidden="false" customHeight="false" outlineLevel="0" collapsed="false">
      <c r="A9" s="7" t="s">
        <v>9</v>
      </c>
      <c r="B9" s="7" t="n">
        <v>6</v>
      </c>
      <c r="C9" s="7" t="s">
        <v>10</v>
      </c>
      <c r="D9" s="7"/>
      <c r="E9" s="7"/>
      <c r="F9" s="7"/>
      <c r="G9" s="3"/>
      <c r="H9" s="3"/>
      <c r="I9" s="3"/>
      <c r="J9" s="3"/>
      <c r="K9" s="3"/>
      <c r="L9" s="3" t="s">
        <v>11</v>
      </c>
      <c r="M9" s="6" t="n">
        <v>0.00339805825242712</v>
      </c>
      <c r="N9" s="3"/>
    </row>
    <row r="10" customFormat="false" ht="15" hidden="false" customHeight="false" outlineLevel="0" collapsed="false">
      <c r="A10" s="7" t="s">
        <v>12</v>
      </c>
      <c r="B10" s="7" t="n">
        <v>24</v>
      </c>
      <c r="C10" s="7" t="s">
        <v>13</v>
      </c>
      <c r="D10" s="7"/>
      <c r="E10" s="7"/>
      <c r="F10" s="7"/>
      <c r="G10" s="3"/>
      <c r="H10" s="3"/>
      <c r="I10" s="3"/>
      <c r="J10" s="3"/>
      <c r="K10" s="3"/>
      <c r="L10" s="3" t="s">
        <v>14</v>
      </c>
      <c r="M10" s="6" t="n">
        <v>0.00151246983105402</v>
      </c>
      <c r="N10" s="3"/>
    </row>
    <row r="11" customFormat="false" ht="15" hidden="false" customHeight="false" outlineLevel="0" collapsed="false">
      <c r="A11" s="7" t="s">
        <v>15</v>
      </c>
      <c r="B11" s="7" t="n">
        <v>54</v>
      </c>
      <c r="C11" s="7" t="s">
        <v>16</v>
      </c>
      <c r="D11" s="7"/>
      <c r="E11" s="7"/>
      <c r="F11" s="7"/>
      <c r="G11" s="3"/>
      <c r="H11" s="3"/>
      <c r="I11" s="3"/>
      <c r="J11" s="3"/>
      <c r="K11" s="3"/>
      <c r="L11" s="3" t="s">
        <v>17</v>
      </c>
      <c r="M11" s="6" t="n">
        <v>0.00327500000000014</v>
      </c>
      <c r="N11" s="3"/>
    </row>
    <row r="12" customFormat="false" ht="15" hidden="false" customHeight="false" outlineLevel="0" collapsed="false">
      <c r="A12" s="7" t="s">
        <v>18</v>
      </c>
      <c r="B12" s="7" t="n">
        <v>72</v>
      </c>
      <c r="C12" s="7" t="s">
        <v>19</v>
      </c>
      <c r="D12" s="7"/>
      <c r="E12" s="7"/>
      <c r="F12" s="7"/>
      <c r="G12" s="3"/>
      <c r="H12" s="3"/>
      <c r="I12" s="3"/>
      <c r="J12" s="3"/>
      <c r="K12" s="3"/>
      <c r="L12" s="3" t="s">
        <v>20</v>
      </c>
      <c r="M12" s="6" t="n">
        <v>0.000161290322580721</v>
      </c>
      <c r="N12" s="3"/>
    </row>
    <row r="13" customFormat="false" ht="15" hidden="false" customHeight="false" outlineLevel="0" collapsed="false">
      <c r="A13" s="7" t="s">
        <v>21</v>
      </c>
      <c r="B13" s="7" t="s">
        <v>22</v>
      </c>
      <c r="C13" s="7"/>
      <c r="D13" s="7"/>
      <c r="E13" s="7"/>
      <c r="F13" s="7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5" t="s">
        <v>23</v>
      </c>
      <c r="B16" s="5" t="s">
        <v>23</v>
      </c>
      <c r="C16" s="5" t="s">
        <v>23</v>
      </c>
      <c r="D16" s="5" t="s">
        <v>23</v>
      </c>
      <c r="E16" s="5" t="s">
        <v>23</v>
      </c>
      <c r="F16" s="5" t="s">
        <v>23</v>
      </c>
      <c r="G16" s="3"/>
      <c r="H16" s="3"/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A18" s="7" t="s">
        <v>24</v>
      </c>
      <c r="B18" s="7" t="s">
        <v>25</v>
      </c>
      <c r="C18" s="7"/>
      <c r="D18" s="7"/>
      <c r="E18" s="7"/>
      <c r="F18" s="7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7" t="s">
        <v>26</v>
      </c>
      <c r="B19" s="7" t="s">
        <v>27</v>
      </c>
      <c r="C19" s="7"/>
      <c r="D19" s="7"/>
      <c r="E19" s="7"/>
      <c r="F19" s="7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A20" s="7" t="s">
        <v>28</v>
      </c>
      <c r="B20" s="7" t="s">
        <v>29</v>
      </c>
      <c r="C20" s="7"/>
      <c r="D20" s="7"/>
      <c r="E20" s="7"/>
      <c r="F20" s="7"/>
      <c r="G20" s="3"/>
      <c r="H20" s="3"/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A21" s="7" t="s">
        <v>30</v>
      </c>
      <c r="B21" s="7" t="s">
        <v>31</v>
      </c>
      <c r="C21" s="7"/>
      <c r="D21" s="7"/>
      <c r="E21" s="7"/>
      <c r="F21" s="7"/>
      <c r="G21" s="3"/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A22" s="7" t="s">
        <v>32</v>
      </c>
      <c r="B22" s="7" t="s">
        <v>33</v>
      </c>
      <c r="C22" s="7"/>
      <c r="D22" s="7"/>
      <c r="E22" s="7"/>
      <c r="F22" s="7"/>
      <c r="G22" s="3"/>
      <c r="H22" s="3"/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A23" s="7" t="s">
        <v>34</v>
      </c>
      <c r="B23" s="7" t="s">
        <v>35</v>
      </c>
      <c r="C23" s="7"/>
      <c r="D23" s="7"/>
      <c r="E23" s="7"/>
      <c r="F23" s="7"/>
      <c r="G23" s="3"/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7" t="s">
        <v>36</v>
      </c>
      <c r="B24" s="7" t="s">
        <v>37</v>
      </c>
      <c r="C24" s="7"/>
      <c r="D24" s="7"/>
      <c r="E24" s="7"/>
      <c r="F24" s="7"/>
      <c r="G24" s="3"/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A27" s="5" t="s">
        <v>38</v>
      </c>
      <c r="B27" s="5" t="s">
        <v>38</v>
      </c>
      <c r="C27" s="5" t="s">
        <v>38</v>
      </c>
      <c r="D27" s="5" t="s">
        <v>38</v>
      </c>
      <c r="E27" s="5" t="s">
        <v>38</v>
      </c>
      <c r="F27" s="5" t="s">
        <v>38</v>
      </c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Format="false" ht="15" hidden="false" customHeight="false" outlineLevel="0" collapsed="false">
      <c r="A29" s="7" t="s">
        <v>39</v>
      </c>
      <c r="B29" s="8" t="n">
        <v>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A30" s="7" t="s">
        <v>40</v>
      </c>
      <c r="B30" s="8" t="n">
        <v>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15" hidden="false" customHeight="false" outlineLevel="0" collapsed="false">
      <c r="A31" s="7" t="s">
        <v>41</v>
      </c>
      <c r="B31" s="8" t="n">
        <v>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A32" s="7" t="s">
        <v>42</v>
      </c>
      <c r="B32" s="8" t="n">
        <v>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Format="false" ht="15" hidden="false" customHeight="false" outlineLevel="0" collapsed="false">
      <c r="A33" s="7" t="s">
        <v>43</v>
      </c>
      <c r="B33" s="8" t="n">
        <v>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customFormat="false" ht="15" hidden="false" customHeight="false" outlineLevel="0" collapsed="false">
      <c r="A34" s="7" t="s">
        <v>44</v>
      </c>
      <c r="B34" s="8" t="n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customFormat="false" ht="15" hidden="false" customHeight="false" outlineLevel="0" collapsed="false">
      <c r="A35" s="7" t="s">
        <v>45</v>
      </c>
      <c r="B35" s="8" t="n">
        <v>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</sheetData>
  <mergeCells count="5">
    <mergeCell ref="A2:N2"/>
    <mergeCell ref="A4:N4"/>
    <mergeCell ref="A6:F6"/>
    <mergeCell ref="A16:F16"/>
    <mergeCell ref="A27:F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8"/>
    <col collapsed="false" customWidth="true" hidden="false" outlineLevel="0" max="12" min="3" style="1" width="14"/>
    <col collapsed="false" customWidth="true" hidden="false" outlineLevel="0" max="13" min="13" style="1" width="10"/>
    <col collapsed="false" customWidth="true" hidden="false" outlineLevel="0" max="14" min="14" style="1" width="14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47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30" hidden="false" customHeight="true" outlineLevel="0" collapsed="false">
      <c r="A6" s="9" t="s">
        <v>48</v>
      </c>
      <c r="B6" s="9" t="s">
        <v>49</v>
      </c>
      <c r="C6" s="9" t="s">
        <v>50</v>
      </c>
      <c r="D6" s="9" t="s">
        <v>51</v>
      </c>
      <c r="E6" s="9" t="s">
        <v>52</v>
      </c>
      <c r="F6" s="9" t="s">
        <v>53</v>
      </c>
      <c r="G6" s="9" t="s">
        <v>54</v>
      </c>
      <c r="H6" s="9" t="s">
        <v>55</v>
      </c>
      <c r="I6" s="9" t="s">
        <v>56</v>
      </c>
      <c r="J6" s="9" t="s">
        <v>57</v>
      </c>
      <c r="K6" s="9" t="s">
        <v>58</v>
      </c>
      <c r="L6" s="9" t="s">
        <v>59</v>
      </c>
      <c r="M6" s="9" t="s">
        <v>60</v>
      </c>
      <c r="N6" s="9" t="s">
        <v>61</v>
      </c>
    </row>
    <row r="7" customFormat="false" ht="15" hidden="false" customHeight="false" outlineLevel="0" collapsed="false">
      <c r="A7" s="7" t="s">
        <v>62</v>
      </c>
      <c r="B7" s="7" t="s">
        <v>63</v>
      </c>
      <c r="C7" s="7" t="n">
        <v>0</v>
      </c>
      <c r="D7" s="7" t="n">
        <v>1</v>
      </c>
      <c r="E7" s="7" t="n">
        <v>1</v>
      </c>
      <c r="F7" s="7" t="n">
        <v>1</v>
      </c>
      <c r="G7" s="7" t="n">
        <v>0</v>
      </c>
      <c r="H7" s="7" t="n">
        <v>0</v>
      </c>
      <c r="I7" s="7" t="n">
        <v>1</v>
      </c>
      <c r="J7" s="7" t="n">
        <v>1</v>
      </c>
      <c r="K7" s="7" t="n">
        <v>1</v>
      </c>
      <c r="L7" s="7" t="n">
        <v>1</v>
      </c>
      <c r="M7" s="8" t="n">
        <f aca="false">SUM(C7:L7)</f>
        <v>7</v>
      </c>
      <c r="N7" s="8" t="str">
        <f aca="false">IF(M7=10,"SELECT","REJECT")</f>
        <v>REJECT</v>
      </c>
    </row>
    <row r="8" customFormat="false" ht="15" hidden="false" customHeight="false" outlineLevel="0" collapsed="false">
      <c r="A8" s="7" t="s">
        <v>64</v>
      </c>
      <c r="B8" s="7" t="s">
        <v>65</v>
      </c>
      <c r="C8" s="7" t="n">
        <v>1</v>
      </c>
      <c r="D8" s="7" t="n">
        <v>1</v>
      </c>
      <c r="E8" s="7" t="n">
        <v>1</v>
      </c>
      <c r="F8" s="7" t="n">
        <v>0</v>
      </c>
      <c r="G8" s="7" t="n">
        <v>0</v>
      </c>
      <c r="H8" s="7" t="n">
        <v>1</v>
      </c>
      <c r="I8" s="7" t="n">
        <v>0</v>
      </c>
      <c r="J8" s="7" t="n">
        <v>1</v>
      </c>
      <c r="K8" s="7" t="n">
        <v>1</v>
      </c>
      <c r="L8" s="7" t="n">
        <v>1</v>
      </c>
      <c r="M8" s="8" t="n">
        <f aca="false">SUM(C8:L8)</f>
        <v>7</v>
      </c>
      <c r="N8" s="8" t="str">
        <f aca="false">IF(M8=10,"SELECT","REJECT")</f>
        <v>REJECT</v>
      </c>
    </row>
    <row r="9" customFormat="false" ht="15" hidden="false" customHeight="false" outlineLevel="0" collapsed="false">
      <c r="A9" s="7" t="s">
        <v>66</v>
      </c>
      <c r="B9" s="7" t="s">
        <v>67</v>
      </c>
      <c r="C9" s="7" t="n">
        <v>1</v>
      </c>
      <c r="D9" s="7" t="n">
        <v>1</v>
      </c>
      <c r="E9" s="7" t="n">
        <v>0</v>
      </c>
      <c r="F9" s="7" t="n">
        <v>1</v>
      </c>
      <c r="G9" s="7" t="n">
        <v>1</v>
      </c>
      <c r="H9" s="7" t="n">
        <v>0</v>
      </c>
      <c r="I9" s="7" t="n">
        <v>1</v>
      </c>
      <c r="J9" s="7" t="n">
        <v>1</v>
      </c>
      <c r="K9" s="7" t="n">
        <v>1</v>
      </c>
      <c r="L9" s="7" t="n">
        <v>1</v>
      </c>
      <c r="M9" s="8" t="n">
        <f aca="false">SUM(C9:L9)</f>
        <v>8</v>
      </c>
      <c r="N9" s="8" t="str">
        <f aca="false">IF(M9=10,"SELECT","REJECT")</f>
        <v>REJECT</v>
      </c>
    </row>
    <row r="10" customFormat="false" ht="15" hidden="false" customHeight="false" outlineLevel="0" collapsed="false">
      <c r="A10" s="7" t="s">
        <v>68</v>
      </c>
      <c r="B10" s="7" t="s">
        <v>69</v>
      </c>
      <c r="C10" s="7" t="n">
        <v>1</v>
      </c>
      <c r="D10" s="7" t="n">
        <v>1</v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0</v>
      </c>
      <c r="L10" s="7" t="n">
        <v>1</v>
      </c>
      <c r="M10" s="8" t="n">
        <f aca="false">SUM(C10:L10)</f>
        <v>9</v>
      </c>
      <c r="N10" s="8" t="str">
        <f aca="false">IF(M10=10,"SELECT","REJECT")</f>
        <v>REJECT</v>
      </c>
    </row>
    <row r="11" customFormat="false" ht="15" hidden="false" customHeight="false" outlineLevel="0" collapsed="false">
      <c r="A11" s="7" t="s">
        <v>70</v>
      </c>
      <c r="B11" s="7" t="s">
        <v>71</v>
      </c>
      <c r="C11" s="7" t="n">
        <v>1</v>
      </c>
      <c r="D11" s="7" t="n">
        <v>1</v>
      </c>
      <c r="E11" s="7" t="n">
        <v>1</v>
      </c>
      <c r="F11" s="7" t="n">
        <v>1</v>
      </c>
      <c r="G11" s="7" t="n">
        <v>1</v>
      </c>
      <c r="H11" s="7" t="n">
        <v>1</v>
      </c>
      <c r="I11" s="7" t="n">
        <v>1</v>
      </c>
      <c r="J11" s="7" t="n">
        <v>1</v>
      </c>
      <c r="K11" s="7" t="n">
        <v>1</v>
      </c>
      <c r="L11" s="7" t="n">
        <v>1</v>
      </c>
      <c r="M11" s="8" t="n">
        <f aca="false">SUM(C11:L11)</f>
        <v>10</v>
      </c>
      <c r="N11" s="8" t="str">
        <f aca="false">IF(M11=10,"SELECT","REJECT")</f>
        <v>SELECT</v>
      </c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A14" s="5" t="s">
        <v>72</v>
      </c>
      <c r="B14" s="5" t="s">
        <v>72</v>
      </c>
      <c r="C14" s="5" t="s">
        <v>72</v>
      </c>
      <c r="D14" s="5" t="s">
        <v>72</v>
      </c>
      <c r="E14" s="5" t="s">
        <v>72</v>
      </c>
      <c r="F14" s="5" t="s">
        <v>72</v>
      </c>
      <c r="G14" s="5" t="s">
        <v>72</v>
      </c>
      <c r="H14" s="5" t="s">
        <v>72</v>
      </c>
      <c r="I14" s="5" t="s">
        <v>72</v>
      </c>
      <c r="J14" s="5" t="s">
        <v>72</v>
      </c>
      <c r="K14" s="5" t="s">
        <v>72</v>
      </c>
      <c r="L14" s="5" t="s">
        <v>72</v>
      </c>
      <c r="M14" s="5" t="s">
        <v>72</v>
      </c>
      <c r="N14" s="5" t="s">
        <v>72</v>
      </c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7" t="s">
        <v>2</v>
      </c>
      <c r="B16" s="7" t="s">
        <v>73</v>
      </c>
      <c r="C16" s="7" t="s">
        <v>74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5" hidden="false" customHeight="false" outlineLevel="0" collapsed="false">
      <c r="A17" s="7" t="s">
        <v>75</v>
      </c>
      <c r="B17" s="7" t="s">
        <v>76</v>
      </c>
      <c r="C17" s="7" t="s">
        <v>77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customFormat="false" ht="15" hidden="false" customHeight="false" outlineLevel="0" collapsed="false">
      <c r="A18" s="7" t="s">
        <v>78</v>
      </c>
      <c r="B18" s="7" t="s">
        <v>79</v>
      </c>
      <c r="C18" s="7" t="s">
        <v>80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5" hidden="false" customHeight="false" outlineLevel="0" collapsed="false">
      <c r="A19" s="7" t="s">
        <v>81</v>
      </c>
      <c r="B19" s="7" t="s">
        <v>82</v>
      </c>
      <c r="C19" s="7" t="s">
        <v>83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</sheetData>
  <mergeCells count="3">
    <mergeCell ref="A2:N2"/>
    <mergeCell ref="A4:N4"/>
    <mergeCell ref="A14:N14"/>
  </mergeCells>
  <conditionalFormatting sqref="N7:N11">
    <cfRule type="containsText" priority="2" operator="containsText" aboveAverage="0" equalAverage="0" bottom="0" percent="0" rank="0" text="FAIL" dxfId="0">
      <formula>NOT(ISERROR(SEARCH("FAIL",N7)))</formula>
    </cfRule>
    <cfRule type="containsText" priority="3" operator="containsText" aboveAverage="0" equalAverage="0" bottom="0" percent="0" rank="0" text="OPEN" dxfId="1">
      <formula>NOT(ISERROR(SEARCH("OPEN",N7)))</formula>
    </cfRule>
    <cfRule type="containsText" priority="4" operator="containsText" aboveAverage="0" equalAverage="0" bottom="0" percent="0" rank="0" text="UNMEASURED" dxfId="2">
      <formula>NOT(ISERROR(SEARCH("UNMEASURED",N7)))</formula>
    </cfRule>
    <cfRule type="containsText" priority="5" operator="containsText" aboveAverage="0" equalAverage="0" bottom="0" percent="0" rank="0" text="SELECT" dxfId="3">
      <formula>NOT(ISERROR(SEARCH("SELECT",N7)))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27"/>
    <col collapsed="false" customWidth="true" hidden="false" outlineLevel="0" max="4" min="4" style="1" width="34"/>
    <col collapsed="false" customWidth="true" hidden="false" outlineLevel="0" max="5" min="5" style="1" width="42"/>
    <col collapsed="false" customWidth="true" hidden="false" outlineLevel="0" max="6" min="6" style="1" width="34"/>
    <col collapsed="false" customWidth="true" hidden="false" outlineLevel="0" max="7" min="7" style="1" width="12"/>
    <col collapsed="false" customWidth="true" hidden="false" outlineLevel="0" max="8" min="8" style="1" width="30"/>
    <col collapsed="false" customWidth="true" hidden="false" outlineLevel="0" max="9" min="9" style="1" width="15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18"/>
    <col collapsed="false" customWidth="true" hidden="false" outlineLevel="0" max="14" min="14" style="1" width="14"/>
    <col collapsed="false" customWidth="true" hidden="false" outlineLevel="0" max="15" min="15" style="1" width="25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4" t="s">
        <v>85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30" hidden="false" customHeight="true" outlineLevel="0" collapsed="false">
      <c r="A6" s="9" t="s">
        <v>3</v>
      </c>
      <c r="B6" s="9" t="s">
        <v>86</v>
      </c>
      <c r="C6" s="9" t="s">
        <v>87</v>
      </c>
      <c r="D6" s="9" t="s">
        <v>88</v>
      </c>
      <c r="E6" s="9" t="s">
        <v>89</v>
      </c>
      <c r="F6" s="9" t="s">
        <v>90</v>
      </c>
      <c r="G6" s="9" t="s">
        <v>91</v>
      </c>
      <c r="H6" s="9" t="s">
        <v>92</v>
      </c>
      <c r="I6" s="9" t="s">
        <v>4</v>
      </c>
      <c r="J6" s="9" t="s">
        <v>93</v>
      </c>
      <c r="K6" s="9" t="s">
        <v>94</v>
      </c>
      <c r="L6" s="9" t="s">
        <v>18</v>
      </c>
      <c r="M6" s="9" t="s">
        <v>95</v>
      </c>
      <c r="N6" s="9" t="s">
        <v>96</v>
      </c>
      <c r="O6" s="9" t="s">
        <v>97</v>
      </c>
    </row>
    <row r="7" customFormat="false" ht="15" hidden="false" customHeight="false" outlineLevel="0" collapsed="false">
      <c r="A7" s="7" t="s">
        <v>5</v>
      </c>
      <c r="B7" s="7" t="s">
        <v>98</v>
      </c>
      <c r="C7" s="7" t="s">
        <v>99</v>
      </c>
      <c r="D7" s="7" t="s">
        <v>100</v>
      </c>
      <c r="E7" s="7" t="s">
        <v>101</v>
      </c>
      <c r="F7" s="7" t="s">
        <v>102</v>
      </c>
      <c r="G7" s="7" t="s">
        <v>103</v>
      </c>
      <c r="H7" s="7" t="s">
        <v>104</v>
      </c>
      <c r="I7" s="10" t="n">
        <v>0.00166962699822526</v>
      </c>
      <c r="J7" s="11" t="n">
        <f aca="false">COUNTIFS('Load Cases'!$B$7:$B$30,A7)</f>
        <v>4</v>
      </c>
      <c r="K7" s="11" t="n">
        <f aca="false">COUNTIFS('Account Grammar'!$B$7:$B$60,A7)</f>
        <v>9</v>
      </c>
      <c r="L7" s="11" t="n">
        <f aca="false">COUNTIFS('Provenance Ledger'!$B$7:$B$78,A7)</f>
        <v>12</v>
      </c>
      <c r="M7" s="12" t="n">
        <v>25.0237309040925</v>
      </c>
      <c r="N7" s="11" t="n">
        <v>0</v>
      </c>
      <c r="O7" s="11" t="str">
        <f aca="false">IF(AND(J7=Inputs!$B$10,K7=Inputs!$B$9,L7=Inputs!$B$12,N7=0),"CONSTITUTED / UNMEASURED","INCOMPLETE")</f>
        <v>CONSTITUTED / UNMEASURED</v>
      </c>
    </row>
    <row r="8" customFormat="false" ht="15" hidden="false" customHeight="false" outlineLevel="0" collapsed="false">
      <c r="A8" s="7" t="s">
        <v>8</v>
      </c>
      <c r="B8" s="7" t="s">
        <v>105</v>
      </c>
      <c r="C8" s="7" t="s">
        <v>106</v>
      </c>
      <c r="D8" s="7" t="s">
        <v>107</v>
      </c>
      <c r="E8" s="7" t="s">
        <v>108</v>
      </c>
      <c r="F8" s="7" t="s">
        <v>109</v>
      </c>
      <c r="G8" s="7" t="s">
        <v>110</v>
      </c>
      <c r="H8" s="7" t="s">
        <v>111</v>
      </c>
      <c r="I8" s="10" t="n">
        <v>0.00285714285714289</v>
      </c>
      <c r="J8" s="11" t="n">
        <f aca="false">COUNTIFS('Load Cases'!$B$7:$B$30,A8)</f>
        <v>4</v>
      </c>
      <c r="K8" s="11" t="n">
        <f aca="false">COUNTIFS('Account Grammar'!$B$7:$B$60,A8)</f>
        <v>9</v>
      </c>
      <c r="L8" s="11" t="n">
        <f aca="false">COUNTIFS('Provenance Ledger'!$B$7:$B$78,A8)</f>
        <v>12</v>
      </c>
      <c r="M8" s="12" t="n">
        <v>25.824674088698</v>
      </c>
      <c r="N8" s="11" t="n">
        <v>0</v>
      </c>
      <c r="O8" s="11" t="str">
        <f aca="false">IF(AND(J8=Inputs!$B$10,K8=Inputs!$B$9,L8=Inputs!$B$12,N8=0),"CONSTITUTED / UNMEASURED","INCOMPLETE")</f>
        <v>CONSTITUTED / UNMEASURED</v>
      </c>
    </row>
    <row r="9" customFormat="false" ht="15" hidden="false" customHeight="false" outlineLevel="0" collapsed="false">
      <c r="A9" s="7" t="s">
        <v>11</v>
      </c>
      <c r="B9" s="7" t="s">
        <v>112</v>
      </c>
      <c r="C9" s="7" t="s">
        <v>113</v>
      </c>
      <c r="D9" s="7" t="s">
        <v>114</v>
      </c>
      <c r="E9" s="7" t="s">
        <v>115</v>
      </c>
      <c r="F9" s="7" t="s">
        <v>116</v>
      </c>
      <c r="G9" s="7" t="s">
        <v>117</v>
      </c>
      <c r="H9" s="7" t="s">
        <v>118</v>
      </c>
      <c r="I9" s="10" t="n">
        <v>0.00339805825242712</v>
      </c>
      <c r="J9" s="11" t="n">
        <f aca="false">COUNTIFS('Load Cases'!$B$7:$B$30,A9)</f>
        <v>4</v>
      </c>
      <c r="K9" s="11" t="n">
        <f aca="false">COUNTIFS('Account Grammar'!$B$7:$B$60,A9)</f>
        <v>9</v>
      </c>
      <c r="L9" s="11" t="n">
        <f aca="false">COUNTIFS('Provenance Ledger'!$B$7:$B$78,A9)</f>
        <v>12</v>
      </c>
      <c r="M9" s="12" t="n">
        <v>15.3610827033567</v>
      </c>
      <c r="N9" s="11" t="n">
        <v>0</v>
      </c>
      <c r="O9" s="11" t="str">
        <f aca="false">IF(AND(J9=Inputs!$B$10,K9=Inputs!$B$9,L9=Inputs!$B$12,N9=0),"CONSTITUTED / UNMEASURED","INCOMPLETE")</f>
        <v>CONSTITUTED / UNMEASURED</v>
      </c>
    </row>
    <row r="10" customFormat="false" ht="15" hidden="false" customHeight="false" outlineLevel="0" collapsed="false">
      <c r="A10" s="7" t="s">
        <v>14</v>
      </c>
      <c r="B10" s="7" t="s">
        <v>119</v>
      </c>
      <c r="C10" s="7" t="s">
        <v>120</v>
      </c>
      <c r="D10" s="7" t="s">
        <v>121</v>
      </c>
      <c r="E10" s="7" t="s">
        <v>122</v>
      </c>
      <c r="F10" s="7" t="s">
        <v>123</v>
      </c>
      <c r="G10" s="7" t="s">
        <v>124</v>
      </c>
      <c r="H10" s="7" t="s">
        <v>125</v>
      </c>
      <c r="I10" s="10" t="n">
        <v>0.00151246983105402</v>
      </c>
      <c r="J10" s="11" t="n">
        <f aca="false">COUNTIFS('Load Cases'!$B$7:$B$30,A10)</f>
        <v>4</v>
      </c>
      <c r="K10" s="11" t="n">
        <f aca="false">COUNTIFS('Account Grammar'!$B$7:$B$60,A10)</f>
        <v>9</v>
      </c>
      <c r="L10" s="11" t="n">
        <f aca="false">COUNTIFS('Provenance Ledger'!$B$7:$B$78,A10)</f>
        <v>12</v>
      </c>
      <c r="M10" s="12" t="n">
        <v>44.9706409660283</v>
      </c>
      <c r="N10" s="11" t="n">
        <v>0</v>
      </c>
      <c r="O10" s="11" t="str">
        <f aca="false">IF(AND(J10=Inputs!$B$10,K10=Inputs!$B$9,L10=Inputs!$B$12,N10=0),"CONSTITUTED / UNMEASURED","INCOMPLETE")</f>
        <v>CONSTITUTED / UNMEASURED</v>
      </c>
    </row>
    <row r="11" customFormat="false" ht="15" hidden="false" customHeight="false" outlineLevel="0" collapsed="false">
      <c r="A11" s="7" t="s">
        <v>17</v>
      </c>
      <c r="B11" s="7" t="s">
        <v>126</v>
      </c>
      <c r="C11" s="7" t="s">
        <v>127</v>
      </c>
      <c r="D11" s="7" t="s">
        <v>128</v>
      </c>
      <c r="E11" s="7" t="s">
        <v>129</v>
      </c>
      <c r="F11" s="7" t="s">
        <v>130</v>
      </c>
      <c r="G11" s="7" t="s">
        <v>131</v>
      </c>
      <c r="H11" s="7" t="s">
        <v>132</v>
      </c>
      <c r="I11" s="10" t="n">
        <v>0.00327500000000014</v>
      </c>
      <c r="J11" s="11" t="n">
        <f aca="false">COUNTIFS('Load Cases'!$B$7:$B$30,A11)</f>
        <v>4</v>
      </c>
      <c r="K11" s="11" t="n">
        <f aca="false">COUNTIFS('Account Grammar'!$B$7:$B$60,A11)</f>
        <v>9</v>
      </c>
      <c r="L11" s="11" t="n">
        <f aca="false">COUNTIFS('Provenance Ledger'!$B$7:$B$78,A11)</f>
        <v>12</v>
      </c>
      <c r="M11" s="12" t="n">
        <v>43.0356226470548</v>
      </c>
      <c r="N11" s="11" t="n">
        <v>0</v>
      </c>
      <c r="O11" s="11" t="str">
        <f aca="false">IF(AND(J11=Inputs!$B$10,K11=Inputs!$B$9,L11=Inputs!$B$12,N11=0),"CONSTITUTED / UNMEASURED","INCOMPLETE")</f>
        <v>CONSTITUTED / UNMEASURED</v>
      </c>
    </row>
    <row r="12" customFormat="false" ht="15" hidden="false" customHeight="false" outlineLevel="0" collapsed="false">
      <c r="A12" s="7" t="s">
        <v>20</v>
      </c>
      <c r="B12" s="7" t="s">
        <v>133</v>
      </c>
      <c r="C12" s="7" t="s">
        <v>134</v>
      </c>
      <c r="D12" s="7" t="s">
        <v>135</v>
      </c>
      <c r="E12" s="7" t="s">
        <v>136</v>
      </c>
      <c r="F12" s="7" t="s">
        <v>137</v>
      </c>
      <c r="G12" s="7" t="s">
        <v>138</v>
      </c>
      <c r="H12" s="7" t="s">
        <v>139</v>
      </c>
      <c r="I12" s="10" t="n">
        <v>0.000161290322580721</v>
      </c>
      <c r="J12" s="11" t="n">
        <f aca="false">COUNTIFS('Load Cases'!$B$7:$B$30,A12)</f>
        <v>4</v>
      </c>
      <c r="K12" s="11" t="n">
        <f aca="false">COUNTIFS('Account Grammar'!$B$7:$B$60,A12)</f>
        <v>9</v>
      </c>
      <c r="L12" s="11" t="n">
        <f aca="false">COUNTIFS('Provenance Ledger'!$B$7:$B$78,A12)</f>
        <v>12</v>
      </c>
      <c r="M12" s="12" t="n">
        <v>25.1298896567982</v>
      </c>
      <c r="N12" s="11" t="n">
        <v>0</v>
      </c>
      <c r="O12" s="11" t="str">
        <f aca="false">IF(AND(J12=Inputs!$B$10,K12=Inputs!$B$9,L12=Inputs!$B$12,N12=0),"CONSTITUTED / UNMEASURED","INCOMPLETE")</f>
        <v>CONSTITUTED / UNMEASURED</v>
      </c>
    </row>
  </sheetData>
  <mergeCells count="2">
    <mergeCell ref="A2:N2"/>
    <mergeCell ref="A4:N4"/>
  </mergeCells>
  <conditionalFormatting sqref="O7:O12">
    <cfRule type="containsText" priority="2" operator="containsText" aboveAverage="0" equalAverage="0" bottom="0" percent="0" rank="0" text="FAIL" dxfId="4">
      <formula>NOT(ISERROR(SEARCH("FAIL",O7)))</formula>
    </cfRule>
    <cfRule type="containsText" priority="3" operator="containsText" aboveAverage="0" equalAverage="0" bottom="0" percent="0" rank="0" text="OPEN" dxfId="5">
      <formula>NOT(ISERROR(SEARCH("OPEN",O7)))</formula>
    </cfRule>
    <cfRule type="containsText" priority="4" operator="containsText" aboveAverage="0" equalAverage="0" bottom="0" percent="0" rank="0" text="UNMEASURED" dxfId="6">
      <formula>NOT(ISERROR(SEARCH("UNMEASURED",O7)))</formula>
    </cfRule>
    <cfRule type="containsText" priority="5" operator="containsText" aboveAverage="0" equalAverage="0" bottom="0" percent="0" rank="0" text="SELECT" dxfId="7">
      <formula>NOT(ISERROR(SEARCH("SELECT",O7)))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46"/>
    <col collapsed="false" customWidth="true" hidden="false" outlineLevel="0" max="6" min="6" style="1" width="49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25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141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30" hidden="false" customHeight="true" outlineLevel="0" collapsed="false">
      <c r="A6" s="9" t="s">
        <v>142</v>
      </c>
      <c r="B6" s="9" t="s">
        <v>3</v>
      </c>
      <c r="C6" s="9" t="s">
        <v>143</v>
      </c>
      <c r="D6" s="9" t="s">
        <v>144</v>
      </c>
      <c r="E6" s="9" t="s">
        <v>145</v>
      </c>
      <c r="F6" s="9" t="s">
        <v>146</v>
      </c>
      <c r="G6" s="9" t="s">
        <v>147</v>
      </c>
      <c r="H6" s="9" t="s">
        <v>148</v>
      </c>
      <c r="I6" s="9" t="s">
        <v>149</v>
      </c>
      <c r="J6" s="9" t="s">
        <v>97</v>
      </c>
      <c r="K6" s="3"/>
      <c r="L6" s="3"/>
      <c r="M6" s="3"/>
      <c r="N6" s="3"/>
    </row>
    <row r="7" customFormat="false" ht="15" hidden="false" customHeight="false" outlineLevel="0" collapsed="false">
      <c r="A7" s="7" t="s">
        <v>150</v>
      </c>
      <c r="B7" s="7" t="s">
        <v>5</v>
      </c>
      <c r="C7" s="7" t="s">
        <v>151</v>
      </c>
      <c r="D7" s="7" t="s">
        <v>152</v>
      </c>
      <c r="E7" s="7" t="s">
        <v>153</v>
      </c>
      <c r="F7" s="7" t="s">
        <v>154</v>
      </c>
      <c r="G7" s="13"/>
      <c r="H7" s="7" t="n">
        <v>0</v>
      </c>
      <c r="I7" s="7" t="s">
        <v>155</v>
      </c>
      <c r="J7" s="7" t="s">
        <v>156</v>
      </c>
      <c r="K7" s="3"/>
      <c r="L7" s="3"/>
      <c r="M7" s="3"/>
      <c r="N7" s="3"/>
    </row>
    <row r="8" customFormat="false" ht="15" hidden="false" customHeight="false" outlineLevel="0" collapsed="false">
      <c r="A8" s="7" t="s">
        <v>157</v>
      </c>
      <c r="B8" s="7" t="s">
        <v>5</v>
      </c>
      <c r="C8" s="7" t="s">
        <v>158</v>
      </c>
      <c r="D8" s="7" t="s">
        <v>159</v>
      </c>
      <c r="E8" s="7" t="s">
        <v>104</v>
      </c>
      <c r="F8" s="7" t="s">
        <v>160</v>
      </c>
      <c r="G8" s="13"/>
      <c r="H8" s="7" t="n">
        <v>0</v>
      </c>
      <c r="I8" s="7" t="s">
        <v>161</v>
      </c>
      <c r="J8" s="7" t="s">
        <v>156</v>
      </c>
      <c r="K8" s="3"/>
      <c r="L8" s="3"/>
      <c r="M8" s="3"/>
      <c r="N8" s="3"/>
    </row>
    <row r="9" customFormat="false" ht="15" hidden="false" customHeight="false" outlineLevel="0" collapsed="false">
      <c r="A9" s="7" t="s">
        <v>162</v>
      </c>
      <c r="B9" s="7" t="s">
        <v>5</v>
      </c>
      <c r="C9" s="7" t="s">
        <v>163</v>
      </c>
      <c r="D9" s="7" t="s">
        <v>164</v>
      </c>
      <c r="E9" s="7" t="s">
        <v>165</v>
      </c>
      <c r="F9" s="7" t="s">
        <v>166</v>
      </c>
      <c r="G9" s="13"/>
      <c r="H9" s="7" t="n">
        <v>0</v>
      </c>
      <c r="I9" s="7" t="s">
        <v>167</v>
      </c>
      <c r="J9" s="7" t="s">
        <v>156</v>
      </c>
      <c r="K9" s="3"/>
      <c r="L9" s="3"/>
      <c r="M9" s="3"/>
      <c r="N9" s="3"/>
    </row>
    <row r="10" customFormat="false" ht="15" hidden="false" customHeight="false" outlineLevel="0" collapsed="false">
      <c r="A10" s="7" t="s">
        <v>168</v>
      </c>
      <c r="B10" s="7" t="s">
        <v>5</v>
      </c>
      <c r="C10" s="7" t="s">
        <v>169</v>
      </c>
      <c r="D10" s="7" t="s">
        <v>170</v>
      </c>
      <c r="E10" s="7" t="s">
        <v>171</v>
      </c>
      <c r="F10" s="7" t="s">
        <v>172</v>
      </c>
      <c r="G10" s="13"/>
      <c r="H10" s="7" t="n">
        <v>0</v>
      </c>
      <c r="I10" s="7" t="s">
        <v>173</v>
      </c>
      <c r="J10" s="7" t="s">
        <v>156</v>
      </c>
      <c r="K10" s="3"/>
      <c r="L10" s="3"/>
      <c r="M10" s="3"/>
      <c r="N10" s="3"/>
    </row>
    <row r="11" customFormat="false" ht="15" hidden="false" customHeight="false" outlineLevel="0" collapsed="false">
      <c r="A11" s="7" t="s">
        <v>174</v>
      </c>
      <c r="B11" s="7" t="s">
        <v>8</v>
      </c>
      <c r="C11" s="7" t="s">
        <v>151</v>
      </c>
      <c r="D11" s="7" t="s">
        <v>152</v>
      </c>
      <c r="E11" s="7" t="s">
        <v>153</v>
      </c>
      <c r="F11" s="7" t="s">
        <v>154</v>
      </c>
      <c r="G11" s="13"/>
      <c r="H11" s="7" t="n">
        <v>0</v>
      </c>
      <c r="I11" s="7" t="s">
        <v>155</v>
      </c>
      <c r="J11" s="7" t="s">
        <v>156</v>
      </c>
      <c r="K11" s="3"/>
      <c r="L11" s="3"/>
      <c r="M11" s="3"/>
      <c r="N11" s="3"/>
    </row>
    <row r="12" customFormat="false" ht="15" hidden="false" customHeight="false" outlineLevel="0" collapsed="false">
      <c r="A12" s="7" t="s">
        <v>175</v>
      </c>
      <c r="B12" s="7" t="s">
        <v>8</v>
      </c>
      <c r="C12" s="7" t="s">
        <v>158</v>
      </c>
      <c r="D12" s="7" t="s">
        <v>159</v>
      </c>
      <c r="E12" s="7" t="s">
        <v>111</v>
      </c>
      <c r="F12" s="7" t="s">
        <v>160</v>
      </c>
      <c r="G12" s="13"/>
      <c r="H12" s="7" t="n">
        <v>0</v>
      </c>
      <c r="I12" s="7" t="s">
        <v>161</v>
      </c>
      <c r="J12" s="7" t="s">
        <v>156</v>
      </c>
      <c r="K12" s="3"/>
      <c r="L12" s="3"/>
      <c r="M12" s="3"/>
      <c r="N12" s="3"/>
    </row>
    <row r="13" customFormat="false" ht="15" hidden="false" customHeight="false" outlineLevel="0" collapsed="false">
      <c r="A13" s="7" t="s">
        <v>176</v>
      </c>
      <c r="B13" s="7" t="s">
        <v>8</v>
      </c>
      <c r="C13" s="7" t="s">
        <v>163</v>
      </c>
      <c r="D13" s="7" t="s">
        <v>164</v>
      </c>
      <c r="E13" s="7" t="s">
        <v>177</v>
      </c>
      <c r="F13" s="7" t="s">
        <v>166</v>
      </c>
      <c r="G13" s="13"/>
      <c r="H13" s="7" t="n">
        <v>0</v>
      </c>
      <c r="I13" s="7" t="s">
        <v>167</v>
      </c>
      <c r="J13" s="7" t="s">
        <v>156</v>
      </c>
      <c r="K13" s="3"/>
      <c r="L13" s="3"/>
      <c r="M13" s="3"/>
      <c r="N13" s="3"/>
    </row>
    <row r="14" customFormat="false" ht="15" hidden="false" customHeight="false" outlineLevel="0" collapsed="false">
      <c r="A14" s="7" t="s">
        <v>178</v>
      </c>
      <c r="B14" s="7" t="s">
        <v>8</v>
      </c>
      <c r="C14" s="7" t="s">
        <v>169</v>
      </c>
      <c r="D14" s="7" t="s">
        <v>170</v>
      </c>
      <c r="E14" s="7" t="s">
        <v>171</v>
      </c>
      <c r="F14" s="7" t="s">
        <v>172</v>
      </c>
      <c r="G14" s="13"/>
      <c r="H14" s="7" t="n">
        <v>0</v>
      </c>
      <c r="I14" s="7" t="s">
        <v>173</v>
      </c>
      <c r="J14" s="7" t="s">
        <v>156</v>
      </c>
      <c r="K14" s="3"/>
      <c r="L14" s="3"/>
      <c r="M14" s="3"/>
      <c r="N14" s="3"/>
    </row>
    <row r="15" customFormat="false" ht="15" hidden="false" customHeight="false" outlineLevel="0" collapsed="false">
      <c r="A15" s="7" t="s">
        <v>179</v>
      </c>
      <c r="B15" s="7" t="s">
        <v>11</v>
      </c>
      <c r="C15" s="7" t="s">
        <v>151</v>
      </c>
      <c r="D15" s="7" t="s">
        <v>152</v>
      </c>
      <c r="E15" s="7" t="s">
        <v>153</v>
      </c>
      <c r="F15" s="7" t="s">
        <v>154</v>
      </c>
      <c r="G15" s="13"/>
      <c r="H15" s="7" t="n">
        <v>0</v>
      </c>
      <c r="I15" s="7" t="s">
        <v>155</v>
      </c>
      <c r="J15" s="7" t="s">
        <v>156</v>
      </c>
      <c r="K15" s="3"/>
      <c r="L15" s="3"/>
      <c r="M15" s="3"/>
      <c r="N15" s="3"/>
    </row>
    <row r="16" customFormat="false" ht="15" hidden="false" customHeight="false" outlineLevel="0" collapsed="false">
      <c r="A16" s="7" t="s">
        <v>180</v>
      </c>
      <c r="B16" s="7" t="s">
        <v>11</v>
      </c>
      <c r="C16" s="7" t="s">
        <v>158</v>
      </c>
      <c r="D16" s="7" t="s">
        <v>159</v>
      </c>
      <c r="E16" s="7" t="s">
        <v>118</v>
      </c>
      <c r="F16" s="7" t="s">
        <v>160</v>
      </c>
      <c r="G16" s="13"/>
      <c r="H16" s="7" t="n">
        <v>0</v>
      </c>
      <c r="I16" s="7" t="s">
        <v>161</v>
      </c>
      <c r="J16" s="7" t="s">
        <v>156</v>
      </c>
      <c r="K16" s="3"/>
      <c r="L16" s="3"/>
      <c r="M16" s="3"/>
      <c r="N16" s="3"/>
    </row>
    <row r="17" customFormat="false" ht="15" hidden="false" customHeight="false" outlineLevel="0" collapsed="false">
      <c r="A17" s="7" t="s">
        <v>181</v>
      </c>
      <c r="B17" s="7" t="s">
        <v>11</v>
      </c>
      <c r="C17" s="7" t="s">
        <v>163</v>
      </c>
      <c r="D17" s="7" t="s">
        <v>164</v>
      </c>
      <c r="E17" s="7" t="s">
        <v>182</v>
      </c>
      <c r="F17" s="7" t="s">
        <v>166</v>
      </c>
      <c r="G17" s="13"/>
      <c r="H17" s="7" t="n">
        <v>0</v>
      </c>
      <c r="I17" s="7" t="s">
        <v>167</v>
      </c>
      <c r="J17" s="7" t="s">
        <v>156</v>
      </c>
      <c r="K17" s="3"/>
      <c r="L17" s="3"/>
      <c r="M17" s="3"/>
      <c r="N17" s="3"/>
    </row>
    <row r="18" customFormat="false" ht="15" hidden="false" customHeight="false" outlineLevel="0" collapsed="false">
      <c r="A18" s="7" t="s">
        <v>183</v>
      </c>
      <c r="B18" s="7" t="s">
        <v>11</v>
      </c>
      <c r="C18" s="7" t="s">
        <v>169</v>
      </c>
      <c r="D18" s="7" t="s">
        <v>170</v>
      </c>
      <c r="E18" s="7" t="s">
        <v>171</v>
      </c>
      <c r="F18" s="7" t="s">
        <v>172</v>
      </c>
      <c r="G18" s="13"/>
      <c r="H18" s="7" t="n">
        <v>0</v>
      </c>
      <c r="I18" s="7" t="s">
        <v>173</v>
      </c>
      <c r="J18" s="7" t="s">
        <v>156</v>
      </c>
      <c r="K18" s="3"/>
      <c r="L18" s="3"/>
      <c r="M18" s="3"/>
      <c r="N18" s="3"/>
    </row>
    <row r="19" customFormat="false" ht="15" hidden="false" customHeight="false" outlineLevel="0" collapsed="false">
      <c r="A19" s="7" t="s">
        <v>184</v>
      </c>
      <c r="B19" s="7" t="s">
        <v>14</v>
      </c>
      <c r="C19" s="7" t="s">
        <v>151</v>
      </c>
      <c r="D19" s="7" t="s">
        <v>152</v>
      </c>
      <c r="E19" s="7" t="s">
        <v>153</v>
      </c>
      <c r="F19" s="7" t="s">
        <v>154</v>
      </c>
      <c r="G19" s="13"/>
      <c r="H19" s="7" t="n">
        <v>0</v>
      </c>
      <c r="I19" s="7" t="s">
        <v>155</v>
      </c>
      <c r="J19" s="7" t="s">
        <v>156</v>
      </c>
      <c r="K19" s="3"/>
      <c r="L19" s="3"/>
      <c r="M19" s="3"/>
      <c r="N19" s="3"/>
    </row>
    <row r="20" customFormat="false" ht="15" hidden="false" customHeight="false" outlineLevel="0" collapsed="false">
      <c r="A20" s="7" t="s">
        <v>185</v>
      </c>
      <c r="B20" s="7" t="s">
        <v>14</v>
      </c>
      <c r="C20" s="7" t="s">
        <v>158</v>
      </c>
      <c r="D20" s="7" t="s">
        <v>159</v>
      </c>
      <c r="E20" s="7" t="s">
        <v>125</v>
      </c>
      <c r="F20" s="7" t="s">
        <v>160</v>
      </c>
      <c r="G20" s="13"/>
      <c r="H20" s="7" t="n">
        <v>0</v>
      </c>
      <c r="I20" s="7" t="s">
        <v>161</v>
      </c>
      <c r="J20" s="7" t="s">
        <v>156</v>
      </c>
      <c r="K20" s="3"/>
      <c r="L20" s="3"/>
      <c r="M20" s="3"/>
      <c r="N20" s="3"/>
    </row>
    <row r="21" customFormat="false" ht="15" hidden="false" customHeight="false" outlineLevel="0" collapsed="false">
      <c r="A21" s="7" t="s">
        <v>186</v>
      </c>
      <c r="B21" s="7" t="s">
        <v>14</v>
      </c>
      <c r="C21" s="7" t="s">
        <v>163</v>
      </c>
      <c r="D21" s="7" t="s">
        <v>164</v>
      </c>
      <c r="E21" s="7" t="s">
        <v>187</v>
      </c>
      <c r="F21" s="7" t="s">
        <v>166</v>
      </c>
      <c r="G21" s="13"/>
      <c r="H21" s="7" t="n">
        <v>0</v>
      </c>
      <c r="I21" s="7" t="s">
        <v>167</v>
      </c>
      <c r="J21" s="7" t="s">
        <v>156</v>
      </c>
      <c r="K21" s="3"/>
      <c r="L21" s="3"/>
      <c r="M21" s="3"/>
      <c r="N21" s="3"/>
    </row>
    <row r="22" customFormat="false" ht="15" hidden="false" customHeight="false" outlineLevel="0" collapsed="false">
      <c r="A22" s="7" t="s">
        <v>188</v>
      </c>
      <c r="B22" s="7" t="s">
        <v>14</v>
      </c>
      <c r="C22" s="7" t="s">
        <v>169</v>
      </c>
      <c r="D22" s="7" t="s">
        <v>170</v>
      </c>
      <c r="E22" s="7" t="s">
        <v>171</v>
      </c>
      <c r="F22" s="7" t="s">
        <v>172</v>
      </c>
      <c r="G22" s="13"/>
      <c r="H22" s="7" t="n">
        <v>0</v>
      </c>
      <c r="I22" s="7" t="s">
        <v>173</v>
      </c>
      <c r="J22" s="7" t="s">
        <v>156</v>
      </c>
      <c r="K22" s="3"/>
      <c r="L22" s="3"/>
      <c r="M22" s="3"/>
      <c r="N22" s="3"/>
    </row>
    <row r="23" customFormat="false" ht="15" hidden="false" customHeight="false" outlineLevel="0" collapsed="false">
      <c r="A23" s="7" t="s">
        <v>189</v>
      </c>
      <c r="B23" s="7" t="s">
        <v>17</v>
      </c>
      <c r="C23" s="7" t="s">
        <v>151</v>
      </c>
      <c r="D23" s="7" t="s">
        <v>152</v>
      </c>
      <c r="E23" s="7" t="s">
        <v>153</v>
      </c>
      <c r="F23" s="7" t="s">
        <v>154</v>
      </c>
      <c r="G23" s="13"/>
      <c r="H23" s="7" t="n">
        <v>0</v>
      </c>
      <c r="I23" s="7" t="s">
        <v>155</v>
      </c>
      <c r="J23" s="7" t="s">
        <v>156</v>
      </c>
      <c r="K23" s="3"/>
      <c r="L23" s="3"/>
      <c r="M23" s="3"/>
      <c r="N23" s="3"/>
    </row>
    <row r="24" customFormat="false" ht="15" hidden="false" customHeight="false" outlineLevel="0" collapsed="false">
      <c r="A24" s="7" t="s">
        <v>190</v>
      </c>
      <c r="B24" s="7" t="s">
        <v>17</v>
      </c>
      <c r="C24" s="7" t="s">
        <v>158</v>
      </c>
      <c r="D24" s="7" t="s">
        <v>159</v>
      </c>
      <c r="E24" s="7" t="s">
        <v>132</v>
      </c>
      <c r="F24" s="7" t="s">
        <v>160</v>
      </c>
      <c r="G24" s="13"/>
      <c r="H24" s="7" t="n">
        <v>0</v>
      </c>
      <c r="I24" s="7" t="s">
        <v>161</v>
      </c>
      <c r="J24" s="7" t="s">
        <v>156</v>
      </c>
      <c r="K24" s="3"/>
      <c r="L24" s="3"/>
      <c r="M24" s="3"/>
      <c r="N24" s="3"/>
    </row>
    <row r="25" customFormat="false" ht="15" hidden="false" customHeight="false" outlineLevel="0" collapsed="false">
      <c r="A25" s="7" t="s">
        <v>191</v>
      </c>
      <c r="B25" s="7" t="s">
        <v>17</v>
      </c>
      <c r="C25" s="7" t="s">
        <v>163</v>
      </c>
      <c r="D25" s="7" t="s">
        <v>164</v>
      </c>
      <c r="E25" s="7" t="s">
        <v>192</v>
      </c>
      <c r="F25" s="7" t="s">
        <v>166</v>
      </c>
      <c r="G25" s="13"/>
      <c r="H25" s="7" t="n">
        <v>0</v>
      </c>
      <c r="I25" s="7" t="s">
        <v>167</v>
      </c>
      <c r="J25" s="7" t="s">
        <v>156</v>
      </c>
      <c r="K25" s="3"/>
      <c r="L25" s="3"/>
      <c r="M25" s="3"/>
      <c r="N25" s="3"/>
    </row>
    <row r="26" customFormat="false" ht="15" hidden="false" customHeight="false" outlineLevel="0" collapsed="false">
      <c r="A26" s="7" t="s">
        <v>193</v>
      </c>
      <c r="B26" s="7" t="s">
        <v>17</v>
      </c>
      <c r="C26" s="7" t="s">
        <v>169</v>
      </c>
      <c r="D26" s="7" t="s">
        <v>170</v>
      </c>
      <c r="E26" s="7" t="s">
        <v>171</v>
      </c>
      <c r="F26" s="7" t="s">
        <v>172</v>
      </c>
      <c r="G26" s="13"/>
      <c r="H26" s="7" t="n">
        <v>0</v>
      </c>
      <c r="I26" s="7" t="s">
        <v>173</v>
      </c>
      <c r="J26" s="7" t="s">
        <v>156</v>
      </c>
      <c r="K26" s="3"/>
      <c r="L26" s="3"/>
      <c r="M26" s="3"/>
      <c r="N26" s="3"/>
    </row>
    <row r="27" customFormat="false" ht="15" hidden="false" customHeight="false" outlineLevel="0" collapsed="false">
      <c r="A27" s="7" t="s">
        <v>194</v>
      </c>
      <c r="B27" s="7" t="s">
        <v>20</v>
      </c>
      <c r="C27" s="7" t="s">
        <v>151</v>
      </c>
      <c r="D27" s="7" t="s">
        <v>152</v>
      </c>
      <c r="E27" s="7" t="s">
        <v>153</v>
      </c>
      <c r="F27" s="7" t="s">
        <v>154</v>
      </c>
      <c r="G27" s="13"/>
      <c r="H27" s="7" t="n">
        <v>0</v>
      </c>
      <c r="I27" s="7" t="s">
        <v>155</v>
      </c>
      <c r="J27" s="7" t="s">
        <v>156</v>
      </c>
      <c r="K27" s="3"/>
      <c r="L27" s="3"/>
      <c r="M27" s="3"/>
      <c r="N27" s="3"/>
    </row>
    <row r="28" customFormat="false" ht="15" hidden="false" customHeight="false" outlineLevel="0" collapsed="false">
      <c r="A28" s="7" t="s">
        <v>195</v>
      </c>
      <c r="B28" s="7" t="s">
        <v>20</v>
      </c>
      <c r="C28" s="7" t="s">
        <v>158</v>
      </c>
      <c r="D28" s="7" t="s">
        <v>159</v>
      </c>
      <c r="E28" s="7" t="s">
        <v>139</v>
      </c>
      <c r="F28" s="7" t="s">
        <v>160</v>
      </c>
      <c r="G28" s="13"/>
      <c r="H28" s="7" t="n">
        <v>0</v>
      </c>
      <c r="I28" s="7" t="s">
        <v>161</v>
      </c>
      <c r="J28" s="7" t="s">
        <v>156</v>
      </c>
      <c r="K28" s="3"/>
      <c r="L28" s="3"/>
      <c r="M28" s="3"/>
      <c r="N28" s="3"/>
    </row>
    <row r="29" customFormat="false" ht="15" hidden="false" customHeight="false" outlineLevel="0" collapsed="false">
      <c r="A29" s="7" t="s">
        <v>196</v>
      </c>
      <c r="B29" s="7" t="s">
        <v>20</v>
      </c>
      <c r="C29" s="7" t="s">
        <v>163</v>
      </c>
      <c r="D29" s="7" t="s">
        <v>164</v>
      </c>
      <c r="E29" s="7" t="s">
        <v>197</v>
      </c>
      <c r="F29" s="7" t="s">
        <v>166</v>
      </c>
      <c r="G29" s="13"/>
      <c r="H29" s="7" t="n">
        <v>0</v>
      </c>
      <c r="I29" s="7" t="s">
        <v>167</v>
      </c>
      <c r="J29" s="7" t="s">
        <v>156</v>
      </c>
      <c r="K29" s="3"/>
      <c r="L29" s="3"/>
      <c r="M29" s="3"/>
      <c r="N29" s="3"/>
    </row>
    <row r="30" customFormat="false" ht="15" hidden="false" customHeight="false" outlineLevel="0" collapsed="false">
      <c r="A30" s="7" t="s">
        <v>198</v>
      </c>
      <c r="B30" s="7" t="s">
        <v>20</v>
      </c>
      <c r="C30" s="7" t="s">
        <v>169</v>
      </c>
      <c r="D30" s="7" t="s">
        <v>170</v>
      </c>
      <c r="E30" s="7" t="s">
        <v>171</v>
      </c>
      <c r="F30" s="7" t="s">
        <v>172</v>
      </c>
      <c r="G30" s="13"/>
      <c r="H30" s="7" t="n">
        <v>0</v>
      </c>
      <c r="I30" s="7" t="s">
        <v>173</v>
      </c>
      <c r="J30" s="7" t="s">
        <v>156</v>
      </c>
      <c r="K30" s="3"/>
      <c r="L30" s="3"/>
      <c r="M30" s="3"/>
      <c r="N30" s="3"/>
    </row>
  </sheetData>
  <mergeCells count="2">
    <mergeCell ref="A2:N2"/>
    <mergeCell ref="A4:N4"/>
  </mergeCells>
  <conditionalFormatting sqref="J7:J30">
    <cfRule type="containsText" priority="2" operator="containsText" aboveAverage="0" equalAverage="0" bottom="0" percent="0" rank="0" text="FAIL" dxfId="8">
      <formula>NOT(ISERROR(SEARCH("FAIL",J7)))</formula>
    </cfRule>
    <cfRule type="containsText" priority="3" operator="containsText" aboveAverage="0" equalAverage="0" bottom="0" percent="0" rank="0" text="OPEN" dxfId="9">
      <formula>NOT(ISERROR(SEARCH("OPEN",J7)))</formula>
    </cfRule>
    <cfRule type="containsText" priority="4" operator="containsText" aboveAverage="0" equalAverage="0" bottom="0" percent="0" rank="0" text="UNMEASURED" dxfId="10">
      <formula>NOT(ISERROR(SEARCH("UNMEASURED",J7)))</formula>
    </cfRule>
    <cfRule type="containsText" priority="5" operator="containsText" aboveAverage="0" equalAverage="0" bottom="0" percent="0" rank="0" text="SELECT" dxfId="11">
      <formula>NOT(ISERROR(SEARCH("SELECT",J7)))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25"/>
    <col collapsed="false" customWidth="true" hidden="false" outlineLevel="0" max="5" min="5" style="1" width="18"/>
    <col collapsed="false" customWidth="true" hidden="false" outlineLevel="0" max="6" min="6" style="1" width="48"/>
    <col collapsed="false" customWidth="true" hidden="false" outlineLevel="0" max="7" min="7" style="1" width="31"/>
    <col collapsed="false" customWidth="true" hidden="false" outlineLevel="0" max="8" min="8" style="1" width="50"/>
    <col collapsed="false" customWidth="true" hidden="false" outlineLevel="0" max="9" min="9" style="1" width="14"/>
    <col collapsed="false" customWidth="true" hidden="false" outlineLevel="0" max="10" min="10" style="1" width="17"/>
    <col collapsed="false" customWidth="true" hidden="false" outlineLevel="0" max="11" min="11" style="1" width="29"/>
    <col collapsed="false" customWidth="true" hidden="false" outlineLevel="0" max="12" min="12" style="1" width="38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199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200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30" hidden="false" customHeight="true" outlineLevel="0" collapsed="false">
      <c r="A6" s="9" t="s">
        <v>201</v>
      </c>
      <c r="B6" s="9" t="s">
        <v>3</v>
      </c>
      <c r="C6" s="9" t="s">
        <v>202</v>
      </c>
      <c r="D6" s="9" t="s">
        <v>203</v>
      </c>
      <c r="E6" s="9" t="s">
        <v>204</v>
      </c>
      <c r="F6" s="9" t="s">
        <v>205</v>
      </c>
      <c r="G6" s="9" t="s">
        <v>206</v>
      </c>
      <c r="H6" s="9" t="s">
        <v>207</v>
      </c>
      <c r="I6" s="9" t="s">
        <v>208</v>
      </c>
      <c r="J6" s="9" t="s">
        <v>209</v>
      </c>
      <c r="K6" s="9" t="s">
        <v>210</v>
      </c>
      <c r="L6" s="9" t="s">
        <v>211</v>
      </c>
      <c r="M6" s="3"/>
      <c r="N6" s="3"/>
    </row>
    <row r="7" customFormat="false" ht="15" hidden="false" customHeight="false" outlineLevel="0" collapsed="false">
      <c r="A7" s="7" t="s">
        <v>212</v>
      </c>
      <c r="B7" s="7" t="s">
        <v>5</v>
      </c>
      <c r="C7" s="7" t="s">
        <v>213</v>
      </c>
      <c r="D7" s="7" t="s">
        <v>214</v>
      </c>
      <c r="E7" s="7" t="s">
        <v>215</v>
      </c>
      <c r="F7" s="7" t="s">
        <v>216</v>
      </c>
      <c r="G7" s="7" t="s">
        <v>217</v>
      </c>
      <c r="H7" s="7" t="s">
        <v>218</v>
      </c>
      <c r="I7" s="7" t="s">
        <v>219</v>
      </c>
      <c r="J7" s="13"/>
      <c r="K7" s="7" t="s">
        <v>220</v>
      </c>
      <c r="L7" s="7" t="s">
        <v>221</v>
      </c>
      <c r="M7" s="3"/>
      <c r="N7" s="3"/>
    </row>
    <row r="8" customFormat="false" ht="15" hidden="false" customHeight="false" outlineLevel="0" collapsed="false">
      <c r="A8" s="7" t="s">
        <v>222</v>
      </c>
      <c r="B8" s="7" t="s">
        <v>5</v>
      </c>
      <c r="C8" s="7" t="s">
        <v>223</v>
      </c>
      <c r="D8" s="7" t="s">
        <v>224</v>
      </c>
      <c r="E8" s="7" t="s">
        <v>225</v>
      </c>
      <c r="F8" s="7" t="s">
        <v>226</v>
      </c>
      <c r="G8" s="7" t="s">
        <v>227</v>
      </c>
      <c r="H8" s="7" t="s">
        <v>228</v>
      </c>
      <c r="I8" s="7" t="s">
        <v>219</v>
      </c>
      <c r="J8" s="13"/>
      <c r="K8" s="7" t="s">
        <v>220</v>
      </c>
      <c r="L8" s="7" t="s">
        <v>229</v>
      </c>
      <c r="M8" s="3"/>
      <c r="N8" s="3"/>
    </row>
    <row r="9" customFormat="false" ht="15" hidden="false" customHeight="false" outlineLevel="0" collapsed="false">
      <c r="A9" s="7" t="s">
        <v>230</v>
      </c>
      <c r="B9" s="7" t="s">
        <v>5</v>
      </c>
      <c r="C9" s="7" t="s">
        <v>231</v>
      </c>
      <c r="D9" s="7" t="s">
        <v>232</v>
      </c>
      <c r="E9" s="7" t="s">
        <v>233</v>
      </c>
      <c r="F9" s="7" t="s">
        <v>234</v>
      </c>
      <c r="G9" s="7" t="s">
        <v>227</v>
      </c>
      <c r="H9" s="7" t="s">
        <v>235</v>
      </c>
      <c r="I9" s="7" t="s">
        <v>219</v>
      </c>
      <c r="J9" s="13"/>
      <c r="K9" s="7" t="s">
        <v>220</v>
      </c>
      <c r="L9" s="7" t="s">
        <v>236</v>
      </c>
      <c r="M9" s="3"/>
      <c r="N9" s="3"/>
    </row>
    <row r="10" customFormat="false" ht="15" hidden="false" customHeight="false" outlineLevel="0" collapsed="false">
      <c r="A10" s="7" t="s">
        <v>237</v>
      </c>
      <c r="B10" s="7" t="s">
        <v>5</v>
      </c>
      <c r="C10" s="7" t="s">
        <v>238</v>
      </c>
      <c r="D10" s="7" t="s">
        <v>239</v>
      </c>
      <c r="E10" s="7" t="s">
        <v>240</v>
      </c>
      <c r="F10" s="7" t="s">
        <v>241</v>
      </c>
      <c r="G10" s="7" t="s">
        <v>227</v>
      </c>
      <c r="H10" s="7" t="s">
        <v>242</v>
      </c>
      <c r="I10" s="7" t="s">
        <v>219</v>
      </c>
      <c r="J10" s="13"/>
      <c r="K10" s="7" t="s">
        <v>220</v>
      </c>
      <c r="L10" s="7" t="s">
        <v>243</v>
      </c>
      <c r="M10" s="3"/>
      <c r="N10" s="3"/>
    </row>
    <row r="11" customFormat="false" ht="15" hidden="false" customHeight="false" outlineLevel="0" collapsed="false">
      <c r="A11" s="7" t="s">
        <v>244</v>
      </c>
      <c r="B11" s="7" t="s">
        <v>5</v>
      </c>
      <c r="C11" s="7" t="s">
        <v>245</v>
      </c>
      <c r="D11" s="7" t="s">
        <v>246</v>
      </c>
      <c r="E11" s="7" t="s">
        <v>247</v>
      </c>
      <c r="F11" s="7" t="s">
        <v>248</v>
      </c>
      <c r="G11" s="7" t="s">
        <v>249</v>
      </c>
      <c r="H11" s="7" t="s">
        <v>250</v>
      </c>
      <c r="I11" s="7" t="s">
        <v>219</v>
      </c>
      <c r="J11" s="13"/>
      <c r="K11" s="7" t="s">
        <v>251</v>
      </c>
      <c r="L11" s="7" t="s">
        <v>252</v>
      </c>
      <c r="M11" s="3"/>
      <c r="N11" s="3"/>
    </row>
    <row r="12" customFormat="false" ht="15" hidden="false" customHeight="false" outlineLevel="0" collapsed="false">
      <c r="A12" s="7" t="s">
        <v>253</v>
      </c>
      <c r="B12" s="7" t="s">
        <v>5</v>
      </c>
      <c r="C12" s="7" t="s">
        <v>254</v>
      </c>
      <c r="D12" s="7" t="s">
        <v>255</v>
      </c>
      <c r="E12" s="7" t="s">
        <v>256</v>
      </c>
      <c r="F12" s="7" t="s">
        <v>101</v>
      </c>
      <c r="G12" s="7" t="s">
        <v>257</v>
      </c>
      <c r="H12" s="7" t="s">
        <v>258</v>
      </c>
      <c r="I12" s="7" t="s">
        <v>219</v>
      </c>
      <c r="J12" s="13"/>
      <c r="K12" s="7" t="s">
        <v>220</v>
      </c>
      <c r="L12" s="7" t="s">
        <v>259</v>
      </c>
      <c r="M12" s="3"/>
      <c r="N12" s="3"/>
    </row>
    <row r="13" customFormat="false" ht="15" hidden="false" customHeight="false" outlineLevel="0" collapsed="false">
      <c r="A13" s="7" t="s">
        <v>260</v>
      </c>
      <c r="B13" s="7" t="s">
        <v>5</v>
      </c>
      <c r="C13" s="7" t="s">
        <v>261</v>
      </c>
      <c r="D13" s="7" t="s">
        <v>262</v>
      </c>
      <c r="E13" s="7" t="s">
        <v>263</v>
      </c>
      <c r="F13" s="7" t="s">
        <v>264</v>
      </c>
      <c r="G13" s="7" t="s">
        <v>227</v>
      </c>
      <c r="H13" s="7" t="s">
        <v>265</v>
      </c>
      <c r="I13" s="7" t="s">
        <v>219</v>
      </c>
      <c r="J13" s="13"/>
      <c r="K13" s="7" t="s">
        <v>220</v>
      </c>
      <c r="L13" s="7" t="s">
        <v>266</v>
      </c>
      <c r="M13" s="3"/>
      <c r="N13" s="3"/>
    </row>
    <row r="14" customFormat="false" ht="15" hidden="false" customHeight="false" outlineLevel="0" collapsed="false">
      <c r="A14" s="7" t="s">
        <v>267</v>
      </c>
      <c r="B14" s="7" t="s">
        <v>5</v>
      </c>
      <c r="C14" s="7" t="s">
        <v>268</v>
      </c>
      <c r="D14" s="7" t="s">
        <v>269</v>
      </c>
      <c r="E14" s="7" t="s">
        <v>270</v>
      </c>
      <c r="F14" s="7" t="s">
        <v>271</v>
      </c>
      <c r="G14" s="7" t="s">
        <v>227</v>
      </c>
      <c r="H14" s="7" t="s">
        <v>272</v>
      </c>
      <c r="I14" s="7" t="s">
        <v>219</v>
      </c>
      <c r="J14" s="13"/>
      <c r="K14" s="7" t="s">
        <v>220</v>
      </c>
      <c r="L14" s="7" t="s">
        <v>273</v>
      </c>
      <c r="M14" s="3"/>
      <c r="N14" s="3"/>
    </row>
    <row r="15" customFormat="false" ht="15" hidden="false" customHeight="false" outlineLevel="0" collapsed="false">
      <c r="A15" s="7" t="s">
        <v>274</v>
      </c>
      <c r="B15" s="7" t="s">
        <v>5</v>
      </c>
      <c r="C15" s="7" t="s">
        <v>275</v>
      </c>
      <c r="D15" s="7" t="s">
        <v>276</v>
      </c>
      <c r="E15" s="7" t="s">
        <v>277</v>
      </c>
      <c r="F15" s="7" t="s">
        <v>278</v>
      </c>
      <c r="G15" s="7" t="s">
        <v>279</v>
      </c>
      <c r="H15" s="7" t="s">
        <v>280</v>
      </c>
      <c r="I15" s="7" t="s">
        <v>219</v>
      </c>
      <c r="J15" s="13"/>
      <c r="K15" s="7" t="s">
        <v>220</v>
      </c>
      <c r="L15" s="7" t="s">
        <v>281</v>
      </c>
      <c r="M15" s="3"/>
      <c r="N15" s="3"/>
    </row>
    <row r="16" customFormat="false" ht="15" hidden="false" customHeight="false" outlineLevel="0" collapsed="false">
      <c r="A16" s="7" t="s">
        <v>282</v>
      </c>
      <c r="B16" s="7" t="s">
        <v>8</v>
      </c>
      <c r="C16" s="7" t="s">
        <v>213</v>
      </c>
      <c r="D16" s="7" t="s">
        <v>214</v>
      </c>
      <c r="E16" s="7" t="s">
        <v>215</v>
      </c>
      <c r="F16" s="7" t="s">
        <v>283</v>
      </c>
      <c r="G16" s="7" t="s">
        <v>217</v>
      </c>
      <c r="H16" s="7" t="s">
        <v>218</v>
      </c>
      <c r="I16" s="7" t="s">
        <v>219</v>
      </c>
      <c r="J16" s="13"/>
      <c r="K16" s="7" t="s">
        <v>220</v>
      </c>
      <c r="L16" s="7" t="s">
        <v>221</v>
      </c>
      <c r="M16" s="3"/>
      <c r="N16" s="3"/>
    </row>
    <row r="17" customFormat="false" ht="15" hidden="false" customHeight="false" outlineLevel="0" collapsed="false">
      <c r="A17" s="7" t="s">
        <v>284</v>
      </c>
      <c r="B17" s="7" t="s">
        <v>8</v>
      </c>
      <c r="C17" s="7" t="s">
        <v>223</v>
      </c>
      <c r="D17" s="7" t="s">
        <v>224</v>
      </c>
      <c r="E17" s="7" t="s">
        <v>225</v>
      </c>
      <c r="F17" s="7" t="s">
        <v>285</v>
      </c>
      <c r="G17" s="7" t="s">
        <v>227</v>
      </c>
      <c r="H17" s="7" t="s">
        <v>228</v>
      </c>
      <c r="I17" s="7" t="s">
        <v>219</v>
      </c>
      <c r="J17" s="13"/>
      <c r="K17" s="7" t="s">
        <v>220</v>
      </c>
      <c r="L17" s="7" t="s">
        <v>229</v>
      </c>
      <c r="M17" s="3"/>
      <c r="N17" s="3"/>
    </row>
    <row r="18" customFormat="false" ht="15" hidden="false" customHeight="false" outlineLevel="0" collapsed="false">
      <c r="A18" s="7" t="s">
        <v>286</v>
      </c>
      <c r="B18" s="7" t="s">
        <v>8</v>
      </c>
      <c r="C18" s="7" t="s">
        <v>231</v>
      </c>
      <c r="D18" s="7" t="s">
        <v>232</v>
      </c>
      <c r="E18" s="7" t="s">
        <v>233</v>
      </c>
      <c r="F18" s="7" t="s">
        <v>287</v>
      </c>
      <c r="G18" s="7" t="s">
        <v>227</v>
      </c>
      <c r="H18" s="7" t="s">
        <v>235</v>
      </c>
      <c r="I18" s="7" t="s">
        <v>219</v>
      </c>
      <c r="J18" s="13"/>
      <c r="K18" s="7" t="s">
        <v>220</v>
      </c>
      <c r="L18" s="7" t="s">
        <v>236</v>
      </c>
      <c r="M18" s="3"/>
      <c r="N18" s="3"/>
    </row>
    <row r="19" customFormat="false" ht="15" hidden="false" customHeight="false" outlineLevel="0" collapsed="false">
      <c r="A19" s="7" t="s">
        <v>288</v>
      </c>
      <c r="B19" s="7" t="s">
        <v>8</v>
      </c>
      <c r="C19" s="7" t="s">
        <v>238</v>
      </c>
      <c r="D19" s="7" t="s">
        <v>239</v>
      </c>
      <c r="E19" s="7" t="s">
        <v>240</v>
      </c>
      <c r="F19" s="7" t="s">
        <v>289</v>
      </c>
      <c r="G19" s="7" t="s">
        <v>227</v>
      </c>
      <c r="H19" s="7" t="s">
        <v>242</v>
      </c>
      <c r="I19" s="7" t="s">
        <v>219</v>
      </c>
      <c r="J19" s="13"/>
      <c r="K19" s="7" t="s">
        <v>220</v>
      </c>
      <c r="L19" s="7" t="s">
        <v>243</v>
      </c>
      <c r="M19" s="3"/>
      <c r="N19" s="3"/>
    </row>
    <row r="20" customFormat="false" ht="15" hidden="false" customHeight="false" outlineLevel="0" collapsed="false">
      <c r="A20" s="7" t="s">
        <v>290</v>
      </c>
      <c r="B20" s="7" t="s">
        <v>8</v>
      </c>
      <c r="C20" s="7" t="s">
        <v>245</v>
      </c>
      <c r="D20" s="7" t="s">
        <v>246</v>
      </c>
      <c r="E20" s="7" t="s">
        <v>247</v>
      </c>
      <c r="F20" s="7" t="s">
        <v>291</v>
      </c>
      <c r="G20" s="7" t="s">
        <v>249</v>
      </c>
      <c r="H20" s="7" t="s">
        <v>250</v>
      </c>
      <c r="I20" s="7" t="s">
        <v>219</v>
      </c>
      <c r="J20" s="13"/>
      <c r="K20" s="7" t="s">
        <v>251</v>
      </c>
      <c r="L20" s="7" t="s">
        <v>252</v>
      </c>
      <c r="M20" s="3"/>
      <c r="N20" s="3"/>
    </row>
    <row r="21" customFormat="false" ht="15" hidden="false" customHeight="false" outlineLevel="0" collapsed="false">
      <c r="A21" s="7" t="s">
        <v>292</v>
      </c>
      <c r="B21" s="7" t="s">
        <v>8</v>
      </c>
      <c r="C21" s="7" t="s">
        <v>254</v>
      </c>
      <c r="D21" s="7" t="s">
        <v>255</v>
      </c>
      <c r="E21" s="7" t="s">
        <v>256</v>
      </c>
      <c r="F21" s="7" t="s">
        <v>108</v>
      </c>
      <c r="G21" s="7" t="s">
        <v>257</v>
      </c>
      <c r="H21" s="7" t="s">
        <v>258</v>
      </c>
      <c r="I21" s="7" t="s">
        <v>219</v>
      </c>
      <c r="J21" s="13"/>
      <c r="K21" s="7" t="s">
        <v>220</v>
      </c>
      <c r="L21" s="7" t="s">
        <v>259</v>
      </c>
      <c r="M21" s="3"/>
      <c r="N21" s="3"/>
    </row>
    <row r="22" customFormat="false" ht="15" hidden="false" customHeight="false" outlineLevel="0" collapsed="false">
      <c r="A22" s="7" t="s">
        <v>293</v>
      </c>
      <c r="B22" s="7" t="s">
        <v>8</v>
      </c>
      <c r="C22" s="7" t="s">
        <v>261</v>
      </c>
      <c r="D22" s="7" t="s">
        <v>262</v>
      </c>
      <c r="E22" s="7" t="s">
        <v>263</v>
      </c>
      <c r="F22" s="7" t="s">
        <v>294</v>
      </c>
      <c r="G22" s="7" t="s">
        <v>227</v>
      </c>
      <c r="H22" s="7" t="s">
        <v>265</v>
      </c>
      <c r="I22" s="7" t="s">
        <v>219</v>
      </c>
      <c r="J22" s="13"/>
      <c r="K22" s="7" t="s">
        <v>220</v>
      </c>
      <c r="L22" s="7" t="s">
        <v>266</v>
      </c>
      <c r="M22" s="3"/>
      <c r="N22" s="3"/>
    </row>
    <row r="23" customFormat="false" ht="15" hidden="false" customHeight="false" outlineLevel="0" collapsed="false">
      <c r="A23" s="7" t="s">
        <v>295</v>
      </c>
      <c r="B23" s="7" t="s">
        <v>8</v>
      </c>
      <c r="C23" s="7" t="s">
        <v>268</v>
      </c>
      <c r="D23" s="7" t="s">
        <v>269</v>
      </c>
      <c r="E23" s="7" t="s">
        <v>270</v>
      </c>
      <c r="F23" s="7" t="s">
        <v>296</v>
      </c>
      <c r="G23" s="7" t="s">
        <v>227</v>
      </c>
      <c r="H23" s="7" t="s">
        <v>272</v>
      </c>
      <c r="I23" s="7" t="s">
        <v>219</v>
      </c>
      <c r="J23" s="13"/>
      <c r="K23" s="7" t="s">
        <v>220</v>
      </c>
      <c r="L23" s="7" t="s">
        <v>273</v>
      </c>
      <c r="M23" s="3"/>
      <c r="N23" s="3"/>
    </row>
    <row r="24" customFormat="false" ht="15" hidden="false" customHeight="false" outlineLevel="0" collapsed="false">
      <c r="A24" s="7" t="s">
        <v>297</v>
      </c>
      <c r="B24" s="7" t="s">
        <v>8</v>
      </c>
      <c r="C24" s="7" t="s">
        <v>275</v>
      </c>
      <c r="D24" s="7" t="s">
        <v>276</v>
      </c>
      <c r="E24" s="7" t="s">
        <v>277</v>
      </c>
      <c r="F24" s="7" t="s">
        <v>298</v>
      </c>
      <c r="G24" s="7" t="s">
        <v>279</v>
      </c>
      <c r="H24" s="7" t="s">
        <v>280</v>
      </c>
      <c r="I24" s="7" t="s">
        <v>219</v>
      </c>
      <c r="J24" s="13"/>
      <c r="K24" s="7" t="s">
        <v>220</v>
      </c>
      <c r="L24" s="7" t="s">
        <v>281</v>
      </c>
      <c r="M24" s="3"/>
      <c r="N24" s="3"/>
    </row>
    <row r="25" customFormat="false" ht="15" hidden="false" customHeight="false" outlineLevel="0" collapsed="false">
      <c r="A25" s="7" t="s">
        <v>299</v>
      </c>
      <c r="B25" s="7" t="s">
        <v>11</v>
      </c>
      <c r="C25" s="7" t="s">
        <v>213</v>
      </c>
      <c r="D25" s="7" t="s">
        <v>214</v>
      </c>
      <c r="E25" s="7" t="s">
        <v>215</v>
      </c>
      <c r="F25" s="7" t="s">
        <v>300</v>
      </c>
      <c r="G25" s="7" t="s">
        <v>217</v>
      </c>
      <c r="H25" s="7" t="s">
        <v>218</v>
      </c>
      <c r="I25" s="7" t="s">
        <v>219</v>
      </c>
      <c r="J25" s="13"/>
      <c r="K25" s="7" t="s">
        <v>220</v>
      </c>
      <c r="L25" s="7" t="s">
        <v>221</v>
      </c>
      <c r="M25" s="3"/>
      <c r="N25" s="3"/>
    </row>
    <row r="26" customFormat="false" ht="15" hidden="false" customHeight="false" outlineLevel="0" collapsed="false">
      <c r="A26" s="7" t="s">
        <v>301</v>
      </c>
      <c r="B26" s="7" t="s">
        <v>11</v>
      </c>
      <c r="C26" s="7" t="s">
        <v>223</v>
      </c>
      <c r="D26" s="7" t="s">
        <v>224</v>
      </c>
      <c r="E26" s="7" t="s">
        <v>225</v>
      </c>
      <c r="F26" s="7" t="s">
        <v>302</v>
      </c>
      <c r="G26" s="7" t="s">
        <v>227</v>
      </c>
      <c r="H26" s="7" t="s">
        <v>228</v>
      </c>
      <c r="I26" s="7" t="s">
        <v>219</v>
      </c>
      <c r="J26" s="13"/>
      <c r="K26" s="7" t="s">
        <v>220</v>
      </c>
      <c r="L26" s="7" t="s">
        <v>229</v>
      </c>
      <c r="M26" s="3"/>
      <c r="N26" s="3"/>
    </row>
    <row r="27" customFormat="false" ht="15" hidden="false" customHeight="false" outlineLevel="0" collapsed="false">
      <c r="A27" s="7" t="s">
        <v>303</v>
      </c>
      <c r="B27" s="7" t="s">
        <v>11</v>
      </c>
      <c r="C27" s="7" t="s">
        <v>231</v>
      </c>
      <c r="D27" s="7" t="s">
        <v>232</v>
      </c>
      <c r="E27" s="7" t="s">
        <v>233</v>
      </c>
      <c r="F27" s="7" t="s">
        <v>304</v>
      </c>
      <c r="G27" s="7" t="s">
        <v>227</v>
      </c>
      <c r="H27" s="7" t="s">
        <v>235</v>
      </c>
      <c r="I27" s="7" t="s">
        <v>219</v>
      </c>
      <c r="J27" s="13"/>
      <c r="K27" s="7" t="s">
        <v>220</v>
      </c>
      <c r="L27" s="7" t="s">
        <v>236</v>
      </c>
      <c r="M27" s="3"/>
      <c r="N27" s="3"/>
    </row>
    <row r="28" customFormat="false" ht="15" hidden="false" customHeight="false" outlineLevel="0" collapsed="false">
      <c r="A28" s="7" t="s">
        <v>305</v>
      </c>
      <c r="B28" s="7" t="s">
        <v>11</v>
      </c>
      <c r="C28" s="7" t="s">
        <v>238</v>
      </c>
      <c r="D28" s="7" t="s">
        <v>239</v>
      </c>
      <c r="E28" s="7" t="s">
        <v>240</v>
      </c>
      <c r="F28" s="7" t="s">
        <v>306</v>
      </c>
      <c r="G28" s="7" t="s">
        <v>227</v>
      </c>
      <c r="H28" s="7" t="s">
        <v>242</v>
      </c>
      <c r="I28" s="7" t="s">
        <v>219</v>
      </c>
      <c r="J28" s="13"/>
      <c r="K28" s="7" t="s">
        <v>220</v>
      </c>
      <c r="L28" s="7" t="s">
        <v>243</v>
      </c>
      <c r="M28" s="3"/>
      <c r="N28" s="3"/>
    </row>
    <row r="29" customFormat="false" ht="15" hidden="false" customHeight="false" outlineLevel="0" collapsed="false">
      <c r="A29" s="7" t="s">
        <v>307</v>
      </c>
      <c r="B29" s="7" t="s">
        <v>11</v>
      </c>
      <c r="C29" s="7" t="s">
        <v>245</v>
      </c>
      <c r="D29" s="7" t="s">
        <v>246</v>
      </c>
      <c r="E29" s="7" t="s">
        <v>247</v>
      </c>
      <c r="F29" s="7" t="s">
        <v>308</v>
      </c>
      <c r="G29" s="7" t="s">
        <v>249</v>
      </c>
      <c r="H29" s="7" t="s">
        <v>250</v>
      </c>
      <c r="I29" s="7" t="s">
        <v>219</v>
      </c>
      <c r="J29" s="13"/>
      <c r="K29" s="7" t="s">
        <v>251</v>
      </c>
      <c r="L29" s="7" t="s">
        <v>252</v>
      </c>
      <c r="M29" s="3"/>
      <c r="N29" s="3"/>
    </row>
    <row r="30" customFormat="false" ht="15" hidden="false" customHeight="false" outlineLevel="0" collapsed="false">
      <c r="A30" s="7" t="s">
        <v>309</v>
      </c>
      <c r="B30" s="7" t="s">
        <v>11</v>
      </c>
      <c r="C30" s="7" t="s">
        <v>254</v>
      </c>
      <c r="D30" s="7" t="s">
        <v>255</v>
      </c>
      <c r="E30" s="7" t="s">
        <v>256</v>
      </c>
      <c r="F30" s="7" t="s">
        <v>115</v>
      </c>
      <c r="G30" s="7" t="s">
        <v>257</v>
      </c>
      <c r="H30" s="7" t="s">
        <v>258</v>
      </c>
      <c r="I30" s="7" t="s">
        <v>219</v>
      </c>
      <c r="J30" s="13"/>
      <c r="K30" s="7" t="s">
        <v>220</v>
      </c>
      <c r="L30" s="7" t="s">
        <v>259</v>
      </c>
      <c r="M30" s="3"/>
      <c r="N30" s="3"/>
    </row>
    <row r="31" customFormat="false" ht="15" hidden="false" customHeight="false" outlineLevel="0" collapsed="false">
      <c r="A31" s="7" t="s">
        <v>310</v>
      </c>
      <c r="B31" s="7" t="s">
        <v>11</v>
      </c>
      <c r="C31" s="7" t="s">
        <v>261</v>
      </c>
      <c r="D31" s="7" t="s">
        <v>262</v>
      </c>
      <c r="E31" s="7" t="s">
        <v>263</v>
      </c>
      <c r="F31" s="7" t="s">
        <v>311</v>
      </c>
      <c r="G31" s="7" t="s">
        <v>227</v>
      </c>
      <c r="H31" s="7" t="s">
        <v>265</v>
      </c>
      <c r="I31" s="7" t="s">
        <v>219</v>
      </c>
      <c r="J31" s="13"/>
      <c r="K31" s="7" t="s">
        <v>220</v>
      </c>
      <c r="L31" s="7" t="s">
        <v>266</v>
      </c>
      <c r="M31" s="3"/>
      <c r="N31" s="3"/>
    </row>
    <row r="32" customFormat="false" ht="15" hidden="false" customHeight="false" outlineLevel="0" collapsed="false">
      <c r="A32" s="7" t="s">
        <v>312</v>
      </c>
      <c r="B32" s="7" t="s">
        <v>11</v>
      </c>
      <c r="C32" s="7" t="s">
        <v>268</v>
      </c>
      <c r="D32" s="7" t="s">
        <v>269</v>
      </c>
      <c r="E32" s="7" t="s">
        <v>270</v>
      </c>
      <c r="F32" s="7" t="s">
        <v>313</v>
      </c>
      <c r="G32" s="7" t="s">
        <v>227</v>
      </c>
      <c r="H32" s="7" t="s">
        <v>272</v>
      </c>
      <c r="I32" s="7" t="s">
        <v>219</v>
      </c>
      <c r="J32" s="13"/>
      <c r="K32" s="7" t="s">
        <v>220</v>
      </c>
      <c r="L32" s="7" t="s">
        <v>273</v>
      </c>
      <c r="M32" s="3"/>
      <c r="N32" s="3"/>
    </row>
    <row r="33" customFormat="false" ht="15" hidden="false" customHeight="false" outlineLevel="0" collapsed="false">
      <c r="A33" s="7" t="s">
        <v>314</v>
      </c>
      <c r="B33" s="7" t="s">
        <v>11</v>
      </c>
      <c r="C33" s="7" t="s">
        <v>275</v>
      </c>
      <c r="D33" s="7" t="s">
        <v>276</v>
      </c>
      <c r="E33" s="7" t="s">
        <v>277</v>
      </c>
      <c r="F33" s="7" t="s">
        <v>315</v>
      </c>
      <c r="G33" s="7" t="s">
        <v>279</v>
      </c>
      <c r="H33" s="7" t="s">
        <v>280</v>
      </c>
      <c r="I33" s="7" t="s">
        <v>219</v>
      </c>
      <c r="J33" s="13"/>
      <c r="K33" s="7" t="s">
        <v>220</v>
      </c>
      <c r="L33" s="7" t="s">
        <v>281</v>
      </c>
      <c r="M33" s="3"/>
      <c r="N33" s="3"/>
    </row>
    <row r="34" customFormat="false" ht="15" hidden="false" customHeight="false" outlineLevel="0" collapsed="false">
      <c r="A34" s="7" t="s">
        <v>316</v>
      </c>
      <c r="B34" s="7" t="s">
        <v>14</v>
      </c>
      <c r="C34" s="7" t="s">
        <v>213</v>
      </c>
      <c r="D34" s="7" t="s">
        <v>214</v>
      </c>
      <c r="E34" s="7" t="s">
        <v>215</v>
      </c>
      <c r="F34" s="7" t="s">
        <v>317</v>
      </c>
      <c r="G34" s="7" t="s">
        <v>217</v>
      </c>
      <c r="H34" s="7" t="s">
        <v>218</v>
      </c>
      <c r="I34" s="7" t="s">
        <v>219</v>
      </c>
      <c r="J34" s="13"/>
      <c r="K34" s="7" t="s">
        <v>220</v>
      </c>
      <c r="L34" s="7" t="s">
        <v>221</v>
      </c>
      <c r="M34" s="3"/>
      <c r="N34" s="3"/>
    </row>
    <row r="35" customFormat="false" ht="15" hidden="false" customHeight="false" outlineLevel="0" collapsed="false">
      <c r="A35" s="7" t="s">
        <v>318</v>
      </c>
      <c r="B35" s="7" t="s">
        <v>14</v>
      </c>
      <c r="C35" s="7" t="s">
        <v>223</v>
      </c>
      <c r="D35" s="7" t="s">
        <v>224</v>
      </c>
      <c r="E35" s="7" t="s">
        <v>225</v>
      </c>
      <c r="F35" s="7" t="s">
        <v>319</v>
      </c>
      <c r="G35" s="7" t="s">
        <v>227</v>
      </c>
      <c r="H35" s="7" t="s">
        <v>228</v>
      </c>
      <c r="I35" s="7" t="s">
        <v>219</v>
      </c>
      <c r="J35" s="13"/>
      <c r="K35" s="7" t="s">
        <v>220</v>
      </c>
      <c r="L35" s="7" t="s">
        <v>229</v>
      </c>
      <c r="M35" s="3"/>
      <c r="N35" s="3"/>
    </row>
    <row r="36" customFormat="false" ht="15" hidden="false" customHeight="false" outlineLevel="0" collapsed="false">
      <c r="A36" s="7" t="s">
        <v>320</v>
      </c>
      <c r="B36" s="7" t="s">
        <v>14</v>
      </c>
      <c r="C36" s="7" t="s">
        <v>231</v>
      </c>
      <c r="D36" s="7" t="s">
        <v>232</v>
      </c>
      <c r="E36" s="7" t="s">
        <v>233</v>
      </c>
      <c r="F36" s="7" t="s">
        <v>321</v>
      </c>
      <c r="G36" s="7" t="s">
        <v>227</v>
      </c>
      <c r="H36" s="7" t="s">
        <v>235</v>
      </c>
      <c r="I36" s="7" t="s">
        <v>219</v>
      </c>
      <c r="J36" s="13"/>
      <c r="K36" s="7" t="s">
        <v>220</v>
      </c>
      <c r="L36" s="7" t="s">
        <v>236</v>
      </c>
      <c r="M36" s="3"/>
      <c r="N36" s="3"/>
    </row>
    <row r="37" customFormat="false" ht="15" hidden="false" customHeight="false" outlineLevel="0" collapsed="false">
      <c r="A37" s="7" t="s">
        <v>322</v>
      </c>
      <c r="B37" s="7" t="s">
        <v>14</v>
      </c>
      <c r="C37" s="7" t="s">
        <v>238</v>
      </c>
      <c r="D37" s="7" t="s">
        <v>239</v>
      </c>
      <c r="E37" s="7" t="s">
        <v>240</v>
      </c>
      <c r="F37" s="7" t="s">
        <v>323</v>
      </c>
      <c r="G37" s="7" t="s">
        <v>227</v>
      </c>
      <c r="H37" s="7" t="s">
        <v>242</v>
      </c>
      <c r="I37" s="7" t="s">
        <v>219</v>
      </c>
      <c r="J37" s="13"/>
      <c r="K37" s="7" t="s">
        <v>220</v>
      </c>
      <c r="L37" s="7" t="s">
        <v>243</v>
      </c>
      <c r="M37" s="3"/>
      <c r="N37" s="3"/>
    </row>
    <row r="38" customFormat="false" ht="15" hidden="false" customHeight="false" outlineLevel="0" collapsed="false">
      <c r="A38" s="7" t="s">
        <v>324</v>
      </c>
      <c r="B38" s="7" t="s">
        <v>14</v>
      </c>
      <c r="C38" s="7" t="s">
        <v>245</v>
      </c>
      <c r="D38" s="7" t="s">
        <v>246</v>
      </c>
      <c r="E38" s="7" t="s">
        <v>247</v>
      </c>
      <c r="F38" s="7" t="s">
        <v>325</v>
      </c>
      <c r="G38" s="7" t="s">
        <v>249</v>
      </c>
      <c r="H38" s="7" t="s">
        <v>250</v>
      </c>
      <c r="I38" s="7" t="s">
        <v>219</v>
      </c>
      <c r="J38" s="13"/>
      <c r="K38" s="7" t="s">
        <v>251</v>
      </c>
      <c r="L38" s="7" t="s">
        <v>252</v>
      </c>
      <c r="M38" s="3"/>
      <c r="N38" s="3"/>
    </row>
    <row r="39" customFormat="false" ht="15" hidden="false" customHeight="false" outlineLevel="0" collapsed="false">
      <c r="A39" s="7" t="s">
        <v>326</v>
      </c>
      <c r="B39" s="7" t="s">
        <v>14</v>
      </c>
      <c r="C39" s="7" t="s">
        <v>254</v>
      </c>
      <c r="D39" s="7" t="s">
        <v>255</v>
      </c>
      <c r="E39" s="7" t="s">
        <v>256</v>
      </c>
      <c r="F39" s="7" t="s">
        <v>122</v>
      </c>
      <c r="G39" s="7" t="s">
        <v>257</v>
      </c>
      <c r="H39" s="7" t="s">
        <v>258</v>
      </c>
      <c r="I39" s="7" t="s">
        <v>219</v>
      </c>
      <c r="J39" s="13"/>
      <c r="K39" s="7" t="s">
        <v>220</v>
      </c>
      <c r="L39" s="7" t="s">
        <v>259</v>
      </c>
      <c r="M39" s="3"/>
      <c r="N39" s="3"/>
    </row>
    <row r="40" customFormat="false" ht="15" hidden="false" customHeight="false" outlineLevel="0" collapsed="false">
      <c r="A40" s="7" t="s">
        <v>327</v>
      </c>
      <c r="B40" s="7" t="s">
        <v>14</v>
      </c>
      <c r="C40" s="7" t="s">
        <v>261</v>
      </c>
      <c r="D40" s="7" t="s">
        <v>262</v>
      </c>
      <c r="E40" s="7" t="s">
        <v>263</v>
      </c>
      <c r="F40" s="7" t="s">
        <v>328</v>
      </c>
      <c r="G40" s="7" t="s">
        <v>227</v>
      </c>
      <c r="H40" s="7" t="s">
        <v>265</v>
      </c>
      <c r="I40" s="7" t="s">
        <v>219</v>
      </c>
      <c r="J40" s="13"/>
      <c r="K40" s="7" t="s">
        <v>220</v>
      </c>
      <c r="L40" s="7" t="s">
        <v>266</v>
      </c>
      <c r="M40" s="3"/>
      <c r="N40" s="3"/>
    </row>
    <row r="41" customFormat="false" ht="15" hidden="false" customHeight="false" outlineLevel="0" collapsed="false">
      <c r="A41" s="7" t="s">
        <v>329</v>
      </c>
      <c r="B41" s="7" t="s">
        <v>14</v>
      </c>
      <c r="C41" s="7" t="s">
        <v>268</v>
      </c>
      <c r="D41" s="7" t="s">
        <v>269</v>
      </c>
      <c r="E41" s="7" t="s">
        <v>270</v>
      </c>
      <c r="F41" s="7" t="s">
        <v>330</v>
      </c>
      <c r="G41" s="7" t="s">
        <v>227</v>
      </c>
      <c r="H41" s="7" t="s">
        <v>272</v>
      </c>
      <c r="I41" s="7" t="s">
        <v>219</v>
      </c>
      <c r="J41" s="13"/>
      <c r="K41" s="7" t="s">
        <v>220</v>
      </c>
      <c r="L41" s="7" t="s">
        <v>273</v>
      </c>
      <c r="M41" s="3"/>
      <c r="N41" s="3"/>
    </row>
    <row r="42" customFormat="false" ht="15" hidden="false" customHeight="false" outlineLevel="0" collapsed="false">
      <c r="A42" s="7" t="s">
        <v>331</v>
      </c>
      <c r="B42" s="7" t="s">
        <v>14</v>
      </c>
      <c r="C42" s="7" t="s">
        <v>275</v>
      </c>
      <c r="D42" s="7" t="s">
        <v>276</v>
      </c>
      <c r="E42" s="7" t="s">
        <v>277</v>
      </c>
      <c r="F42" s="7" t="s">
        <v>332</v>
      </c>
      <c r="G42" s="7" t="s">
        <v>279</v>
      </c>
      <c r="H42" s="7" t="s">
        <v>280</v>
      </c>
      <c r="I42" s="7" t="s">
        <v>219</v>
      </c>
      <c r="J42" s="13"/>
      <c r="K42" s="7" t="s">
        <v>220</v>
      </c>
      <c r="L42" s="7" t="s">
        <v>281</v>
      </c>
      <c r="M42" s="3"/>
      <c r="N42" s="3"/>
    </row>
    <row r="43" customFormat="false" ht="15" hidden="false" customHeight="false" outlineLevel="0" collapsed="false">
      <c r="A43" s="7" t="s">
        <v>333</v>
      </c>
      <c r="B43" s="7" t="s">
        <v>17</v>
      </c>
      <c r="C43" s="7" t="s">
        <v>213</v>
      </c>
      <c r="D43" s="7" t="s">
        <v>214</v>
      </c>
      <c r="E43" s="7" t="s">
        <v>215</v>
      </c>
      <c r="F43" s="7" t="s">
        <v>334</v>
      </c>
      <c r="G43" s="7" t="s">
        <v>217</v>
      </c>
      <c r="H43" s="7" t="s">
        <v>218</v>
      </c>
      <c r="I43" s="7" t="s">
        <v>219</v>
      </c>
      <c r="J43" s="13"/>
      <c r="K43" s="7" t="s">
        <v>220</v>
      </c>
      <c r="L43" s="7" t="s">
        <v>221</v>
      </c>
      <c r="M43" s="3"/>
      <c r="N43" s="3"/>
    </row>
    <row r="44" customFormat="false" ht="15" hidden="false" customHeight="false" outlineLevel="0" collapsed="false">
      <c r="A44" s="7" t="s">
        <v>335</v>
      </c>
      <c r="B44" s="7" t="s">
        <v>17</v>
      </c>
      <c r="C44" s="7" t="s">
        <v>223</v>
      </c>
      <c r="D44" s="7" t="s">
        <v>224</v>
      </c>
      <c r="E44" s="7" t="s">
        <v>225</v>
      </c>
      <c r="F44" s="7" t="s">
        <v>336</v>
      </c>
      <c r="G44" s="7" t="s">
        <v>227</v>
      </c>
      <c r="H44" s="7" t="s">
        <v>228</v>
      </c>
      <c r="I44" s="7" t="s">
        <v>219</v>
      </c>
      <c r="J44" s="13"/>
      <c r="K44" s="7" t="s">
        <v>220</v>
      </c>
      <c r="L44" s="7" t="s">
        <v>229</v>
      </c>
      <c r="M44" s="3"/>
      <c r="N44" s="3"/>
    </row>
    <row r="45" customFormat="false" ht="15" hidden="false" customHeight="false" outlineLevel="0" collapsed="false">
      <c r="A45" s="7" t="s">
        <v>337</v>
      </c>
      <c r="B45" s="7" t="s">
        <v>17</v>
      </c>
      <c r="C45" s="7" t="s">
        <v>231</v>
      </c>
      <c r="D45" s="7" t="s">
        <v>232</v>
      </c>
      <c r="E45" s="7" t="s">
        <v>233</v>
      </c>
      <c r="F45" s="7" t="s">
        <v>338</v>
      </c>
      <c r="G45" s="7" t="s">
        <v>227</v>
      </c>
      <c r="H45" s="7" t="s">
        <v>235</v>
      </c>
      <c r="I45" s="7" t="s">
        <v>219</v>
      </c>
      <c r="J45" s="13"/>
      <c r="K45" s="7" t="s">
        <v>220</v>
      </c>
      <c r="L45" s="7" t="s">
        <v>236</v>
      </c>
      <c r="M45" s="3"/>
      <c r="N45" s="3"/>
    </row>
    <row r="46" customFormat="false" ht="15" hidden="false" customHeight="false" outlineLevel="0" collapsed="false">
      <c r="A46" s="7" t="s">
        <v>339</v>
      </c>
      <c r="B46" s="7" t="s">
        <v>17</v>
      </c>
      <c r="C46" s="7" t="s">
        <v>238</v>
      </c>
      <c r="D46" s="7" t="s">
        <v>239</v>
      </c>
      <c r="E46" s="7" t="s">
        <v>240</v>
      </c>
      <c r="F46" s="7" t="s">
        <v>340</v>
      </c>
      <c r="G46" s="7" t="s">
        <v>227</v>
      </c>
      <c r="H46" s="7" t="s">
        <v>242</v>
      </c>
      <c r="I46" s="7" t="s">
        <v>219</v>
      </c>
      <c r="J46" s="13"/>
      <c r="K46" s="7" t="s">
        <v>220</v>
      </c>
      <c r="L46" s="7" t="s">
        <v>243</v>
      </c>
      <c r="M46" s="3"/>
      <c r="N46" s="3"/>
    </row>
    <row r="47" customFormat="false" ht="15" hidden="false" customHeight="false" outlineLevel="0" collapsed="false">
      <c r="A47" s="7" t="s">
        <v>341</v>
      </c>
      <c r="B47" s="7" t="s">
        <v>17</v>
      </c>
      <c r="C47" s="7" t="s">
        <v>245</v>
      </c>
      <c r="D47" s="7" t="s">
        <v>246</v>
      </c>
      <c r="E47" s="7" t="s">
        <v>247</v>
      </c>
      <c r="F47" s="7" t="s">
        <v>342</v>
      </c>
      <c r="G47" s="7" t="s">
        <v>249</v>
      </c>
      <c r="H47" s="7" t="s">
        <v>250</v>
      </c>
      <c r="I47" s="7" t="s">
        <v>219</v>
      </c>
      <c r="J47" s="13"/>
      <c r="K47" s="7" t="s">
        <v>251</v>
      </c>
      <c r="L47" s="7" t="s">
        <v>252</v>
      </c>
      <c r="M47" s="3"/>
      <c r="N47" s="3"/>
    </row>
    <row r="48" customFormat="false" ht="15" hidden="false" customHeight="false" outlineLevel="0" collapsed="false">
      <c r="A48" s="7" t="s">
        <v>343</v>
      </c>
      <c r="B48" s="7" t="s">
        <v>17</v>
      </c>
      <c r="C48" s="7" t="s">
        <v>254</v>
      </c>
      <c r="D48" s="7" t="s">
        <v>255</v>
      </c>
      <c r="E48" s="7" t="s">
        <v>256</v>
      </c>
      <c r="F48" s="7" t="s">
        <v>129</v>
      </c>
      <c r="G48" s="7" t="s">
        <v>257</v>
      </c>
      <c r="H48" s="7" t="s">
        <v>258</v>
      </c>
      <c r="I48" s="7" t="s">
        <v>219</v>
      </c>
      <c r="J48" s="13"/>
      <c r="K48" s="7" t="s">
        <v>220</v>
      </c>
      <c r="L48" s="7" t="s">
        <v>259</v>
      </c>
      <c r="M48" s="3"/>
      <c r="N48" s="3"/>
    </row>
    <row r="49" customFormat="false" ht="15" hidden="false" customHeight="false" outlineLevel="0" collapsed="false">
      <c r="A49" s="7" t="s">
        <v>344</v>
      </c>
      <c r="B49" s="7" t="s">
        <v>17</v>
      </c>
      <c r="C49" s="7" t="s">
        <v>261</v>
      </c>
      <c r="D49" s="7" t="s">
        <v>262</v>
      </c>
      <c r="E49" s="7" t="s">
        <v>263</v>
      </c>
      <c r="F49" s="7" t="s">
        <v>345</v>
      </c>
      <c r="G49" s="7" t="s">
        <v>227</v>
      </c>
      <c r="H49" s="7" t="s">
        <v>265</v>
      </c>
      <c r="I49" s="7" t="s">
        <v>219</v>
      </c>
      <c r="J49" s="13"/>
      <c r="K49" s="7" t="s">
        <v>220</v>
      </c>
      <c r="L49" s="7" t="s">
        <v>266</v>
      </c>
      <c r="M49" s="3"/>
      <c r="N49" s="3"/>
    </row>
    <row r="50" customFormat="false" ht="15" hidden="false" customHeight="false" outlineLevel="0" collapsed="false">
      <c r="A50" s="7" t="s">
        <v>346</v>
      </c>
      <c r="B50" s="7" t="s">
        <v>17</v>
      </c>
      <c r="C50" s="7" t="s">
        <v>268</v>
      </c>
      <c r="D50" s="7" t="s">
        <v>269</v>
      </c>
      <c r="E50" s="7" t="s">
        <v>270</v>
      </c>
      <c r="F50" s="7" t="s">
        <v>347</v>
      </c>
      <c r="G50" s="7" t="s">
        <v>227</v>
      </c>
      <c r="H50" s="7" t="s">
        <v>272</v>
      </c>
      <c r="I50" s="7" t="s">
        <v>219</v>
      </c>
      <c r="J50" s="13"/>
      <c r="K50" s="7" t="s">
        <v>220</v>
      </c>
      <c r="L50" s="7" t="s">
        <v>273</v>
      </c>
      <c r="M50" s="3"/>
      <c r="N50" s="3"/>
    </row>
    <row r="51" customFormat="false" ht="15" hidden="false" customHeight="false" outlineLevel="0" collapsed="false">
      <c r="A51" s="7" t="s">
        <v>348</v>
      </c>
      <c r="B51" s="7" t="s">
        <v>17</v>
      </c>
      <c r="C51" s="7" t="s">
        <v>275</v>
      </c>
      <c r="D51" s="7" t="s">
        <v>276</v>
      </c>
      <c r="E51" s="7" t="s">
        <v>277</v>
      </c>
      <c r="F51" s="7" t="s">
        <v>349</v>
      </c>
      <c r="G51" s="7" t="s">
        <v>279</v>
      </c>
      <c r="H51" s="7" t="s">
        <v>280</v>
      </c>
      <c r="I51" s="7" t="s">
        <v>219</v>
      </c>
      <c r="J51" s="13"/>
      <c r="K51" s="7" t="s">
        <v>220</v>
      </c>
      <c r="L51" s="7" t="s">
        <v>281</v>
      </c>
      <c r="M51" s="3"/>
      <c r="N51" s="3"/>
    </row>
    <row r="52" customFormat="false" ht="15" hidden="false" customHeight="false" outlineLevel="0" collapsed="false">
      <c r="A52" s="7" t="s">
        <v>350</v>
      </c>
      <c r="B52" s="7" t="s">
        <v>20</v>
      </c>
      <c r="C52" s="7" t="s">
        <v>213</v>
      </c>
      <c r="D52" s="7" t="s">
        <v>214</v>
      </c>
      <c r="E52" s="7" t="s">
        <v>215</v>
      </c>
      <c r="F52" s="7" t="s">
        <v>351</v>
      </c>
      <c r="G52" s="7" t="s">
        <v>217</v>
      </c>
      <c r="H52" s="7" t="s">
        <v>218</v>
      </c>
      <c r="I52" s="7" t="s">
        <v>219</v>
      </c>
      <c r="J52" s="13"/>
      <c r="K52" s="7" t="s">
        <v>220</v>
      </c>
      <c r="L52" s="7" t="s">
        <v>221</v>
      </c>
      <c r="M52" s="3"/>
      <c r="N52" s="3"/>
    </row>
    <row r="53" customFormat="false" ht="15" hidden="false" customHeight="false" outlineLevel="0" collapsed="false">
      <c r="A53" s="7" t="s">
        <v>352</v>
      </c>
      <c r="B53" s="7" t="s">
        <v>20</v>
      </c>
      <c r="C53" s="7" t="s">
        <v>223</v>
      </c>
      <c r="D53" s="7" t="s">
        <v>224</v>
      </c>
      <c r="E53" s="7" t="s">
        <v>225</v>
      </c>
      <c r="F53" s="7" t="s">
        <v>353</v>
      </c>
      <c r="G53" s="7" t="s">
        <v>227</v>
      </c>
      <c r="H53" s="7" t="s">
        <v>228</v>
      </c>
      <c r="I53" s="7" t="s">
        <v>219</v>
      </c>
      <c r="J53" s="13"/>
      <c r="K53" s="7" t="s">
        <v>220</v>
      </c>
      <c r="L53" s="7" t="s">
        <v>229</v>
      </c>
      <c r="M53" s="3"/>
      <c r="N53" s="3"/>
    </row>
    <row r="54" customFormat="false" ht="15" hidden="false" customHeight="false" outlineLevel="0" collapsed="false">
      <c r="A54" s="7" t="s">
        <v>354</v>
      </c>
      <c r="B54" s="7" t="s">
        <v>20</v>
      </c>
      <c r="C54" s="7" t="s">
        <v>231</v>
      </c>
      <c r="D54" s="7" t="s">
        <v>232</v>
      </c>
      <c r="E54" s="7" t="s">
        <v>233</v>
      </c>
      <c r="F54" s="7" t="s">
        <v>355</v>
      </c>
      <c r="G54" s="7" t="s">
        <v>227</v>
      </c>
      <c r="H54" s="7" t="s">
        <v>235</v>
      </c>
      <c r="I54" s="7" t="s">
        <v>219</v>
      </c>
      <c r="J54" s="13"/>
      <c r="K54" s="7" t="s">
        <v>220</v>
      </c>
      <c r="L54" s="7" t="s">
        <v>236</v>
      </c>
      <c r="M54" s="3"/>
      <c r="N54" s="3"/>
    </row>
    <row r="55" customFormat="false" ht="15" hidden="false" customHeight="false" outlineLevel="0" collapsed="false">
      <c r="A55" s="7" t="s">
        <v>356</v>
      </c>
      <c r="B55" s="7" t="s">
        <v>20</v>
      </c>
      <c r="C55" s="7" t="s">
        <v>238</v>
      </c>
      <c r="D55" s="7" t="s">
        <v>239</v>
      </c>
      <c r="E55" s="7" t="s">
        <v>240</v>
      </c>
      <c r="F55" s="7" t="s">
        <v>357</v>
      </c>
      <c r="G55" s="7" t="s">
        <v>227</v>
      </c>
      <c r="H55" s="7" t="s">
        <v>242</v>
      </c>
      <c r="I55" s="7" t="s">
        <v>219</v>
      </c>
      <c r="J55" s="13"/>
      <c r="K55" s="7" t="s">
        <v>220</v>
      </c>
      <c r="L55" s="7" t="s">
        <v>243</v>
      </c>
      <c r="M55" s="3"/>
      <c r="N55" s="3"/>
    </row>
    <row r="56" customFormat="false" ht="15" hidden="false" customHeight="false" outlineLevel="0" collapsed="false">
      <c r="A56" s="7" t="s">
        <v>358</v>
      </c>
      <c r="B56" s="7" t="s">
        <v>20</v>
      </c>
      <c r="C56" s="7" t="s">
        <v>245</v>
      </c>
      <c r="D56" s="7" t="s">
        <v>246</v>
      </c>
      <c r="E56" s="7" t="s">
        <v>247</v>
      </c>
      <c r="F56" s="7" t="s">
        <v>359</v>
      </c>
      <c r="G56" s="7" t="s">
        <v>249</v>
      </c>
      <c r="H56" s="7" t="s">
        <v>250</v>
      </c>
      <c r="I56" s="7" t="s">
        <v>219</v>
      </c>
      <c r="J56" s="13"/>
      <c r="K56" s="7" t="s">
        <v>251</v>
      </c>
      <c r="L56" s="7" t="s">
        <v>252</v>
      </c>
      <c r="M56" s="3"/>
      <c r="N56" s="3"/>
    </row>
    <row r="57" customFormat="false" ht="15" hidden="false" customHeight="false" outlineLevel="0" collapsed="false">
      <c r="A57" s="7" t="s">
        <v>360</v>
      </c>
      <c r="B57" s="7" t="s">
        <v>20</v>
      </c>
      <c r="C57" s="7" t="s">
        <v>254</v>
      </c>
      <c r="D57" s="7" t="s">
        <v>255</v>
      </c>
      <c r="E57" s="7" t="s">
        <v>256</v>
      </c>
      <c r="F57" s="7" t="s">
        <v>136</v>
      </c>
      <c r="G57" s="7" t="s">
        <v>257</v>
      </c>
      <c r="H57" s="7" t="s">
        <v>258</v>
      </c>
      <c r="I57" s="7" t="s">
        <v>219</v>
      </c>
      <c r="J57" s="13"/>
      <c r="K57" s="7" t="s">
        <v>220</v>
      </c>
      <c r="L57" s="7" t="s">
        <v>259</v>
      </c>
      <c r="M57" s="3"/>
      <c r="N57" s="3"/>
    </row>
    <row r="58" customFormat="false" ht="15" hidden="false" customHeight="false" outlineLevel="0" collapsed="false">
      <c r="A58" s="7" t="s">
        <v>361</v>
      </c>
      <c r="B58" s="7" t="s">
        <v>20</v>
      </c>
      <c r="C58" s="7" t="s">
        <v>261</v>
      </c>
      <c r="D58" s="7" t="s">
        <v>262</v>
      </c>
      <c r="E58" s="7" t="s">
        <v>263</v>
      </c>
      <c r="F58" s="7" t="s">
        <v>362</v>
      </c>
      <c r="G58" s="7" t="s">
        <v>227</v>
      </c>
      <c r="H58" s="7" t="s">
        <v>265</v>
      </c>
      <c r="I58" s="7" t="s">
        <v>219</v>
      </c>
      <c r="J58" s="13"/>
      <c r="K58" s="7" t="s">
        <v>220</v>
      </c>
      <c r="L58" s="7" t="s">
        <v>266</v>
      </c>
      <c r="M58" s="3"/>
      <c r="N58" s="3"/>
    </row>
    <row r="59" customFormat="false" ht="15" hidden="false" customHeight="false" outlineLevel="0" collapsed="false">
      <c r="A59" s="7" t="s">
        <v>363</v>
      </c>
      <c r="B59" s="7" t="s">
        <v>20</v>
      </c>
      <c r="C59" s="7" t="s">
        <v>268</v>
      </c>
      <c r="D59" s="7" t="s">
        <v>269</v>
      </c>
      <c r="E59" s="7" t="s">
        <v>270</v>
      </c>
      <c r="F59" s="7" t="s">
        <v>271</v>
      </c>
      <c r="G59" s="7" t="s">
        <v>227</v>
      </c>
      <c r="H59" s="7" t="s">
        <v>272</v>
      </c>
      <c r="I59" s="7" t="s">
        <v>219</v>
      </c>
      <c r="J59" s="13"/>
      <c r="K59" s="7" t="s">
        <v>220</v>
      </c>
      <c r="L59" s="7" t="s">
        <v>273</v>
      </c>
      <c r="M59" s="3"/>
      <c r="N59" s="3"/>
    </row>
    <row r="60" customFormat="false" ht="15" hidden="false" customHeight="false" outlineLevel="0" collapsed="false">
      <c r="A60" s="7" t="s">
        <v>364</v>
      </c>
      <c r="B60" s="7" t="s">
        <v>20</v>
      </c>
      <c r="C60" s="7" t="s">
        <v>275</v>
      </c>
      <c r="D60" s="7" t="s">
        <v>276</v>
      </c>
      <c r="E60" s="7" t="s">
        <v>277</v>
      </c>
      <c r="F60" s="7" t="s">
        <v>365</v>
      </c>
      <c r="G60" s="7" t="s">
        <v>279</v>
      </c>
      <c r="H60" s="7" t="s">
        <v>280</v>
      </c>
      <c r="I60" s="7" t="s">
        <v>219</v>
      </c>
      <c r="J60" s="13"/>
      <c r="K60" s="7" t="s">
        <v>220</v>
      </c>
      <c r="L60" s="7" t="s">
        <v>281</v>
      </c>
      <c r="M60" s="3"/>
      <c r="N60" s="3"/>
    </row>
  </sheetData>
  <mergeCells count="2">
    <mergeCell ref="A2:N2"/>
    <mergeCell ref="A4:N4"/>
  </mergeCells>
  <conditionalFormatting sqref="K7:K60">
    <cfRule type="containsText" priority="2" operator="containsText" aboveAverage="0" equalAverage="0" bottom="0" percent="0" rank="0" text="FAIL" dxfId="12">
      <formula>NOT(ISERROR(SEARCH("FAIL",K7)))</formula>
    </cfRule>
    <cfRule type="containsText" priority="3" operator="containsText" aboveAverage="0" equalAverage="0" bottom="0" percent="0" rank="0" text="OPEN" dxfId="13">
      <formula>NOT(ISERROR(SEARCH("OPEN",K7)))</formula>
    </cfRule>
    <cfRule type="containsText" priority="4" operator="containsText" aboveAverage="0" equalAverage="0" bottom="0" percent="0" rank="0" text="UNMEASURED" dxfId="14">
      <formula>NOT(ISERROR(SEARCH("UNMEASURED",K7)))</formula>
    </cfRule>
    <cfRule type="containsText" priority="5" operator="containsText" aboveAverage="0" equalAverage="0" bottom="0" percent="0" rank="0" text="SELECT" dxfId="15">
      <formula>NOT(ISERROR(SEARCH("SELECT",K7)))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4"/>
    <col collapsed="false" customWidth="true" hidden="false" outlineLevel="0" max="4" min="4" style="1" width="58"/>
    <col collapsed="false" customWidth="true" hidden="false" outlineLevel="0" max="5" min="5" style="1" width="8"/>
    <col collapsed="false" customWidth="true" hidden="false" outlineLevel="0" max="6" min="6" style="1" width="24"/>
    <col collapsed="false" customWidth="true" hidden="false" outlineLevel="0" max="7" min="7" style="1" width="45"/>
    <col collapsed="false" customWidth="true" hidden="false" outlineLevel="0" max="8" min="8" style="1" width="14"/>
    <col collapsed="false" customWidth="true" hidden="false" outlineLevel="0" max="9" min="9" style="1" width="35"/>
    <col collapsed="false" customWidth="true" hidden="false" outlineLevel="0" max="10" min="10" style="1" width="11"/>
    <col collapsed="false" customWidth="true" hidden="false" outlineLevel="0" max="12" min="11" style="1" width="28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366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367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30" hidden="false" customHeight="true" outlineLevel="0" collapsed="false">
      <c r="A6" s="9" t="s">
        <v>368</v>
      </c>
      <c r="B6" s="9" t="s">
        <v>3</v>
      </c>
      <c r="C6" s="9" t="s">
        <v>369</v>
      </c>
      <c r="D6" s="9" t="s">
        <v>370</v>
      </c>
      <c r="E6" s="9" t="s">
        <v>371</v>
      </c>
      <c r="F6" s="9" t="s">
        <v>372</v>
      </c>
      <c r="G6" s="9" t="s">
        <v>373</v>
      </c>
      <c r="H6" s="9" t="s">
        <v>204</v>
      </c>
      <c r="I6" s="9" t="s">
        <v>374</v>
      </c>
      <c r="J6" s="9" t="s">
        <v>375</v>
      </c>
      <c r="K6" s="9" t="s">
        <v>376</v>
      </c>
      <c r="L6" s="9" t="s">
        <v>97</v>
      </c>
      <c r="M6" s="3"/>
      <c r="N6" s="3"/>
    </row>
    <row r="7" customFormat="false" ht="15" hidden="false" customHeight="false" outlineLevel="0" collapsed="false">
      <c r="A7" s="14" t="s">
        <v>377</v>
      </c>
      <c r="B7" s="14" t="s">
        <v>5</v>
      </c>
      <c r="C7" s="14" t="s">
        <v>214</v>
      </c>
      <c r="D7" s="14" t="s">
        <v>378</v>
      </c>
      <c r="E7" s="14" t="n">
        <v>216</v>
      </c>
      <c r="F7" s="14" t="s">
        <v>379</v>
      </c>
      <c r="G7" s="14" t="s">
        <v>216</v>
      </c>
      <c r="H7" s="14" t="s">
        <v>380</v>
      </c>
      <c r="I7" s="14" t="s">
        <v>381</v>
      </c>
      <c r="J7" s="15" t="n">
        <v>0</v>
      </c>
      <c r="K7" s="14" t="s">
        <v>382</v>
      </c>
      <c r="L7" s="14" t="s">
        <v>383</v>
      </c>
      <c r="M7" s="3"/>
      <c r="N7" s="3"/>
    </row>
    <row r="8" customFormat="false" ht="15" hidden="false" customHeight="false" outlineLevel="0" collapsed="false">
      <c r="A8" s="14" t="s">
        <v>384</v>
      </c>
      <c r="B8" s="14" t="s">
        <v>5</v>
      </c>
      <c r="C8" s="14" t="s">
        <v>385</v>
      </c>
      <c r="D8" s="14" t="s">
        <v>378</v>
      </c>
      <c r="E8" s="14" t="n">
        <v>216</v>
      </c>
      <c r="F8" s="14" t="s">
        <v>379</v>
      </c>
      <c r="G8" s="14" t="s">
        <v>386</v>
      </c>
      <c r="H8" s="14" t="s">
        <v>387</v>
      </c>
      <c r="I8" s="14" t="s">
        <v>388</v>
      </c>
      <c r="J8" s="15" t="n">
        <v>0</v>
      </c>
      <c r="K8" s="14" t="s">
        <v>389</v>
      </c>
      <c r="L8" s="14" t="s">
        <v>383</v>
      </c>
      <c r="M8" s="3"/>
      <c r="N8" s="3"/>
    </row>
    <row r="9" customFormat="false" ht="15" hidden="false" customHeight="false" outlineLevel="0" collapsed="false">
      <c r="A9" s="14" t="s">
        <v>390</v>
      </c>
      <c r="B9" s="14" t="s">
        <v>5</v>
      </c>
      <c r="C9" s="14" t="s">
        <v>391</v>
      </c>
      <c r="D9" s="14" t="s">
        <v>392</v>
      </c>
      <c r="E9" s="14" t="n">
        <v>219</v>
      </c>
      <c r="F9" s="14" t="s">
        <v>393</v>
      </c>
      <c r="G9" s="14" t="s">
        <v>104</v>
      </c>
      <c r="H9" s="14" t="s">
        <v>387</v>
      </c>
      <c r="I9" s="14" t="s">
        <v>394</v>
      </c>
      <c r="J9" s="15" t="n">
        <v>0</v>
      </c>
      <c r="K9" s="14" t="s">
        <v>395</v>
      </c>
      <c r="L9" s="14" t="s">
        <v>383</v>
      </c>
      <c r="M9" s="3"/>
      <c r="N9" s="3"/>
    </row>
    <row r="10" customFormat="false" ht="15" hidden="false" customHeight="false" outlineLevel="0" collapsed="false">
      <c r="A10" s="14" t="s">
        <v>396</v>
      </c>
      <c r="B10" s="14" t="s">
        <v>5</v>
      </c>
      <c r="C10" s="14" t="s">
        <v>397</v>
      </c>
      <c r="D10" s="14" t="s">
        <v>392</v>
      </c>
      <c r="E10" s="14" t="n">
        <v>219</v>
      </c>
      <c r="F10" s="14" t="s">
        <v>393</v>
      </c>
      <c r="G10" s="14" t="s">
        <v>226</v>
      </c>
      <c r="H10" s="14" t="s">
        <v>380</v>
      </c>
      <c r="I10" s="14" t="s">
        <v>398</v>
      </c>
      <c r="J10" s="15" t="n">
        <v>0</v>
      </c>
      <c r="K10" s="14" t="s">
        <v>399</v>
      </c>
      <c r="L10" s="14" t="s">
        <v>383</v>
      </c>
      <c r="M10" s="3"/>
      <c r="N10" s="3"/>
    </row>
    <row r="11" customFormat="false" ht="15" hidden="false" customHeight="false" outlineLevel="0" collapsed="false">
      <c r="A11" s="14" t="s">
        <v>400</v>
      </c>
      <c r="B11" s="14" t="s">
        <v>5</v>
      </c>
      <c r="C11" s="14" t="s">
        <v>401</v>
      </c>
      <c r="D11" s="14" t="s">
        <v>392</v>
      </c>
      <c r="E11" s="14" t="n">
        <v>219</v>
      </c>
      <c r="F11" s="14" t="s">
        <v>393</v>
      </c>
      <c r="G11" s="14" t="s">
        <v>234</v>
      </c>
      <c r="H11" s="14" t="s">
        <v>233</v>
      </c>
      <c r="I11" s="14" t="s">
        <v>402</v>
      </c>
      <c r="J11" s="15" t="n">
        <v>0</v>
      </c>
      <c r="K11" s="14" t="s">
        <v>403</v>
      </c>
      <c r="L11" s="14" t="s">
        <v>383</v>
      </c>
      <c r="M11" s="3"/>
      <c r="N11" s="3"/>
    </row>
    <row r="12" customFormat="false" ht="15" hidden="false" customHeight="false" outlineLevel="0" collapsed="false">
      <c r="A12" s="14" t="s">
        <v>404</v>
      </c>
      <c r="B12" s="14" t="s">
        <v>5</v>
      </c>
      <c r="C12" s="14" t="s">
        <v>405</v>
      </c>
      <c r="D12" s="14" t="s">
        <v>392</v>
      </c>
      <c r="E12" s="14" t="n">
        <v>219</v>
      </c>
      <c r="F12" s="14" t="s">
        <v>393</v>
      </c>
      <c r="G12" s="14" t="s">
        <v>241</v>
      </c>
      <c r="H12" s="14" t="s">
        <v>380</v>
      </c>
      <c r="I12" s="14" t="s">
        <v>406</v>
      </c>
      <c r="J12" s="15" t="n">
        <v>0</v>
      </c>
      <c r="K12" s="14" t="s">
        <v>407</v>
      </c>
      <c r="L12" s="14" t="s">
        <v>383</v>
      </c>
      <c r="M12" s="3"/>
      <c r="N12" s="3"/>
    </row>
    <row r="13" customFormat="false" ht="15" hidden="false" customHeight="false" outlineLevel="0" collapsed="false">
      <c r="A13" s="14" t="s">
        <v>408</v>
      </c>
      <c r="B13" s="14" t="s">
        <v>5</v>
      </c>
      <c r="C13" s="14" t="s">
        <v>409</v>
      </c>
      <c r="D13" s="14" t="s">
        <v>392</v>
      </c>
      <c r="E13" s="14" t="n">
        <v>219</v>
      </c>
      <c r="F13" s="14" t="s">
        <v>393</v>
      </c>
      <c r="G13" s="14" t="s">
        <v>264</v>
      </c>
      <c r="H13" s="14" t="s">
        <v>263</v>
      </c>
      <c r="I13" s="14" t="s">
        <v>410</v>
      </c>
      <c r="J13" s="15" t="n">
        <v>0</v>
      </c>
      <c r="K13" s="14" t="s">
        <v>411</v>
      </c>
      <c r="L13" s="14" t="s">
        <v>383</v>
      </c>
      <c r="M13" s="3"/>
      <c r="N13" s="3"/>
    </row>
    <row r="14" customFormat="false" ht="15" hidden="false" customHeight="false" outlineLevel="0" collapsed="false">
      <c r="A14" s="14" t="s">
        <v>412</v>
      </c>
      <c r="B14" s="14" t="s">
        <v>5</v>
      </c>
      <c r="C14" s="14" t="s">
        <v>413</v>
      </c>
      <c r="D14" s="14" t="s">
        <v>392</v>
      </c>
      <c r="E14" s="14" t="n">
        <v>219</v>
      </c>
      <c r="F14" s="14" t="s">
        <v>393</v>
      </c>
      <c r="G14" s="14" t="s">
        <v>271</v>
      </c>
      <c r="H14" s="14" t="s">
        <v>380</v>
      </c>
      <c r="I14" s="14" t="s">
        <v>414</v>
      </c>
      <c r="J14" s="15" t="n">
        <v>0</v>
      </c>
      <c r="K14" s="14" t="s">
        <v>415</v>
      </c>
      <c r="L14" s="14" t="s">
        <v>383</v>
      </c>
      <c r="M14" s="3"/>
      <c r="N14" s="3"/>
    </row>
    <row r="15" customFormat="false" ht="15" hidden="false" customHeight="false" outlineLevel="0" collapsed="false">
      <c r="A15" s="14" t="s">
        <v>416</v>
      </c>
      <c r="B15" s="14" t="s">
        <v>5</v>
      </c>
      <c r="C15" s="14" t="s">
        <v>417</v>
      </c>
      <c r="D15" s="14" t="s">
        <v>392</v>
      </c>
      <c r="E15" s="14" t="n">
        <v>219</v>
      </c>
      <c r="F15" s="14" t="s">
        <v>418</v>
      </c>
      <c r="G15" s="14" t="s">
        <v>278</v>
      </c>
      <c r="H15" s="14" t="s">
        <v>277</v>
      </c>
      <c r="I15" s="14" t="s">
        <v>419</v>
      </c>
      <c r="J15" s="15" t="n">
        <v>0</v>
      </c>
      <c r="K15" s="14" t="s">
        <v>420</v>
      </c>
      <c r="L15" s="14" t="s">
        <v>383</v>
      </c>
      <c r="M15" s="3"/>
      <c r="N15" s="3"/>
    </row>
    <row r="16" customFormat="false" ht="15" hidden="false" customHeight="false" outlineLevel="0" collapsed="false">
      <c r="A16" s="14" t="s">
        <v>421</v>
      </c>
      <c r="B16" s="14" t="s">
        <v>5</v>
      </c>
      <c r="C16" s="14" t="s">
        <v>422</v>
      </c>
      <c r="D16" s="14" t="s">
        <v>423</v>
      </c>
      <c r="E16" s="14" t="n">
        <v>224</v>
      </c>
      <c r="F16" s="14" t="s">
        <v>424</v>
      </c>
      <c r="G16" s="14" t="s">
        <v>101</v>
      </c>
      <c r="H16" s="14" t="s">
        <v>256</v>
      </c>
      <c r="I16" s="14" t="s">
        <v>425</v>
      </c>
      <c r="J16" s="15" t="n">
        <v>0</v>
      </c>
      <c r="K16" s="14" t="s">
        <v>426</v>
      </c>
      <c r="L16" s="14" t="s">
        <v>383</v>
      </c>
      <c r="M16" s="3"/>
      <c r="N16" s="3"/>
    </row>
    <row r="17" customFormat="false" ht="15" hidden="false" customHeight="false" outlineLevel="0" collapsed="false">
      <c r="A17" s="14" t="s">
        <v>427</v>
      </c>
      <c r="B17" s="14" t="s">
        <v>5</v>
      </c>
      <c r="C17" s="14" t="s">
        <v>428</v>
      </c>
      <c r="D17" s="14" t="s">
        <v>429</v>
      </c>
      <c r="E17" s="14" t="n">
        <v>225</v>
      </c>
      <c r="F17" s="14" t="s">
        <v>430</v>
      </c>
      <c r="G17" s="14" t="s">
        <v>165</v>
      </c>
      <c r="H17" s="14" t="s">
        <v>387</v>
      </c>
      <c r="I17" s="14" t="s">
        <v>431</v>
      </c>
      <c r="J17" s="15" t="n">
        <v>0</v>
      </c>
      <c r="K17" s="14" t="s">
        <v>432</v>
      </c>
      <c r="L17" s="14" t="s">
        <v>383</v>
      </c>
      <c r="M17" s="3"/>
      <c r="N17" s="3"/>
    </row>
    <row r="18" customFormat="false" ht="15" hidden="false" customHeight="false" outlineLevel="0" collapsed="false">
      <c r="A18" s="14" t="s">
        <v>433</v>
      </c>
      <c r="B18" s="14" t="s">
        <v>5</v>
      </c>
      <c r="C18" s="14" t="s">
        <v>434</v>
      </c>
      <c r="D18" s="14" t="s">
        <v>435</v>
      </c>
      <c r="E18" s="14" t="n">
        <v>229</v>
      </c>
      <c r="F18" s="14" t="s">
        <v>436</v>
      </c>
      <c r="G18" s="14" t="n">
        <v>25.0237309040925</v>
      </c>
      <c r="H18" s="14" t="s">
        <v>437</v>
      </c>
      <c r="I18" s="14" t="s">
        <v>438</v>
      </c>
      <c r="J18" s="15" t="n">
        <v>0</v>
      </c>
      <c r="K18" s="14" t="s">
        <v>439</v>
      </c>
      <c r="L18" s="14" t="s">
        <v>383</v>
      </c>
      <c r="M18" s="3"/>
      <c r="N18" s="3"/>
    </row>
    <row r="19" customFormat="false" ht="15" hidden="false" customHeight="false" outlineLevel="0" collapsed="false">
      <c r="A19" s="14" t="s">
        <v>440</v>
      </c>
      <c r="B19" s="14" t="s">
        <v>8</v>
      </c>
      <c r="C19" s="14" t="s">
        <v>214</v>
      </c>
      <c r="D19" s="14" t="s">
        <v>378</v>
      </c>
      <c r="E19" s="14" t="n">
        <v>216</v>
      </c>
      <c r="F19" s="14" t="s">
        <v>379</v>
      </c>
      <c r="G19" s="14" t="s">
        <v>283</v>
      </c>
      <c r="H19" s="14" t="s">
        <v>380</v>
      </c>
      <c r="I19" s="14" t="s">
        <v>381</v>
      </c>
      <c r="J19" s="15" t="n">
        <v>0</v>
      </c>
      <c r="K19" s="14" t="s">
        <v>382</v>
      </c>
      <c r="L19" s="14" t="s">
        <v>383</v>
      </c>
      <c r="M19" s="3"/>
      <c r="N19" s="3"/>
    </row>
    <row r="20" customFormat="false" ht="15" hidden="false" customHeight="false" outlineLevel="0" collapsed="false">
      <c r="A20" s="14" t="s">
        <v>441</v>
      </c>
      <c r="B20" s="14" t="s">
        <v>8</v>
      </c>
      <c r="C20" s="14" t="s">
        <v>385</v>
      </c>
      <c r="D20" s="14" t="s">
        <v>378</v>
      </c>
      <c r="E20" s="14" t="n">
        <v>216</v>
      </c>
      <c r="F20" s="14" t="s">
        <v>379</v>
      </c>
      <c r="G20" s="14" t="s">
        <v>442</v>
      </c>
      <c r="H20" s="14" t="s">
        <v>387</v>
      </c>
      <c r="I20" s="14" t="s">
        <v>388</v>
      </c>
      <c r="J20" s="15" t="n">
        <v>0</v>
      </c>
      <c r="K20" s="14" t="s">
        <v>389</v>
      </c>
      <c r="L20" s="14" t="s">
        <v>383</v>
      </c>
      <c r="M20" s="3"/>
      <c r="N20" s="3"/>
    </row>
    <row r="21" customFormat="false" ht="15" hidden="false" customHeight="false" outlineLevel="0" collapsed="false">
      <c r="A21" s="14" t="s">
        <v>443</v>
      </c>
      <c r="B21" s="14" t="s">
        <v>8</v>
      </c>
      <c r="C21" s="14" t="s">
        <v>391</v>
      </c>
      <c r="D21" s="14" t="s">
        <v>392</v>
      </c>
      <c r="E21" s="14" t="n">
        <v>219</v>
      </c>
      <c r="F21" s="14" t="s">
        <v>393</v>
      </c>
      <c r="G21" s="14" t="s">
        <v>111</v>
      </c>
      <c r="H21" s="14" t="s">
        <v>387</v>
      </c>
      <c r="I21" s="14" t="s">
        <v>394</v>
      </c>
      <c r="J21" s="15" t="n">
        <v>0</v>
      </c>
      <c r="K21" s="14" t="s">
        <v>395</v>
      </c>
      <c r="L21" s="14" t="s">
        <v>383</v>
      </c>
      <c r="M21" s="3"/>
      <c r="N21" s="3"/>
    </row>
    <row r="22" customFormat="false" ht="15" hidden="false" customHeight="false" outlineLevel="0" collapsed="false">
      <c r="A22" s="14" t="s">
        <v>444</v>
      </c>
      <c r="B22" s="14" t="s">
        <v>8</v>
      </c>
      <c r="C22" s="14" t="s">
        <v>397</v>
      </c>
      <c r="D22" s="14" t="s">
        <v>392</v>
      </c>
      <c r="E22" s="14" t="n">
        <v>219</v>
      </c>
      <c r="F22" s="14" t="s">
        <v>393</v>
      </c>
      <c r="G22" s="14" t="s">
        <v>285</v>
      </c>
      <c r="H22" s="14" t="s">
        <v>380</v>
      </c>
      <c r="I22" s="14" t="s">
        <v>398</v>
      </c>
      <c r="J22" s="15" t="n">
        <v>0</v>
      </c>
      <c r="K22" s="14" t="s">
        <v>399</v>
      </c>
      <c r="L22" s="14" t="s">
        <v>383</v>
      </c>
      <c r="M22" s="3"/>
      <c r="N22" s="3"/>
    </row>
    <row r="23" customFormat="false" ht="15" hidden="false" customHeight="false" outlineLevel="0" collapsed="false">
      <c r="A23" s="14" t="s">
        <v>445</v>
      </c>
      <c r="B23" s="14" t="s">
        <v>8</v>
      </c>
      <c r="C23" s="14" t="s">
        <v>401</v>
      </c>
      <c r="D23" s="14" t="s">
        <v>392</v>
      </c>
      <c r="E23" s="14" t="n">
        <v>219</v>
      </c>
      <c r="F23" s="14" t="s">
        <v>393</v>
      </c>
      <c r="G23" s="14" t="s">
        <v>287</v>
      </c>
      <c r="H23" s="14" t="s">
        <v>233</v>
      </c>
      <c r="I23" s="14" t="s">
        <v>402</v>
      </c>
      <c r="J23" s="15" t="n">
        <v>0</v>
      </c>
      <c r="K23" s="14" t="s">
        <v>403</v>
      </c>
      <c r="L23" s="14" t="s">
        <v>383</v>
      </c>
      <c r="M23" s="3"/>
      <c r="N23" s="3"/>
    </row>
    <row r="24" customFormat="false" ht="15" hidden="false" customHeight="false" outlineLevel="0" collapsed="false">
      <c r="A24" s="14" t="s">
        <v>446</v>
      </c>
      <c r="B24" s="14" t="s">
        <v>8</v>
      </c>
      <c r="C24" s="14" t="s">
        <v>405</v>
      </c>
      <c r="D24" s="14" t="s">
        <v>392</v>
      </c>
      <c r="E24" s="14" t="n">
        <v>219</v>
      </c>
      <c r="F24" s="14" t="s">
        <v>393</v>
      </c>
      <c r="G24" s="14" t="s">
        <v>289</v>
      </c>
      <c r="H24" s="14" t="s">
        <v>380</v>
      </c>
      <c r="I24" s="14" t="s">
        <v>406</v>
      </c>
      <c r="J24" s="15" t="n">
        <v>0</v>
      </c>
      <c r="K24" s="14" t="s">
        <v>407</v>
      </c>
      <c r="L24" s="14" t="s">
        <v>383</v>
      </c>
      <c r="M24" s="3"/>
      <c r="N24" s="3"/>
    </row>
    <row r="25" customFormat="false" ht="15" hidden="false" customHeight="false" outlineLevel="0" collapsed="false">
      <c r="A25" s="14" t="s">
        <v>447</v>
      </c>
      <c r="B25" s="14" t="s">
        <v>8</v>
      </c>
      <c r="C25" s="14" t="s">
        <v>409</v>
      </c>
      <c r="D25" s="14" t="s">
        <v>392</v>
      </c>
      <c r="E25" s="14" t="n">
        <v>219</v>
      </c>
      <c r="F25" s="14" t="s">
        <v>393</v>
      </c>
      <c r="G25" s="14" t="s">
        <v>294</v>
      </c>
      <c r="H25" s="14" t="s">
        <v>263</v>
      </c>
      <c r="I25" s="14" t="s">
        <v>410</v>
      </c>
      <c r="J25" s="15" t="n">
        <v>0</v>
      </c>
      <c r="K25" s="14" t="s">
        <v>411</v>
      </c>
      <c r="L25" s="14" t="s">
        <v>383</v>
      </c>
      <c r="M25" s="3"/>
      <c r="N25" s="3"/>
    </row>
    <row r="26" customFormat="false" ht="15" hidden="false" customHeight="false" outlineLevel="0" collapsed="false">
      <c r="A26" s="14" t="s">
        <v>448</v>
      </c>
      <c r="B26" s="14" t="s">
        <v>8</v>
      </c>
      <c r="C26" s="14" t="s">
        <v>413</v>
      </c>
      <c r="D26" s="14" t="s">
        <v>392</v>
      </c>
      <c r="E26" s="14" t="n">
        <v>219</v>
      </c>
      <c r="F26" s="14" t="s">
        <v>393</v>
      </c>
      <c r="G26" s="14" t="s">
        <v>296</v>
      </c>
      <c r="H26" s="14" t="s">
        <v>380</v>
      </c>
      <c r="I26" s="14" t="s">
        <v>414</v>
      </c>
      <c r="J26" s="15" t="n">
        <v>0</v>
      </c>
      <c r="K26" s="14" t="s">
        <v>415</v>
      </c>
      <c r="L26" s="14" t="s">
        <v>383</v>
      </c>
      <c r="M26" s="3"/>
      <c r="N26" s="3"/>
    </row>
    <row r="27" customFormat="false" ht="15" hidden="false" customHeight="false" outlineLevel="0" collapsed="false">
      <c r="A27" s="14" t="s">
        <v>449</v>
      </c>
      <c r="B27" s="14" t="s">
        <v>8</v>
      </c>
      <c r="C27" s="14" t="s">
        <v>417</v>
      </c>
      <c r="D27" s="14" t="s">
        <v>392</v>
      </c>
      <c r="E27" s="14" t="n">
        <v>219</v>
      </c>
      <c r="F27" s="14" t="s">
        <v>418</v>
      </c>
      <c r="G27" s="14" t="s">
        <v>298</v>
      </c>
      <c r="H27" s="14" t="s">
        <v>277</v>
      </c>
      <c r="I27" s="14" t="s">
        <v>419</v>
      </c>
      <c r="J27" s="15" t="n">
        <v>0</v>
      </c>
      <c r="K27" s="14" t="s">
        <v>420</v>
      </c>
      <c r="L27" s="14" t="s">
        <v>383</v>
      </c>
      <c r="M27" s="3"/>
      <c r="N27" s="3"/>
    </row>
    <row r="28" customFormat="false" ht="15" hidden="false" customHeight="false" outlineLevel="0" collapsed="false">
      <c r="A28" s="14" t="s">
        <v>450</v>
      </c>
      <c r="B28" s="14" t="s">
        <v>8</v>
      </c>
      <c r="C28" s="14" t="s">
        <v>422</v>
      </c>
      <c r="D28" s="14" t="s">
        <v>423</v>
      </c>
      <c r="E28" s="14" t="n">
        <v>224</v>
      </c>
      <c r="F28" s="14" t="s">
        <v>424</v>
      </c>
      <c r="G28" s="14" t="s">
        <v>108</v>
      </c>
      <c r="H28" s="14" t="s">
        <v>256</v>
      </c>
      <c r="I28" s="14" t="s">
        <v>425</v>
      </c>
      <c r="J28" s="15" t="n">
        <v>0</v>
      </c>
      <c r="K28" s="14" t="s">
        <v>426</v>
      </c>
      <c r="L28" s="14" t="s">
        <v>383</v>
      </c>
      <c r="M28" s="3"/>
      <c r="N28" s="3"/>
    </row>
    <row r="29" customFormat="false" ht="15" hidden="false" customHeight="false" outlineLevel="0" collapsed="false">
      <c r="A29" s="14" t="s">
        <v>451</v>
      </c>
      <c r="B29" s="14" t="s">
        <v>8</v>
      </c>
      <c r="C29" s="14" t="s">
        <v>428</v>
      </c>
      <c r="D29" s="14" t="s">
        <v>429</v>
      </c>
      <c r="E29" s="14" t="n">
        <v>225</v>
      </c>
      <c r="F29" s="14" t="s">
        <v>430</v>
      </c>
      <c r="G29" s="14" t="s">
        <v>177</v>
      </c>
      <c r="H29" s="14" t="s">
        <v>387</v>
      </c>
      <c r="I29" s="14" t="s">
        <v>431</v>
      </c>
      <c r="J29" s="15" t="n">
        <v>0</v>
      </c>
      <c r="K29" s="14" t="s">
        <v>432</v>
      </c>
      <c r="L29" s="14" t="s">
        <v>383</v>
      </c>
      <c r="M29" s="3"/>
      <c r="N29" s="3"/>
    </row>
    <row r="30" customFormat="false" ht="15" hidden="false" customHeight="false" outlineLevel="0" collapsed="false">
      <c r="A30" s="14" t="s">
        <v>452</v>
      </c>
      <c r="B30" s="14" t="s">
        <v>8</v>
      </c>
      <c r="C30" s="14" t="s">
        <v>434</v>
      </c>
      <c r="D30" s="14" t="s">
        <v>435</v>
      </c>
      <c r="E30" s="14" t="n">
        <v>229</v>
      </c>
      <c r="F30" s="14" t="s">
        <v>436</v>
      </c>
      <c r="G30" s="14" t="n">
        <v>25.824674088698</v>
      </c>
      <c r="H30" s="14" t="s">
        <v>437</v>
      </c>
      <c r="I30" s="14" t="s">
        <v>438</v>
      </c>
      <c r="J30" s="15" t="n">
        <v>0</v>
      </c>
      <c r="K30" s="14" t="s">
        <v>439</v>
      </c>
      <c r="L30" s="14" t="s">
        <v>383</v>
      </c>
      <c r="M30" s="3"/>
      <c r="N30" s="3"/>
    </row>
    <row r="31" customFormat="false" ht="15" hidden="false" customHeight="false" outlineLevel="0" collapsed="false">
      <c r="A31" s="14" t="s">
        <v>453</v>
      </c>
      <c r="B31" s="14" t="s">
        <v>11</v>
      </c>
      <c r="C31" s="14" t="s">
        <v>214</v>
      </c>
      <c r="D31" s="14" t="s">
        <v>378</v>
      </c>
      <c r="E31" s="14" t="n">
        <v>216</v>
      </c>
      <c r="F31" s="14" t="s">
        <v>379</v>
      </c>
      <c r="G31" s="14" t="s">
        <v>300</v>
      </c>
      <c r="H31" s="14" t="s">
        <v>380</v>
      </c>
      <c r="I31" s="14" t="s">
        <v>381</v>
      </c>
      <c r="J31" s="15" t="n">
        <v>0</v>
      </c>
      <c r="K31" s="14" t="s">
        <v>382</v>
      </c>
      <c r="L31" s="14" t="s">
        <v>383</v>
      </c>
      <c r="M31" s="3"/>
      <c r="N31" s="3"/>
    </row>
    <row r="32" customFormat="false" ht="15" hidden="false" customHeight="false" outlineLevel="0" collapsed="false">
      <c r="A32" s="14" t="s">
        <v>454</v>
      </c>
      <c r="B32" s="14" t="s">
        <v>11</v>
      </c>
      <c r="C32" s="14" t="s">
        <v>385</v>
      </c>
      <c r="D32" s="14" t="s">
        <v>378</v>
      </c>
      <c r="E32" s="14" t="n">
        <v>216</v>
      </c>
      <c r="F32" s="14" t="s">
        <v>379</v>
      </c>
      <c r="G32" s="14" t="s">
        <v>455</v>
      </c>
      <c r="H32" s="14" t="s">
        <v>387</v>
      </c>
      <c r="I32" s="14" t="s">
        <v>388</v>
      </c>
      <c r="J32" s="15" t="n">
        <v>0</v>
      </c>
      <c r="K32" s="14" t="s">
        <v>389</v>
      </c>
      <c r="L32" s="14" t="s">
        <v>383</v>
      </c>
      <c r="M32" s="3"/>
      <c r="N32" s="3"/>
    </row>
    <row r="33" customFormat="false" ht="15" hidden="false" customHeight="false" outlineLevel="0" collapsed="false">
      <c r="A33" s="14" t="s">
        <v>456</v>
      </c>
      <c r="B33" s="14" t="s">
        <v>11</v>
      </c>
      <c r="C33" s="14" t="s">
        <v>391</v>
      </c>
      <c r="D33" s="14" t="s">
        <v>392</v>
      </c>
      <c r="E33" s="14" t="n">
        <v>219</v>
      </c>
      <c r="F33" s="14" t="s">
        <v>393</v>
      </c>
      <c r="G33" s="14" t="s">
        <v>118</v>
      </c>
      <c r="H33" s="14" t="s">
        <v>387</v>
      </c>
      <c r="I33" s="14" t="s">
        <v>394</v>
      </c>
      <c r="J33" s="15" t="n">
        <v>0</v>
      </c>
      <c r="K33" s="14" t="s">
        <v>395</v>
      </c>
      <c r="L33" s="14" t="s">
        <v>383</v>
      </c>
      <c r="M33" s="3"/>
      <c r="N33" s="3"/>
    </row>
    <row r="34" customFormat="false" ht="15" hidden="false" customHeight="false" outlineLevel="0" collapsed="false">
      <c r="A34" s="14" t="s">
        <v>457</v>
      </c>
      <c r="B34" s="14" t="s">
        <v>11</v>
      </c>
      <c r="C34" s="14" t="s">
        <v>397</v>
      </c>
      <c r="D34" s="14" t="s">
        <v>392</v>
      </c>
      <c r="E34" s="14" t="n">
        <v>219</v>
      </c>
      <c r="F34" s="14" t="s">
        <v>393</v>
      </c>
      <c r="G34" s="14" t="s">
        <v>302</v>
      </c>
      <c r="H34" s="14" t="s">
        <v>380</v>
      </c>
      <c r="I34" s="14" t="s">
        <v>398</v>
      </c>
      <c r="J34" s="15" t="n">
        <v>0</v>
      </c>
      <c r="K34" s="14" t="s">
        <v>399</v>
      </c>
      <c r="L34" s="14" t="s">
        <v>383</v>
      </c>
      <c r="M34" s="3"/>
      <c r="N34" s="3"/>
    </row>
    <row r="35" customFormat="false" ht="15" hidden="false" customHeight="false" outlineLevel="0" collapsed="false">
      <c r="A35" s="14" t="s">
        <v>458</v>
      </c>
      <c r="B35" s="14" t="s">
        <v>11</v>
      </c>
      <c r="C35" s="14" t="s">
        <v>401</v>
      </c>
      <c r="D35" s="14" t="s">
        <v>392</v>
      </c>
      <c r="E35" s="14" t="n">
        <v>219</v>
      </c>
      <c r="F35" s="14" t="s">
        <v>393</v>
      </c>
      <c r="G35" s="14" t="s">
        <v>304</v>
      </c>
      <c r="H35" s="14" t="s">
        <v>233</v>
      </c>
      <c r="I35" s="14" t="s">
        <v>402</v>
      </c>
      <c r="J35" s="15" t="n">
        <v>0</v>
      </c>
      <c r="K35" s="14" t="s">
        <v>403</v>
      </c>
      <c r="L35" s="14" t="s">
        <v>383</v>
      </c>
      <c r="M35" s="3"/>
      <c r="N35" s="3"/>
    </row>
    <row r="36" customFormat="false" ht="15" hidden="false" customHeight="false" outlineLevel="0" collapsed="false">
      <c r="A36" s="14" t="s">
        <v>459</v>
      </c>
      <c r="B36" s="14" t="s">
        <v>11</v>
      </c>
      <c r="C36" s="14" t="s">
        <v>405</v>
      </c>
      <c r="D36" s="14" t="s">
        <v>392</v>
      </c>
      <c r="E36" s="14" t="n">
        <v>219</v>
      </c>
      <c r="F36" s="14" t="s">
        <v>393</v>
      </c>
      <c r="G36" s="14" t="s">
        <v>306</v>
      </c>
      <c r="H36" s="14" t="s">
        <v>380</v>
      </c>
      <c r="I36" s="14" t="s">
        <v>406</v>
      </c>
      <c r="J36" s="15" t="n">
        <v>0</v>
      </c>
      <c r="K36" s="14" t="s">
        <v>407</v>
      </c>
      <c r="L36" s="14" t="s">
        <v>383</v>
      </c>
      <c r="M36" s="3"/>
      <c r="N36" s="3"/>
    </row>
    <row r="37" customFormat="false" ht="15" hidden="false" customHeight="false" outlineLevel="0" collapsed="false">
      <c r="A37" s="14" t="s">
        <v>460</v>
      </c>
      <c r="B37" s="14" t="s">
        <v>11</v>
      </c>
      <c r="C37" s="14" t="s">
        <v>409</v>
      </c>
      <c r="D37" s="14" t="s">
        <v>392</v>
      </c>
      <c r="E37" s="14" t="n">
        <v>219</v>
      </c>
      <c r="F37" s="14" t="s">
        <v>393</v>
      </c>
      <c r="G37" s="14" t="s">
        <v>311</v>
      </c>
      <c r="H37" s="14" t="s">
        <v>263</v>
      </c>
      <c r="I37" s="14" t="s">
        <v>410</v>
      </c>
      <c r="J37" s="15" t="n">
        <v>0</v>
      </c>
      <c r="K37" s="14" t="s">
        <v>411</v>
      </c>
      <c r="L37" s="14" t="s">
        <v>383</v>
      </c>
      <c r="M37" s="3"/>
      <c r="N37" s="3"/>
    </row>
    <row r="38" customFormat="false" ht="15" hidden="false" customHeight="false" outlineLevel="0" collapsed="false">
      <c r="A38" s="14" t="s">
        <v>461</v>
      </c>
      <c r="B38" s="14" t="s">
        <v>11</v>
      </c>
      <c r="C38" s="14" t="s">
        <v>413</v>
      </c>
      <c r="D38" s="14" t="s">
        <v>392</v>
      </c>
      <c r="E38" s="14" t="n">
        <v>219</v>
      </c>
      <c r="F38" s="14" t="s">
        <v>393</v>
      </c>
      <c r="G38" s="14" t="s">
        <v>313</v>
      </c>
      <c r="H38" s="14" t="s">
        <v>380</v>
      </c>
      <c r="I38" s="14" t="s">
        <v>414</v>
      </c>
      <c r="J38" s="15" t="n">
        <v>0</v>
      </c>
      <c r="K38" s="14" t="s">
        <v>415</v>
      </c>
      <c r="L38" s="14" t="s">
        <v>383</v>
      </c>
      <c r="M38" s="3"/>
      <c r="N38" s="3"/>
    </row>
    <row r="39" customFormat="false" ht="15" hidden="false" customHeight="false" outlineLevel="0" collapsed="false">
      <c r="A39" s="14" t="s">
        <v>462</v>
      </c>
      <c r="B39" s="14" t="s">
        <v>11</v>
      </c>
      <c r="C39" s="14" t="s">
        <v>417</v>
      </c>
      <c r="D39" s="14" t="s">
        <v>392</v>
      </c>
      <c r="E39" s="14" t="n">
        <v>219</v>
      </c>
      <c r="F39" s="14" t="s">
        <v>418</v>
      </c>
      <c r="G39" s="14" t="s">
        <v>315</v>
      </c>
      <c r="H39" s="14" t="s">
        <v>277</v>
      </c>
      <c r="I39" s="14" t="s">
        <v>419</v>
      </c>
      <c r="J39" s="15" t="n">
        <v>0</v>
      </c>
      <c r="K39" s="14" t="s">
        <v>420</v>
      </c>
      <c r="L39" s="14" t="s">
        <v>383</v>
      </c>
      <c r="M39" s="3"/>
      <c r="N39" s="3"/>
    </row>
    <row r="40" customFormat="false" ht="15" hidden="false" customHeight="false" outlineLevel="0" collapsed="false">
      <c r="A40" s="14" t="s">
        <v>463</v>
      </c>
      <c r="B40" s="14" t="s">
        <v>11</v>
      </c>
      <c r="C40" s="14" t="s">
        <v>422</v>
      </c>
      <c r="D40" s="14" t="s">
        <v>423</v>
      </c>
      <c r="E40" s="14" t="n">
        <v>224</v>
      </c>
      <c r="F40" s="14" t="s">
        <v>424</v>
      </c>
      <c r="G40" s="14" t="s">
        <v>115</v>
      </c>
      <c r="H40" s="14" t="s">
        <v>256</v>
      </c>
      <c r="I40" s="14" t="s">
        <v>425</v>
      </c>
      <c r="J40" s="15" t="n">
        <v>0</v>
      </c>
      <c r="K40" s="14" t="s">
        <v>426</v>
      </c>
      <c r="L40" s="14" t="s">
        <v>383</v>
      </c>
      <c r="M40" s="3"/>
      <c r="N40" s="3"/>
    </row>
    <row r="41" customFormat="false" ht="15" hidden="false" customHeight="false" outlineLevel="0" collapsed="false">
      <c r="A41" s="14" t="s">
        <v>464</v>
      </c>
      <c r="B41" s="14" t="s">
        <v>11</v>
      </c>
      <c r="C41" s="14" t="s">
        <v>428</v>
      </c>
      <c r="D41" s="14" t="s">
        <v>429</v>
      </c>
      <c r="E41" s="14" t="n">
        <v>225</v>
      </c>
      <c r="F41" s="14" t="s">
        <v>430</v>
      </c>
      <c r="G41" s="14" t="s">
        <v>182</v>
      </c>
      <c r="H41" s="14" t="s">
        <v>387</v>
      </c>
      <c r="I41" s="14" t="s">
        <v>431</v>
      </c>
      <c r="J41" s="15" t="n">
        <v>0</v>
      </c>
      <c r="K41" s="14" t="s">
        <v>432</v>
      </c>
      <c r="L41" s="14" t="s">
        <v>383</v>
      </c>
      <c r="M41" s="3"/>
      <c r="N41" s="3"/>
    </row>
    <row r="42" customFormat="false" ht="15" hidden="false" customHeight="false" outlineLevel="0" collapsed="false">
      <c r="A42" s="14" t="s">
        <v>465</v>
      </c>
      <c r="B42" s="14" t="s">
        <v>11</v>
      </c>
      <c r="C42" s="14" t="s">
        <v>434</v>
      </c>
      <c r="D42" s="14" t="s">
        <v>435</v>
      </c>
      <c r="E42" s="14" t="n">
        <v>229</v>
      </c>
      <c r="F42" s="14" t="s">
        <v>436</v>
      </c>
      <c r="G42" s="14" t="n">
        <v>15.3610827033567</v>
      </c>
      <c r="H42" s="14" t="s">
        <v>437</v>
      </c>
      <c r="I42" s="14" t="s">
        <v>438</v>
      </c>
      <c r="J42" s="15" t="n">
        <v>0</v>
      </c>
      <c r="K42" s="14" t="s">
        <v>439</v>
      </c>
      <c r="L42" s="14" t="s">
        <v>383</v>
      </c>
      <c r="M42" s="3"/>
      <c r="N42" s="3"/>
    </row>
    <row r="43" customFormat="false" ht="15" hidden="false" customHeight="false" outlineLevel="0" collapsed="false">
      <c r="A43" s="14" t="s">
        <v>466</v>
      </c>
      <c r="B43" s="14" t="s">
        <v>14</v>
      </c>
      <c r="C43" s="14" t="s">
        <v>214</v>
      </c>
      <c r="D43" s="14" t="s">
        <v>378</v>
      </c>
      <c r="E43" s="14" t="n">
        <v>216</v>
      </c>
      <c r="F43" s="14" t="s">
        <v>379</v>
      </c>
      <c r="G43" s="14" t="s">
        <v>317</v>
      </c>
      <c r="H43" s="14" t="s">
        <v>380</v>
      </c>
      <c r="I43" s="14" t="s">
        <v>381</v>
      </c>
      <c r="J43" s="15" t="n">
        <v>0</v>
      </c>
      <c r="K43" s="14" t="s">
        <v>382</v>
      </c>
      <c r="L43" s="14" t="s">
        <v>383</v>
      </c>
      <c r="M43" s="3"/>
      <c r="N43" s="3"/>
    </row>
    <row r="44" customFormat="false" ht="15" hidden="false" customHeight="false" outlineLevel="0" collapsed="false">
      <c r="A44" s="14" t="s">
        <v>467</v>
      </c>
      <c r="B44" s="14" t="s">
        <v>14</v>
      </c>
      <c r="C44" s="14" t="s">
        <v>385</v>
      </c>
      <c r="D44" s="14" t="s">
        <v>378</v>
      </c>
      <c r="E44" s="14" t="n">
        <v>216</v>
      </c>
      <c r="F44" s="14" t="s">
        <v>379</v>
      </c>
      <c r="G44" s="14" t="s">
        <v>468</v>
      </c>
      <c r="H44" s="14" t="s">
        <v>387</v>
      </c>
      <c r="I44" s="14" t="s">
        <v>388</v>
      </c>
      <c r="J44" s="15" t="n">
        <v>0</v>
      </c>
      <c r="K44" s="14" t="s">
        <v>389</v>
      </c>
      <c r="L44" s="14" t="s">
        <v>383</v>
      </c>
      <c r="M44" s="3"/>
      <c r="N44" s="3"/>
    </row>
    <row r="45" customFormat="false" ht="15" hidden="false" customHeight="false" outlineLevel="0" collapsed="false">
      <c r="A45" s="14" t="s">
        <v>469</v>
      </c>
      <c r="B45" s="14" t="s">
        <v>14</v>
      </c>
      <c r="C45" s="14" t="s">
        <v>391</v>
      </c>
      <c r="D45" s="14" t="s">
        <v>392</v>
      </c>
      <c r="E45" s="14" t="n">
        <v>219</v>
      </c>
      <c r="F45" s="14" t="s">
        <v>393</v>
      </c>
      <c r="G45" s="14" t="s">
        <v>125</v>
      </c>
      <c r="H45" s="14" t="s">
        <v>387</v>
      </c>
      <c r="I45" s="14" t="s">
        <v>394</v>
      </c>
      <c r="J45" s="15" t="n">
        <v>0</v>
      </c>
      <c r="K45" s="14" t="s">
        <v>395</v>
      </c>
      <c r="L45" s="14" t="s">
        <v>383</v>
      </c>
      <c r="M45" s="3"/>
      <c r="N45" s="3"/>
    </row>
    <row r="46" customFormat="false" ht="15" hidden="false" customHeight="false" outlineLevel="0" collapsed="false">
      <c r="A46" s="14" t="s">
        <v>470</v>
      </c>
      <c r="B46" s="14" t="s">
        <v>14</v>
      </c>
      <c r="C46" s="14" t="s">
        <v>397</v>
      </c>
      <c r="D46" s="14" t="s">
        <v>392</v>
      </c>
      <c r="E46" s="14" t="n">
        <v>219</v>
      </c>
      <c r="F46" s="14" t="s">
        <v>393</v>
      </c>
      <c r="G46" s="14" t="s">
        <v>319</v>
      </c>
      <c r="H46" s="14" t="s">
        <v>380</v>
      </c>
      <c r="I46" s="14" t="s">
        <v>398</v>
      </c>
      <c r="J46" s="15" t="n">
        <v>0</v>
      </c>
      <c r="K46" s="14" t="s">
        <v>399</v>
      </c>
      <c r="L46" s="14" t="s">
        <v>383</v>
      </c>
      <c r="M46" s="3"/>
      <c r="N46" s="3"/>
    </row>
    <row r="47" customFormat="false" ht="15" hidden="false" customHeight="false" outlineLevel="0" collapsed="false">
      <c r="A47" s="14" t="s">
        <v>471</v>
      </c>
      <c r="B47" s="14" t="s">
        <v>14</v>
      </c>
      <c r="C47" s="14" t="s">
        <v>401</v>
      </c>
      <c r="D47" s="14" t="s">
        <v>392</v>
      </c>
      <c r="E47" s="14" t="n">
        <v>219</v>
      </c>
      <c r="F47" s="14" t="s">
        <v>393</v>
      </c>
      <c r="G47" s="14" t="s">
        <v>321</v>
      </c>
      <c r="H47" s="14" t="s">
        <v>233</v>
      </c>
      <c r="I47" s="14" t="s">
        <v>402</v>
      </c>
      <c r="J47" s="15" t="n">
        <v>0</v>
      </c>
      <c r="K47" s="14" t="s">
        <v>403</v>
      </c>
      <c r="L47" s="14" t="s">
        <v>383</v>
      </c>
      <c r="M47" s="3"/>
      <c r="N47" s="3"/>
    </row>
    <row r="48" customFormat="false" ht="15" hidden="false" customHeight="false" outlineLevel="0" collapsed="false">
      <c r="A48" s="14" t="s">
        <v>472</v>
      </c>
      <c r="B48" s="14" t="s">
        <v>14</v>
      </c>
      <c r="C48" s="14" t="s">
        <v>405</v>
      </c>
      <c r="D48" s="14" t="s">
        <v>392</v>
      </c>
      <c r="E48" s="14" t="n">
        <v>219</v>
      </c>
      <c r="F48" s="14" t="s">
        <v>393</v>
      </c>
      <c r="G48" s="14" t="s">
        <v>323</v>
      </c>
      <c r="H48" s="14" t="s">
        <v>380</v>
      </c>
      <c r="I48" s="14" t="s">
        <v>406</v>
      </c>
      <c r="J48" s="15" t="n">
        <v>0</v>
      </c>
      <c r="K48" s="14" t="s">
        <v>407</v>
      </c>
      <c r="L48" s="14" t="s">
        <v>383</v>
      </c>
      <c r="M48" s="3"/>
      <c r="N48" s="3"/>
    </row>
    <row r="49" customFormat="false" ht="15" hidden="false" customHeight="false" outlineLevel="0" collapsed="false">
      <c r="A49" s="14" t="s">
        <v>473</v>
      </c>
      <c r="B49" s="14" t="s">
        <v>14</v>
      </c>
      <c r="C49" s="14" t="s">
        <v>409</v>
      </c>
      <c r="D49" s="14" t="s">
        <v>392</v>
      </c>
      <c r="E49" s="14" t="n">
        <v>219</v>
      </c>
      <c r="F49" s="14" t="s">
        <v>393</v>
      </c>
      <c r="G49" s="14" t="s">
        <v>328</v>
      </c>
      <c r="H49" s="14" t="s">
        <v>263</v>
      </c>
      <c r="I49" s="14" t="s">
        <v>410</v>
      </c>
      <c r="J49" s="15" t="n">
        <v>0</v>
      </c>
      <c r="K49" s="14" t="s">
        <v>411</v>
      </c>
      <c r="L49" s="14" t="s">
        <v>383</v>
      </c>
      <c r="M49" s="3"/>
      <c r="N49" s="3"/>
    </row>
    <row r="50" customFormat="false" ht="15" hidden="false" customHeight="false" outlineLevel="0" collapsed="false">
      <c r="A50" s="14" t="s">
        <v>474</v>
      </c>
      <c r="B50" s="14" t="s">
        <v>14</v>
      </c>
      <c r="C50" s="14" t="s">
        <v>413</v>
      </c>
      <c r="D50" s="14" t="s">
        <v>392</v>
      </c>
      <c r="E50" s="14" t="n">
        <v>219</v>
      </c>
      <c r="F50" s="14" t="s">
        <v>393</v>
      </c>
      <c r="G50" s="14" t="s">
        <v>330</v>
      </c>
      <c r="H50" s="14" t="s">
        <v>380</v>
      </c>
      <c r="I50" s="14" t="s">
        <v>414</v>
      </c>
      <c r="J50" s="15" t="n">
        <v>0</v>
      </c>
      <c r="K50" s="14" t="s">
        <v>415</v>
      </c>
      <c r="L50" s="14" t="s">
        <v>383</v>
      </c>
      <c r="M50" s="3"/>
      <c r="N50" s="3"/>
    </row>
    <row r="51" customFormat="false" ht="15" hidden="false" customHeight="false" outlineLevel="0" collapsed="false">
      <c r="A51" s="14" t="s">
        <v>475</v>
      </c>
      <c r="B51" s="14" t="s">
        <v>14</v>
      </c>
      <c r="C51" s="14" t="s">
        <v>417</v>
      </c>
      <c r="D51" s="14" t="s">
        <v>392</v>
      </c>
      <c r="E51" s="14" t="n">
        <v>219</v>
      </c>
      <c r="F51" s="14" t="s">
        <v>418</v>
      </c>
      <c r="G51" s="14" t="s">
        <v>332</v>
      </c>
      <c r="H51" s="14" t="s">
        <v>277</v>
      </c>
      <c r="I51" s="14" t="s">
        <v>419</v>
      </c>
      <c r="J51" s="15" t="n">
        <v>0</v>
      </c>
      <c r="K51" s="14" t="s">
        <v>420</v>
      </c>
      <c r="L51" s="14" t="s">
        <v>383</v>
      </c>
      <c r="M51" s="3"/>
      <c r="N51" s="3"/>
    </row>
    <row r="52" customFormat="false" ht="15" hidden="false" customHeight="false" outlineLevel="0" collapsed="false">
      <c r="A52" s="14" t="s">
        <v>476</v>
      </c>
      <c r="B52" s="14" t="s">
        <v>14</v>
      </c>
      <c r="C52" s="14" t="s">
        <v>422</v>
      </c>
      <c r="D52" s="14" t="s">
        <v>423</v>
      </c>
      <c r="E52" s="14" t="n">
        <v>224</v>
      </c>
      <c r="F52" s="14" t="s">
        <v>424</v>
      </c>
      <c r="G52" s="14" t="s">
        <v>122</v>
      </c>
      <c r="H52" s="14" t="s">
        <v>256</v>
      </c>
      <c r="I52" s="14" t="s">
        <v>425</v>
      </c>
      <c r="J52" s="15" t="n">
        <v>0</v>
      </c>
      <c r="K52" s="14" t="s">
        <v>426</v>
      </c>
      <c r="L52" s="14" t="s">
        <v>383</v>
      </c>
      <c r="M52" s="3"/>
      <c r="N52" s="3"/>
    </row>
    <row r="53" customFormat="false" ht="15" hidden="false" customHeight="false" outlineLevel="0" collapsed="false">
      <c r="A53" s="14" t="s">
        <v>477</v>
      </c>
      <c r="B53" s="14" t="s">
        <v>14</v>
      </c>
      <c r="C53" s="14" t="s">
        <v>428</v>
      </c>
      <c r="D53" s="14" t="s">
        <v>429</v>
      </c>
      <c r="E53" s="14" t="n">
        <v>225</v>
      </c>
      <c r="F53" s="14" t="s">
        <v>430</v>
      </c>
      <c r="G53" s="14" t="s">
        <v>187</v>
      </c>
      <c r="H53" s="14" t="s">
        <v>387</v>
      </c>
      <c r="I53" s="14" t="s">
        <v>431</v>
      </c>
      <c r="J53" s="15" t="n">
        <v>0</v>
      </c>
      <c r="K53" s="14" t="s">
        <v>432</v>
      </c>
      <c r="L53" s="14" t="s">
        <v>383</v>
      </c>
      <c r="M53" s="3"/>
      <c r="N53" s="3"/>
    </row>
    <row r="54" customFormat="false" ht="15" hidden="false" customHeight="false" outlineLevel="0" collapsed="false">
      <c r="A54" s="14" t="s">
        <v>478</v>
      </c>
      <c r="B54" s="14" t="s">
        <v>14</v>
      </c>
      <c r="C54" s="14" t="s">
        <v>434</v>
      </c>
      <c r="D54" s="14" t="s">
        <v>435</v>
      </c>
      <c r="E54" s="14" t="n">
        <v>229</v>
      </c>
      <c r="F54" s="14" t="s">
        <v>436</v>
      </c>
      <c r="G54" s="14" t="n">
        <v>44.9706409660283</v>
      </c>
      <c r="H54" s="14" t="s">
        <v>437</v>
      </c>
      <c r="I54" s="14" t="s">
        <v>438</v>
      </c>
      <c r="J54" s="15" t="n">
        <v>0</v>
      </c>
      <c r="K54" s="14" t="s">
        <v>439</v>
      </c>
      <c r="L54" s="14" t="s">
        <v>383</v>
      </c>
      <c r="M54" s="3"/>
      <c r="N54" s="3"/>
    </row>
    <row r="55" customFormat="false" ht="15" hidden="false" customHeight="false" outlineLevel="0" collapsed="false">
      <c r="A55" s="14" t="s">
        <v>479</v>
      </c>
      <c r="B55" s="14" t="s">
        <v>17</v>
      </c>
      <c r="C55" s="14" t="s">
        <v>214</v>
      </c>
      <c r="D55" s="14" t="s">
        <v>378</v>
      </c>
      <c r="E55" s="14" t="n">
        <v>216</v>
      </c>
      <c r="F55" s="14" t="s">
        <v>379</v>
      </c>
      <c r="G55" s="14" t="s">
        <v>334</v>
      </c>
      <c r="H55" s="14" t="s">
        <v>380</v>
      </c>
      <c r="I55" s="14" t="s">
        <v>381</v>
      </c>
      <c r="J55" s="15" t="n">
        <v>0</v>
      </c>
      <c r="K55" s="14" t="s">
        <v>382</v>
      </c>
      <c r="L55" s="14" t="s">
        <v>383</v>
      </c>
      <c r="M55" s="3"/>
      <c r="N55" s="3"/>
    </row>
    <row r="56" customFormat="false" ht="15" hidden="false" customHeight="false" outlineLevel="0" collapsed="false">
      <c r="A56" s="14" t="s">
        <v>480</v>
      </c>
      <c r="B56" s="14" t="s">
        <v>17</v>
      </c>
      <c r="C56" s="14" t="s">
        <v>385</v>
      </c>
      <c r="D56" s="14" t="s">
        <v>378</v>
      </c>
      <c r="E56" s="14" t="n">
        <v>216</v>
      </c>
      <c r="F56" s="14" t="s">
        <v>379</v>
      </c>
      <c r="G56" s="14" t="s">
        <v>481</v>
      </c>
      <c r="H56" s="14" t="s">
        <v>387</v>
      </c>
      <c r="I56" s="14" t="s">
        <v>388</v>
      </c>
      <c r="J56" s="15" t="n">
        <v>0</v>
      </c>
      <c r="K56" s="14" t="s">
        <v>389</v>
      </c>
      <c r="L56" s="14" t="s">
        <v>383</v>
      </c>
      <c r="M56" s="3"/>
      <c r="N56" s="3"/>
    </row>
    <row r="57" customFormat="false" ht="15" hidden="false" customHeight="false" outlineLevel="0" collapsed="false">
      <c r="A57" s="14" t="s">
        <v>482</v>
      </c>
      <c r="B57" s="14" t="s">
        <v>17</v>
      </c>
      <c r="C57" s="14" t="s">
        <v>391</v>
      </c>
      <c r="D57" s="14" t="s">
        <v>392</v>
      </c>
      <c r="E57" s="14" t="n">
        <v>219</v>
      </c>
      <c r="F57" s="14" t="s">
        <v>393</v>
      </c>
      <c r="G57" s="14" t="s">
        <v>132</v>
      </c>
      <c r="H57" s="14" t="s">
        <v>387</v>
      </c>
      <c r="I57" s="14" t="s">
        <v>394</v>
      </c>
      <c r="J57" s="15" t="n">
        <v>0</v>
      </c>
      <c r="K57" s="14" t="s">
        <v>395</v>
      </c>
      <c r="L57" s="14" t="s">
        <v>383</v>
      </c>
      <c r="M57" s="3"/>
      <c r="N57" s="3"/>
    </row>
    <row r="58" customFormat="false" ht="15" hidden="false" customHeight="false" outlineLevel="0" collapsed="false">
      <c r="A58" s="14" t="s">
        <v>483</v>
      </c>
      <c r="B58" s="14" t="s">
        <v>17</v>
      </c>
      <c r="C58" s="14" t="s">
        <v>397</v>
      </c>
      <c r="D58" s="14" t="s">
        <v>392</v>
      </c>
      <c r="E58" s="14" t="n">
        <v>219</v>
      </c>
      <c r="F58" s="14" t="s">
        <v>393</v>
      </c>
      <c r="G58" s="14" t="s">
        <v>336</v>
      </c>
      <c r="H58" s="14" t="s">
        <v>380</v>
      </c>
      <c r="I58" s="14" t="s">
        <v>398</v>
      </c>
      <c r="J58" s="15" t="n">
        <v>0</v>
      </c>
      <c r="K58" s="14" t="s">
        <v>399</v>
      </c>
      <c r="L58" s="14" t="s">
        <v>383</v>
      </c>
      <c r="M58" s="3"/>
      <c r="N58" s="3"/>
    </row>
    <row r="59" customFormat="false" ht="15" hidden="false" customHeight="false" outlineLevel="0" collapsed="false">
      <c r="A59" s="14" t="s">
        <v>484</v>
      </c>
      <c r="B59" s="14" t="s">
        <v>17</v>
      </c>
      <c r="C59" s="14" t="s">
        <v>401</v>
      </c>
      <c r="D59" s="14" t="s">
        <v>392</v>
      </c>
      <c r="E59" s="14" t="n">
        <v>219</v>
      </c>
      <c r="F59" s="14" t="s">
        <v>393</v>
      </c>
      <c r="G59" s="14" t="s">
        <v>338</v>
      </c>
      <c r="H59" s="14" t="s">
        <v>233</v>
      </c>
      <c r="I59" s="14" t="s">
        <v>402</v>
      </c>
      <c r="J59" s="15" t="n">
        <v>0</v>
      </c>
      <c r="K59" s="14" t="s">
        <v>403</v>
      </c>
      <c r="L59" s="14" t="s">
        <v>383</v>
      </c>
      <c r="M59" s="3"/>
      <c r="N59" s="3"/>
    </row>
    <row r="60" customFormat="false" ht="15" hidden="false" customHeight="false" outlineLevel="0" collapsed="false">
      <c r="A60" s="14" t="s">
        <v>485</v>
      </c>
      <c r="B60" s="14" t="s">
        <v>17</v>
      </c>
      <c r="C60" s="14" t="s">
        <v>405</v>
      </c>
      <c r="D60" s="14" t="s">
        <v>392</v>
      </c>
      <c r="E60" s="14" t="n">
        <v>219</v>
      </c>
      <c r="F60" s="14" t="s">
        <v>393</v>
      </c>
      <c r="G60" s="14" t="s">
        <v>340</v>
      </c>
      <c r="H60" s="14" t="s">
        <v>380</v>
      </c>
      <c r="I60" s="14" t="s">
        <v>406</v>
      </c>
      <c r="J60" s="15" t="n">
        <v>0</v>
      </c>
      <c r="K60" s="14" t="s">
        <v>407</v>
      </c>
      <c r="L60" s="14" t="s">
        <v>383</v>
      </c>
      <c r="M60" s="3"/>
      <c r="N60" s="3"/>
    </row>
    <row r="61" customFormat="false" ht="15" hidden="false" customHeight="false" outlineLevel="0" collapsed="false">
      <c r="A61" s="14" t="s">
        <v>486</v>
      </c>
      <c r="B61" s="14" t="s">
        <v>17</v>
      </c>
      <c r="C61" s="14" t="s">
        <v>409</v>
      </c>
      <c r="D61" s="14" t="s">
        <v>392</v>
      </c>
      <c r="E61" s="14" t="n">
        <v>219</v>
      </c>
      <c r="F61" s="14" t="s">
        <v>393</v>
      </c>
      <c r="G61" s="14" t="s">
        <v>345</v>
      </c>
      <c r="H61" s="14" t="s">
        <v>263</v>
      </c>
      <c r="I61" s="14" t="s">
        <v>410</v>
      </c>
      <c r="J61" s="15" t="n">
        <v>0</v>
      </c>
      <c r="K61" s="14" t="s">
        <v>411</v>
      </c>
      <c r="L61" s="14" t="s">
        <v>383</v>
      </c>
      <c r="M61" s="3"/>
      <c r="N61" s="3"/>
    </row>
    <row r="62" customFormat="false" ht="15" hidden="false" customHeight="false" outlineLevel="0" collapsed="false">
      <c r="A62" s="14" t="s">
        <v>487</v>
      </c>
      <c r="B62" s="14" t="s">
        <v>17</v>
      </c>
      <c r="C62" s="14" t="s">
        <v>413</v>
      </c>
      <c r="D62" s="14" t="s">
        <v>392</v>
      </c>
      <c r="E62" s="14" t="n">
        <v>219</v>
      </c>
      <c r="F62" s="14" t="s">
        <v>393</v>
      </c>
      <c r="G62" s="14" t="s">
        <v>347</v>
      </c>
      <c r="H62" s="14" t="s">
        <v>380</v>
      </c>
      <c r="I62" s="14" t="s">
        <v>414</v>
      </c>
      <c r="J62" s="15" t="n">
        <v>0</v>
      </c>
      <c r="K62" s="14" t="s">
        <v>415</v>
      </c>
      <c r="L62" s="14" t="s">
        <v>383</v>
      </c>
      <c r="M62" s="3"/>
      <c r="N62" s="3"/>
    </row>
    <row r="63" customFormat="false" ht="15" hidden="false" customHeight="false" outlineLevel="0" collapsed="false">
      <c r="A63" s="14" t="s">
        <v>488</v>
      </c>
      <c r="B63" s="14" t="s">
        <v>17</v>
      </c>
      <c r="C63" s="14" t="s">
        <v>417</v>
      </c>
      <c r="D63" s="14" t="s">
        <v>392</v>
      </c>
      <c r="E63" s="14" t="n">
        <v>219</v>
      </c>
      <c r="F63" s="14" t="s">
        <v>418</v>
      </c>
      <c r="G63" s="14" t="s">
        <v>349</v>
      </c>
      <c r="H63" s="14" t="s">
        <v>277</v>
      </c>
      <c r="I63" s="14" t="s">
        <v>419</v>
      </c>
      <c r="J63" s="15" t="n">
        <v>0</v>
      </c>
      <c r="K63" s="14" t="s">
        <v>420</v>
      </c>
      <c r="L63" s="14" t="s">
        <v>383</v>
      </c>
      <c r="M63" s="3"/>
      <c r="N63" s="3"/>
    </row>
    <row r="64" customFormat="false" ht="15" hidden="false" customHeight="false" outlineLevel="0" collapsed="false">
      <c r="A64" s="14" t="s">
        <v>489</v>
      </c>
      <c r="B64" s="14" t="s">
        <v>17</v>
      </c>
      <c r="C64" s="14" t="s">
        <v>422</v>
      </c>
      <c r="D64" s="14" t="s">
        <v>423</v>
      </c>
      <c r="E64" s="14" t="n">
        <v>224</v>
      </c>
      <c r="F64" s="14" t="s">
        <v>424</v>
      </c>
      <c r="G64" s="14" t="s">
        <v>129</v>
      </c>
      <c r="H64" s="14" t="s">
        <v>256</v>
      </c>
      <c r="I64" s="14" t="s">
        <v>425</v>
      </c>
      <c r="J64" s="15" t="n">
        <v>0</v>
      </c>
      <c r="K64" s="14" t="s">
        <v>426</v>
      </c>
      <c r="L64" s="14" t="s">
        <v>383</v>
      </c>
      <c r="M64" s="3"/>
      <c r="N64" s="3"/>
    </row>
    <row r="65" customFormat="false" ht="15" hidden="false" customHeight="false" outlineLevel="0" collapsed="false">
      <c r="A65" s="14" t="s">
        <v>490</v>
      </c>
      <c r="B65" s="14" t="s">
        <v>17</v>
      </c>
      <c r="C65" s="14" t="s">
        <v>428</v>
      </c>
      <c r="D65" s="14" t="s">
        <v>429</v>
      </c>
      <c r="E65" s="14" t="n">
        <v>225</v>
      </c>
      <c r="F65" s="14" t="s">
        <v>430</v>
      </c>
      <c r="G65" s="14" t="s">
        <v>192</v>
      </c>
      <c r="H65" s="14" t="s">
        <v>387</v>
      </c>
      <c r="I65" s="14" t="s">
        <v>431</v>
      </c>
      <c r="J65" s="15" t="n">
        <v>0</v>
      </c>
      <c r="K65" s="14" t="s">
        <v>432</v>
      </c>
      <c r="L65" s="14" t="s">
        <v>383</v>
      </c>
      <c r="M65" s="3"/>
      <c r="N65" s="3"/>
    </row>
    <row r="66" customFormat="false" ht="15" hidden="false" customHeight="false" outlineLevel="0" collapsed="false">
      <c r="A66" s="14" t="s">
        <v>491</v>
      </c>
      <c r="B66" s="14" t="s">
        <v>17</v>
      </c>
      <c r="C66" s="14" t="s">
        <v>434</v>
      </c>
      <c r="D66" s="14" t="s">
        <v>435</v>
      </c>
      <c r="E66" s="14" t="n">
        <v>229</v>
      </c>
      <c r="F66" s="14" t="s">
        <v>436</v>
      </c>
      <c r="G66" s="14" t="n">
        <v>43.0356226470548</v>
      </c>
      <c r="H66" s="14" t="s">
        <v>437</v>
      </c>
      <c r="I66" s="14" t="s">
        <v>438</v>
      </c>
      <c r="J66" s="15" t="n">
        <v>0</v>
      </c>
      <c r="K66" s="14" t="s">
        <v>439</v>
      </c>
      <c r="L66" s="14" t="s">
        <v>383</v>
      </c>
      <c r="M66" s="3"/>
      <c r="N66" s="3"/>
    </row>
    <row r="67" customFormat="false" ht="15" hidden="false" customHeight="false" outlineLevel="0" collapsed="false">
      <c r="A67" s="14" t="s">
        <v>492</v>
      </c>
      <c r="B67" s="14" t="s">
        <v>20</v>
      </c>
      <c r="C67" s="14" t="s">
        <v>214</v>
      </c>
      <c r="D67" s="14" t="s">
        <v>378</v>
      </c>
      <c r="E67" s="14" t="n">
        <v>216</v>
      </c>
      <c r="F67" s="14" t="s">
        <v>379</v>
      </c>
      <c r="G67" s="14" t="s">
        <v>351</v>
      </c>
      <c r="H67" s="14" t="s">
        <v>380</v>
      </c>
      <c r="I67" s="14" t="s">
        <v>381</v>
      </c>
      <c r="J67" s="15" t="n">
        <v>0</v>
      </c>
      <c r="K67" s="14" t="s">
        <v>382</v>
      </c>
      <c r="L67" s="14" t="s">
        <v>383</v>
      </c>
      <c r="M67" s="3"/>
      <c r="N67" s="3"/>
    </row>
    <row r="68" customFormat="false" ht="15" hidden="false" customHeight="false" outlineLevel="0" collapsed="false">
      <c r="A68" s="14" t="s">
        <v>493</v>
      </c>
      <c r="B68" s="14" t="s">
        <v>20</v>
      </c>
      <c r="C68" s="14" t="s">
        <v>385</v>
      </c>
      <c r="D68" s="14" t="s">
        <v>378</v>
      </c>
      <c r="E68" s="14" t="n">
        <v>216</v>
      </c>
      <c r="F68" s="14" t="s">
        <v>379</v>
      </c>
      <c r="G68" s="14" t="s">
        <v>494</v>
      </c>
      <c r="H68" s="14" t="s">
        <v>387</v>
      </c>
      <c r="I68" s="14" t="s">
        <v>388</v>
      </c>
      <c r="J68" s="15" t="n">
        <v>0</v>
      </c>
      <c r="K68" s="14" t="s">
        <v>389</v>
      </c>
      <c r="L68" s="14" t="s">
        <v>383</v>
      </c>
      <c r="M68" s="3"/>
      <c r="N68" s="3"/>
    </row>
    <row r="69" customFormat="false" ht="15" hidden="false" customHeight="false" outlineLevel="0" collapsed="false">
      <c r="A69" s="14" t="s">
        <v>495</v>
      </c>
      <c r="B69" s="14" t="s">
        <v>20</v>
      </c>
      <c r="C69" s="14" t="s">
        <v>391</v>
      </c>
      <c r="D69" s="14" t="s">
        <v>392</v>
      </c>
      <c r="E69" s="14" t="n">
        <v>219</v>
      </c>
      <c r="F69" s="14" t="s">
        <v>393</v>
      </c>
      <c r="G69" s="14" t="s">
        <v>139</v>
      </c>
      <c r="H69" s="14" t="s">
        <v>387</v>
      </c>
      <c r="I69" s="14" t="s">
        <v>394</v>
      </c>
      <c r="J69" s="15" t="n">
        <v>0</v>
      </c>
      <c r="K69" s="14" t="s">
        <v>395</v>
      </c>
      <c r="L69" s="14" t="s">
        <v>383</v>
      </c>
      <c r="M69" s="3"/>
      <c r="N69" s="3"/>
    </row>
    <row r="70" customFormat="false" ht="15" hidden="false" customHeight="false" outlineLevel="0" collapsed="false">
      <c r="A70" s="14" t="s">
        <v>496</v>
      </c>
      <c r="B70" s="14" t="s">
        <v>20</v>
      </c>
      <c r="C70" s="14" t="s">
        <v>397</v>
      </c>
      <c r="D70" s="14" t="s">
        <v>392</v>
      </c>
      <c r="E70" s="14" t="n">
        <v>219</v>
      </c>
      <c r="F70" s="14" t="s">
        <v>393</v>
      </c>
      <c r="G70" s="14" t="s">
        <v>353</v>
      </c>
      <c r="H70" s="14" t="s">
        <v>380</v>
      </c>
      <c r="I70" s="14" t="s">
        <v>398</v>
      </c>
      <c r="J70" s="15" t="n">
        <v>0</v>
      </c>
      <c r="K70" s="14" t="s">
        <v>399</v>
      </c>
      <c r="L70" s="14" t="s">
        <v>383</v>
      </c>
      <c r="M70" s="3"/>
      <c r="N70" s="3"/>
    </row>
    <row r="71" customFormat="false" ht="15" hidden="false" customHeight="false" outlineLevel="0" collapsed="false">
      <c r="A71" s="14" t="s">
        <v>497</v>
      </c>
      <c r="B71" s="14" t="s">
        <v>20</v>
      </c>
      <c r="C71" s="14" t="s">
        <v>401</v>
      </c>
      <c r="D71" s="14" t="s">
        <v>392</v>
      </c>
      <c r="E71" s="14" t="n">
        <v>219</v>
      </c>
      <c r="F71" s="14" t="s">
        <v>393</v>
      </c>
      <c r="G71" s="14" t="s">
        <v>355</v>
      </c>
      <c r="H71" s="14" t="s">
        <v>233</v>
      </c>
      <c r="I71" s="14" t="s">
        <v>402</v>
      </c>
      <c r="J71" s="15" t="n">
        <v>0</v>
      </c>
      <c r="K71" s="14" t="s">
        <v>403</v>
      </c>
      <c r="L71" s="14" t="s">
        <v>383</v>
      </c>
      <c r="M71" s="3"/>
      <c r="N71" s="3"/>
    </row>
    <row r="72" customFormat="false" ht="15" hidden="false" customHeight="false" outlineLevel="0" collapsed="false">
      <c r="A72" s="14" t="s">
        <v>498</v>
      </c>
      <c r="B72" s="14" t="s">
        <v>20</v>
      </c>
      <c r="C72" s="14" t="s">
        <v>405</v>
      </c>
      <c r="D72" s="14" t="s">
        <v>392</v>
      </c>
      <c r="E72" s="14" t="n">
        <v>219</v>
      </c>
      <c r="F72" s="14" t="s">
        <v>393</v>
      </c>
      <c r="G72" s="14" t="s">
        <v>357</v>
      </c>
      <c r="H72" s="14" t="s">
        <v>380</v>
      </c>
      <c r="I72" s="14" t="s">
        <v>406</v>
      </c>
      <c r="J72" s="15" t="n">
        <v>0</v>
      </c>
      <c r="K72" s="14" t="s">
        <v>407</v>
      </c>
      <c r="L72" s="14" t="s">
        <v>383</v>
      </c>
      <c r="M72" s="3"/>
      <c r="N72" s="3"/>
    </row>
    <row r="73" customFormat="false" ht="15" hidden="false" customHeight="false" outlineLevel="0" collapsed="false">
      <c r="A73" s="14" t="s">
        <v>499</v>
      </c>
      <c r="B73" s="14" t="s">
        <v>20</v>
      </c>
      <c r="C73" s="14" t="s">
        <v>409</v>
      </c>
      <c r="D73" s="14" t="s">
        <v>392</v>
      </c>
      <c r="E73" s="14" t="n">
        <v>219</v>
      </c>
      <c r="F73" s="14" t="s">
        <v>393</v>
      </c>
      <c r="G73" s="14" t="s">
        <v>362</v>
      </c>
      <c r="H73" s="14" t="s">
        <v>263</v>
      </c>
      <c r="I73" s="14" t="s">
        <v>410</v>
      </c>
      <c r="J73" s="15" t="n">
        <v>0</v>
      </c>
      <c r="K73" s="14" t="s">
        <v>411</v>
      </c>
      <c r="L73" s="14" t="s">
        <v>383</v>
      </c>
      <c r="M73" s="3"/>
      <c r="N73" s="3"/>
    </row>
    <row r="74" customFormat="false" ht="15" hidden="false" customHeight="false" outlineLevel="0" collapsed="false">
      <c r="A74" s="14" t="s">
        <v>500</v>
      </c>
      <c r="B74" s="14" t="s">
        <v>20</v>
      </c>
      <c r="C74" s="14" t="s">
        <v>413</v>
      </c>
      <c r="D74" s="14" t="s">
        <v>392</v>
      </c>
      <c r="E74" s="14" t="n">
        <v>219</v>
      </c>
      <c r="F74" s="14" t="s">
        <v>393</v>
      </c>
      <c r="G74" s="14" t="s">
        <v>271</v>
      </c>
      <c r="H74" s="14" t="s">
        <v>380</v>
      </c>
      <c r="I74" s="14" t="s">
        <v>414</v>
      </c>
      <c r="J74" s="15" t="n">
        <v>0</v>
      </c>
      <c r="K74" s="14" t="s">
        <v>415</v>
      </c>
      <c r="L74" s="14" t="s">
        <v>383</v>
      </c>
      <c r="M74" s="3"/>
      <c r="N74" s="3"/>
    </row>
    <row r="75" customFormat="false" ht="15" hidden="false" customHeight="false" outlineLevel="0" collapsed="false">
      <c r="A75" s="14" t="s">
        <v>501</v>
      </c>
      <c r="B75" s="14" t="s">
        <v>20</v>
      </c>
      <c r="C75" s="14" t="s">
        <v>417</v>
      </c>
      <c r="D75" s="14" t="s">
        <v>392</v>
      </c>
      <c r="E75" s="14" t="n">
        <v>219</v>
      </c>
      <c r="F75" s="14" t="s">
        <v>418</v>
      </c>
      <c r="G75" s="14" t="s">
        <v>365</v>
      </c>
      <c r="H75" s="14" t="s">
        <v>277</v>
      </c>
      <c r="I75" s="14" t="s">
        <v>419</v>
      </c>
      <c r="J75" s="15" t="n">
        <v>0</v>
      </c>
      <c r="K75" s="14" t="s">
        <v>420</v>
      </c>
      <c r="L75" s="14" t="s">
        <v>383</v>
      </c>
      <c r="M75" s="3"/>
      <c r="N75" s="3"/>
    </row>
    <row r="76" customFormat="false" ht="15" hidden="false" customHeight="false" outlineLevel="0" collapsed="false">
      <c r="A76" s="14" t="s">
        <v>502</v>
      </c>
      <c r="B76" s="14" t="s">
        <v>20</v>
      </c>
      <c r="C76" s="14" t="s">
        <v>422</v>
      </c>
      <c r="D76" s="14" t="s">
        <v>423</v>
      </c>
      <c r="E76" s="14" t="n">
        <v>224</v>
      </c>
      <c r="F76" s="14" t="s">
        <v>424</v>
      </c>
      <c r="G76" s="14" t="s">
        <v>136</v>
      </c>
      <c r="H76" s="14" t="s">
        <v>256</v>
      </c>
      <c r="I76" s="14" t="s">
        <v>425</v>
      </c>
      <c r="J76" s="15" t="n">
        <v>0</v>
      </c>
      <c r="K76" s="14" t="s">
        <v>426</v>
      </c>
      <c r="L76" s="14" t="s">
        <v>383</v>
      </c>
      <c r="M76" s="3"/>
      <c r="N76" s="3"/>
    </row>
    <row r="77" customFormat="false" ht="15" hidden="false" customHeight="false" outlineLevel="0" collapsed="false">
      <c r="A77" s="14" t="s">
        <v>503</v>
      </c>
      <c r="B77" s="14" t="s">
        <v>20</v>
      </c>
      <c r="C77" s="14" t="s">
        <v>428</v>
      </c>
      <c r="D77" s="14" t="s">
        <v>429</v>
      </c>
      <c r="E77" s="14" t="n">
        <v>225</v>
      </c>
      <c r="F77" s="14" t="s">
        <v>430</v>
      </c>
      <c r="G77" s="14" t="s">
        <v>197</v>
      </c>
      <c r="H77" s="14" t="s">
        <v>387</v>
      </c>
      <c r="I77" s="14" t="s">
        <v>431</v>
      </c>
      <c r="J77" s="15" t="n">
        <v>0</v>
      </c>
      <c r="K77" s="14" t="s">
        <v>432</v>
      </c>
      <c r="L77" s="14" t="s">
        <v>383</v>
      </c>
      <c r="M77" s="3"/>
      <c r="N77" s="3"/>
    </row>
    <row r="78" customFormat="false" ht="15" hidden="false" customHeight="false" outlineLevel="0" collapsed="false">
      <c r="A78" s="14" t="s">
        <v>504</v>
      </c>
      <c r="B78" s="14" t="s">
        <v>20</v>
      </c>
      <c r="C78" s="14" t="s">
        <v>434</v>
      </c>
      <c r="D78" s="14" t="s">
        <v>435</v>
      </c>
      <c r="E78" s="14" t="n">
        <v>229</v>
      </c>
      <c r="F78" s="14" t="s">
        <v>436</v>
      </c>
      <c r="G78" s="14" t="n">
        <v>25.1298896567982</v>
      </c>
      <c r="H78" s="14" t="s">
        <v>437</v>
      </c>
      <c r="I78" s="14" t="s">
        <v>438</v>
      </c>
      <c r="J78" s="15" t="n">
        <v>0</v>
      </c>
      <c r="K78" s="14" t="s">
        <v>439</v>
      </c>
      <c r="L78" s="14" t="s">
        <v>383</v>
      </c>
      <c r="M78" s="3"/>
      <c r="N78" s="3"/>
    </row>
  </sheetData>
  <mergeCells count="2">
    <mergeCell ref="A2:N2"/>
    <mergeCell ref="A4:N4"/>
  </mergeCells>
  <conditionalFormatting sqref="L7:L78">
    <cfRule type="containsText" priority="2" operator="containsText" aboveAverage="0" equalAverage="0" bottom="0" percent="0" rank="0" text="FAIL" dxfId="16">
      <formula>NOT(ISERROR(SEARCH("FAIL",L7)))</formula>
    </cfRule>
    <cfRule type="containsText" priority="3" operator="containsText" aboveAverage="0" equalAverage="0" bottom="0" percent="0" rank="0" text="OPEN" dxfId="17">
      <formula>NOT(ISERROR(SEARCH("OPEN",L7)))</formula>
    </cfRule>
    <cfRule type="containsText" priority="4" operator="containsText" aboveAverage="0" equalAverage="0" bottom="0" percent="0" rank="0" text="UNMEASURED" dxfId="18">
      <formula>NOT(ISERROR(SEARCH("UNMEASURED",L7)))</formula>
    </cfRule>
    <cfRule type="containsText" priority="5" operator="containsText" aboveAverage="0" equalAverage="0" bottom="0" percent="0" rank="0" text="SELECT" dxfId="19">
      <formula>NOT(ISERROR(SEARCH("SELECT",L7)))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52"/>
    <col collapsed="false" customWidth="true" hidden="false" outlineLevel="0" max="5" min="5" style="1" width="23"/>
    <col collapsed="false" customWidth="true" hidden="false" outlineLevel="0" max="6" min="6" style="1" width="28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505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506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30" hidden="false" customHeight="true" outlineLevel="0" collapsed="false">
      <c r="A6" s="9" t="s">
        <v>507</v>
      </c>
      <c r="B6" s="9" t="s">
        <v>508</v>
      </c>
      <c r="C6" s="9" t="s">
        <v>509</v>
      </c>
      <c r="D6" s="9" t="s">
        <v>510</v>
      </c>
      <c r="E6" s="9" t="s">
        <v>511</v>
      </c>
      <c r="F6" s="9" t="s">
        <v>512</v>
      </c>
      <c r="G6" s="9" t="s">
        <v>210</v>
      </c>
      <c r="H6" s="9" t="s">
        <v>513</v>
      </c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A7" s="7" t="s">
        <v>514</v>
      </c>
      <c r="B7" s="7" t="s">
        <v>515</v>
      </c>
      <c r="C7" s="7" t="s">
        <v>516</v>
      </c>
      <c r="D7" s="7" t="s">
        <v>517</v>
      </c>
      <c r="E7" s="7" t="s">
        <v>219</v>
      </c>
      <c r="F7" s="7" t="s">
        <v>518</v>
      </c>
      <c r="G7" s="7" t="s">
        <v>519</v>
      </c>
      <c r="H7" s="7" t="s">
        <v>73</v>
      </c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7" t="s">
        <v>520</v>
      </c>
      <c r="B8" s="7" t="s">
        <v>515</v>
      </c>
      <c r="C8" s="7" t="s">
        <v>521</v>
      </c>
      <c r="D8" s="7" t="s">
        <v>522</v>
      </c>
      <c r="E8" s="7" t="s">
        <v>523</v>
      </c>
      <c r="F8" s="7" t="s">
        <v>524</v>
      </c>
      <c r="G8" s="7" t="s">
        <v>519</v>
      </c>
      <c r="H8" s="7" t="s">
        <v>73</v>
      </c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A9" s="7" t="s">
        <v>525</v>
      </c>
      <c r="B9" s="7" t="s">
        <v>526</v>
      </c>
      <c r="C9" s="7" t="s">
        <v>527</v>
      </c>
      <c r="D9" s="7" t="s">
        <v>528</v>
      </c>
      <c r="E9" s="7" t="s">
        <v>219</v>
      </c>
      <c r="F9" s="7" t="s">
        <v>529</v>
      </c>
      <c r="G9" s="7" t="s">
        <v>519</v>
      </c>
      <c r="H9" s="7" t="s">
        <v>73</v>
      </c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A10" s="7" t="s">
        <v>530</v>
      </c>
      <c r="B10" s="7" t="s">
        <v>526</v>
      </c>
      <c r="C10" s="7" t="s">
        <v>531</v>
      </c>
      <c r="D10" s="7" t="s">
        <v>532</v>
      </c>
      <c r="E10" s="7" t="s">
        <v>219</v>
      </c>
      <c r="F10" s="7" t="s">
        <v>533</v>
      </c>
      <c r="G10" s="7" t="s">
        <v>519</v>
      </c>
      <c r="H10" s="7" t="s">
        <v>73</v>
      </c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A11" s="7" t="s">
        <v>534</v>
      </c>
      <c r="B11" s="7" t="s">
        <v>526</v>
      </c>
      <c r="C11" s="7" t="s">
        <v>535</v>
      </c>
      <c r="D11" s="7" t="s">
        <v>536</v>
      </c>
      <c r="E11" s="7" t="s">
        <v>537</v>
      </c>
      <c r="F11" s="7" t="s">
        <v>538</v>
      </c>
      <c r="G11" s="7" t="s">
        <v>519</v>
      </c>
      <c r="H11" s="7" t="s">
        <v>167</v>
      </c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7" t="s">
        <v>539</v>
      </c>
      <c r="B12" s="7" t="s">
        <v>526</v>
      </c>
      <c r="C12" s="7" t="s">
        <v>540</v>
      </c>
      <c r="D12" s="7" t="s">
        <v>541</v>
      </c>
      <c r="E12" s="7" t="s">
        <v>219</v>
      </c>
      <c r="F12" s="7" t="s">
        <v>542</v>
      </c>
      <c r="G12" s="7" t="s">
        <v>519</v>
      </c>
      <c r="H12" s="7" t="s">
        <v>161</v>
      </c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7" t="s">
        <v>543</v>
      </c>
      <c r="B13" s="7" t="s">
        <v>544</v>
      </c>
      <c r="C13" s="7" t="s">
        <v>545</v>
      </c>
      <c r="D13" s="7" t="s">
        <v>546</v>
      </c>
      <c r="E13" s="7" t="s">
        <v>219</v>
      </c>
      <c r="F13" s="7" t="s">
        <v>547</v>
      </c>
      <c r="G13" s="7" t="s">
        <v>519</v>
      </c>
      <c r="H13" s="7" t="s">
        <v>73</v>
      </c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A14" s="7" t="s">
        <v>548</v>
      </c>
      <c r="B14" s="7" t="s">
        <v>544</v>
      </c>
      <c r="C14" s="7" t="s">
        <v>549</v>
      </c>
      <c r="D14" s="7" t="s">
        <v>550</v>
      </c>
      <c r="E14" s="7" t="s">
        <v>219</v>
      </c>
      <c r="F14" s="7" t="s">
        <v>551</v>
      </c>
      <c r="G14" s="7" t="s">
        <v>519</v>
      </c>
      <c r="H14" s="7" t="s">
        <v>73</v>
      </c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7" t="s">
        <v>552</v>
      </c>
      <c r="B15" s="7" t="s">
        <v>544</v>
      </c>
      <c r="C15" s="7" t="s">
        <v>553</v>
      </c>
      <c r="D15" s="7" t="s">
        <v>554</v>
      </c>
      <c r="E15" s="7" t="s">
        <v>219</v>
      </c>
      <c r="F15" s="7" t="s">
        <v>555</v>
      </c>
      <c r="G15" s="7" t="s">
        <v>519</v>
      </c>
      <c r="H15" s="7" t="s">
        <v>73</v>
      </c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7" t="s">
        <v>556</v>
      </c>
      <c r="B16" s="7" t="s">
        <v>544</v>
      </c>
      <c r="C16" s="7" t="s">
        <v>557</v>
      </c>
      <c r="D16" s="7" t="s">
        <v>558</v>
      </c>
      <c r="E16" s="7" t="s">
        <v>219</v>
      </c>
      <c r="F16" s="7" t="s">
        <v>559</v>
      </c>
      <c r="G16" s="7" t="s">
        <v>519</v>
      </c>
      <c r="H16" s="7" t="s">
        <v>73</v>
      </c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A17" s="7" t="s">
        <v>560</v>
      </c>
      <c r="B17" s="7" t="s">
        <v>544</v>
      </c>
      <c r="C17" s="7" t="s">
        <v>561</v>
      </c>
      <c r="D17" s="7" t="s">
        <v>562</v>
      </c>
      <c r="E17" s="7" t="s">
        <v>219</v>
      </c>
      <c r="F17" s="7" t="s">
        <v>563</v>
      </c>
      <c r="G17" s="7" t="s">
        <v>519</v>
      </c>
      <c r="H17" s="7" t="s">
        <v>73</v>
      </c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A18" s="7" t="s">
        <v>564</v>
      </c>
      <c r="B18" s="7" t="s">
        <v>544</v>
      </c>
      <c r="C18" s="7" t="s">
        <v>565</v>
      </c>
      <c r="D18" s="7" t="s">
        <v>566</v>
      </c>
      <c r="E18" s="7" t="s">
        <v>219</v>
      </c>
      <c r="F18" s="7" t="s">
        <v>567</v>
      </c>
      <c r="G18" s="7" t="s">
        <v>519</v>
      </c>
      <c r="H18" s="7" t="s">
        <v>73</v>
      </c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7" t="s">
        <v>568</v>
      </c>
      <c r="B19" s="7" t="s">
        <v>544</v>
      </c>
      <c r="C19" s="7" t="s">
        <v>569</v>
      </c>
      <c r="D19" s="7" t="s">
        <v>265</v>
      </c>
      <c r="E19" s="7" t="s">
        <v>219</v>
      </c>
      <c r="F19" s="7" t="s">
        <v>570</v>
      </c>
      <c r="G19" s="7" t="s">
        <v>519</v>
      </c>
      <c r="H19" s="7" t="s">
        <v>73</v>
      </c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A20" s="7" t="s">
        <v>571</v>
      </c>
      <c r="B20" s="7" t="s">
        <v>544</v>
      </c>
      <c r="C20" s="7" t="s">
        <v>572</v>
      </c>
      <c r="D20" s="7" t="s">
        <v>573</v>
      </c>
      <c r="E20" s="7" t="s">
        <v>219</v>
      </c>
      <c r="F20" s="7" t="s">
        <v>574</v>
      </c>
      <c r="G20" s="7" t="s">
        <v>519</v>
      </c>
      <c r="H20" s="7" t="s">
        <v>73</v>
      </c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A21" s="7" t="s">
        <v>575</v>
      </c>
      <c r="B21" s="7" t="s">
        <v>544</v>
      </c>
      <c r="C21" s="7" t="s">
        <v>576</v>
      </c>
      <c r="D21" s="7" t="s">
        <v>577</v>
      </c>
      <c r="E21" s="7" t="s">
        <v>219</v>
      </c>
      <c r="F21" s="7" t="s">
        <v>578</v>
      </c>
      <c r="G21" s="7" t="s">
        <v>519</v>
      </c>
      <c r="H21" s="7" t="s">
        <v>73</v>
      </c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A22" s="7" t="s">
        <v>579</v>
      </c>
      <c r="B22" s="7" t="s">
        <v>580</v>
      </c>
      <c r="C22" s="7" t="s">
        <v>581</v>
      </c>
      <c r="D22" s="7" t="s">
        <v>582</v>
      </c>
      <c r="E22" s="7" t="s">
        <v>219</v>
      </c>
      <c r="F22" s="7" t="s">
        <v>583</v>
      </c>
      <c r="G22" s="7" t="s">
        <v>519</v>
      </c>
      <c r="H22" s="7" t="s">
        <v>73</v>
      </c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A23" s="7" t="s">
        <v>584</v>
      </c>
      <c r="B23" s="7" t="s">
        <v>580</v>
      </c>
      <c r="C23" s="7" t="s">
        <v>585</v>
      </c>
      <c r="D23" s="7" t="s">
        <v>586</v>
      </c>
      <c r="E23" s="7" t="s">
        <v>219</v>
      </c>
      <c r="F23" s="7" t="s">
        <v>587</v>
      </c>
      <c r="G23" s="7" t="s">
        <v>519</v>
      </c>
      <c r="H23" s="7" t="s">
        <v>73</v>
      </c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7" t="s">
        <v>588</v>
      </c>
      <c r="B24" s="7" t="s">
        <v>580</v>
      </c>
      <c r="C24" s="7" t="s">
        <v>589</v>
      </c>
      <c r="D24" s="7" t="s">
        <v>590</v>
      </c>
      <c r="E24" s="7" t="s">
        <v>219</v>
      </c>
      <c r="F24" s="7" t="s">
        <v>591</v>
      </c>
      <c r="G24" s="7" t="s">
        <v>519</v>
      </c>
      <c r="H24" s="7" t="s">
        <v>73</v>
      </c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A25" s="7" t="s">
        <v>592</v>
      </c>
      <c r="B25" s="7" t="s">
        <v>580</v>
      </c>
      <c r="C25" s="7" t="s">
        <v>593</v>
      </c>
      <c r="D25" s="7" t="s">
        <v>594</v>
      </c>
      <c r="E25" s="7" t="s">
        <v>595</v>
      </c>
      <c r="F25" s="7" t="s">
        <v>596</v>
      </c>
      <c r="G25" s="7" t="s">
        <v>519</v>
      </c>
      <c r="H25" s="7" t="s">
        <v>73</v>
      </c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A26" s="7" t="s">
        <v>597</v>
      </c>
      <c r="B26" s="7" t="s">
        <v>598</v>
      </c>
      <c r="C26" s="7" t="s">
        <v>599</v>
      </c>
      <c r="D26" s="7" t="s">
        <v>600</v>
      </c>
      <c r="E26" s="7" t="s">
        <v>219</v>
      </c>
      <c r="F26" s="7" t="s">
        <v>601</v>
      </c>
      <c r="G26" s="7" t="s">
        <v>519</v>
      </c>
      <c r="H26" s="7" t="s">
        <v>73</v>
      </c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A27" s="7" t="s">
        <v>602</v>
      </c>
      <c r="B27" s="7" t="s">
        <v>603</v>
      </c>
      <c r="C27" s="7" t="s">
        <v>604</v>
      </c>
      <c r="D27" s="7" t="s">
        <v>605</v>
      </c>
      <c r="E27" s="7" t="s">
        <v>219</v>
      </c>
      <c r="F27" s="7" t="s">
        <v>606</v>
      </c>
      <c r="G27" s="7" t="s">
        <v>519</v>
      </c>
      <c r="H27" s="7" t="s">
        <v>607</v>
      </c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7" t="s">
        <v>608</v>
      </c>
      <c r="B28" s="7" t="s">
        <v>603</v>
      </c>
      <c r="C28" s="7" t="s">
        <v>609</v>
      </c>
      <c r="D28" s="7" t="s">
        <v>610</v>
      </c>
      <c r="E28" s="7" t="s">
        <v>219</v>
      </c>
      <c r="F28" s="7" t="s">
        <v>611</v>
      </c>
      <c r="G28" s="7" t="s">
        <v>519</v>
      </c>
      <c r="H28" s="7" t="s">
        <v>607</v>
      </c>
      <c r="I28" s="3"/>
      <c r="J28" s="3"/>
      <c r="K28" s="3"/>
      <c r="L28" s="3"/>
      <c r="M28" s="3"/>
      <c r="N28" s="3"/>
    </row>
    <row r="29" customFormat="false" ht="15" hidden="false" customHeight="false" outlineLevel="0" collapsed="false">
      <c r="A29" s="7" t="s">
        <v>612</v>
      </c>
      <c r="B29" s="7" t="s">
        <v>603</v>
      </c>
      <c r="C29" s="7" t="s">
        <v>613</v>
      </c>
      <c r="D29" s="7" t="s">
        <v>614</v>
      </c>
      <c r="E29" s="7" t="s">
        <v>615</v>
      </c>
      <c r="F29" s="7" t="s">
        <v>616</v>
      </c>
      <c r="G29" s="7" t="s">
        <v>519</v>
      </c>
      <c r="H29" s="7" t="s">
        <v>617</v>
      </c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A30" s="7" t="s">
        <v>618</v>
      </c>
      <c r="B30" s="7" t="s">
        <v>603</v>
      </c>
      <c r="C30" s="7" t="s">
        <v>619</v>
      </c>
      <c r="D30" s="7" t="s">
        <v>620</v>
      </c>
      <c r="E30" s="7" t="s">
        <v>615</v>
      </c>
      <c r="F30" s="7" t="s">
        <v>621</v>
      </c>
      <c r="G30" s="7" t="s">
        <v>519</v>
      </c>
      <c r="H30" s="7" t="s">
        <v>622</v>
      </c>
      <c r="I30" s="3"/>
      <c r="J30" s="3"/>
      <c r="K30" s="3"/>
      <c r="L30" s="3"/>
      <c r="M30" s="3"/>
      <c r="N30" s="3"/>
    </row>
  </sheetData>
  <mergeCells count="2">
    <mergeCell ref="A2:N2"/>
    <mergeCell ref="A4:N4"/>
  </mergeCells>
  <conditionalFormatting sqref="G7:G30">
    <cfRule type="containsText" priority="2" operator="containsText" aboveAverage="0" equalAverage="0" bottom="0" percent="0" rank="0" text="FAIL" dxfId="20">
      <formula>NOT(ISERROR(SEARCH("FAIL",G7)))</formula>
    </cfRule>
    <cfRule type="containsText" priority="3" operator="containsText" aboveAverage="0" equalAverage="0" bottom="0" percent="0" rank="0" text="OPEN" dxfId="21">
      <formula>NOT(ISERROR(SEARCH("OPEN",G7)))</formula>
    </cfRule>
    <cfRule type="containsText" priority="4" operator="containsText" aboveAverage="0" equalAverage="0" bottom="0" percent="0" rank="0" text="UNMEASURED" dxfId="22">
      <formula>NOT(ISERROR(SEARCH("UNMEASURED",G7)))</formula>
    </cfRule>
    <cfRule type="containsText" priority="5" operator="containsText" aboveAverage="0" equalAverage="0" bottom="0" percent="0" rank="0" text="SELECT" dxfId="23">
      <formula>NOT(ISERROR(SEARCH("SELECT",G7)))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34"/>
    <col collapsed="false" customWidth="true" hidden="false" outlineLevel="0" max="5" min="5" style="1" width="9"/>
    <col collapsed="false" customWidth="true" hidden="false" outlineLevel="0" max="6" min="6" style="1" width="16"/>
    <col collapsed="false" customWidth="true" hidden="false" outlineLevel="0" max="8" min="7" style="1" width="8"/>
    <col collapsed="false" customWidth="true" hidden="false" outlineLevel="0" max="9" min="9" style="1" width="9"/>
    <col collapsed="false" customWidth="true" hidden="false" outlineLevel="0" max="10" min="10" style="1" width="8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3" min="13" style="1" width="9"/>
    <col collapsed="false" customWidth="true" hidden="false" outlineLevel="0" max="14" min="14" style="1" width="12"/>
    <col collapsed="false" customWidth="true" hidden="false" outlineLevel="0" max="15" min="15" style="1" width="11"/>
    <col collapsed="false" customWidth="true" hidden="false" outlineLevel="0" max="16" min="16" style="1" width="15"/>
    <col collapsed="false" customWidth="true" hidden="false" outlineLevel="0" max="17" min="17" style="1" width="24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623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5" hidden="false" customHeight="false" outlineLevel="0" collapsed="false">
      <c r="A4" s="4" t="s">
        <v>624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30" hidden="false" customHeight="true" outlineLevel="0" collapsed="false">
      <c r="A6" s="9" t="s">
        <v>625</v>
      </c>
      <c r="B6" s="9" t="s">
        <v>3</v>
      </c>
      <c r="C6" s="9" t="s">
        <v>626</v>
      </c>
      <c r="D6" s="9" t="s">
        <v>627</v>
      </c>
      <c r="E6" s="9" t="s">
        <v>628</v>
      </c>
      <c r="F6" s="9" t="s">
        <v>629</v>
      </c>
      <c r="G6" s="9" t="s">
        <v>213</v>
      </c>
      <c r="H6" s="9" t="s">
        <v>223</v>
      </c>
      <c r="I6" s="9" t="s">
        <v>231</v>
      </c>
      <c r="J6" s="9" t="s">
        <v>238</v>
      </c>
      <c r="K6" s="9" t="s">
        <v>245</v>
      </c>
      <c r="L6" s="9" t="s">
        <v>254</v>
      </c>
      <c r="M6" s="9" t="s">
        <v>261</v>
      </c>
      <c r="N6" s="9" t="s">
        <v>268</v>
      </c>
      <c r="O6" s="9" t="s">
        <v>275</v>
      </c>
      <c r="P6" s="9" t="s">
        <v>630</v>
      </c>
      <c r="Q6" s="9" t="s">
        <v>97</v>
      </c>
    </row>
    <row r="7" customFormat="false" ht="15" hidden="false" customHeight="false" outlineLevel="0" collapsed="false">
      <c r="A7" s="7" t="s">
        <v>631</v>
      </c>
      <c r="B7" s="7" t="s">
        <v>5</v>
      </c>
      <c r="C7" s="7" t="s">
        <v>632</v>
      </c>
      <c r="D7" s="7" t="s">
        <v>633</v>
      </c>
      <c r="E7" s="16" t="n">
        <v>0.2</v>
      </c>
      <c r="F7" s="12" t="n">
        <f aca="false">E7*SUMIFS('Baseline Register'!$M$7:$M$12,'Baseline Register'!$A$7:$A$12,B7)</f>
        <v>5.0047461808185</v>
      </c>
      <c r="G7" s="7" t="n">
        <v>1</v>
      </c>
      <c r="H7" s="7" t="n">
        <v>0</v>
      </c>
      <c r="I7" s="7" t="n">
        <v>0</v>
      </c>
      <c r="J7" s="7" t="n">
        <v>1</v>
      </c>
      <c r="K7" s="7" t="n">
        <v>1</v>
      </c>
      <c r="L7" s="7" t="n">
        <v>0</v>
      </c>
      <c r="M7" s="7" t="n">
        <v>1</v>
      </c>
      <c r="N7" s="7" t="n">
        <v>0</v>
      </c>
      <c r="O7" s="7" t="n">
        <v>0</v>
      </c>
      <c r="P7" s="11" t="n">
        <f aca="false">SUM(G7:O7)</f>
        <v>4</v>
      </c>
      <c r="Q7" s="11" t="str">
        <f aca="false">IF(P7&gt;=4,"ASSIGNED / WORK OPEN","INCOMPLETE")</f>
        <v>ASSIGNED / WORK OPEN</v>
      </c>
    </row>
    <row r="8" customFormat="false" ht="15" hidden="false" customHeight="false" outlineLevel="0" collapsed="false">
      <c r="A8" s="7" t="s">
        <v>634</v>
      </c>
      <c r="B8" s="7" t="s">
        <v>5</v>
      </c>
      <c r="C8" s="7" t="s">
        <v>635</v>
      </c>
      <c r="D8" s="7" t="s">
        <v>636</v>
      </c>
      <c r="E8" s="16" t="n">
        <v>0.25</v>
      </c>
      <c r="F8" s="12" t="n">
        <f aca="false">E8*SUMIFS('Baseline Register'!$M$7:$M$12,'Baseline Register'!$A$7:$A$12,B8)</f>
        <v>6.25593272602313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11" t="n">
        <f aca="false">SUM(G8:O8)</f>
        <v>9</v>
      </c>
      <c r="Q8" s="11" t="str">
        <f aca="false">IF(P8&gt;=4,"ASSIGNED / WORK OPEN","INCOMPLETE")</f>
        <v>ASSIGNED / WORK OPEN</v>
      </c>
    </row>
    <row r="9" customFormat="false" ht="15" hidden="false" customHeight="false" outlineLevel="0" collapsed="false">
      <c r="A9" s="7" t="s">
        <v>637</v>
      </c>
      <c r="B9" s="7" t="s">
        <v>5</v>
      </c>
      <c r="C9" s="7" t="s">
        <v>638</v>
      </c>
      <c r="D9" s="7" t="s">
        <v>639</v>
      </c>
      <c r="E9" s="16" t="n">
        <v>0.15</v>
      </c>
      <c r="F9" s="12" t="n">
        <f aca="false">E9*SUMIFS('Baseline Register'!$M$7:$M$12,'Baseline Register'!$A$7:$A$12,B9)</f>
        <v>3.75355963561388</v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1</v>
      </c>
      <c r="M9" s="7" t="n">
        <v>1</v>
      </c>
      <c r="N9" s="7" t="n">
        <v>1</v>
      </c>
      <c r="O9" s="7" t="n">
        <v>0</v>
      </c>
      <c r="P9" s="11" t="n">
        <f aca="false">SUM(G9:O9)</f>
        <v>4</v>
      </c>
      <c r="Q9" s="11" t="str">
        <f aca="false">IF(P9&gt;=4,"ASSIGNED / WORK OPEN","INCOMPLETE")</f>
        <v>ASSIGNED / WORK OPEN</v>
      </c>
    </row>
    <row r="10" customFormat="false" ht="15" hidden="false" customHeight="false" outlineLevel="0" collapsed="false">
      <c r="A10" s="7" t="s">
        <v>640</v>
      </c>
      <c r="B10" s="7" t="s">
        <v>5</v>
      </c>
      <c r="C10" s="7" t="s">
        <v>641</v>
      </c>
      <c r="D10" s="7" t="s">
        <v>642</v>
      </c>
      <c r="E10" s="16" t="n">
        <v>0.25</v>
      </c>
      <c r="F10" s="12" t="n">
        <f aca="false">E10*SUMIFS('Baseline Register'!$M$7:$M$12,'Baseline Register'!$A$7:$A$12,B10)</f>
        <v>6.25593272602313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0</v>
      </c>
      <c r="N10" s="7" t="n">
        <v>1</v>
      </c>
      <c r="O10" s="7" t="n">
        <v>0</v>
      </c>
      <c r="P10" s="11" t="n">
        <f aca="false">SUM(G10:O10)</f>
        <v>7</v>
      </c>
      <c r="Q10" s="11" t="str">
        <f aca="false">IF(P10&gt;=4,"ASSIGNED / WORK OPEN","INCOMPLETE")</f>
        <v>ASSIGNED / WORK OPEN</v>
      </c>
    </row>
    <row r="11" customFormat="false" ht="15" hidden="false" customHeight="false" outlineLevel="0" collapsed="false">
      <c r="A11" s="7" t="s">
        <v>643</v>
      </c>
      <c r="B11" s="7" t="s">
        <v>5</v>
      </c>
      <c r="C11" s="7" t="s">
        <v>275</v>
      </c>
      <c r="D11" s="7" t="s">
        <v>644</v>
      </c>
      <c r="E11" s="16" t="n">
        <v>0.15</v>
      </c>
      <c r="F11" s="12" t="n">
        <f aca="false">E11*SUMIFS('Baseline Register'!$M$7:$M$12,'Baseline Register'!$A$7:$A$12,B11)</f>
        <v>3.75355963561388</v>
      </c>
      <c r="G11" s="7" t="n">
        <v>1</v>
      </c>
      <c r="H11" s="7" t="n">
        <v>1</v>
      </c>
      <c r="I11" s="7" t="n">
        <v>1</v>
      </c>
      <c r="J11" s="7" t="n">
        <v>1</v>
      </c>
      <c r="K11" s="7" t="n">
        <v>1</v>
      </c>
      <c r="L11" s="7" t="n">
        <v>1</v>
      </c>
      <c r="M11" s="7" t="n">
        <v>1</v>
      </c>
      <c r="N11" s="7" t="n">
        <v>1</v>
      </c>
      <c r="O11" s="7" t="n">
        <v>1</v>
      </c>
      <c r="P11" s="11" t="n">
        <f aca="false">SUM(G11:O11)</f>
        <v>9</v>
      </c>
      <c r="Q11" s="11" t="str">
        <f aca="false">IF(P11&gt;=4,"ASSIGNED / WORK OPEN","INCOMPLETE")</f>
        <v>ASSIGNED / WORK OPEN</v>
      </c>
    </row>
    <row r="12" customFormat="false" ht="15" hidden="false" customHeight="false" outlineLevel="0" collapsed="false">
      <c r="A12" s="7" t="s">
        <v>645</v>
      </c>
      <c r="B12" s="7" t="s">
        <v>8</v>
      </c>
      <c r="C12" s="7" t="s">
        <v>632</v>
      </c>
      <c r="D12" s="7" t="s">
        <v>633</v>
      </c>
      <c r="E12" s="16" t="n">
        <v>0.2</v>
      </c>
      <c r="F12" s="12" t="n">
        <f aca="false">E12*SUMIFS('Baseline Register'!$M$7:$M$12,'Baseline Register'!$A$7:$A$12,B12)</f>
        <v>5.1649348177396</v>
      </c>
      <c r="G12" s="7" t="n">
        <v>1</v>
      </c>
      <c r="H12" s="7" t="n">
        <v>0</v>
      </c>
      <c r="I12" s="7" t="n">
        <v>0</v>
      </c>
      <c r="J12" s="7" t="n">
        <v>1</v>
      </c>
      <c r="K12" s="7" t="n">
        <v>1</v>
      </c>
      <c r="L12" s="7" t="n">
        <v>0</v>
      </c>
      <c r="M12" s="7" t="n">
        <v>1</v>
      </c>
      <c r="N12" s="7" t="n">
        <v>0</v>
      </c>
      <c r="O12" s="7" t="n">
        <v>0</v>
      </c>
      <c r="P12" s="11" t="n">
        <f aca="false">SUM(G12:O12)</f>
        <v>4</v>
      </c>
      <c r="Q12" s="11" t="str">
        <f aca="false">IF(P12&gt;=4,"ASSIGNED / WORK OPEN","INCOMPLETE")</f>
        <v>ASSIGNED / WORK OPEN</v>
      </c>
    </row>
    <row r="13" customFormat="false" ht="15" hidden="false" customHeight="false" outlineLevel="0" collapsed="false">
      <c r="A13" s="7" t="s">
        <v>646</v>
      </c>
      <c r="B13" s="7" t="s">
        <v>8</v>
      </c>
      <c r="C13" s="7" t="s">
        <v>635</v>
      </c>
      <c r="D13" s="7" t="s">
        <v>636</v>
      </c>
      <c r="E13" s="16" t="n">
        <v>0.25</v>
      </c>
      <c r="F13" s="12" t="n">
        <f aca="false">E13*SUMIFS('Baseline Register'!$M$7:$M$12,'Baseline Register'!$A$7:$A$12,B13)</f>
        <v>6.4561685221745</v>
      </c>
      <c r="G13" s="7" t="n">
        <v>1</v>
      </c>
      <c r="H13" s="7" t="n">
        <v>1</v>
      </c>
      <c r="I13" s="7" t="n">
        <v>1</v>
      </c>
      <c r="J13" s="7" t="n">
        <v>1</v>
      </c>
      <c r="K13" s="7" t="n">
        <v>1</v>
      </c>
      <c r="L13" s="7" t="n">
        <v>1</v>
      </c>
      <c r="M13" s="7" t="n">
        <v>1</v>
      </c>
      <c r="N13" s="7" t="n">
        <v>1</v>
      </c>
      <c r="O13" s="7" t="n">
        <v>1</v>
      </c>
      <c r="P13" s="11" t="n">
        <f aca="false">SUM(G13:O13)</f>
        <v>9</v>
      </c>
      <c r="Q13" s="11" t="str">
        <f aca="false">IF(P13&gt;=4,"ASSIGNED / WORK OPEN","INCOMPLETE")</f>
        <v>ASSIGNED / WORK OPEN</v>
      </c>
    </row>
    <row r="14" customFormat="false" ht="15" hidden="false" customHeight="false" outlineLevel="0" collapsed="false">
      <c r="A14" s="7" t="s">
        <v>647</v>
      </c>
      <c r="B14" s="7" t="s">
        <v>8</v>
      </c>
      <c r="C14" s="7" t="s">
        <v>638</v>
      </c>
      <c r="D14" s="7" t="s">
        <v>639</v>
      </c>
      <c r="E14" s="16" t="n">
        <v>0.15</v>
      </c>
      <c r="F14" s="12" t="n">
        <f aca="false">E14*SUMIFS('Baseline Register'!$M$7:$M$12,'Baseline Register'!$A$7:$A$12,B14)</f>
        <v>3.8737011133047</v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1</v>
      </c>
      <c r="M14" s="7" t="n">
        <v>1</v>
      </c>
      <c r="N14" s="7" t="n">
        <v>1</v>
      </c>
      <c r="O14" s="7" t="n">
        <v>0</v>
      </c>
      <c r="P14" s="11" t="n">
        <f aca="false">SUM(G14:O14)</f>
        <v>4</v>
      </c>
      <c r="Q14" s="11" t="str">
        <f aca="false">IF(P14&gt;=4,"ASSIGNED / WORK OPEN","INCOMPLETE")</f>
        <v>ASSIGNED / WORK OPEN</v>
      </c>
    </row>
    <row r="15" customFormat="false" ht="15" hidden="false" customHeight="false" outlineLevel="0" collapsed="false">
      <c r="A15" s="7" t="s">
        <v>648</v>
      </c>
      <c r="B15" s="7" t="s">
        <v>8</v>
      </c>
      <c r="C15" s="7" t="s">
        <v>641</v>
      </c>
      <c r="D15" s="7" t="s">
        <v>642</v>
      </c>
      <c r="E15" s="16" t="n">
        <v>0.25</v>
      </c>
      <c r="F15" s="12" t="n">
        <f aca="false">E15*SUMIFS('Baseline Register'!$M$7:$M$12,'Baseline Register'!$A$7:$A$12,B15)</f>
        <v>6.4561685221745</v>
      </c>
      <c r="G15" s="7" t="n">
        <v>1</v>
      </c>
      <c r="H15" s="7" t="n">
        <v>1</v>
      </c>
      <c r="I15" s="7" t="n">
        <v>1</v>
      </c>
      <c r="J15" s="7" t="n">
        <v>1</v>
      </c>
      <c r="K15" s="7" t="n">
        <v>1</v>
      </c>
      <c r="L15" s="7" t="n">
        <v>1</v>
      </c>
      <c r="M15" s="7" t="n">
        <v>0</v>
      </c>
      <c r="N15" s="7" t="n">
        <v>1</v>
      </c>
      <c r="O15" s="7" t="n">
        <v>0</v>
      </c>
      <c r="P15" s="11" t="n">
        <f aca="false">SUM(G15:O15)</f>
        <v>7</v>
      </c>
      <c r="Q15" s="11" t="str">
        <f aca="false">IF(P15&gt;=4,"ASSIGNED / WORK OPEN","INCOMPLETE")</f>
        <v>ASSIGNED / WORK OPEN</v>
      </c>
    </row>
    <row r="16" customFormat="false" ht="15" hidden="false" customHeight="false" outlineLevel="0" collapsed="false">
      <c r="A16" s="7" t="s">
        <v>649</v>
      </c>
      <c r="B16" s="7" t="s">
        <v>8</v>
      </c>
      <c r="C16" s="7" t="s">
        <v>275</v>
      </c>
      <c r="D16" s="7" t="s">
        <v>644</v>
      </c>
      <c r="E16" s="16" t="n">
        <v>0.15</v>
      </c>
      <c r="F16" s="12" t="n">
        <f aca="false">E16*SUMIFS('Baseline Register'!$M$7:$M$12,'Baseline Register'!$A$7:$A$12,B16)</f>
        <v>3.8737011133047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11" t="n">
        <f aca="false">SUM(G16:O16)</f>
        <v>9</v>
      </c>
      <c r="Q16" s="11" t="str">
        <f aca="false">IF(P16&gt;=4,"ASSIGNED / WORK OPEN","INCOMPLETE")</f>
        <v>ASSIGNED / WORK OPEN</v>
      </c>
    </row>
    <row r="17" customFormat="false" ht="15" hidden="false" customHeight="false" outlineLevel="0" collapsed="false">
      <c r="A17" s="7" t="s">
        <v>650</v>
      </c>
      <c r="B17" s="7" t="s">
        <v>11</v>
      </c>
      <c r="C17" s="7" t="s">
        <v>632</v>
      </c>
      <c r="D17" s="7" t="s">
        <v>633</v>
      </c>
      <c r="E17" s="16" t="n">
        <v>0.2</v>
      </c>
      <c r="F17" s="12" t="n">
        <f aca="false">E17*SUMIFS('Baseline Register'!$M$7:$M$12,'Baseline Register'!$A$7:$A$12,B17)</f>
        <v>3.07221654067133</v>
      </c>
      <c r="G17" s="7" t="n">
        <v>1</v>
      </c>
      <c r="H17" s="7" t="n">
        <v>0</v>
      </c>
      <c r="I17" s="7" t="n">
        <v>0</v>
      </c>
      <c r="J17" s="7" t="n">
        <v>1</v>
      </c>
      <c r="K17" s="7" t="n">
        <v>1</v>
      </c>
      <c r="L17" s="7" t="n">
        <v>0</v>
      </c>
      <c r="M17" s="7" t="n">
        <v>1</v>
      </c>
      <c r="N17" s="7" t="n">
        <v>0</v>
      </c>
      <c r="O17" s="7" t="n">
        <v>0</v>
      </c>
      <c r="P17" s="11" t="n">
        <f aca="false">SUM(G17:O17)</f>
        <v>4</v>
      </c>
      <c r="Q17" s="11" t="str">
        <f aca="false">IF(P17&gt;=4,"ASSIGNED / WORK OPEN","INCOMPLETE")</f>
        <v>ASSIGNED / WORK OPEN</v>
      </c>
    </row>
    <row r="18" customFormat="false" ht="15" hidden="false" customHeight="false" outlineLevel="0" collapsed="false">
      <c r="A18" s="7" t="s">
        <v>651</v>
      </c>
      <c r="B18" s="7" t="s">
        <v>11</v>
      </c>
      <c r="C18" s="7" t="s">
        <v>635</v>
      </c>
      <c r="D18" s="7" t="s">
        <v>636</v>
      </c>
      <c r="E18" s="16" t="n">
        <v>0.25</v>
      </c>
      <c r="F18" s="12" t="n">
        <f aca="false">E18*SUMIFS('Baseline Register'!$M$7:$M$12,'Baseline Register'!$A$7:$A$12,B18)</f>
        <v>3.84027067583916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11" t="n">
        <f aca="false">SUM(G18:O18)</f>
        <v>9</v>
      </c>
      <c r="Q18" s="11" t="str">
        <f aca="false">IF(P18&gt;=4,"ASSIGNED / WORK OPEN","INCOMPLETE")</f>
        <v>ASSIGNED / WORK OPEN</v>
      </c>
    </row>
    <row r="19" customFormat="false" ht="15" hidden="false" customHeight="false" outlineLevel="0" collapsed="false">
      <c r="A19" s="7" t="s">
        <v>652</v>
      </c>
      <c r="B19" s="7" t="s">
        <v>11</v>
      </c>
      <c r="C19" s="7" t="s">
        <v>638</v>
      </c>
      <c r="D19" s="7" t="s">
        <v>639</v>
      </c>
      <c r="E19" s="16" t="n">
        <v>0.15</v>
      </c>
      <c r="F19" s="12" t="n">
        <f aca="false">E19*SUMIFS('Baseline Register'!$M$7:$M$12,'Baseline Register'!$A$7:$A$12,B19)</f>
        <v>2.3041624055035</v>
      </c>
      <c r="G19" s="7" t="n">
        <v>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1</v>
      </c>
      <c r="M19" s="7" t="n">
        <v>1</v>
      </c>
      <c r="N19" s="7" t="n">
        <v>1</v>
      </c>
      <c r="O19" s="7" t="n">
        <v>0</v>
      </c>
      <c r="P19" s="11" t="n">
        <f aca="false">SUM(G19:O19)</f>
        <v>4</v>
      </c>
      <c r="Q19" s="11" t="str">
        <f aca="false">IF(P19&gt;=4,"ASSIGNED / WORK OPEN","INCOMPLETE")</f>
        <v>ASSIGNED / WORK OPEN</v>
      </c>
    </row>
    <row r="20" customFormat="false" ht="15" hidden="false" customHeight="false" outlineLevel="0" collapsed="false">
      <c r="A20" s="7" t="s">
        <v>653</v>
      </c>
      <c r="B20" s="7" t="s">
        <v>11</v>
      </c>
      <c r="C20" s="7" t="s">
        <v>641</v>
      </c>
      <c r="D20" s="7" t="s">
        <v>642</v>
      </c>
      <c r="E20" s="16" t="n">
        <v>0.25</v>
      </c>
      <c r="F20" s="12" t="n">
        <f aca="false">E20*SUMIFS('Baseline Register'!$M$7:$M$12,'Baseline Register'!$A$7:$A$12,B20)</f>
        <v>3.84027067583916</v>
      </c>
      <c r="G20" s="7" t="n">
        <v>1</v>
      </c>
      <c r="H20" s="7" t="n">
        <v>1</v>
      </c>
      <c r="I20" s="7" t="n">
        <v>1</v>
      </c>
      <c r="J20" s="7" t="n">
        <v>1</v>
      </c>
      <c r="K20" s="7" t="n">
        <v>1</v>
      </c>
      <c r="L20" s="7" t="n">
        <v>1</v>
      </c>
      <c r="M20" s="7" t="n">
        <v>0</v>
      </c>
      <c r="N20" s="7" t="n">
        <v>1</v>
      </c>
      <c r="O20" s="7" t="n">
        <v>0</v>
      </c>
      <c r="P20" s="11" t="n">
        <f aca="false">SUM(G20:O20)</f>
        <v>7</v>
      </c>
      <c r="Q20" s="11" t="str">
        <f aca="false">IF(P20&gt;=4,"ASSIGNED / WORK OPEN","INCOMPLETE")</f>
        <v>ASSIGNED / WORK OPEN</v>
      </c>
    </row>
    <row r="21" customFormat="false" ht="15" hidden="false" customHeight="false" outlineLevel="0" collapsed="false">
      <c r="A21" s="7" t="s">
        <v>654</v>
      </c>
      <c r="B21" s="7" t="s">
        <v>11</v>
      </c>
      <c r="C21" s="7" t="s">
        <v>275</v>
      </c>
      <c r="D21" s="7" t="s">
        <v>644</v>
      </c>
      <c r="E21" s="16" t="n">
        <v>0.15</v>
      </c>
      <c r="F21" s="12" t="n">
        <f aca="false">E21*SUMIFS('Baseline Register'!$M$7:$M$12,'Baseline Register'!$A$7:$A$12,B21)</f>
        <v>2.3041624055035</v>
      </c>
      <c r="G21" s="7" t="n">
        <v>1</v>
      </c>
      <c r="H21" s="7" t="n">
        <v>1</v>
      </c>
      <c r="I21" s="7" t="n">
        <v>1</v>
      </c>
      <c r="J21" s="7" t="n">
        <v>1</v>
      </c>
      <c r="K21" s="7" t="n">
        <v>1</v>
      </c>
      <c r="L21" s="7" t="n">
        <v>1</v>
      </c>
      <c r="M21" s="7" t="n">
        <v>1</v>
      </c>
      <c r="N21" s="7" t="n">
        <v>1</v>
      </c>
      <c r="O21" s="7" t="n">
        <v>1</v>
      </c>
      <c r="P21" s="11" t="n">
        <f aca="false">SUM(G21:O21)</f>
        <v>9</v>
      </c>
      <c r="Q21" s="11" t="str">
        <f aca="false">IF(P21&gt;=4,"ASSIGNED / WORK OPEN","INCOMPLETE")</f>
        <v>ASSIGNED / WORK OPEN</v>
      </c>
    </row>
    <row r="22" customFormat="false" ht="15" hidden="false" customHeight="false" outlineLevel="0" collapsed="false">
      <c r="A22" s="7" t="s">
        <v>655</v>
      </c>
      <c r="B22" s="7" t="s">
        <v>14</v>
      </c>
      <c r="C22" s="7" t="s">
        <v>632</v>
      </c>
      <c r="D22" s="7" t="s">
        <v>633</v>
      </c>
      <c r="E22" s="16" t="n">
        <v>0.2</v>
      </c>
      <c r="F22" s="12" t="n">
        <f aca="false">E22*SUMIFS('Baseline Register'!$M$7:$M$12,'Baseline Register'!$A$7:$A$12,B22)</f>
        <v>8.99412819320567</v>
      </c>
      <c r="G22" s="7" t="n">
        <v>1</v>
      </c>
      <c r="H22" s="7" t="n">
        <v>0</v>
      </c>
      <c r="I22" s="7" t="n">
        <v>0</v>
      </c>
      <c r="J22" s="7" t="n">
        <v>1</v>
      </c>
      <c r="K22" s="7" t="n">
        <v>1</v>
      </c>
      <c r="L22" s="7" t="n">
        <v>0</v>
      </c>
      <c r="M22" s="7" t="n">
        <v>1</v>
      </c>
      <c r="N22" s="7" t="n">
        <v>0</v>
      </c>
      <c r="O22" s="7" t="n">
        <v>0</v>
      </c>
      <c r="P22" s="11" t="n">
        <f aca="false">SUM(G22:O22)</f>
        <v>4</v>
      </c>
      <c r="Q22" s="11" t="str">
        <f aca="false">IF(P22&gt;=4,"ASSIGNED / WORK OPEN","INCOMPLETE")</f>
        <v>ASSIGNED / WORK OPEN</v>
      </c>
    </row>
    <row r="23" customFormat="false" ht="15" hidden="false" customHeight="false" outlineLevel="0" collapsed="false">
      <c r="A23" s="7" t="s">
        <v>656</v>
      </c>
      <c r="B23" s="7" t="s">
        <v>14</v>
      </c>
      <c r="C23" s="7" t="s">
        <v>635</v>
      </c>
      <c r="D23" s="7" t="s">
        <v>636</v>
      </c>
      <c r="E23" s="16" t="n">
        <v>0.25</v>
      </c>
      <c r="F23" s="12" t="n">
        <f aca="false">E23*SUMIFS('Baseline Register'!$M$7:$M$12,'Baseline Register'!$A$7:$A$12,B23)</f>
        <v>11.2426602415071</v>
      </c>
      <c r="G23" s="7" t="n">
        <v>1</v>
      </c>
      <c r="H23" s="7" t="n">
        <v>1</v>
      </c>
      <c r="I23" s="7" t="n">
        <v>1</v>
      </c>
      <c r="J23" s="7" t="n">
        <v>1</v>
      </c>
      <c r="K23" s="7" t="n">
        <v>1</v>
      </c>
      <c r="L23" s="7" t="n">
        <v>1</v>
      </c>
      <c r="M23" s="7" t="n">
        <v>1</v>
      </c>
      <c r="N23" s="7" t="n">
        <v>1</v>
      </c>
      <c r="O23" s="7" t="n">
        <v>1</v>
      </c>
      <c r="P23" s="11" t="n">
        <f aca="false">SUM(G23:O23)</f>
        <v>9</v>
      </c>
      <c r="Q23" s="11" t="str">
        <f aca="false">IF(P23&gt;=4,"ASSIGNED / WORK OPEN","INCOMPLETE")</f>
        <v>ASSIGNED / WORK OPEN</v>
      </c>
    </row>
    <row r="24" customFormat="false" ht="15" hidden="false" customHeight="false" outlineLevel="0" collapsed="false">
      <c r="A24" s="7" t="s">
        <v>657</v>
      </c>
      <c r="B24" s="7" t="s">
        <v>14</v>
      </c>
      <c r="C24" s="7" t="s">
        <v>638</v>
      </c>
      <c r="D24" s="7" t="s">
        <v>639</v>
      </c>
      <c r="E24" s="16" t="n">
        <v>0.15</v>
      </c>
      <c r="F24" s="12" t="n">
        <f aca="false">E24*SUMIFS('Baseline Register'!$M$7:$M$12,'Baseline Register'!$A$7:$A$12,B24)</f>
        <v>6.74559614490425</v>
      </c>
      <c r="G24" s="7" t="n">
        <v>1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1</v>
      </c>
      <c r="M24" s="7" t="n">
        <v>1</v>
      </c>
      <c r="N24" s="7" t="n">
        <v>1</v>
      </c>
      <c r="O24" s="7" t="n">
        <v>0</v>
      </c>
      <c r="P24" s="11" t="n">
        <f aca="false">SUM(G24:O24)</f>
        <v>4</v>
      </c>
      <c r="Q24" s="11" t="str">
        <f aca="false">IF(P24&gt;=4,"ASSIGNED / WORK OPEN","INCOMPLETE")</f>
        <v>ASSIGNED / WORK OPEN</v>
      </c>
    </row>
    <row r="25" customFormat="false" ht="15" hidden="false" customHeight="false" outlineLevel="0" collapsed="false">
      <c r="A25" s="7" t="s">
        <v>658</v>
      </c>
      <c r="B25" s="7" t="s">
        <v>14</v>
      </c>
      <c r="C25" s="7" t="s">
        <v>641</v>
      </c>
      <c r="D25" s="7" t="s">
        <v>642</v>
      </c>
      <c r="E25" s="16" t="n">
        <v>0.25</v>
      </c>
      <c r="F25" s="12" t="n">
        <f aca="false">E25*SUMIFS('Baseline Register'!$M$7:$M$12,'Baseline Register'!$A$7:$A$12,B25)</f>
        <v>11.2426602415071</v>
      </c>
      <c r="G25" s="7" t="n">
        <v>1</v>
      </c>
      <c r="H25" s="7" t="n">
        <v>1</v>
      </c>
      <c r="I25" s="7" t="n">
        <v>1</v>
      </c>
      <c r="J25" s="7" t="n">
        <v>1</v>
      </c>
      <c r="K25" s="7" t="n">
        <v>1</v>
      </c>
      <c r="L25" s="7" t="n">
        <v>1</v>
      </c>
      <c r="M25" s="7" t="n">
        <v>0</v>
      </c>
      <c r="N25" s="7" t="n">
        <v>1</v>
      </c>
      <c r="O25" s="7" t="n">
        <v>0</v>
      </c>
      <c r="P25" s="11" t="n">
        <f aca="false">SUM(G25:O25)</f>
        <v>7</v>
      </c>
      <c r="Q25" s="11" t="str">
        <f aca="false">IF(P25&gt;=4,"ASSIGNED / WORK OPEN","INCOMPLETE")</f>
        <v>ASSIGNED / WORK OPEN</v>
      </c>
    </row>
    <row r="26" customFormat="false" ht="15" hidden="false" customHeight="false" outlineLevel="0" collapsed="false">
      <c r="A26" s="7" t="s">
        <v>659</v>
      </c>
      <c r="B26" s="7" t="s">
        <v>14</v>
      </c>
      <c r="C26" s="7" t="s">
        <v>275</v>
      </c>
      <c r="D26" s="7" t="s">
        <v>644</v>
      </c>
      <c r="E26" s="16" t="n">
        <v>0.15</v>
      </c>
      <c r="F26" s="12" t="n">
        <f aca="false">E26*SUMIFS('Baseline Register'!$M$7:$M$12,'Baseline Register'!$A$7:$A$12,B26)</f>
        <v>6.74559614490425</v>
      </c>
      <c r="G26" s="7" t="n">
        <v>1</v>
      </c>
      <c r="H26" s="7" t="n">
        <v>1</v>
      </c>
      <c r="I26" s="7" t="n">
        <v>1</v>
      </c>
      <c r="J26" s="7" t="n">
        <v>1</v>
      </c>
      <c r="K26" s="7" t="n">
        <v>1</v>
      </c>
      <c r="L26" s="7" t="n">
        <v>1</v>
      </c>
      <c r="M26" s="7" t="n">
        <v>1</v>
      </c>
      <c r="N26" s="7" t="n">
        <v>1</v>
      </c>
      <c r="O26" s="7" t="n">
        <v>1</v>
      </c>
      <c r="P26" s="11" t="n">
        <f aca="false">SUM(G26:O26)</f>
        <v>9</v>
      </c>
      <c r="Q26" s="11" t="str">
        <f aca="false">IF(P26&gt;=4,"ASSIGNED / WORK OPEN","INCOMPLETE")</f>
        <v>ASSIGNED / WORK OPEN</v>
      </c>
    </row>
    <row r="27" customFormat="false" ht="15" hidden="false" customHeight="false" outlineLevel="0" collapsed="false">
      <c r="A27" s="7" t="s">
        <v>660</v>
      </c>
      <c r="B27" s="7" t="s">
        <v>17</v>
      </c>
      <c r="C27" s="7" t="s">
        <v>632</v>
      </c>
      <c r="D27" s="7" t="s">
        <v>633</v>
      </c>
      <c r="E27" s="16" t="n">
        <v>0.2</v>
      </c>
      <c r="F27" s="12" t="n">
        <f aca="false">E27*SUMIFS('Baseline Register'!$M$7:$M$12,'Baseline Register'!$A$7:$A$12,B27)</f>
        <v>8.60712452941096</v>
      </c>
      <c r="G27" s="7" t="n">
        <v>1</v>
      </c>
      <c r="H27" s="7" t="n">
        <v>0</v>
      </c>
      <c r="I27" s="7" t="n">
        <v>0</v>
      </c>
      <c r="J27" s="7" t="n">
        <v>1</v>
      </c>
      <c r="K27" s="7" t="n">
        <v>1</v>
      </c>
      <c r="L27" s="7" t="n">
        <v>0</v>
      </c>
      <c r="M27" s="7" t="n">
        <v>1</v>
      </c>
      <c r="N27" s="7" t="n">
        <v>0</v>
      </c>
      <c r="O27" s="7" t="n">
        <v>0</v>
      </c>
      <c r="P27" s="11" t="n">
        <f aca="false">SUM(G27:O27)</f>
        <v>4</v>
      </c>
      <c r="Q27" s="11" t="str">
        <f aca="false">IF(P27&gt;=4,"ASSIGNED / WORK OPEN","INCOMPLETE")</f>
        <v>ASSIGNED / WORK OPEN</v>
      </c>
    </row>
    <row r="28" customFormat="false" ht="15" hidden="false" customHeight="false" outlineLevel="0" collapsed="false">
      <c r="A28" s="7" t="s">
        <v>661</v>
      </c>
      <c r="B28" s="7" t="s">
        <v>17</v>
      </c>
      <c r="C28" s="7" t="s">
        <v>635</v>
      </c>
      <c r="D28" s="7" t="s">
        <v>636</v>
      </c>
      <c r="E28" s="16" t="n">
        <v>0.25</v>
      </c>
      <c r="F28" s="12" t="n">
        <f aca="false">E28*SUMIFS('Baseline Register'!$M$7:$M$12,'Baseline Register'!$A$7:$A$12,B28)</f>
        <v>10.7589056617637</v>
      </c>
      <c r="G28" s="7" t="n">
        <v>1</v>
      </c>
      <c r="H28" s="7" t="n">
        <v>1</v>
      </c>
      <c r="I28" s="7" t="n">
        <v>1</v>
      </c>
      <c r="J28" s="7" t="n">
        <v>1</v>
      </c>
      <c r="K28" s="7" t="n">
        <v>1</v>
      </c>
      <c r="L28" s="7" t="n">
        <v>1</v>
      </c>
      <c r="M28" s="7" t="n">
        <v>1</v>
      </c>
      <c r="N28" s="7" t="n">
        <v>1</v>
      </c>
      <c r="O28" s="7" t="n">
        <v>1</v>
      </c>
      <c r="P28" s="11" t="n">
        <f aca="false">SUM(G28:O28)</f>
        <v>9</v>
      </c>
      <c r="Q28" s="11" t="str">
        <f aca="false">IF(P28&gt;=4,"ASSIGNED / WORK OPEN","INCOMPLETE")</f>
        <v>ASSIGNED / WORK OPEN</v>
      </c>
    </row>
    <row r="29" customFormat="false" ht="15" hidden="false" customHeight="false" outlineLevel="0" collapsed="false">
      <c r="A29" s="7" t="s">
        <v>662</v>
      </c>
      <c r="B29" s="7" t="s">
        <v>17</v>
      </c>
      <c r="C29" s="7" t="s">
        <v>638</v>
      </c>
      <c r="D29" s="7" t="s">
        <v>639</v>
      </c>
      <c r="E29" s="16" t="n">
        <v>0.15</v>
      </c>
      <c r="F29" s="12" t="n">
        <f aca="false">E29*SUMIFS('Baseline Register'!$M$7:$M$12,'Baseline Register'!$A$7:$A$12,B29)</f>
        <v>6.45534339705822</v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1</v>
      </c>
      <c r="M29" s="7" t="n">
        <v>1</v>
      </c>
      <c r="N29" s="7" t="n">
        <v>1</v>
      </c>
      <c r="O29" s="7" t="n">
        <v>0</v>
      </c>
      <c r="P29" s="11" t="n">
        <f aca="false">SUM(G29:O29)</f>
        <v>4</v>
      </c>
      <c r="Q29" s="11" t="str">
        <f aca="false">IF(P29&gt;=4,"ASSIGNED / WORK OPEN","INCOMPLETE")</f>
        <v>ASSIGNED / WORK OPEN</v>
      </c>
    </row>
    <row r="30" customFormat="false" ht="15" hidden="false" customHeight="false" outlineLevel="0" collapsed="false">
      <c r="A30" s="7" t="s">
        <v>663</v>
      </c>
      <c r="B30" s="7" t="s">
        <v>17</v>
      </c>
      <c r="C30" s="7" t="s">
        <v>641</v>
      </c>
      <c r="D30" s="7" t="s">
        <v>642</v>
      </c>
      <c r="E30" s="16" t="n">
        <v>0.25</v>
      </c>
      <c r="F30" s="12" t="n">
        <f aca="false">E30*SUMIFS('Baseline Register'!$M$7:$M$12,'Baseline Register'!$A$7:$A$12,B30)</f>
        <v>10.7589056617637</v>
      </c>
      <c r="G30" s="7" t="n">
        <v>1</v>
      </c>
      <c r="H30" s="7" t="n">
        <v>1</v>
      </c>
      <c r="I30" s="7" t="n">
        <v>1</v>
      </c>
      <c r="J30" s="7" t="n">
        <v>1</v>
      </c>
      <c r="K30" s="7" t="n">
        <v>1</v>
      </c>
      <c r="L30" s="7" t="n">
        <v>1</v>
      </c>
      <c r="M30" s="7" t="n">
        <v>0</v>
      </c>
      <c r="N30" s="7" t="n">
        <v>1</v>
      </c>
      <c r="O30" s="7" t="n">
        <v>0</v>
      </c>
      <c r="P30" s="11" t="n">
        <f aca="false">SUM(G30:O30)</f>
        <v>7</v>
      </c>
      <c r="Q30" s="11" t="str">
        <f aca="false">IF(P30&gt;=4,"ASSIGNED / WORK OPEN","INCOMPLETE")</f>
        <v>ASSIGNED / WORK OPEN</v>
      </c>
    </row>
    <row r="31" customFormat="false" ht="15" hidden="false" customHeight="false" outlineLevel="0" collapsed="false">
      <c r="A31" s="7" t="s">
        <v>664</v>
      </c>
      <c r="B31" s="7" t="s">
        <v>17</v>
      </c>
      <c r="C31" s="7" t="s">
        <v>275</v>
      </c>
      <c r="D31" s="7" t="s">
        <v>644</v>
      </c>
      <c r="E31" s="16" t="n">
        <v>0.15</v>
      </c>
      <c r="F31" s="12" t="n">
        <f aca="false">E31*SUMIFS('Baseline Register'!$M$7:$M$12,'Baseline Register'!$A$7:$A$12,B31)</f>
        <v>6.45534339705822</v>
      </c>
      <c r="G31" s="7" t="n">
        <v>1</v>
      </c>
      <c r="H31" s="7" t="n">
        <v>1</v>
      </c>
      <c r="I31" s="7" t="n">
        <v>1</v>
      </c>
      <c r="J31" s="7" t="n">
        <v>1</v>
      </c>
      <c r="K31" s="7" t="n">
        <v>1</v>
      </c>
      <c r="L31" s="7" t="n">
        <v>1</v>
      </c>
      <c r="M31" s="7" t="n">
        <v>1</v>
      </c>
      <c r="N31" s="7" t="n">
        <v>1</v>
      </c>
      <c r="O31" s="7" t="n">
        <v>1</v>
      </c>
      <c r="P31" s="11" t="n">
        <f aca="false">SUM(G31:O31)</f>
        <v>9</v>
      </c>
      <c r="Q31" s="11" t="str">
        <f aca="false">IF(P31&gt;=4,"ASSIGNED / WORK OPEN","INCOMPLETE")</f>
        <v>ASSIGNED / WORK OPEN</v>
      </c>
    </row>
    <row r="32" customFormat="false" ht="15" hidden="false" customHeight="false" outlineLevel="0" collapsed="false">
      <c r="A32" s="7" t="s">
        <v>665</v>
      </c>
      <c r="B32" s="7" t="s">
        <v>20</v>
      </c>
      <c r="C32" s="7" t="s">
        <v>632</v>
      </c>
      <c r="D32" s="7" t="s">
        <v>633</v>
      </c>
      <c r="E32" s="16" t="n">
        <v>0.2</v>
      </c>
      <c r="F32" s="12" t="n">
        <f aca="false">E32*SUMIFS('Baseline Register'!$M$7:$M$12,'Baseline Register'!$A$7:$A$12,B32)</f>
        <v>5.02597793135963</v>
      </c>
      <c r="G32" s="7" t="n">
        <v>1</v>
      </c>
      <c r="H32" s="7" t="n">
        <v>0</v>
      </c>
      <c r="I32" s="7" t="n">
        <v>0</v>
      </c>
      <c r="J32" s="7" t="n">
        <v>1</v>
      </c>
      <c r="K32" s="7" t="n">
        <v>1</v>
      </c>
      <c r="L32" s="7" t="n">
        <v>0</v>
      </c>
      <c r="M32" s="7" t="n">
        <v>1</v>
      </c>
      <c r="N32" s="7" t="n">
        <v>0</v>
      </c>
      <c r="O32" s="7" t="n">
        <v>0</v>
      </c>
      <c r="P32" s="11" t="n">
        <f aca="false">SUM(G32:O32)</f>
        <v>4</v>
      </c>
      <c r="Q32" s="11" t="str">
        <f aca="false">IF(P32&gt;=4,"ASSIGNED / WORK OPEN","INCOMPLETE")</f>
        <v>ASSIGNED / WORK OPEN</v>
      </c>
    </row>
    <row r="33" customFormat="false" ht="15" hidden="false" customHeight="false" outlineLevel="0" collapsed="false">
      <c r="A33" s="7" t="s">
        <v>666</v>
      </c>
      <c r="B33" s="7" t="s">
        <v>20</v>
      </c>
      <c r="C33" s="7" t="s">
        <v>635</v>
      </c>
      <c r="D33" s="7" t="s">
        <v>636</v>
      </c>
      <c r="E33" s="16" t="n">
        <v>0.25</v>
      </c>
      <c r="F33" s="12" t="n">
        <f aca="false">E33*SUMIFS('Baseline Register'!$M$7:$M$12,'Baseline Register'!$A$7:$A$12,B33)</f>
        <v>6.28247241419954</v>
      </c>
      <c r="G33" s="7" t="n">
        <v>1</v>
      </c>
      <c r="H33" s="7" t="n">
        <v>1</v>
      </c>
      <c r="I33" s="7" t="n">
        <v>1</v>
      </c>
      <c r="J33" s="7" t="n">
        <v>1</v>
      </c>
      <c r="K33" s="7" t="n">
        <v>1</v>
      </c>
      <c r="L33" s="7" t="n">
        <v>1</v>
      </c>
      <c r="M33" s="7" t="n">
        <v>1</v>
      </c>
      <c r="N33" s="7" t="n">
        <v>1</v>
      </c>
      <c r="O33" s="7" t="n">
        <v>1</v>
      </c>
      <c r="P33" s="11" t="n">
        <f aca="false">SUM(G33:O33)</f>
        <v>9</v>
      </c>
      <c r="Q33" s="11" t="str">
        <f aca="false">IF(P33&gt;=4,"ASSIGNED / WORK OPEN","INCOMPLETE")</f>
        <v>ASSIGNED / WORK OPEN</v>
      </c>
    </row>
    <row r="34" customFormat="false" ht="15" hidden="false" customHeight="false" outlineLevel="0" collapsed="false">
      <c r="A34" s="7" t="s">
        <v>667</v>
      </c>
      <c r="B34" s="7" t="s">
        <v>20</v>
      </c>
      <c r="C34" s="7" t="s">
        <v>638</v>
      </c>
      <c r="D34" s="7" t="s">
        <v>639</v>
      </c>
      <c r="E34" s="16" t="n">
        <v>0.15</v>
      </c>
      <c r="F34" s="12" t="n">
        <f aca="false">E34*SUMIFS('Baseline Register'!$M$7:$M$12,'Baseline Register'!$A$7:$A$12,B34)</f>
        <v>3.76948344851972</v>
      </c>
      <c r="G34" s="7" t="n">
        <v>1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1</v>
      </c>
      <c r="M34" s="7" t="n">
        <v>1</v>
      </c>
      <c r="N34" s="7" t="n">
        <v>1</v>
      </c>
      <c r="O34" s="7" t="n">
        <v>0</v>
      </c>
      <c r="P34" s="11" t="n">
        <f aca="false">SUM(G34:O34)</f>
        <v>4</v>
      </c>
      <c r="Q34" s="11" t="str">
        <f aca="false">IF(P34&gt;=4,"ASSIGNED / WORK OPEN","INCOMPLETE")</f>
        <v>ASSIGNED / WORK OPEN</v>
      </c>
    </row>
    <row r="35" customFormat="false" ht="15" hidden="false" customHeight="false" outlineLevel="0" collapsed="false">
      <c r="A35" s="7" t="s">
        <v>668</v>
      </c>
      <c r="B35" s="7" t="s">
        <v>20</v>
      </c>
      <c r="C35" s="7" t="s">
        <v>641</v>
      </c>
      <c r="D35" s="7" t="s">
        <v>642</v>
      </c>
      <c r="E35" s="16" t="n">
        <v>0.25</v>
      </c>
      <c r="F35" s="12" t="n">
        <f aca="false">E35*SUMIFS('Baseline Register'!$M$7:$M$12,'Baseline Register'!$A$7:$A$12,B35)</f>
        <v>6.28247241419954</v>
      </c>
      <c r="G35" s="7" t="n">
        <v>1</v>
      </c>
      <c r="H35" s="7" t="n">
        <v>1</v>
      </c>
      <c r="I35" s="7" t="n">
        <v>1</v>
      </c>
      <c r="J35" s="7" t="n">
        <v>1</v>
      </c>
      <c r="K35" s="7" t="n">
        <v>1</v>
      </c>
      <c r="L35" s="7" t="n">
        <v>1</v>
      </c>
      <c r="M35" s="7" t="n">
        <v>0</v>
      </c>
      <c r="N35" s="7" t="n">
        <v>1</v>
      </c>
      <c r="O35" s="7" t="n">
        <v>0</v>
      </c>
      <c r="P35" s="11" t="n">
        <f aca="false">SUM(G35:O35)</f>
        <v>7</v>
      </c>
      <c r="Q35" s="11" t="str">
        <f aca="false">IF(P35&gt;=4,"ASSIGNED / WORK OPEN","INCOMPLETE")</f>
        <v>ASSIGNED / WORK OPEN</v>
      </c>
    </row>
    <row r="36" customFormat="false" ht="15" hidden="false" customHeight="false" outlineLevel="0" collapsed="false">
      <c r="A36" s="7" t="s">
        <v>669</v>
      </c>
      <c r="B36" s="7" t="s">
        <v>20</v>
      </c>
      <c r="C36" s="7" t="s">
        <v>275</v>
      </c>
      <c r="D36" s="7" t="s">
        <v>644</v>
      </c>
      <c r="E36" s="16" t="n">
        <v>0.15</v>
      </c>
      <c r="F36" s="12" t="n">
        <f aca="false">E36*SUMIFS('Baseline Register'!$M$7:$M$12,'Baseline Register'!$A$7:$A$12,B36)</f>
        <v>3.76948344851972</v>
      </c>
      <c r="G36" s="7" t="n">
        <v>1</v>
      </c>
      <c r="H36" s="7" t="n">
        <v>1</v>
      </c>
      <c r="I36" s="7" t="n">
        <v>1</v>
      </c>
      <c r="J36" s="7" t="n">
        <v>1</v>
      </c>
      <c r="K36" s="7" t="n">
        <v>1</v>
      </c>
      <c r="L36" s="7" t="n">
        <v>1</v>
      </c>
      <c r="M36" s="7" t="n">
        <v>1</v>
      </c>
      <c r="N36" s="7" t="n">
        <v>1</v>
      </c>
      <c r="O36" s="7" t="n">
        <v>1</v>
      </c>
      <c r="P36" s="11" t="n">
        <f aca="false">SUM(G36:O36)</f>
        <v>9</v>
      </c>
      <c r="Q36" s="11" t="str">
        <f aca="false">IF(P36&gt;=4,"ASSIGNED / WORK OPEN","INCOMPLETE")</f>
        <v>ASSIGNED / WORK OPEN</v>
      </c>
    </row>
  </sheetData>
  <mergeCells count="2">
    <mergeCell ref="A2:N2"/>
    <mergeCell ref="A4:N4"/>
  </mergeCells>
  <conditionalFormatting sqref="Q7:Q36">
    <cfRule type="containsText" priority="2" operator="containsText" aboveAverage="0" equalAverage="0" bottom="0" percent="0" rank="0" text="FAIL" dxfId="24">
      <formula>NOT(ISERROR(SEARCH("FAIL",Q7)))</formula>
    </cfRule>
    <cfRule type="containsText" priority="3" operator="containsText" aboveAverage="0" equalAverage="0" bottom="0" percent="0" rank="0" text="OPEN" dxfId="25">
      <formula>NOT(ISERROR(SEARCH("OPEN",Q7)))</formula>
    </cfRule>
    <cfRule type="containsText" priority="4" operator="containsText" aboveAverage="0" equalAverage="0" bottom="0" percent="0" rank="0" text="UNMEASURED" dxfId="26">
      <formula>NOT(ISERROR(SEARCH("UNMEASURED",Q7)))</formula>
    </cfRule>
    <cfRule type="containsText" priority="5" operator="containsText" aboveAverage="0" equalAverage="0" bottom="0" percent="0" rank="0" text="SELECT" dxfId="27">
      <formula>NOT(ISERROR(SEARCH("SELECT",Q7)))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24"/>
    <col collapsed="false" customWidth="true" hidden="false" outlineLevel="0" max="5" min="5" style="1" width="38"/>
    <col collapsed="false" customWidth="true" hidden="false" outlineLevel="0" max="6" min="6" style="1" width="48"/>
    <col collapsed="false" customWidth="true" hidden="false" outlineLevel="0" max="7" min="7" style="1" width="52"/>
    <col collapsed="false" customWidth="true" hidden="false" outlineLevel="0" max="8" min="8" style="1" width="10"/>
    <col collapsed="false" customWidth="true" hidden="false" outlineLevel="0" max="9" min="9" style="1" width="20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670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671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30" hidden="false" customHeight="true" outlineLevel="0" collapsed="false">
      <c r="A6" s="9" t="s">
        <v>672</v>
      </c>
      <c r="B6" s="9" t="s">
        <v>3</v>
      </c>
      <c r="C6" s="9" t="s">
        <v>86</v>
      </c>
      <c r="D6" s="9" t="s">
        <v>673</v>
      </c>
      <c r="E6" s="9" t="s">
        <v>674</v>
      </c>
      <c r="F6" s="9" t="s">
        <v>675</v>
      </c>
      <c r="G6" s="9" t="s">
        <v>676</v>
      </c>
      <c r="H6" s="9" t="s">
        <v>677</v>
      </c>
      <c r="I6" s="9" t="s">
        <v>97</v>
      </c>
      <c r="J6" s="3"/>
      <c r="K6" s="3"/>
      <c r="L6" s="3"/>
      <c r="M6" s="3"/>
      <c r="N6" s="3"/>
    </row>
    <row r="7" customFormat="false" ht="15" hidden="false" customHeight="false" outlineLevel="0" collapsed="false">
      <c r="A7" s="7" t="s">
        <v>678</v>
      </c>
      <c r="B7" s="7" t="s">
        <v>5</v>
      </c>
      <c r="C7" s="7" t="s">
        <v>98</v>
      </c>
      <c r="D7" s="7" t="s">
        <v>679</v>
      </c>
      <c r="E7" s="7" t="s">
        <v>680</v>
      </c>
      <c r="F7" s="7" t="s">
        <v>681</v>
      </c>
      <c r="G7" s="7" t="s">
        <v>682</v>
      </c>
      <c r="H7" s="13" t="n">
        <v>0</v>
      </c>
      <c r="I7" s="7" t="s">
        <v>683</v>
      </c>
      <c r="J7" s="3"/>
      <c r="K7" s="3"/>
      <c r="L7" s="3"/>
      <c r="M7" s="3"/>
      <c r="N7" s="3"/>
    </row>
    <row r="8" customFormat="false" ht="15" hidden="false" customHeight="false" outlineLevel="0" collapsed="false">
      <c r="A8" s="7" t="s">
        <v>684</v>
      </c>
      <c r="B8" s="7" t="s">
        <v>5</v>
      </c>
      <c r="C8" s="7" t="s">
        <v>98</v>
      </c>
      <c r="D8" s="7" t="s">
        <v>685</v>
      </c>
      <c r="E8" s="7" t="s">
        <v>686</v>
      </c>
      <c r="F8" s="7" t="s">
        <v>687</v>
      </c>
      <c r="G8" s="7" t="s">
        <v>688</v>
      </c>
      <c r="H8" s="13" t="n">
        <v>0</v>
      </c>
      <c r="I8" s="7" t="s">
        <v>683</v>
      </c>
      <c r="J8" s="3"/>
      <c r="K8" s="3"/>
      <c r="L8" s="3"/>
      <c r="M8" s="3"/>
      <c r="N8" s="3"/>
    </row>
    <row r="9" customFormat="false" ht="15" hidden="false" customHeight="false" outlineLevel="0" collapsed="false">
      <c r="A9" s="7" t="s">
        <v>689</v>
      </c>
      <c r="B9" s="7" t="s">
        <v>5</v>
      </c>
      <c r="C9" s="7" t="s">
        <v>98</v>
      </c>
      <c r="D9" s="7" t="s">
        <v>690</v>
      </c>
      <c r="E9" s="7" t="s">
        <v>691</v>
      </c>
      <c r="F9" s="7" t="s">
        <v>692</v>
      </c>
      <c r="G9" s="7" t="s">
        <v>693</v>
      </c>
      <c r="H9" s="13" t="n">
        <v>0</v>
      </c>
      <c r="I9" s="7" t="s">
        <v>683</v>
      </c>
      <c r="J9" s="3"/>
      <c r="K9" s="3"/>
      <c r="L9" s="3"/>
      <c r="M9" s="3"/>
      <c r="N9" s="3"/>
    </row>
    <row r="10" customFormat="false" ht="15" hidden="false" customHeight="false" outlineLevel="0" collapsed="false">
      <c r="A10" s="7" t="s">
        <v>694</v>
      </c>
      <c r="B10" s="7" t="s">
        <v>8</v>
      </c>
      <c r="C10" s="7" t="s">
        <v>105</v>
      </c>
      <c r="D10" s="7" t="s">
        <v>695</v>
      </c>
      <c r="E10" s="7" t="s">
        <v>696</v>
      </c>
      <c r="F10" s="7" t="s">
        <v>697</v>
      </c>
      <c r="G10" s="7" t="s">
        <v>698</v>
      </c>
      <c r="H10" s="13" t="n">
        <v>0</v>
      </c>
      <c r="I10" s="7" t="s">
        <v>683</v>
      </c>
      <c r="J10" s="3"/>
      <c r="K10" s="3"/>
      <c r="L10" s="3"/>
      <c r="M10" s="3"/>
      <c r="N10" s="3"/>
    </row>
    <row r="11" customFormat="false" ht="15" hidden="false" customHeight="false" outlineLevel="0" collapsed="false">
      <c r="A11" s="7" t="s">
        <v>699</v>
      </c>
      <c r="B11" s="7" t="s">
        <v>8</v>
      </c>
      <c r="C11" s="7" t="s">
        <v>105</v>
      </c>
      <c r="D11" s="7" t="s">
        <v>700</v>
      </c>
      <c r="E11" s="7" t="s">
        <v>701</v>
      </c>
      <c r="F11" s="7" t="s">
        <v>702</v>
      </c>
      <c r="G11" s="7" t="s">
        <v>703</v>
      </c>
      <c r="H11" s="13" t="n">
        <v>0</v>
      </c>
      <c r="I11" s="7" t="s">
        <v>683</v>
      </c>
      <c r="J11" s="3"/>
      <c r="K11" s="3"/>
      <c r="L11" s="3"/>
      <c r="M11" s="3"/>
      <c r="N11" s="3"/>
    </row>
    <row r="12" customFormat="false" ht="15" hidden="false" customHeight="false" outlineLevel="0" collapsed="false">
      <c r="A12" s="7" t="s">
        <v>704</v>
      </c>
      <c r="B12" s="7" t="s">
        <v>8</v>
      </c>
      <c r="C12" s="7" t="s">
        <v>105</v>
      </c>
      <c r="D12" s="7" t="s">
        <v>705</v>
      </c>
      <c r="E12" s="7" t="s">
        <v>706</v>
      </c>
      <c r="F12" s="7" t="s">
        <v>707</v>
      </c>
      <c r="G12" s="7" t="s">
        <v>708</v>
      </c>
      <c r="H12" s="13" t="n">
        <v>0</v>
      </c>
      <c r="I12" s="7" t="s">
        <v>683</v>
      </c>
      <c r="J12" s="3"/>
      <c r="K12" s="3"/>
      <c r="L12" s="3"/>
      <c r="M12" s="3"/>
      <c r="N12" s="3"/>
    </row>
    <row r="13" customFormat="false" ht="15" hidden="false" customHeight="false" outlineLevel="0" collapsed="false">
      <c r="A13" s="7" t="s">
        <v>709</v>
      </c>
      <c r="B13" s="7" t="s">
        <v>11</v>
      </c>
      <c r="C13" s="7" t="s">
        <v>112</v>
      </c>
      <c r="D13" s="7" t="s">
        <v>710</v>
      </c>
      <c r="E13" s="7" t="s">
        <v>711</v>
      </c>
      <c r="F13" s="7" t="s">
        <v>712</v>
      </c>
      <c r="G13" s="7" t="s">
        <v>713</v>
      </c>
      <c r="H13" s="13" t="n">
        <v>0</v>
      </c>
      <c r="I13" s="7" t="s">
        <v>683</v>
      </c>
      <c r="J13" s="3"/>
      <c r="K13" s="3"/>
      <c r="L13" s="3"/>
      <c r="M13" s="3"/>
      <c r="N13" s="3"/>
    </row>
    <row r="14" customFormat="false" ht="15" hidden="false" customHeight="false" outlineLevel="0" collapsed="false">
      <c r="A14" s="7" t="s">
        <v>714</v>
      </c>
      <c r="B14" s="7" t="s">
        <v>11</v>
      </c>
      <c r="C14" s="7" t="s">
        <v>112</v>
      </c>
      <c r="D14" s="7" t="s">
        <v>715</v>
      </c>
      <c r="E14" s="7" t="s">
        <v>716</v>
      </c>
      <c r="F14" s="7" t="s">
        <v>717</v>
      </c>
      <c r="G14" s="7" t="s">
        <v>718</v>
      </c>
      <c r="H14" s="13" t="n">
        <v>0</v>
      </c>
      <c r="I14" s="7" t="s">
        <v>683</v>
      </c>
      <c r="J14" s="3"/>
      <c r="K14" s="3"/>
      <c r="L14" s="3"/>
      <c r="M14" s="3"/>
      <c r="N14" s="3"/>
    </row>
    <row r="15" customFormat="false" ht="15" hidden="false" customHeight="false" outlineLevel="0" collapsed="false">
      <c r="A15" s="7" t="s">
        <v>719</v>
      </c>
      <c r="B15" s="7" t="s">
        <v>11</v>
      </c>
      <c r="C15" s="7" t="s">
        <v>112</v>
      </c>
      <c r="D15" s="7" t="s">
        <v>720</v>
      </c>
      <c r="E15" s="7" t="s">
        <v>721</v>
      </c>
      <c r="F15" s="7" t="s">
        <v>722</v>
      </c>
      <c r="G15" s="7" t="s">
        <v>723</v>
      </c>
      <c r="H15" s="13" t="n">
        <v>0</v>
      </c>
      <c r="I15" s="7" t="s">
        <v>683</v>
      </c>
      <c r="J15" s="3"/>
      <c r="K15" s="3"/>
      <c r="L15" s="3"/>
      <c r="M15" s="3"/>
      <c r="N15" s="3"/>
    </row>
    <row r="16" customFormat="false" ht="15" hidden="false" customHeight="false" outlineLevel="0" collapsed="false">
      <c r="A16" s="7" t="s">
        <v>724</v>
      </c>
      <c r="B16" s="7" t="s">
        <v>14</v>
      </c>
      <c r="C16" s="7" t="s">
        <v>119</v>
      </c>
      <c r="D16" s="7" t="s">
        <v>725</v>
      </c>
      <c r="E16" s="7" t="s">
        <v>726</v>
      </c>
      <c r="F16" s="7" t="s">
        <v>727</v>
      </c>
      <c r="G16" s="7" t="s">
        <v>728</v>
      </c>
      <c r="H16" s="13" t="n">
        <v>0</v>
      </c>
      <c r="I16" s="7" t="s">
        <v>683</v>
      </c>
      <c r="J16" s="3"/>
      <c r="K16" s="3"/>
      <c r="L16" s="3"/>
      <c r="M16" s="3"/>
      <c r="N16" s="3"/>
    </row>
    <row r="17" customFormat="false" ht="15" hidden="false" customHeight="false" outlineLevel="0" collapsed="false">
      <c r="A17" s="7" t="s">
        <v>729</v>
      </c>
      <c r="B17" s="7" t="s">
        <v>14</v>
      </c>
      <c r="C17" s="7" t="s">
        <v>119</v>
      </c>
      <c r="D17" s="7" t="s">
        <v>730</v>
      </c>
      <c r="E17" s="7" t="s">
        <v>731</v>
      </c>
      <c r="F17" s="7" t="s">
        <v>732</v>
      </c>
      <c r="G17" s="7" t="s">
        <v>733</v>
      </c>
      <c r="H17" s="13" t="n">
        <v>0</v>
      </c>
      <c r="I17" s="7" t="s">
        <v>683</v>
      </c>
      <c r="J17" s="3"/>
      <c r="K17" s="3"/>
      <c r="L17" s="3"/>
      <c r="M17" s="3"/>
      <c r="N17" s="3"/>
    </row>
    <row r="18" customFormat="false" ht="15" hidden="false" customHeight="false" outlineLevel="0" collapsed="false">
      <c r="A18" s="7" t="s">
        <v>734</v>
      </c>
      <c r="B18" s="7" t="s">
        <v>14</v>
      </c>
      <c r="C18" s="7" t="s">
        <v>119</v>
      </c>
      <c r="D18" s="7" t="s">
        <v>735</v>
      </c>
      <c r="E18" s="7" t="s">
        <v>736</v>
      </c>
      <c r="F18" s="7" t="s">
        <v>737</v>
      </c>
      <c r="G18" s="7" t="s">
        <v>738</v>
      </c>
      <c r="H18" s="13" t="n">
        <v>0</v>
      </c>
      <c r="I18" s="7" t="s">
        <v>683</v>
      </c>
      <c r="J18" s="3"/>
      <c r="K18" s="3"/>
      <c r="L18" s="3"/>
      <c r="M18" s="3"/>
      <c r="N18" s="3"/>
    </row>
    <row r="19" customFormat="false" ht="15" hidden="false" customHeight="false" outlineLevel="0" collapsed="false">
      <c r="A19" s="7" t="s">
        <v>739</v>
      </c>
      <c r="B19" s="7" t="s">
        <v>17</v>
      </c>
      <c r="C19" s="7" t="s">
        <v>126</v>
      </c>
      <c r="D19" s="7" t="s">
        <v>740</v>
      </c>
      <c r="E19" s="7" t="s">
        <v>741</v>
      </c>
      <c r="F19" s="7" t="s">
        <v>742</v>
      </c>
      <c r="G19" s="7" t="s">
        <v>743</v>
      </c>
      <c r="H19" s="13" t="n">
        <v>0</v>
      </c>
      <c r="I19" s="7" t="s">
        <v>683</v>
      </c>
      <c r="J19" s="3"/>
      <c r="K19" s="3"/>
      <c r="L19" s="3"/>
      <c r="M19" s="3"/>
      <c r="N19" s="3"/>
    </row>
    <row r="20" customFormat="false" ht="15" hidden="false" customHeight="false" outlineLevel="0" collapsed="false">
      <c r="A20" s="7" t="s">
        <v>744</v>
      </c>
      <c r="B20" s="7" t="s">
        <v>17</v>
      </c>
      <c r="C20" s="7" t="s">
        <v>126</v>
      </c>
      <c r="D20" s="7" t="s">
        <v>745</v>
      </c>
      <c r="E20" s="7" t="s">
        <v>746</v>
      </c>
      <c r="F20" s="7" t="s">
        <v>747</v>
      </c>
      <c r="G20" s="7" t="s">
        <v>748</v>
      </c>
      <c r="H20" s="13" t="n">
        <v>0</v>
      </c>
      <c r="I20" s="7" t="s">
        <v>683</v>
      </c>
      <c r="J20" s="3"/>
      <c r="K20" s="3"/>
      <c r="L20" s="3"/>
      <c r="M20" s="3"/>
      <c r="N20" s="3"/>
    </row>
    <row r="21" customFormat="false" ht="15" hidden="false" customHeight="false" outlineLevel="0" collapsed="false">
      <c r="A21" s="7" t="s">
        <v>749</v>
      </c>
      <c r="B21" s="7" t="s">
        <v>17</v>
      </c>
      <c r="C21" s="7" t="s">
        <v>126</v>
      </c>
      <c r="D21" s="7" t="s">
        <v>750</v>
      </c>
      <c r="E21" s="7" t="s">
        <v>751</v>
      </c>
      <c r="F21" s="7" t="s">
        <v>752</v>
      </c>
      <c r="G21" s="7" t="s">
        <v>753</v>
      </c>
      <c r="H21" s="13" t="n">
        <v>0</v>
      </c>
      <c r="I21" s="7" t="s">
        <v>683</v>
      </c>
      <c r="J21" s="3"/>
      <c r="K21" s="3"/>
      <c r="L21" s="3"/>
      <c r="M21" s="3"/>
      <c r="N21" s="3"/>
    </row>
    <row r="22" customFormat="false" ht="15" hidden="false" customHeight="false" outlineLevel="0" collapsed="false">
      <c r="A22" s="7" t="s">
        <v>754</v>
      </c>
      <c r="B22" s="7" t="s">
        <v>20</v>
      </c>
      <c r="C22" s="7" t="s">
        <v>133</v>
      </c>
      <c r="D22" s="7" t="s">
        <v>755</v>
      </c>
      <c r="E22" s="7" t="s">
        <v>756</v>
      </c>
      <c r="F22" s="7" t="s">
        <v>757</v>
      </c>
      <c r="G22" s="7" t="s">
        <v>758</v>
      </c>
      <c r="H22" s="13" t="n">
        <v>0</v>
      </c>
      <c r="I22" s="7" t="s">
        <v>683</v>
      </c>
      <c r="J22" s="3"/>
      <c r="K22" s="3"/>
      <c r="L22" s="3"/>
      <c r="M22" s="3"/>
      <c r="N22" s="3"/>
    </row>
    <row r="23" customFormat="false" ht="15" hidden="false" customHeight="false" outlineLevel="0" collapsed="false">
      <c r="A23" s="7" t="s">
        <v>759</v>
      </c>
      <c r="B23" s="7" t="s">
        <v>20</v>
      </c>
      <c r="C23" s="7" t="s">
        <v>133</v>
      </c>
      <c r="D23" s="7" t="s">
        <v>760</v>
      </c>
      <c r="E23" s="7" t="s">
        <v>761</v>
      </c>
      <c r="F23" s="7" t="s">
        <v>762</v>
      </c>
      <c r="G23" s="7" t="s">
        <v>763</v>
      </c>
      <c r="H23" s="13" t="n">
        <v>0</v>
      </c>
      <c r="I23" s="7" t="s">
        <v>683</v>
      </c>
      <c r="J23" s="3"/>
      <c r="K23" s="3"/>
      <c r="L23" s="3"/>
      <c r="M23" s="3"/>
      <c r="N23" s="3"/>
    </row>
    <row r="24" customFormat="false" ht="15" hidden="false" customHeight="false" outlineLevel="0" collapsed="false">
      <c r="A24" s="7" t="s">
        <v>764</v>
      </c>
      <c r="B24" s="7" t="s">
        <v>20</v>
      </c>
      <c r="C24" s="7" t="s">
        <v>133</v>
      </c>
      <c r="D24" s="7" t="s">
        <v>540</v>
      </c>
      <c r="E24" s="7" t="s">
        <v>765</v>
      </c>
      <c r="F24" s="7" t="s">
        <v>766</v>
      </c>
      <c r="G24" s="7" t="s">
        <v>767</v>
      </c>
      <c r="H24" s="13" t="n">
        <v>0</v>
      </c>
      <c r="I24" s="7" t="s">
        <v>683</v>
      </c>
      <c r="J24" s="3"/>
      <c r="K24" s="3"/>
      <c r="L24" s="3"/>
      <c r="M24" s="3"/>
      <c r="N24" s="3"/>
    </row>
  </sheetData>
  <mergeCells count="2">
    <mergeCell ref="A2:N2"/>
    <mergeCell ref="A4:N4"/>
  </mergeCells>
  <conditionalFormatting sqref="I7:I24">
    <cfRule type="containsText" priority="2" operator="containsText" aboveAverage="0" equalAverage="0" bottom="0" percent="0" rank="0" text="FAIL" dxfId="28">
      <formula>NOT(ISERROR(SEARCH("FAIL",I7)))</formula>
    </cfRule>
    <cfRule type="containsText" priority="3" operator="containsText" aboveAverage="0" equalAverage="0" bottom="0" percent="0" rank="0" text="OPEN" dxfId="29">
      <formula>NOT(ISERROR(SEARCH("OPEN",I7)))</formula>
    </cfRule>
    <cfRule type="containsText" priority="4" operator="containsText" aboveAverage="0" equalAverage="0" bottom="0" percent="0" rank="0" text="UNMEASURED" dxfId="30">
      <formula>NOT(ISERROR(SEARCH("UNMEASURED",I7)))</formula>
    </cfRule>
    <cfRule type="containsText" priority="5" operator="containsText" aboveAverage="0" equalAverage="0" bottom="0" percent="0" rank="0" text="SELECT" dxfId="31">
      <formula>NOT(ISERROR(SEARCH("SELECT",I7)))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17"/>
    <col collapsed="false" customWidth="true" hidden="false" outlineLevel="0" max="8" min="8" style="1" width="15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768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769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30" hidden="false" customHeight="true" outlineLevel="0" collapsed="false">
      <c r="A6" s="9" t="s">
        <v>3</v>
      </c>
      <c r="B6" s="9" t="s">
        <v>434</v>
      </c>
      <c r="C6" s="9" t="s">
        <v>770</v>
      </c>
      <c r="D6" s="9" t="s">
        <v>771</v>
      </c>
      <c r="E6" s="9" t="s">
        <v>772</v>
      </c>
      <c r="F6" s="9" t="s">
        <v>773</v>
      </c>
      <c r="G6" s="9" t="s">
        <v>774</v>
      </c>
      <c r="H6" s="9" t="s">
        <v>775</v>
      </c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A7" s="7" t="s">
        <v>5</v>
      </c>
      <c r="B7" s="17" t="n">
        <f aca="false">'Baseline Register'!M7</f>
        <v>25.0237309040925</v>
      </c>
      <c r="C7" s="17" t="n">
        <f aca="false">B7*20%</f>
        <v>5.0047461808185</v>
      </c>
      <c r="D7" s="17" t="n">
        <f aca="false">B7*25%</f>
        <v>6.25593272602313</v>
      </c>
      <c r="E7" s="17" t="n">
        <f aca="false">B7*15%</f>
        <v>3.75355963561388</v>
      </c>
      <c r="F7" s="17" t="n">
        <f aca="false">B7*25%</f>
        <v>6.25593272602313</v>
      </c>
      <c r="G7" s="17" t="n">
        <f aca="false">B7*15%</f>
        <v>3.75355963561388</v>
      </c>
      <c r="H7" s="18" t="n">
        <v>0</v>
      </c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7" t="s">
        <v>8</v>
      </c>
      <c r="B8" s="17" t="n">
        <f aca="false">'Baseline Register'!M8</f>
        <v>25.824674088698</v>
      </c>
      <c r="C8" s="17" t="n">
        <f aca="false">B8*20%</f>
        <v>5.1649348177396</v>
      </c>
      <c r="D8" s="17" t="n">
        <f aca="false">B8*25%</f>
        <v>6.4561685221745</v>
      </c>
      <c r="E8" s="17" t="n">
        <f aca="false">B8*15%</f>
        <v>3.8737011133047</v>
      </c>
      <c r="F8" s="17" t="n">
        <f aca="false">B8*25%</f>
        <v>6.4561685221745</v>
      </c>
      <c r="G8" s="17" t="n">
        <f aca="false">B8*15%</f>
        <v>3.8737011133047</v>
      </c>
      <c r="H8" s="18" t="n">
        <v>0</v>
      </c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A9" s="7" t="s">
        <v>11</v>
      </c>
      <c r="B9" s="17" t="n">
        <f aca="false">'Baseline Register'!M9</f>
        <v>15.3610827033567</v>
      </c>
      <c r="C9" s="17" t="n">
        <f aca="false">B9*20%</f>
        <v>3.07221654067133</v>
      </c>
      <c r="D9" s="17" t="n">
        <f aca="false">B9*25%</f>
        <v>3.84027067583916</v>
      </c>
      <c r="E9" s="17" t="n">
        <f aca="false">B9*15%</f>
        <v>2.3041624055035</v>
      </c>
      <c r="F9" s="17" t="n">
        <f aca="false">B9*25%</f>
        <v>3.84027067583916</v>
      </c>
      <c r="G9" s="17" t="n">
        <f aca="false">B9*15%</f>
        <v>2.3041624055035</v>
      </c>
      <c r="H9" s="18" t="n">
        <v>0</v>
      </c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A10" s="7" t="s">
        <v>14</v>
      </c>
      <c r="B10" s="17" t="n">
        <f aca="false">'Baseline Register'!M10</f>
        <v>44.9706409660283</v>
      </c>
      <c r="C10" s="17" t="n">
        <f aca="false">B10*20%</f>
        <v>8.99412819320567</v>
      </c>
      <c r="D10" s="17" t="n">
        <f aca="false">B10*25%</f>
        <v>11.2426602415071</v>
      </c>
      <c r="E10" s="17" t="n">
        <f aca="false">B10*15%</f>
        <v>6.74559614490425</v>
      </c>
      <c r="F10" s="17" t="n">
        <f aca="false">B10*25%</f>
        <v>11.2426602415071</v>
      </c>
      <c r="G10" s="17" t="n">
        <f aca="false">B10*15%</f>
        <v>6.74559614490425</v>
      </c>
      <c r="H10" s="18" t="n">
        <v>0</v>
      </c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A11" s="7" t="s">
        <v>17</v>
      </c>
      <c r="B11" s="17" t="n">
        <f aca="false">'Baseline Register'!M11</f>
        <v>43.0356226470548</v>
      </c>
      <c r="C11" s="17" t="n">
        <f aca="false">B11*20%</f>
        <v>8.60712452941096</v>
      </c>
      <c r="D11" s="17" t="n">
        <f aca="false">B11*25%</f>
        <v>10.7589056617637</v>
      </c>
      <c r="E11" s="17" t="n">
        <f aca="false">B11*15%</f>
        <v>6.45534339705822</v>
      </c>
      <c r="F11" s="17" t="n">
        <f aca="false">B11*25%</f>
        <v>10.7589056617637</v>
      </c>
      <c r="G11" s="17" t="n">
        <f aca="false">B11*15%</f>
        <v>6.45534339705822</v>
      </c>
      <c r="H11" s="18" t="n">
        <v>0</v>
      </c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7" t="s">
        <v>20</v>
      </c>
      <c r="B12" s="17" t="n">
        <f aca="false">'Baseline Register'!M12</f>
        <v>25.1298896567982</v>
      </c>
      <c r="C12" s="17" t="n">
        <f aca="false">B12*20%</f>
        <v>5.02597793135963</v>
      </c>
      <c r="D12" s="17" t="n">
        <f aca="false">B12*25%</f>
        <v>6.28247241419954</v>
      </c>
      <c r="E12" s="17" t="n">
        <f aca="false">B12*15%</f>
        <v>3.76948344851972</v>
      </c>
      <c r="F12" s="17" t="n">
        <f aca="false">B12*25%</f>
        <v>6.28247241419954</v>
      </c>
      <c r="G12" s="17" t="n">
        <f aca="false">B12*15%</f>
        <v>3.76948344851972</v>
      </c>
      <c r="H12" s="18" t="n">
        <v>0</v>
      </c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7" t="s">
        <v>776</v>
      </c>
      <c r="B13" s="17" t="n">
        <f aca="false">SUM(B7:B12)</f>
        <v>179.345640966028</v>
      </c>
      <c r="C13" s="17" t="n">
        <f aca="false">SUM(C7:C12)</f>
        <v>35.8691281932057</v>
      </c>
      <c r="D13" s="17" t="n">
        <f aca="false">SUM(D7:D12)</f>
        <v>44.8364102415071</v>
      </c>
      <c r="E13" s="17" t="n">
        <f aca="false">SUM(E7:E12)</f>
        <v>26.9018461449043</v>
      </c>
      <c r="F13" s="17" t="n">
        <f aca="false">SUM(F7:F12)</f>
        <v>44.8364102415071</v>
      </c>
      <c r="G13" s="17" t="n">
        <f aca="false">SUM(G7:G12)</f>
        <v>26.9018461449043</v>
      </c>
      <c r="H13" s="18" t="n">
        <f aca="false">SUM(H7:H12)</f>
        <v>0</v>
      </c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5" t="s">
        <v>777</v>
      </c>
      <c r="B16" s="5" t="s">
        <v>777</v>
      </c>
      <c r="C16" s="5" t="s">
        <v>777</v>
      </c>
      <c r="D16" s="5" t="s">
        <v>777</v>
      </c>
      <c r="E16" s="5" t="s">
        <v>777</v>
      </c>
      <c r="F16" s="5" t="s">
        <v>777</v>
      </c>
      <c r="G16" s="5" t="s">
        <v>777</v>
      </c>
      <c r="H16" s="5" t="s">
        <v>777</v>
      </c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30" hidden="false" customHeight="true" outlineLevel="0" collapsed="false">
      <c r="A18" s="9" t="s">
        <v>778</v>
      </c>
      <c r="B18" s="9" t="s">
        <v>779</v>
      </c>
      <c r="C18" s="9" t="s">
        <v>780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7" t="s">
        <v>781</v>
      </c>
      <c r="B19" s="17" t="n">
        <f aca="false">Inputs!B19</f>
        <v>179.345640966028</v>
      </c>
      <c r="C19" s="7" t="s">
        <v>782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A20" s="7" t="s">
        <v>783</v>
      </c>
      <c r="B20" s="17" t="n">
        <f aca="false">Inputs!B20</f>
        <v>358.691281932057</v>
      </c>
      <c r="C20" s="7" t="s">
        <v>784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A21" s="7" t="s">
        <v>785</v>
      </c>
      <c r="B21" s="17" t="n">
        <f aca="false">Inputs!B21</f>
        <v>538.036922898085</v>
      </c>
      <c r="C21" s="7" t="s">
        <v>786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A22" s="7" t="s">
        <v>787</v>
      </c>
      <c r="B22" s="17" t="n">
        <f aca="false">Inputs!B22</f>
        <v>540</v>
      </c>
      <c r="C22" s="7" t="s">
        <v>788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A23" s="7" t="s">
        <v>789</v>
      </c>
      <c r="B23" s="17" t="n">
        <f aca="false">Inputs!B23</f>
        <v>41.254333</v>
      </c>
      <c r="C23" s="7" t="s">
        <v>790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7" t="s">
        <v>791</v>
      </c>
      <c r="B24" s="18" t="n">
        <v>0</v>
      </c>
      <c r="C24" s="7" t="s">
        <v>792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</sheetData>
  <mergeCells count="3">
    <mergeCell ref="A2:N2"/>
    <mergeCell ref="A4:N4"/>
    <mergeCell ref="A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2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793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794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A6" s="5" t="s">
        <v>795</v>
      </c>
      <c r="B6" s="5" t="s">
        <v>795</v>
      </c>
      <c r="C6" s="5" t="s">
        <v>795</v>
      </c>
      <c r="D6" s="5" t="s">
        <v>795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A7" s="7" t="s">
        <v>796</v>
      </c>
      <c r="B7" s="19" t="n">
        <v>6</v>
      </c>
      <c r="C7" s="7" t="s">
        <v>797</v>
      </c>
      <c r="D7" s="7" t="s">
        <v>798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7" t="s">
        <v>799</v>
      </c>
      <c r="B8" s="19" t="n">
        <v>6</v>
      </c>
      <c r="C8" s="7" t="s">
        <v>797</v>
      </c>
      <c r="D8" s="7" t="s">
        <v>800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A9" s="7" t="s">
        <v>801</v>
      </c>
      <c r="B9" s="19" t="n">
        <v>9</v>
      </c>
      <c r="C9" s="7" t="s">
        <v>797</v>
      </c>
      <c r="D9" s="7" t="s">
        <v>798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A10" s="7" t="s">
        <v>802</v>
      </c>
      <c r="B10" s="19" t="n">
        <v>4</v>
      </c>
      <c r="C10" s="7" t="s">
        <v>797</v>
      </c>
      <c r="D10" s="7" t="s">
        <v>798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A11" s="7" t="s">
        <v>803</v>
      </c>
      <c r="B11" s="19" t="n">
        <v>30</v>
      </c>
      <c r="C11" s="7" t="s">
        <v>797</v>
      </c>
      <c r="D11" s="7" t="s">
        <v>804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7" t="s">
        <v>805</v>
      </c>
      <c r="B12" s="19" t="n">
        <v>12</v>
      </c>
      <c r="C12" s="7" t="s">
        <v>797</v>
      </c>
      <c r="D12" s="7" t="s">
        <v>73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7" t="s">
        <v>806</v>
      </c>
      <c r="B13" s="19" t="n">
        <v>72</v>
      </c>
      <c r="C13" s="7" t="s">
        <v>797</v>
      </c>
      <c r="D13" s="7" t="s">
        <v>807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A14" s="7" t="s">
        <v>808</v>
      </c>
      <c r="B14" s="19" t="n">
        <v>18</v>
      </c>
      <c r="C14" s="7" t="s">
        <v>797</v>
      </c>
      <c r="D14" s="7" t="s">
        <v>809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7" t="s">
        <v>810</v>
      </c>
      <c r="B15" s="19" t="n">
        <v>24</v>
      </c>
      <c r="C15" s="7" t="s">
        <v>797</v>
      </c>
      <c r="D15" s="7" t="s">
        <v>73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7" t="s">
        <v>811</v>
      </c>
      <c r="B16" s="20" t="n">
        <v>0.025</v>
      </c>
      <c r="C16" s="7" t="s">
        <v>812</v>
      </c>
      <c r="D16" s="7" t="s">
        <v>813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A17" s="7" t="s">
        <v>814</v>
      </c>
      <c r="B17" s="21" t="n">
        <v>1</v>
      </c>
      <c r="C17" s="7" t="s">
        <v>815</v>
      </c>
      <c r="D17" s="7" t="s">
        <v>816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A18" s="7" t="s">
        <v>817</v>
      </c>
      <c r="B18" s="19" t="n">
        <v>168</v>
      </c>
      <c r="C18" s="7" t="s">
        <v>277</v>
      </c>
      <c r="D18" s="7" t="s">
        <v>161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7" t="s">
        <v>781</v>
      </c>
      <c r="B19" s="22" t="n">
        <v>179.345640966028</v>
      </c>
      <c r="C19" s="7" t="s">
        <v>437</v>
      </c>
      <c r="D19" s="7" t="s">
        <v>804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A20" s="7" t="s">
        <v>783</v>
      </c>
      <c r="B20" s="22" t="n">
        <v>358.691281932057</v>
      </c>
      <c r="C20" s="7" t="s">
        <v>437</v>
      </c>
      <c r="D20" s="7" t="s">
        <v>804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A21" s="7" t="s">
        <v>785</v>
      </c>
      <c r="B21" s="22" t="n">
        <v>538.036922898085</v>
      </c>
      <c r="C21" s="7" t="s">
        <v>437</v>
      </c>
      <c r="D21" s="7" t="s">
        <v>818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A22" s="7" t="s">
        <v>787</v>
      </c>
      <c r="B22" s="22" t="n">
        <v>540</v>
      </c>
      <c r="C22" s="7" t="s">
        <v>437</v>
      </c>
      <c r="D22" s="7" t="s">
        <v>819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A23" s="7" t="s">
        <v>789</v>
      </c>
      <c r="B23" s="22" t="n">
        <v>41.254333</v>
      </c>
      <c r="C23" s="7" t="s">
        <v>437</v>
      </c>
      <c r="D23" s="7" t="s">
        <v>820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7" t="s">
        <v>821</v>
      </c>
      <c r="B24" s="19" t="n">
        <v>1E-006</v>
      </c>
      <c r="C24" s="7" t="s">
        <v>815</v>
      </c>
      <c r="D24" s="7" t="s">
        <v>822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A27" s="5" t="s">
        <v>823</v>
      </c>
      <c r="B27" s="5" t="s">
        <v>823</v>
      </c>
      <c r="C27" s="5" t="s">
        <v>823</v>
      </c>
      <c r="D27" s="5" t="s">
        <v>823</v>
      </c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Format="false" ht="15" hidden="false" customHeight="false" outlineLevel="0" collapsed="false">
      <c r="A29" s="7" t="s">
        <v>824</v>
      </c>
      <c r="B29" s="19" t="n">
        <v>0</v>
      </c>
      <c r="C29" s="7" t="s">
        <v>797</v>
      </c>
      <c r="D29" s="7" t="s">
        <v>825</v>
      </c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A30" s="7" t="s">
        <v>826</v>
      </c>
      <c r="B30" s="19" t="n">
        <v>0</v>
      </c>
      <c r="C30" s="7" t="s">
        <v>797</v>
      </c>
      <c r="D30" s="7" t="s">
        <v>827</v>
      </c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15" hidden="false" customHeight="false" outlineLevel="0" collapsed="false">
      <c r="A31" s="7" t="s">
        <v>828</v>
      </c>
      <c r="B31" s="19" t="n">
        <v>0</v>
      </c>
      <c r="C31" s="7" t="s">
        <v>797</v>
      </c>
      <c r="D31" s="7" t="s">
        <v>827</v>
      </c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A32" s="7" t="s">
        <v>829</v>
      </c>
      <c r="B32" s="19" t="n">
        <v>0</v>
      </c>
      <c r="C32" s="7" t="s">
        <v>797</v>
      </c>
      <c r="D32" s="7" t="s">
        <v>827</v>
      </c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Format="false" ht="15" hidden="false" customHeight="false" outlineLevel="0" collapsed="false">
      <c r="A33" s="7" t="s">
        <v>830</v>
      </c>
      <c r="B33" s="19" t="n">
        <v>0</v>
      </c>
      <c r="C33" s="7" t="s">
        <v>797</v>
      </c>
      <c r="D33" s="7" t="s">
        <v>827</v>
      </c>
      <c r="E33" s="3"/>
      <c r="F33" s="3"/>
      <c r="G33" s="3"/>
      <c r="H33" s="3"/>
      <c r="I33" s="3"/>
      <c r="J33" s="3"/>
      <c r="K33" s="3"/>
      <c r="L33" s="3"/>
      <c r="M33" s="3"/>
      <c r="N33" s="3"/>
    </row>
    <row r="34" customFormat="false" ht="15" hidden="false" customHeight="false" outlineLevel="0" collapsed="false">
      <c r="A34" s="7" t="s">
        <v>831</v>
      </c>
      <c r="B34" s="19" t="n">
        <v>0</v>
      </c>
      <c r="C34" s="7" t="s">
        <v>797</v>
      </c>
      <c r="D34" s="7" t="s">
        <v>827</v>
      </c>
      <c r="E34" s="3"/>
      <c r="F34" s="3"/>
      <c r="G34" s="3"/>
      <c r="H34" s="3"/>
      <c r="I34" s="3"/>
      <c r="J34" s="3"/>
      <c r="K34" s="3"/>
      <c r="L34" s="3"/>
      <c r="M34" s="3"/>
      <c r="N34" s="3"/>
    </row>
    <row r="35" customFormat="false" ht="15" hidden="false" customHeight="false" outlineLevel="0" collapsed="false">
      <c r="A35" s="7" t="s">
        <v>832</v>
      </c>
      <c r="B35" s="19" t="n">
        <v>0</v>
      </c>
      <c r="C35" s="7" t="s">
        <v>797</v>
      </c>
      <c r="D35" s="7" t="s">
        <v>827</v>
      </c>
      <c r="E35" s="3"/>
      <c r="F35" s="3"/>
      <c r="G35" s="3"/>
      <c r="H35" s="3"/>
      <c r="I35" s="3"/>
      <c r="J35" s="3"/>
      <c r="K35" s="3"/>
      <c r="L35" s="3"/>
      <c r="M35" s="3"/>
      <c r="N35" s="3"/>
    </row>
    <row r="36" customFormat="false" ht="15" hidden="false" customHeight="false" outlineLevel="0" collapsed="false">
      <c r="A36" s="7" t="s">
        <v>833</v>
      </c>
      <c r="B36" s="19" t="n">
        <v>0</v>
      </c>
      <c r="C36" s="7" t="s">
        <v>797</v>
      </c>
      <c r="D36" s="7" t="s">
        <v>827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customFormat="false" ht="15" hidden="false" customHeight="false" outlineLevel="0" collapsed="false">
      <c r="A37" s="7" t="s">
        <v>834</v>
      </c>
      <c r="B37" s="19" t="n">
        <v>0</v>
      </c>
      <c r="C37" s="7" t="s">
        <v>797</v>
      </c>
      <c r="D37" s="7" t="s">
        <v>827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customFormat="false" ht="15" hidden="false" customHeight="false" outlineLevel="0" collapsed="false">
      <c r="A38" s="7" t="s">
        <v>835</v>
      </c>
      <c r="B38" s="19" t="n">
        <v>0</v>
      </c>
      <c r="C38" s="7" t="s">
        <v>797</v>
      </c>
      <c r="D38" s="7" t="s">
        <v>827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customFormat="false" ht="15" hidden="false" customHeight="false" outlineLevel="0" collapsed="false">
      <c r="A39" s="7" t="s">
        <v>836</v>
      </c>
      <c r="B39" s="19" t="n">
        <v>0</v>
      </c>
      <c r="C39" s="7" t="s">
        <v>797</v>
      </c>
      <c r="D39" s="7" t="s">
        <v>827</v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mergeCells count="4">
    <mergeCell ref="A2:N2"/>
    <mergeCell ref="A4:N4"/>
    <mergeCell ref="A6:D6"/>
    <mergeCell ref="A27:D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4" min="3" style="1" width="17"/>
    <col collapsed="false" customWidth="true" hidden="false" outlineLevel="0" max="5" min="5" style="1" width="14"/>
    <col collapsed="false" customWidth="true" hidden="false" outlineLevel="0" max="7" min="6" style="1" width="11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837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838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30" hidden="false" customHeight="true" outlineLevel="0" collapsed="false">
      <c r="A6" s="9" t="s">
        <v>839</v>
      </c>
      <c r="B6" s="9" t="s">
        <v>840</v>
      </c>
      <c r="C6" s="9" t="s">
        <v>841</v>
      </c>
      <c r="D6" s="9" t="s">
        <v>842</v>
      </c>
      <c r="E6" s="9" t="s">
        <v>843</v>
      </c>
      <c r="F6" s="9" t="s">
        <v>844</v>
      </c>
      <c r="G6" s="9" t="s">
        <v>845</v>
      </c>
      <c r="H6" s="3"/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A7" s="7" t="s">
        <v>846</v>
      </c>
      <c r="B7" s="7" t="s">
        <v>847</v>
      </c>
      <c r="C7" s="7" t="n">
        <v>6</v>
      </c>
      <c r="D7" s="7" t="n">
        <v>5</v>
      </c>
      <c r="E7" s="7" t="s">
        <v>848</v>
      </c>
      <c r="F7" s="11" t="s">
        <v>849</v>
      </c>
      <c r="G7" s="11" t="s">
        <v>849</v>
      </c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7" t="s">
        <v>850</v>
      </c>
      <c r="B8" s="7" t="s">
        <v>851</v>
      </c>
      <c r="C8" s="7" t="n">
        <v>6</v>
      </c>
      <c r="D8" s="7" t="n">
        <v>5</v>
      </c>
      <c r="E8" s="7" t="s">
        <v>852</v>
      </c>
      <c r="F8" s="11" t="s">
        <v>849</v>
      </c>
      <c r="G8" s="11" t="s">
        <v>849</v>
      </c>
      <c r="H8" s="3"/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A9" s="7" t="s">
        <v>853</v>
      </c>
      <c r="B9" s="7" t="s">
        <v>854</v>
      </c>
      <c r="C9" s="7" t="n">
        <v>9</v>
      </c>
      <c r="D9" s="7" t="n">
        <v>8</v>
      </c>
      <c r="E9" s="7" t="s">
        <v>855</v>
      </c>
      <c r="F9" s="11" t="s">
        <v>849</v>
      </c>
      <c r="G9" s="11" t="s">
        <v>849</v>
      </c>
      <c r="H9" s="3"/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A10" s="7" t="s">
        <v>856</v>
      </c>
      <c r="B10" s="7" t="s">
        <v>857</v>
      </c>
      <c r="C10" s="7" t="n">
        <v>4</v>
      </c>
      <c r="D10" s="7" t="n">
        <v>3</v>
      </c>
      <c r="E10" s="7" t="s">
        <v>858</v>
      </c>
      <c r="F10" s="11" t="s">
        <v>849</v>
      </c>
      <c r="G10" s="11" t="s">
        <v>849</v>
      </c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A11" s="7" t="s">
        <v>859</v>
      </c>
      <c r="B11" s="7" t="s">
        <v>860</v>
      </c>
      <c r="C11" s="7" t="n">
        <v>30</v>
      </c>
      <c r="D11" s="7" t="n">
        <v>29</v>
      </c>
      <c r="E11" s="7" t="s">
        <v>861</v>
      </c>
      <c r="F11" s="11" t="s">
        <v>849</v>
      </c>
      <c r="G11" s="11" t="s">
        <v>849</v>
      </c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7" t="s">
        <v>862</v>
      </c>
      <c r="B12" s="7" t="s">
        <v>863</v>
      </c>
      <c r="C12" s="7" t="n">
        <v>12</v>
      </c>
      <c r="D12" s="7" t="n">
        <v>11</v>
      </c>
      <c r="E12" s="7" t="s">
        <v>864</v>
      </c>
      <c r="F12" s="11" t="s">
        <v>849</v>
      </c>
      <c r="G12" s="11" t="s">
        <v>849</v>
      </c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7" t="s">
        <v>865</v>
      </c>
      <c r="B13" s="7" t="s">
        <v>866</v>
      </c>
      <c r="C13" s="7" t="n">
        <v>72</v>
      </c>
      <c r="D13" s="7" t="n">
        <v>71</v>
      </c>
      <c r="E13" s="7" t="s">
        <v>867</v>
      </c>
      <c r="F13" s="11" t="s">
        <v>849</v>
      </c>
      <c r="G13" s="11" t="s">
        <v>849</v>
      </c>
      <c r="H13" s="3"/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A14" s="7" t="s">
        <v>868</v>
      </c>
      <c r="B14" s="7" t="s">
        <v>869</v>
      </c>
      <c r="C14" s="7" t="n">
        <v>18</v>
      </c>
      <c r="D14" s="7" t="n">
        <v>17</v>
      </c>
      <c r="E14" s="7" t="s">
        <v>870</v>
      </c>
      <c r="F14" s="11" t="s">
        <v>849</v>
      </c>
      <c r="G14" s="11" t="s">
        <v>849</v>
      </c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7" t="s">
        <v>871</v>
      </c>
      <c r="B15" s="7" t="s">
        <v>872</v>
      </c>
      <c r="C15" s="7" t="n">
        <v>24</v>
      </c>
      <c r="D15" s="7" t="n">
        <v>23</v>
      </c>
      <c r="E15" s="7" t="s">
        <v>873</v>
      </c>
      <c r="F15" s="11" t="s">
        <v>849</v>
      </c>
      <c r="G15" s="11" t="s">
        <v>849</v>
      </c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7" t="s">
        <v>874</v>
      </c>
      <c r="B16" s="7" t="s">
        <v>875</v>
      </c>
      <c r="C16" s="7" t="n">
        <v>0.025</v>
      </c>
      <c r="D16" s="7" t="n">
        <v>0.05</v>
      </c>
      <c r="E16" s="7" t="s">
        <v>876</v>
      </c>
      <c r="F16" s="11" t="s">
        <v>849</v>
      </c>
      <c r="G16" s="11" t="s">
        <v>849</v>
      </c>
      <c r="H16" s="3"/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A17" s="7" t="s">
        <v>877</v>
      </c>
      <c r="B17" s="7" t="s">
        <v>878</v>
      </c>
      <c r="C17" s="7" t="n">
        <v>1</v>
      </c>
      <c r="D17" s="7" t="n">
        <v>0.95</v>
      </c>
      <c r="E17" s="7" t="s">
        <v>879</v>
      </c>
      <c r="F17" s="11" t="s">
        <v>849</v>
      </c>
      <c r="G17" s="11" t="s">
        <v>849</v>
      </c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A18" s="7" t="s">
        <v>880</v>
      </c>
      <c r="B18" s="7" t="s">
        <v>881</v>
      </c>
      <c r="C18" s="7" t="n">
        <v>168</v>
      </c>
      <c r="D18" s="7" t="n">
        <v>200</v>
      </c>
      <c r="E18" s="7" t="s">
        <v>882</v>
      </c>
      <c r="F18" s="11" t="s">
        <v>849</v>
      </c>
      <c r="G18" s="11" t="s">
        <v>849</v>
      </c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7" t="s">
        <v>883</v>
      </c>
      <c r="B19" s="7" t="s">
        <v>884</v>
      </c>
      <c r="C19" s="7" t="n">
        <v>179.345640966028</v>
      </c>
      <c r="D19" s="7" t="n">
        <v>170</v>
      </c>
      <c r="E19" s="7" t="s">
        <v>885</v>
      </c>
      <c r="F19" s="11" t="s">
        <v>849</v>
      </c>
      <c r="G19" s="11" t="s">
        <v>849</v>
      </c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A20" s="7" t="s">
        <v>886</v>
      </c>
      <c r="B20" s="7" t="s">
        <v>887</v>
      </c>
      <c r="C20" s="7" t="n">
        <v>358.691281932057</v>
      </c>
      <c r="D20" s="7" t="n">
        <v>350</v>
      </c>
      <c r="E20" s="7" t="s">
        <v>888</v>
      </c>
      <c r="F20" s="11" t="s">
        <v>849</v>
      </c>
      <c r="G20" s="11" t="s">
        <v>849</v>
      </c>
      <c r="H20" s="3"/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A21" s="7" t="s">
        <v>889</v>
      </c>
      <c r="B21" s="7" t="s">
        <v>890</v>
      </c>
      <c r="C21" s="7" t="n">
        <v>540</v>
      </c>
      <c r="D21" s="7" t="n">
        <v>500</v>
      </c>
      <c r="E21" s="7" t="s">
        <v>891</v>
      </c>
      <c r="F21" s="11" t="s">
        <v>849</v>
      </c>
      <c r="G21" s="11" t="s">
        <v>849</v>
      </c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A22" s="7" t="s">
        <v>892</v>
      </c>
      <c r="B22" s="7" t="s">
        <v>893</v>
      </c>
      <c r="C22" s="7" t="n">
        <v>41.254333</v>
      </c>
      <c r="D22" s="7" t="n">
        <v>40</v>
      </c>
      <c r="E22" s="7" t="s">
        <v>894</v>
      </c>
      <c r="F22" s="11" t="s">
        <v>849</v>
      </c>
      <c r="G22" s="11" t="s">
        <v>849</v>
      </c>
      <c r="H22" s="3"/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A23" s="7" t="s">
        <v>895</v>
      </c>
      <c r="B23" s="7" t="s">
        <v>896</v>
      </c>
      <c r="C23" s="7" t="n">
        <v>0</v>
      </c>
      <c r="D23" s="7" t="n">
        <v>1</v>
      </c>
      <c r="E23" s="7" t="s">
        <v>897</v>
      </c>
      <c r="F23" s="11" t="s">
        <v>849</v>
      </c>
      <c r="G23" s="11" t="s">
        <v>849</v>
      </c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7" t="s">
        <v>898</v>
      </c>
      <c r="B24" s="7" t="s">
        <v>899</v>
      </c>
      <c r="C24" s="7" t="n">
        <v>0</v>
      </c>
      <c r="D24" s="7" t="n">
        <v>1</v>
      </c>
      <c r="E24" s="7" t="s">
        <v>900</v>
      </c>
      <c r="F24" s="11" t="s">
        <v>849</v>
      </c>
      <c r="G24" s="11" t="s">
        <v>849</v>
      </c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A25" s="7" t="s">
        <v>901</v>
      </c>
      <c r="B25" s="7" t="s">
        <v>902</v>
      </c>
      <c r="C25" s="7" t="n">
        <v>0</v>
      </c>
      <c r="D25" s="7" t="n">
        <v>1</v>
      </c>
      <c r="E25" s="7" t="s">
        <v>903</v>
      </c>
      <c r="F25" s="11" t="s">
        <v>849</v>
      </c>
      <c r="G25" s="11" t="s">
        <v>849</v>
      </c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A26" s="7" t="s">
        <v>904</v>
      </c>
      <c r="B26" s="7" t="s">
        <v>905</v>
      </c>
      <c r="C26" s="7" t="n">
        <v>0</v>
      </c>
      <c r="D26" s="7" t="n">
        <v>1</v>
      </c>
      <c r="E26" s="7" t="s">
        <v>906</v>
      </c>
      <c r="F26" s="11" t="s">
        <v>849</v>
      </c>
      <c r="G26" s="11" t="s">
        <v>849</v>
      </c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A27" s="7" t="s">
        <v>907</v>
      </c>
      <c r="B27" s="7" t="s">
        <v>908</v>
      </c>
      <c r="C27" s="7" t="n">
        <v>0</v>
      </c>
      <c r="D27" s="7" t="n">
        <v>1</v>
      </c>
      <c r="E27" s="7" t="s">
        <v>909</v>
      </c>
      <c r="F27" s="11" t="s">
        <v>849</v>
      </c>
      <c r="G27" s="11" t="s">
        <v>849</v>
      </c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7" t="s">
        <v>910</v>
      </c>
      <c r="B28" s="7" t="s">
        <v>911</v>
      </c>
      <c r="C28" s="7" t="n">
        <v>0</v>
      </c>
      <c r="D28" s="7" t="n">
        <v>1</v>
      </c>
      <c r="E28" s="7" t="s">
        <v>912</v>
      </c>
      <c r="F28" s="11" t="s">
        <v>849</v>
      </c>
      <c r="G28" s="11" t="s">
        <v>849</v>
      </c>
      <c r="H28" s="3"/>
      <c r="I28" s="3"/>
      <c r="J28" s="3"/>
      <c r="K28" s="3"/>
      <c r="L28" s="3"/>
      <c r="M28" s="3"/>
      <c r="N28" s="3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11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913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914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30" hidden="false" customHeight="true" outlineLevel="0" collapsed="false">
      <c r="A6" s="9" t="s">
        <v>915</v>
      </c>
      <c r="B6" s="9" t="s">
        <v>916</v>
      </c>
      <c r="C6" s="9" t="s">
        <v>917</v>
      </c>
      <c r="D6" s="9" t="s">
        <v>918</v>
      </c>
      <c r="E6" s="9" t="s">
        <v>919</v>
      </c>
      <c r="F6" s="3"/>
      <c r="G6" s="3"/>
      <c r="H6" s="3"/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A7" s="7" t="s">
        <v>848</v>
      </c>
      <c r="B7" s="7" t="s">
        <v>920</v>
      </c>
      <c r="C7" s="11" t="n">
        <f aca="false">Inputs!B7</f>
        <v>6</v>
      </c>
      <c r="D7" s="11" t="n">
        <v>6</v>
      </c>
      <c r="E7" s="11" t="str">
        <f aca="false">IF(ABS(C7-D7)&lt;=Inputs!$B$24,"PASS","FAIL")</f>
        <v>PASS</v>
      </c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7" t="s">
        <v>852</v>
      </c>
      <c r="B8" s="7" t="s">
        <v>921</v>
      </c>
      <c r="C8" s="11" t="n">
        <f aca="false">Inputs!B8</f>
        <v>6</v>
      </c>
      <c r="D8" s="11" t="n">
        <v>6</v>
      </c>
      <c r="E8" s="11" t="str">
        <f aca="false">IF(ABS(C8-D8)&lt;=Inputs!$B$24,"PASS","FAIL")</f>
        <v>PASS</v>
      </c>
      <c r="F8" s="3"/>
      <c r="G8" s="3"/>
      <c r="H8" s="3"/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A9" s="7" t="s">
        <v>855</v>
      </c>
      <c r="B9" s="7" t="s">
        <v>922</v>
      </c>
      <c r="C9" s="11" t="n">
        <f aca="false">Inputs!B9</f>
        <v>9</v>
      </c>
      <c r="D9" s="11" t="n">
        <v>9</v>
      </c>
      <c r="E9" s="11" t="str">
        <f aca="false">IF(ABS(C9-D9)&lt;=Inputs!$B$24,"PASS","FAIL")</f>
        <v>PASS</v>
      </c>
      <c r="F9" s="3"/>
      <c r="G9" s="3"/>
      <c r="H9" s="3"/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A10" s="7" t="s">
        <v>858</v>
      </c>
      <c r="B10" s="7" t="s">
        <v>923</v>
      </c>
      <c r="C10" s="11" t="n">
        <f aca="false">Inputs!B10</f>
        <v>4</v>
      </c>
      <c r="D10" s="11" t="n">
        <v>4</v>
      </c>
      <c r="E10" s="11" t="str">
        <f aca="false">IF(ABS(C10-D10)&lt;=Inputs!$B$24,"PASS","FAIL")</f>
        <v>PASS</v>
      </c>
      <c r="F10" s="3"/>
      <c r="G10" s="3"/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A11" s="7" t="s">
        <v>861</v>
      </c>
      <c r="B11" s="7" t="s">
        <v>924</v>
      </c>
      <c r="C11" s="11" t="n">
        <f aca="false">Inputs!B11</f>
        <v>30</v>
      </c>
      <c r="D11" s="11" t="n">
        <v>30</v>
      </c>
      <c r="E11" s="11" t="str">
        <f aca="false">IF(ABS(C11-D11)&lt;=Inputs!$B$24,"PASS","FAIL")</f>
        <v>PASS</v>
      </c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7" t="s">
        <v>864</v>
      </c>
      <c r="B12" s="7" t="s">
        <v>805</v>
      </c>
      <c r="C12" s="11" t="n">
        <f aca="false">Inputs!B12</f>
        <v>12</v>
      </c>
      <c r="D12" s="11" t="n">
        <v>12</v>
      </c>
      <c r="E12" s="11" t="str">
        <f aca="false">IF(ABS(C12-D12)&lt;=Inputs!$B$24,"PASS","FAIL")</f>
        <v>PASS</v>
      </c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7" t="s">
        <v>867</v>
      </c>
      <c r="B13" s="7" t="s">
        <v>925</v>
      </c>
      <c r="C13" s="11" t="n">
        <f aca="false">Inputs!B13</f>
        <v>72</v>
      </c>
      <c r="D13" s="11" t="n">
        <v>72</v>
      </c>
      <c r="E13" s="11" t="str">
        <f aca="false">IF(ABS(C13-D13)&lt;=Inputs!$B$24,"PASS","FAIL")</f>
        <v>PASS</v>
      </c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A14" s="7" t="s">
        <v>870</v>
      </c>
      <c r="B14" s="7" t="s">
        <v>926</v>
      </c>
      <c r="C14" s="11" t="n">
        <f aca="false">Inputs!B14</f>
        <v>18</v>
      </c>
      <c r="D14" s="11" t="n">
        <v>18</v>
      </c>
      <c r="E14" s="11" t="str">
        <f aca="false">IF(ABS(C14-D14)&lt;=Inputs!$B$24,"PASS","FAIL")</f>
        <v>PASS</v>
      </c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7" t="s">
        <v>873</v>
      </c>
      <c r="B15" s="7" t="s">
        <v>927</v>
      </c>
      <c r="C15" s="11" t="n">
        <f aca="false">Inputs!B15</f>
        <v>24</v>
      </c>
      <c r="D15" s="11" t="n">
        <v>24</v>
      </c>
      <c r="E15" s="11" t="str">
        <f aca="false">IF(ABS(C15-D15)&lt;=Inputs!$B$24,"PASS","FAIL")</f>
        <v>PASS</v>
      </c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7" t="s">
        <v>876</v>
      </c>
      <c r="B16" s="7" t="s">
        <v>811</v>
      </c>
      <c r="C16" s="11" t="n">
        <f aca="false">Inputs!B16</f>
        <v>0.025</v>
      </c>
      <c r="D16" s="11" t="n">
        <v>0.025</v>
      </c>
      <c r="E16" s="11" t="str">
        <f aca="false">IF(ABS(C16-D16)&lt;=Inputs!$B$24,"PASS","FAIL")</f>
        <v>PASS</v>
      </c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A17" s="7" t="s">
        <v>879</v>
      </c>
      <c r="B17" s="7" t="s">
        <v>814</v>
      </c>
      <c r="C17" s="11" t="n">
        <f aca="false">Inputs!B17</f>
        <v>1</v>
      </c>
      <c r="D17" s="11" t="n">
        <v>1</v>
      </c>
      <c r="E17" s="11" t="str">
        <f aca="false">IF(ABS(C17-D17)&lt;=Inputs!$B$24,"PASS","FAIL")</f>
        <v>PASS</v>
      </c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A18" s="7" t="s">
        <v>882</v>
      </c>
      <c r="B18" s="7" t="s">
        <v>928</v>
      </c>
      <c r="C18" s="11" t="n">
        <f aca="false">Inputs!B18</f>
        <v>168</v>
      </c>
      <c r="D18" s="11" t="n">
        <v>168</v>
      </c>
      <c r="E18" s="11" t="str">
        <f aca="false">IF(ABS(C18-D18)&lt;=Inputs!$B$24,"PASS","FAIL")</f>
        <v>PASS</v>
      </c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7" t="s">
        <v>885</v>
      </c>
      <c r="B19" s="7" t="s">
        <v>929</v>
      </c>
      <c r="C19" s="11" t="n">
        <f aca="false">Inputs!B19</f>
        <v>179.345640966028</v>
      </c>
      <c r="D19" s="11" t="n">
        <v>179.345640966028</v>
      </c>
      <c r="E19" s="11" t="str">
        <f aca="false">IF(ABS(C19-D19)&lt;=Inputs!$B$24,"PASS","FAIL")</f>
        <v>PASS</v>
      </c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A20" s="7" t="s">
        <v>888</v>
      </c>
      <c r="B20" s="7" t="s">
        <v>930</v>
      </c>
      <c r="C20" s="11" t="n">
        <f aca="false">Inputs!B20</f>
        <v>358.691281932057</v>
      </c>
      <c r="D20" s="11" t="n">
        <v>358.691281932057</v>
      </c>
      <c r="E20" s="11" t="str">
        <f aca="false">IF(ABS(C20-D20)&lt;=Inputs!$B$24,"PASS","FAIL")</f>
        <v>PASS</v>
      </c>
      <c r="F20" s="3"/>
      <c r="G20" s="3"/>
      <c r="H20" s="3"/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A21" s="7" t="s">
        <v>931</v>
      </c>
      <c r="B21" s="7" t="s">
        <v>785</v>
      </c>
      <c r="C21" s="11" t="n">
        <f aca="false">Inputs!B21</f>
        <v>538.036922898085</v>
      </c>
      <c r="D21" s="11" t="n">
        <v>538.036922898085</v>
      </c>
      <c r="E21" s="11" t="str">
        <f aca="false">IF(ABS(C21-D21)&lt;=Inputs!$B$24,"PASS","FAIL")</f>
        <v>PASS</v>
      </c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A22" s="7" t="s">
        <v>891</v>
      </c>
      <c r="B22" s="7" t="s">
        <v>932</v>
      </c>
      <c r="C22" s="11" t="n">
        <f aca="false">Inputs!B22</f>
        <v>540</v>
      </c>
      <c r="D22" s="11" t="n">
        <v>540</v>
      </c>
      <c r="E22" s="11" t="str">
        <f aca="false">IF(ABS(C22-D22)&lt;=Inputs!$B$24,"PASS","FAIL")</f>
        <v>PASS</v>
      </c>
      <c r="F22" s="3"/>
      <c r="G22" s="3"/>
      <c r="H22" s="3"/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A23" s="7" t="s">
        <v>894</v>
      </c>
      <c r="B23" s="7" t="s">
        <v>933</v>
      </c>
      <c r="C23" s="11" t="n">
        <f aca="false">Inputs!B23</f>
        <v>41.254333</v>
      </c>
      <c r="D23" s="11" t="n">
        <v>41.254333</v>
      </c>
      <c r="E23" s="11" t="str">
        <f aca="false">IF(ABS(C23-D23)&lt;=Inputs!$B$24,"PASS","FAIL")</f>
        <v>PASS</v>
      </c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7" t="s">
        <v>934</v>
      </c>
      <c r="B24" s="7" t="s">
        <v>935</v>
      </c>
      <c r="C24" s="11" t="n">
        <f aca="false">COUNTA('Decision Tests'!A7:A11)</f>
        <v>5</v>
      </c>
      <c r="D24" s="11" t="n">
        <v>5</v>
      </c>
      <c r="E24" s="11" t="str">
        <f aca="false">IF(ABS(C24-D24)&lt;=Inputs!$B$24,"PASS","FAIL")</f>
        <v>PASS</v>
      </c>
      <c r="F24" s="3"/>
      <c r="G24" s="3"/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A25" s="7" t="s">
        <v>936</v>
      </c>
      <c r="B25" s="7" t="s">
        <v>937</v>
      </c>
      <c r="C25" s="11" t="n">
        <f aca="false">COUNTIFS('Decision Tests'!N7:N11,"SELECT")</f>
        <v>1</v>
      </c>
      <c r="D25" s="11" t="n">
        <v>1</v>
      </c>
      <c r="E25" s="11" t="str">
        <f aca="false">IF(ABS(C25-D25)&lt;=Inputs!$B$24,"PASS","FAIL")</f>
        <v>PASS</v>
      </c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A26" s="7" t="s">
        <v>938</v>
      </c>
      <c r="B26" s="7" t="s">
        <v>939</v>
      </c>
      <c r="C26" s="11" t="n">
        <f aca="false">SUMIFS('Decision Tests'!M7:M11,'Decision Tests'!N7:N11,"SELECT")</f>
        <v>10</v>
      </c>
      <c r="D26" s="11" t="n">
        <v>10</v>
      </c>
      <c r="E26" s="11" t="str">
        <f aca="false">IF(ABS(C26-D26)&lt;=Inputs!$B$24,"PASS","FAIL")</f>
        <v>PASS</v>
      </c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A27" s="7" t="s">
        <v>940</v>
      </c>
      <c r="B27" s="7" t="s">
        <v>941</v>
      </c>
      <c r="C27" s="11" t="n">
        <f aca="false">COUNTA('Baseline Register'!A7:A12)</f>
        <v>6</v>
      </c>
      <c r="D27" s="11" t="n">
        <v>6</v>
      </c>
      <c r="E27" s="11" t="str">
        <f aca="false">IF(ABS(C27-D27)&lt;=Inputs!$B$24,"PASS","FAIL")</f>
        <v>PASS</v>
      </c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7" t="s">
        <v>942</v>
      </c>
      <c r="B28" s="7" t="s">
        <v>943</v>
      </c>
      <c r="C28" s="11" t="n">
        <f aca="false">COUNTIFS('Baseline Register'!O7:O12,"CONSTITUTED / UNMEASURED")</f>
        <v>6</v>
      </c>
      <c r="D28" s="11" t="n">
        <v>6</v>
      </c>
      <c r="E28" s="11" t="str">
        <f aca="false">IF(ABS(C28-D28)&lt;=Inputs!$B$24,"PASS","FAIL")</f>
        <v>PASS</v>
      </c>
      <c r="F28" s="3"/>
      <c r="G28" s="3"/>
      <c r="H28" s="3"/>
      <c r="I28" s="3"/>
      <c r="J28" s="3"/>
      <c r="K28" s="3"/>
      <c r="L28" s="3"/>
      <c r="M28" s="3"/>
      <c r="N28" s="3"/>
    </row>
    <row r="29" customFormat="false" ht="15" hidden="false" customHeight="false" outlineLevel="0" collapsed="false">
      <c r="A29" s="7" t="s">
        <v>944</v>
      </c>
      <c r="B29" s="7" t="s">
        <v>945</v>
      </c>
      <c r="C29" s="11" t="n">
        <f aca="false">COUNTA('Load Cases'!A7:A30)</f>
        <v>24</v>
      </c>
      <c r="D29" s="11" t="n">
        <v>24</v>
      </c>
      <c r="E29" s="11" t="str">
        <f aca="false">IF(ABS(C29-D29)&lt;=Inputs!$B$24,"PASS","FAIL")</f>
        <v>PASS</v>
      </c>
      <c r="F29" s="3"/>
      <c r="G29" s="3"/>
      <c r="H29" s="3"/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A30" s="7" t="s">
        <v>946</v>
      </c>
      <c r="B30" s="7" t="s">
        <v>947</v>
      </c>
      <c r="C30" s="11" t="n">
        <f aca="false">COUNTIFS('Load Cases'!C7:C30,"NOMINAL")</f>
        <v>6</v>
      </c>
      <c r="D30" s="11" t="n">
        <v>6</v>
      </c>
      <c r="E30" s="11" t="str">
        <f aca="false">IF(ABS(C30-D30)&lt;=Inputs!$B$24,"PASS","FAIL")</f>
        <v>PASS</v>
      </c>
      <c r="F30" s="3"/>
      <c r="G30" s="3"/>
      <c r="H30" s="3"/>
      <c r="I30" s="3"/>
      <c r="J30" s="3"/>
      <c r="K30" s="3"/>
      <c r="L30" s="3"/>
      <c r="M30" s="3"/>
      <c r="N30" s="3"/>
    </row>
    <row r="31" customFormat="false" ht="15" hidden="false" customHeight="false" outlineLevel="0" collapsed="false">
      <c r="A31" s="7" t="s">
        <v>948</v>
      </c>
      <c r="B31" s="7" t="s">
        <v>949</v>
      </c>
      <c r="C31" s="11" t="n">
        <f aca="false">COUNTIFS('Load Cases'!C7:C30,"LARGEST_CELL_LOSS")</f>
        <v>6</v>
      </c>
      <c r="D31" s="11" t="n">
        <v>6</v>
      </c>
      <c r="E31" s="11" t="str">
        <f aca="false">IF(ABS(C31-D31)&lt;=Inputs!$B$24,"PASS","FAIL")</f>
        <v>PASS</v>
      </c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A32" s="7" t="s">
        <v>950</v>
      </c>
      <c r="B32" s="7" t="s">
        <v>951</v>
      </c>
      <c r="C32" s="11" t="n">
        <f aca="false">COUNTIFS('Load Cases'!C7:C30,"FATAL_KEYSTONE")</f>
        <v>6</v>
      </c>
      <c r="D32" s="11" t="n">
        <v>6</v>
      </c>
      <c r="E32" s="11" t="str">
        <f aca="false">IF(ABS(C32-D32)&lt;=Inputs!$B$24,"PASS","FAIL")</f>
        <v>PASS</v>
      </c>
      <c r="F32" s="3"/>
      <c r="G32" s="3"/>
      <c r="H32" s="3"/>
      <c r="I32" s="3"/>
      <c r="J32" s="3"/>
      <c r="K32" s="3"/>
      <c r="L32" s="3"/>
      <c r="M32" s="3"/>
      <c r="N32" s="3"/>
    </row>
    <row r="33" customFormat="false" ht="15" hidden="false" customHeight="false" outlineLevel="0" collapsed="false">
      <c r="A33" s="7" t="s">
        <v>952</v>
      </c>
      <c r="B33" s="7" t="s">
        <v>953</v>
      </c>
      <c r="C33" s="11" t="n">
        <f aca="false">COUNTIFS('Load Cases'!C7:C30,"COLD_REBUILD")</f>
        <v>6</v>
      </c>
      <c r="D33" s="11" t="n">
        <v>6</v>
      </c>
      <c r="E33" s="11" t="str">
        <f aca="false">IF(ABS(C33-D33)&lt;=Inputs!$B$24,"PASS","FAIL")</f>
        <v>PASS</v>
      </c>
      <c r="F33" s="3"/>
      <c r="G33" s="3"/>
      <c r="H33" s="3"/>
      <c r="I33" s="3"/>
      <c r="J33" s="3"/>
      <c r="K33" s="3"/>
      <c r="L33" s="3"/>
      <c r="M33" s="3"/>
      <c r="N33" s="3"/>
    </row>
    <row r="34" customFormat="false" ht="15" hidden="false" customHeight="false" outlineLevel="0" collapsed="false">
      <c r="A34" s="7" t="s">
        <v>954</v>
      </c>
      <c r="B34" s="7" t="s">
        <v>955</v>
      </c>
      <c r="C34" s="11" t="n">
        <f aca="false">SUM('Load Cases'!H7:H30)</f>
        <v>0</v>
      </c>
      <c r="D34" s="11" t="n">
        <v>0</v>
      </c>
      <c r="E34" s="11" t="str">
        <f aca="false">IF(ABS(C34-D34)&lt;=Inputs!$B$24,"PASS","FAIL")</f>
        <v>PASS</v>
      </c>
      <c r="F34" s="3"/>
      <c r="G34" s="3"/>
      <c r="H34" s="3"/>
      <c r="I34" s="3"/>
      <c r="J34" s="3"/>
      <c r="K34" s="3"/>
      <c r="L34" s="3"/>
      <c r="M34" s="3"/>
      <c r="N34" s="3"/>
    </row>
    <row r="35" customFormat="false" ht="15" hidden="false" customHeight="false" outlineLevel="0" collapsed="false">
      <c r="A35" s="7" t="s">
        <v>956</v>
      </c>
      <c r="B35" s="7" t="s">
        <v>957</v>
      </c>
      <c r="C35" s="11" t="n">
        <f aca="false">COUNTA('Account Grammar'!A7:A60)</f>
        <v>54</v>
      </c>
      <c r="D35" s="11" t="n">
        <v>54</v>
      </c>
      <c r="E35" s="11" t="str">
        <f aca="false">IF(ABS(C35-D35)&lt;=Inputs!$B$24,"PASS","FAIL")</f>
        <v>PASS</v>
      </c>
      <c r="F35" s="3"/>
      <c r="G35" s="3"/>
      <c r="H35" s="3"/>
      <c r="I35" s="3"/>
      <c r="J35" s="3"/>
      <c r="K35" s="3"/>
      <c r="L35" s="3"/>
      <c r="M35" s="3"/>
      <c r="N35" s="3"/>
    </row>
    <row r="36" customFormat="false" ht="15" hidden="false" customHeight="false" outlineLevel="0" collapsed="false">
      <c r="A36" s="7" t="s">
        <v>958</v>
      </c>
      <c r="B36" s="7" t="s">
        <v>959</v>
      </c>
      <c r="C36" s="11" t="n">
        <f aca="false">COUNTIFS('Account Grammar'!G7:G60,"MISSING DESIGN COEFFICIENT")</f>
        <v>6</v>
      </c>
      <c r="D36" s="11" t="n">
        <v>6</v>
      </c>
      <c r="E36" s="11" t="str">
        <f aca="false">IF(ABS(C36-D36)&lt;=Inputs!$B$24,"PASS","FAIL")</f>
        <v>PASS</v>
      </c>
      <c r="F36" s="3"/>
      <c r="G36" s="3"/>
      <c r="H36" s="3"/>
      <c r="I36" s="3"/>
      <c r="J36" s="3"/>
      <c r="K36" s="3"/>
      <c r="L36" s="3"/>
      <c r="M36" s="3"/>
      <c r="N36" s="3"/>
    </row>
    <row r="37" customFormat="false" ht="15" hidden="false" customHeight="false" outlineLevel="0" collapsed="false">
      <c r="A37" s="7" t="s">
        <v>960</v>
      </c>
      <c r="B37" s="7" t="s">
        <v>961</v>
      </c>
      <c r="C37" s="11" t="n">
        <f aca="false">COUNTA('Account Grammar'!J7:J60)</f>
        <v>0</v>
      </c>
      <c r="D37" s="11" t="n">
        <v>0</v>
      </c>
      <c r="E37" s="11" t="str">
        <f aca="false">IF(ABS(C37-D37)&lt;=Inputs!$B$24,"PASS","FAIL")</f>
        <v>PASS</v>
      </c>
      <c r="F37" s="3"/>
      <c r="G37" s="3"/>
      <c r="H37" s="3"/>
      <c r="I37" s="3"/>
      <c r="J37" s="3"/>
      <c r="K37" s="3"/>
      <c r="L37" s="3"/>
      <c r="M37" s="3"/>
      <c r="N37" s="3"/>
    </row>
    <row r="38" customFormat="false" ht="15" hidden="false" customHeight="false" outlineLevel="0" collapsed="false">
      <c r="A38" s="7" t="s">
        <v>962</v>
      </c>
      <c r="B38" s="7" t="s">
        <v>963</v>
      </c>
      <c r="C38" s="11" t="n">
        <f aca="false">COUNTA('Provenance Ledger'!A7:A78)</f>
        <v>72</v>
      </c>
      <c r="D38" s="11" t="n">
        <v>72</v>
      </c>
      <c r="E38" s="11" t="str">
        <f aca="false">IF(ABS(C38-D38)&lt;=Inputs!$B$24,"PASS","FAIL")</f>
        <v>PASS</v>
      </c>
      <c r="F38" s="3"/>
      <c r="G38" s="3"/>
      <c r="H38" s="3"/>
      <c r="I38" s="3"/>
      <c r="J38" s="3"/>
      <c r="K38" s="3"/>
      <c r="L38" s="3"/>
      <c r="M38" s="3"/>
      <c r="N38" s="3"/>
    </row>
    <row r="39" customFormat="false" ht="15" hidden="false" customHeight="false" outlineLevel="0" collapsed="false">
      <c r="A39" s="7" t="s">
        <v>964</v>
      </c>
      <c r="B39" s="7" t="s">
        <v>965</v>
      </c>
      <c r="C39" s="11" t="n">
        <f aca="false">SUM('Provenance Ledger'!J7:J78)</f>
        <v>0</v>
      </c>
      <c r="D39" s="11" t="n">
        <v>0</v>
      </c>
      <c r="E39" s="11" t="str">
        <f aca="false">IF(ABS(C39-D39)&lt;=Inputs!$B$24,"PASS","FAIL")</f>
        <v>PASS</v>
      </c>
      <c r="F39" s="3"/>
      <c r="G39" s="3"/>
      <c r="H39" s="3"/>
      <c r="I39" s="3"/>
      <c r="J39" s="3"/>
      <c r="K39" s="3"/>
      <c r="L39" s="3"/>
      <c r="M39" s="3"/>
      <c r="N39" s="3"/>
    </row>
    <row r="40" customFormat="false" ht="15" hidden="false" customHeight="false" outlineLevel="0" collapsed="false">
      <c r="A40" s="7" t="s">
        <v>966</v>
      </c>
      <c r="B40" s="7" t="s">
        <v>967</v>
      </c>
      <c r="C40" s="11" t="n">
        <f aca="false">COUNTIFS('Provenance Ledger'!B7:B78,"ET-A-A")</f>
        <v>12</v>
      </c>
      <c r="D40" s="11" t="n">
        <v>12</v>
      </c>
      <c r="E40" s="11" t="str">
        <f aca="false">IF(ABS(C40-D40)&lt;=Inputs!$B$24,"PASS","FAIL")</f>
        <v>PASS</v>
      </c>
      <c r="F40" s="3"/>
      <c r="G40" s="3"/>
      <c r="H40" s="3"/>
      <c r="I40" s="3"/>
      <c r="J40" s="3"/>
      <c r="K40" s="3"/>
      <c r="L40" s="3"/>
      <c r="M40" s="3"/>
      <c r="N40" s="3"/>
    </row>
    <row r="41" customFormat="false" ht="15" hidden="false" customHeight="false" outlineLevel="0" collapsed="false">
      <c r="A41" s="7" t="s">
        <v>968</v>
      </c>
      <c r="B41" s="7" t="s">
        <v>969</v>
      </c>
      <c r="C41" s="11" t="n">
        <f aca="false">COUNTIFS('Provenance Ledger'!B7:B78,"RT-B-C")</f>
        <v>12</v>
      </c>
      <c r="D41" s="11" t="n">
        <v>12</v>
      </c>
      <c r="E41" s="11" t="str">
        <f aca="false">IF(ABS(C41-D41)&lt;=Inputs!$B$24,"PASS","FAIL")</f>
        <v>PASS</v>
      </c>
      <c r="F41" s="3"/>
      <c r="G41" s="3"/>
      <c r="H41" s="3"/>
      <c r="I41" s="3"/>
      <c r="J41" s="3"/>
      <c r="K41" s="3"/>
      <c r="L41" s="3"/>
      <c r="M41" s="3"/>
      <c r="N41" s="3"/>
    </row>
    <row r="42" customFormat="false" ht="15" hidden="false" customHeight="false" outlineLevel="0" collapsed="false">
      <c r="A42" s="7" t="s">
        <v>970</v>
      </c>
      <c r="B42" s="7" t="s">
        <v>971</v>
      </c>
      <c r="C42" s="11" t="n">
        <f aca="false">COUNTA('Closure Rules'!A7:A30)</f>
        <v>24</v>
      </c>
      <c r="D42" s="11" t="n">
        <v>24</v>
      </c>
      <c r="E42" s="11" t="str">
        <f aca="false">IF(ABS(C42-D42)&lt;=Inputs!$B$24,"PASS","FAIL")</f>
        <v>PASS</v>
      </c>
      <c r="F42" s="3"/>
      <c r="G42" s="3"/>
      <c r="H42" s="3"/>
      <c r="I42" s="3"/>
      <c r="J42" s="3"/>
      <c r="K42" s="3"/>
      <c r="L42" s="3"/>
      <c r="M42" s="3"/>
      <c r="N42" s="3"/>
    </row>
    <row r="43" customFormat="false" ht="15" hidden="false" customHeight="false" outlineLevel="0" collapsed="false">
      <c r="A43" s="7" t="s">
        <v>972</v>
      </c>
      <c r="B43" s="7" t="s">
        <v>973</v>
      </c>
      <c r="C43" s="11" t="n">
        <f aca="false">COUNTIFS('Closure Rules'!G7:G30,"CONSTITUTED")</f>
        <v>24</v>
      </c>
      <c r="D43" s="11" t="n">
        <v>24</v>
      </c>
      <c r="E43" s="11" t="str">
        <f aca="false">IF(ABS(C43-D43)&lt;=Inputs!$B$24,"PASS","FAIL")</f>
        <v>PASS</v>
      </c>
      <c r="F43" s="3"/>
      <c r="G43" s="3"/>
      <c r="H43" s="3"/>
      <c r="I43" s="3"/>
      <c r="J43" s="3"/>
      <c r="K43" s="3"/>
      <c r="L43" s="3"/>
      <c r="M43" s="3"/>
      <c r="N43" s="3"/>
    </row>
    <row r="44" customFormat="false" ht="15" hidden="false" customHeight="false" outlineLevel="0" collapsed="false">
      <c r="A44" s="7" t="s">
        <v>974</v>
      </c>
      <c r="B44" s="7" t="s">
        <v>975</v>
      </c>
      <c r="C44" s="11" t="n">
        <f aca="false">COUNTA('Package Crosswalk'!A7:A36)</f>
        <v>30</v>
      </c>
      <c r="D44" s="11" t="n">
        <v>30</v>
      </c>
      <c r="E44" s="11" t="str">
        <f aca="false">IF(ABS(C44-D44)&lt;=Inputs!$B$24,"PASS","FAIL")</f>
        <v>PASS</v>
      </c>
      <c r="F44" s="3"/>
      <c r="G44" s="3"/>
      <c r="H44" s="3"/>
      <c r="I44" s="3"/>
      <c r="J44" s="3"/>
      <c r="K44" s="3"/>
      <c r="L44" s="3"/>
      <c r="M44" s="3"/>
      <c r="N44" s="3"/>
    </row>
    <row r="45" customFormat="false" ht="15" hidden="false" customHeight="false" outlineLevel="0" collapsed="false">
      <c r="A45" s="7" t="s">
        <v>976</v>
      </c>
      <c r="B45" s="7" t="s">
        <v>977</v>
      </c>
      <c r="C45" s="11" t="n">
        <f aca="false">SUMIFS('Package Crosswalk'!E7:E36,'Package Crosswalk'!B7:B36,"ET-A-A")</f>
        <v>1</v>
      </c>
      <c r="D45" s="11" t="n">
        <v>1</v>
      </c>
      <c r="E45" s="11" t="str">
        <f aca="false">IF(ABS(C45-D45)&lt;=Inputs!$B$24,"PASS","FAIL")</f>
        <v>PASS</v>
      </c>
      <c r="F45" s="3"/>
      <c r="G45" s="3"/>
      <c r="H45" s="3"/>
      <c r="I45" s="3"/>
      <c r="J45" s="3"/>
      <c r="K45" s="3"/>
      <c r="L45" s="3"/>
      <c r="M45" s="3"/>
      <c r="N45" s="3"/>
    </row>
    <row r="46" customFormat="false" ht="15" hidden="false" customHeight="false" outlineLevel="0" collapsed="false">
      <c r="A46" s="7" t="s">
        <v>978</v>
      </c>
      <c r="B46" s="7" t="s">
        <v>979</v>
      </c>
      <c r="C46" s="11" t="n">
        <f aca="false">SUM('Package Crosswalk'!F7:F36)</f>
        <v>179.345640966028</v>
      </c>
      <c r="D46" s="11" t="n">
        <v>179.345640966028</v>
      </c>
      <c r="E46" s="11" t="str">
        <f aca="false">IF(ABS(C46-D46)&lt;=Inputs!$B$24,"PASS","FAIL")</f>
        <v>PASS</v>
      </c>
      <c r="F46" s="3"/>
      <c r="G46" s="3"/>
      <c r="H46" s="3"/>
      <c r="I46" s="3"/>
      <c r="J46" s="3"/>
      <c r="K46" s="3"/>
      <c r="L46" s="3"/>
      <c r="M46" s="3"/>
      <c r="N46" s="3"/>
    </row>
    <row r="47" customFormat="false" ht="15" hidden="false" customHeight="false" outlineLevel="0" collapsed="false">
      <c r="A47" s="7" t="s">
        <v>980</v>
      </c>
      <c r="B47" s="7" t="s">
        <v>981</v>
      </c>
      <c r="C47" s="11" t="n">
        <f aca="false">COUNTIFS('Package Crosswalk'!Q7:Q36,"ASSIGNED / WORK OPEN")</f>
        <v>30</v>
      </c>
      <c r="D47" s="11" t="n">
        <v>30</v>
      </c>
      <c r="E47" s="11" t="str">
        <f aca="false">IF(ABS(C47-D47)&lt;=Inputs!$B$24,"PASS","FAIL")</f>
        <v>PASS</v>
      </c>
      <c r="F47" s="3"/>
      <c r="G47" s="3"/>
      <c r="H47" s="3"/>
      <c r="I47" s="3"/>
      <c r="J47" s="3"/>
      <c r="K47" s="3"/>
      <c r="L47" s="3"/>
      <c r="M47" s="3"/>
      <c r="N47" s="3"/>
    </row>
    <row r="48" customFormat="false" ht="15" hidden="false" customHeight="false" outlineLevel="0" collapsed="false">
      <c r="A48" s="7" t="s">
        <v>982</v>
      </c>
      <c r="B48" s="7" t="s">
        <v>983</v>
      </c>
      <c r="C48" s="11" t="n">
        <f aca="false">COUNTA('Technology Thrusts'!A7:A24)</f>
        <v>18</v>
      </c>
      <c r="D48" s="11" t="n">
        <v>18</v>
      </c>
      <c r="E48" s="11" t="str">
        <f aca="false">IF(ABS(C48-D48)&lt;=Inputs!$B$24,"PASS","FAIL")</f>
        <v>PASS</v>
      </c>
      <c r="F48" s="3"/>
      <c r="G48" s="3"/>
      <c r="H48" s="3"/>
      <c r="I48" s="3"/>
      <c r="J48" s="3"/>
      <c r="K48" s="3"/>
      <c r="L48" s="3"/>
      <c r="M48" s="3"/>
      <c r="N48" s="3"/>
    </row>
    <row r="49" customFormat="false" ht="15" hidden="false" customHeight="false" outlineLevel="0" collapsed="false">
      <c r="A49" s="7" t="s">
        <v>984</v>
      </c>
      <c r="B49" s="7" t="s">
        <v>985</v>
      </c>
      <c r="C49" s="11" t="n">
        <f aca="false">SUM('Technology Thrusts'!H7:H24)</f>
        <v>0</v>
      </c>
      <c r="D49" s="11" t="n">
        <v>0</v>
      </c>
      <c r="E49" s="11" t="str">
        <f aca="false">IF(ABS(C49-D49)&lt;=Inputs!$B$24,"PASS","FAIL")</f>
        <v>PASS</v>
      </c>
      <c r="F49" s="3"/>
      <c r="G49" s="3"/>
      <c r="H49" s="3"/>
      <c r="I49" s="3"/>
      <c r="J49" s="3"/>
      <c r="K49" s="3"/>
      <c r="L49" s="3"/>
      <c r="M49" s="3"/>
      <c r="N49" s="3"/>
    </row>
    <row r="50" customFormat="false" ht="15" hidden="false" customHeight="false" outlineLevel="0" collapsed="false">
      <c r="A50" s="7" t="s">
        <v>986</v>
      </c>
      <c r="B50" s="7" t="s">
        <v>987</v>
      </c>
      <c r="C50" s="11" t="n">
        <f aca="false">Finance!B13</f>
        <v>179.345640966028</v>
      </c>
      <c r="D50" s="11" t="n">
        <v>179.345640966028</v>
      </c>
      <c r="E50" s="11" t="str">
        <f aca="false">IF(ABS(C50-D50)&lt;=Inputs!$B$24,"PASS","FAIL")</f>
        <v>PASS</v>
      </c>
      <c r="F50" s="3"/>
      <c r="G50" s="3"/>
      <c r="H50" s="3"/>
      <c r="I50" s="3"/>
      <c r="J50" s="3"/>
      <c r="K50" s="3"/>
      <c r="L50" s="3"/>
      <c r="M50" s="3"/>
      <c r="N50" s="3"/>
    </row>
    <row r="51" customFormat="false" ht="15" hidden="false" customHeight="false" outlineLevel="0" collapsed="false">
      <c r="A51" s="7" t="s">
        <v>988</v>
      </c>
      <c r="B51" s="7" t="s">
        <v>989</v>
      </c>
      <c r="C51" s="11" t="n">
        <f aca="false">Finance!C13/Finance!B13</f>
        <v>0.2</v>
      </c>
      <c r="D51" s="11" t="n">
        <v>0.2</v>
      </c>
      <c r="E51" s="11" t="str">
        <f aca="false">IF(ABS(C51-D51)&lt;=Inputs!$B$24,"PASS","FAIL")</f>
        <v>PASS</v>
      </c>
      <c r="F51" s="3"/>
      <c r="G51" s="3"/>
      <c r="H51" s="3"/>
      <c r="I51" s="3"/>
      <c r="J51" s="3"/>
      <c r="K51" s="3"/>
      <c r="L51" s="3"/>
      <c r="M51" s="3"/>
      <c r="N51" s="3"/>
    </row>
    <row r="52" customFormat="false" ht="15" hidden="false" customHeight="false" outlineLevel="0" collapsed="false">
      <c r="A52" s="7" t="s">
        <v>990</v>
      </c>
      <c r="B52" s="7" t="s">
        <v>991</v>
      </c>
      <c r="C52" s="11" t="n">
        <f aca="false">Finance!D13/Finance!B13</f>
        <v>0.25</v>
      </c>
      <c r="D52" s="11" t="n">
        <v>0.25</v>
      </c>
      <c r="E52" s="11" t="str">
        <f aca="false">IF(ABS(C52-D52)&lt;=Inputs!$B$24,"PASS","FAIL")</f>
        <v>PASS</v>
      </c>
      <c r="F52" s="3"/>
      <c r="G52" s="3"/>
      <c r="H52" s="3"/>
      <c r="I52" s="3"/>
      <c r="J52" s="3"/>
      <c r="K52" s="3"/>
      <c r="L52" s="3"/>
      <c r="M52" s="3"/>
      <c r="N52" s="3"/>
    </row>
    <row r="53" customFormat="false" ht="15" hidden="false" customHeight="false" outlineLevel="0" collapsed="false">
      <c r="A53" s="7" t="s">
        <v>992</v>
      </c>
      <c r="B53" s="7" t="s">
        <v>993</v>
      </c>
      <c r="C53" s="11" t="n">
        <f aca="false">Finance!E13/Finance!B13</f>
        <v>0.15</v>
      </c>
      <c r="D53" s="11" t="n">
        <v>0.15</v>
      </c>
      <c r="E53" s="11" t="str">
        <f aca="false">IF(ABS(C53-D53)&lt;=Inputs!$B$24,"PASS","FAIL")</f>
        <v>PASS</v>
      </c>
      <c r="F53" s="3"/>
      <c r="G53" s="3"/>
      <c r="H53" s="3"/>
      <c r="I53" s="3"/>
      <c r="J53" s="3"/>
      <c r="K53" s="3"/>
      <c r="L53" s="3"/>
      <c r="M53" s="3"/>
      <c r="N53" s="3"/>
    </row>
    <row r="54" customFormat="false" ht="15" hidden="false" customHeight="false" outlineLevel="0" collapsed="false">
      <c r="A54" s="7" t="s">
        <v>994</v>
      </c>
      <c r="B54" s="7" t="s">
        <v>995</v>
      </c>
      <c r="C54" s="11" t="n">
        <f aca="false">Finance!F13/Finance!B13</f>
        <v>0.25</v>
      </c>
      <c r="D54" s="11" t="n">
        <v>0.25</v>
      </c>
      <c r="E54" s="11" t="str">
        <f aca="false">IF(ABS(C54-D54)&lt;=Inputs!$B$24,"PASS","FAIL")</f>
        <v>PASS</v>
      </c>
      <c r="F54" s="3"/>
      <c r="G54" s="3"/>
      <c r="H54" s="3"/>
      <c r="I54" s="3"/>
      <c r="J54" s="3"/>
      <c r="K54" s="3"/>
      <c r="L54" s="3"/>
      <c r="M54" s="3"/>
      <c r="N54" s="3"/>
    </row>
    <row r="55" customFormat="false" ht="15" hidden="false" customHeight="false" outlineLevel="0" collapsed="false">
      <c r="A55" s="7" t="s">
        <v>996</v>
      </c>
      <c r="B55" s="7" t="s">
        <v>997</v>
      </c>
      <c r="C55" s="11" t="n">
        <f aca="false">Finance!G13/Finance!B13</f>
        <v>0.15</v>
      </c>
      <c r="D55" s="11" t="n">
        <v>0.15</v>
      </c>
      <c r="E55" s="11" t="str">
        <f aca="false">IF(ABS(C55-D55)&lt;=Inputs!$B$24,"PASS","FAIL")</f>
        <v>PASS</v>
      </c>
      <c r="F55" s="3"/>
      <c r="G55" s="3"/>
      <c r="H55" s="3"/>
      <c r="I55" s="3"/>
      <c r="J55" s="3"/>
      <c r="K55" s="3"/>
      <c r="L55" s="3"/>
      <c r="M55" s="3"/>
      <c r="N55" s="3"/>
    </row>
    <row r="56" customFormat="false" ht="15" hidden="false" customHeight="false" outlineLevel="0" collapsed="false">
      <c r="A56" s="7" t="s">
        <v>998</v>
      </c>
      <c r="B56" s="7" t="s">
        <v>999</v>
      </c>
      <c r="C56" s="11" t="n">
        <f aca="false">Finance!H13</f>
        <v>0</v>
      </c>
      <c r="D56" s="11" t="n">
        <v>0</v>
      </c>
      <c r="E56" s="11" t="str">
        <f aca="false">IF(ABS(C56-D56)&lt;=Inputs!$B$24,"PASS","FAIL")</f>
        <v>PASS</v>
      </c>
      <c r="F56" s="3"/>
      <c r="G56" s="3"/>
      <c r="H56" s="3"/>
      <c r="I56" s="3"/>
      <c r="J56" s="3"/>
      <c r="K56" s="3"/>
      <c r="L56" s="3"/>
      <c r="M56" s="3"/>
      <c r="N56" s="3"/>
    </row>
    <row r="57" customFormat="false" ht="15" hidden="false" customHeight="false" outlineLevel="0" collapsed="false">
      <c r="A57" s="7" t="s">
        <v>897</v>
      </c>
      <c r="B57" s="7" t="s">
        <v>1000</v>
      </c>
      <c r="C57" s="11" t="n">
        <f aca="false">Inputs!B29</f>
        <v>0</v>
      </c>
      <c r="D57" s="11" t="n">
        <v>0</v>
      </c>
      <c r="E57" s="11" t="str">
        <f aca="false">IF(ABS(C57-D57)&lt;=Inputs!$B$24,"PASS","FAIL")</f>
        <v>PASS</v>
      </c>
      <c r="F57" s="3"/>
      <c r="G57" s="3"/>
      <c r="H57" s="3"/>
      <c r="I57" s="3"/>
      <c r="J57" s="3"/>
      <c r="K57" s="3"/>
      <c r="L57" s="3"/>
      <c r="M57" s="3"/>
      <c r="N57" s="3"/>
    </row>
    <row r="58" customFormat="false" ht="15" hidden="false" customHeight="false" outlineLevel="0" collapsed="false">
      <c r="A58" s="7" t="s">
        <v>900</v>
      </c>
      <c r="B58" s="7" t="s">
        <v>1001</v>
      </c>
      <c r="C58" s="11" t="n">
        <f aca="false">Inputs!B30</f>
        <v>0</v>
      </c>
      <c r="D58" s="11" t="n">
        <v>0</v>
      </c>
      <c r="E58" s="11" t="str">
        <f aca="false">IF(ABS(C58-D58)&lt;=Inputs!$B$24,"PASS","FAIL")</f>
        <v>PASS</v>
      </c>
      <c r="F58" s="3"/>
      <c r="G58" s="3"/>
      <c r="H58" s="3"/>
      <c r="I58" s="3"/>
      <c r="J58" s="3"/>
      <c r="K58" s="3"/>
      <c r="L58" s="3"/>
      <c r="M58" s="3"/>
      <c r="N58" s="3"/>
    </row>
    <row r="59" customFormat="false" ht="15" hidden="false" customHeight="false" outlineLevel="0" collapsed="false">
      <c r="A59" s="7" t="s">
        <v>1002</v>
      </c>
      <c r="B59" s="7" t="s">
        <v>1003</v>
      </c>
      <c r="C59" s="11" t="n">
        <f aca="false">Inputs!B31</f>
        <v>0</v>
      </c>
      <c r="D59" s="11" t="n">
        <v>0</v>
      </c>
      <c r="E59" s="11" t="str">
        <f aca="false">IF(ABS(C59-D59)&lt;=Inputs!$B$24,"PASS","FAIL")</f>
        <v>PASS</v>
      </c>
      <c r="F59" s="3"/>
      <c r="G59" s="3"/>
      <c r="H59" s="3"/>
      <c r="I59" s="3"/>
      <c r="J59" s="3"/>
      <c r="K59" s="3"/>
      <c r="L59" s="3"/>
      <c r="M59" s="3"/>
      <c r="N59" s="3"/>
    </row>
    <row r="60" customFormat="false" ht="15" hidden="false" customHeight="false" outlineLevel="0" collapsed="false">
      <c r="A60" s="7" t="s">
        <v>903</v>
      </c>
      <c r="B60" s="7" t="s">
        <v>1004</v>
      </c>
      <c r="C60" s="11" t="n">
        <f aca="false">Inputs!B33</f>
        <v>0</v>
      </c>
      <c r="D60" s="11" t="n">
        <v>0</v>
      </c>
      <c r="E60" s="11" t="str">
        <f aca="false">IF(ABS(C60-D60)&lt;=Inputs!$B$24,"PASS","FAIL")</f>
        <v>PASS</v>
      </c>
      <c r="F60" s="3"/>
      <c r="G60" s="3"/>
      <c r="H60" s="3"/>
      <c r="I60" s="3"/>
      <c r="J60" s="3"/>
      <c r="K60" s="3"/>
      <c r="L60" s="3"/>
      <c r="M60" s="3"/>
      <c r="N60" s="3"/>
    </row>
    <row r="61" customFormat="false" ht="15" hidden="false" customHeight="false" outlineLevel="0" collapsed="false">
      <c r="A61" s="7" t="s">
        <v>906</v>
      </c>
      <c r="B61" s="7" t="s">
        <v>1005</v>
      </c>
      <c r="C61" s="11" t="n">
        <f aca="false">Inputs!B35</f>
        <v>0</v>
      </c>
      <c r="D61" s="11" t="n">
        <v>0</v>
      </c>
      <c r="E61" s="11" t="str">
        <f aca="false">IF(ABS(C61-D61)&lt;=Inputs!$B$24,"PASS","FAIL")</f>
        <v>PASS</v>
      </c>
      <c r="F61" s="3"/>
      <c r="G61" s="3"/>
      <c r="H61" s="3"/>
      <c r="I61" s="3"/>
      <c r="J61" s="3"/>
      <c r="K61" s="3"/>
      <c r="L61" s="3"/>
      <c r="M61" s="3"/>
      <c r="N61" s="3"/>
    </row>
    <row r="62" customFormat="false" ht="15" hidden="false" customHeight="false" outlineLevel="0" collapsed="false">
      <c r="A62" s="7" t="s">
        <v>909</v>
      </c>
      <c r="B62" s="7" t="s">
        <v>1006</v>
      </c>
      <c r="C62" s="11" t="n">
        <f aca="false">Inputs!B36</f>
        <v>0</v>
      </c>
      <c r="D62" s="11" t="n">
        <v>0</v>
      </c>
      <c r="E62" s="11" t="str">
        <f aca="false">IF(ABS(C62-D62)&lt;=Inputs!$B$24,"PASS","FAIL")</f>
        <v>PASS</v>
      </c>
      <c r="F62" s="3"/>
      <c r="G62" s="3"/>
      <c r="H62" s="3"/>
      <c r="I62" s="3"/>
      <c r="J62" s="3"/>
      <c r="K62" s="3"/>
      <c r="L62" s="3"/>
      <c r="M62" s="3"/>
      <c r="N62" s="3"/>
    </row>
    <row r="63" customFormat="false" ht="15" hidden="false" customHeight="false" outlineLevel="0" collapsed="false">
      <c r="A63" s="7" t="s">
        <v>912</v>
      </c>
      <c r="B63" s="7" t="s">
        <v>1007</v>
      </c>
      <c r="C63" s="11" t="n">
        <f aca="false">Inputs!B39</f>
        <v>0</v>
      </c>
      <c r="D63" s="11" t="n">
        <v>0</v>
      </c>
      <c r="E63" s="11" t="str">
        <f aca="false">IF(ABS(C63-D63)&lt;=Inputs!$B$24,"PASS","FAIL")</f>
        <v>PASS</v>
      </c>
      <c r="F63" s="3"/>
      <c r="G63" s="3"/>
      <c r="H63" s="3"/>
      <c r="I63" s="3"/>
      <c r="J63" s="3"/>
      <c r="K63" s="3"/>
      <c r="L63" s="3"/>
      <c r="M63" s="3"/>
      <c r="N63" s="3"/>
    </row>
    <row r="64" customFormat="false" ht="15" hidden="false" customHeight="false" outlineLevel="0" collapsed="false">
      <c r="A64" s="7" t="s">
        <v>1008</v>
      </c>
      <c r="B64" s="7" t="s">
        <v>1009</v>
      </c>
      <c r="C64" s="11" t="n">
        <f aca="false">Summary!B29</f>
        <v>1</v>
      </c>
      <c r="D64" s="11" t="n">
        <v>1</v>
      </c>
      <c r="E64" s="11" t="str">
        <f aca="false">IF(ABS(C64-D64)&lt;=Inputs!$B$24,"PASS","FAIL")</f>
        <v>PASS</v>
      </c>
      <c r="F64" s="3"/>
      <c r="G64" s="3"/>
      <c r="H64" s="3"/>
      <c r="I64" s="3"/>
      <c r="J64" s="3"/>
      <c r="K64" s="3"/>
      <c r="L64" s="3"/>
      <c r="M64" s="3"/>
      <c r="N64" s="3"/>
    </row>
    <row r="65" customFormat="false" ht="15" hidden="false" customHeight="false" outlineLevel="0" collapsed="false">
      <c r="A65" s="7" t="s">
        <v>1010</v>
      </c>
      <c r="B65" s="7" t="s">
        <v>1011</v>
      </c>
      <c r="C65" s="11" t="n">
        <f aca="false">Summary!B30</f>
        <v>1</v>
      </c>
      <c r="D65" s="11" t="n">
        <v>1</v>
      </c>
      <c r="E65" s="11" t="str">
        <f aca="false">IF(ABS(C65-D65)&lt;=Inputs!$B$24,"PASS","FAIL")</f>
        <v>PASS</v>
      </c>
      <c r="F65" s="3"/>
      <c r="G65" s="3"/>
      <c r="H65" s="3"/>
      <c r="I65" s="3"/>
      <c r="J65" s="3"/>
      <c r="K65" s="3"/>
      <c r="L65" s="3"/>
      <c r="M65" s="3"/>
      <c r="N65" s="3"/>
    </row>
    <row r="66" customFormat="false" ht="15" hidden="false" customHeight="false" outlineLevel="0" collapsed="false">
      <c r="A66" s="7" t="s">
        <v>1012</v>
      </c>
      <c r="B66" s="7" t="s">
        <v>1013</v>
      </c>
      <c r="C66" s="11" t="n">
        <f aca="false">Summary!B31</f>
        <v>0</v>
      </c>
      <c r="D66" s="11" t="n">
        <v>0</v>
      </c>
      <c r="E66" s="11" t="str">
        <f aca="false">IF(ABS(C66-D66)&lt;=Inputs!$B$24,"PASS","FAIL")</f>
        <v>PASS</v>
      </c>
      <c r="F66" s="3"/>
      <c r="G66" s="3"/>
      <c r="H66" s="3"/>
      <c r="I66" s="3"/>
      <c r="J66" s="3"/>
      <c r="K66" s="3"/>
      <c r="L66" s="3"/>
      <c r="M66" s="3"/>
      <c r="N66" s="3"/>
    </row>
    <row r="67" customFormat="false" ht="15" hidden="false" customHeight="false" outlineLevel="0" collapsed="false">
      <c r="A67" s="7" t="s">
        <v>1014</v>
      </c>
      <c r="B67" s="7" t="s">
        <v>1015</v>
      </c>
      <c r="C67" s="11" t="n">
        <f aca="false">Summary!B32</f>
        <v>1</v>
      </c>
      <c r="D67" s="11" t="n">
        <v>1</v>
      </c>
      <c r="E67" s="11" t="str">
        <f aca="false">IF(ABS(C67-D67)&lt;=Inputs!$B$24,"PASS","FAIL")</f>
        <v>PASS</v>
      </c>
      <c r="F67" s="3"/>
      <c r="G67" s="3"/>
      <c r="H67" s="3"/>
      <c r="I67" s="3"/>
      <c r="J67" s="3"/>
      <c r="K67" s="3"/>
      <c r="L67" s="3"/>
      <c r="M67" s="3"/>
      <c r="N67" s="3"/>
    </row>
    <row r="68" customFormat="false" ht="15" hidden="false" customHeight="false" outlineLevel="0" collapsed="false">
      <c r="A68" s="7" t="s">
        <v>1016</v>
      </c>
      <c r="B68" s="7" t="s">
        <v>1017</v>
      </c>
      <c r="C68" s="11" t="n">
        <f aca="false">Summary!B33</f>
        <v>1</v>
      </c>
      <c r="D68" s="11" t="n">
        <v>1</v>
      </c>
      <c r="E68" s="11" t="str">
        <f aca="false">IF(ABS(C68-D68)&lt;=Inputs!$B$24,"PASS","FAIL")</f>
        <v>PASS</v>
      </c>
      <c r="F68" s="3"/>
      <c r="G68" s="3"/>
      <c r="H68" s="3"/>
      <c r="I68" s="3"/>
      <c r="J68" s="3"/>
      <c r="K68" s="3"/>
      <c r="L68" s="3"/>
      <c r="M68" s="3"/>
      <c r="N68" s="3"/>
    </row>
    <row r="69" customFormat="false" ht="15" hidden="false" customHeight="false" outlineLevel="0" collapsed="false">
      <c r="A69" s="7" t="s">
        <v>1018</v>
      </c>
      <c r="B69" s="7" t="s">
        <v>1019</v>
      </c>
      <c r="C69" s="11" t="n">
        <f aca="false">Summary!B34</f>
        <v>5</v>
      </c>
      <c r="D69" s="11" t="n">
        <v>5</v>
      </c>
      <c r="E69" s="11" t="str">
        <f aca="false">IF(ABS(C69-D69)&lt;=Inputs!$B$24,"PASS","FAIL")</f>
        <v>PASS</v>
      </c>
      <c r="F69" s="3"/>
      <c r="G69" s="3"/>
      <c r="H69" s="3"/>
      <c r="I69" s="3"/>
      <c r="J69" s="3"/>
      <c r="K69" s="3"/>
      <c r="L69" s="3"/>
      <c r="M69" s="3"/>
      <c r="N69" s="3"/>
    </row>
  </sheetData>
  <mergeCells count="2">
    <mergeCell ref="A2:N2"/>
    <mergeCell ref="A4:N4"/>
  </mergeCells>
  <conditionalFormatting sqref="E7:E69">
    <cfRule type="containsText" priority="2" operator="containsText" aboveAverage="0" equalAverage="0" bottom="0" percent="0" rank="0" text="FAIL" dxfId="32">
      <formula>NOT(ISERROR(SEARCH("FAIL",E7)))</formula>
    </cfRule>
    <cfRule type="containsText" priority="3" operator="containsText" aboveAverage="0" equalAverage="0" bottom="0" percent="0" rank="0" text="OPEN" dxfId="33">
      <formula>NOT(ISERROR(SEARCH("OPEN",E7)))</formula>
    </cfRule>
    <cfRule type="containsText" priority="4" operator="containsText" aboveAverage="0" equalAverage="0" bottom="0" percent="0" rank="0" text="UNMEASURED" dxfId="34">
      <formula>NOT(ISERROR(SEARCH("UNMEASURED",E7)))</formula>
    </cfRule>
    <cfRule type="containsText" priority="5" operator="containsText" aboveAverage="0" equalAverage="0" bottom="0" percent="0" rank="0" text="SELECT" dxfId="35">
      <formula>NOT(ISERROR(SEARCH("SELECT",E7)))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0"/>
    <col collapsed="false" customWidth="true" hidden="false" outlineLevel="0" max="14" min="2" style="1" width="12"/>
  </cols>
  <sheetData>
    <row r="1" customFormat="false" ht="8" hidden="false" customHeight="true" outlineLevel="0" collapsed="false"/>
    <row r="2" customFormat="false" ht="23" hidden="false" customHeight="true" outlineLevel="0" collapsed="false">
      <c r="A2" s="2" t="s">
        <v>1020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1021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A6" s="5" t="s">
        <v>1022</v>
      </c>
      <c r="B6" s="5" t="s">
        <v>1022</v>
      </c>
      <c r="C6" s="5" t="s">
        <v>1022</v>
      </c>
      <c r="D6" s="5" t="s">
        <v>1022</v>
      </c>
      <c r="E6" s="5" t="s">
        <v>1022</v>
      </c>
      <c r="F6" s="5" t="s">
        <v>1022</v>
      </c>
      <c r="G6" s="5" t="s">
        <v>1022</v>
      </c>
      <c r="H6" s="5" t="s">
        <v>1022</v>
      </c>
      <c r="I6" s="5" t="s">
        <v>1022</v>
      </c>
      <c r="J6" s="5" t="s">
        <v>1022</v>
      </c>
      <c r="K6" s="5" t="s">
        <v>1022</v>
      </c>
      <c r="L6" s="5" t="s">
        <v>1022</v>
      </c>
      <c r="M6" s="5" t="s">
        <v>1022</v>
      </c>
      <c r="N6" s="5" t="s">
        <v>1022</v>
      </c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7" t="s">
        <v>1023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5" hidden="false" customHeight="false" outlineLevel="0" collapsed="false">
      <c r="A9" s="7" t="s">
        <v>1024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customFormat="false" ht="15" hidden="false" customHeight="false" outlineLevel="0" collapsed="false">
      <c r="A10" s="7" t="s">
        <v>1025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5" hidden="false" customHeight="false" outlineLevel="0" collapsed="false">
      <c r="A11" s="7" t="s">
        <v>1026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customFormat="false" ht="15" hidden="false" customHeight="false" outlineLevel="0" collapsed="false">
      <c r="A12" s="7" t="s">
        <v>1027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5" hidden="false" customHeight="false" outlineLevel="0" collapsed="false">
      <c r="A13" s="7" t="s">
        <v>1028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customFormat="false" ht="15" hidden="false" customHeight="false" outlineLevel="0" collapsed="false">
      <c r="A14" s="7" t="s">
        <v>1029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A17" s="5" t="s">
        <v>1030</v>
      </c>
      <c r="B17" s="5" t="s">
        <v>1030</v>
      </c>
      <c r="C17" s="5" t="s">
        <v>1030</v>
      </c>
      <c r="D17" s="5" t="s">
        <v>1030</v>
      </c>
      <c r="E17" s="5" t="s">
        <v>1030</v>
      </c>
      <c r="F17" s="5" t="s">
        <v>1030</v>
      </c>
      <c r="G17" s="5" t="s">
        <v>1030</v>
      </c>
      <c r="H17" s="5" t="s">
        <v>1030</v>
      </c>
      <c r="I17" s="5" t="s">
        <v>1030</v>
      </c>
      <c r="J17" s="5" t="s">
        <v>1030</v>
      </c>
      <c r="K17" s="5" t="s">
        <v>1030</v>
      </c>
      <c r="L17" s="5" t="s">
        <v>1030</v>
      </c>
      <c r="M17" s="5" t="s">
        <v>1030</v>
      </c>
      <c r="N17" s="5" t="s">
        <v>1030</v>
      </c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7" t="s">
        <v>1031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customFormat="false" ht="15" hidden="false" customHeight="false" outlineLevel="0" collapsed="false">
      <c r="A20" s="7" t="s">
        <v>1032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5" hidden="false" customHeight="false" outlineLevel="0" collapsed="false">
      <c r="A21" s="7" t="s">
        <v>1033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customFormat="false" ht="15" hidden="false" customHeight="false" outlineLevel="0" collapsed="false">
      <c r="A22" s="7" t="s">
        <v>1034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5" hidden="false" customHeight="false" outlineLevel="0" collapsed="false">
      <c r="A23" s="7" t="s">
        <v>1035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customFormat="false" ht="15" hidden="false" customHeight="false" outlineLevel="0" collapsed="false">
      <c r="A24" s="7" t="s">
        <v>1036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5" hidden="false" customHeight="false" outlineLevel="0" collapsed="false">
      <c r="A25" s="7" t="s">
        <v>1037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5" t="s">
        <v>1038</v>
      </c>
      <c r="B28" s="5" t="s">
        <v>1038</v>
      </c>
      <c r="C28" s="5" t="s">
        <v>1038</v>
      </c>
      <c r="D28" s="5" t="s">
        <v>1038</v>
      </c>
      <c r="E28" s="5" t="s">
        <v>1038</v>
      </c>
      <c r="F28" s="5" t="s">
        <v>1038</v>
      </c>
      <c r="G28" s="5" t="s">
        <v>1038</v>
      </c>
      <c r="H28" s="5" t="s">
        <v>1038</v>
      </c>
      <c r="I28" s="5" t="s">
        <v>1038</v>
      </c>
      <c r="J28" s="5" t="s">
        <v>1038</v>
      </c>
      <c r="K28" s="5" t="s">
        <v>1038</v>
      </c>
      <c r="L28" s="5" t="s">
        <v>1038</v>
      </c>
      <c r="M28" s="5" t="s">
        <v>1038</v>
      </c>
      <c r="N28" s="5" t="s">
        <v>1038</v>
      </c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A30" s="7" t="s">
        <v>1039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5" hidden="false" customHeight="false" outlineLevel="0" collapsed="false">
      <c r="A31" s="7" t="s">
        <v>1040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customFormat="false" ht="15" hidden="false" customHeight="false" outlineLevel="0" collapsed="false">
      <c r="A32" s="7" t="s">
        <v>1041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5" hidden="false" customHeight="false" outlineLevel="0" collapsed="false">
      <c r="A33" s="7" t="s">
        <v>1042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customFormat="false" ht="15" hidden="false" customHeight="false" outlineLevel="0" collapsed="false">
      <c r="A34" s="7" t="s">
        <v>1043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5" hidden="false" customHeight="false" outlineLevel="0" collapsed="false">
      <c r="A35" s="7" t="s">
        <v>1044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</sheetData>
  <mergeCells count="5">
    <mergeCell ref="A2:N2"/>
    <mergeCell ref="A4:N4"/>
    <mergeCell ref="A6:N6"/>
    <mergeCell ref="A17:N17"/>
    <mergeCell ref="A28:N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