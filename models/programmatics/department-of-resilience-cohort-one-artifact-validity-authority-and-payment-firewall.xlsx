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1355c89b8f4a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e5e5779cab24a96"/>
    <x:sheet xmlns:r="http://schemas.openxmlformats.org/officeDocument/2006/relationships" name="Inputs" sheetId="2" r:id="R81cdaee275064191"/>
    <x:sheet xmlns:r="http://schemas.openxmlformats.org/officeDocument/2006/relationships" name="Package Build" sheetId="3" r:id="R2e6820dfe4984764"/>
    <x:sheet xmlns:r="http://schemas.openxmlformats.org/officeDocument/2006/relationships" name="Validity Gates" sheetId="4" r:id="R08bf9180e36f4d0c"/>
    <x:sheet xmlns:r="http://schemas.openxmlformats.org/officeDocument/2006/relationships" name="Payment Schedule" sheetId="5" r:id="Re89864a70b8f4639"/>
    <x:sheet xmlns:r="http://schemas.openxmlformats.org/officeDocument/2006/relationships" name="Authority Controls" sheetId="6" r:id="R0d435110e015428e"/>
    <x:sheet xmlns:r="http://schemas.openxmlformats.org/officeDocument/2006/relationships" name="State Law" sheetId="7" r:id="R071c7c6472f04962"/>
    <x:sheet xmlns:r="http://schemas.openxmlformats.org/officeDocument/2006/relationships" name="Mutations" sheetId="8" r:id="R2f085a26fa664a71"/>
    <x:sheet xmlns:r="http://schemas.openxmlformats.org/officeDocument/2006/relationships" name="Audit" sheetId="9" r:id="R075228428e2141fb"/>
    <x:sheet xmlns:r="http://schemas.openxmlformats.org/officeDocument/2006/relationships" name="ReadMe" sheetId="10" r:id="Re5a4fff5c1574d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"/>
    <x:numFmt numFmtId="201" formatCode="#,##0"/>
    <x:numFmt numFmtId="202" formatCode="$#,##0.0"/>
    <x:numFmt numFmtId="203" formatCode="0.000000"/>
    <x:numFmt numFmtId="204" formatCode="$#,##0.00"/>
    <x:numFmt numFmtId="205" formatCode="0"/>
  </x:numFmts>
  <x:fonts count="16">
    <x:font>
      <x:sz val="11"/>
      <x:name val="Carlito"/>
    </x:font>
    <x:font>
      <x:b/>
      <x:sz val="15"/>
      <x:color rgb="FF17365D"/>
      <x:name val="Arial"/>
    </x:font>
    <x:font>
      <x:i/>
      <x:sz val="10"/>
      <x:color rgb="FF5B6573"/>
      <x:name val="Arial"/>
    </x:font>
    <x:font>
      <x:b/>
      <x:sz val="10"/>
      <x:color rgb="FF17365D"/>
      <x:name val="Arial"/>
    </x:font>
    <x:font>
      <x:sz val="9"/>
      <x:color rgb="FF0000FF"/>
      <x:name val="Arial"/>
    </x:font>
    <x:font>
      <x:b/>
      <x:sz val="9"/>
      <x:color rgb="FFFFFFFF"/>
      <x:name val="Arial"/>
    </x:font>
    <x:font>
      <x:b/>
      <x:sz val="9"/>
      <x:color rgb="FF1F2937"/>
      <x:name val="Arial"/>
    </x:font>
    <x:font>
      <x:b/>
      <x:sz val="9"/>
      <x:color rgb="FF17365D"/>
      <x:name val="Arial"/>
    </x:font>
    <x:font>
      <x:i/>
      <x:sz val="9"/>
      <x:color rgb="FF5B6573"/>
      <x:name val="Arial"/>
    </x:font>
    <x:font>
      <x:b/>
      <x:sz val="9"/>
      <x:name val="Arial"/>
    </x:font>
    <x:font>
      <x:sz val="9"/>
      <x:color rgb="FF1F2937"/>
      <x:name val="Arial"/>
    </x:font>
    <x:font>
      <x:i/>
      <x:sz val="9"/>
      <x:color rgb="FF1F2937"/>
      <x:name val="Arial"/>
    </x:font>
    <x:font>
      <x:sz val="9"/>
      <x:color rgb="FF008000"/>
      <x:name val="Arial"/>
    </x:font>
    <x:font>
      <x:b/>
      <x:sz val="11"/>
      <x:color rgb="FFFFFFFF"/>
      <x:name val="Arial"/>
    </x:font>
    <x:font>
      <x:b/>
      <x:sz val="13"/>
      <x:color rgb="FF1F2937"/>
      <x:name val="Arial"/>
    </x:font>
    <x:font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CE6F1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</x:fills>
  <x:borders count="9">
    <x:border/>
    <x:border>
      <x:bottom style="thin">
        <x:color rgb="FF1F4E78"/>
      </x:bottom>
    </x:border>
    <x:border>
      <x:left style="thin">
        <x:color rgb="FFA6B7C8"/>
      </x:left>
      <x:top style="thin">
        <x:color rgb="FFA6B7C8"/>
      </x:top>
      <x:bottom style="thin">
        <x:color rgb="FFA6B7C8"/>
      </x:bottom>
    </x:border>
    <x:border>
      <x:top style="thin">
        <x:color rgb="FFA6B7C8"/>
      </x:top>
      <x:bottom style="thin">
        <x:color rgb="FFA6B7C8"/>
      </x:bottom>
    </x:border>
    <x:border>
      <x:right style="thin">
        <x:color rgb="FFA6B7C8"/>
      </x:right>
      <x:top style="thin">
        <x:color rgb="FFA6B7C8"/>
      </x:top>
      <x:bottom style="thin">
        <x:color rgb="FFA6B7C8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top style="double">
        <x:color rgb="FF17365D"/>
      </x:top>
    </x:border>
  </x:borders>
  <x:cellStyleXfs count="1">
    <x:xf numFmtId="0" fontId="0" fillId="0" borderId="0"/>
  </x:cellStyleXfs>
  <x:cellXfs count="1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200" fontId="4" fillId="4" borderId="0" xfId="0" applyNumberFormat="1" applyFont="1" applyFill="1" applyBorder="1"/>
    <x:xf numFmtId="201" fontId="4" fillId="4" borderId="0" xfId="0" applyNumberFormat="1" applyFont="1" applyFill="1" applyBorder="1"/>
    <x:xf numFmtId="202" fontId="4" fillId="4" borderId="0" xfId="0" applyNumberFormat="1" applyFont="1" applyFill="1" applyBorder="1"/>
    <x:xf numFmtId="203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5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horizontal="center" wrapText="1"/>
    </x:xf>
    <x:xf numFmtId="0" fontId="5" fillId="5" borderId="6" xfId="0" applyNumberFormat="1" applyFont="1" applyFill="1" applyBorder="1" applyAlignment="1">
      <x:alignment horizontal="center" wrapText="1"/>
    </x:xf>
    <x:xf numFmtId="0" fontId="5" fillId="5" borderId="7" xfId="0" applyNumberFormat="1" applyFont="1" applyFill="1" applyBorder="1" applyAlignment="1">
      <x:alignment horizontal="center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5" fillId="5" borderId="6" xfId="0" applyNumberFormat="1" applyFont="1" applyFill="1" applyBorder="1" applyAlignment="1">
      <x:alignment horizontal="center" vertical="center" wrapText="1"/>
    </x:xf>
    <x:xf numFmtId="0" fontId="5" fillId="5" borderId="7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0" fontId="6" fillId="0" borderId="0" xfId="0" applyNumberFormat="1" applyFont="1" applyFill="1" applyBorder="1"/>
    <x:xf numFmtId="202" fontId="6" fillId="0" borderId="0" xfId="0" applyNumberFormat="1" applyFont="1" applyFill="1" applyBorder="1"/>
    <x:xf numFmtId="0" fontId="6" fillId="0" borderId="8" xfId="0" applyNumberFormat="1" applyFont="1" applyFill="1" applyBorder="1"/>
    <x:xf numFmtId="202" fontId="6" fillId="0" borderId="8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200" fontId="0" fillId="0" borderId="0" xfId="0" applyNumberFormat="1" applyFont="1" applyFill="1" applyBorder="1"/>
    <x:xf numFmtId="0" fontId="9" fillId="0" borderId="0" xfId="0" applyNumberFormat="1" applyFont="1" applyFill="1" applyBorder="1"/>
    <x:xf numFmtId="0" fontId="9" fillId="0" borderId="8" xfId="0" applyNumberFormat="1" applyFont="1" applyFill="1" applyBorder="1"/>
    <x:xf numFmtId="0" fontId="10" fillId="3" borderId="0" xfId="0" applyNumberFormat="1" applyFont="1" applyFill="1" applyBorder="1"/>
    <x:xf numFmtId="200" fontId="10" fillId="4" borderId="0" xfId="0" applyNumberFormat="1" applyFont="1" applyFill="1" applyBorder="1"/>
    <x:xf numFmtId="0" fontId="10" fillId="0" borderId="0" xfId="0" applyNumberFormat="1" applyFont="1" applyFill="1" applyBorder="1"/>
    <x:xf numFmtId="201" fontId="10" fillId="4" borderId="0" xfId="0" applyNumberFormat="1" applyFont="1" applyFill="1" applyBorder="1"/>
    <x:xf numFmtId="202" fontId="10" fillId="4" borderId="0" xfId="0" applyNumberFormat="1" applyFont="1" applyFill="1" applyBorder="1"/>
    <x:xf numFmtId="0" fontId="10" fillId="4" borderId="0" xfId="0" applyNumberFormat="1" applyFont="1" applyFill="1" applyBorder="1"/>
    <x:xf numFmtId="203" fontId="10" fillId="4" borderId="0" xfId="0" applyNumberFormat="1" applyFont="1" applyFill="1" applyBorder="1"/>
    <x:xf numFmtId="0" fontId="6" fillId="2" borderId="2" xfId="0" applyNumberFormat="1" applyFont="1" applyFill="1" applyBorder="1" applyAlignment="1">
      <x:alignment vertical="center"/>
    </x:xf>
    <x:xf numFmtId="0" fontId="6" fillId="2" borderId="3" xfId="0" applyNumberFormat="1" applyFont="1" applyFill="1" applyBorder="1" applyAlignment="1">
      <x:alignment vertical="center"/>
    </x:xf>
    <x:xf numFmtId="0" fontId="6" fillId="2" borderId="4" xfId="0" applyNumberFormat="1" applyFont="1" applyFill="1" applyBorder="1" applyAlignment="1">
      <x:alignment vertical="center"/>
    </x:xf>
    <x:xf numFmtId="0" fontId="6" fillId="5" borderId="5" xfId="0" applyNumberFormat="1" applyFont="1" applyFill="1" applyBorder="1" applyAlignment="1">
      <x:alignment horizontal="center" vertical="center" wrapText="1"/>
    </x:xf>
    <x:xf numFmtId="0" fontId="6" fillId="5" borderId="6" xfId="0" applyNumberFormat="1" applyFont="1" applyFill="1" applyBorder="1" applyAlignment="1">
      <x:alignment horizontal="center" vertical="center" wrapText="1"/>
    </x:xf>
    <x:xf numFmtId="0" fontId="6" fillId="5" borderId="7" xfId="0" applyNumberFormat="1" applyFont="1" applyFill="1" applyBorder="1" applyAlignment="1">
      <x:alignment horizontal="center" vertical="center" wrapText="1"/>
    </x:xf>
    <x:xf numFmtId="202" fontId="10" fillId="0" borderId="0" xfId="0" applyNumberFormat="1" applyFont="1" applyFill="1" applyBorder="1"/>
    <x:xf numFmtId="0" fontId="11" fillId="0" borderId="0" xfId="0" applyNumberFormat="1" applyFont="1" applyFill="1" applyBorder="1"/>
    <x:xf numFmtId="200" fontId="10" fillId="0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/>
    </x:xf>
    <x:xf numFmtId="200" fontId="10" fillId="4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201" fontId="10" fillId="4" borderId="0" xfId="0" applyNumberFormat="1" applyFont="1" applyFill="1" applyBorder="1" applyAlignment="1">
      <x:alignment vertical="center"/>
    </x:xf>
    <x:xf numFmtId="202" fontId="10" fillId="4" borderId="0" xfId="0" applyNumberFormat="1" applyFont="1" applyFill="1" applyBorder="1" applyAlignment="1">
      <x:alignment vertical="center"/>
    </x:xf>
    <x:xf numFmtId="0" fontId="10" fillId="4" borderId="0" xfId="0" applyNumberFormat="1" applyFont="1" applyFill="1" applyBorder="1" applyAlignment="1">
      <x:alignment vertical="center"/>
    </x:xf>
    <x:xf numFmtId="203" fontId="10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2" fontId="10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/>
    </x:xf>
    <x:xf numFmtId="202" fontId="6" fillId="0" borderId="8" xfId="0" applyNumberFormat="1" applyFont="1" applyFill="1" applyBorder="1" applyAlignment="1">
      <x:alignment vertical="center"/>
    </x:xf>
    <x:xf numFmtId="200" fontId="10" fillId="0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201" fontId="4" fillId="4" borderId="0" xfId="0" applyNumberFormat="1" applyFont="1" applyFill="1" applyBorder="1" applyAlignment="1">
      <x:alignment vertical="center"/>
    </x:xf>
    <x:xf numFmtId="202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203" fontId="4" fillId="4" borderId="0" xfId="0" applyNumberFormat="1" applyFont="1" applyFill="1" applyBorder="1" applyAlignment="1">
      <x:alignment vertical="center"/>
    </x:xf>
    <x:xf numFmtId="204" fontId="10" fillId="0" borderId="0" xfId="0" applyNumberFormat="1" applyFont="1" applyFill="1" applyBorder="1" applyAlignment="1">
      <x:alignment vertical="center"/>
    </x:xf>
    <x:xf numFmtId="204" fontId="12" fillId="0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/>
    </x:xf>
    <x:xf numFmtId="204" fontId="6" fillId="0" borderId="8" xfId="0" applyNumberFormat="1" applyFont="1" applyFill="1" applyBorder="1"/>
    <x:xf numFmtId="205" fontId="4" fillId="4" borderId="0" xfId="0" applyNumberFormat="1" applyFont="1" applyFill="1" applyBorder="1" applyAlignment="1">
      <x:alignment vertical="center"/>
    </x:xf>
    <x:xf numFmtId="204" fontId="10" fillId="4" borderId="0" xfId="0" applyNumberFormat="1" applyFont="1" applyFill="1" applyBorder="1" applyAlignment="1">
      <x:alignment vertical="center"/>
    </x:xf>
    <x:xf numFmtId="204" fontId="4" fillId="4" borderId="0" xfId="0" applyNumberFormat="1" applyFont="1" applyFill="1" applyBorder="1" applyAlignment="1">
      <x:alignment vertical="center"/>
    </x:xf>
    <x:xf numFmtId="205" fontId="10" fillId="0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13" fillId="6" borderId="0" xfId="0" applyNumberFormat="1" applyFont="1" applyFill="1" applyBorder="1"/>
    <x:xf numFmtId="0" fontId="13" fillId="6" borderId="0" xfId="0" applyNumberFormat="1" applyFont="1" applyFill="1" applyBorder="1" applyAlignment="1">
      <x:alignment horizontal="center"/>
    </x:xf>
    <x:xf numFmtId="0" fontId="13" fillId="6" borderId="0" xfId="0" applyNumberFormat="1" applyFont="1" applyFill="1" applyBorder="1" applyAlignment="1">
      <x:alignment horizontal="center" vertical="center"/>
    </x:xf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horizontal="center"/>
    </x:xf>
    <x:xf numFmtId="0" fontId="14" fillId="0" borderId="0" xfId="0" applyNumberFormat="1" applyFont="1" applyFill="1" applyBorder="1" applyAlignment="1">
      <x:alignment horizontal="center" vertical="center"/>
    </x:xf>
    <x:xf numFmtId="202" fontId="14" fillId="0" borderId="0" xfId="0" applyNumberFormat="1" applyFont="1" applyFill="1" applyBorder="1" applyAlignment="1">
      <x:alignment horizontal="center" vertical="center"/>
    </x:xf>
    <x:xf numFmtId="202" fontId="6" fillId="0" borderId="0" xfId="0" applyNumberFormat="1" applyFont="1" applyFill="1" applyBorder="1" applyAlignment="1">
      <x:alignment vertical="center"/>
    </x:xf>
    <x:xf numFmtId="0" fontId="10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5" fillId="0" borderId="0" xfId="0" applyNumberFormat="1" applyFont="1" applyFill="1" applyBorder="1"/>
    <x:xf numFmtId="0" fontId="15" fillId="0" borderId="1" xfId="0" applyNumberFormat="1" applyFont="1" applyFill="1" applyBorder="1"/>
    <x:xf numFmtId="0" fontId="15" fillId="3" borderId="0" xfId="0" applyNumberFormat="1" applyFont="1" applyFill="1" applyBorder="1"/>
    <x:xf numFmtId="0" fontId="15" fillId="0" borderId="0" xfId="0" applyNumberFormat="1" applyFont="1" applyFill="1" applyBorder="1" applyAlignment="1">
      <x:alignment vertical="center"/>
    </x:xf>
    <x:xf numFmtId="0" fontId="15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5" fillId="3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4" fontId="6" fillId="0" borderId="8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 applyAlignment="1">
      <x:alignment wrapText="1"/>
    </x:xf>
    <x:xf numFmtId="0" fontId="1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d973ff4c104190" /><Relationship Type="http://schemas.openxmlformats.org/officeDocument/2006/relationships/theme" Target="/xl/theme/theme1.xml" Id="Rb967098b50cd494b" /><Relationship Type="http://schemas.openxmlformats.org/officeDocument/2006/relationships/sharedStrings" Target="/xl/sharedStrings.xml" Id="Rc270a45a11be4e96" /><Relationship Type="http://schemas.openxmlformats.org/officeDocument/2006/relationships/worksheet" Target="/xl/worksheets/sheet1.xml" Id="R5e5e5779cab24a96" /><Relationship Type="http://schemas.openxmlformats.org/officeDocument/2006/relationships/worksheet" Target="/xl/worksheets/sheet2.xml" Id="R81cdaee275064191" /><Relationship Type="http://schemas.openxmlformats.org/officeDocument/2006/relationships/worksheet" Target="/xl/worksheets/sheet3.xml" Id="R2e6820dfe4984764" /><Relationship Type="http://schemas.openxmlformats.org/officeDocument/2006/relationships/worksheet" Target="/xl/worksheets/sheet4.xml" Id="R08bf9180e36f4d0c" /><Relationship Type="http://schemas.openxmlformats.org/officeDocument/2006/relationships/worksheet" Target="/xl/worksheets/sheet5.xml" Id="Re89864a70b8f4639" /><Relationship Type="http://schemas.openxmlformats.org/officeDocument/2006/relationships/worksheet" Target="/xl/worksheets/sheet6.xml" Id="R0d435110e015428e" /><Relationship Type="http://schemas.openxmlformats.org/officeDocument/2006/relationships/worksheet" Target="/xl/worksheets/sheet7.xml" Id="R071c7c6472f04962" /><Relationship Type="http://schemas.openxmlformats.org/officeDocument/2006/relationships/worksheet" Target="/xl/worksheets/sheet8.xml" Id="R2f085a26fa664a71" /><Relationship Type="http://schemas.openxmlformats.org/officeDocument/2006/relationships/worksheet" Target="/xl/worksheets/sheet9.xml" Id="R075228428e2141fb" /><Relationship Type="http://schemas.openxmlformats.org/officeDocument/2006/relationships/worksheet" Target="/xl/worksheets/sheet10.xml" Id="Re5a4fff5c1574de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e130f641a6a4c5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Cohort-one funding by control account (USD millions)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Design production</c:v>
          </c:tx>
          <c:spPr>
            <a:solidFill xmlns:a="http://schemas.openxmlformats.org/drawingml/2006/main">
              <a:srgbClr val="1F4E78"/>
            </a:solidFill>
          </c:spPr>
          <c:cat>
            <c:strRef>
              <c:f>'Summary'!$B$28:$B$33</c:f>
              <c:strCache>
                <c:ptCount val="0"/>
              </c:strCache>
            </c:strRef>
          </c:cat>
          <c:val>
            <c:numRef>
              <c:f>'Summary'!$D$28:$D$33</c:f>
              <c:numCache>
                <c:formatCode>$#,##0.0</c:formatCode>
                <c:ptCount val="0"/>
              </c:numCache>
            </c:numRef>
          </c:val>
        </c:ser>
        <c:ser>
          <c:idx val="1"/>
          <c:order val="1"/>
          <c:tx>
            <c:v>Independent replay</c:v>
          </c:tx>
          <c:spPr>
            <a:solidFill xmlns:a="http://schemas.openxmlformats.org/drawingml/2006/main">
              <a:srgbClr val="0F6B78"/>
            </a:solidFill>
          </c:spPr>
          <c:cat>
            <c:strRef>
              <c:f>'Summary'!$B$28:$B$33</c:f>
              <c:strCache>
                <c:ptCount val="0"/>
              </c:strCache>
            </c:strRef>
          </c:cat>
          <c:val>
            <c:numRef>
              <c:f>'Summary'!$E$28:$E$33</c:f>
              <c:numCache>
                <c:formatCode>$#,##0.0</c:formatCode>
                <c:ptCount val="0"/>
              </c:numCache>
            </c:numRef>
          </c:val>
        </c:ser>
        <c:ser>
          <c:idx val="2"/>
          <c:order val="2"/>
          <c:tx>
            <c:v>Public escrow</c:v>
          </c:tx>
          <c:spPr>
            <a:solidFill xmlns:a="http://schemas.openxmlformats.org/drawingml/2006/main">
              <a:srgbClr val="7F8C8D"/>
            </a:solidFill>
          </c:spPr>
          <c:cat>
            <c:strRef>
              <c:f>'Summary'!$B$28:$B$33</c:f>
              <c:strCache>
                <c:ptCount val="0"/>
              </c:strCache>
            </c:strRef>
          </c:cat>
          <c:val>
            <c:numRef>
              <c:f>'Summary'!$F$28:$F$33</c:f>
              <c:numCache>
                <c:formatCode>$#,##0.0</c:formatCode>
                <c:ptCount val="0"/>
              </c:numCache>
            </c:numRef>
          </c:val>
        </c:ser>
        <c:ser>
          <c:idx val="3"/>
          <c:order val="3"/>
          <c:tx>
            <c:v>Completion holdback</c:v>
          </c:tx>
          <c:spPr>
            <a:solidFill xmlns:a="http://schemas.openxmlformats.org/drawingml/2006/main">
              <a:srgbClr val="C69214"/>
            </a:solidFill>
          </c:spPr>
          <c:cat>
            <c:strRef>
              <c:f>'Summary'!$B$28:$B$33</c:f>
              <c:strCache>
                <c:ptCount val="0"/>
              </c:strCache>
            </c:strRef>
          </c:cat>
          <c:val>
            <c:numRef>
              <c:f>'Summary'!$G$28:$G$33</c:f>
              <c:numCache>
                <c:formatCode>$#,##0.0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6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130f641a6a4c5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0a587255b1d4bb8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0" hidden="0" customWidth="1"/>
    <x:col min="2" max="2" width="4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2">
      <x:c r="A2" s="2" t="str">
        <x:v>Cohort-one Artifact Validity Authority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  <x:c r="N2" s="103"/>
    </x:row>
    <x:row r="3">
      <x:c r="A3" s="104"/>
      <x:c r="B3" s="104"/>
      <x:c r="C3" s="104"/>
      <x:c r="D3" s="104"/>
      <x:c r="E3" s="104"/>
      <x:c r="F3" s="104"/>
      <x:c r="G3" s="104"/>
      <x:c r="H3" s="104"/>
      <x:c r="I3" s="104"/>
      <x:c r="J3" s="104"/>
      <x:c r="K3" s="104"/>
      <x:c r="L3" s="104"/>
      <x:c r="M3" s="104"/>
      <x:c r="N3" s="104"/>
    </x:row>
    <x:row r="4">
      <x:c r="A4" s="105" t="str">
        <x:v>Pass 231 decision model. Design completion can become payable without becoming evidence, selection, construction or measured form.</x:v>
      </x:c>
      <x:c r="B4" s="103"/>
      <x:c r="C4" s="103"/>
      <x:c r="D4" s="103"/>
      <x:c r="E4" s="103"/>
      <x:c r="F4" s="103"/>
      <x:c r="G4" s="103"/>
      <x:c r="H4" s="103"/>
      <x:c r="I4" s="103"/>
      <x:c r="J4" s="103"/>
      <x:c r="K4" s="103"/>
      <x:c r="L4" s="103"/>
      <x:c r="M4" s="103"/>
      <x:c r="N4" s="103"/>
    </x:row>
    <x:row r="5">
      <x:c r="A5" s="103"/>
      <x:c r="B5" s="103"/>
      <x:c r="C5" s="103"/>
      <x:c r="D5" s="103"/>
      <x:c r="E5" s="103"/>
      <x:c r="F5" s="103"/>
      <x:c r="G5" s="103"/>
      <x:c r="H5" s="103"/>
      <x:c r="I5" s="103"/>
      <x:c r="J5" s="103"/>
      <x:c r="K5" s="103"/>
      <x:c r="L5" s="103"/>
      <x:c r="M5" s="103"/>
      <x:c r="N5" s="103"/>
    </x:row>
    <x:row r="6">
      <x:c r="A6" s="89" t="str">
        <x:v>DECISION: ISSUE AVC-1 AS A CONDITIONAL PACKAGE-LEVEL AUTHORITY</x:v>
      </x:c>
      <x:c r="B6" s="89"/>
      <x:c r="C6" s="89"/>
      <x:c r="D6" s="89"/>
      <x:c r="E6" s="89"/>
      <x:c r="F6" s="89"/>
      <x:c r="G6" s="103"/>
      <x:c r="H6" s="103"/>
      <x:c r="I6" s="103"/>
      <x:c r="J6" s="103"/>
      <x:c r="K6" s="103"/>
      <x:c r="L6" s="103"/>
      <x:c r="M6" s="103"/>
      <x:c r="N6" s="103"/>
    </x:row>
    <x:row r="7">
      <x:c r="A7" s="103"/>
      <x:c r="B7" s="103"/>
      <x:c r="C7" s="103"/>
      <x:c r="D7" s="103"/>
      <x:c r="E7" s="103"/>
      <x:c r="F7" s="103"/>
      <x:c r="G7" s="103"/>
      <x:c r="H7" s="103"/>
      <x:c r="I7" s="103"/>
      <x:c r="J7" s="103"/>
      <x:c r="K7" s="103"/>
      <x:c r="L7" s="103"/>
      <x:c r="M7" s="103"/>
      <x:c r="N7" s="103"/>
    </x:row>
    <x:row r="8">
      <x:c r="A8" s="31" t="str">
        <x:v>Active forms</x:v>
      </x:c>
      <x:c r="B8" s="32" t="str">
        <x:v>Funded packages</x:v>
      </x:c>
      <x:c r="C8" s="32" t="str">
        <x:v>Obligation</x:v>
      </x:c>
      <x:c r="D8" s="32" t="str">
        <x:v>Protected siblings</x:v>
      </x:c>
      <x:c r="E8" s="32" t="str">
        <x:v>Valid packages</x:v>
      </x:c>
      <x:c r="F8" s="33" t="str">
        <x:v>Paid</x:v>
      </x:c>
      <x:c r="G8" s="103"/>
      <x:c r="H8" s="103"/>
      <x:c r="I8" s="103"/>
      <x:c r="J8" s="103"/>
      <x:c r="K8" s="103"/>
      <x:c r="L8" s="103"/>
      <x:c r="M8" s="103"/>
      <x:c r="N8" s="103"/>
    </x:row>
    <x:row r="9">
      <x:c r="A9" s="92" t="n">
        <x:f>COUNTA(Inputs!B28:B33)</x:f>
        <x:v>6</x:v>
      </x:c>
      <x:c r="B9" s="92" t="n">
        <x:f>COUNTA('Package Build'!A7:A36)</x:f>
        <x:v>30</x:v>
      </x:c>
      <x:c r="C9" s="93" t="n">
        <x:f>'Package Build'!H37</x:f>
        <x:v>179.36666666666665</x:v>
      </x:c>
      <x:c r="D9" s="93" t="n">
        <x:f>Inputs!B17</x:f>
        <x:v>358.7333333333</x:v>
      </x:c>
      <x:c r="E9" s="92" t="n">
        <x:f>COUNTIF('Package Build'!O7:O36,"VALID")</x:f>
        <x:v>0</x:v>
      </x:c>
      <x:c r="F9" s="93" t="n">
        <x:f>SUM('Payment Schedule'!K7:K186)</x:f>
        <x:v>0</x:v>
      </x:c>
      <x:c r="G9" s="103"/>
      <x:c r="H9" s="103"/>
      <x:c r="I9" s="103"/>
      <x:c r="J9" s="103"/>
      <x:c r="K9" s="103"/>
      <x:c r="L9" s="103"/>
      <x:c r="M9" s="103"/>
      <x:c r="N9" s="103"/>
    </x:row>
    <x:row r="10">
      <x:c r="A10" s="103"/>
      <x:c r="B10" s="103"/>
      <x:c r="C10" s="103"/>
      <x:c r="D10" s="103"/>
      <x:c r="E10" s="103"/>
      <x:c r="F10" s="103"/>
      <x:c r="G10" s="103"/>
      <x:c r="H10" s="103"/>
      <x:c r="I10" s="103"/>
      <x:c r="J10" s="103"/>
      <x:c r="K10" s="103"/>
      <x:c r="L10" s="103"/>
      <x:c r="M10" s="103"/>
      <x:c r="N10" s="103"/>
    </x:row>
    <x:row r="11">
      <x:c r="A11" s="103"/>
      <x:c r="B11" s="103"/>
      <x:c r="C11" s="103"/>
      <x:c r="D11" s="103"/>
      <x:c r="E11" s="103"/>
      <x:c r="F11" s="103"/>
      <x:c r="G11" s="103"/>
      <x:c r="H11" s="103"/>
      <x:c r="I11" s="103"/>
      <x:c r="J11" s="103"/>
      <x:c r="K11" s="103"/>
      <x:c r="L11" s="103"/>
      <x:c r="M11" s="103"/>
      <x:c r="N11" s="103"/>
    </x:row>
    <x:row r="12">
      <x:c r="A12" s="103"/>
      <x:c r="B12" s="103"/>
      <x:c r="C12" s="103"/>
      <x:c r="D12" s="103"/>
      <x:c r="E12" s="103"/>
      <x:c r="F12" s="103"/>
      <x:c r="G12" s="103"/>
      <x:c r="H12" s="103"/>
      <x:c r="I12" s="103"/>
      <x:c r="J12" s="103"/>
      <x:c r="K12" s="103"/>
      <x:c r="L12" s="103"/>
      <x:c r="M12" s="103"/>
      <x:c r="N12" s="103"/>
    </x:row>
    <x:row r="13">
      <x:c r="A13" s="10" t="str">
        <x:v>Current authority boundary</x:v>
      </x:c>
      <x:c r="B13" s="11" t="str">
        <x:v>Current authority boundary</x:v>
      </x:c>
      <x:c r="C13" s="11" t="str">
        <x:v>Current authority boundary</x:v>
      </x:c>
      <x:c r="D13" s="11" t="str">
        <x:v>Current authority boundary</x:v>
      </x:c>
      <x:c r="E13" s="11" t="str">
        <x:v>Current authority boundary</x:v>
      </x:c>
      <x:c r="F13" s="12" t="str">
        <x:v>Current authority boundary</x:v>
      </x:c>
      <x:c r="G13" s="103"/>
      <x:c r="H13" s="103"/>
      <x:c r="I13" s="103"/>
      <x:c r="J13" s="103"/>
      <x:c r="K13" s="103"/>
      <x:c r="L13" s="103"/>
      <x:c r="M13" s="103"/>
      <x:c r="N13" s="103"/>
    </x:row>
    <x:row r="14">
      <x:c r="A14" s="103"/>
      <x:c r="B14" s="103"/>
      <x:c r="C14" s="103"/>
      <x:c r="D14" s="103"/>
      <x:c r="E14" s="103"/>
      <x:c r="F14" s="103"/>
      <x:c r="G14" s="103"/>
      <x:c r="H14" s="103"/>
      <x:c r="I14" s="103"/>
      <x:c r="J14" s="103"/>
      <x:c r="K14" s="103"/>
      <x:c r="L14" s="103"/>
      <x:c r="M14" s="103"/>
      <x:c r="N14" s="103"/>
    </x:row>
    <x:row r="15">
      <x:c r="A15" s="106" t="str">
        <x:v>Artifact acceptance authority</x:v>
      </x:c>
      <x:c r="B15" s="107" t="str">
        <x:v>CONSTITUTED / NO ACCEPTED RECORD</x:v>
      </x:c>
      <x:c r="C15" s="103"/>
      <x:c r="D15" s="103"/>
      <x:c r="E15" s="103"/>
      <x:c r="F15" s="103"/>
      <x:c r="G15" s="103"/>
      <x:c r="H15" s="103"/>
      <x:c r="I15" s="103"/>
      <x:c r="J15" s="103"/>
      <x:c r="K15" s="103"/>
      <x:c r="L15" s="103"/>
      <x:c r="M15" s="103"/>
      <x:c r="N15" s="103"/>
    </x:row>
    <x:row r="16">
      <x:c r="A16" s="106" t="str">
        <x:v>Payment authority</x:v>
      </x:c>
      <x:c r="B16" s="107" t="str">
        <x:v>CONSTITUTED / NO ELIGIBLE CLAIM</x:v>
      </x:c>
      <x:c r="C16" s="103"/>
      <x:c r="D16" s="103"/>
      <x:c r="E16" s="103"/>
      <x:c r="F16" s="103"/>
      <x:c r="G16" s="103"/>
      <x:c r="H16" s="103"/>
      <x:c r="I16" s="103"/>
      <x:c r="J16" s="103"/>
      <x:c r="K16" s="103"/>
      <x:c r="L16" s="103"/>
      <x:c r="M16" s="103"/>
      <x:c r="N16" s="103"/>
    </x:row>
    <x:row r="17">
      <x:c r="A17" s="106" t="str">
        <x:v>Accepted observation</x:v>
      </x:c>
      <x:c r="B17" s="107" t="str">
        <x:v>HELD</x:v>
      </x:c>
      <x:c r="C17" s="103"/>
      <x:c r="D17" s="103"/>
      <x:c r="E17" s="103"/>
      <x:c r="F17" s="103"/>
      <x:c r="G17" s="103"/>
      <x:c r="H17" s="103"/>
      <x:c r="I17" s="103"/>
      <x:c r="J17" s="103"/>
      <x:c r="K17" s="103"/>
      <x:c r="L17" s="103"/>
      <x:c r="M17" s="103"/>
      <x:c r="N17" s="103"/>
    </x:row>
    <x:row r="18">
      <x:c r="A18" s="106" t="str">
        <x:v>Form selection</x:v>
      </x:c>
      <x:c r="B18" s="107" t="str">
        <x:v>HELD</x:v>
      </x:c>
      <x:c r="C18" s="103"/>
      <x:c r="D18" s="103"/>
      <x:c r="E18" s="103"/>
      <x:c r="F18" s="103"/>
      <x:c r="G18" s="103"/>
      <x:c r="H18" s="103"/>
      <x:c r="I18" s="103"/>
      <x:c r="J18" s="103"/>
      <x:c r="K18" s="103"/>
      <x:c r="L18" s="103"/>
      <x:c r="M18" s="103"/>
      <x:c r="N18" s="103"/>
    </x:row>
    <x:row r="19">
      <x:c r="A19" s="106" t="str">
        <x:v>MAKE</x:v>
      </x:c>
      <x:c r="B19" s="107" t="str">
        <x:v>HELD</x:v>
      </x:c>
      <x:c r="C19" s="103"/>
      <x:c r="D19" s="103"/>
      <x:c r="E19" s="103"/>
      <x:c r="F19" s="103"/>
      <x:c r="G19" s="103"/>
      <x:c r="H19" s="103"/>
      <x:c r="I19" s="103"/>
      <x:c r="J19" s="103"/>
      <x:c r="K19" s="103"/>
      <x:c r="L19" s="103"/>
      <x:c r="M19" s="103"/>
      <x:c r="N19" s="103"/>
    </x:row>
    <x:row r="20">
      <x:c r="A20" s="106" t="str">
        <x:v>REP-4</x:v>
      </x:c>
      <x:c r="B20" s="107" t="str">
        <x:v>HELD</x:v>
      </x:c>
      <x:c r="C20" s="103"/>
      <x:c r="D20" s="103"/>
      <x:c r="E20" s="103"/>
      <x:c r="F20" s="103"/>
      <x:c r="G20" s="103"/>
      <x:c r="H20" s="103"/>
      <x:c r="I20" s="103"/>
      <x:c r="J20" s="103"/>
      <x:c r="K20" s="103"/>
      <x:c r="L20" s="103"/>
      <x:c r="M20" s="103"/>
      <x:c r="N20" s="103"/>
    </x:row>
    <x:row r="21">
      <x:c r="A21" s="106" t="str">
        <x:v>Termination triggers</x:v>
      </x:c>
      <x:c r="B21" s="107" t="str">
        <x:v>PERFORMANCE LEAKAGE OR COMMON CONTROL</x:v>
      </x:c>
      <x:c r="C21" s="103"/>
      <x:c r="D21" s="103"/>
      <x:c r="E21" s="103"/>
      <x:c r="F21" s="103"/>
      <x:c r="G21" s="103"/>
      <x:c r="H21" s="103"/>
      <x:c r="I21" s="103"/>
      <x:c r="J21" s="103"/>
      <x:c r="K21" s="103"/>
      <x:c r="L21" s="103"/>
      <x:c r="M21" s="103"/>
      <x:c r="N21" s="103"/>
    </x:row>
    <x:row r="22">
      <x:c r="A22" s="103"/>
      <x:c r="B22" s="103"/>
      <x:c r="C22" s="103"/>
      <x:c r="D22" s="103"/>
      <x:c r="E22" s="103"/>
      <x:c r="F22" s="103"/>
      <x:c r="G22" s="103"/>
      <x:c r="H22" s="103"/>
      <x:c r="I22" s="103"/>
      <x:c r="J22" s="103"/>
      <x:c r="K22" s="103"/>
      <x:c r="L22" s="103"/>
      <x:c r="M22" s="103"/>
      <x:c r="N22" s="103"/>
    </x:row>
    <x:row r="23">
      <x:c r="A23" s="103"/>
      <x:c r="B23" s="103"/>
      <x:c r="C23" s="103"/>
      <x:c r="D23" s="103"/>
      <x:c r="E23" s="103"/>
      <x:c r="F23" s="103"/>
      <x:c r="G23" s="103"/>
      <x:c r="H23" s="103"/>
      <x:c r="I23" s="103"/>
      <x:c r="J23" s="103"/>
      <x:c r="K23" s="103"/>
      <x:c r="L23" s="103"/>
      <x:c r="M23" s="103"/>
      <x:c r="N23" s="103"/>
    </x:row>
    <x:row r="24">
      <x:c r="A24" s="103"/>
      <x:c r="B24" s="103"/>
      <x:c r="C24" s="103"/>
      <x:c r="D24" s="103"/>
      <x:c r="E24" s="103"/>
      <x:c r="F24" s="103"/>
      <x:c r="G24" s="103"/>
      <x:c r="H24" s="103"/>
      <x:c r="I24" s="103"/>
      <x:c r="J24" s="103"/>
      <x:c r="K24" s="103"/>
      <x:c r="L24" s="103"/>
      <x:c r="M24" s="103"/>
      <x:c r="N24" s="103"/>
    </x:row>
    <x:row r="25">
      <x:c r="A25" s="10" t="str">
        <x:v>Allocation by active form (USD millions)</x:v>
      </x:c>
      <x:c r="B25" s="11" t="str">
        <x:v>Allocation by active form (USD millions)</x:v>
      </x:c>
      <x:c r="C25" s="11" t="str">
        <x:v>Allocation by active form (USD millions)</x:v>
      </x:c>
      <x:c r="D25" s="11" t="str">
        <x:v>Allocation by active form (USD millions)</x:v>
      </x:c>
      <x:c r="E25" s="11" t="str">
        <x:v>Allocation by active form (USD millions)</x:v>
      </x:c>
      <x:c r="F25" s="11" t="str">
        <x:v>Allocation by active form (USD millions)</x:v>
      </x:c>
      <x:c r="G25" s="12" t="str">
        <x:v>Allocation by active form (USD millions)</x:v>
      </x:c>
      <x:c r="H25" s="103"/>
      <x:c r="I25" s="103"/>
      <x:c r="J25" s="103"/>
      <x:c r="K25" s="103"/>
      <x:c r="L25" s="103"/>
      <x:c r="M25" s="103"/>
      <x:c r="N25" s="103"/>
    </x:row>
    <x:row r="26">
      <x:c r="A26" s="103"/>
      <x:c r="B26" s="103"/>
      <x:c r="C26" s="103"/>
      <x:c r="D26" s="103"/>
      <x:c r="E26" s="103"/>
      <x:c r="F26" s="103"/>
      <x:c r="G26" s="103"/>
      <x:c r="H26" s="103"/>
      <x:c r="I26" s="103"/>
      <x:c r="J26" s="103"/>
      <x:c r="K26" s="103"/>
      <x:c r="L26" s="103"/>
      <x:c r="M26" s="103"/>
      <x:c r="N26" s="103"/>
    </x:row>
    <x:row r="27">
      <x:c r="A27" s="31" t="str">
        <x:v>Root</x:v>
      </x:c>
      <x:c r="B27" s="32" t="str">
        <x:v>Form</x:v>
      </x:c>
      <x:c r="C27" s="32" t="str">
        <x:v>Package ceiling</x:v>
      </x:c>
      <x:c r="D27" s="32" t="str">
        <x:v>Design production</x:v>
      </x:c>
      <x:c r="E27" s="32" t="str">
        <x:v>Independent replay</x:v>
      </x:c>
      <x:c r="F27" s="32" t="str">
        <x:v>Public escrow</x:v>
      </x:c>
      <x:c r="G27" s="33" t="str">
        <x:v>Completion holdback</x:v>
      </x:c>
      <x:c r="H27" s="103"/>
      <x:c r="I27" s="103"/>
      <x:c r="J27" s="103"/>
      <x:c r="K27" s="103"/>
      <x:c r="L27" s="103"/>
      <x:c r="M27" s="103"/>
      <x:c r="N27" s="103"/>
    </x:row>
    <x:row r="28">
      <x:c r="A28" s="62" t="str">
        <x:f>Inputs!A28</x:f>
        <x:v>ET-A</x:v>
      </x:c>
      <x:c r="B28" s="62" t="str">
        <x:f>Inputs!B28</x:f>
        <x:v>ET-A-A</x:v>
      </x:c>
      <x:c r="C28" s="68" t="n">
        <x:f>SUM('Package Build'!H7:H11)</x:f>
        <x:v>25.03333333333333</x:v>
      </x:c>
      <x:c r="D28" s="68" t="n">
        <x:f>SUM('Package Build'!I7:I11)</x:f>
        <x:v>18.023999999999997</x:v>
      </x:c>
      <x:c r="E28" s="68" t="n">
        <x:f>SUM('Package Build'!J7:J11)</x:f>
        <x:v>3.7549999999999994</x:v>
      </x:c>
      <x:c r="F28" s="68" t="n">
        <x:f>SUM('Package Build'!K7:K11)</x:f>
        <x:v>2.0026666666666664</x:v>
      </x:c>
      <x:c r="G28" s="68" t="n">
        <x:f>SUM('Package Build'!L7:L11)</x:f>
        <x:v>1.2516666666666665</x:v>
      </x:c>
      <x:c r="H28" s="103"/>
      <x:c r="I28" s="103"/>
      <x:c r="J28" s="103"/>
      <x:c r="K28" s="103"/>
      <x:c r="L28" s="103"/>
      <x:c r="M28" s="103"/>
      <x:c r="N28" s="103"/>
    </x:row>
    <x:row r="29">
      <x:c r="A29" s="62" t="str">
        <x:f>Inputs!A29</x:f>
        <x:v>CT-C</x:v>
      </x:c>
      <x:c r="B29" s="62" t="str">
        <x:f>Inputs!B29</x:f>
        <x:v>CT-C-B</x:v>
      </x:c>
      <x:c r="C29" s="68" t="n">
        <x:f>SUM('Package Build'!H12:H16)</x:f>
        <x:v>25.833333333333332</x:v>
      </x:c>
      <x:c r="D29" s="68" t="n">
        <x:f>SUM('Package Build'!I12:I16)</x:f>
        <x:v>18.599999999999998</x:v>
      </x:c>
      <x:c r="E29" s="68" t="n">
        <x:f>SUM('Package Build'!J12:J16)</x:f>
        <x:v>3.8749999999999996</x:v>
      </x:c>
      <x:c r="F29" s="68" t="n">
        <x:f>SUM('Package Build'!K12:K16)</x:f>
        <x:v>2.0666666666666664</x:v>
      </x:c>
      <x:c r="G29" s="68" t="n">
        <x:f>SUM('Package Build'!L12:L16)</x:f>
        <x:v>1.2916666666666665</x:v>
      </x:c>
      <x:c r="H29" s="103"/>
      <x:c r="I29" s="103"/>
      <x:c r="J29" s="103"/>
      <x:c r="K29" s="103"/>
      <x:c r="L29" s="103"/>
      <x:c r="M29" s="103"/>
      <x:c r="N29" s="103"/>
    </x:row>
    <x:row r="30">
      <x:c r="A30" s="62" t="str">
        <x:f>Inputs!A30</x:f>
        <x:v>HC-A</x:v>
      </x:c>
      <x:c r="B30" s="62" t="str">
        <x:f>Inputs!B30</x:f>
        <x:v>HC-A-C</x:v>
      </x:c>
      <x:c r="C30" s="68" t="n">
        <x:f>SUM('Package Build'!H17:H21)</x:f>
        <x:v>15.366666666666667</x:v>
      </x:c>
      <x:c r="D30" s="68" t="n">
        <x:f>SUM('Package Build'!I17:I21)</x:f>
        <x:v>11.063999999999998</x:v>
      </x:c>
      <x:c r="E30" s="68" t="n">
        <x:f>SUM('Package Build'!J17:J21)</x:f>
        <x:v>2.3049999999999997</x:v>
      </x:c>
      <x:c r="F30" s="68" t="n">
        <x:f>SUM('Package Build'!K17:K21)</x:f>
        <x:v>1.2293333333333334</x:v>
      </x:c>
      <x:c r="G30" s="68" t="n">
        <x:f>SUM('Package Build'!L17:L21)</x:f>
        <x:v>0.7683333333333335</x:v>
      </x:c>
      <x:c r="H30" s="103"/>
      <x:c r="I30" s="103"/>
      <x:c r="J30" s="103"/>
      <x:c r="K30" s="103"/>
      <x:c r="L30" s="103"/>
      <x:c r="M30" s="103"/>
      <x:c r="N30" s="103"/>
    </x:row>
    <x:row r="31">
      <x:c r="A31" s="62" t="str">
        <x:f>Inputs!A31</x:f>
        <x:v>LF-B</x:v>
      </x:c>
      <x:c r="B31" s="62" t="str">
        <x:f>Inputs!B31</x:f>
        <x:v>LF-B-A</x:v>
      </x:c>
      <x:c r="C31" s="68" t="n">
        <x:f>SUM('Package Build'!H22:H26)</x:f>
        <x:v>45</x:v>
      </x:c>
      <x:c r="D31" s="68" t="n">
        <x:f>SUM('Package Build'!I22:I26)</x:f>
        <x:v>32.4</x:v>
      </x:c>
      <x:c r="E31" s="68" t="n">
        <x:f>SUM('Package Build'!J22:J26)</x:f>
        <x:v>6.75</x:v>
      </x:c>
      <x:c r="F31" s="68" t="n">
        <x:f>SUM('Package Build'!K22:K26)</x:f>
        <x:v>3.6</x:v>
      </x:c>
      <x:c r="G31" s="68" t="n">
        <x:f>SUM('Package Build'!L22:L26)</x:f>
        <x:v>2.25</x:v>
      </x:c>
      <x:c r="H31" s="103"/>
      <x:c r="I31" s="103"/>
      <x:c r="J31" s="103"/>
      <x:c r="K31" s="103"/>
      <x:c r="L31" s="103"/>
      <x:c r="M31" s="103"/>
      <x:c r="N31" s="103"/>
    </x:row>
    <x:row r="32">
      <x:c r="A32" s="62" t="str">
        <x:f>Inputs!A32</x:f>
        <x:v>HU-A</x:v>
      </x:c>
      <x:c r="B32" s="62" t="str">
        <x:f>Inputs!B32</x:f>
        <x:v>HU-A-B</x:v>
      </x:c>
      <x:c r="C32" s="68" t="n">
        <x:f>SUM('Package Build'!H27:H31)</x:f>
        <x:v>43</x:v>
      </x:c>
      <x:c r="D32" s="68" t="n">
        <x:f>SUM('Package Build'!I27:I31)</x:f>
        <x:v>30.96</x:v>
      </x:c>
      <x:c r="E32" s="68" t="n">
        <x:f>SUM('Package Build'!J27:J31)</x:f>
        <x:v>6.45</x:v>
      </x:c>
      <x:c r="F32" s="68" t="n">
        <x:f>SUM('Package Build'!K27:K31)</x:f>
        <x:v>3.44</x:v>
      </x:c>
      <x:c r="G32" s="68" t="n">
        <x:f>SUM('Package Build'!L27:L31)</x:f>
        <x:v>2.1500000000000004</x:v>
      </x:c>
      <x:c r="H32" s="103"/>
      <x:c r="I32" s="103"/>
      <x:c r="J32" s="103"/>
      <x:c r="K32" s="103"/>
      <x:c r="L32" s="103"/>
      <x:c r="M32" s="103"/>
      <x:c r="N32" s="103"/>
    </x:row>
    <x:row r="33">
      <x:c r="A33" s="62" t="str">
        <x:f>Inputs!A33</x:f>
        <x:v>RT-B</x:v>
      </x:c>
      <x:c r="B33" s="62" t="str">
        <x:f>Inputs!B33</x:f>
        <x:v>RT-B-C</x:v>
      </x:c>
      <x:c r="C33" s="68" t="n">
        <x:f>SUM('Package Build'!H32:H36)</x:f>
        <x:v>25.133333333333336</x:v>
      </x:c>
      <x:c r="D33" s="68" t="n">
        <x:f>SUM('Package Build'!I32:I36)</x:f>
        <x:v>18.096000000000004</x:v>
      </x:c>
      <x:c r="E33" s="68" t="n">
        <x:f>SUM('Package Build'!J32:J36)</x:f>
        <x:v>3.7700000000000005</x:v>
      </x:c>
      <x:c r="F33" s="68" t="n">
        <x:f>SUM('Package Build'!K32:K36)</x:f>
        <x:v>2.010666666666667</x:v>
      </x:c>
      <x:c r="G33" s="68" t="n">
        <x:f>SUM('Package Build'!L32:L36)</x:f>
        <x:v>1.256666666666667</x:v>
      </x:c>
      <x:c r="H33" s="103"/>
      <x:c r="I33" s="103"/>
      <x:c r="J33" s="103"/>
      <x:c r="K33" s="103"/>
      <x:c r="L33" s="103"/>
      <x:c r="M33" s="103"/>
      <x:c r="N33" s="103"/>
    </x:row>
    <x:row r="34">
      <x:c r="A34" s="70" t="str">
        <x:v>Total</x:v>
      </x:c>
      <x:c r="B34" s="70"/>
      <x:c r="C34" s="71" t="n">
        <x:f>SUM(C28:C33)</x:f>
        <x:v>179.36666666666665</x:v>
      </x:c>
      <x:c r="D34" s="71" t="n">
        <x:f>SUM(D28:D33)</x:f>
        <x:v>129.144</x:v>
      </x:c>
      <x:c r="E34" s="71" t="n">
        <x:f>SUM(E28:E33)</x:f>
        <x:v>26.904999999999998</x:v>
      </x:c>
      <x:c r="F34" s="71" t="n">
        <x:f>SUM(F28:F33)</x:f>
        <x:v>14.349333333333332</x:v>
      </x:c>
      <x:c r="G34" s="71" t="n">
        <x:f>SUM(G28:G33)</x:f>
        <x:v>8.968333333333334</x:v>
      </x:c>
      <x:c r="H34" s="103"/>
      <x:c r="I34" s="103"/>
      <x:c r="J34" s="103"/>
      <x:c r="K34" s="103"/>
      <x:c r="L34" s="103"/>
      <x:c r="M34" s="103"/>
      <x:c r="N34" s="103"/>
    </x:row>
    <x:row r="35">
      <x:c r="A35" s="103"/>
      <x:c r="B35" s="103"/>
      <x:c r="C35" s="103"/>
      <x:c r="D35" s="103"/>
      <x:c r="E35" s="103"/>
      <x:c r="F35" s="103"/>
      <x:c r="G35" s="103"/>
      <x:c r="H35" s="103"/>
      <x:c r="I35" s="103"/>
      <x:c r="J35" s="103"/>
      <x:c r="K35" s="103"/>
      <x:c r="L35" s="103"/>
      <x:c r="M35" s="103"/>
      <x:c r="N35" s="103"/>
    </x:row>
    <x:row r="36">
      <x:c r="A36" s="103"/>
      <x:c r="B36" s="103"/>
      <x:c r="C36" s="103"/>
      <x:c r="D36" s="103"/>
      <x:c r="E36" s="103"/>
      <x:c r="F36" s="103"/>
      <x:c r="G36" s="103"/>
      <x:c r="H36" s="103"/>
      <x:c r="I36" s="103"/>
      <x:c r="J36" s="103"/>
      <x:c r="K36" s="103"/>
      <x:c r="L36" s="103"/>
      <x:c r="M36" s="103"/>
      <x:c r="N36" s="103"/>
    </x:row>
    <x:row r="37">
      <x:c r="A37" s="103"/>
      <x:c r="B37" s="103"/>
      <x:c r="C37" s="103"/>
      <x:c r="D37" s="103"/>
      <x:c r="E37" s="103"/>
      <x:c r="F37" s="103"/>
      <x:c r="G37" s="103"/>
      <x:c r="H37" s="103"/>
      <x:c r="I37" s="103"/>
      <x:c r="J37" s="103"/>
      <x:c r="K37" s="103"/>
      <x:c r="L37" s="103"/>
      <x:c r="M37" s="103"/>
      <x:c r="N37" s="103"/>
    </x:row>
    <x:row r="38">
      <x:c r="A38" s="10" t="str">
        <x:v>Decision logic</x:v>
      </x:c>
      <x:c r="B38" s="11" t="str">
        <x:v>Decision logic</x:v>
      </x:c>
      <x:c r="C38" s="11" t="str">
        <x:v>Decision logic</x:v>
      </x:c>
      <x:c r="D38" s="11" t="str">
        <x:v>Decision logic</x:v>
      </x:c>
      <x:c r="E38" s="11" t="str">
        <x:v>Decision logic</x:v>
      </x:c>
      <x:c r="F38" s="11" t="str">
        <x:v>Decision logic</x:v>
      </x:c>
      <x:c r="G38" s="12" t="str">
        <x:v>Decision logic</x:v>
      </x:c>
      <x:c r="H38" s="103"/>
      <x:c r="I38" s="103"/>
      <x:c r="J38" s="103"/>
      <x:c r="K38" s="103"/>
      <x:c r="L38" s="103"/>
      <x:c r="M38" s="103"/>
      <x:c r="N38" s="103"/>
    </x:row>
    <x:row r="39">
      <x:c r="A39" s="103"/>
      <x:c r="B39" s="103"/>
      <x:c r="C39" s="103"/>
      <x:c r="D39" s="103"/>
      <x:c r="E39" s="103"/>
      <x:c r="F39" s="103"/>
      <x:c r="G39" s="103"/>
      <x:c r="H39" s="103"/>
      <x:c r="I39" s="103"/>
      <x:c r="J39" s="103"/>
      <x:c r="K39" s="103"/>
      <x:c r="L39" s="103"/>
      <x:c r="M39" s="103"/>
      <x:c r="N39" s="103"/>
    </x:row>
    <x:row r="40" ht="30" customHeight="1">
      <x:c r="A40" s="97" t="str">
        <x:v>1</x:v>
      </x:c>
      <x:c r="B40" s="98" t="str">
        <x:v>Validity attaches to a bounded package or milestone, never to a whole-form judgment.</x:v>
      </x:c>
      <x:c r="C40" s="98"/>
      <x:c r="D40" s="98"/>
      <x:c r="E40" s="98"/>
      <x:c r="F40" s="98"/>
      <x:c r="G40" s="98"/>
      <x:c r="H40" s="103"/>
      <x:c r="I40" s="103"/>
      <x:c r="J40" s="103"/>
      <x:c r="K40" s="103"/>
      <x:c r="L40" s="103"/>
      <x:c r="M40" s="103"/>
      <x:c r="N40" s="103"/>
    </x:row>
    <x:row r="41" ht="30" customHeight="1">
      <x:c r="A41" s="97" t="str">
        <x:v>2</x:v>
      </x:c>
      <x:c r="B41" s="98" t="str">
        <x:v>Every accepted artifact requires a source capsule, independent replay and explicit unknowns.</x:v>
      </x:c>
      <x:c r="C41" s="98"/>
      <x:c r="D41" s="98"/>
      <x:c r="E41" s="98"/>
      <x:c r="F41" s="98"/>
      <x:c r="G41" s="98"/>
      <x:c r="H41" s="103"/>
      <x:c r="I41" s="103"/>
      <x:c r="J41" s="103"/>
      <x:c r="K41" s="103"/>
      <x:c r="L41" s="103"/>
      <x:c r="M41" s="103"/>
      <x:c r="N41" s="103"/>
    </x:row>
    <x:row r="42" ht="30" customHeight="1">
      <x:c r="A42" s="97" t="str">
        <x:v>3</x:v>
      </x:c>
      <x:c r="B42" s="98" t="str">
        <x:v>A separate finance warrant releases only the accepted milestone amount.</x:v>
      </x:c>
      <x:c r="C42" s="98"/>
      <x:c r="D42" s="98"/>
      <x:c r="E42" s="98"/>
      <x:c r="F42" s="98"/>
      <x:c r="G42" s="98"/>
      <x:c r="H42" s="103"/>
      <x:c r="I42" s="103"/>
      <x:c r="J42" s="103"/>
      <x:c r="K42" s="103"/>
      <x:c r="L42" s="103"/>
      <x:c r="M42" s="103"/>
      <x:c r="N42" s="103"/>
    </x:row>
    <x:row r="43" ht="30" customHeight="1">
      <x:c r="A43" s="97" t="str">
        <x:v>4</x:v>
      </x:c>
      <x:c r="B43" s="98" t="str">
        <x:v>Acceptance and payment create no observation, survivor, selection, MAKE or REP-4 state.</x:v>
      </x:c>
      <x:c r="C43" s="98"/>
      <x:c r="D43" s="98"/>
      <x:c r="E43" s="98"/>
      <x:c r="F43" s="98"/>
      <x:c r="G43" s="98"/>
      <x:c r="H43" s="103"/>
      <x:c r="I43" s="103"/>
      <x:c r="J43" s="103"/>
      <x:c r="K43" s="103"/>
      <x:c r="L43" s="103"/>
      <x:c r="M43" s="103"/>
      <x:c r="N43" s="103"/>
    </x:row>
    <x:row r="44" ht="30" customHeight="1">
      <x:c r="A44" s="97" t="str">
        <x:v>5</x:v>
      </x:c>
      <x:c r="B44" s="98" t="str">
        <x:v>Performance leakage or shared builder-validity control terminates the affected cell.</x:v>
      </x:c>
      <x:c r="C44" s="98"/>
      <x:c r="D44" s="98"/>
      <x:c r="E44" s="98"/>
      <x:c r="F44" s="98"/>
      <x:c r="G44" s="98"/>
      <x:c r="H44" s="103"/>
      <x:c r="I44" s="103"/>
      <x:c r="J44" s="103"/>
      <x:c r="K44" s="103"/>
      <x:c r="L44" s="103"/>
      <x:c r="M44" s="103"/>
      <x:c r="N44" s="103"/>
    </x:row>
  </x:sheetData>
  <x:mergeCells>
    <x:mergeCell ref="A2:N2"/>
    <x:mergeCell ref="A4:N4"/>
    <x:mergeCell ref="A6:F6"/>
    <x:mergeCell ref="A13:F13"/>
    <x:mergeCell ref="A25:G25"/>
    <x:mergeCell ref="A34:B34"/>
    <x:mergeCell ref="A38:G38"/>
    <x:mergeCell ref="B40:G40"/>
    <x:mergeCell ref="B41:G41"/>
    <x:mergeCell ref="B42:G42"/>
    <x:mergeCell ref="B43:G43"/>
    <x:mergeCell ref="B44:G44"/>
  </x:mergeCells>
  <x:pageMargins left="0.7" right="0.7" top="0.75" bottom="0.75" header="0.3" footer="0.3"/>
  <x:drawing xmlns:r="http://schemas.openxmlformats.org/officeDocument/2006/relationships" r:id="Rb0a587255b1d4bb8"/>
</x:worksheet>
</file>

<file path=xl/worksheets/sheet2.xml><?xml version="1.0" encoding="utf-8"?>
<x:worksheet xmlns:x="http://schemas.openxmlformats.org/spreadsheetml/2006/main">
  <x:sheetPr>
    <x:tabColor rgb="FFDCE6F1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42" hidden="0" customWidth="1"/>
    <x:col min="3" max="3" width="3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58" hidden="0" customWidth="1"/>
  </x:cols>
  <x:sheetData>
    <x:row r="2">
      <x:c r="A2" s="2" t="str">
        <x:v>Artifact Validity Authority inputs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  <x:c r="N2" s="103"/>
    </x:row>
    <x:row r="3">
      <x:c r="A3" s="104"/>
      <x:c r="B3" s="104"/>
      <x:c r="C3" s="104"/>
      <x:c r="D3" s="104"/>
      <x:c r="E3" s="104"/>
      <x:c r="F3" s="104"/>
      <x:c r="G3" s="104"/>
      <x:c r="H3" s="104"/>
      <x:c r="I3" s="104"/>
      <x:c r="J3" s="104"/>
      <x:c r="K3" s="104"/>
      <x:c r="L3" s="104"/>
      <x:c r="M3" s="104"/>
      <x:c r="N3" s="104"/>
    </x:row>
    <x:row r="4">
      <x:c r="A4" s="105" t="str">
        <x:v>Editable controls are blue. Monetary values are USD millions and remain inside the Pass 226 FRAME ceiling.</x:v>
      </x:c>
      <x:c r="B4" s="103"/>
      <x:c r="C4" s="103"/>
      <x:c r="D4" s="103"/>
      <x:c r="E4" s="103"/>
      <x:c r="F4" s="103"/>
      <x:c r="G4" s="103"/>
      <x:c r="H4" s="103"/>
      <x:c r="I4" s="103"/>
      <x:c r="J4" s="103"/>
      <x:c r="K4" s="103"/>
      <x:c r="L4" s="103"/>
      <x:c r="M4" s="103"/>
      <x:c r="N4" s="103"/>
    </x:row>
    <x:row r="5">
      <x:c r="A5" s="103"/>
      <x:c r="B5" s="103"/>
      <x:c r="C5" s="103"/>
      <x:c r="D5" s="103"/>
      <x:c r="E5" s="103"/>
      <x:c r="F5" s="103"/>
      <x:c r="G5" s="103"/>
      <x:c r="H5" s="103"/>
      <x:c r="I5" s="103"/>
      <x:c r="J5" s="103"/>
      <x:c r="K5" s="103"/>
      <x:c r="L5" s="103"/>
      <x:c r="M5" s="103"/>
      <x:c r="N5" s="103"/>
    </x:row>
    <x:row r="6">
      <x:c r="A6" s="10" t="str">
        <x:v>Allocation controls</x:v>
      </x:c>
      <x:c r="B6" s="11" t="str">
        <x:v>Allocation controls</x:v>
      </x:c>
      <x:c r="C6" s="11" t="str">
        <x:v>Allocation controls</x:v>
      </x:c>
      <x:c r="D6" s="12" t="str">
        <x:v>Allocation controls</x:v>
      </x:c>
      <x:c r="E6" s="103"/>
      <x:c r="F6" s="103"/>
      <x:c r="G6" s="103"/>
      <x:c r="H6" s="103"/>
      <x:c r="I6" s="103"/>
      <x:c r="J6" s="103"/>
      <x:c r="K6" s="103"/>
      <x:c r="L6" s="103"/>
      <x:c r="M6" s="103"/>
      <x:c r="N6" s="103"/>
    </x:row>
    <x:row r="7">
      <x:c r="A7" s="60" t="str">
        <x:v>Design production share</x:v>
      </x:c>
      <x:c r="B7" s="73" t="n">
        <x:v>0.72</x:v>
      </x:c>
      <x:c r="C7" s="62"/>
      <x:c r="D7" s="62"/>
      <x:c r="E7" s="62"/>
      <x:c r="F7" s="62"/>
      <x:c r="G7" s="62"/>
      <x:c r="H7" s="62"/>
      <x:c r="I7" s="103"/>
      <x:c r="J7" s="103"/>
      <x:c r="K7" s="103"/>
      <x:c r="L7" s="103"/>
      <x:c r="M7" s="103"/>
      <x:c r="N7" s="103"/>
    </x:row>
    <x:row r="8">
      <x:c r="A8" s="60" t="str">
        <x:v>Independent replay share</x:v>
      </x:c>
      <x:c r="B8" s="73" t="n">
        <x:v>0.15</x:v>
      </x:c>
      <x:c r="C8" s="62"/>
      <x:c r="D8" s="62"/>
      <x:c r="E8" s="62"/>
      <x:c r="F8" s="62"/>
      <x:c r="G8" s="62"/>
      <x:c r="H8" s="62"/>
      <x:c r="I8" s="103"/>
      <x:c r="J8" s="103"/>
      <x:c r="K8" s="103"/>
      <x:c r="L8" s="103"/>
      <x:c r="M8" s="103"/>
      <x:c r="N8" s="103"/>
    </x:row>
    <x:row r="9">
      <x:c r="A9" s="60" t="str">
        <x:v>Public source escrow share</x:v>
      </x:c>
      <x:c r="B9" s="73" t="n">
        <x:v>0.08</x:v>
      </x:c>
      <x:c r="C9" s="62"/>
      <x:c r="D9" s="62"/>
      <x:c r="E9" s="62"/>
      <x:c r="F9" s="62"/>
      <x:c r="G9" s="62"/>
      <x:c r="H9" s="62"/>
      <x:c r="I9" s="103"/>
      <x:c r="J9" s="103"/>
      <x:c r="K9" s="103"/>
      <x:c r="L9" s="103"/>
      <x:c r="M9" s="103"/>
      <x:c r="N9" s="103"/>
    </x:row>
    <x:row r="10">
      <x:c r="A10" s="60" t="str">
        <x:v>Terminal completion holdback</x:v>
      </x:c>
      <x:c r="B10" s="73" t="n">
        <x:v>0.05</x:v>
      </x:c>
      <x:c r="C10" s="62"/>
      <x:c r="D10" s="62"/>
      <x:c r="E10" s="62"/>
      <x:c r="F10" s="62"/>
      <x:c r="G10" s="62"/>
      <x:c r="H10" s="62"/>
      <x:c r="I10" s="103"/>
      <x:c r="J10" s="103"/>
      <x:c r="K10" s="103"/>
      <x:c r="L10" s="103"/>
      <x:c r="M10" s="103"/>
      <x:c r="N10" s="103"/>
    </x:row>
    <x:row r="11">
      <x:c r="A11" s="60" t="str">
        <x:v>Current accepted artifact records</x:v>
      </x:c>
      <x:c r="B11" s="74" t="n">
        <x:v>0</x:v>
      </x:c>
      <x:c r="C11" s="62"/>
      <x:c r="D11" s="62"/>
      <x:c r="E11" s="62"/>
      <x:c r="F11" s="62"/>
      <x:c r="G11" s="62"/>
      <x:c r="H11" s="62"/>
      <x:c r="I11" s="103"/>
      <x:c r="J11" s="103"/>
      <x:c r="K11" s="103"/>
      <x:c r="L11" s="103"/>
      <x:c r="M11" s="103"/>
      <x:c r="N11" s="103"/>
    </x:row>
    <x:row r="12">
      <x:c r="A12" s="60" t="str">
        <x:v>Current paid amount</x:v>
      </x:c>
      <x:c r="B12" s="74" t="n">
        <x:v>0</x:v>
      </x:c>
      <x:c r="C12" s="62"/>
      <x:c r="D12" s="62"/>
      <x:c r="E12" s="62"/>
      <x:c r="F12" s="62"/>
      <x:c r="G12" s="62"/>
      <x:c r="H12" s="62"/>
      <x:c r="I12" s="103"/>
      <x:c r="J12" s="103"/>
      <x:c r="K12" s="103"/>
      <x:c r="L12" s="103"/>
      <x:c r="M12" s="103"/>
      <x:c r="N12" s="103"/>
    </x:row>
    <x:row r="13">
      <x:c r="A13" s="60" t="str">
        <x:v>Current accepted observations</x:v>
      </x:c>
      <x:c r="B13" s="74" t="n">
        <x:v>0</x:v>
      </x:c>
      <x:c r="C13" s="62"/>
      <x:c r="D13" s="62"/>
      <x:c r="E13" s="62"/>
      <x:c r="F13" s="62"/>
      <x:c r="G13" s="62"/>
      <x:c r="H13" s="62"/>
      <x:c r="I13" s="103"/>
      <x:c r="J13" s="103"/>
      <x:c r="K13" s="103"/>
      <x:c r="L13" s="103"/>
      <x:c r="M13" s="103"/>
      <x:c r="N13" s="103"/>
    </x:row>
    <x:row r="14">
      <x:c r="A14" s="60" t="str">
        <x:v>Current selected forms</x:v>
      </x:c>
      <x:c r="B14" s="74" t="n">
        <x:v>0</x:v>
      </x:c>
      <x:c r="C14" s="62"/>
      <x:c r="D14" s="62"/>
      <x:c r="E14" s="62"/>
      <x:c r="F14" s="62"/>
      <x:c r="G14" s="62"/>
      <x:c r="H14" s="62"/>
      <x:c r="I14" s="103"/>
      <x:c r="J14" s="103"/>
      <x:c r="K14" s="103"/>
      <x:c r="L14" s="103"/>
      <x:c r="M14" s="103"/>
      <x:c r="N14" s="103"/>
    </x:row>
    <x:row r="15">
      <x:c r="A15" s="60" t="str">
        <x:v>Current MAKE warrants</x:v>
      </x:c>
      <x:c r="B15" s="74" t="n">
        <x:v>0</x:v>
      </x:c>
      <x:c r="C15" s="62"/>
      <x:c r="D15" s="62"/>
      <x:c r="E15" s="62"/>
      <x:c r="F15" s="62"/>
      <x:c r="G15" s="62"/>
      <x:c r="H15" s="62"/>
      <x:c r="I15" s="103"/>
      <x:c r="J15" s="103"/>
      <x:c r="K15" s="103"/>
      <x:c r="L15" s="103"/>
      <x:c r="M15" s="103"/>
      <x:c r="N15" s="103"/>
    </x:row>
    <x:row r="16">
      <x:c r="A16" s="60" t="str">
        <x:v>Current REP-4 records</x:v>
      </x:c>
      <x:c r="B16" s="74" t="n">
        <x:v>0</x:v>
      </x:c>
      <x:c r="C16" s="62"/>
      <x:c r="D16" s="62"/>
      <x:c r="E16" s="62"/>
      <x:c r="F16" s="62"/>
      <x:c r="G16" s="62"/>
      <x:c r="H16" s="62"/>
      <x:c r="I16" s="103"/>
      <x:c r="J16" s="103"/>
      <x:c r="K16" s="103"/>
      <x:c r="L16" s="103"/>
      <x:c r="M16" s="103"/>
      <x:c r="N16" s="103"/>
    </x:row>
    <x:row r="17">
      <x:c r="A17" s="60" t="str">
        <x:v>Protected sibling reserve</x:v>
      </x:c>
      <x:c r="B17" s="75" t="n">
        <x:v>358.7333333333</x:v>
      </x:c>
      <x:c r="C17" s="62"/>
      <x:c r="D17" s="62"/>
      <x:c r="E17" s="62"/>
      <x:c r="F17" s="62"/>
      <x:c r="G17" s="62"/>
      <x:c r="H17" s="62"/>
      <x:c r="I17" s="103"/>
      <x:c r="J17" s="103"/>
      <x:c r="K17" s="103"/>
      <x:c r="L17" s="103"/>
      <x:c r="M17" s="103"/>
      <x:c r="N17" s="103"/>
    </x:row>
    <x:row r="18">
      <x:c r="A18" s="60" t="str">
        <x:v>Sibling performance leakage</x:v>
      </x:c>
      <x:c r="B18" s="74" t="n">
        <x:v>0</x:v>
      </x:c>
      <x:c r="C18" s="62"/>
      <x:c r="D18" s="62"/>
      <x:c r="E18" s="62"/>
      <x:c r="F18" s="62"/>
      <x:c r="G18" s="62"/>
      <x:c r="H18" s="62"/>
      <x:c r="I18" s="103"/>
      <x:c r="J18" s="103"/>
      <x:c r="K18" s="103"/>
      <x:c r="L18" s="103"/>
      <x:c r="M18" s="103"/>
      <x:c r="N18" s="103"/>
    </x:row>
    <x:row r="19">
      <x:c r="A19" s="60" t="str">
        <x:v>Shared builder-validity control</x:v>
      </x:c>
      <x:c r="B19" s="74" t="n">
        <x:v>0</x:v>
      </x:c>
      <x:c r="C19" s="62"/>
      <x:c r="D19" s="62"/>
      <x:c r="E19" s="62"/>
      <x:c r="F19" s="62"/>
      <x:c r="G19" s="62"/>
      <x:c r="H19" s="62"/>
      <x:c r="I19" s="103"/>
      <x:c r="J19" s="103"/>
      <x:c r="K19" s="103"/>
      <x:c r="L19" s="103"/>
      <x:c r="M19" s="103"/>
      <x:c r="N19" s="103"/>
    </x:row>
    <x:row r="20">
      <x:c r="A20" s="60" t="str">
        <x:v>Accepted records missing source capsule</x:v>
      </x:c>
      <x:c r="B20" s="74" t="n">
        <x:v>0</x:v>
      </x:c>
      <x:c r="C20" s="62"/>
      <x:c r="D20" s="62"/>
      <x:c r="E20" s="62"/>
      <x:c r="F20" s="62"/>
      <x:c r="G20" s="62"/>
      <x:c r="H20" s="62"/>
      <x:c r="I20" s="103"/>
      <x:c r="J20" s="103"/>
      <x:c r="K20" s="103"/>
      <x:c r="L20" s="103"/>
      <x:c r="M20" s="103"/>
      <x:c r="N20" s="103"/>
    </x:row>
    <x:row r="21">
      <x:c r="A21" s="60" t="str">
        <x:v>Selected architecture</x:v>
      </x:c>
      <x:c r="B21" s="76" t="str">
        <x:v>C3</x:v>
      </x:c>
      <x:c r="C21" s="62"/>
      <x:c r="D21" s="62"/>
      <x:c r="E21" s="62"/>
      <x:c r="F21" s="62"/>
      <x:c r="G21" s="62"/>
      <x:c r="H21" s="62"/>
      <x:c r="I21" s="103"/>
      <x:c r="J21" s="103"/>
      <x:c r="K21" s="103"/>
      <x:c r="L21" s="103"/>
      <x:c r="M21" s="103"/>
      <x:c r="N21" s="103"/>
    </x:row>
    <x:row r="22">
      <x:c r="A22" s="60" t="str">
        <x:v>Tolerance</x:v>
      </x:c>
      <x:c r="B22" s="77" t="n">
        <x:v>0.000001</x:v>
      </x:c>
      <x:c r="C22" s="62"/>
      <x:c r="D22" s="62"/>
      <x:c r="E22" s="62"/>
      <x:c r="F22" s="62"/>
      <x:c r="G22" s="62"/>
      <x:c r="H22" s="62"/>
      <x:c r="I22" s="103"/>
      <x:c r="J22" s="103"/>
      <x:c r="K22" s="103"/>
      <x:c r="L22" s="103"/>
      <x:c r="M22" s="103"/>
      <x:c r="N22" s="103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103"/>
      <x:c r="J23" s="103"/>
      <x:c r="K23" s="103"/>
      <x:c r="L23" s="103"/>
      <x:c r="M23" s="103"/>
      <x:c r="N23" s="103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103"/>
      <x:c r="J24" s="103"/>
      <x:c r="K24" s="103"/>
      <x:c r="L24" s="103"/>
      <x:c r="M24" s="103"/>
      <x:c r="N24" s="103"/>
    </x:row>
    <x:row r="25">
      <x:c r="A25" s="51" t="str">
        <x:v>Cohort-one forms and inherited ceilings</x:v>
      </x:c>
      <x:c r="B25" s="52" t="str">
        <x:v>Cohort-one forms and inherited ceilings</x:v>
      </x:c>
      <x:c r="C25" s="52" t="str">
        <x:v>Cohort-one forms and inherited ceilings</x:v>
      </x:c>
      <x:c r="D25" s="52" t="str">
        <x:v>Cohort-one forms and inherited ceilings</x:v>
      </x:c>
      <x:c r="E25" s="52" t="str">
        <x:v>Cohort-one forms and inherited ceilings</x:v>
      </x:c>
      <x:c r="F25" s="53" t="str">
        <x:v>Cohort-one forms and inherited ceilings</x:v>
      </x:c>
      <x:c r="G25" s="62"/>
      <x:c r="H25" s="62"/>
      <x:c r="I25" s="103"/>
      <x:c r="J25" s="103"/>
      <x:c r="K25" s="103"/>
      <x:c r="L25" s="103"/>
      <x:c r="M25" s="103"/>
      <x:c r="N25" s="103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103"/>
      <x:c r="J26" s="103"/>
      <x:c r="K26" s="103"/>
      <x:c r="L26" s="103"/>
      <x:c r="M26" s="103"/>
      <x:c r="N26" s="103"/>
    </x:row>
    <x:row r="27">
      <x:c r="A27" s="31" t="str">
        <x:v>Root</x:v>
      </x:c>
      <x:c r="B27" s="32" t="str">
        <x:v>Active form</x:v>
      </x:c>
      <x:c r="C27" s="32" t="str">
        <x:v>Mission system</x:v>
      </x:c>
      <x:c r="D27" s="32" t="str">
        <x:v>Root FRAME ceiling</x:v>
      </x:c>
      <x:c r="E27" s="32" t="str">
        <x:v>Form ceiling</x:v>
      </x:c>
      <x:c r="F27" s="33" t="str">
        <x:v>Cohort</x:v>
      </x:c>
      <x:c r="G27" s="62"/>
      <x:c r="H27" s="67" t="str">
        <x:v>Repository sources</x:v>
      </x:c>
      <x:c r="I27" s="103"/>
      <x:c r="J27" s="103"/>
      <x:c r="K27" s="103"/>
      <x:c r="L27" s="103"/>
      <x:c r="M27" s="103"/>
      <x:c r="N27" s="103"/>
    </x:row>
    <x:row r="28">
      <x:c r="A28" s="62" t="str">
        <x:v>ET-A</x:v>
      </x:c>
      <x:c r="B28" s="62" t="str">
        <x:v>ET-A-A</x:v>
      </x:c>
      <x:c r="C28" s="62" t="str">
        <x:v>Pelagic exchange</x:v>
      </x:c>
      <x:c r="D28" s="68" t="n">
        <x:v>75.1</x:v>
      </x:c>
      <x:c r="E28" s="68" t="n">
        <x:f>D28/3</x:f>
        <x:v>25.03333333333333</x:v>
      </x:c>
      <x:c r="F28" s="62" t="n">
        <x:v>1</x:v>
      </x:c>
      <x:c r="G28" s="62"/>
      <x:c r="H28" s="69" t="str">
        <x:v>Pass 226: root FRAME ceilings and five package shares.</x:v>
      </x:c>
      <x:c r="I28" s="103"/>
      <x:c r="J28" s="103"/>
      <x:c r="K28" s="103"/>
      <x:c r="L28" s="103"/>
      <x:c r="M28" s="103"/>
      <x:c r="N28" s="103"/>
    </x:row>
    <x:row r="29">
      <x:c r="A29" s="62" t="str">
        <x:v>CT-C</x:v>
      </x:c>
      <x:c r="B29" s="62" t="str">
        <x:v>CT-C-B</x:v>
      </x:c>
      <x:c r="C29" s="62" t="str">
        <x:v>Occupied-boundary infrastructure</x:v>
      </x:c>
      <x:c r="D29" s="68" t="n">
        <x:v>77.5</x:v>
      </x:c>
      <x:c r="E29" s="68" t="n">
        <x:f>D29/3</x:f>
        <x:v>25.833333333333332</x:v>
      </x:c>
      <x:c r="F29" s="62" t="n">
        <x:v>1</x:v>
      </x:c>
      <x:c r="G29" s="62"/>
      <x:c r="H29" s="69" t="str">
        <x:v>Pass 227: cohort-one form identities and balanced sequence.</x:v>
      </x:c>
      <x:c r="I29" s="103"/>
      <x:c r="J29" s="103"/>
      <x:c r="K29" s="103"/>
      <x:c r="L29" s="103"/>
      <x:c r="M29" s="103"/>
      <x:c r="N29" s="103"/>
    </x:row>
    <x:row r="30">
      <x:c r="A30" s="62" t="str">
        <x:v>HC-A</x:v>
      </x:c>
      <x:c r="B30" s="62" t="str">
        <x:v>HC-A-C</x:v>
      </x:c>
      <x:c r="C30" s="62" t="str">
        <x:v>Atmospheric intervention</x:v>
      </x:c>
      <x:c r="D30" s="68" t="n">
        <x:v>46.1</x:v>
      </x:c>
      <x:c r="E30" s="68" t="n">
        <x:f>D30/3</x:f>
        <x:v>15.366666666666667</x:v>
      </x:c>
      <x:c r="F30" s="62" t="n">
        <x:v>1</x:v>
      </x:c>
      <x:c r="G30" s="62"/>
      <x:c r="H30" s="69" t="str">
        <x:v>Pass 229: USD179M obligation and USD359M protected reserve.</x:v>
      </x:c>
      <x:c r="I30" s="103"/>
      <x:c r="J30" s="103"/>
      <x:c r="K30" s="103"/>
      <x:c r="L30" s="103"/>
      <x:c r="M30" s="103"/>
      <x:c r="N30" s="103"/>
    </x:row>
    <x:row r="31">
      <x:c r="A31" s="62" t="str">
        <x:v>LF-B</x:v>
      </x:c>
      <x:c r="B31" s="62" t="str">
        <x:v>LF-B-A</x:v>
      </x:c>
      <x:c r="C31" s="62" t="str">
        <x:v>Geothermal source position</x:v>
      </x:c>
      <x:c r="D31" s="68" t="n">
        <x:v>135</x:v>
      </x:c>
      <x:c r="E31" s="68" t="n">
        <x:f>D31/3</x:f>
        <x:v>45</x:v>
      </x:c>
      <x:c r="F31" s="62" t="n">
        <x:v>1</x:v>
      </x:c>
      <x:c r="G31" s="62"/>
      <x:c r="H31" s="62"/>
      <x:c r="I31" s="103"/>
      <x:c r="J31" s="103"/>
      <x:c r="K31" s="103"/>
      <x:c r="L31" s="103"/>
      <x:c r="M31" s="103"/>
      <x:c r="N31" s="103"/>
    </x:row>
    <x:row r="32">
      <x:c r="A32" s="62" t="str">
        <x:v>HU-A</x:v>
      </x:c>
      <x:c r="B32" s="62" t="str">
        <x:v>HU-A-B</x:v>
      </x:c>
      <x:c r="C32" s="62" t="str">
        <x:v>Clinical continuity</x:v>
      </x:c>
      <x:c r="D32" s="68" t="n">
        <x:v>129</x:v>
      </x:c>
      <x:c r="E32" s="68" t="n">
        <x:f>D32/3</x:f>
        <x:v>43</x:v>
      </x:c>
      <x:c r="F32" s="62" t="n">
        <x:v>1</x:v>
      </x:c>
      <x:c r="G32" s="62"/>
      <x:c r="H32" s="62"/>
      <x:c r="I32" s="103"/>
      <x:c r="J32" s="103"/>
      <x:c r="K32" s="103"/>
      <x:c r="L32" s="103"/>
      <x:c r="M32" s="103"/>
      <x:c r="N32" s="103"/>
    </x:row>
    <x:row r="33">
      <x:c r="A33" s="62" t="str">
        <x:v>RT-B</x:v>
      </x:c>
      <x:c r="B33" s="62" t="str">
        <x:v>RT-B-C</x:v>
      </x:c>
      <x:c r="C33" s="62" t="str">
        <x:v>Disconnected regeneration</x:v>
      </x:c>
      <x:c r="D33" s="68" t="n">
        <x:v>75.4</x:v>
      </x:c>
      <x:c r="E33" s="68" t="n">
        <x:f>D33/3</x:f>
        <x:v>25.133333333333336</x:v>
      </x:c>
      <x:c r="F33" s="62" t="n">
        <x:v>1</x:v>
      </x:c>
      <x:c r="G33" s="62"/>
      <x:c r="H33" s="62"/>
      <x:c r="I33" s="103"/>
      <x:c r="J33" s="103"/>
      <x:c r="K33" s="103"/>
      <x:c r="L33" s="103"/>
      <x:c r="M33" s="103"/>
      <x:c r="N33" s="103"/>
    </x:row>
    <x:row r="34">
      <x:c r="A34" s="70" t="str">
        <x:v>Total</x:v>
      </x:c>
      <x:c r="B34" s="70"/>
      <x:c r="C34" s="70"/>
      <x:c r="D34" s="71" t="n">
        <x:f>SUM(D28:D33)</x:f>
        <x:v>538.1</x:v>
      </x:c>
      <x:c r="E34" s="71" t="n">
        <x:f>SUM(E28:E33)</x:f>
        <x:v>179.36666666666665</x:v>
      </x:c>
      <x:c r="F34" s="70" t="n">
        <x:f>SUM(F28:F33)</x:f>
        <x:v>6</x:v>
      </x:c>
      <x:c r="G34" s="62"/>
      <x:c r="H34" s="62"/>
      <x:c r="I34" s="103"/>
      <x:c r="J34" s="103"/>
      <x:c r="K34" s="103"/>
      <x:c r="L34" s="103"/>
      <x:c r="M34" s="103"/>
      <x:c r="N34" s="103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103"/>
      <x:c r="J35" s="103"/>
      <x:c r="K35" s="103"/>
      <x:c r="L35" s="103"/>
      <x:c r="M35" s="103"/>
      <x:c r="N35" s="103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103"/>
      <x:c r="J36" s="103"/>
      <x:c r="K36" s="103"/>
      <x:c r="L36" s="103"/>
      <x:c r="M36" s="103"/>
      <x:c r="N36" s="103"/>
    </x:row>
    <x:row r="37">
      <x:c r="A37" s="51" t="str">
        <x:v>Package types</x:v>
      </x:c>
      <x:c r="B37" s="52" t="str">
        <x:v>Package types</x:v>
      </x:c>
      <x:c r="C37" s="52" t="str">
        <x:v>Package types</x:v>
      </x:c>
      <x:c r="D37" s="52" t="str">
        <x:v>Package types</x:v>
      </x:c>
      <x:c r="E37" s="53" t="str">
        <x:v>Package types</x:v>
      </x:c>
      <x:c r="F37" s="62"/>
      <x:c r="G37" s="62"/>
      <x:c r="H37" s="62"/>
      <x:c r="I37" s="103"/>
      <x:c r="J37" s="103"/>
      <x:c r="K37" s="103"/>
      <x:c r="L37" s="103"/>
      <x:c r="M37" s="103"/>
      <x:c r="N37" s="103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103"/>
      <x:c r="J38" s="103"/>
      <x:c r="K38" s="103"/>
      <x:c r="L38" s="103"/>
      <x:c r="M38" s="103"/>
      <x:c r="N38" s="103"/>
    </x:row>
    <x:row r="39">
      <x:c r="A39" s="31" t="str">
        <x:v>Code</x:v>
      </x:c>
      <x:c r="B39" s="32" t="str">
        <x:v>Product</x:v>
      </x:c>
      <x:c r="C39" s="33" t="str">
        <x:v>Share of form ceiling</x:v>
      </x:c>
      <x:c r="D39" s="62"/>
      <x:c r="E39" s="62"/>
      <x:c r="F39" s="62"/>
      <x:c r="G39" s="62"/>
      <x:c r="H39" s="62"/>
      <x:c r="I39" s="103"/>
      <x:c r="J39" s="103"/>
      <x:c r="K39" s="103"/>
      <x:c r="L39" s="103"/>
      <x:c r="M39" s="103"/>
      <x:c r="N39" s="103"/>
    </x:row>
    <x:row r="40">
      <x:c r="A40" s="62" t="str">
        <x:v>METHOD</x:v>
      </x:c>
      <x:c r="B40" s="62" t="str">
        <x:v>Event method and denominator</x:v>
      </x:c>
      <x:c r="C40" s="72" t="n">
        <x:v>0.2</x:v>
      </x:c>
      <x:c r="D40" s="62"/>
      <x:c r="E40" s="62"/>
      <x:c r="F40" s="62"/>
      <x:c r="G40" s="62"/>
      <x:c r="H40" s="62"/>
      <x:c r="I40" s="103"/>
      <x:c r="J40" s="103"/>
      <x:c r="K40" s="103"/>
      <x:c r="L40" s="103"/>
      <x:c r="M40" s="103"/>
      <x:c r="N40" s="103"/>
    </x:row>
    <x:row r="41">
      <x:c r="A41" s="62" t="str">
        <x:v>VALID</x:v>
      </x:c>
      <x:c r="B41" s="62" t="str">
        <x:v>Instrumentation, custody and validity</x:v>
      </x:c>
      <x:c r="C41" s="72" t="n">
        <x:v>0.25</x:v>
      </x:c>
      <x:c r="D41" s="62"/>
      <x:c r="E41" s="62"/>
      <x:c r="F41" s="62"/>
      <x:c r="G41" s="62"/>
      <x:c r="H41" s="62"/>
      <x:c r="I41" s="103"/>
      <x:c r="J41" s="103"/>
      <x:c r="K41" s="103"/>
      <x:c r="L41" s="103"/>
      <x:c r="M41" s="103"/>
      <x:c r="N41" s="103"/>
    </x:row>
    <x:row r="42">
      <x:c r="A42" s="62" t="str">
        <x:v>CIVIL</x:v>
      </x:c>
      <x:c r="B42" s="62" t="str">
        <x:v>Rights, receiver and residual closure</x:v>
      </x:c>
      <x:c r="C42" s="72" t="n">
        <x:v>0.15</x:v>
      </x:c>
      <x:c r="D42" s="62"/>
      <x:c r="E42" s="62"/>
      <x:c r="F42" s="62"/>
      <x:c r="G42" s="62"/>
      <x:c r="H42" s="62"/>
      <x:c r="I42" s="103"/>
      <x:c r="J42" s="103"/>
      <x:c r="K42" s="103"/>
      <x:c r="L42" s="103"/>
      <x:c r="M42" s="103"/>
      <x:c r="N42" s="103"/>
    </x:row>
    <x:row r="43">
      <x:c r="A43" s="62" t="str">
        <x:v>ARTICLE</x:v>
      </x:c>
      <x:c r="B43" s="62" t="str">
        <x:v>Destructive-article engineering</x:v>
      </x:c>
      <x:c r="C43" s="72" t="n">
        <x:v>0.25</x:v>
      </x:c>
      <x:c r="D43" s="62"/>
      <x:c r="E43" s="62"/>
      <x:c r="F43" s="62"/>
      <x:c r="G43" s="62"/>
      <x:c r="H43" s="62"/>
      <x:c r="I43" s="103"/>
      <x:c r="J43" s="103"/>
      <x:c r="K43" s="103"/>
      <x:c r="L43" s="103"/>
      <x:c r="M43" s="103"/>
      <x:c r="N43" s="103"/>
    </x:row>
    <x:row r="44">
      <x:c r="A44" s="62" t="str">
        <x:v>REBUILD</x:v>
      </x:c>
      <x:c r="B44" s="62" t="str">
        <x:v>Cold reconstruction and challenge</x:v>
      </x:c>
      <x:c r="C44" s="72" t="n">
        <x:v>0.15</x:v>
      </x:c>
      <x:c r="D44" s="62"/>
      <x:c r="E44" s="62"/>
      <x:c r="F44" s="62"/>
      <x:c r="G44" s="62"/>
      <x:c r="H44" s="62"/>
      <x:c r="I44" s="103"/>
      <x:c r="J44" s="103"/>
      <x:c r="K44" s="103"/>
      <x:c r="L44" s="103"/>
      <x:c r="M44" s="103"/>
      <x:c r="N44" s="103"/>
    </x:row>
    <x:row r="45">
      <x:c r="A45" s="70" t="str">
        <x:v>Total</x:v>
      </x:c>
      <x:c r="B45" s="70"/>
      <x:c r="C45" s="70" t="n">
        <x:f>SUM(C40:C44)</x:f>
        <x:v>1</x:v>
      </x:c>
      <x:c r="D45" s="62"/>
      <x:c r="E45" s="62"/>
      <x:c r="F45" s="62"/>
      <x:c r="G45" s="62"/>
      <x:c r="H45" s="62"/>
      <x:c r="I45" s="103"/>
      <x:c r="J45" s="103"/>
      <x:c r="K45" s="103"/>
      <x:c r="L45" s="103"/>
      <x:c r="M45" s="103"/>
      <x:c r="N45" s="103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103"/>
      <x:c r="J46" s="103"/>
      <x:c r="K46" s="103"/>
      <x:c r="L46" s="103"/>
      <x:c r="M46" s="103"/>
      <x:c r="N46" s="103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103"/>
      <x:c r="J47" s="103"/>
      <x:c r="K47" s="103"/>
      <x:c r="L47" s="103"/>
      <x:c r="M47" s="103"/>
      <x:c r="N47" s="103"/>
    </x:row>
    <x:row r="48">
      <x:c r="A48" s="51" t="str">
        <x:v>Payment milestones</x:v>
      </x:c>
      <x:c r="B48" s="52" t="str">
        <x:v>Payment milestones</x:v>
      </x:c>
      <x:c r="C48" s="52" t="str">
        <x:v>Payment milestones</x:v>
      </x:c>
      <x:c r="D48" s="52" t="str">
        <x:v>Payment milestones</x:v>
      </x:c>
      <x:c r="E48" s="53" t="str">
        <x:v>Payment milestones</x:v>
      </x:c>
      <x:c r="F48" s="62"/>
      <x:c r="G48" s="62"/>
      <x:c r="H48" s="62"/>
      <x:c r="I48" s="103"/>
      <x:c r="J48" s="103"/>
      <x:c r="K48" s="103"/>
      <x:c r="L48" s="103"/>
      <x:c r="M48" s="103"/>
      <x:c r="N48" s="103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103"/>
      <x:c r="J49" s="103"/>
      <x:c r="K49" s="103"/>
      <x:c r="L49" s="103"/>
      <x:c r="M49" s="103"/>
      <x:c r="N49" s="103"/>
    </x:row>
    <x:row r="50">
      <x:c r="A50" s="31" t="str">
        <x:v>Code</x:v>
      </x:c>
      <x:c r="B50" s="32" t="str">
        <x:v>Artifact record</x:v>
      </x:c>
      <x:c r="C50" s="33" t="str">
        <x:v>Share of package ceiling</x:v>
      </x:c>
      <x:c r="D50" s="62"/>
      <x:c r="E50" s="62"/>
      <x:c r="F50" s="62"/>
      <x:c r="G50" s="62"/>
      <x:c r="H50" s="62"/>
      <x:c r="I50" s="103"/>
      <x:c r="J50" s="103"/>
      <x:c r="K50" s="103"/>
      <x:c r="L50" s="103"/>
      <x:c r="M50" s="103"/>
      <x:c r="N50" s="103"/>
    </x:row>
    <x:row r="51">
      <x:c r="A51" s="62" t="str">
        <x:v>M1</x:v>
      </x:c>
      <x:c r="B51" s="62" t="str">
        <x:v>Source capsule</x:v>
      </x:c>
      <x:c r="C51" s="72" t="n">
        <x:v>0.1</x:v>
      </x:c>
      <x:c r="D51" s="62"/>
      <x:c r="E51" s="62"/>
      <x:c r="F51" s="62"/>
      <x:c r="G51" s="62"/>
      <x:c r="H51" s="62"/>
      <x:c r="I51" s="103"/>
      <x:c r="J51" s="103"/>
      <x:c r="K51" s="103"/>
      <x:c r="L51" s="103"/>
      <x:c r="M51" s="103"/>
      <x:c r="N51" s="103"/>
    </x:row>
    <x:row r="52">
      <x:c r="A52" s="62" t="str">
        <x:v>M2</x:v>
      </x:c>
      <x:c r="B52" s="62" t="str">
        <x:v>Executable causal ledger</x:v>
      </x:c>
      <x:c r="C52" s="72" t="n">
        <x:v>0.2</x:v>
      </x:c>
      <x:c r="D52" s="62"/>
      <x:c r="E52" s="62"/>
      <x:c r="F52" s="62"/>
      <x:c r="G52" s="62"/>
      <x:c r="H52" s="62"/>
      <x:c r="I52" s="103"/>
      <x:c r="J52" s="103"/>
      <x:c r="K52" s="103"/>
      <x:c r="L52" s="103"/>
      <x:c r="M52" s="103"/>
      <x:c r="N52" s="103"/>
    </x:row>
    <x:row r="53">
      <x:c r="A53" s="62" t="str">
        <x:v>M3</x:v>
      </x:c>
      <x:c r="B53" s="62" t="str">
        <x:v>Dependency and unknown register</x:v>
      </x:c>
      <x:c r="C53" s="72" t="n">
        <x:v>0.15</x:v>
      </x:c>
      <x:c r="D53" s="62"/>
      <x:c r="E53" s="62"/>
      <x:c r="F53" s="62"/>
      <x:c r="G53" s="62"/>
      <x:c r="H53" s="62"/>
      <x:c r="I53" s="103"/>
      <x:c r="J53" s="103"/>
      <x:c r="K53" s="103"/>
      <x:c r="L53" s="103"/>
      <x:c r="M53" s="103"/>
      <x:c r="N53" s="103"/>
    </x:row>
    <x:row r="54">
      <x:c r="A54" s="62" t="str">
        <x:v>M4</x:v>
      </x:c>
      <x:c r="B54" s="62" t="str">
        <x:v>Independent clean-room replay</x:v>
      </x:c>
      <x:c r="C54" s="72" t="n">
        <x:v>0.25</x:v>
      </x:c>
      <x:c r="D54" s="62"/>
      <x:c r="E54" s="62"/>
      <x:c r="F54" s="62"/>
      <x:c r="G54" s="62"/>
      <x:c r="H54" s="62"/>
      <x:c r="I54" s="103"/>
      <x:c r="J54" s="103"/>
      <x:c r="K54" s="103"/>
      <x:c r="L54" s="103"/>
      <x:c r="M54" s="103"/>
      <x:c r="N54" s="103"/>
    </x:row>
    <x:row r="55">
      <x:c r="A55" s="62" t="str">
        <x:v>M5</x:v>
      </x:c>
      <x:c r="B55" s="62" t="str">
        <x:v>Rights, receiver and residual closure</x:v>
      </x:c>
      <x:c r="C55" s="72" t="n">
        <x:v>0.2</x:v>
      </x:c>
      <x:c r="D55" s="62"/>
      <x:c r="E55" s="62"/>
      <x:c r="F55" s="62"/>
      <x:c r="G55" s="62"/>
      <x:c r="H55" s="62"/>
      <x:c r="I55" s="103"/>
      <x:c r="J55" s="103"/>
      <x:c r="K55" s="103"/>
      <x:c r="L55" s="103"/>
      <x:c r="M55" s="103"/>
      <x:c r="N55" s="103"/>
    </x:row>
    <x:row r="56">
      <x:c r="A56" s="62" t="str">
        <x:v>M6</x:v>
      </x:c>
      <x:c r="B56" s="62" t="str">
        <x:v>Challenge closure and terminal archive</x:v>
      </x:c>
      <x:c r="C56" s="72" t="n">
        <x:v>0.1</x:v>
      </x:c>
      <x:c r="D56" s="62"/>
      <x:c r="E56" s="62"/>
      <x:c r="F56" s="62"/>
      <x:c r="G56" s="62"/>
      <x:c r="H56" s="62"/>
      <x:c r="I56" s="103"/>
      <x:c r="J56" s="103"/>
      <x:c r="K56" s="103"/>
      <x:c r="L56" s="103"/>
      <x:c r="M56" s="103"/>
      <x:c r="N56" s="103"/>
    </x:row>
    <x:row r="57">
      <x:c r="A57" s="70" t="str">
        <x:v>Total</x:v>
      </x:c>
      <x:c r="B57" s="70"/>
      <x:c r="C57" s="70" t="n">
        <x:f>SUM(C51:C56)</x:f>
        <x:v>1.0000000000000002</x:v>
      </x:c>
      <x:c r="D57" s="62"/>
      <x:c r="E57" s="62"/>
      <x:c r="F57" s="62"/>
      <x:c r="G57" s="62"/>
      <x:c r="H57" s="62"/>
      <x:c r="I57" s="103"/>
      <x:c r="J57" s="103"/>
      <x:c r="K57" s="103"/>
      <x:c r="L57" s="103"/>
      <x:c r="M57" s="103"/>
      <x:c r="N57" s="103"/>
    </x:row>
  </x:sheetData>
  <x:mergeCells>
    <x:mergeCell ref="A2:N2"/>
    <x:mergeCell ref="A4:N4"/>
    <x:mergeCell ref="A6:D6"/>
    <x:mergeCell ref="A25:F25"/>
    <x:mergeCell ref="A34:C34"/>
    <x:mergeCell ref="A37:E37"/>
    <x:mergeCell ref="A45:B45"/>
    <x:mergeCell ref="A48:E48"/>
    <x:mergeCell ref="A57:B5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34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4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</x:cols>
  <x:sheetData>
    <x:row r="2">
      <x:c r="A2" s="2" t="str">
        <x:v>Cohort-one package financial build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  <x:c r="N2" s="103"/>
      <x:c r="O2" s="103"/>
      <x:c r="P2" s="103"/>
      <x:c r="Q2" s="103"/>
      <x:c r="R2" s="103"/>
      <x:c r="S2" s="103"/>
      <x:c r="T2" s="103"/>
      <x:c r="U2" s="103"/>
      <x:c r="V2" s="103"/>
      <x:c r="W2" s="103"/>
    </x:row>
    <x:row r="3">
      <x:c r="A3" s="104"/>
      <x:c r="B3" s="104"/>
      <x:c r="C3" s="104"/>
      <x:c r="D3" s="104"/>
      <x:c r="E3" s="104"/>
      <x:c r="F3" s="104"/>
      <x:c r="G3" s="104"/>
      <x:c r="H3" s="104"/>
      <x:c r="I3" s="104"/>
      <x:c r="J3" s="104"/>
      <x:c r="K3" s="104"/>
      <x:c r="L3" s="104"/>
      <x:c r="M3" s="104"/>
      <x:c r="N3" s="104"/>
      <x:c r="O3" s="103"/>
      <x:c r="P3" s="103"/>
      <x:c r="Q3" s="103"/>
      <x:c r="R3" s="103"/>
      <x:c r="S3" s="103"/>
      <x:c r="T3" s="103"/>
      <x:c r="U3" s="103"/>
      <x:c r="V3" s="103"/>
      <x:c r="W3" s="103"/>
    </x:row>
    <x:row r="4">
      <x:c r="A4" s="105" t="str">
        <x:v>Thirty funded packages retain separate production, replay, public escrow and completion-holdback accounts.</x:v>
      </x:c>
      <x:c r="B4" s="103"/>
      <x:c r="C4" s="103"/>
      <x:c r="D4" s="103"/>
      <x:c r="E4" s="103"/>
      <x:c r="F4" s="103"/>
      <x:c r="G4" s="103"/>
      <x:c r="H4" s="103"/>
      <x:c r="I4" s="103"/>
      <x:c r="J4" s="103"/>
      <x:c r="K4" s="103"/>
      <x:c r="L4" s="103"/>
      <x:c r="M4" s="103"/>
      <x:c r="N4" s="103"/>
      <x:c r="O4" s="103"/>
      <x:c r="P4" s="103"/>
      <x:c r="Q4" s="103"/>
      <x:c r="R4" s="103"/>
      <x:c r="S4" s="103"/>
      <x:c r="T4" s="103"/>
      <x:c r="U4" s="103"/>
      <x:c r="V4" s="103"/>
      <x:c r="W4" s="103"/>
    </x:row>
    <x:row r="5">
      <x:c r="A5" s="103"/>
      <x:c r="B5" s="103"/>
      <x:c r="C5" s="103"/>
      <x:c r="D5" s="103"/>
      <x:c r="E5" s="103"/>
      <x:c r="F5" s="103"/>
      <x:c r="G5" s="103"/>
      <x:c r="H5" s="103"/>
      <x:c r="I5" s="103"/>
      <x:c r="J5" s="103"/>
      <x:c r="K5" s="103"/>
      <x:c r="L5" s="103"/>
      <x:c r="M5" s="103"/>
      <x:c r="N5" s="103"/>
      <x:c r="O5" s="103"/>
      <x:c r="P5" s="103"/>
      <x:c r="Q5" s="103"/>
      <x:c r="R5" s="103"/>
      <x:c r="S5" s="103"/>
      <x:c r="T5" s="103"/>
      <x:c r="U5" s="103"/>
      <x:c r="V5" s="103"/>
      <x:c r="W5" s="103"/>
    </x:row>
    <x:row r="6">
      <x:c r="A6" s="31" t="str">
        <x:v>Package ID</x:v>
      </x:c>
      <x:c r="B6" s="32" t="str">
        <x:v>Root</x:v>
      </x:c>
      <x:c r="C6" s="32" t="str">
        <x:v>Form</x:v>
      </x:c>
      <x:c r="D6" s="32" t="str">
        <x:v>Code</x:v>
      </x:c>
      <x:c r="E6" s="32" t="str">
        <x:v>Product</x:v>
      </x:c>
      <x:c r="F6" s="32" t="str">
        <x:v>Package share</x:v>
      </x:c>
      <x:c r="G6" s="32" t="str">
        <x:v>Form ceiling</x:v>
      </x:c>
      <x:c r="H6" s="32" t="str">
        <x:v>Package ceiling</x:v>
      </x:c>
      <x:c r="I6" s="32" t="str">
        <x:v>Design production</x:v>
      </x:c>
      <x:c r="J6" s="32" t="str">
        <x:v>Independent replay</x:v>
      </x:c>
      <x:c r="K6" s="32" t="str">
        <x:v>Public escrow</x:v>
      </x:c>
      <x:c r="L6" s="32" t="str">
        <x:v>Completion holdback</x:v>
      </x:c>
      <x:c r="M6" s="32" t="str">
        <x:v>Gates passed</x:v>
      </x:c>
      <x:c r="N6" s="32" t="str">
        <x:v>Gates required</x:v>
      </x:c>
      <x:c r="O6" s="32" t="str">
        <x:v>Package state</x:v>
      </x:c>
      <x:c r="P6" s="32" t="str">
        <x:v>Payable ceiling</x:v>
      </x:c>
      <x:c r="Q6" s="32" t="str">
        <x:v>Paid</x:v>
      </x:c>
      <x:c r="R6" s="32" t="str">
        <x:v>Payment control</x:v>
      </x:c>
      <x:c r="S6" s="32" t="str">
        <x:v>Accepted artifact records</x:v>
      </x:c>
      <x:c r="T6" s="32" t="str">
        <x:v>Accepted observations</x:v>
      </x:c>
      <x:c r="U6" s="32" t="str">
        <x:v>Selection</x:v>
      </x:c>
      <x:c r="V6" s="32" t="str">
        <x:v>MAKE</x:v>
      </x:c>
      <x:c r="W6" s="33" t="str">
        <x:v>REP-4</x:v>
      </x:c>
    </x:row>
    <x:row r="7">
      <x:c r="A7" s="62" t="str">
        <x:v>P01</x:v>
      </x:c>
      <x:c r="B7" s="62" t="str">
        <x:v>ET-A</x:v>
      </x:c>
      <x:c r="C7" s="62" t="str">
        <x:v>ET-A-A</x:v>
      </x:c>
      <x:c r="D7" s="62" t="str">
        <x:v>METHOD</x:v>
      </x:c>
      <x:c r="E7" s="62" t="str">
        <x:v>Event method and denominator</x:v>
      </x:c>
      <x:c r="F7" s="72" t="n">
        <x:v>0.2</x:v>
      </x:c>
      <x:c r="G7" s="79" t="n">
        <x:f>Inputs!$E$28</x:f>
        <x:v>25.03333333333333</x:v>
      </x:c>
      <x:c r="H7" s="79" t="n">
        <x:f>F7*G7</x:f>
        <x:v>5.006666666666667</x:v>
      </x:c>
      <x:c r="I7" s="79" t="n">
        <x:f>H7*Inputs!$B$7</x:f>
        <x:v>3.6048</x:v>
      </x:c>
      <x:c r="J7" s="79" t="n">
        <x:f>H7*Inputs!$B$8</x:f>
        <x:v>0.751</x:v>
      </x:c>
      <x:c r="K7" s="79" t="n">
        <x:f>H7*Inputs!$B$9</x:f>
        <x:v>0.40053333333333335</x:v>
      </x:c>
      <x:c r="L7" s="79" t="n">
        <x:f>H7*Inputs!$B$10</x:f>
        <x:v>0.25033333333333335</x:v>
      </x:c>
      <x:c r="M7" s="80" t="n">
        <x:f>SUMIF('Validity Gates'!$B$7:$B$366,A7,'Validity Gates'!$F$7:$F$366)</x:f>
        <x:v>2</x:v>
      </x:c>
      <x:c r="N7" s="80" t="n">
        <x:f>COUNTIF('Validity Gates'!$B$7:$B$366,A7)</x:f>
        <x:v>12</x:v>
      </x:c>
      <x:c r="O7" s="80" t="str">
        <x:f>IF(AND(M7=N7,N7=12),"VALID","WORKING")</x:f>
        <x:v>WORKING</x:v>
      </x:c>
      <x:c r="P7" s="79" t="n">
        <x:f>IF(O7="VALID",H7,0)</x:f>
        <x:v>0</x:v>
      </x:c>
      <x:c r="Q7" s="79" t="n">
        <x:f>SUMIF('Payment Schedule'!$B$7:$B$186,A7,'Payment Schedule'!$K$7:$K$186)</x:f>
        <x:v>0</x:v>
      </x:c>
      <x:c r="R7" s="80" t="str">
        <x:f>IF(Q7&lt;=P7,"CONTROLLED","OVERPAID")</x:f>
        <x:v>CONTROLLED</x:v>
      </x:c>
      <x:c r="S7" s="80" t="n">
        <x:f>COUNTIFS('Payment Schedule'!$B$7:$B$186,A7,'Payment Schedule'!$G$7:$G$186,1)</x:f>
        <x:v>0</x:v>
      </x:c>
      <x:c r="T7" s="80" t="n">
        <x:f>Inputs!$B$13</x:f>
        <x:v>0</x:v>
      </x:c>
      <x:c r="U7" s="80" t="n">
        <x:f>Inputs!$B$14</x:f>
        <x:v>0</x:v>
      </x:c>
      <x:c r="V7" s="80" t="n">
        <x:f>Inputs!$B$15</x:f>
        <x:v>0</x:v>
      </x:c>
      <x:c r="W7" s="80" t="n">
        <x:f>Inputs!$B$16</x:f>
        <x:v>0</x:v>
      </x:c>
    </x:row>
    <x:row r="8">
      <x:c r="A8" s="62" t="str">
        <x:v>P02</x:v>
      </x:c>
      <x:c r="B8" s="62" t="str">
        <x:v>ET-A</x:v>
      </x:c>
      <x:c r="C8" s="62" t="str">
        <x:v>ET-A-A</x:v>
      </x:c>
      <x:c r="D8" s="62" t="str">
        <x:v>VALID</x:v>
      </x:c>
      <x:c r="E8" s="62" t="str">
        <x:v>Instrumentation, custody and validity</x:v>
      </x:c>
      <x:c r="F8" s="72" t="n">
        <x:v>0.25</x:v>
      </x:c>
      <x:c r="G8" s="79" t="n">
        <x:f>Inputs!$E$28</x:f>
        <x:v>25.03333333333333</x:v>
      </x:c>
      <x:c r="H8" s="79" t="n">
        <x:f>F8*G8</x:f>
        <x:v>6.258333333333333</x:v>
      </x:c>
      <x:c r="I8" s="79" t="n">
        <x:f>H8*Inputs!$B$7</x:f>
        <x:v>4.505999999999999</x:v>
      </x:c>
      <x:c r="J8" s="79" t="n">
        <x:f>H8*Inputs!$B$8</x:f>
        <x:v>0.9387499999999999</x:v>
      </x:c>
      <x:c r="K8" s="79" t="n">
        <x:f>H8*Inputs!$B$9</x:f>
        <x:v>0.5006666666666666</x:v>
      </x:c>
      <x:c r="L8" s="79" t="n">
        <x:f>H8*Inputs!$B$10</x:f>
        <x:v>0.3129166666666667</x:v>
      </x:c>
      <x:c r="M8" s="80" t="n">
        <x:f>SUMIF('Validity Gates'!$B$7:$B$366,A8,'Validity Gates'!$F$7:$F$366)</x:f>
        <x:v>2</x:v>
      </x:c>
      <x:c r="N8" s="80" t="n">
        <x:f>COUNTIF('Validity Gates'!$B$7:$B$366,A8)</x:f>
        <x:v>12</x:v>
      </x:c>
      <x:c r="O8" s="80" t="str">
        <x:f>IF(AND(M8=N8,N8=12),"VALID","WORKING")</x:f>
        <x:v>WORKING</x:v>
      </x:c>
      <x:c r="P8" s="79" t="n">
        <x:f>IF(O8="VALID",H8,0)</x:f>
        <x:v>0</x:v>
      </x:c>
      <x:c r="Q8" s="79" t="n">
        <x:f>SUMIF('Payment Schedule'!$B$7:$B$186,A8,'Payment Schedule'!$K$7:$K$186)</x:f>
        <x:v>0</x:v>
      </x:c>
      <x:c r="R8" s="80" t="str">
        <x:f>IF(Q8&lt;=P8,"CONTROLLED","OVERPAID")</x:f>
        <x:v>CONTROLLED</x:v>
      </x:c>
      <x:c r="S8" s="80" t="n">
        <x:f>COUNTIFS('Payment Schedule'!$B$7:$B$186,A8,'Payment Schedule'!$G$7:$G$186,1)</x:f>
        <x:v>0</x:v>
      </x:c>
      <x:c r="T8" s="80" t="n">
        <x:f>Inputs!$B$13</x:f>
        <x:v>0</x:v>
      </x:c>
      <x:c r="U8" s="80" t="n">
        <x:f>Inputs!$B$14</x:f>
        <x:v>0</x:v>
      </x:c>
      <x:c r="V8" s="80" t="n">
        <x:f>Inputs!$B$15</x:f>
        <x:v>0</x:v>
      </x:c>
      <x:c r="W8" s="80" t="n">
        <x:f>Inputs!$B$16</x:f>
        <x:v>0</x:v>
      </x:c>
    </x:row>
    <x:row r="9">
      <x:c r="A9" s="62" t="str">
        <x:v>P03</x:v>
      </x:c>
      <x:c r="B9" s="62" t="str">
        <x:v>ET-A</x:v>
      </x:c>
      <x:c r="C9" s="62" t="str">
        <x:v>ET-A-A</x:v>
      </x:c>
      <x:c r="D9" s="62" t="str">
        <x:v>CIVIL</x:v>
      </x:c>
      <x:c r="E9" s="62" t="str">
        <x:v>Rights, receiver and residual closure</x:v>
      </x:c>
      <x:c r="F9" s="72" t="n">
        <x:v>0.15</x:v>
      </x:c>
      <x:c r="G9" s="79" t="n">
        <x:f>Inputs!$E$28</x:f>
        <x:v>25.03333333333333</x:v>
      </x:c>
      <x:c r="H9" s="79" t="n">
        <x:f>F9*G9</x:f>
        <x:v>3.7549999999999994</x:v>
      </x:c>
      <x:c r="I9" s="79" t="n">
        <x:f>H9*Inputs!$B$7</x:f>
        <x:v>2.7035999999999993</x:v>
      </x:c>
      <x:c r="J9" s="79" t="n">
        <x:f>H9*Inputs!$B$8</x:f>
        <x:v>0.5632499999999999</x:v>
      </x:c>
      <x:c r="K9" s="79" t="n">
        <x:f>H9*Inputs!$B$9</x:f>
        <x:v>0.30039999999999994</x:v>
      </x:c>
      <x:c r="L9" s="79" t="n">
        <x:f>H9*Inputs!$B$10</x:f>
        <x:v>0.18774999999999997</x:v>
      </x:c>
      <x:c r="M9" s="80" t="n">
        <x:f>SUMIF('Validity Gates'!$B$7:$B$366,A9,'Validity Gates'!$F$7:$F$366)</x:f>
        <x:v>2</x:v>
      </x:c>
      <x:c r="N9" s="80" t="n">
        <x:f>COUNTIF('Validity Gates'!$B$7:$B$366,A9)</x:f>
        <x:v>12</x:v>
      </x:c>
      <x:c r="O9" s="80" t="str">
        <x:f>IF(AND(M9=N9,N9=12),"VALID","WORKING")</x:f>
        <x:v>WORKING</x:v>
      </x:c>
      <x:c r="P9" s="79" t="n">
        <x:f>IF(O9="VALID",H9,0)</x:f>
        <x:v>0</x:v>
      </x:c>
      <x:c r="Q9" s="79" t="n">
        <x:f>SUMIF('Payment Schedule'!$B$7:$B$186,A9,'Payment Schedule'!$K$7:$K$186)</x:f>
        <x:v>0</x:v>
      </x:c>
      <x:c r="R9" s="80" t="str">
        <x:f>IF(Q9&lt;=P9,"CONTROLLED","OVERPAID")</x:f>
        <x:v>CONTROLLED</x:v>
      </x:c>
      <x:c r="S9" s="80" t="n">
        <x:f>COUNTIFS('Payment Schedule'!$B$7:$B$186,A9,'Payment Schedule'!$G$7:$G$186,1)</x:f>
        <x:v>0</x:v>
      </x:c>
      <x:c r="T9" s="80" t="n">
        <x:f>Inputs!$B$13</x:f>
        <x:v>0</x:v>
      </x:c>
      <x:c r="U9" s="80" t="n">
        <x:f>Inputs!$B$14</x:f>
        <x:v>0</x:v>
      </x:c>
      <x:c r="V9" s="80" t="n">
        <x:f>Inputs!$B$15</x:f>
        <x:v>0</x:v>
      </x:c>
      <x:c r="W9" s="80" t="n">
        <x:f>Inputs!$B$16</x:f>
        <x:v>0</x:v>
      </x:c>
    </x:row>
    <x:row r="10">
      <x:c r="A10" s="62" t="str">
        <x:v>P04</x:v>
      </x:c>
      <x:c r="B10" s="62" t="str">
        <x:v>ET-A</x:v>
      </x:c>
      <x:c r="C10" s="62" t="str">
        <x:v>ET-A-A</x:v>
      </x:c>
      <x:c r="D10" s="62" t="str">
        <x:v>ARTICLE</x:v>
      </x:c>
      <x:c r="E10" s="62" t="str">
        <x:v>Destructive-article engineering</x:v>
      </x:c>
      <x:c r="F10" s="72" t="n">
        <x:v>0.25</x:v>
      </x:c>
      <x:c r="G10" s="79" t="n">
        <x:f>Inputs!$E$28</x:f>
        <x:v>25.03333333333333</x:v>
      </x:c>
      <x:c r="H10" s="79" t="n">
        <x:f>F10*G10</x:f>
        <x:v>6.258333333333333</x:v>
      </x:c>
      <x:c r="I10" s="79" t="n">
        <x:f>H10*Inputs!$B$7</x:f>
        <x:v>4.505999999999999</x:v>
      </x:c>
      <x:c r="J10" s="79" t="n">
        <x:f>H10*Inputs!$B$8</x:f>
        <x:v>0.9387499999999999</x:v>
      </x:c>
      <x:c r="K10" s="79" t="n">
        <x:f>H10*Inputs!$B$9</x:f>
        <x:v>0.5006666666666666</x:v>
      </x:c>
      <x:c r="L10" s="79" t="n">
        <x:f>H10*Inputs!$B$10</x:f>
        <x:v>0.3129166666666667</x:v>
      </x:c>
      <x:c r="M10" s="80" t="n">
        <x:f>SUMIF('Validity Gates'!$B$7:$B$366,A10,'Validity Gates'!$F$7:$F$366)</x:f>
        <x:v>2</x:v>
      </x:c>
      <x:c r="N10" s="80" t="n">
        <x:f>COUNTIF('Validity Gates'!$B$7:$B$366,A10)</x:f>
        <x:v>12</x:v>
      </x:c>
      <x:c r="O10" s="80" t="str">
        <x:f>IF(AND(M10=N10,N10=12),"VALID","WORKING")</x:f>
        <x:v>WORKING</x:v>
      </x:c>
      <x:c r="P10" s="79" t="n">
        <x:f>IF(O10="VALID",H10,0)</x:f>
        <x:v>0</x:v>
      </x:c>
      <x:c r="Q10" s="79" t="n">
        <x:f>SUMIF('Payment Schedule'!$B$7:$B$186,A10,'Payment Schedule'!$K$7:$K$186)</x:f>
        <x:v>0</x:v>
      </x:c>
      <x:c r="R10" s="80" t="str">
        <x:f>IF(Q10&lt;=P10,"CONTROLLED","OVERPAID")</x:f>
        <x:v>CONTROLLED</x:v>
      </x:c>
      <x:c r="S10" s="80" t="n">
        <x:f>COUNTIFS('Payment Schedule'!$B$7:$B$186,A10,'Payment Schedule'!$G$7:$G$186,1)</x:f>
        <x:v>0</x:v>
      </x:c>
      <x:c r="T10" s="80" t="n">
        <x:f>Inputs!$B$13</x:f>
        <x:v>0</x:v>
      </x:c>
      <x:c r="U10" s="80" t="n">
        <x:f>Inputs!$B$14</x:f>
        <x:v>0</x:v>
      </x:c>
      <x:c r="V10" s="80" t="n">
        <x:f>Inputs!$B$15</x:f>
        <x:v>0</x:v>
      </x:c>
      <x:c r="W10" s="80" t="n">
        <x:f>Inputs!$B$16</x:f>
        <x:v>0</x:v>
      </x:c>
    </x:row>
    <x:row r="11">
      <x:c r="A11" s="62" t="str">
        <x:v>P05</x:v>
      </x:c>
      <x:c r="B11" s="62" t="str">
        <x:v>ET-A</x:v>
      </x:c>
      <x:c r="C11" s="62" t="str">
        <x:v>ET-A-A</x:v>
      </x:c>
      <x:c r="D11" s="62" t="str">
        <x:v>REBUILD</x:v>
      </x:c>
      <x:c r="E11" s="62" t="str">
        <x:v>Cold reconstruction and challenge</x:v>
      </x:c>
      <x:c r="F11" s="72" t="n">
        <x:v>0.15</x:v>
      </x:c>
      <x:c r="G11" s="79" t="n">
        <x:f>Inputs!$E$28</x:f>
        <x:v>25.03333333333333</x:v>
      </x:c>
      <x:c r="H11" s="79" t="n">
        <x:f>F11*G11</x:f>
        <x:v>3.7549999999999994</x:v>
      </x:c>
      <x:c r="I11" s="79" t="n">
        <x:f>H11*Inputs!$B$7</x:f>
        <x:v>2.7035999999999993</x:v>
      </x:c>
      <x:c r="J11" s="79" t="n">
        <x:f>H11*Inputs!$B$8</x:f>
        <x:v>0.5632499999999999</x:v>
      </x:c>
      <x:c r="K11" s="79" t="n">
        <x:f>H11*Inputs!$B$9</x:f>
        <x:v>0.30039999999999994</x:v>
      </x:c>
      <x:c r="L11" s="79" t="n">
        <x:f>H11*Inputs!$B$10</x:f>
        <x:v>0.18774999999999997</x:v>
      </x:c>
      <x:c r="M11" s="80" t="n">
        <x:f>SUMIF('Validity Gates'!$B$7:$B$366,A11,'Validity Gates'!$F$7:$F$366)</x:f>
        <x:v>2</x:v>
      </x:c>
      <x:c r="N11" s="80" t="n">
        <x:f>COUNTIF('Validity Gates'!$B$7:$B$366,A11)</x:f>
        <x:v>12</x:v>
      </x:c>
      <x:c r="O11" s="80" t="str">
        <x:f>IF(AND(M11=N11,N11=12),"VALID","WORKING")</x:f>
        <x:v>WORKING</x:v>
      </x:c>
      <x:c r="P11" s="79" t="n">
        <x:f>IF(O11="VALID",H11,0)</x:f>
        <x:v>0</x:v>
      </x:c>
      <x:c r="Q11" s="79" t="n">
        <x:f>SUMIF('Payment Schedule'!$B$7:$B$186,A11,'Payment Schedule'!$K$7:$K$186)</x:f>
        <x:v>0</x:v>
      </x:c>
      <x:c r="R11" s="80" t="str">
        <x:f>IF(Q11&lt;=P11,"CONTROLLED","OVERPAID")</x:f>
        <x:v>CONTROLLED</x:v>
      </x:c>
      <x:c r="S11" s="80" t="n">
        <x:f>COUNTIFS('Payment Schedule'!$B$7:$B$186,A11,'Payment Schedule'!$G$7:$G$186,1)</x:f>
        <x:v>0</x:v>
      </x:c>
      <x:c r="T11" s="80" t="n">
        <x:f>Inputs!$B$13</x:f>
        <x:v>0</x:v>
      </x:c>
      <x:c r="U11" s="80" t="n">
        <x:f>Inputs!$B$14</x:f>
        <x:v>0</x:v>
      </x:c>
      <x:c r="V11" s="80" t="n">
        <x:f>Inputs!$B$15</x:f>
        <x:v>0</x:v>
      </x:c>
      <x:c r="W11" s="80" t="n">
        <x:f>Inputs!$B$16</x:f>
        <x:v>0</x:v>
      </x:c>
    </x:row>
    <x:row r="12">
      <x:c r="A12" s="62" t="str">
        <x:v>P06</x:v>
      </x:c>
      <x:c r="B12" s="62" t="str">
        <x:v>CT-C</x:v>
      </x:c>
      <x:c r="C12" s="62" t="str">
        <x:v>CT-C-B</x:v>
      </x:c>
      <x:c r="D12" s="62" t="str">
        <x:v>METHOD</x:v>
      </x:c>
      <x:c r="E12" s="62" t="str">
        <x:v>Event method and denominator</x:v>
      </x:c>
      <x:c r="F12" s="72" t="n">
        <x:v>0.2</x:v>
      </x:c>
      <x:c r="G12" s="79" t="n">
        <x:f>Inputs!$E$29</x:f>
        <x:v>25.833333333333332</x:v>
      </x:c>
      <x:c r="H12" s="79" t="n">
        <x:f>F12*G12</x:f>
        <x:v>5.166666666666667</x:v>
      </x:c>
      <x:c r="I12" s="79" t="n">
        <x:f>H12*Inputs!$B$7</x:f>
        <x:v>3.72</x:v>
      </x:c>
      <x:c r="J12" s="79" t="n">
        <x:f>H12*Inputs!$B$8</x:f>
        <x:v>0.775</x:v>
      </x:c>
      <x:c r="K12" s="79" t="n">
        <x:f>H12*Inputs!$B$9</x:f>
        <x:v>0.4133333333333334</x:v>
      </x:c>
      <x:c r="L12" s="79" t="n">
        <x:f>H12*Inputs!$B$10</x:f>
        <x:v>0.25833333333333336</x:v>
      </x:c>
      <x:c r="M12" s="80" t="n">
        <x:f>SUMIF('Validity Gates'!$B$7:$B$366,A12,'Validity Gates'!$F$7:$F$366)</x:f>
        <x:v>2</x:v>
      </x:c>
      <x:c r="N12" s="80" t="n">
        <x:f>COUNTIF('Validity Gates'!$B$7:$B$366,A12)</x:f>
        <x:v>12</x:v>
      </x:c>
      <x:c r="O12" s="80" t="str">
        <x:f>IF(AND(M12=N12,N12=12),"VALID","WORKING")</x:f>
        <x:v>WORKING</x:v>
      </x:c>
      <x:c r="P12" s="79" t="n">
        <x:f>IF(O12="VALID",H12,0)</x:f>
        <x:v>0</x:v>
      </x:c>
      <x:c r="Q12" s="79" t="n">
        <x:f>SUMIF('Payment Schedule'!$B$7:$B$186,A12,'Payment Schedule'!$K$7:$K$186)</x:f>
        <x:v>0</x:v>
      </x:c>
      <x:c r="R12" s="80" t="str">
        <x:f>IF(Q12&lt;=P12,"CONTROLLED","OVERPAID")</x:f>
        <x:v>CONTROLLED</x:v>
      </x:c>
      <x:c r="S12" s="80" t="n">
        <x:f>COUNTIFS('Payment Schedule'!$B$7:$B$186,A12,'Payment Schedule'!$G$7:$G$186,1)</x:f>
        <x:v>0</x:v>
      </x:c>
      <x:c r="T12" s="80" t="n">
        <x:f>Inputs!$B$13</x:f>
        <x:v>0</x:v>
      </x:c>
      <x:c r="U12" s="80" t="n">
        <x:f>Inputs!$B$14</x:f>
        <x:v>0</x:v>
      </x:c>
      <x:c r="V12" s="80" t="n">
        <x:f>Inputs!$B$15</x:f>
        <x:v>0</x:v>
      </x:c>
      <x:c r="W12" s="80" t="n">
        <x:f>Inputs!$B$16</x:f>
        <x:v>0</x:v>
      </x:c>
    </x:row>
    <x:row r="13">
      <x:c r="A13" s="62" t="str">
        <x:v>P07</x:v>
      </x:c>
      <x:c r="B13" s="62" t="str">
        <x:v>CT-C</x:v>
      </x:c>
      <x:c r="C13" s="62" t="str">
        <x:v>CT-C-B</x:v>
      </x:c>
      <x:c r="D13" s="62" t="str">
        <x:v>VALID</x:v>
      </x:c>
      <x:c r="E13" s="62" t="str">
        <x:v>Instrumentation, custody and validity</x:v>
      </x:c>
      <x:c r="F13" s="72" t="n">
        <x:v>0.25</x:v>
      </x:c>
      <x:c r="G13" s="79" t="n">
        <x:f>Inputs!$E$29</x:f>
        <x:v>25.833333333333332</x:v>
      </x:c>
      <x:c r="H13" s="79" t="n">
        <x:f>F13*G13</x:f>
        <x:v>6.458333333333333</x:v>
      </x:c>
      <x:c r="I13" s="79" t="n">
        <x:f>H13*Inputs!$B$7</x:f>
        <x:v>4.6499999999999995</x:v>
      </x:c>
      <x:c r="J13" s="79" t="n">
        <x:f>H13*Inputs!$B$8</x:f>
        <x:v>0.9687499999999999</x:v>
      </x:c>
      <x:c r="K13" s="79" t="n">
        <x:f>H13*Inputs!$B$9</x:f>
        <x:v>0.5166666666666666</x:v>
      </x:c>
      <x:c r="L13" s="79" t="n">
        <x:f>H13*Inputs!$B$10</x:f>
        <x:v>0.3229166666666667</x:v>
      </x:c>
      <x:c r="M13" s="80" t="n">
        <x:f>SUMIF('Validity Gates'!$B$7:$B$366,A13,'Validity Gates'!$F$7:$F$366)</x:f>
        <x:v>2</x:v>
      </x:c>
      <x:c r="N13" s="80" t="n">
        <x:f>COUNTIF('Validity Gates'!$B$7:$B$366,A13)</x:f>
        <x:v>12</x:v>
      </x:c>
      <x:c r="O13" s="80" t="str">
        <x:f>IF(AND(M13=N13,N13=12),"VALID","WORKING")</x:f>
        <x:v>WORKING</x:v>
      </x:c>
      <x:c r="P13" s="79" t="n">
        <x:f>IF(O13="VALID",H13,0)</x:f>
        <x:v>0</x:v>
      </x:c>
      <x:c r="Q13" s="79" t="n">
        <x:f>SUMIF('Payment Schedule'!$B$7:$B$186,A13,'Payment Schedule'!$K$7:$K$186)</x:f>
        <x:v>0</x:v>
      </x:c>
      <x:c r="R13" s="80" t="str">
        <x:f>IF(Q13&lt;=P13,"CONTROLLED","OVERPAID")</x:f>
        <x:v>CONTROLLED</x:v>
      </x:c>
      <x:c r="S13" s="80" t="n">
        <x:f>COUNTIFS('Payment Schedule'!$B$7:$B$186,A13,'Payment Schedule'!$G$7:$G$186,1)</x:f>
        <x:v>0</x:v>
      </x:c>
      <x:c r="T13" s="80" t="n">
        <x:f>Inputs!$B$13</x:f>
        <x:v>0</x:v>
      </x:c>
      <x:c r="U13" s="80" t="n">
        <x:f>Inputs!$B$14</x:f>
        <x:v>0</x:v>
      </x:c>
      <x:c r="V13" s="80" t="n">
        <x:f>Inputs!$B$15</x:f>
        <x:v>0</x:v>
      </x:c>
      <x:c r="W13" s="80" t="n">
        <x:f>Inputs!$B$16</x:f>
        <x:v>0</x:v>
      </x:c>
    </x:row>
    <x:row r="14">
      <x:c r="A14" s="62" t="str">
        <x:v>P08</x:v>
      </x:c>
      <x:c r="B14" s="62" t="str">
        <x:v>CT-C</x:v>
      </x:c>
      <x:c r="C14" s="62" t="str">
        <x:v>CT-C-B</x:v>
      </x:c>
      <x:c r="D14" s="62" t="str">
        <x:v>CIVIL</x:v>
      </x:c>
      <x:c r="E14" s="62" t="str">
        <x:v>Rights, receiver and residual closure</x:v>
      </x:c>
      <x:c r="F14" s="72" t="n">
        <x:v>0.15</x:v>
      </x:c>
      <x:c r="G14" s="79" t="n">
        <x:f>Inputs!$E$29</x:f>
        <x:v>25.833333333333332</x:v>
      </x:c>
      <x:c r="H14" s="79" t="n">
        <x:f>F14*G14</x:f>
        <x:v>3.8749999999999996</x:v>
      </x:c>
      <x:c r="I14" s="79" t="n">
        <x:f>H14*Inputs!$B$7</x:f>
        <x:v>2.7899999999999996</x:v>
      </x:c>
      <x:c r="J14" s="79" t="n">
        <x:f>H14*Inputs!$B$8</x:f>
        <x:v>0.5812499999999999</x:v>
      </x:c>
      <x:c r="K14" s="79" t="n">
        <x:f>H14*Inputs!$B$9</x:f>
        <x:v>0.31</x:v>
      </x:c>
      <x:c r="L14" s="79" t="n">
        <x:f>H14*Inputs!$B$10</x:f>
        <x:v>0.19374999999999998</x:v>
      </x:c>
      <x:c r="M14" s="80" t="n">
        <x:f>SUMIF('Validity Gates'!$B$7:$B$366,A14,'Validity Gates'!$F$7:$F$366)</x:f>
        <x:v>2</x:v>
      </x:c>
      <x:c r="N14" s="80" t="n">
        <x:f>COUNTIF('Validity Gates'!$B$7:$B$366,A14)</x:f>
        <x:v>12</x:v>
      </x:c>
      <x:c r="O14" s="80" t="str">
        <x:f>IF(AND(M14=N14,N14=12),"VALID","WORKING")</x:f>
        <x:v>WORKING</x:v>
      </x:c>
      <x:c r="P14" s="79" t="n">
        <x:f>IF(O14="VALID",H14,0)</x:f>
        <x:v>0</x:v>
      </x:c>
      <x:c r="Q14" s="79" t="n">
        <x:f>SUMIF('Payment Schedule'!$B$7:$B$186,A14,'Payment Schedule'!$K$7:$K$186)</x:f>
        <x:v>0</x:v>
      </x:c>
      <x:c r="R14" s="80" t="str">
        <x:f>IF(Q14&lt;=P14,"CONTROLLED","OVERPAID")</x:f>
        <x:v>CONTROLLED</x:v>
      </x:c>
      <x:c r="S14" s="80" t="n">
        <x:f>COUNTIFS('Payment Schedule'!$B$7:$B$186,A14,'Payment Schedule'!$G$7:$G$186,1)</x:f>
        <x:v>0</x:v>
      </x:c>
      <x:c r="T14" s="80" t="n">
        <x:f>Inputs!$B$13</x:f>
        <x:v>0</x:v>
      </x:c>
      <x:c r="U14" s="80" t="n">
        <x:f>Inputs!$B$14</x:f>
        <x:v>0</x:v>
      </x:c>
      <x:c r="V14" s="80" t="n">
        <x:f>Inputs!$B$15</x:f>
        <x:v>0</x:v>
      </x:c>
      <x:c r="W14" s="80" t="n">
        <x:f>Inputs!$B$16</x:f>
        <x:v>0</x:v>
      </x:c>
    </x:row>
    <x:row r="15">
      <x:c r="A15" s="62" t="str">
        <x:v>P09</x:v>
      </x:c>
      <x:c r="B15" s="62" t="str">
        <x:v>CT-C</x:v>
      </x:c>
      <x:c r="C15" s="62" t="str">
        <x:v>CT-C-B</x:v>
      </x:c>
      <x:c r="D15" s="62" t="str">
        <x:v>ARTICLE</x:v>
      </x:c>
      <x:c r="E15" s="62" t="str">
        <x:v>Destructive-article engineering</x:v>
      </x:c>
      <x:c r="F15" s="72" t="n">
        <x:v>0.25</x:v>
      </x:c>
      <x:c r="G15" s="79" t="n">
        <x:f>Inputs!$E$29</x:f>
        <x:v>25.833333333333332</x:v>
      </x:c>
      <x:c r="H15" s="79" t="n">
        <x:f>F15*G15</x:f>
        <x:v>6.458333333333333</x:v>
      </x:c>
      <x:c r="I15" s="79" t="n">
        <x:f>H15*Inputs!$B$7</x:f>
        <x:v>4.6499999999999995</x:v>
      </x:c>
      <x:c r="J15" s="79" t="n">
        <x:f>H15*Inputs!$B$8</x:f>
        <x:v>0.9687499999999999</x:v>
      </x:c>
      <x:c r="K15" s="79" t="n">
        <x:f>H15*Inputs!$B$9</x:f>
        <x:v>0.5166666666666666</x:v>
      </x:c>
      <x:c r="L15" s="79" t="n">
        <x:f>H15*Inputs!$B$10</x:f>
        <x:v>0.3229166666666667</x:v>
      </x:c>
      <x:c r="M15" s="80" t="n">
        <x:f>SUMIF('Validity Gates'!$B$7:$B$366,A15,'Validity Gates'!$F$7:$F$366)</x:f>
        <x:v>2</x:v>
      </x:c>
      <x:c r="N15" s="80" t="n">
        <x:f>COUNTIF('Validity Gates'!$B$7:$B$366,A15)</x:f>
        <x:v>12</x:v>
      </x:c>
      <x:c r="O15" s="80" t="str">
        <x:f>IF(AND(M15=N15,N15=12),"VALID","WORKING")</x:f>
        <x:v>WORKING</x:v>
      </x:c>
      <x:c r="P15" s="79" t="n">
        <x:f>IF(O15="VALID",H15,0)</x:f>
        <x:v>0</x:v>
      </x:c>
      <x:c r="Q15" s="79" t="n">
        <x:f>SUMIF('Payment Schedule'!$B$7:$B$186,A15,'Payment Schedule'!$K$7:$K$186)</x:f>
        <x:v>0</x:v>
      </x:c>
      <x:c r="R15" s="80" t="str">
        <x:f>IF(Q15&lt;=P15,"CONTROLLED","OVERPAID")</x:f>
        <x:v>CONTROLLED</x:v>
      </x:c>
      <x:c r="S15" s="80" t="n">
        <x:f>COUNTIFS('Payment Schedule'!$B$7:$B$186,A15,'Payment Schedule'!$G$7:$G$186,1)</x:f>
        <x:v>0</x:v>
      </x:c>
      <x:c r="T15" s="80" t="n">
        <x:f>Inputs!$B$13</x:f>
        <x:v>0</x:v>
      </x:c>
      <x:c r="U15" s="80" t="n">
        <x:f>Inputs!$B$14</x:f>
        <x:v>0</x:v>
      </x:c>
      <x:c r="V15" s="80" t="n">
        <x:f>Inputs!$B$15</x:f>
        <x:v>0</x:v>
      </x:c>
      <x:c r="W15" s="80" t="n">
        <x:f>Inputs!$B$16</x:f>
        <x:v>0</x:v>
      </x:c>
    </x:row>
    <x:row r="16">
      <x:c r="A16" s="62" t="str">
        <x:v>P10</x:v>
      </x:c>
      <x:c r="B16" s="62" t="str">
        <x:v>CT-C</x:v>
      </x:c>
      <x:c r="C16" s="62" t="str">
        <x:v>CT-C-B</x:v>
      </x:c>
      <x:c r="D16" s="62" t="str">
        <x:v>REBUILD</x:v>
      </x:c>
      <x:c r="E16" s="62" t="str">
        <x:v>Cold reconstruction and challenge</x:v>
      </x:c>
      <x:c r="F16" s="72" t="n">
        <x:v>0.15</x:v>
      </x:c>
      <x:c r="G16" s="79" t="n">
        <x:f>Inputs!$E$29</x:f>
        <x:v>25.833333333333332</x:v>
      </x:c>
      <x:c r="H16" s="79" t="n">
        <x:f>F16*G16</x:f>
        <x:v>3.8749999999999996</x:v>
      </x:c>
      <x:c r="I16" s="79" t="n">
        <x:f>H16*Inputs!$B$7</x:f>
        <x:v>2.7899999999999996</x:v>
      </x:c>
      <x:c r="J16" s="79" t="n">
        <x:f>H16*Inputs!$B$8</x:f>
        <x:v>0.5812499999999999</x:v>
      </x:c>
      <x:c r="K16" s="79" t="n">
        <x:f>H16*Inputs!$B$9</x:f>
        <x:v>0.31</x:v>
      </x:c>
      <x:c r="L16" s="79" t="n">
        <x:f>H16*Inputs!$B$10</x:f>
        <x:v>0.19374999999999998</x:v>
      </x:c>
      <x:c r="M16" s="80" t="n">
        <x:f>SUMIF('Validity Gates'!$B$7:$B$366,A16,'Validity Gates'!$F$7:$F$366)</x:f>
        <x:v>2</x:v>
      </x:c>
      <x:c r="N16" s="80" t="n">
        <x:f>COUNTIF('Validity Gates'!$B$7:$B$366,A16)</x:f>
        <x:v>12</x:v>
      </x:c>
      <x:c r="O16" s="80" t="str">
        <x:f>IF(AND(M16=N16,N16=12),"VALID","WORKING")</x:f>
        <x:v>WORKING</x:v>
      </x:c>
      <x:c r="P16" s="79" t="n">
        <x:f>IF(O16="VALID",H16,0)</x:f>
        <x:v>0</x:v>
      </x:c>
      <x:c r="Q16" s="79" t="n">
        <x:f>SUMIF('Payment Schedule'!$B$7:$B$186,A16,'Payment Schedule'!$K$7:$K$186)</x:f>
        <x:v>0</x:v>
      </x:c>
      <x:c r="R16" s="80" t="str">
        <x:f>IF(Q16&lt;=P16,"CONTROLLED","OVERPAID")</x:f>
        <x:v>CONTROLLED</x:v>
      </x:c>
      <x:c r="S16" s="80" t="n">
        <x:f>COUNTIFS('Payment Schedule'!$B$7:$B$186,A16,'Payment Schedule'!$G$7:$G$186,1)</x:f>
        <x:v>0</x:v>
      </x:c>
      <x:c r="T16" s="80" t="n">
        <x:f>Inputs!$B$13</x:f>
        <x:v>0</x:v>
      </x:c>
      <x:c r="U16" s="80" t="n">
        <x:f>Inputs!$B$14</x:f>
        <x:v>0</x:v>
      </x:c>
      <x:c r="V16" s="80" t="n">
        <x:f>Inputs!$B$15</x:f>
        <x:v>0</x:v>
      </x:c>
      <x:c r="W16" s="80" t="n">
        <x:f>Inputs!$B$16</x:f>
        <x:v>0</x:v>
      </x:c>
    </x:row>
    <x:row r="17">
      <x:c r="A17" s="62" t="str">
        <x:v>P11</x:v>
      </x:c>
      <x:c r="B17" s="62" t="str">
        <x:v>HC-A</x:v>
      </x:c>
      <x:c r="C17" s="62" t="str">
        <x:v>HC-A-C</x:v>
      </x:c>
      <x:c r="D17" s="62" t="str">
        <x:v>METHOD</x:v>
      </x:c>
      <x:c r="E17" s="62" t="str">
        <x:v>Event method and denominator</x:v>
      </x:c>
      <x:c r="F17" s="72" t="n">
        <x:v>0.2</x:v>
      </x:c>
      <x:c r="G17" s="79" t="n">
        <x:f>Inputs!$E$30</x:f>
        <x:v>15.366666666666667</x:v>
      </x:c>
      <x:c r="H17" s="79" t="n">
        <x:f>F17*G17</x:f>
        <x:v>3.0733333333333337</x:v>
      </x:c>
      <x:c r="I17" s="79" t="n">
        <x:f>H17*Inputs!$B$7</x:f>
        <x:v>2.2128</x:v>
      </x:c>
      <x:c r="J17" s="79" t="n">
        <x:f>H17*Inputs!$B$8</x:f>
        <x:v>0.461</x:v>
      </x:c>
      <x:c r="K17" s="79" t="n">
        <x:f>H17*Inputs!$B$9</x:f>
        <x:v>0.2458666666666667</x:v>
      </x:c>
      <x:c r="L17" s="79" t="n">
        <x:f>H17*Inputs!$B$10</x:f>
        <x:v>0.1536666666666667</x:v>
      </x:c>
      <x:c r="M17" s="80" t="n">
        <x:f>SUMIF('Validity Gates'!$B$7:$B$366,A17,'Validity Gates'!$F$7:$F$366)</x:f>
        <x:v>2</x:v>
      </x:c>
      <x:c r="N17" s="80" t="n">
        <x:f>COUNTIF('Validity Gates'!$B$7:$B$366,A17)</x:f>
        <x:v>12</x:v>
      </x:c>
      <x:c r="O17" s="80" t="str">
        <x:f>IF(AND(M17=N17,N17=12),"VALID","WORKING")</x:f>
        <x:v>WORKING</x:v>
      </x:c>
      <x:c r="P17" s="79" t="n">
        <x:f>IF(O17="VALID",H17,0)</x:f>
        <x:v>0</x:v>
      </x:c>
      <x:c r="Q17" s="79" t="n">
        <x:f>SUMIF('Payment Schedule'!$B$7:$B$186,A17,'Payment Schedule'!$K$7:$K$186)</x:f>
        <x:v>0</x:v>
      </x:c>
      <x:c r="R17" s="80" t="str">
        <x:f>IF(Q17&lt;=P17,"CONTROLLED","OVERPAID")</x:f>
        <x:v>CONTROLLED</x:v>
      </x:c>
      <x:c r="S17" s="80" t="n">
        <x:f>COUNTIFS('Payment Schedule'!$B$7:$B$186,A17,'Payment Schedule'!$G$7:$G$186,1)</x:f>
        <x:v>0</x:v>
      </x:c>
      <x:c r="T17" s="80" t="n">
        <x:f>Inputs!$B$13</x:f>
        <x:v>0</x:v>
      </x:c>
      <x:c r="U17" s="80" t="n">
        <x:f>Inputs!$B$14</x:f>
        <x:v>0</x:v>
      </x:c>
      <x:c r="V17" s="80" t="n">
        <x:f>Inputs!$B$15</x:f>
        <x:v>0</x:v>
      </x:c>
      <x:c r="W17" s="80" t="n">
        <x:f>Inputs!$B$16</x:f>
        <x:v>0</x:v>
      </x:c>
    </x:row>
    <x:row r="18">
      <x:c r="A18" s="62" t="str">
        <x:v>P12</x:v>
      </x:c>
      <x:c r="B18" s="62" t="str">
        <x:v>HC-A</x:v>
      </x:c>
      <x:c r="C18" s="62" t="str">
        <x:v>HC-A-C</x:v>
      </x:c>
      <x:c r="D18" s="62" t="str">
        <x:v>VALID</x:v>
      </x:c>
      <x:c r="E18" s="62" t="str">
        <x:v>Instrumentation, custody and validity</x:v>
      </x:c>
      <x:c r="F18" s="72" t="n">
        <x:v>0.25</x:v>
      </x:c>
      <x:c r="G18" s="79" t="n">
        <x:f>Inputs!$E$30</x:f>
        <x:v>15.366666666666667</x:v>
      </x:c>
      <x:c r="H18" s="79" t="n">
        <x:f>F18*G18</x:f>
        <x:v>3.841666666666667</x:v>
      </x:c>
      <x:c r="I18" s="79" t="n">
        <x:f>H18*Inputs!$B$7</x:f>
        <x:v>2.766</x:v>
      </x:c>
      <x:c r="J18" s="79" t="n">
        <x:f>H18*Inputs!$B$8</x:f>
        <x:v>0.57625</x:v>
      </x:c>
      <x:c r="K18" s="79" t="n">
        <x:f>H18*Inputs!$B$9</x:f>
        <x:v>0.30733333333333335</x:v>
      </x:c>
      <x:c r="L18" s="79" t="n">
        <x:f>H18*Inputs!$B$10</x:f>
        <x:v>0.19208333333333336</x:v>
      </x:c>
      <x:c r="M18" s="80" t="n">
        <x:f>SUMIF('Validity Gates'!$B$7:$B$366,A18,'Validity Gates'!$F$7:$F$366)</x:f>
        <x:v>2</x:v>
      </x:c>
      <x:c r="N18" s="80" t="n">
        <x:f>COUNTIF('Validity Gates'!$B$7:$B$366,A18)</x:f>
        <x:v>12</x:v>
      </x:c>
      <x:c r="O18" s="80" t="str">
        <x:f>IF(AND(M18=N18,N18=12),"VALID","WORKING")</x:f>
        <x:v>WORKING</x:v>
      </x:c>
      <x:c r="P18" s="79" t="n">
        <x:f>IF(O18="VALID",H18,0)</x:f>
        <x:v>0</x:v>
      </x:c>
      <x:c r="Q18" s="79" t="n">
        <x:f>SUMIF('Payment Schedule'!$B$7:$B$186,A18,'Payment Schedule'!$K$7:$K$186)</x:f>
        <x:v>0</x:v>
      </x:c>
      <x:c r="R18" s="80" t="str">
        <x:f>IF(Q18&lt;=P18,"CONTROLLED","OVERPAID")</x:f>
        <x:v>CONTROLLED</x:v>
      </x:c>
      <x:c r="S18" s="80" t="n">
        <x:f>COUNTIFS('Payment Schedule'!$B$7:$B$186,A18,'Payment Schedule'!$G$7:$G$186,1)</x:f>
        <x:v>0</x:v>
      </x:c>
      <x:c r="T18" s="80" t="n">
        <x:f>Inputs!$B$13</x:f>
        <x:v>0</x:v>
      </x:c>
      <x:c r="U18" s="80" t="n">
        <x:f>Inputs!$B$14</x:f>
        <x:v>0</x:v>
      </x:c>
      <x:c r="V18" s="80" t="n">
        <x:f>Inputs!$B$15</x:f>
        <x:v>0</x:v>
      </x:c>
      <x:c r="W18" s="80" t="n">
        <x:f>Inputs!$B$16</x:f>
        <x:v>0</x:v>
      </x:c>
    </x:row>
    <x:row r="19">
      <x:c r="A19" s="62" t="str">
        <x:v>P13</x:v>
      </x:c>
      <x:c r="B19" s="62" t="str">
        <x:v>HC-A</x:v>
      </x:c>
      <x:c r="C19" s="62" t="str">
        <x:v>HC-A-C</x:v>
      </x:c>
      <x:c r="D19" s="62" t="str">
        <x:v>CIVIL</x:v>
      </x:c>
      <x:c r="E19" s="62" t="str">
        <x:v>Rights, receiver and residual closure</x:v>
      </x:c>
      <x:c r="F19" s="72" t="n">
        <x:v>0.15</x:v>
      </x:c>
      <x:c r="G19" s="79" t="n">
        <x:f>Inputs!$E$30</x:f>
        <x:v>15.366666666666667</x:v>
      </x:c>
      <x:c r="H19" s="79" t="n">
        <x:f>F19*G19</x:f>
        <x:v>2.305</x:v>
      </x:c>
      <x:c r="I19" s="79" t="n">
        <x:f>H19*Inputs!$B$7</x:f>
        <x:v>1.6596</x:v>
      </x:c>
      <x:c r="J19" s="79" t="n">
        <x:f>H19*Inputs!$B$8</x:f>
        <x:v>0.34575</x:v>
      </x:c>
      <x:c r="K19" s="79" t="n">
        <x:f>H19*Inputs!$B$9</x:f>
        <x:v>0.1844</x:v>
      </x:c>
      <x:c r="L19" s="79" t="n">
        <x:f>H19*Inputs!$B$10</x:f>
        <x:v>0.11525000000000002</x:v>
      </x:c>
      <x:c r="M19" s="80" t="n">
        <x:f>SUMIF('Validity Gates'!$B$7:$B$366,A19,'Validity Gates'!$F$7:$F$366)</x:f>
        <x:v>2</x:v>
      </x:c>
      <x:c r="N19" s="80" t="n">
        <x:f>COUNTIF('Validity Gates'!$B$7:$B$366,A19)</x:f>
        <x:v>12</x:v>
      </x:c>
      <x:c r="O19" s="80" t="str">
        <x:f>IF(AND(M19=N19,N19=12),"VALID","WORKING")</x:f>
        <x:v>WORKING</x:v>
      </x:c>
      <x:c r="P19" s="79" t="n">
        <x:f>IF(O19="VALID",H19,0)</x:f>
        <x:v>0</x:v>
      </x:c>
      <x:c r="Q19" s="79" t="n">
        <x:f>SUMIF('Payment Schedule'!$B$7:$B$186,A19,'Payment Schedule'!$K$7:$K$186)</x:f>
        <x:v>0</x:v>
      </x:c>
      <x:c r="R19" s="80" t="str">
        <x:f>IF(Q19&lt;=P19,"CONTROLLED","OVERPAID")</x:f>
        <x:v>CONTROLLED</x:v>
      </x:c>
      <x:c r="S19" s="80" t="n">
        <x:f>COUNTIFS('Payment Schedule'!$B$7:$B$186,A19,'Payment Schedule'!$G$7:$G$186,1)</x:f>
        <x:v>0</x:v>
      </x:c>
      <x:c r="T19" s="80" t="n">
        <x:f>Inputs!$B$13</x:f>
        <x:v>0</x:v>
      </x:c>
      <x:c r="U19" s="80" t="n">
        <x:f>Inputs!$B$14</x:f>
        <x:v>0</x:v>
      </x:c>
      <x:c r="V19" s="80" t="n">
        <x:f>Inputs!$B$15</x:f>
        <x:v>0</x:v>
      </x:c>
      <x:c r="W19" s="80" t="n">
        <x:f>Inputs!$B$16</x:f>
        <x:v>0</x:v>
      </x:c>
    </x:row>
    <x:row r="20">
      <x:c r="A20" s="62" t="str">
        <x:v>P14</x:v>
      </x:c>
      <x:c r="B20" s="62" t="str">
        <x:v>HC-A</x:v>
      </x:c>
      <x:c r="C20" s="62" t="str">
        <x:v>HC-A-C</x:v>
      </x:c>
      <x:c r="D20" s="62" t="str">
        <x:v>ARTICLE</x:v>
      </x:c>
      <x:c r="E20" s="62" t="str">
        <x:v>Destructive-article engineering</x:v>
      </x:c>
      <x:c r="F20" s="72" t="n">
        <x:v>0.25</x:v>
      </x:c>
      <x:c r="G20" s="79" t="n">
        <x:f>Inputs!$E$30</x:f>
        <x:v>15.366666666666667</x:v>
      </x:c>
      <x:c r="H20" s="79" t="n">
        <x:f>F20*G20</x:f>
        <x:v>3.841666666666667</x:v>
      </x:c>
      <x:c r="I20" s="79" t="n">
        <x:f>H20*Inputs!$B$7</x:f>
        <x:v>2.766</x:v>
      </x:c>
      <x:c r="J20" s="79" t="n">
        <x:f>H20*Inputs!$B$8</x:f>
        <x:v>0.57625</x:v>
      </x:c>
      <x:c r="K20" s="79" t="n">
        <x:f>H20*Inputs!$B$9</x:f>
        <x:v>0.30733333333333335</x:v>
      </x:c>
      <x:c r="L20" s="79" t="n">
        <x:f>H20*Inputs!$B$10</x:f>
        <x:v>0.19208333333333336</x:v>
      </x:c>
      <x:c r="M20" s="80" t="n">
        <x:f>SUMIF('Validity Gates'!$B$7:$B$366,A20,'Validity Gates'!$F$7:$F$366)</x:f>
        <x:v>2</x:v>
      </x:c>
      <x:c r="N20" s="80" t="n">
        <x:f>COUNTIF('Validity Gates'!$B$7:$B$366,A20)</x:f>
        <x:v>12</x:v>
      </x:c>
      <x:c r="O20" s="80" t="str">
        <x:f>IF(AND(M20=N20,N20=12),"VALID","WORKING")</x:f>
        <x:v>WORKING</x:v>
      </x:c>
      <x:c r="P20" s="79" t="n">
        <x:f>IF(O20="VALID",H20,0)</x:f>
        <x:v>0</x:v>
      </x:c>
      <x:c r="Q20" s="79" t="n">
        <x:f>SUMIF('Payment Schedule'!$B$7:$B$186,A20,'Payment Schedule'!$K$7:$K$186)</x:f>
        <x:v>0</x:v>
      </x:c>
      <x:c r="R20" s="80" t="str">
        <x:f>IF(Q20&lt;=P20,"CONTROLLED","OVERPAID")</x:f>
        <x:v>CONTROLLED</x:v>
      </x:c>
      <x:c r="S20" s="80" t="n">
        <x:f>COUNTIFS('Payment Schedule'!$B$7:$B$186,A20,'Payment Schedule'!$G$7:$G$186,1)</x:f>
        <x:v>0</x:v>
      </x:c>
      <x:c r="T20" s="80" t="n">
        <x:f>Inputs!$B$13</x:f>
        <x:v>0</x:v>
      </x:c>
      <x:c r="U20" s="80" t="n">
        <x:f>Inputs!$B$14</x:f>
        <x:v>0</x:v>
      </x:c>
      <x:c r="V20" s="80" t="n">
        <x:f>Inputs!$B$15</x:f>
        <x:v>0</x:v>
      </x:c>
      <x:c r="W20" s="80" t="n">
        <x:f>Inputs!$B$16</x:f>
        <x:v>0</x:v>
      </x:c>
    </x:row>
    <x:row r="21">
      <x:c r="A21" s="62" t="str">
        <x:v>P15</x:v>
      </x:c>
      <x:c r="B21" s="62" t="str">
        <x:v>HC-A</x:v>
      </x:c>
      <x:c r="C21" s="62" t="str">
        <x:v>HC-A-C</x:v>
      </x:c>
      <x:c r="D21" s="62" t="str">
        <x:v>REBUILD</x:v>
      </x:c>
      <x:c r="E21" s="62" t="str">
        <x:v>Cold reconstruction and challenge</x:v>
      </x:c>
      <x:c r="F21" s="72" t="n">
        <x:v>0.15</x:v>
      </x:c>
      <x:c r="G21" s="79" t="n">
        <x:f>Inputs!$E$30</x:f>
        <x:v>15.366666666666667</x:v>
      </x:c>
      <x:c r="H21" s="79" t="n">
        <x:f>F21*G21</x:f>
        <x:v>2.305</x:v>
      </x:c>
      <x:c r="I21" s="79" t="n">
        <x:f>H21*Inputs!$B$7</x:f>
        <x:v>1.6596</x:v>
      </x:c>
      <x:c r="J21" s="79" t="n">
        <x:f>H21*Inputs!$B$8</x:f>
        <x:v>0.34575</x:v>
      </x:c>
      <x:c r="K21" s="79" t="n">
        <x:f>H21*Inputs!$B$9</x:f>
        <x:v>0.1844</x:v>
      </x:c>
      <x:c r="L21" s="79" t="n">
        <x:f>H21*Inputs!$B$10</x:f>
        <x:v>0.11525000000000002</x:v>
      </x:c>
      <x:c r="M21" s="80" t="n">
        <x:f>SUMIF('Validity Gates'!$B$7:$B$366,A21,'Validity Gates'!$F$7:$F$366)</x:f>
        <x:v>2</x:v>
      </x:c>
      <x:c r="N21" s="80" t="n">
        <x:f>COUNTIF('Validity Gates'!$B$7:$B$366,A21)</x:f>
        <x:v>12</x:v>
      </x:c>
      <x:c r="O21" s="80" t="str">
        <x:f>IF(AND(M21=N21,N21=12),"VALID","WORKING")</x:f>
        <x:v>WORKING</x:v>
      </x:c>
      <x:c r="P21" s="79" t="n">
        <x:f>IF(O21="VALID",H21,0)</x:f>
        <x:v>0</x:v>
      </x:c>
      <x:c r="Q21" s="79" t="n">
        <x:f>SUMIF('Payment Schedule'!$B$7:$B$186,A21,'Payment Schedule'!$K$7:$K$186)</x:f>
        <x:v>0</x:v>
      </x:c>
      <x:c r="R21" s="80" t="str">
        <x:f>IF(Q21&lt;=P21,"CONTROLLED","OVERPAID")</x:f>
        <x:v>CONTROLLED</x:v>
      </x:c>
      <x:c r="S21" s="80" t="n">
        <x:f>COUNTIFS('Payment Schedule'!$B$7:$B$186,A21,'Payment Schedule'!$G$7:$G$186,1)</x:f>
        <x:v>0</x:v>
      </x:c>
      <x:c r="T21" s="80" t="n">
        <x:f>Inputs!$B$13</x:f>
        <x:v>0</x:v>
      </x:c>
      <x:c r="U21" s="80" t="n">
        <x:f>Inputs!$B$14</x:f>
        <x:v>0</x:v>
      </x:c>
      <x:c r="V21" s="80" t="n">
        <x:f>Inputs!$B$15</x:f>
        <x:v>0</x:v>
      </x:c>
      <x:c r="W21" s="80" t="n">
        <x:f>Inputs!$B$16</x:f>
        <x:v>0</x:v>
      </x:c>
    </x:row>
    <x:row r="22">
      <x:c r="A22" s="62" t="str">
        <x:v>P16</x:v>
      </x:c>
      <x:c r="B22" s="62" t="str">
        <x:v>LF-B</x:v>
      </x:c>
      <x:c r="C22" s="62" t="str">
        <x:v>LF-B-A</x:v>
      </x:c>
      <x:c r="D22" s="62" t="str">
        <x:v>METHOD</x:v>
      </x:c>
      <x:c r="E22" s="62" t="str">
        <x:v>Event method and denominator</x:v>
      </x:c>
      <x:c r="F22" s="72" t="n">
        <x:v>0.2</x:v>
      </x:c>
      <x:c r="G22" s="79" t="n">
        <x:f>Inputs!$E$31</x:f>
        <x:v>45</x:v>
      </x:c>
      <x:c r="H22" s="79" t="n">
        <x:f>F22*G22</x:f>
        <x:v>9</x:v>
      </x:c>
      <x:c r="I22" s="79" t="n">
        <x:f>H22*Inputs!$B$7</x:f>
        <x:v>6.4799999999999995</x:v>
      </x:c>
      <x:c r="J22" s="79" t="n">
        <x:f>H22*Inputs!$B$8</x:f>
        <x:v>1.3499999999999999</x:v>
      </x:c>
      <x:c r="K22" s="79" t="n">
        <x:f>H22*Inputs!$B$9</x:f>
        <x:v>0.72</x:v>
      </x:c>
      <x:c r="L22" s="79" t="n">
        <x:f>H22*Inputs!$B$10</x:f>
        <x:v>0.45</x:v>
      </x:c>
      <x:c r="M22" s="80" t="n">
        <x:f>SUMIF('Validity Gates'!$B$7:$B$366,A22,'Validity Gates'!$F$7:$F$366)</x:f>
        <x:v>2</x:v>
      </x:c>
      <x:c r="N22" s="80" t="n">
        <x:f>COUNTIF('Validity Gates'!$B$7:$B$366,A22)</x:f>
        <x:v>12</x:v>
      </x:c>
      <x:c r="O22" s="80" t="str">
        <x:f>IF(AND(M22=N22,N22=12),"VALID","WORKING")</x:f>
        <x:v>WORKING</x:v>
      </x:c>
      <x:c r="P22" s="79" t="n">
        <x:f>IF(O22="VALID",H22,0)</x:f>
        <x:v>0</x:v>
      </x:c>
      <x:c r="Q22" s="79" t="n">
        <x:f>SUMIF('Payment Schedule'!$B$7:$B$186,A22,'Payment Schedule'!$K$7:$K$186)</x:f>
        <x:v>0</x:v>
      </x:c>
      <x:c r="R22" s="80" t="str">
        <x:f>IF(Q22&lt;=P22,"CONTROLLED","OVERPAID")</x:f>
        <x:v>CONTROLLED</x:v>
      </x:c>
      <x:c r="S22" s="80" t="n">
        <x:f>COUNTIFS('Payment Schedule'!$B$7:$B$186,A22,'Payment Schedule'!$G$7:$G$186,1)</x:f>
        <x:v>0</x:v>
      </x:c>
      <x:c r="T22" s="80" t="n">
        <x:f>Inputs!$B$13</x:f>
        <x:v>0</x:v>
      </x:c>
      <x:c r="U22" s="80" t="n">
        <x:f>Inputs!$B$14</x:f>
        <x:v>0</x:v>
      </x:c>
      <x:c r="V22" s="80" t="n">
        <x:f>Inputs!$B$15</x:f>
        <x:v>0</x:v>
      </x:c>
      <x:c r="W22" s="80" t="n">
        <x:f>Inputs!$B$16</x:f>
        <x:v>0</x:v>
      </x:c>
    </x:row>
    <x:row r="23">
      <x:c r="A23" s="62" t="str">
        <x:v>P17</x:v>
      </x:c>
      <x:c r="B23" s="62" t="str">
        <x:v>LF-B</x:v>
      </x:c>
      <x:c r="C23" s="62" t="str">
        <x:v>LF-B-A</x:v>
      </x:c>
      <x:c r="D23" s="62" t="str">
        <x:v>VALID</x:v>
      </x:c>
      <x:c r="E23" s="62" t="str">
        <x:v>Instrumentation, custody and validity</x:v>
      </x:c>
      <x:c r="F23" s="72" t="n">
        <x:v>0.25</x:v>
      </x:c>
      <x:c r="G23" s="79" t="n">
        <x:f>Inputs!$E$31</x:f>
        <x:v>45</x:v>
      </x:c>
      <x:c r="H23" s="79" t="n">
        <x:f>F23*G23</x:f>
        <x:v>11.25</x:v>
      </x:c>
      <x:c r="I23" s="79" t="n">
        <x:f>H23*Inputs!$B$7</x:f>
        <x:v>8.1</x:v>
      </x:c>
      <x:c r="J23" s="79" t="n">
        <x:f>H23*Inputs!$B$8</x:f>
        <x:v>1.6875</x:v>
      </x:c>
      <x:c r="K23" s="79" t="n">
        <x:f>H23*Inputs!$B$9</x:f>
        <x:v>0.9</x:v>
      </x:c>
      <x:c r="L23" s="79" t="n">
        <x:f>H23*Inputs!$B$10</x:f>
        <x:v>0.5625</x:v>
      </x:c>
      <x:c r="M23" s="80" t="n">
        <x:f>SUMIF('Validity Gates'!$B$7:$B$366,A23,'Validity Gates'!$F$7:$F$366)</x:f>
        <x:v>2</x:v>
      </x:c>
      <x:c r="N23" s="80" t="n">
        <x:f>COUNTIF('Validity Gates'!$B$7:$B$366,A23)</x:f>
        <x:v>12</x:v>
      </x:c>
      <x:c r="O23" s="80" t="str">
        <x:f>IF(AND(M23=N23,N23=12),"VALID","WORKING")</x:f>
        <x:v>WORKING</x:v>
      </x:c>
      <x:c r="P23" s="79" t="n">
        <x:f>IF(O23="VALID",H23,0)</x:f>
        <x:v>0</x:v>
      </x:c>
      <x:c r="Q23" s="79" t="n">
        <x:f>SUMIF('Payment Schedule'!$B$7:$B$186,A23,'Payment Schedule'!$K$7:$K$186)</x:f>
        <x:v>0</x:v>
      </x:c>
      <x:c r="R23" s="80" t="str">
        <x:f>IF(Q23&lt;=P23,"CONTROLLED","OVERPAID")</x:f>
        <x:v>CONTROLLED</x:v>
      </x:c>
      <x:c r="S23" s="80" t="n">
        <x:f>COUNTIFS('Payment Schedule'!$B$7:$B$186,A23,'Payment Schedule'!$G$7:$G$186,1)</x:f>
        <x:v>0</x:v>
      </x:c>
      <x:c r="T23" s="80" t="n">
        <x:f>Inputs!$B$13</x:f>
        <x:v>0</x:v>
      </x:c>
      <x:c r="U23" s="80" t="n">
        <x:f>Inputs!$B$14</x:f>
        <x:v>0</x:v>
      </x:c>
      <x:c r="V23" s="80" t="n">
        <x:f>Inputs!$B$15</x:f>
        <x:v>0</x:v>
      </x:c>
      <x:c r="W23" s="80" t="n">
        <x:f>Inputs!$B$16</x:f>
        <x:v>0</x:v>
      </x:c>
    </x:row>
    <x:row r="24">
      <x:c r="A24" s="62" t="str">
        <x:v>P18</x:v>
      </x:c>
      <x:c r="B24" s="62" t="str">
        <x:v>LF-B</x:v>
      </x:c>
      <x:c r="C24" s="62" t="str">
        <x:v>LF-B-A</x:v>
      </x:c>
      <x:c r="D24" s="62" t="str">
        <x:v>CIVIL</x:v>
      </x:c>
      <x:c r="E24" s="62" t="str">
        <x:v>Rights, receiver and residual closure</x:v>
      </x:c>
      <x:c r="F24" s="72" t="n">
        <x:v>0.15</x:v>
      </x:c>
      <x:c r="G24" s="79" t="n">
        <x:f>Inputs!$E$31</x:f>
        <x:v>45</x:v>
      </x:c>
      <x:c r="H24" s="79" t="n">
        <x:f>F24*G24</x:f>
        <x:v>6.75</x:v>
      </x:c>
      <x:c r="I24" s="79" t="n">
        <x:f>H24*Inputs!$B$7</x:f>
        <x:v>4.859999999999999</x:v>
      </x:c>
      <x:c r="J24" s="79" t="n">
        <x:f>H24*Inputs!$B$8</x:f>
        <x:v>1.0125</x:v>
      </x:c>
      <x:c r="K24" s="79" t="n">
        <x:f>H24*Inputs!$B$9</x:f>
        <x:v>0.54</x:v>
      </x:c>
      <x:c r="L24" s="79" t="n">
        <x:f>H24*Inputs!$B$10</x:f>
        <x:v>0.3375</x:v>
      </x:c>
      <x:c r="M24" s="80" t="n">
        <x:f>SUMIF('Validity Gates'!$B$7:$B$366,A24,'Validity Gates'!$F$7:$F$366)</x:f>
        <x:v>2</x:v>
      </x:c>
      <x:c r="N24" s="80" t="n">
        <x:f>COUNTIF('Validity Gates'!$B$7:$B$366,A24)</x:f>
        <x:v>12</x:v>
      </x:c>
      <x:c r="O24" s="80" t="str">
        <x:f>IF(AND(M24=N24,N24=12),"VALID","WORKING")</x:f>
        <x:v>WORKING</x:v>
      </x:c>
      <x:c r="P24" s="79" t="n">
        <x:f>IF(O24="VALID",H24,0)</x:f>
        <x:v>0</x:v>
      </x:c>
      <x:c r="Q24" s="79" t="n">
        <x:f>SUMIF('Payment Schedule'!$B$7:$B$186,A24,'Payment Schedule'!$K$7:$K$186)</x:f>
        <x:v>0</x:v>
      </x:c>
      <x:c r="R24" s="80" t="str">
        <x:f>IF(Q24&lt;=P24,"CONTROLLED","OVERPAID")</x:f>
        <x:v>CONTROLLED</x:v>
      </x:c>
      <x:c r="S24" s="80" t="n">
        <x:f>COUNTIFS('Payment Schedule'!$B$7:$B$186,A24,'Payment Schedule'!$G$7:$G$186,1)</x:f>
        <x:v>0</x:v>
      </x:c>
      <x:c r="T24" s="80" t="n">
        <x:f>Inputs!$B$13</x:f>
        <x:v>0</x:v>
      </x:c>
      <x:c r="U24" s="80" t="n">
        <x:f>Inputs!$B$14</x:f>
        <x:v>0</x:v>
      </x:c>
      <x:c r="V24" s="80" t="n">
        <x:f>Inputs!$B$15</x:f>
        <x:v>0</x:v>
      </x:c>
      <x:c r="W24" s="80" t="n">
        <x:f>Inputs!$B$16</x:f>
        <x:v>0</x:v>
      </x:c>
    </x:row>
    <x:row r="25">
      <x:c r="A25" s="62" t="str">
        <x:v>P19</x:v>
      </x:c>
      <x:c r="B25" s="62" t="str">
        <x:v>LF-B</x:v>
      </x:c>
      <x:c r="C25" s="62" t="str">
        <x:v>LF-B-A</x:v>
      </x:c>
      <x:c r="D25" s="62" t="str">
        <x:v>ARTICLE</x:v>
      </x:c>
      <x:c r="E25" s="62" t="str">
        <x:v>Destructive-article engineering</x:v>
      </x:c>
      <x:c r="F25" s="72" t="n">
        <x:v>0.25</x:v>
      </x:c>
      <x:c r="G25" s="79" t="n">
        <x:f>Inputs!$E$31</x:f>
        <x:v>45</x:v>
      </x:c>
      <x:c r="H25" s="79" t="n">
        <x:f>F25*G25</x:f>
        <x:v>11.25</x:v>
      </x:c>
      <x:c r="I25" s="79" t="n">
        <x:f>H25*Inputs!$B$7</x:f>
        <x:v>8.1</x:v>
      </x:c>
      <x:c r="J25" s="79" t="n">
        <x:f>H25*Inputs!$B$8</x:f>
        <x:v>1.6875</x:v>
      </x:c>
      <x:c r="K25" s="79" t="n">
        <x:f>H25*Inputs!$B$9</x:f>
        <x:v>0.9</x:v>
      </x:c>
      <x:c r="L25" s="79" t="n">
        <x:f>H25*Inputs!$B$10</x:f>
        <x:v>0.5625</x:v>
      </x:c>
      <x:c r="M25" s="80" t="n">
        <x:f>SUMIF('Validity Gates'!$B$7:$B$366,A25,'Validity Gates'!$F$7:$F$366)</x:f>
        <x:v>2</x:v>
      </x:c>
      <x:c r="N25" s="80" t="n">
        <x:f>COUNTIF('Validity Gates'!$B$7:$B$366,A25)</x:f>
        <x:v>12</x:v>
      </x:c>
      <x:c r="O25" s="80" t="str">
        <x:f>IF(AND(M25=N25,N25=12),"VALID","WORKING")</x:f>
        <x:v>WORKING</x:v>
      </x:c>
      <x:c r="P25" s="79" t="n">
        <x:f>IF(O25="VALID",H25,0)</x:f>
        <x:v>0</x:v>
      </x:c>
      <x:c r="Q25" s="79" t="n">
        <x:f>SUMIF('Payment Schedule'!$B$7:$B$186,A25,'Payment Schedule'!$K$7:$K$186)</x:f>
        <x:v>0</x:v>
      </x:c>
      <x:c r="R25" s="80" t="str">
        <x:f>IF(Q25&lt;=P25,"CONTROLLED","OVERPAID")</x:f>
        <x:v>CONTROLLED</x:v>
      </x:c>
      <x:c r="S25" s="80" t="n">
        <x:f>COUNTIFS('Payment Schedule'!$B$7:$B$186,A25,'Payment Schedule'!$G$7:$G$186,1)</x:f>
        <x:v>0</x:v>
      </x:c>
      <x:c r="T25" s="80" t="n">
        <x:f>Inputs!$B$13</x:f>
        <x:v>0</x:v>
      </x:c>
      <x:c r="U25" s="80" t="n">
        <x:f>Inputs!$B$14</x:f>
        <x:v>0</x:v>
      </x:c>
      <x:c r="V25" s="80" t="n">
        <x:f>Inputs!$B$15</x:f>
        <x:v>0</x:v>
      </x:c>
      <x:c r="W25" s="80" t="n">
        <x:f>Inputs!$B$16</x:f>
        <x:v>0</x:v>
      </x:c>
    </x:row>
    <x:row r="26">
      <x:c r="A26" s="62" t="str">
        <x:v>P20</x:v>
      </x:c>
      <x:c r="B26" s="62" t="str">
        <x:v>LF-B</x:v>
      </x:c>
      <x:c r="C26" s="62" t="str">
        <x:v>LF-B-A</x:v>
      </x:c>
      <x:c r="D26" s="62" t="str">
        <x:v>REBUILD</x:v>
      </x:c>
      <x:c r="E26" s="62" t="str">
        <x:v>Cold reconstruction and challenge</x:v>
      </x:c>
      <x:c r="F26" s="72" t="n">
        <x:v>0.15</x:v>
      </x:c>
      <x:c r="G26" s="79" t="n">
        <x:f>Inputs!$E$31</x:f>
        <x:v>45</x:v>
      </x:c>
      <x:c r="H26" s="79" t="n">
        <x:f>F26*G26</x:f>
        <x:v>6.75</x:v>
      </x:c>
      <x:c r="I26" s="79" t="n">
        <x:f>H26*Inputs!$B$7</x:f>
        <x:v>4.859999999999999</x:v>
      </x:c>
      <x:c r="J26" s="79" t="n">
        <x:f>H26*Inputs!$B$8</x:f>
        <x:v>1.0125</x:v>
      </x:c>
      <x:c r="K26" s="79" t="n">
        <x:f>H26*Inputs!$B$9</x:f>
        <x:v>0.54</x:v>
      </x:c>
      <x:c r="L26" s="79" t="n">
        <x:f>H26*Inputs!$B$10</x:f>
        <x:v>0.3375</x:v>
      </x:c>
      <x:c r="M26" s="80" t="n">
        <x:f>SUMIF('Validity Gates'!$B$7:$B$366,A26,'Validity Gates'!$F$7:$F$366)</x:f>
        <x:v>2</x:v>
      </x:c>
      <x:c r="N26" s="80" t="n">
        <x:f>COUNTIF('Validity Gates'!$B$7:$B$366,A26)</x:f>
        <x:v>12</x:v>
      </x:c>
      <x:c r="O26" s="80" t="str">
        <x:f>IF(AND(M26=N26,N26=12),"VALID","WORKING")</x:f>
        <x:v>WORKING</x:v>
      </x:c>
      <x:c r="P26" s="79" t="n">
        <x:f>IF(O26="VALID",H26,0)</x:f>
        <x:v>0</x:v>
      </x:c>
      <x:c r="Q26" s="79" t="n">
        <x:f>SUMIF('Payment Schedule'!$B$7:$B$186,A26,'Payment Schedule'!$K$7:$K$186)</x:f>
        <x:v>0</x:v>
      </x:c>
      <x:c r="R26" s="80" t="str">
        <x:f>IF(Q26&lt;=P26,"CONTROLLED","OVERPAID")</x:f>
        <x:v>CONTROLLED</x:v>
      </x:c>
      <x:c r="S26" s="80" t="n">
        <x:f>COUNTIFS('Payment Schedule'!$B$7:$B$186,A26,'Payment Schedule'!$G$7:$G$186,1)</x:f>
        <x:v>0</x:v>
      </x:c>
      <x:c r="T26" s="80" t="n">
        <x:f>Inputs!$B$13</x:f>
        <x:v>0</x:v>
      </x:c>
      <x:c r="U26" s="80" t="n">
        <x:f>Inputs!$B$14</x:f>
        <x:v>0</x:v>
      </x:c>
      <x:c r="V26" s="80" t="n">
        <x:f>Inputs!$B$15</x:f>
        <x:v>0</x:v>
      </x:c>
      <x:c r="W26" s="80" t="n">
        <x:f>Inputs!$B$16</x:f>
        <x:v>0</x:v>
      </x:c>
    </x:row>
    <x:row r="27">
      <x:c r="A27" s="62" t="str">
        <x:v>P21</x:v>
      </x:c>
      <x:c r="B27" s="62" t="str">
        <x:v>HU-A</x:v>
      </x:c>
      <x:c r="C27" s="62" t="str">
        <x:v>HU-A-B</x:v>
      </x:c>
      <x:c r="D27" s="62" t="str">
        <x:v>METHOD</x:v>
      </x:c>
      <x:c r="E27" s="62" t="str">
        <x:v>Event method and denominator</x:v>
      </x:c>
      <x:c r="F27" s="72" t="n">
        <x:v>0.2</x:v>
      </x:c>
      <x:c r="G27" s="79" t="n">
        <x:f>Inputs!$E$32</x:f>
        <x:v>43</x:v>
      </x:c>
      <x:c r="H27" s="79" t="n">
        <x:f>F27*G27</x:f>
        <x:v>8.6</x:v>
      </x:c>
      <x:c r="I27" s="79" t="n">
        <x:f>H27*Inputs!$B$7</x:f>
        <x:v>6.191999999999999</x:v>
      </x:c>
      <x:c r="J27" s="79" t="n">
        <x:f>H27*Inputs!$B$8</x:f>
        <x:v>1.2899999999999998</x:v>
      </x:c>
      <x:c r="K27" s="79" t="n">
        <x:f>H27*Inputs!$B$9</x:f>
        <x:v>0.688</x:v>
      </x:c>
      <x:c r="L27" s="79" t="n">
        <x:f>H27*Inputs!$B$10</x:f>
        <x:v>0.43</x:v>
      </x:c>
      <x:c r="M27" s="80" t="n">
        <x:f>SUMIF('Validity Gates'!$B$7:$B$366,A27,'Validity Gates'!$F$7:$F$366)</x:f>
        <x:v>2</x:v>
      </x:c>
      <x:c r="N27" s="80" t="n">
        <x:f>COUNTIF('Validity Gates'!$B$7:$B$366,A27)</x:f>
        <x:v>12</x:v>
      </x:c>
      <x:c r="O27" s="80" t="str">
        <x:f>IF(AND(M27=N27,N27=12),"VALID","WORKING")</x:f>
        <x:v>WORKING</x:v>
      </x:c>
      <x:c r="P27" s="79" t="n">
        <x:f>IF(O27="VALID",H27,0)</x:f>
        <x:v>0</x:v>
      </x:c>
      <x:c r="Q27" s="79" t="n">
        <x:f>SUMIF('Payment Schedule'!$B$7:$B$186,A27,'Payment Schedule'!$K$7:$K$186)</x:f>
        <x:v>0</x:v>
      </x:c>
      <x:c r="R27" s="80" t="str">
        <x:f>IF(Q27&lt;=P27,"CONTROLLED","OVERPAID")</x:f>
        <x:v>CONTROLLED</x:v>
      </x:c>
      <x:c r="S27" s="80" t="n">
        <x:f>COUNTIFS('Payment Schedule'!$B$7:$B$186,A27,'Payment Schedule'!$G$7:$G$186,1)</x:f>
        <x:v>0</x:v>
      </x:c>
      <x:c r="T27" s="80" t="n">
        <x:f>Inputs!$B$13</x:f>
        <x:v>0</x:v>
      </x:c>
      <x:c r="U27" s="80" t="n">
        <x:f>Inputs!$B$14</x:f>
        <x:v>0</x:v>
      </x:c>
      <x:c r="V27" s="80" t="n">
        <x:f>Inputs!$B$15</x:f>
        <x:v>0</x:v>
      </x:c>
      <x:c r="W27" s="80" t="n">
        <x:f>Inputs!$B$16</x:f>
        <x:v>0</x:v>
      </x:c>
    </x:row>
    <x:row r="28">
      <x:c r="A28" s="62" t="str">
        <x:v>P22</x:v>
      </x:c>
      <x:c r="B28" s="62" t="str">
        <x:v>HU-A</x:v>
      </x:c>
      <x:c r="C28" s="62" t="str">
        <x:v>HU-A-B</x:v>
      </x:c>
      <x:c r="D28" s="62" t="str">
        <x:v>VALID</x:v>
      </x:c>
      <x:c r="E28" s="62" t="str">
        <x:v>Instrumentation, custody and validity</x:v>
      </x:c>
      <x:c r="F28" s="72" t="n">
        <x:v>0.25</x:v>
      </x:c>
      <x:c r="G28" s="79" t="n">
        <x:f>Inputs!$E$32</x:f>
        <x:v>43</x:v>
      </x:c>
      <x:c r="H28" s="79" t="n">
        <x:f>F28*G28</x:f>
        <x:v>10.75</x:v>
      </x:c>
      <x:c r="I28" s="79" t="n">
        <x:f>H28*Inputs!$B$7</x:f>
        <x:v>7.739999999999999</x:v>
      </x:c>
      <x:c r="J28" s="79" t="n">
        <x:f>H28*Inputs!$B$8</x:f>
        <x:v>1.6125</x:v>
      </x:c>
      <x:c r="K28" s="79" t="n">
        <x:f>H28*Inputs!$B$9</x:f>
        <x:v>0.86</x:v>
      </x:c>
      <x:c r="L28" s="79" t="n">
        <x:f>H28*Inputs!$B$10</x:f>
        <x:v>0.5375</x:v>
      </x:c>
      <x:c r="M28" s="80" t="n">
        <x:f>SUMIF('Validity Gates'!$B$7:$B$366,A28,'Validity Gates'!$F$7:$F$366)</x:f>
        <x:v>2</x:v>
      </x:c>
      <x:c r="N28" s="80" t="n">
        <x:f>COUNTIF('Validity Gates'!$B$7:$B$366,A28)</x:f>
        <x:v>12</x:v>
      </x:c>
      <x:c r="O28" s="80" t="str">
        <x:f>IF(AND(M28=N28,N28=12),"VALID","WORKING")</x:f>
        <x:v>WORKING</x:v>
      </x:c>
      <x:c r="P28" s="79" t="n">
        <x:f>IF(O28="VALID",H28,0)</x:f>
        <x:v>0</x:v>
      </x:c>
      <x:c r="Q28" s="79" t="n">
        <x:f>SUMIF('Payment Schedule'!$B$7:$B$186,A28,'Payment Schedule'!$K$7:$K$186)</x:f>
        <x:v>0</x:v>
      </x:c>
      <x:c r="R28" s="80" t="str">
        <x:f>IF(Q28&lt;=P28,"CONTROLLED","OVERPAID")</x:f>
        <x:v>CONTROLLED</x:v>
      </x:c>
      <x:c r="S28" s="80" t="n">
        <x:f>COUNTIFS('Payment Schedule'!$B$7:$B$186,A28,'Payment Schedule'!$G$7:$G$186,1)</x:f>
        <x:v>0</x:v>
      </x:c>
      <x:c r="T28" s="80" t="n">
        <x:f>Inputs!$B$13</x:f>
        <x:v>0</x:v>
      </x:c>
      <x:c r="U28" s="80" t="n">
        <x:f>Inputs!$B$14</x:f>
        <x:v>0</x:v>
      </x:c>
      <x:c r="V28" s="80" t="n">
        <x:f>Inputs!$B$15</x:f>
        <x:v>0</x:v>
      </x:c>
      <x:c r="W28" s="80" t="n">
        <x:f>Inputs!$B$16</x:f>
        <x:v>0</x:v>
      </x:c>
    </x:row>
    <x:row r="29">
      <x:c r="A29" s="62" t="str">
        <x:v>P23</x:v>
      </x:c>
      <x:c r="B29" s="62" t="str">
        <x:v>HU-A</x:v>
      </x:c>
      <x:c r="C29" s="62" t="str">
        <x:v>HU-A-B</x:v>
      </x:c>
      <x:c r="D29" s="62" t="str">
        <x:v>CIVIL</x:v>
      </x:c>
      <x:c r="E29" s="62" t="str">
        <x:v>Rights, receiver and residual closure</x:v>
      </x:c>
      <x:c r="F29" s="72" t="n">
        <x:v>0.15</x:v>
      </x:c>
      <x:c r="G29" s="79" t="n">
        <x:f>Inputs!$E$32</x:f>
        <x:v>43</x:v>
      </x:c>
      <x:c r="H29" s="79" t="n">
        <x:f>F29*G29</x:f>
        <x:v>6.45</x:v>
      </x:c>
      <x:c r="I29" s="79" t="n">
        <x:f>H29*Inputs!$B$7</x:f>
        <x:v>4.644</x:v>
      </x:c>
      <x:c r="J29" s="79" t="n">
        <x:f>H29*Inputs!$B$8</x:f>
        <x:v>0.9675</x:v>
      </x:c>
      <x:c r="K29" s="79" t="n">
        <x:f>H29*Inputs!$B$9</x:f>
        <x:v>0.516</x:v>
      </x:c>
      <x:c r="L29" s="79" t="n">
        <x:f>H29*Inputs!$B$10</x:f>
        <x:v>0.3225</x:v>
      </x:c>
      <x:c r="M29" s="80" t="n">
        <x:f>SUMIF('Validity Gates'!$B$7:$B$366,A29,'Validity Gates'!$F$7:$F$366)</x:f>
        <x:v>2</x:v>
      </x:c>
      <x:c r="N29" s="80" t="n">
        <x:f>COUNTIF('Validity Gates'!$B$7:$B$366,A29)</x:f>
        <x:v>12</x:v>
      </x:c>
      <x:c r="O29" s="80" t="str">
        <x:f>IF(AND(M29=N29,N29=12),"VALID","WORKING")</x:f>
        <x:v>WORKING</x:v>
      </x:c>
      <x:c r="P29" s="79" t="n">
        <x:f>IF(O29="VALID",H29,0)</x:f>
        <x:v>0</x:v>
      </x:c>
      <x:c r="Q29" s="79" t="n">
        <x:f>SUMIF('Payment Schedule'!$B$7:$B$186,A29,'Payment Schedule'!$K$7:$K$186)</x:f>
        <x:v>0</x:v>
      </x:c>
      <x:c r="R29" s="80" t="str">
        <x:f>IF(Q29&lt;=P29,"CONTROLLED","OVERPAID")</x:f>
        <x:v>CONTROLLED</x:v>
      </x:c>
      <x:c r="S29" s="80" t="n">
        <x:f>COUNTIFS('Payment Schedule'!$B$7:$B$186,A29,'Payment Schedule'!$G$7:$G$186,1)</x:f>
        <x:v>0</x:v>
      </x:c>
      <x:c r="T29" s="80" t="n">
        <x:f>Inputs!$B$13</x:f>
        <x:v>0</x:v>
      </x:c>
      <x:c r="U29" s="80" t="n">
        <x:f>Inputs!$B$14</x:f>
        <x:v>0</x:v>
      </x:c>
      <x:c r="V29" s="80" t="n">
        <x:f>Inputs!$B$15</x:f>
        <x:v>0</x:v>
      </x:c>
      <x:c r="W29" s="80" t="n">
        <x:f>Inputs!$B$16</x:f>
        <x:v>0</x:v>
      </x:c>
    </x:row>
    <x:row r="30">
      <x:c r="A30" s="62" t="str">
        <x:v>P24</x:v>
      </x:c>
      <x:c r="B30" s="62" t="str">
        <x:v>HU-A</x:v>
      </x:c>
      <x:c r="C30" s="62" t="str">
        <x:v>HU-A-B</x:v>
      </x:c>
      <x:c r="D30" s="62" t="str">
        <x:v>ARTICLE</x:v>
      </x:c>
      <x:c r="E30" s="62" t="str">
        <x:v>Destructive-article engineering</x:v>
      </x:c>
      <x:c r="F30" s="72" t="n">
        <x:v>0.25</x:v>
      </x:c>
      <x:c r="G30" s="79" t="n">
        <x:f>Inputs!$E$32</x:f>
        <x:v>43</x:v>
      </x:c>
      <x:c r="H30" s="79" t="n">
        <x:f>F30*G30</x:f>
        <x:v>10.75</x:v>
      </x:c>
      <x:c r="I30" s="79" t="n">
        <x:f>H30*Inputs!$B$7</x:f>
        <x:v>7.739999999999999</x:v>
      </x:c>
      <x:c r="J30" s="79" t="n">
        <x:f>H30*Inputs!$B$8</x:f>
        <x:v>1.6125</x:v>
      </x:c>
      <x:c r="K30" s="79" t="n">
        <x:f>H30*Inputs!$B$9</x:f>
        <x:v>0.86</x:v>
      </x:c>
      <x:c r="L30" s="79" t="n">
        <x:f>H30*Inputs!$B$10</x:f>
        <x:v>0.5375</x:v>
      </x:c>
      <x:c r="M30" s="80" t="n">
        <x:f>SUMIF('Validity Gates'!$B$7:$B$366,A30,'Validity Gates'!$F$7:$F$366)</x:f>
        <x:v>2</x:v>
      </x:c>
      <x:c r="N30" s="80" t="n">
        <x:f>COUNTIF('Validity Gates'!$B$7:$B$366,A30)</x:f>
        <x:v>12</x:v>
      </x:c>
      <x:c r="O30" s="80" t="str">
        <x:f>IF(AND(M30=N30,N30=12),"VALID","WORKING")</x:f>
        <x:v>WORKING</x:v>
      </x:c>
      <x:c r="P30" s="79" t="n">
        <x:f>IF(O30="VALID",H30,0)</x:f>
        <x:v>0</x:v>
      </x:c>
      <x:c r="Q30" s="79" t="n">
        <x:f>SUMIF('Payment Schedule'!$B$7:$B$186,A30,'Payment Schedule'!$K$7:$K$186)</x:f>
        <x:v>0</x:v>
      </x:c>
      <x:c r="R30" s="80" t="str">
        <x:f>IF(Q30&lt;=P30,"CONTROLLED","OVERPAID")</x:f>
        <x:v>CONTROLLED</x:v>
      </x:c>
      <x:c r="S30" s="80" t="n">
        <x:f>COUNTIFS('Payment Schedule'!$B$7:$B$186,A30,'Payment Schedule'!$G$7:$G$186,1)</x:f>
        <x:v>0</x:v>
      </x:c>
      <x:c r="T30" s="80" t="n">
        <x:f>Inputs!$B$13</x:f>
        <x:v>0</x:v>
      </x:c>
      <x:c r="U30" s="80" t="n">
        <x:f>Inputs!$B$14</x:f>
        <x:v>0</x:v>
      </x:c>
      <x:c r="V30" s="80" t="n">
        <x:f>Inputs!$B$15</x:f>
        <x:v>0</x:v>
      </x:c>
      <x:c r="W30" s="80" t="n">
        <x:f>Inputs!$B$16</x:f>
        <x:v>0</x:v>
      </x:c>
    </x:row>
    <x:row r="31">
      <x:c r="A31" s="62" t="str">
        <x:v>P25</x:v>
      </x:c>
      <x:c r="B31" s="62" t="str">
        <x:v>HU-A</x:v>
      </x:c>
      <x:c r="C31" s="62" t="str">
        <x:v>HU-A-B</x:v>
      </x:c>
      <x:c r="D31" s="62" t="str">
        <x:v>REBUILD</x:v>
      </x:c>
      <x:c r="E31" s="62" t="str">
        <x:v>Cold reconstruction and challenge</x:v>
      </x:c>
      <x:c r="F31" s="72" t="n">
        <x:v>0.15</x:v>
      </x:c>
      <x:c r="G31" s="79" t="n">
        <x:f>Inputs!$E$32</x:f>
        <x:v>43</x:v>
      </x:c>
      <x:c r="H31" s="79" t="n">
        <x:f>F31*G31</x:f>
        <x:v>6.45</x:v>
      </x:c>
      <x:c r="I31" s="79" t="n">
        <x:f>H31*Inputs!$B$7</x:f>
        <x:v>4.644</x:v>
      </x:c>
      <x:c r="J31" s="79" t="n">
        <x:f>H31*Inputs!$B$8</x:f>
        <x:v>0.9675</x:v>
      </x:c>
      <x:c r="K31" s="79" t="n">
        <x:f>H31*Inputs!$B$9</x:f>
        <x:v>0.516</x:v>
      </x:c>
      <x:c r="L31" s="79" t="n">
        <x:f>H31*Inputs!$B$10</x:f>
        <x:v>0.3225</x:v>
      </x:c>
      <x:c r="M31" s="80" t="n">
        <x:f>SUMIF('Validity Gates'!$B$7:$B$366,A31,'Validity Gates'!$F$7:$F$366)</x:f>
        <x:v>2</x:v>
      </x:c>
      <x:c r="N31" s="80" t="n">
        <x:f>COUNTIF('Validity Gates'!$B$7:$B$366,A31)</x:f>
        <x:v>12</x:v>
      </x:c>
      <x:c r="O31" s="80" t="str">
        <x:f>IF(AND(M31=N31,N31=12),"VALID","WORKING")</x:f>
        <x:v>WORKING</x:v>
      </x:c>
      <x:c r="P31" s="79" t="n">
        <x:f>IF(O31="VALID",H31,0)</x:f>
        <x:v>0</x:v>
      </x:c>
      <x:c r="Q31" s="79" t="n">
        <x:f>SUMIF('Payment Schedule'!$B$7:$B$186,A31,'Payment Schedule'!$K$7:$K$186)</x:f>
        <x:v>0</x:v>
      </x:c>
      <x:c r="R31" s="80" t="str">
        <x:f>IF(Q31&lt;=P31,"CONTROLLED","OVERPAID")</x:f>
        <x:v>CONTROLLED</x:v>
      </x:c>
      <x:c r="S31" s="80" t="n">
        <x:f>COUNTIFS('Payment Schedule'!$B$7:$B$186,A31,'Payment Schedule'!$G$7:$G$186,1)</x:f>
        <x:v>0</x:v>
      </x:c>
      <x:c r="T31" s="80" t="n">
        <x:f>Inputs!$B$13</x:f>
        <x:v>0</x:v>
      </x:c>
      <x:c r="U31" s="80" t="n">
        <x:f>Inputs!$B$14</x:f>
        <x:v>0</x:v>
      </x:c>
      <x:c r="V31" s="80" t="n">
        <x:f>Inputs!$B$15</x:f>
        <x:v>0</x:v>
      </x:c>
      <x:c r="W31" s="80" t="n">
        <x:f>Inputs!$B$16</x:f>
        <x:v>0</x:v>
      </x:c>
    </x:row>
    <x:row r="32">
      <x:c r="A32" s="62" t="str">
        <x:v>P26</x:v>
      </x:c>
      <x:c r="B32" s="62" t="str">
        <x:v>RT-B</x:v>
      </x:c>
      <x:c r="C32" s="62" t="str">
        <x:v>RT-B-C</x:v>
      </x:c>
      <x:c r="D32" s="62" t="str">
        <x:v>METHOD</x:v>
      </x:c>
      <x:c r="E32" s="62" t="str">
        <x:v>Event method and denominator</x:v>
      </x:c>
      <x:c r="F32" s="72" t="n">
        <x:v>0.2</x:v>
      </x:c>
      <x:c r="G32" s="79" t="n">
        <x:f>Inputs!$E$33</x:f>
        <x:v>25.133333333333336</x:v>
      </x:c>
      <x:c r="H32" s="79" t="n">
        <x:f>F32*G32</x:f>
        <x:v>5.026666666666667</x:v>
      </x:c>
      <x:c r="I32" s="79" t="n">
        <x:f>H32*Inputs!$B$7</x:f>
        <x:v>3.6192</x:v>
      </x:c>
      <x:c r="J32" s="79" t="n">
        <x:f>H32*Inputs!$B$8</x:f>
        <x:v>0.7540000000000001</x:v>
      </x:c>
      <x:c r="K32" s="79" t="n">
        <x:f>H32*Inputs!$B$9</x:f>
        <x:v>0.4021333333333334</x:v>
      </x:c>
      <x:c r="L32" s="79" t="n">
        <x:f>H32*Inputs!$B$10</x:f>
        <x:v>0.25133333333333335</x:v>
      </x:c>
      <x:c r="M32" s="80" t="n">
        <x:f>SUMIF('Validity Gates'!$B$7:$B$366,A32,'Validity Gates'!$F$7:$F$366)</x:f>
        <x:v>2</x:v>
      </x:c>
      <x:c r="N32" s="80" t="n">
        <x:f>COUNTIF('Validity Gates'!$B$7:$B$366,A32)</x:f>
        <x:v>12</x:v>
      </x:c>
      <x:c r="O32" s="80" t="str">
        <x:f>IF(AND(M32=N32,N32=12),"VALID","WORKING")</x:f>
        <x:v>WORKING</x:v>
      </x:c>
      <x:c r="P32" s="79" t="n">
        <x:f>IF(O32="VALID",H32,0)</x:f>
        <x:v>0</x:v>
      </x:c>
      <x:c r="Q32" s="79" t="n">
        <x:f>SUMIF('Payment Schedule'!$B$7:$B$186,A32,'Payment Schedule'!$K$7:$K$186)</x:f>
        <x:v>0</x:v>
      </x:c>
      <x:c r="R32" s="80" t="str">
        <x:f>IF(Q32&lt;=P32,"CONTROLLED","OVERPAID")</x:f>
        <x:v>CONTROLLED</x:v>
      </x:c>
      <x:c r="S32" s="80" t="n">
        <x:f>COUNTIFS('Payment Schedule'!$B$7:$B$186,A32,'Payment Schedule'!$G$7:$G$186,1)</x:f>
        <x:v>0</x:v>
      </x:c>
      <x:c r="T32" s="80" t="n">
        <x:f>Inputs!$B$13</x:f>
        <x:v>0</x:v>
      </x:c>
      <x:c r="U32" s="80" t="n">
        <x:f>Inputs!$B$14</x:f>
        <x:v>0</x:v>
      </x:c>
      <x:c r="V32" s="80" t="n">
        <x:f>Inputs!$B$15</x:f>
        <x:v>0</x:v>
      </x:c>
      <x:c r="W32" s="80" t="n">
        <x:f>Inputs!$B$16</x:f>
        <x:v>0</x:v>
      </x:c>
    </x:row>
    <x:row r="33">
      <x:c r="A33" s="62" t="str">
        <x:v>P27</x:v>
      </x:c>
      <x:c r="B33" s="62" t="str">
        <x:v>RT-B</x:v>
      </x:c>
      <x:c r="C33" s="62" t="str">
        <x:v>RT-B-C</x:v>
      </x:c>
      <x:c r="D33" s="62" t="str">
        <x:v>VALID</x:v>
      </x:c>
      <x:c r="E33" s="62" t="str">
        <x:v>Instrumentation, custody and validity</x:v>
      </x:c>
      <x:c r="F33" s="72" t="n">
        <x:v>0.25</x:v>
      </x:c>
      <x:c r="G33" s="79" t="n">
        <x:f>Inputs!$E$33</x:f>
        <x:v>25.133333333333336</x:v>
      </x:c>
      <x:c r="H33" s="79" t="n">
        <x:f>F33*G33</x:f>
        <x:v>6.283333333333334</x:v>
      </x:c>
      <x:c r="I33" s="79" t="n">
        <x:f>H33*Inputs!$B$7</x:f>
        <x:v>4.524</x:v>
      </x:c>
      <x:c r="J33" s="79" t="n">
        <x:f>H33*Inputs!$B$8</x:f>
        <x:v>0.9425000000000001</x:v>
      </x:c>
      <x:c r="K33" s="79" t="n">
        <x:f>H33*Inputs!$B$9</x:f>
        <x:v>0.5026666666666667</x:v>
      </x:c>
      <x:c r="L33" s="79" t="n">
        <x:f>H33*Inputs!$B$10</x:f>
        <x:v>0.3141666666666667</x:v>
      </x:c>
      <x:c r="M33" s="80" t="n">
        <x:f>SUMIF('Validity Gates'!$B$7:$B$366,A33,'Validity Gates'!$F$7:$F$366)</x:f>
        <x:v>2</x:v>
      </x:c>
      <x:c r="N33" s="80" t="n">
        <x:f>COUNTIF('Validity Gates'!$B$7:$B$366,A33)</x:f>
        <x:v>12</x:v>
      </x:c>
      <x:c r="O33" s="80" t="str">
        <x:f>IF(AND(M33=N33,N33=12),"VALID","WORKING")</x:f>
        <x:v>WORKING</x:v>
      </x:c>
      <x:c r="P33" s="79" t="n">
        <x:f>IF(O33="VALID",H33,0)</x:f>
        <x:v>0</x:v>
      </x:c>
      <x:c r="Q33" s="79" t="n">
        <x:f>SUMIF('Payment Schedule'!$B$7:$B$186,A33,'Payment Schedule'!$K$7:$K$186)</x:f>
        <x:v>0</x:v>
      </x:c>
      <x:c r="R33" s="80" t="str">
        <x:f>IF(Q33&lt;=P33,"CONTROLLED","OVERPAID")</x:f>
        <x:v>CONTROLLED</x:v>
      </x:c>
      <x:c r="S33" s="80" t="n">
        <x:f>COUNTIFS('Payment Schedule'!$B$7:$B$186,A33,'Payment Schedule'!$G$7:$G$186,1)</x:f>
        <x:v>0</x:v>
      </x:c>
      <x:c r="T33" s="80" t="n">
        <x:f>Inputs!$B$13</x:f>
        <x:v>0</x:v>
      </x:c>
      <x:c r="U33" s="80" t="n">
        <x:f>Inputs!$B$14</x:f>
        <x:v>0</x:v>
      </x:c>
      <x:c r="V33" s="80" t="n">
        <x:f>Inputs!$B$15</x:f>
        <x:v>0</x:v>
      </x:c>
      <x:c r="W33" s="80" t="n">
        <x:f>Inputs!$B$16</x:f>
        <x:v>0</x:v>
      </x:c>
    </x:row>
    <x:row r="34">
      <x:c r="A34" s="62" t="str">
        <x:v>P28</x:v>
      </x:c>
      <x:c r="B34" s="62" t="str">
        <x:v>RT-B</x:v>
      </x:c>
      <x:c r="C34" s="62" t="str">
        <x:v>RT-B-C</x:v>
      </x:c>
      <x:c r="D34" s="62" t="str">
        <x:v>CIVIL</x:v>
      </x:c>
      <x:c r="E34" s="62" t="str">
        <x:v>Rights, receiver and residual closure</x:v>
      </x:c>
      <x:c r="F34" s="72" t="n">
        <x:v>0.15</x:v>
      </x:c>
      <x:c r="G34" s="79" t="n">
        <x:f>Inputs!$E$33</x:f>
        <x:v>25.133333333333336</x:v>
      </x:c>
      <x:c r="H34" s="79" t="n">
        <x:f>F34*G34</x:f>
        <x:v>3.7700000000000005</x:v>
      </x:c>
      <x:c r="I34" s="79" t="n">
        <x:f>H34*Inputs!$B$7</x:f>
        <x:v>2.7144000000000004</x:v>
      </x:c>
      <x:c r="J34" s="79" t="n">
        <x:f>H34*Inputs!$B$8</x:f>
        <x:v>0.5655</x:v>
      </x:c>
      <x:c r="K34" s="79" t="n">
        <x:f>H34*Inputs!$B$9</x:f>
        <x:v>0.30160000000000003</x:v>
      </x:c>
      <x:c r="L34" s="79" t="n">
        <x:f>H34*Inputs!$B$10</x:f>
        <x:v>0.18850000000000003</x:v>
      </x:c>
      <x:c r="M34" s="80" t="n">
        <x:f>SUMIF('Validity Gates'!$B$7:$B$366,A34,'Validity Gates'!$F$7:$F$366)</x:f>
        <x:v>2</x:v>
      </x:c>
      <x:c r="N34" s="80" t="n">
        <x:f>COUNTIF('Validity Gates'!$B$7:$B$366,A34)</x:f>
        <x:v>12</x:v>
      </x:c>
      <x:c r="O34" s="80" t="str">
        <x:f>IF(AND(M34=N34,N34=12),"VALID","WORKING")</x:f>
        <x:v>WORKING</x:v>
      </x:c>
      <x:c r="P34" s="79" t="n">
        <x:f>IF(O34="VALID",H34,0)</x:f>
        <x:v>0</x:v>
      </x:c>
      <x:c r="Q34" s="79" t="n">
        <x:f>SUMIF('Payment Schedule'!$B$7:$B$186,A34,'Payment Schedule'!$K$7:$K$186)</x:f>
        <x:v>0</x:v>
      </x:c>
      <x:c r="R34" s="80" t="str">
        <x:f>IF(Q34&lt;=P34,"CONTROLLED","OVERPAID")</x:f>
        <x:v>CONTROLLED</x:v>
      </x:c>
      <x:c r="S34" s="80" t="n">
        <x:f>COUNTIFS('Payment Schedule'!$B$7:$B$186,A34,'Payment Schedule'!$G$7:$G$186,1)</x:f>
        <x:v>0</x:v>
      </x:c>
      <x:c r="T34" s="80" t="n">
        <x:f>Inputs!$B$13</x:f>
        <x:v>0</x:v>
      </x:c>
      <x:c r="U34" s="80" t="n">
        <x:f>Inputs!$B$14</x:f>
        <x:v>0</x:v>
      </x:c>
      <x:c r="V34" s="80" t="n">
        <x:f>Inputs!$B$15</x:f>
        <x:v>0</x:v>
      </x:c>
      <x:c r="W34" s="80" t="n">
        <x:f>Inputs!$B$16</x:f>
        <x:v>0</x:v>
      </x:c>
    </x:row>
    <x:row r="35">
      <x:c r="A35" s="62" t="str">
        <x:v>P29</x:v>
      </x:c>
      <x:c r="B35" s="62" t="str">
        <x:v>RT-B</x:v>
      </x:c>
      <x:c r="C35" s="62" t="str">
        <x:v>RT-B-C</x:v>
      </x:c>
      <x:c r="D35" s="62" t="str">
        <x:v>ARTICLE</x:v>
      </x:c>
      <x:c r="E35" s="62" t="str">
        <x:v>Destructive-article engineering</x:v>
      </x:c>
      <x:c r="F35" s="72" t="n">
        <x:v>0.25</x:v>
      </x:c>
      <x:c r="G35" s="79" t="n">
        <x:f>Inputs!$E$33</x:f>
        <x:v>25.133333333333336</x:v>
      </x:c>
      <x:c r="H35" s="79" t="n">
        <x:f>F35*G35</x:f>
        <x:v>6.283333333333334</x:v>
      </x:c>
      <x:c r="I35" s="79" t="n">
        <x:f>H35*Inputs!$B$7</x:f>
        <x:v>4.524</x:v>
      </x:c>
      <x:c r="J35" s="79" t="n">
        <x:f>H35*Inputs!$B$8</x:f>
        <x:v>0.9425000000000001</x:v>
      </x:c>
      <x:c r="K35" s="79" t="n">
        <x:f>H35*Inputs!$B$9</x:f>
        <x:v>0.5026666666666667</x:v>
      </x:c>
      <x:c r="L35" s="79" t="n">
        <x:f>H35*Inputs!$B$10</x:f>
        <x:v>0.3141666666666667</x:v>
      </x:c>
      <x:c r="M35" s="80" t="n">
        <x:f>SUMIF('Validity Gates'!$B$7:$B$366,A35,'Validity Gates'!$F$7:$F$366)</x:f>
        <x:v>2</x:v>
      </x:c>
      <x:c r="N35" s="80" t="n">
        <x:f>COUNTIF('Validity Gates'!$B$7:$B$366,A35)</x:f>
        <x:v>12</x:v>
      </x:c>
      <x:c r="O35" s="80" t="str">
        <x:f>IF(AND(M35=N35,N35=12),"VALID","WORKING")</x:f>
        <x:v>WORKING</x:v>
      </x:c>
      <x:c r="P35" s="79" t="n">
        <x:f>IF(O35="VALID",H35,0)</x:f>
        <x:v>0</x:v>
      </x:c>
      <x:c r="Q35" s="79" t="n">
        <x:f>SUMIF('Payment Schedule'!$B$7:$B$186,A35,'Payment Schedule'!$K$7:$K$186)</x:f>
        <x:v>0</x:v>
      </x:c>
      <x:c r="R35" s="80" t="str">
        <x:f>IF(Q35&lt;=P35,"CONTROLLED","OVERPAID")</x:f>
        <x:v>CONTROLLED</x:v>
      </x:c>
      <x:c r="S35" s="80" t="n">
        <x:f>COUNTIFS('Payment Schedule'!$B$7:$B$186,A35,'Payment Schedule'!$G$7:$G$186,1)</x:f>
        <x:v>0</x:v>
      </x:c>
      <x:c r="T35" s="80" t="n">
        <x:f>Inputs!$B$13</x:f>
        <x:v>0</x:v>
      </x:c>
      <x:c r="U35" s="80" t="n">
        <x:f>Inputs!$B$14</x:f>
        <x:v>0</x:v>
      </x:c>
      <x:c r="V35" s="80" t="n">
        <x:f>Inputs!$B$15</x:f>
        <x:v>0</x:v>
      </x:c>
      <x:c r="W35" s="80" t="n">
        <x:f>Inputs!$B$16</x:f>
        <x:v>0</x:v>
      </x:c>
    </x:row>
    <x:row r="36">
      <x:c r="A36" s="62" t="str">
        <x:v>P30</x:v>
      </x:c>
      <x:c r="B36" s="62" t="str">
        <x:v>RT-B</x:v>
      </x:c>
      <x:c r="C36" s="62" t="str">
        <x:v>RT-B-C</x:v>
      </x:c>
      <x:c r="D36" s="62" t="str">
        <x:v>REBUILD</x:v>
      </x:c>
      <x:c r="E36" s="62" t="str">
        <x:v>Cold reconstruction and challenge</x:v>
      </x:c>
      <x:c r="F36" s="72" t="n">
        <x:v>0.15</x:v>
      </x:c>
      <x:c r="G36" s="79" t="n">
        <x:f>Inputs!$E$33</x:f>
        <x:v>25.133333333333336</x:v>
      </x:c>
      <x:c r="H36" s="79" t="n">
        <x:f>F36*G36</x:f>
        <x:v>3.7700000000000005</x:v>
      </x:c>
      <x:c r="I36" s="79" t="n">
        <x:f>H36*Inputs!$B$7</x:f>
        <x:v>2.7144000000000004</x:v>
      </x:c>
      <x:c r="J36" s="79" t="n">
        <x:f>H36*Inputs!$B$8</x:f>
        <x:v>0.5655</x:v>
      </x:c>
      <x:c r="K36" s="79" t="n">
        <x:f>H36*Inputs!$B$9</x:f>
        <x:v>0.30160000000000003</x:v>
      </x:c>
      <x:c r="L36" s="79" t="n">
        <x:f>H36*Inputs!$B$10</x:f>
        <x:v>0.18850000000000003</x:v>
      </x:c>
      <x:c r="M36" s="80" t="n">
        <x:f>SUMIF('Validity Gates'!$B$7:$B$366,A36,'Validity Gates'!$F$7:$F$366)</x:f>
        <x:v>2</x:v>
      </x:c>
      <x:c r="N36" s="80" t="n">
        <x:f>COUNTIF('Validity Gates'!$B$7:$B$366,A36)</x:f>
        <x:v>12</x:v>
      </x:c>
      <x:c r="O36" s="80" t="str">
        <x:f>IF(AND(M36=N36,N36=12),"VALID","WORKING")</x:f>
        <x:v>WORKING</x:v>
      </x:c>
      <x:c r="P36" s="79" t="n">
        <x:f>IF(O36="VALID",H36,0)</x:f>
        <x:v>0</x:v>
      </x:c>
      <x:c r="Q36" s="79" t="n">
        <x:f>SUMIF('Payment Schedule'!$B$7:$B$186,A36,'Payment Schedule'!$K$7:$K$186)</x:f>
        <x:v>0</x:v>
      </x:c>
      <x:c r="R36" s="80" t="str">
        <x:f>IF(Q36&lt;=P36,"CONTROLLED","OVERPAID")</x:f>
        <x:v>CONTROLLED</x:v>
      </x:c>
      <x:c r="S36" s="80" t="n">
        <x:f>COUNTIFS('Payment Schedule'!$B$7:$B$186,A36,'Payment Schedule'!$G$7:$G$186,1)</x:f>
        <x:v>0</x:v>
      </x:c>
      <x:c r="T36" s="80" t="n">
        <x:f>Inputs!$B$13</x:f>
        <x:v>0</x:v>
      </x:c>
      <x:c r="U36" s="80" t="n">
        <x:f>Inputs!$B$14</x:f>
        <x:v>0</x:v>
      </x:c>
      <x:c r="V36" s="80" t="n">
        <x:f>Inputs!$B$15</x:f>
        <x:v>0</x:v>
      </x:c>
      <x:c r="W36" s="80" t="n">
        <x:f>Inputs!$B$16</x:f>
        <x:v>0</x:v>
      </x:c>
    </x:row>
    <x:row r="37">
      <x:c r="A37" s="70" t="str">
        <x:v>Cohort-one total</x:v>
      </x:c>
      <x:c r="B37" s="70"/>
      <x:c r="C37" s="70"/>
      <x:c r="D37" s="70"/>
      <x:c r="E37" s="70"/>
      <x:c r="F37" s="70"/>
      <x:c r="G37" s="70"/>
      <x:c r="H37" s="108" t="n">
        <x:f>SUM(H7:H36)</x:f>
        <x:v>179.36666666666665</x:v>
      </x:c>
      <x:c r="I37" s="108" t="n">
        <x:f>SUM(I7:I36)</x:f>
        <x:v>129.14399999999998</x:v>
      </x:c>
      <x:c r="J37" s="108" t="n">
        <x:f>SUM(J7:J36)</x:f>
        <x:v>26.905</x:v>
      </x:c>
      <x:c r="K37" s="108" t="n">
        <x:f>SUM(K7:K36)</x:f>
        <x:v>14.349333333333334</x:v>
      </x:c>
      <x:c r="L37" s="108" t="n">
        <x:f>SUM(L7:L36)</x:f>
        <x:v>8.968333333333332</x:v>
      </x:c>
      <x:c r="M37" s="70" t="n">
        <x:f>SUM(M7:M36)</x:f>
        <x:v>60</x:v>
      </x:c>
      <x:c r="N37" s="70" t="n">
        <x:f>SUM(N7:N36)</x:f>
        <x:v>360</x:v>
      </x:c>
      <x:c r="O37" s="70" t="n">
        <x:f>COUNTIF(O7:O36,"VALID")</x:f>
        <x:v>0</x:v>
      </x:c>
      <x:c r="P37" s="108" t="n">
        <x:f>SUM(P7:P36)</x:f>
        <x:v>0</x:v>
      </x:c>
      <x:c r="Q37" s="108" t="n">
        <x:f>SUM(Q7:Q36)</x:f>
        <x:v>0</x:v>
      </x:c>
      <x:c r="R37" s="70" t="n">
        <x:f>COUNTIF(R7:R36,"CONTROLLED")</x:f>
        <x:v>30</x:v>
      </x:c>
      <x:c r="S37" s="70" t="n">
        <x:f>SUM(S7:S36)</x:f>
        <x:v>0</x:v>
      </x:c>
      <x:c r="T37" s="70" t="n">
        <x:f>SUM(T7:T36)</x:f>
        <x:v>0</x:v>
      </x:c>
      <x:c r="U37" s="70" t="n">
        <x:f>SUM(U7:U36)</x:f>
        <x:v>0</x:v>
      </x:c>
      <x:c r="V37" s="70" t="n">
        <x:f>SUM(V7:V36)</x:f>
        <x:v>0</x:v>
      </x:c>
      <x:c r="W37" s="70" t="n">
        <x:f>SUM(W7:W36)</x:f>
        <x:v>0</x:v>
      </x:c>
    </x:row>
  </x:sheetData>
  <x:mergeCells>
    <x:mergeCell ref="A2:N2"/>
    <x:mergeCell ref="A4:N4"/>
    <x:mergeCell ref="A37:G37"/>
  </x:mergeCells>
  <x:conditionalFormatting sqref="O7:O36">
    <x:cfRule type="containsText" dxfId="0" priority="1" operator="containsText" text="VALID"/>
  </x:conditionalFormatting>
  <x:conditionalFormatting sqref="R7:R36">
    <x:cfRule type="containsText" dxfId="1" priority="2" operator="containsText" text="OVERPAID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42" hidden="0" customWidth="1"/>
    <x:col min="6" max="6" width="15" hidden="0" customWidth="1"/>
    <x:col min="7" max="7" width="15" hidden="0" customWidth="1"/>
    <x:col min="8" max="8" width="15" hidden="0" customWidth="1"/>
    <x:col min="9" max="9" width="24" hidden="0" customWidth="1"/>
    <x:col min="10" max="10" width="24" hidden="0" customWidth="1"/>
  </x:cols>
  <x:sheetData>
    <x:row r="2">
      <x:c r="A2" s="2" t="str">
        <x:v>Artifact validity gate register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  <x:c r="N2" s="103"/>
    </x:row>
    <x:row r="3">
      <x:c r="A3" s="104"/>
      <x:c r="B3" s="104"/>
      <x:c r="C3" s="104"/>
      <x:c r="D3" s="104"/>
      <x:c r="E3" s="104"/>
      <x:c r="F3" s="104"/>
      <x:c r="G3" s="104"/>
      <x:c r="H3" s="104"/>
      <x:c r="I3" s="104"/>
      <x:c r="J3" s="104"/>
      <x:c r="K3" s="104"/>
      <x:c r="L3" s="104"/>
      <x:c r="M3" s="104"/>
      <x:c r="N3" s="104"/>
    </x:row>
    <x:row r="4">
      <x:c r="A4" s="105" t="str">
        <x:v>Every package must pass all twelve gates. Performance leakage or common builder-validity control terminates the cell.</x:v>
      </x:c>
      <x:c r="B4" s="103"/>
      <x:c r="C4" s="103"/>
      <x:c r="D4" s="103"/>
      <x:c r="E4" s="103"/>
      <x:c r="F4" s="103"/>
      <x:c r="G4" s="103"/>
      <x:c r="H4" s="103"/>
      <x:c r="I4" s="103"/>
      <x:c r="J4" s="103"/>
      <x:c r="K4" s="103"/>
      <x:c r="L4" s="103"/>
      <x:c r="M4" s="103"/>
      <x:c r="N4" s="103"/>
    </x:row>
    <x:row r="5">
      <x:c r="A5" s="103"/>
      <x:c r="B5" s="103"/>
      <x:c r="C5" s="103"/>
      <x:c r="D5" s="103"/>
      <x:c r="E5" s="103"/>
      <x:c r="F5" s="103"/>
      <x:c r="G5" s="103"/>
      <x:c r="H5" s="103"/>
      <x:c r="I5" s="103"/>
      <x:c r="J5" s="103"/>
      <x:c r="K5" s="103"/>
      <x:c r="L5" s="103"/>
      <x:c r="M5" s="103"/>
      <x:c r="N5" s="103"/>
    </x:row>
    <x:row r="6">
      <x:c r="A6" s="31" t="str">
        <x:v>Gate record</x:v>
      </x:c>
      <x:c r="B6" s="32" t="str">
        <x:v>Package ID</x:v>
      </x:c>
      <x:c r="C6" s="32" t="str">
        <x:v>Root</x:v>
      </x:c>
      <x:c r="D6" s="32" t="str">
        <x:v>Form</x:v>
      </x:c>
      <x:c r="E6" s="32" t="str">
        <x:v>Gate</x:v>
      </x:c>
      <x:c r="F6" s="32" t="str">
        <x:v>Current status</x:v>
      </x:c>
      <x:c r="G6" s="32" t="str">
        <x:v>Required</x:v>
      </x:c>
      <x:c r="H6" s="32" t="str">
        <x:v>Result</x:v>
      </x:c>
      <x:c r="I6" s="32" t="str">
        <x:v>Failure disposition</x:v>
      </x:c>
      <x:c r="J6" s="33" t="str">
        <x:v>Authority meaning</x:v>
      </x:c>
      <x:c r="K6" s="103"/>
      <x:c r="L6" s="103"/>
      <x:c r="M6" s="103"/>
      <x:c r="N6" s="103"/>
    </x:row>
    <x:row r="7">
      <x:c r="A7" s="62" t="str">
        <x:v>V001</x:v>
      </x:c>
      <x:c r="B7" s="62" t="str">
        <x:v>P01</x:v>
      </x:c>
      <x:c r="C7" s="62" t="str">
        <x:v>ET-A</x:v>
      </x:c>
      <x:c r="D7" s="62" t="str">
        <x:v>ET-A-A</x:v>
      </x:c>
      <x:c r="E7" s="62" t="str">
        <x:v>G01 Source manifest and authorship</x:v>
      </x:c>
      <x:c r="F7" s="82" t="n">
        <x:v>0</x:v>
      </x:c>
      <x:c r="G7" s="62" t="n">
        <x:v>1</x:v>
      </x:c>
      <x:c r="H7" s="80" t="str">
        <x:f>IF(F7=G7,"PASS","OPEN")</x:f>
        <x:v>OPEN</x:v>
      </x:c>
      <x:c r="I7" s="62" t="str">
        <x:v>REWORK</x:v>
      </x:c>
      <x:c r="J7" s="62" t="str">
        <x:v>Artifact validity only</x:v>
      </x:c>
      <x:c r="K7" s="103"/>
      <x:c r="L7" s="103"/>
      <x:c r="M7" s="103"/>
      <x:c r="N7" s="103"/>
    </x:row>
    <x:row r="8">
      <x:c r="A8" s="62" t="str">
        <x:v>V002</x:v>
      </x:c>
      <x:c r="B8" s="62" t="str">
        <x:v>P01</x:v>
      </x:c>
      <x:c r="C8" s="62" t="str">
        <x:v>ET-A</x:v>
      </x:c>
      <x:c r="D8" s="62" t="str">
        <x:v>ET-A-A</x:v>
      </x:c>
      <x:c r="E8" s="62" t="str">
        <x:v>G02 Frozen configuration hash</x:v>
      </x:c>
      <x:c r="F8" s="82" t="n">
        <x:v>0</x:v>
      </x:c>
      <x:c r="G8" s="62" t="n">
        <x:v>1</x:v>
      </x:c>
      <x:c r="H8" s="80" t="str">
        <x:f>IF(F8=G8,"PASS","OPEN")</x:f>
        <x:v>OPEN</x:v>
      </x:c>
      <x:c r="I8" s="62" t="str">
        <x:v>REWORK</x:v>
      </x:c>
      <x:c r="J8" s="62" t="str">
        <x:v>Artifact validity only</x:v>
      </x:c>
      <x:c r="K8" s="103"/>
      <x:c r="L8" s="103"/>
      <x:c r="M8" s="103"/>
      <x:c r="N8" s="103"/>
    </x:row>
    <x:row r="9">
      <x:c r="A9" s="62" t="str">
        <x:v>V003</x:v>
      </x:c>
      <x:c r="B9" s="62" t="str">
        <x:v>P01</x:v>
      </x:c>
      <x:c r="C9" s="62" t="str">
        <x:v>ET-A</x:v>
      </x:c>
      <x:c r="D9" s="62" t="str">
        <x:v>ET-A-A</x:v>
      </x:c>
      <x:c r="E9" s="62" t="str">
        <x:v>G03 Executable native artifact</x:v>
      </x:c>
      <x:c r="F9" s="82" t="n">
        <x:v>0</x:v>
      </x:c>
      <x:c r="G9" s="62" t="n">
        <x:v>1</x:v>
      </x:c>
      <x:c r="H9" s="80" t="str">
        <x:f>IF(F9=G9,"PASS","OPEN")</x:f>
        <x:v>OPEN</x:v>
      </x:c>
      <x:c r="I9" s="62" t="str">
        <x:v>REWORK</x:v>
      </x:c>
      <x:c r="J9" s="62" t="str">
        <x:v>Artifact validity only</x:v>
      </x:c>
      <x:c r="K9" s="103"/>
      <x:c r="L9" s="103"/>
      <x:c r="M9" s="103"/>
      <x:c r="N9" s="103"/>
    </x:row>
    <x:row r="10">
      <x:c r="A10" s="62" t="str">
        <x:v>V004</x:v>
      </x:c>
      <x:c r="B10" s="62" t="str">
        <x:v>P01</x:v>
      </x:c>
      <x:c r="C10" s="62" t="str">
        <x:v>ET-A</x:v>
      </x:c>
      <x:c r="D10" s="62" t="str">
        <x:v>ET-A-A</x:v>
      </x:c>
      <x:c r="E10" s="62" t="str">
        <x:v>G04 Dependency, tool and material ledger</x:v>
      </x:c>
      <x:c r="F10" s="82" t="n">
        <x:v>0</x:v>
      </x:c>
      <x:c r="G10" s="62" t="n">
        <x:v>1</x:v>
      </x:c>
      <x:c r="H10" s="80" t="str">
        <x:f>IF(F10=G10,"PASS","OPEN")</x:f>
        <x:v>OPEN</x:v>
      </x:c>
      <x:c r="I10" s="62" t="str">
        <x:v>REWORK</x:v>
      </x:c>
      <x:c r="J10" s="62" t="str">
        <x:v>Artifact validity only</x:v>
      </x:c>
      <x:c r="K10" s="103"/>
      <x:c r="L10" s="103"/>
      <x:c r="M10" s="103"/>
      <x:c r="N10" s="103"/>
    </x:row>
    <x:row r="11">
      <x:c r="A11" s="62" t="str">
        <x:v>V005</x:v>
      </x:c>
      <x:c r="B11" s="62" t="str">
        <x:v>P01</x:v>
      </x:c>
      <x:c r="C11" s="62" t="str">
        <x:v>ET-A</x:v>
      </x:c>
      <x:c r="D11" s="62" t="str">
        <x:v>ET-A-A</x:v>
      </x:c>
      <x:c r="E11" s="62" t="str">
        <x:v>G05 Assumption and unknown register</x:v>
      </x:c>
      <x:c r="F11" s="82" t="n">
        <x:v>0</x:v>
      </x:c>
      <x:c r="G11" s="62" t="n">
        <x:v>1</x:v>
      </x:c>
      <x:c r="H11" s="80" t="str">
        <x:f>IF(F11=G11,"PASS","OPEN")</x:f>
        <x:v>OPEN</x:v>
      </x:c>
      <x:c r="I11" s="62" t="str">
        <x:v>REWORK</x:v>
      </x:c>
      <x:c r="J11" s="62" t="str">
        <x:v>Artifact validity only</x:v>
      </x:c>
      <x:c r="K11" s="103"/>
      <x:c r="L11" s="103"/>
      <x:c r="M11" s="103"/>
      <x:c r="N11" s="103"/>
    </x:row>
    <x:row r="12">
      <x:c r="A12" s="62" t="str">
        <x:v>V006</x:v>
      </x:c>
      <x:c r="B12" s="62" t="str">
        <x:v>P01</x:v>
      </x:c>
      <x:c r="C12" s="62" t="str">
        <x:v>ET-A</x:v>
      </x:c>
      <x:c r="D12" s="62" t="str">
        <x:v>ET-A-A</x:v>
      </x:c>
      <x:c r="E12" s="62" t="str">
        <x:v>G06 Independent clean-room replay</x:v>
      </x:c>
      <x:c r="F12" s="82" t="n">
        <x:v>0</x:v>
      </x:c>
      <x:c r="G12" s="62" t="n">
        <x:v>1</x:v>
      </x:c>
      <x:c r="H12" s="80" t="str">
        <x:f>IF(F12=G12,"PASS","OPEN")</x:f>
        <x:v>OPEN</x:v>
      </x:c>
      <x:c r="I12" s="62" t="str">
        <x:v>REWORK</x:v>
      </x:c>
      <x:c r="J12" s="62" t="str">
        <x:v>Artifact validity only</x:v>
      </x:c>
      <x:c r="K12" s="103"/>
      <x:c r="L12" s="103"/>
      <x:c r="M12" s="103"/>
      <x:c r="N12" s="103"/>
    </x:row>
    <x:row r="13">
      <x:c r="A13" s="62" t="str">
        <x:v>V007</x:v>
      </x:c>
      <x:c r="B13" s="62" t="str">
        <x:v>P01</x:v>
      </x:c>
      <x:c r="C13" s="62" t="str">
        <x:v>ET-A</x:v>
      </x:c>
      <x:c r="D13" s="62" t="str">
        <x:v>ET-A-A</x:v>
      </x:c>
      <x:c r="E13" s="62" t="str">
        <x:v>G07 Interface and destructive-test trace</x:v>
      </x:c>
      <x:c r="F13" s="82" t="n">
        <x:v>0</x:v>
      </x:c>
      <x:c r="G13" s="62" t="n">
        <x:v>1</x:v>
      </x:c>
      <x:c r="H13" s="80" t="str">
        <x:f>IF(F13=G13,"PASS","OPEN")</x:f>
        <x:v>OPEN</x:v>
      </x:c>
      <x:c r="I13" s="62" t="str">
        <x:v>REWORK</x:v>
      </x:c>
      <x:c r="J13" s="62" t="str">
        <x:v>Artifact validity only</x:v>
      </x:c>
      <x:c r="K13" s="103"/>
      <x:c r="L13" s="103"/>
      <x:c r="M13" s="103"/>
      <x:c r="N13" s="103"/>
    </x:row>
    <x:row r="14">
      <x:c r="A14" s="62" t="str">
        <x:v>V008</x:v>
      </x:c>
      <x:c r="B14" s="62" t="str">
        <x:v>P01</x:v>
      </x:c>
      <x:c r="C14" s="62" t="str">
        <x:v>ET-A</x:v>
      </x:c>
      <x:c r="D14" s="62" t="str">
        <x:v>ET-A-A</x:v>
      </x:c>
      <x:c r="E14" s="62" t="str">
        <x:v>G08 Rights and safe-state closure</x:v>
      </x:c>
      <x:c r="F14" s="82" t="n">
        <x:v>0</x:v>
      </x:c>
      <x:c r="G14" s="62" t="n">
        <x:v>1</x:v>
      </x:c>
      <x:c r="H14" s="80" t="str">
        <x:f>IF(F14=G14,"PASS","OPEN")</x:f>
        <x:v>OPEN</x:v>
      </x:c>
      <x:c r="I14" s="62" t="str">
        <x:v>REWORK</x:v>
      </x:c>
      <x:c r="J14" s="62" t="str">
        <x:v>Artifact validity only</x:v>
      </x:c>
      <x:c r="K14" s="103"/>
      <x:c r="L14" s="103"/>
      <x:c r="M14" s="103"/>
      <x:c r="N14" s="103"/>
    </x:row>
    <x:row r="15">
      <x:c r="A15" s="62" t="str">
        <x:v>V009</x:v>
      </x:c>
      <x:c r="B15" s="62" t="str">
        <x:v>P01</x:v>
      </x:c>
      <x:c r="C15" s="62" t="str">
        <x:v>ET-A</x:v>
      </x:c>
      <x:c r="D15" s="62" t="str">
        <x:v>ET-A-A</x:v>
      </x:c>
      <x:c r="E15" s="62" t="str">
        <x:v>G09 Receiver and residual closure</x:v>
      </x:c>
      <x:c r="F15" s="82" t="n">
        <x:v>0</x:v>
      </x:c>
      <x:c r="G15" s="62" t="n">
        <x:v>1</x:v>
      </x:c>
      <x:c r="H15" s="80" t="str">
        <x:f>IF(F15=G15,"PASS","OPEN")</x:f>
        <x:v>OPEN</x:v>
      </x:c>
      <x:c r="I15" s="62" t="str">
        <x:v>REWORK</x:v>
      </x:c>
      <x:c r="J15" s="62" t="str">
        <x:v>Artifact validity only</x:v>
      </x:c>
      <x:c r="K15" s="103"/>
      <x:c r="L15" s="103"/>
      <x:c r="M15" s="103"/>
      <x:c r="N15" s="103"/>
    </x:row>
    <x:row r="16">
      <x:c r="A16" s="62" t="str">
        <x:v>V010</x:v>
      </x:c>
      <x:c r="B16" s="62" t="str">
        <x:v>P01</x:v>
      </x:c>
      <x:c r="C16" s="62" t="str">
        <x:v>ET-A</x:v>
      </x:c>
      <x:c r="D16" s="62" t="str">
        <x:v>ET-A-A</x:v>
      </x:c>
      <x:c r="E16" s="62" t="str">
        <x:v>G10 Challenge response and terminal archive</x:v>
      </x:c>
      <x:c r="F16" s="82" t="n">
        <x:v>0</x:v>
      </x:c>
      <x:c r="G16" s="62" t="n">
        <x:v>1</x:v>
      </x:c>
      <x:c r="H16" s="80" t="str">
        <x:f>IF(F16=G16,"PASS","OPEN")</x:f>
        <x:v>OPEN</x:v>
      </x:c>
      <x:c r="I16" s="62" t="str">
        <x:v>REWORK</x:v>
      </x:c>
      <x:c r="J16" s="62" t="str">
        <x:v>Artifact validity only</x:v>
      </x:c>
      <x:c r="K16" s="103"/>
      <x:c r="L16" s="103"/>
      <x:c r="M16" s="103"/>
      <x:c r="N16" s="103"/>
    </x:row>
    <x:row r="17">
      <x:c r="A17" s="62" t="str">
        <x:v>V011</x:v>
      </x:c>
      <x:c r="B17" s="62" t="str">
        <x:v>P01</x:v>
      </x:c>
      <x:c r="C17" s="62" t="str">
        <x:v>ET-A</x:v>
      </x:c>
      <x:c r="D17" s="62" t="str">
        <x:v>ET-A-A</x:v>
      </x:c>
      <x:c r="E17" s="62" t="str">
        <x:v>G11 No sibling performance exposure</x:v>
      </x:c>
      <x:c r="F17" s="82" t="n">
        <x:v>1</x:v>
      </x:c>
      <x:c r="G17" s="62" t="n">
        <x:v>1</x:v>
      </x:c>
      <x:c r="H17" s="80" t="str">
        <x:f>IF(F17=G17,"PASS","OPEN")</x:f>
        <x:v>PASS</x:v>
      </x:c>
      <x:c r="I17" s="62" t="str">
        <x:v>TERMINATE CELL</x:v>
      </x:c>
      <x:c r="J17" s="62" t="str">
        <x:v>Constitutional independence</x:v>
      </x:c>
      <x:c r="K17" s="103"/>
      <x:c r="L17" s="103"/>
      <x:c r="M17" s="103"/>
      <x:c r="N17" s="103"/>
    </x:row>
    <x:row r="18">
      <x:c r="A18" s="62" t="str">
        <x:v>V012</x:v>
      </x:c>
      <x:c r="B18" s="62" t="str">
        <x:v>P01</x:v>
      </x:c>
      <x:c r="C18" s="62" t="str">
        <x:v>ET-A</x:v>
      </x:c>
      <x:c r="D18" s="62" t="str">
        <x:v>ET-A-A</x:v>
      </x:c>
      <x:c r="E18" s="62" t="str">
        <x:v>G12 Builder and validity control separated</x:v>
      </x:c>
      <x:c r="F18" s="82" t="n">
        <x:v>1</x:v>
      </x:c>
      <x:c r="G18" s="62" t="n">
        <x:v>1</x:v>
      </x:c>
      <x:c r="H18" s="80" t="str">
        <x:f>IF(F18=G18,"PASS","OPEN")</x:f>
        <x:v>PASS</x:v>
      </x:c>
      <x:c r="I18" s="62" t="str">
        <x:v>TERMINATE CELL</x:v>
      </x:c>
      <x:c r="J18" s="62" t="str">
        <x:v>Constitutional independence</x:v>
      </x:c>
      <x:c r="K18" s="103"/>
      <x:c r="L18" s="103"/>
      <x:c r="M18" s="103"/>
      <x:c r="N18" s="103"/>
    </x:row>
    <x:row r="19">
      <x:c r="A19" s="62" t="str">
        <x:v>V013</x:v>
      </x:c>
      <x:c r="B19" s="62" t="str">
        <x:v>P02</x:v>
      </x:c>
      <x:c r="C19" s="62" t="str">
        <x:v>ET-A</x:v>
      </x:c>
      <x:c r="D19" s="62" t="str">
        <x:v>ET-A-A</x:v>
      </x:c>
      <x:c r="E19" s="62" t="str">
        <x:v>G01 Source manifest and authorship</x:v>
      </x:c>
      <x:c r="F19" s="82" t="n">
        <x:v>0</x:v>
      </x:c>
      <x:c r="G19" s="62" t="n">
        <x:v>1</x:v>
      </x:c>
      <x:c r="H19" s="80" t="str">
        <x:f>IF(F19=G19,"PASS","OPEN")</x:f>
        <x:v>OPEN</x:v>
      </x:c>
      <x:c r="I19" s="62" t="str">
        <x:v>REWORK</x:v>
      </x:c>
      <x:c r="J19" s="62" t="str">
        <x:v>Artifact validity only</x:v>
      </x:c>
      <x:c r="K19" s="103"/>
      <x:c r="L19" s="103"/>
      <x:c r="M19" s="103"/>
      <x:c r="N19" s="103"/>
    </x:row>
    <x:row r="20">
      <x:c r="A20" s="62" t="str">
        <x:v>V014</x:v>
      </x:c>
      <x:c r="B20" s="62" t="str">
        <x:v>P02</x:v>
      </x:c>
      <x:c r="C20" s="62" t="str">
        <x:v>ET-A</x:v>
      </x:c>
      <x:c r="D20" s="62" t="str">
        <x:v>ET-A-A</x:v>
      </x:c>
      <x:c r="E20" s="62" t="str">
        <x:v>G02 Frozen configuration hash</x:v>
      </x:c>
      <x:c r="F20" s="82" t="n">
        <x:v>0</x:v>
      </x:c>
      <x:c r="G20" s="62" t="n">
        <x:v>1</x:v>
      </x:c>
      <x:c r="H20" s="80" t="str">
        <x:f>IF(F20=G20,"PASS","OPEN")</x:f>
        <x:v>OPEN</x:v>
      </x:c>
      <x:c r="I20" s="62" t="str">
        <x:v>REWORK</x:v>
      </x:c>
      <x:c r="J20" s="62" t="str">
        <x:v>Artifact validity only</x:v>
      </x:c>
      <x:c r="K20" s="103"/>
      <x:c r="L20" s="103"/>
      <x:c r="M20" s="103"/>
      <x:c r="N20" s="103"/>
    </x:row>
    <x:row r="21">
      <x:c r="A21" s="62" t="str">
        <x:v>V015</x:v>
      </x:c>
      <x:c r="B21" s="62" t="str">
        <x:v>P02</x:v>
      </x:c>
      <x:c r="C21" s="62" t="str">
        <x:v>ET-A</x:v>
      </x:c>
      <x:c r="D21" s="62" t="str">
        <x:v>ET-A-A</x:v>
      </x:c>
      <x:c r="E21" s="62" t="str">
        <x:v>G03 Executable native artifact</x:v>
      </x:c>
      <x:c r="F21" s="82" t="n">
        <x:v>0</x:v>
      </x:c>
      <x:c r="G21" s="62" t="n">
        <x:v>1</x:v>
      </x:c>
      <x:c r="H21" s="80" t="str">
        <x:f>IF(F21=G21,"PASS","OPEN")</x:f>
        <x:v>OPEN</x:v>
      </x:c>
      <x:c r="I21" s="62" t="str">
        <x:v>REWORK</x:v>
      </x:c>
      <x:c r="J21" s="62" t="str">
        <x:v>Artifact validity only</x:v>
      </x:c>
      <x:c r="K21" s="103"/>
      <x:c r="L21" s="103"/>
      <x:c r="M21" s="103"/>
      <x:c r="N21" s="103"/>
    </x:row>
    <x:row r="22">
      <x:c r="A22" s="62" t="str">
        <x:v>V016</x:v>
      </x:c>
      <x:c r="B22" s="62" t="str">
        <x:v>P02</x:v>
      </x:c>
      <x:c r="C22" s="62" t="str">
        <x:v>ET-A</x:v>
      </x:c>
      <x:c r="D22" s="62" t="str">
        <x:v>ET-A-A</x:v>
      </x:c>
      <x:c r="E22" s="62" t="str">
        <x:v>G04 Dependency, tool and material ledger</x:v>
      </x:c>
      <x:c r="F22" s="82" t="n">
        <x:v>0</x:v>
      </x:c>
      <x:c r="G22" s="62" t="n">
        <x:v>1</x:v>
      </x:c>
      <x:c r="H22" s="80" t="str">
        <x:f>IF(F22=G22,"PASS","OPEN")</x:f>
        <x:v>OPEN</x:v>
      </x:c>
      <x:c r="I22" s="62" t="str">
        <x:v>REWORK</x:v>
      </x:c>
      <x:c r="J22" s="62" t="str">
        <x:v>Artifact validity only</x:v>
      </x:c>
      <x:c r="K22" s="103"/>
      <x:c r="L22" s="103"/>
      <x:c r="M22" s="103"/>
      <x:c r="N22" s="103"/>
    </x:row>
    <x:row r="23">
      <x:c r="A23" s="62" t="str">
        <x:v>V017</x:v>
      </x:c>
      <x:c r="B23" s="62" t="str">
        <x:v>P02</x:v>
      </x:c>
      <x:c r="C23" s="62" t="str">
        <x:v>ET-A</x:v>
      </x:c>
      <x:c r="D23" s="62" t="str">
        <x:v>ET-A-A</x:v>
      </x:c>
      <x:c r="E23" s="62" t="str">
        <x:v>G05 Assumption and unknown register</x:v>
      </x:c>
      <x:c r="F23" s="82" t="n">
        <x:v>0</x:v>
      </x:c>
      <x:c r="G23" s="62" t="n">
        <x:v>1</x:v>
      </x:c>
      <x:c r="H23" s="80" t="str">
        <x:f>IF(F23=G23,"PASS","OPEN")</x:f>
        <x:v>OPEN</x:v>
      </x:c>
      <x:c r="I23" s="62" t="str">
        <x:v>REWORK</x:v>
      </x:c>
      <x:c r="J23" s="62" t="str">
        <x:v>Artifact validity only</x:v>
      </x:c>
      <x:c r="K23" s="103"/>
      <x:c r="L23" s="103"/>
      <x:c r="M23" s="103"/>
      <x:c r="N23" s="103"/>
    </x:row>
    <x:row r="24">
      <x:c r="A24" s="62" t="str">
        <x:v>V018</x:v>
      </x:c>
      <x:c r="B24" s="62" t="str">
        <x:v>P02</x:v>
      </x:c>
      <x:c r="C24" s="62" t="str">
        <x:v>ET-A</x:v>
      </x:c>
      <x:c r="D24" s="62" t="str">
        <x:v>ET-A-A</x:v>
      </x:c>
      <x:c r="E24" s="62" t="str">
        <x:v>G06 Independent clean-room replay</x:v>
      </x:c>
      <x:c r="F24" s="82" t="n">
        <x:v>0</x:v>
      </x:c>
      <x:c r="G24" s="62" t="n">
        <x:v>1</x:v>
      </x:c>
      <x:c r="H24" s="80" t="str">
        <x:f>IF(F24=G24,"PASS","OPEN")</x:f>
        <x:v>OPEN</x:v>
      </x:c>
      <x:c r="I24" s="62" t="str">
        <x:v>REWORK</x:v>
      </x:c>
      <x:c r="J24" s="62" t="str">
        <x:v>Artifact validity only</x:v>
      </x:c>
      <x:c r="K24" s="103"/>
      <x:c r="L24" s="103"/>
      <x:c r="M24" s="103"/>
      <x:c r="N24" s="103"/>
    </x:row>
    <x:row r="25">
      <x:c r="A25" s="62" t="str">
        <x:v>V019</x:v>
      </x:c>
      <x:c r="B25" s="62" t="str">
        <x:v>P02</x:v>
      </x:c>
      <x:c r="C25" s="62" t="str">
        <x:v>ET-A</x:v>
      </x:c>
      <x:c r="D25" s="62" t="str">
        <x:v>ET-A-A</x:v>
      </x:c>
      <x:c r="E25" s="62" t="str">
        <x:v>G07 Interface and destructive-test trace</x:v>
      </x:c>
      <x:c r="F25" s="82" t="n">
        <x:v>0</x:v>
      </x:c>
      <x:c r="G25" s="62" t="n">
        <x:v>1</x:v>
      </x:c>
      <x:c r="H25" s="80" t="str">
        <x:f>IF(F25=G25,"PASS","OPEN")</x:f>
        <x:v>OPEN</x:v>
      </x:c>
      <x:c r="I25" s="62" t="str">
        <x:v>REWORK</x:v>
      </x:c>
      <x:c r="J25" s="62" t="str">
        <x:v>Artifact validity only</x:v>
      </x:c>
      <x:c r="K25" s="103"/>
      <x:c r="L25" s="103"/>
      <x:c r="M25" s="103"/>
      <x:c r="N25" s="103"/>
    </x:row>
    <x:row r="26">
      <x:c r="A26" s="62" t="str">
        <x:v>V020</x:v>
      </x:c>
      <x:c r="B26" s="62" t="str">
        <x:v>P02</x:v>
      </x:c>
      <x:c r="C26" s="62" t="str">
        <x:v>ET-A</x:v>
      </x:c>
      <x:c r="D26" s="62" t="str">
        <x:v>ET-A-A</x:v>
      </x:c>
      <x:c r="E26" s="62" t="str">
        <x:v>G08 Rights and safe-state closure</x:v>
      </x:c>
      <x:c r="F26" s="82" t="n">
        <x:v>0</x:v>
      </x:c>
      <x:c r="G26" s="62" t="n">
        <x:v>1</x:v>
      </x:c>
      <x:c r="H26" s="80" t="str">
        <x:f>IF(F26=G26,"PASS","OPEN")</x:f>
        <x:v>OPEN</x:v>
      </x:c>
      <x:c r="I26" s="62" t="str">
        <x:v>REWORK</x:v>
      </x:c>
      <x:c r="J26" s="62" t="str">
        <x:v>Artifact validity only</x:v>
      </x:c>
      <x:c r="K26" s="103"/>
      <x:c r="L26" s="103"/>
      <x:c r="M26" s="103"/>
      <x:c r="N26" s="103"/>
    </x:row>
    <x:row r="27">
      <x:c r="A27" s="62" t="str">
        <x:v>V021</x:v>
      </x:c>
      <x:c r="B27" s="62" t="str">
        <x:v>P02</x:v>
      </x:c>
      <x:c r="C27" s="62" t="str">
        <x:v>ET-A</x:v>
      </x:c>
      <x:c r="D27" s="62" t="str">
        <x:v>ET-A-A</x:v>
      </x:c>
      <x:c r="E27" s="62" t="str">
        <x:v>G09 Receiver and residual closure</x:v>
      </x:c>
      <x:c r="F27" s="82" t="n">
        <x:v>0</x:v>
      </x:c>
      <x:c r="G27" s="62" t="n">
        <x:v>1</x:v>
      </x:c>
      <x:c r="H27" s="80" t="str">
        <x:f>IF(F27=G27,"PASS","OPEN")</x:f>
        <x:v>OPEN</x:v>
      </x:c>
      <x:c r="I27" s="62" t="str">
        <x:v>REWORK</x:v>
      </x:c>
      <x:c r="J27" s="62" t="str">
        <x:v>Artifact validity only</x:v>
      </x:c>
      <x:c r="K27" s="103"/>
      <x:c r="L27" s="103"/>
      <x:c r="M27" s="103"/>
      <x:c r="N27" s="103"/>
    </x:row>
    <x:row r="28">
      <x:c r="A28" s="62" t="str">
        <x:v>V022</x:v>
      </x:c>
      <x:c r="B28" s="62" t="str">
        <x:v>P02</x:v>
      </x:c>
      <x:c r="C28" s="62" t="str">
        <x:v>ET-A</x:v>
      </x:c>
      <x:c r="D28" s="62" t="str">
        <x:v>ET-A-A</x:v>
      </x:c>
      <x:c r="E28" s="62" t="str">
        <x:v>G10 Challenge response and terminal archive</x:v>
      </x:c>
      <x:c r="F28" s="82" t="n">
        <x:v>0</x:v>
      </x:c>
      <x:c r="G28" s="62" t="n">
        <x:v>1</x:v>
      </x:c>
      <x:c r="H28" s="80" t="str">
        <x:f>IF(F28=G28,"PASS","OPEN")</x:f>
        <x:v>OPEN</x:v>
      </x:c>
      <x:c r="I28" s="62" t="str">
        <x:v>REWORK</x:v>
      </x:c>
      <x:c r="J28" s="62" t="str">
        <x:v>Artifact validity only</x:v>
      </x:c>
      <x:c r="K28" s="103"/>
      <x:c r="L28" s="103"/>
      <x:c r="M28" s="103"/>
      <x:c r="N28" s="103"/>
    </x:row>
    <x:row r="29">
      <x:c r="A29" s="62" t="str">
        <x:v>V023</x:v>
      </x:c>
      <x:c r="B29" s="62" t="str">
        <x:v>P02</x:v>
      </x:c>
      <x:c r="C29" s="62" t="str">
        <x:v>ET-A</x:v>
      </x:c>
      <x:c r="D29" s="62" t="str">
        <x:v>ET-A-A</x:v>
      </x:c>
      <x:c r="E29" s="62" t="str">
        <x:v>G11 No sibling performance exposure</x:v>
      </x:c>
      <x:c r="F29" s="82" t="n">
        <x:v>1</x:v>
      </x:c>
      <x:c r="G29" s="62" t="n">
        <x:v>1</x:v>
      </x:c>
      <x:c r="H29" s="80" t="str">
        <x:f>IF(F29=G29,"PASS","OPEN")</x:f>
        <x:v>PASS</x:v>
      </x:c>
      <x:c r="I29" s="62" t="str">
        <x:v>TERMINATE CELL</x:v>
      </x:c>
      <x:c r="J29" s="62" t="str">
        <x:v>Constitutional independence</x:v>
      </x:c>
      <x:c r="K29" s="103"/>
      <x:c r="L29" s="103"/>
      <x:c r="M29" s="103"/>
      <x:c r="N29" s="103"/>
    </x:row>
    <x:row r="30">
      <x:c r="A30" s="62" t="str">
        <x:v>V024</x:v>
      </x:c>
      <x:c r="B30" s="62" t="str">
        <x:v>P02</x:v>
      </x:c>
      <x:c r="C30" s="62" t="str">
        <x:v>ET-A</x:v>
      </x:c>
      <x:c r="D30" s="62" t="str">
        <x:v>ET-A-A</x:v>
      </x:c>
      <x:c r="E30" s="62" t="str">
        <x:v>G12 Builder and validity control separated</x:v>
      </x:c>
      <x:c r="F30" s="82" t="n">
        <x:v>1</x:v>
      </x:c>
      <x:c r="G30" s="62" t="n">
        <x:v>1</x:v>
      </x:c>
      <x:c r="H30" s="80" t="str">
        <x:f>IF(F30=G30,"PASS","OPEN")</x:f>
        <x:v>PASS</x:v>
      </x:c>
      <x:c r="I30" s="62" t="str">
        <x:v>TERMINATE CELL</x:v>
      </x:c>
      <x:c r="J30" s="62" t="str">
        <x:v>Constitutional independence</x:v>
      </x:c>
      <x:c r="K30" s="103"/>
      <x:c r="L30" s="103"/>
      <x:c r="M30" s="103"/>
      <x:c r="N30" s="103"/>
    </x:row>
    <x:row r="31">
      <x:c r="A31" s="62" t="str">
        <x:v>V025</x:v>
      </x:c>
      <x:c r="B31" s="62" t="str">
        <x:v>P03</x:v>
      </x:c>
      <x:c r="C31" s="62" t="str">
        <x:v>ET-A</x:v>
      </x:c>
      <x:c r="D31" s="62" t="str">
        <x:v>ET-A-A</x:v>
      </x:c>
      <x:c r="E31" s="62" t="str">
        <x:v>G01 Source manifest and authorship</x:v>
      </x:c>
      <x:c r="F31" s="82" t="n">
        <x:v>0</x:v>
      </x:c>
      <x:c r="G31" s="62" t="n">
        <x:v>1</x:v>
      </x:c>
      <x:c r="H31" s="80" t="str">
        <x:f>IF(F31=G31,"PASS","OPEN")</x:f>
        <x:v>OPEN</x:v>
      </x:c>
      <x:c r="I31" s="62" t="str">
        <x:v>REWORK</x:v>
      </x:c>
      <x:c r="J31" s="62" t="str">
        <x:v>Artifact validity only</x:v>
      </x:c>
      <x:c r="K31" s="103"/>
      <x:c r="L31" s="103"/>
      <x:c r="M31" s="103"/>
      <x:c r="N31" s="103"/>
    </x:row>
    <x:row r="32">
      <x:c r="A32" s="62" t="str">
        <x:v>V026</x:v>
      </x:c>
      <x:c r="B32" s="62" t="str">
        <x:v>P03</x:v>
      </x:c>
      <x:c r="C32" s="62" t="str">
        <x:v>ET-A</x:v>
      </x:c>
      <x:c r="D32" s="62" t="str">
        <x:v>ET-A-A</x:v>
      </x:c>
      <x:c r="E32" s="62" t="str">
        <x:v>G02 Frozen configuration hash</x:v>
      </x:c>
      <x:c r="F32" s="82" t="n">
        <x:v>0</x:v>
      </x:c>
      <x:c r="G32" s="62" t="n">
        <x:v>1</x:v>
      </x:c>
      <x:c r="H32" s="80" t="str">
        <x:f>IF(F32=G32,"PASS","OPEN")</x:f>
        <x:v>OPEN</x:v>
      </x:c>
      <x:c r="I32" s="62" t="str">
        <x:v>REWORK</x:v>
      </x:c>
      <x:c r="J32" s="62" t="str">
        <x:v>Artifact validity only</x:v>
      </x:c>
      <x:c r="K32" s="103"/>
      <x:c r="L32" s="103"/>
      <x:c r="M32" s="103"/>
      <x:c r="N32" s="103"/>
    </x:row>
    <x:row r="33">
      <x:c r="A33" s="62" t="str">
        <x:v>V027</x:v>
      </x:c>
      <x:c r="B33" s="62" t="str">
        <x:v>P03</x:v>
      </x:c>
      <x:c r="C33" s="62" t="str">
        <x:v>ET-A</x:v>
      </x:c>
      <x:c r="D33" s="62" t="str">
        <x:v>ET-A-A</x:v>
      </x:c>
      <x:c r="E33" s="62" t="str">
        <x:v>G03 Executable native artifact</x:v>
      </x:c>
      <x:c r="F33" s="82" t="n">
        <x:v>0</x:v>
      </x:c>
      <x:c r="G33" s="62" t="n">
        <x:v>1</x:v>
      </x:c>
      <x:c r="H33" s="80" t="str">
        <x:f>IF(F33=G33,"PASS","OPEN")</x:f>
        <x:v>OPEN</x:v>
      </x:c>
      <x:c r="I33" s="62" t="str">
        <x:v>REWORK</x:v>
      </x:c>
      <x:c r="J33" s="62" t="str">
        <x:v>Artifact validity only</x:v>
      </x:c>
      <x:c r="K33" s="103"/>
      <x:c r="L33" s="103"/>
      <x:c r="M33" s="103"/>
      <x:c r="N33" s="103"/>
    </x:row>
    <x:row r="34">
      <x:c r="A34" s="62" t="str">
        <x:v>V028</x:v>
      </x:c>
      <x:c r="B34" s="62" t="str">
        <x:v>P03</x:v>
      </x:c>
      <x:c r="C34" s="62" t="str">
        <x:v>ET-A</x:v>
      </x:c>
      <x:c r="D34" s="62" t="str">
        <x:v>ET-A-A</x:v>
      </x:c>
      <x:c r="E34" s="62" t="str">
        <x:v>G04 Dependency, tool and material ledger</x:v>
      </x:c>
      <x:c r="F34" s="82" t="n">
        <x:v>0</x:v>
      </x:c>
      <x:c r="G34" s="62" t="n">
        <x:v>1</x:v>
      </x:c>
      <x:c r="H34" s="80" t="str">
        <x:f>IF(F34=G34,"PASS","OPEN")</x:f>
        <x:v>OPEN</x:v>
      </x:c>
      <x:c r="I34" s="62" t="str">
        <x:v>REWORK</x:v>
      </x:c>
      <x:c r="J34" s="62" t="str">
        <x:v>Artifact validity only</x:v>
      </x:c>
      <x:c r="K34" s="103"/>
      <x:c r="L34" s="103"/>
      <x:c r="M34" s="103"/>
      <x:c r="N34" s="103"/>
    </x:row>
    <x:row r="35">
      <x:c r="A35" s="62" t="str">
        <x:v>V029</x:v>
      </x:c>
      <x:c r="B35" s="62" t="str">
        <x:v>P03</x:v>
      </x:c>
      <x:c r="C35" s="62" t="str">
        <x:v>ET-A</x:v>
      </x:c>
      <x:c r="D35" s="62" t="str">
        <x:v>ET-A-A</x:v>
      </x:c>
      <x:c r="E35" s="62" t="str">
        <x:v>G05 Assumption and unknown register</x:v>
      </x:c>
      <x:c r="F35" s="82" t="n">
        <x:v>0</x:v>
      </x:c>
      <x:c r="G35" s="62" t="n">
        <x:v>1</x:v>
      </x:c>
      <x:c r="H35" s="80" t="str">
        <x:f>IF(F35=G35,"PASS","OPEN")</x:f>
        <x:v>OPEN</x:v>
      </x:c>
      <x:c r="I35" s="62" t="str">
        <x:v>REWORK</x:v>
      </x:c>
      <x:c r="J35" s="62" t="str">
        <x:v>Artifact validity only</x:v>
      </x:c>
      <x:c r="K35" s="103"/>
      <x:c r="L35" s="103"/>
      <x:c r="M35" s="103"/>
      <x:c r="N35" s="103"/>
    </x:row>
    <x:row r="36">
      <x:c r="A36" s="62" t="str">
        <x:v>V030</x:v>
      </x:c>
      <x:c r="B36" s="62" t="str">
        <x:v>P03</x:v>
      </x:c>
      <x:c r="C36" s="62" t="str">
        <x:v>ET-A</x:v>
      </x:c>
      <x:c r="D36" s="62" t="str">
        <x:v>ET-A-A</x:v>
      </x:c>
      <x:c r="E36" s="62" t="str">
        <x:v>G06 Independent clean-room replay</x:v>
      </x:c>
      <x:c r="F36" s="82" t="n">
        <x:v>0</x:v>
      </x:c>
      <x:c r="G36" s="62" t="n">
        <x:v>1</x:v>
      </x:c>
      <x:c r="H36" s="80" t="str">
        <x:f>IF(F36=G36,"PASS","OPEN")</x:f>
        <x:v>OPEN</x:v>
      </x:c>
      <x:c r="I36" s="62" t="str">
        <x:v>REWORK</x:v>
      </x:c>
      <x:c r="J36" s="62" t="str">
        <x:v>Artifact validity only</x:v>
      </x:c>
      <x:c r="K36" s="103"/>
      <x:c r="L36" s="103"/>
      <x:c r="M36" s="103"/>
      <x:c r="N36" s="103"/>
    </x:row>
    <x:row r="37">
      <x:c r="A37" s="62" t="str">
        <x:v>V031</x:v>
      </x:c>
      <x:c r="B37" s="62" t="str">
        <x:v>P03</x:v>
      </x:c>
      <x:c r="C37" s="62" t="str">
        <x:v>ET-A</x:v>
      </x:c>
      <x:c r="D37" s="62" t="str">
        <x:v>ET-A-A</x:v>
      </x:c>
      <x:c r="E37" s="62" t="str">
        <x:v>G07 Interface and destructive-test trace</x:v>
      </x:c>
      <x:c r="F37" s="82" t="n">
        <x:v>0</x:v>
      </x:c>
      <x:c r="G37" s="62" t="n">
        <x:v>1</x:v>
      </x:c>
      <x:c r="H37" s="80" t="str">
        <x:f>IF(F37=G37,"PASS","OPEN")</x:f>
        <x:v>OPEN</x:v>
      </x:c>
      <x:c r="I37" s="62" t="str">
        <x:v>REWORK</x:v>
      </x:c>
      <x:c r="J37" s="62" t="str">
        <x:v>Artifact validity only</x:v>
      </x:c>
      <x:c r="K37" s="103"/>
      <x:c r="L37" s="103"/>
      <x:c r="M37" s="103"/>
      <x:c r="N37" s="103"/>
    </x:row>
    <x:row r="38">
      <x:c r="A38" s="62" t="str">
        <x:v>V032</x:v>
      </x:c>
      <x:c r="B38" s="62" t="str">
        <x:v>P03</x:v>
      </x:c>
      <x:c r="C38" s="62" t="str">
        <x:v>ET-A</x:v>
      </x:c>
      <x:c r="D38" s="62" t="str">
        <x:v>ET-A-A</x:v>
      </x:c>
      <x:c r="E38" s="62" t="str">
        <x:v>G08 Rights and safe-state closure</x:v>
      </x:c>
      <x:c r="F38" s="82" t="n">
        <x:v>0</x:v>
      </x:c>
      <x:c r="G38" s="62" t="n">
        <x:v>1</x:v>
      </x:c>
      <x:c r="H38" s="80" t="str">
        <x:f>IF(F38=G38,"PASS","OPEN")</x:f>
        <x:v>OPEN</x:v>
      </x:c>
      <x:c r="I38" s="62" t="str">
        <x:v>REWORK</x:v>
      </x:c>
      <x:c r="J38" s="62" t="str">
        <x:v>Artifact validity only</x:v>
      </x:c>
      <x:c r="K38" s="103"/>
      <x:c r="L38" s="103"/>
      <x:c r="M38" s="103"/>
      <x:c r="N38" s="103"/>
    </x:row>
    <x:row r="39">
      <x:c r="A39" s="62" t="str">
        <x:v>V033</x:v>
      </x:c>
      <x:c r="B39" s="62" t="str">
        <x:v>P03</x:v>
      </x:c>
      <x:c r="C39" s="62" t="str">
        <x:v>ET-A</x:v>
      </x:c>
      <x:c r="D39" s="62" t="str">
        <x:v>ET-A-A</x:v>
      </x:c>
      <x:c r="E39" s="62" t="str">
        <x:v>G09 Receiver and residual closure</x:v>
      </x:c>
      <x:c r="F39" s="82" t="n">
        <x:v>0</x:v>
      </x:c>
      <x:c r="G39" s="62" t="n">
        <x:v>1</x:v>
      </x:c>
      <x:c r="H39" s="80" t="str">
        <x:f>IF(F39=G39,"PASS","OPEN")</x:f>
        <x:v>OPEN</x:v>
      </x:c>
      <x:c r="I39" s="62" t="str">
        <x:v>REWORK</x:v>
      </x:c>
      <x:c r="J39" s="62" t="str">
        <x:v>Artifact validity only</x:v>
      </x:c>
      <x:c r="K39" s="103"/>
      <x:c r="L39" s="103"/>
      <x:c r="M39" s="103"/>
      <x:c r="N39" s="103"/>
    </x:row>
    <x:row r="40">
      <x:c r="A40" s="62" t="str">
        <x:v>V034</x:v>
      </x:c>
      <x:c r="B40" s="62" t="str">
        <x:v>P03</x:v>
      </x:c>
      <x:c r="C40" s="62" t="str">
        <x:v>ET-A</x:v>
      </x:c>
      <x:c r="D40" s="62" t="str">
        <x:v>ET-A-A</x:v>
      </x:c>
      <x:c r="E40" s="62" t="str">
        <x:v>G10 Challenge response and terminal archive</x:v>
      </x:c>
      <x:c r="F40" s="82" t="n">
        <x:v>0</x:v>
      </x:c>
      <x:c r="G40" s="62" t="n">
        <x:v>1</x:v>
      </x:c>
      <x:c r="H40" s="80" t="str">
        <x:f>IF(F40=G40,"PASS","OPEN")</x:f>
        <x:v>OPEN</x:v>
      </x:c>
      <x:c r="I40" s="62" t="str">
        <x:v>REWORK</x:v>
      </x:c>
      <x:c r="J40" s="62" t="str">
        <x:v>Artifact validity only</x:v>
      </x:c>
      <x:c r="K40" s="103"/>
      <x:c r="L40" s="103"/>
      <x:c r="M40" s="103"/>
      <x:c r="N40" s="103"/>
    </x:row>
    <x:row r="41">
      <x:c r="A41" s="62" t="str">
        <x:v>V035</x:v>
      </x:c>
      <x:c r="B41" s="62" t="str">
        <x:v>P03</x:v>
      </x:c>
      <x:c r="C41" s="62" t="str">
        <x:v>ET-A</x:v>
      </x:c>
      <x:c r="D41" s="62" t="str">
        <x:v>ET-A-A</x:v>
      </x:c>
      <x:c r="E41" s="62" t="str">
        <x:v>G11 No sibling performance exposure</x:v>
      </x:c>
      <x:c r="F41" s="82" t="n">
        <x:v>1</x:v>
      </x:c>
      <x:c r="G41" s="62" t="n">
        <x:v>1</x:v>
      </x:c>
      <x:c r="H41" s="80" t="str">
        <x:f>IF(F41=G41,"PASS","OPEN")</x:f>
        <x:v>PASS</x:v>
      </x:c>
      <x:c r="I41" s="62" t="str">
        <x:v>TERMINATE CELL</x:v>
      </x:c>
      <x:c r="J41" s="62" t="str">
        <x:v>Constitutional independence</x:v>
      </x:c>
      <x:c r="K41" s="103"/>
      <x:c r="L41" s="103"/>
      <x:c r="M41" s="103"/>
      <x:c r="N41" s="103"/>
    </x:row>
    <x:row r="42">
      <x:c r="A42" s="62" t="str">
        <x:v>V036</x:v>
      </x:c>
      <x:c r="B42" s="62" t="str">
        <x:v>P03</x:v>
      </x:c>
      <x:c r="C42" s="62" t="str">
        <x:v>ET-A</x:v>
      </x:c>
      <x:c r="D42" s="62" t="str">
        <x:v>ET-A-A</x:v>
      </x:c>
      <x:c r="E42" s="62" t="str">
        <x:v>G12 Builder and validity control separated</x:v>
      </x:c>
      <x:c r="F42" s="82" t="n">
        <x:v>1</x:v>
      </x:c>
      <x:c r="G42" s="62" t="n">
        <x:v>1</x:v>
      </x:c>
      <x:c r="H42" s="80" t="str">
        <x:f>IF(F42=G42,"PASS","OPEN")</x:f>
        <x:v>PASS</x:v>
      </x:c>
      <x:c r="I42" s="62" t="str">
        <x:v>TERMINATE CELL</x:v>
      </x:c>
      <x:c r="J42" s="62" t="str">
        <x:v>Constitutional independence</x:v>
      </x:c>
      <x:c r="K42" s="103"/>
      <x:c r="L42" s="103"/>
      <x:c r="M42" s="103"/>
      <x:c r="N42" s="103"/>
    </x:row>
    <x:row r="43">
      <x:c r="A43" s="62" t="str">
        <x:v>V037</x:v>
      </x:c>
      <x:c r="B43" s="62" t="str">
        <x:v>P04</x:v>
      </x:c>
      <x:c r="C43" s="62" t="str">
        <x:v>ET-A</x:v>
      </x:c>
      <x:c r="D43" s="62" t="str">
        <x:v>ET-A-A</x:v>
      </x:c>
      <x:c r="E43" s="62" t="str">
        <x:v>G01 Source manifest and authorship</x:v>
      </x:c>
      <x:c r="F43" s="82" t="n">
        <x:v>0</x:v>
      </x:c>
      <x:c r="G43" s="62" t="n">
        <x:v>1</x:v>
      </x:c>
      <x:c r="H43" s="80" t="str">
        <x:f>IF(F43=G43,"PASS","OPEN")</x:f>
        <x:v>OPEN</x:v>
      </x:c>
      <x:c r="I43" s="62" t="str">
        <x:v>REWORK</x:v>
      </x:c>
      <x:c r="J43" s="62" t="str">
        <x:v>Artifact validity only</x:v>
      </x:c>
      <x:c r="K43" s="103"/>
      <x:c r="L43" s="103"/>
      <x:c r="M43" s="103"/>
      <x:c r="N43" s="103"/>
    </x:row>
    <x:row r="44">
      <x:c r="A44" s="62" t="str">
        <x:v>V038</x:v>
      </x:c>
      <x:c r="B44" s="62" t="str">
        <x:v>P04</x:v>
      </x:c>
      <x:c r="C44" s="62" t="str">
        <x:v>ET-A</x:v>
      </x:c>
      <x:c r="D44" s="62" t="str">
        <x:v>ET-A-A</x:v>
      </x:c>
      <x:c r="E44" s="62" t="str">
        <x:v>G02 Frozen configuration hash</x:v>
      </x:c>
      <x:c r="F44" s="82" t="n">
        <x:v>0</x:v>
      </x:c>
      <x:c r="G44" s="62" t="n">
        <x:v>1</x:v>
      </x:c>
      <x:c r="H44" s="80" t="str">
        <x:f>IF(F44=G44,"PASS","OPEN")</x:f>
        <x:v>OPEN</x:v>
      </x:c>
      <x:c r="I44" s="62" t="str">
        <x:v>REWORK</x:v>
      </x:c>
      <x:c r="J44" s="62" t="str">
        <x:v>Artifact validity only</x:v>
      </x:c>
      <x:c r="K44" s="103"/>
      <x:c r="L44" s="103"/>
      <x:c r="M44" s="103"/>
      <x:c r="N44" s="103"/>
    </x:row>
    <x:row r="45">
      <x:c r="A45" s="62" t="str">
        <x:v>V039</x:v>
      </x:c>
      <x:c r="B45" s="62" t="str">
        <x:v>P04</x:v>
      </x:c>
      <x:c r="C45" s="62" t="str">
        <x:v>ET-A</x:v>
      </x:c>
      <x:c r="D45" s="62" t="str">
        <x:v>ET-A-A</x:v>
      </x:c>
      <x:c r="E45" s="62" t="str">
        <x:v>G03 Executable native artifact</x:v>
      </x:c>
      <x:c r="F45" s="82" t="n">
        <x:v>0</x:v>
      </x:c>
      <x:c r="G45" s="62" t="n">
        <x:v>1</x:v>
      </x:c>
      <x:c r="H45" s="80" t="str">
        <x:f>IF(F45=G45,"PASS","OPEN")</x:f>
        <x:v>OPEN</x:v>
      </x:c>
      <x:c r="I45" s="62" t="str">
        <x:v>REWORK</x:v>
      </x:c>
      <x:c r="J45" s="62" t="str">
        <x:v>Artifact validity only</x:v>
      </x:c>
      <x:c r="K45" s="103"/>
      <x:c r="L45" s="103"/>
      <x:c r="M45" s="103"/>
      <x:c r="N45" s="103"/>
    </x:row>
    <x:row r="46">
      <x:c r="A46" s="62" t="str">
        <x:v>V040</x:v>
      </x:c>
      <x:c r="B46" s="62" t="str">
        <x:v>P04</x:v>
      </x:c>
      <x:c r="C46" s="62" t="str">
        <x:v>ET-A</x:v>
      </x:c>
      <x:c r="D46" s="62" t="str">
        <x:v>ET-A-A</x:v>
      </x:c>
      <x:c r="E46" s="62" t="str">
        <x:v>G04 Dependency, tool and material ledger</x:v>
      </x:c>
      <x:c r="F46" s="82" t="n">
        <x:v>0</x:v>
      </x:c>
      <x:c r="G46" s="62" t="n">
        <x:v>1</x:v>
      </x:c>
      <x:c r="H46" s="80" t="str">
        <x:f>IF(F46=G46,"PASS","OPEN")</x:f>
        <x:v>OPEN</x:v>
      </x:c>
      <x:c r="I46" s="62" t="str">
        <x:v>REWORK</x:v>
      </x:c>
      <x:c r="J46" s="62" t="str">
        <x:v>Artifact validity only</x:v>
      </x:c>
      <x:c r="K46" s="103"/>
      <x:c r="L46" s="103"/>
      <x:c r="M46" s="103"/>
      <x:c r="N46" s="103"/>
    </x:row>
    <x:row r="47">
      <x:c r="A47" s="62" t="str">
        <x:v>V041</x:v>
      </x:c>
      <x:c r="B47" s="62" t="str">
        <x:v>P04</x:v>
      </x:c>
      <x:c r="C47" s="62" t="str">
        <x:v>ET-A</x:v>
      </x:c>
      <x:c r="D47" s="62" t="str">
        <x:v>ET-A-A</x:v>
      </x:c>
      <x:c r="E47" s="62" t="str">
        <x:v>G05 Assumption and unknown register</x:v>
      </x:c>
      <x:c r="F47" s="82" t="n">
        <x:v>0</x:v>
      </x:c>
      <x:c r="G47" s="62" t="n">
        <x:v>1</x:v>
      </x:c>
      <x:c r="H47" s="80" t="str">
        <x:f>IF(F47=G47,"PASS","OPEN")</x:f>
        <x:v>OPEN</x:v>
      </x:c>
      <x:c r="I47" s="62" t="str">
        <x:v>REWORK</x:v>
      </x:c>
      <x:c r="J47" s="62" t="str">
        <x:v>Artifact validity only</x:v>
      </x:c>
      <x:c r="K47" s="103"/>
      <x:c r="L47" s="103"/>
      <x:c r="M47" s="103"/>
      <x:c r="N47" s="103"/>
    </x:row>
    <x:row r="48">
      <x:c r="A48" s="62" t="str">
        <x:v>V042</x:v>
      </x:c>
      <x:c r="B48" s="62" t="str">
        <x:v>P04</x:v>
      </x:c>
      <x:c r="C48" s="62" t="str">
        <x:v>ET-A</x:v>
      </x:c>
      <x:c r="D48" s="62" t="str">
        <x:v>ET-A-A</x:v>
      </x:c>
      <x:c r="E48" s="62" t="str">
        <x:v>G06 Independent clean-room replay</x:v>
      </x:c>
      <x:c r="F48" s="82" t="n">
        <x:v>0</x:v>
      </x:c>
      <x:c r="G48" s="62" t="n">
        <x:v>1</x:v>
      </x:c>
      <x:c r="H48" s="80" t="str">
        <x:f>IF(F48=G48,"PASS","OPEN")</x:f>
        <x:v>OPEN</x:v>
      </x:c>
      <x:c r="I48" s="62" t="str">
        <x:v>REWORK</x:v>
      </x:c>
      <x:c r="J48" s="62" t="str">
        <x:v>Artifact validity only</x:v>
      </x:c>
      <x:c r="K48" s="103"/>
      <x:c r="L48" s="103"/>
      <x:c r="M48" s="103"/>
      <x:c r="N48" s="103"/>
    </x:row>
    <x:row r="49">
      <x:c r="A49" s="62" t="str">
        <x:v>V043</x:v>
      </x:c>
      <x:c r="B49" s="62" t="str">
        <x:v>P04</x:v>
      </x:c>
      <x:c r="C49" s="62" t="str">
        <x:v>ET-A</x:v>
      </x:c>
      <x:c r="D49" s="62" t="str">
        <x:v>ET-A-A</x:v>
      </x:c>
      <x:c r="E49" s="62" t="str">
        <x:v>G07 Interface and destructive-test trace</x:v>
      </x:c>
      <x:c r="F49" s="82" t="n">
        <x:v>0</x:v>
      </x:c>
      <x:c r="G49" s="62" t="n">
        <x:v>1</x:v>
      </x:c>
      <x:c r="H49" s="80" t="str">
        <x:f>IF(F49=G49,"PASS","OPEN")</x:f>
        <x:v>OPEN</x:v>
      </x:c>
      <x:c r="I49" s="62" t="str">
        <x:v>REWORK</x:v>
      </x:c>
      <x:c r="J49" s="62" t="str">
        <x:v>Artifact validity only</x:v>
      </x:c>
      <x:c r="K49" s="103"/>
      <x:c r="L49" s="103"/>
      <x:c r="M49" s="103"/>
      <x:c r="N49" s="103"/>
    </x:row>
    <x:row r="50">
      <x:c r="A50" s="62" t="str">
        <x:v>V044</x:v>
      </x:c>
      <x:c r="B50" s="62" t="str">
        <x:v>P04</x:v>
      </x:c>
      <x:c r="C50" s="62" t="str">
        <x:v>ET-A</x:v>
      </x:c>
      <x:c r="D50" s="62" t="str">
        <x:v>ET-A-A</x:v>
      </x:c>
      <x:c r="E50" s="62" t="str">
        <x:v>G08 Rights and safe-state closure</x:v>
      </x:c>
      <x:c r="F50" s="82" t="n">
        <x:v>0</x:v>
      </x:c>
      <x:c r="G50" s="62" t="n">
        <x:v>1</x:v>
      </x:c>
      <x:c r="H50" s="80" t="str">
        <x:f>IF(F50=G50,"PASS","OPEN")</x:f>
        <x:v>OPEN</x:v>
      </x:c>
      <x:c r="I50" s="62" t="str">
        <x:v>REWORK</x:v>
      </x:c>
      <x:c r="J50" s="62" t="str">
        <x:v>Artifact validity only</x:v>
      </x:c>
      <x:c r="K50" s="103"/>
      <x:c r="L50" s="103"/>
      <x:c r="M50" s="103"/>
      <x:c r="N50" s="103"/>
    </x:row>
    <x:row r="51">
      <x:c r="A51" s="62" t="str">
        <x:v>V045</x:v>
      </x:c>
      <x:c r="B51" s="62" t="str">
        <x:v>P04</x:v>
      </x:c>
      <x:c r="C51" s="62" t="str">
        <x:v>ET-A</x:v>
      </x:c>
      <x:c r="D51" s="62" t="str">
        <x:v>ET-A-A</x:v>
      </x:c>
      <x:c r="E51" s="62" t="str">
        <x:v>G09 Receiver and residual closure</x:v>
      </x:c>
      <x:c r="F51" s="82" t="n">
        <x:v>0</x:v>
      </x:c>
      <x:c r="G51" s="62" t="n">
        <x:v>1</x:v>
      </x:c>
      <x:c r="H51" s="80" t="str">
        <x:f>IF(F51=G51,"PASS","OPEN")</x:f>
        <x:v>OPEN</x:v>
      </x:c>
      <x:c r="I51" s="62" t="str">
        <x:v>REWORK</x:v>
      </x:c>
      <x:c r="J51" s="62" t="str">
        <x:v>Artifact validity only</x:v>
      </x:c>
      <x:c r="K51" s="103"/>
      <x:c r="L51" s="103"/>
      <x:c r="M51" s="103"/>
      <x:c r="N51" s="103"/>
    </x:row>
    <x:row r="52">
      <x:c r="A52" s="62" t="str">
        <x:v>V046</x:v>
      </x:c>
      <x:c r="B52" s="62" t="str">
        <x:v>P04</x:v>
      </x:c>
      <x:c r="C52" s="62" t="str">
        <x:v>ET-A</x:v>
      </x:c>
      <x:c r="D52" s="62" t="str">
        <x:v>ET-A-A</x:v>
      </x:c>
      <x:c r="E52" s="62" t="str">
        <x:v>G10 Challenge response and terminal archive</x:v>
      </x:c>
      <x:c r="F52" s="82" t="n">
        <x:v>0</x:v>
      </x:c>
      <x:c r="G52" s="62" t="n">
        <x:v>1</x:v>
      </x:c>
      <x:c r="H52" s="80" t="str">
        <x:f>IF(F52=G52,"PASS","OPEN")</x:f>
        <x:v>OPEN</x:v>
      </x:c>
      <x:c r="I52" s="62" t="str">
        <x:v>REWORK</x:v>
      </x:c>
      <x:c r="J52" s="62" t="str">
        <x:v>Artifact validity only</x:v>
      </x:c>
      <x:c r="K52" s="103"/>
      <x:c r="L52" s="103"/>
      <x:c r="M52" s="103"/>
      <x:c r="N52" s="103"/>
    </x:row>
    <x:row r="53">
      <x:c r="A53" s="62" t="str">
        <x:v>V047</x:v>
      </x:c>
      <x:c r="B53" s="62" t="str">
        <x:v>P04</x:v>
      </x:c>
      <x:c r="C53" s="62" t="str">
        <x:v>ET-A</x:v>
      </x:c>
      <x:c r="D53" s="62" t="str">
        <x:v>ET-A-A</x:v>
      </x:c>
      <x:c r="E53" s="62" t="str">
        <x:v>G11 No sibling performance exposure</x:v>
      </x:c>
      <x:c r="F53" s="82" t="n">
        <x:v>1</x:v>
      </x:c>
      <x:c r="G53" s="62" t="n">
        <x:v>1</x:v>
      </x:c>
      <x:c r="H53" s="80" t="str">
        <x:f>IF(F53=G53,"PASS","OPEN")</x:f>
        <x:v>PASS</x:v>
      </x:c>
      <x:c r="I53" s="62" t="str">
        <x:v>TERMINATE CELL</x:v>
      </x:c>
      <x:c r="J53" s="62" t="str">
        <x:v>Constitutional independence</x:v>
      </x:c>
      <x:c r="K53" s="103"/>
      <x:c r="L53" s="103"/>
      <x:c r="M53" s="103"/>
      <x:c r="N53" s="103"/>
    </x:row>
    <x:row r="54">
      <x:c r="A54" s="62" t="str">
        <x:v>V048</x:v>
      </x:c>
      <x:c r="B54" s="62" t="str">
        <x:v>P04</x:v>
      </x:c>
      <x:c r="C54" s="62" t="str">
        <x:v>ET-A</x:v>
      </x:c>
      <x:c r="D54" s="62" t="str">
        <x:v>ET-A-A</x:v>
      </x:c>
      <x:c r="E54" s="62" t="str">
        <x:v>G12 Builder and validity control separated</x:v>
      </x:c>
      <x:c r="F54" s="82" t="n">
        <x:v>1</x:v>
      </x:c>
      <x:c r="G54" s="62" t="n">
        <x:v>1</x:v>
      </x:c>
      <x:c r="H54" s="80" t="str">
        <x:f>IF(F54=G54,"PASS","OPEN")</x:f>
        <x:v>PASS</x:v>
      </x:c>
      <x:c r="I54" s="62" t="str">
        <x:v>TERMINATE CELL</x:v>
      </x:c>
      <x:c r="J54" s="62" t="str">
        <x:v>Constitutional independence</x:v>
      </x:c>
      <x:c r="K54" s="103"/>
      <x:c r="L54" s="103"/>
      <x:c r="M54" s="103"/>
      <x:c r="N54" s="103"/>
    </x:row>
    <x:row r="55">
      <x:c r="A55" s="62" t="str">
        <x:v>V049</x:v>
      </x:c>
      <x:c r="B55" s="62" t="str">
        <x:v>P05</x:v>
      </x:c>
      <x:c r="C55" s="62" t="str">
        <x:v>ET-A</x:v>
      </x:c>
      <x:c r="D55" s="62" t="str">
        <x:v>ET-A-A</x:v>
      </x:c>
      <x:c r="E55" s="62" t="str">
        <x:v>G01 Source manifest and authorship</x:v>
      </x:c>
      <x:c r="F55" s="82" t="n">
        <x:v>0</x:v>
      </x:c>
      <x:c r="G55" s="62" t="n">
        <x:v>1</x:v>
      </x:c>
      <x:c r="H55" s="80" t="str">
        <x:f>IF(F55=G55,"PASS","OPEN")</x:f>
        <x:v>OPEN</x:v>
      </x:c>
      <x:c r="I55" s="62" t="str">
        <x:v>REWORK</x:v>
      </x:c>
      <x:c r="J55" s="62" t="str">
        <x:v>Artifact validity only</x:v>
      </x:c>
      <x:c r="K55" s="103"/>
      <x:c r="L55" s="103"/>
      <x:c r="M55" s="103"/>
      <x:c r="N55" s="103"/>
    </x:row>
    <x:row r="56">
      <x:c r="A56" s="62" t="str">
        <x:v>V050</x:v>
      </x:c>
      <x:c r="B56" s="62" t="str">
        <x:v>P05</x:v>
      </x:c>
      <x:c r="C56" s="62" t="str">
        <x:v>ET-A</x:v>
      </x:c>
      <x:c r="D56" s="62" t="str">
        <x:v>ET-A-A</x:v>
      </x:c>
      <x:c r="E56" s="62" t="str">
        <x:v>G02 Frozen configuration hash</x:v>
      </x:c>
      <x:c r="F56" s="82" t="n">
        <x:v>0</x:v>
      </x:c>
      <x:c r="G56" s="62" t="n">
        <x:v>1</x:v>
      </x:c>
      <x:c r="H56" s="80" t="str">
        <x:f>IF(F56=G56,"PASS","OPEN")</x:f>
        <x:v>OPEN</x:v>
      </x:c>
      <x:c r="I56" s="62" t="str">
        <x:v>REWORK</x:v>
      </x:c>
      <x:c r="J56" s="62" t="str">
        <x:v>Artifact validity only</x:v>
      </x:c>
      <x:c r="K56" s="103"/>
      <x:c r="L56" s="103"/>
      <x:c r="M56" s="103"/>
      <x:c r="N56" s="103"/>
    </x:row>
    <x:row r="57">
      <x:c r="A57" s="62" t="str">
        <x:v>V051</x:v>
      </x:c>
      <x:c r="B57" s="62" t="str">
        <x:v>P05</x:v>
      </x:c>
      <x:c r="C57" s="62" t="str">
        <x:v>ET-A</x:v>
      </x:c>
      <x:c r="D57" s="62" t="str">
        <x:v>ET-A-A</x:v>
      </x:c>
      <x:c r="E57" s="62" t="str">
        <x:v>G03 Executable native artifact</x:v>
      </x:c>
      <x:c r="F57" s="82" t="n">
        <x:v>0</x:v>
      </x:c>
      <x:c r="G57" s="62" t="n">
        <x:v>1</x:v>
      </x:c>
      <x:c r="H57" s="80" t="str">
        <x:f>IF(F57=G57,"PASS","OPEN")</x:f>
        <x:v>OPEN</x:v>
      </x:c>
      <x:c r="I57" s="62" t="str">
        <x:v>REWORK</x:v>
      </x:c>
      <x:c r="J57" s="62" t="str">
        <x:v>Artifact validity only</x:v>
      </x:c>
      <x:c r="K57" s="103"/>
      <x:c r="L57" s="103"/>
      <x:c r="M57" s="103"/>
      <x:c r="N57" s="103"/>
    </x:row>
    <x:row r="58">
      <x:c r="A58" s="62" t="str">
        <x:v>V052</x:v>
      </x:c>
      <x:c r="B58" s="62" t="str">
        <x:v>P05</x:v>
      </x:c>
      <x:c r="C58" s="62" t="str">
        <x:v>ET-A</x:v>
      </x:c>
      <x:c r="D58" s="62" t="str">
        <x:v>ET-A-A</x:v>
      </x:c>
      <x:c r="E58" s="62" t="str">
        <x:v>G04 Dependency, tool and material ledger</x:v>
      </x:c>
      <x:c r="F58" s="82" t="n">
        <x:v>0</x:v>
      </x:c>
      <x:c r="G58" s="62" t="n">
        <x:v>1</x:v>
      </x:c>
      <x:c r="H58" s="80" t="str">
        <x:f>IF(F58=G58,"PASS","OPEN")</x:f>
        <x:v>OPEN</x:v>
      </x:c>
      <x:c r="I58" s="62" t="str">
        <x:v>REWORK</x:v>
      </x:c>
      <x:c r="J58" s="62" t="str">
        <x:v>Artifact validity only</x:v>
      </x:c>
      <x:c r="K58" s="103"/>
      <x:c r="L58" s="103"/>
      <x:c r="M58" s="103"/>
      <x:c r="N58" s="103"/>
    </x:row>
    <x:row r="59">
      <x:c r="A59" s="62" t="str">
        <x:v>V053</x:v>
      </x:c>
      <x:c r="B59" s="62" t="str">
        <x:v>P05</x:v>
      </x:c>
      <x:c r="C59" s="62" t="str">
        <x:v>ET-A</x:v>
      </x:c>
      <x:c r="D59" s="62" t="str">
        <x:v>ET-A-A</x:v>
      </x:c>
      <x:c r="E59" s="62" t="str">
        <x:v>G05 Assumption and unknown register</x:v>
      </x:c>
      <x:c r="F59" s="82" t="n">
        <x:v>0</x:v>
      </x:c>
      <x:c r="G59" s="62" t="n">
        <x:v>1</x:v>
      </x:c>
      <x:c r="H59" s="80" t="str">
        <x:f>IF(F59=G59,"PASS","OPEN")</x:f>
        <x:v>OPEN</x:v>
      </x:c>
      <x:c r="I59" s="62" t="str">
        <x:v>REWORK</x:v>
      </x:c>
      <x:c r="J59" s="62" t="str">
        <x:v>Artifact validity only</x:v>
      </x:c>
      <x:c r="K59" s="103"/>
      <x:c r="L59" s="103"/>
      <x:c r="M59" s="103"/>
      <x:c r="N59" s="103"/>
    </x:row>
    <x:row r="60">
      <x:c r="A60" s="62" t="str">
        <x:v>V054</x:v>
      </x:c>
      <x:c r="B60" s="62" t="str">
        <x:v>P05</x:v>
      </x:c>
      <x:c r="C60" s="62" t="str">
        <x:v>ET-A</x:v>
      </x:c>
      <x:c r="D60" s="62" t="str">
        <x:v>ET-A-A</x:v>
      </x:c>
      <x:c r="E60" s="62" t="str">
        <x:v>G06 Independent clean-room replay</x:v>
      </x:c>
      <x:c r="F60" s="82" t="n">
        <x:v>0</x:v>
      </x:c>
      <x:c r="G60" s="62" t="n">
        <x:v>1</x:v>
      </x:c>
      <x:c r="H60" s="80" t="str">
        <x:f>IF(F60=G60,"PASS","OPEN")</x:f>
        <x:v>OPEN</x:v>
      </x:c>
      <x:c r="I60" s="62" t="str">
        <x:v>REWORK</x:v>
      </x:c>
      <x:c r="J60" s="62" t="str">
        <x:v>Artifact validity only</x:v>
      </x:c>
      <x:c r="K60" s="103"/>
      <x:c r="L60" s="103"/>
      <x:c r="M60" s="103"/>
      <x:c r="N60" s="103"/>
    </x:row>
    <x:row r="61">
      <x:c r="A61" s="62" t="str">
        <x:v>V055</x:v>
      </x:c>
      <x:c r="B61" s="62" t="str">
        <x:v>P05</x:v>
      </x:c>
      <x:c r="C61" s="62" t="str">
        <x:v>ET-A</x:v>
      </x:c>
      <x:c r="D61" s="62" t="str">
        <x:v>ET-A-A</x:v>
      </x:c>
      <x:c r="E61" s="62" t="str">
        <x:v>G07 Interface and destructive-test trace</x:v>
      </x:c>
      <x:c r="F61" s="82" t="n">
        <x:v>0</x:v>
      </x:c>
      <x:c r="G61" s="62" t="n">
        <x:v>1</x:v>
      </x:c>
      <x:c r="H61" s="80" t="str">
        <x:f>IF(F61=G61,"PASS","OPEN")</x:f>
        <x:v>OPEN</x:v>
      </x:c>
      <x:c r="I61" s="62" t="str">
        <x:v>REWORK</x:v>
      </x:c>
      <x:c r="J61" s="62" t="str">
        <x:v>Artifact validity only</x:v>
      </x:c>
      <x:c r="K61" s="103"/>
      <x:c r="L61" s="103"/>
      <x:c r="M61" s="103"/>
      <x:c r="N61" s="103"/>
    </x:row>
    <x:row r="62">
      <x:c r="A62" s="62" t="str">
        <x:v>V056</x:v>
      </x:c>
      <x:c r="B62" s="62" t="str">
        <x:v>P05</x:v>
      </x:c>
      <x:c r="C62" s="62" t="str">
        <x:v>ET-A</x:v>
      </x:c>
      <x:c r="D62" s="62" t="str">
        <x:v>ET-A-A</x:v>
      </x:c>
      <x:c r="E62" s="62" t="str">
        <x:v>G08 Rights and safe-state closure</x:v>
      </x:c>
      <x:c r="F62" s="82" t="n">
        <x:v>0</x:v>
      </x:c>
      <x:c r="G62" s="62" t="n">
        <x:v>1</x:v>
      </x:c>
      <x:c r="H62" s="80" t="str">
        <x:f>IF(F62=G62,"PASS","OPEN")</x:f>
        <x:v>OPEN</x:v>
      </x:c>
      <x:c r="I62" s="62" t="str">
        <x:v>REWORK</x:v>
      </x:c>
      <x:c r="J62" s="62" t="str">
        <x:v>Artifact validity only</x:v>
      </x:c>
      <x:c r="K62" s="103"/>
      <x:c r="L62" s="103"/>
      <x:c r="M62" s="103"/>
      <x:c r="N62" s="103"/>
    </x:row>
    <x:row r="63">
      <x:c r="A63" s="62" t="str">
        <x:v>V057</x:v>
      </x:c>
      <x:c r="B63" s="62" t="str">
        <x:v>P05</x:v>
      </x:c>
      <x:c r="C63" s="62" t="str">
        <x:v>ET-A</x:v>
      </x:c>
      <x:c r="D63" s="62" t="str">
        <x:v>ET-A-A</x:v>
      </x:c>
      <x:c r="E63" s="62" t="str">
        <x:v>G09 Receiver and residual closure</x:v>
      </x:c>
      <x:c r="F63" s="82" t="n">
        <x:v>0</x:v>
      </x:c>
      <x:c r="G63" s="62" t="n">
        <x:v>1</x:v>
      </x:c>
      <x:c r="H63" s="80" t="str">
        <x:f>IF(F63=G63,"PASS","OPEN")</x:f>
        <x:v>OPEN</x:v>
      </x:c>
      <x:c r="I63" s="62" t="str">
        <x:v>REWORK</x:v>
      </x:c>
      <x:c r="J63" s="62" t="str">
        <x:v>Artifact validity only</x:v>
      </x:c>
      <x:c r="K63" s="103"/>
      <x:c r="L63" s="103"/>
      <x:c r="M63" s="103"/>
      <x:c r="N63" s="103"/>
    </x:row>
    <x:row r="64">
      <x:c r="A64" s="62" t="str">
        <x:v>V058</x:v>
      </x:c>
      <x:c r="B64" s="62" t="str">
        <x:v>P05</x:v>
      </x:c>
      <x:c r="C64" s="62" t="str">
        <x:v>ET-A</x:v>
      </x:c>
      <x:c r="D64" s="62" t="str">
        <x:v>ET-A-A</x:v>
      </x:c>
      <x:c r="E64" s="62" t="str">
        <x:v>G10 Challenge response and terminal archive</x:v>
      </x:c>
      <x:c r="F64" s="82" t="n">
        <x:v>0</x:v>
      </x:c>
      <x:c r="G64" s="62" t="n">
        <x:v>1</x:v>
      </x:c>
      <x:c r="H64" s="80" t="str">
        <x:f>IF(F64=G64,"PASS","OPEN")</x:f>
        <x:v>OPEN</x:v>
      </x:c>
      <x:c r="I64" s="62" t="str">
        <x:v>REWORK</x:v>
      </x:c>
      <x:c r="J64" s="62" t="str">
        <x:v>Artifact validity only</x:v>
      </x:c>
      <x:c r="K64" s="103"/>
      <x:c r="L64" s="103"/>
      <x:c r="M64" s="103"/>
      <x:c r="N64" s="103"/>
    </x:row>
    <x:row r="65">
      <x:c r="A65" s="62" t="str">
        <x:v>V059</x:v>
      </x:c>
      <x:c r="B65" s="62" t="str">
        <x:v>P05</x:v>
      </x:c>
      <x:c r="C65" s="62" t="str">
        <x:v>ET-A</x:v>
      </x:c>
      <x:c r="D65" s="62" t="str">
        <x:v>ET-A-A</x:v>
      </x:c>
      <x:c r="E65" s="62" t="str">
        <x:v>G11 No sibling performance exposure</x:v>
      </x:c>
      <x:c r="F65" s="82" t="n">
        <x:v>1</x:v>
      </x:c>
      <x:c r="G65" s="62" t="n">
        <x:v>1</x:v>
      </x:c>
      <x:c r="H65" s="80" t="str">
        <x:f>IF(F65=G65,"PASS","OPEN")</x:f>
        <x:v>PASS</x:v>
      </x:c>
      <x:c r="I65" s="62" t="str">
        <x:v>TERMINATE CELL</x:v>
      </x:c>
      <x:c r="J65" s="62" t="str">
        <x:v>Constitutional independence</x:v>
      </x:c>
      <x:c r="K65" s="103"/>
      <x:c r="L65" s="103"/>
      <x:c r="M65" s="103"/>
      <x:c r="N65" s="103"/>
    </x:row>
    <x:row r="66">
      <x:c r="A66" s="62" t="str">
        <x:v>V060</x:v>
      </x:c>
      <x:c r="B66" s="62" t="str">
        <x:v>P05</x:v>
      </x:c>
      <x:c r="C66" s="62" t="str">
        <x:v>ET-A</x:v>
      </x:c>
      <x:c r="D66" s="62" t="str">
        <x:v>ET-A-A</x:v>
      </x:c>
      <x:c r="E66" s="62" t="str">
        <x:v>G12 Builder and validity control separated</x:v>
      </x:c>
      <x:c r="F66" s="82" t="n">
        <x:v>1</x:v>
      </x:c>
      <x:c r="G66" s="62" t="n">
        <x:v>1</x:v>
      </x:c>
      <x:c r="H66" s="80" t="str">
        <x:f>IF(F66=G66,"PASS","OPEN")</x:f>
        <x:v>PASS</x:v>
      </x:c>
      <x:c r="I66" s="62" t="str">
        <x:v>TERMINATE CELL</x:v>
      </x:c>
      <x:c r="J66" s="62" t="str">
        <x:v>Constitutional independence</x:v>
      </x:c>
      <x:c r="K66" s="103"/>
      <x:c r="L66" s="103"/>
      <x:c r="M66" s="103"/>
      <x:c r="N66" s="103"/>
    </x:row>
    <x:row r="67">
      <x:c r="A67" s="62" t="str">
        <x:v>V061</x:v>
      </x:c>
      <x:c r="B67" s="62" t="str">
        <x:v>P06</x:v>
      </x:c>
      <x:c r="C67" s="62" t="str">
        <x:v>CT-C</x:v>
      </x:c>
      <x:c r="D67" s="62" t="str">
        <x:v>CT-C-B</x:v>
      </x:c>
      <x:c r="E67" s="62" t="str">
        <x:v>G01 Source manifest and authorship</x:v>
      </x:c>
      <x:c r="F67" s="82" t="n">
        <x:v>0</x:v>
      </x:c>
      <x:c r="G67" s="62" t="n">
        <x:v>1</x:v>
      </x:c>
      <x:c r="H67" s="80" t="str">
        <x:f>IF(F67=G67,"PASS","OPEN")</x:f>
        <x:v>OPEN</x:v>
      </x:c>
      <x:c r="I67" s="62" t="str">
        <x:v>REWORK</x:v>
      </x:c>
      <x:c r="J67" s="62" t="str">
        <x:v>Artifact validity only</x:v>
      </x:c>
      <x:c r="K67" s="103"/>
      <x:c r="L67" s="103"/>
      <x:c r="M67" s="103"/>
      <x:c r="N67" s="103"/>
    </x:row>
    <x:row r="68">
      <x:c r="A68" s="62" t="str">
        <x:v>V062</x:v>
      </x:c>
      <x:c r="B68" s="62" t="str">
        <x:v>P06</x:v>
      </x:c>
      <x:c r="C68" s="62" t="str">
        <x:v>CT-C</x:v>
      </x:c>
      <x:c r="D68" s="62" t="str">
        <x:v>CT-C-B</x:v>
      </x:c>
      <x:c r="E68" s="62" t="str">
        <x:v>G02 Frozen configuration hash</x:v>
      </x:c>
      <x:c r="F68" s="82" t="n">
        <x:v>0</x:v>
      </x:c>
      <x:c r="G68" s="62" t="n">
        <x:v>1</x:v>
      </x:c>
      <x:c r="H68" s="80" t="str">
        <x:f>IF(F68=G68,"PASS","OPEN")</x:f>
        <x:v>OPEN</x:v>
      </x:c>
      <x:c r="I68" s="62" t="str">
        <x:v>REWORK</x:v>
      </x:c>
      <x:c r="J68" s="62" t="str">
        <x:v>Artifact validity only</x:v>
      </x:c>
      <x:c r="K68" s="103"/>
      <x:c r="L68" s="103"/>
      <x:c r="M68" s="103"/>
      <x:c r="N68" s="103"/>
    </x:row>
    <x:row r="69">
      <x:c r="A69" s="62" t="str">
        <x:v>V063</x:v>
      </x:c>
      <x:c r="B69" s="62" t="str">
        <x:v>P06</x:v>
      </x:c>
      <x:c r="C69" s="62" t="str">
        <x:v>CT-C</x:v>
      </x:c>
      <x:c r="D69" s="62" t="str">
        <x:v>CT-C-B</x:v>
      </x:c>
      <x:c r="E69" s="62" t="str">
        <x:v>G03 Executable native artifact</x:v>
      </x:c>
      <x:c r="F69" s="82" t="n">
        <x:v>0</x:v>
      </x:c>
      <x:c r="G69" s="62" t="n">
        <x:v>1</x:v>
      </x:c>
      <x:c r="H69" s="80" t="str">
        <x:f>IF(F69=G69,"PASS","OPEN")</x:f>
        <x:v>OPEN</x:v>
      </x:c>
      <x:c r="I69" s="62" t="str">
        <x:v>REWORK</x:v>
      </x:c>
      <x:c r="J69" s="62" t="str">
        <x:v>Artifact validity only</x:v>
      </x:c>
      <x:c r="K69" s="103"/>
      <x:c r="L69" s="103"/>
      <x:c r="M69" s="103"/>
      <x:c r="N69" s="103"/>
    </x:row>
    <x:row r="70">
      <x:c r="A70" s="62" t="str">
        <x:v>V064</x:v>
      </x:c>
      <x:c r="B70" s="62" t="str">
        <x:v>P06</x:v>
      </x:c>
      <x:c r="C70" s="62" t="str">
        <x:v>CT-C</x:v>
      </x:c>
      <x:c r="D70" s="62" t="str">
        <x:v>CT-C-B</x:v>
      </x:c>
      <x:c r="E70" s="62" t="str">
        <x:v>G04 Dependency, tool and material ledger</x:v>
      </x:c>
      <x:c r="F70" s="82" t="n">
        <x:v>0</x:v>
      </x:c>
      <x:c r="G70" s="62" t="n">
        <x:v>1</x:v>
      </x:c>
      <x:c r="H70" s="80" t="str">
        <x:f>IF(F70=G70,"PASS","OPEN")</x:f>
        <x:v>OPEN</x:v>
      </x:c>
      <x:c r="I70" s="62" t="str">
        <x:v>REWORK</x:v>
      </x:c>
      <x:c r="J70" s="62" t="str">
        <x:v>Artifact validity only</x:v>
      </x:c>
      <x:c r="K70" s="103"/>
      <x:c r="L70" s="103"/>
      <x:c r="M70" s="103"/>
      <x:c r="N70" s="103"/>
    </x:row>
    <x:row r="71">
      <x:c r="A71" s="62" t="str">
        <x:v>V065</x:v>
      </x:c>
      <x:c r="B71" s="62" t="str">
        <x:v>P06</x:v>
      </x:c>
      <x:c r="C71" s="62" t="str">
        <x:v>CT-C</x:v>
      </x:c>
      <x:c r="D71" s="62" t="str">
        <x:v>CT-C-B</x:v>
      </x:c>
      <x:c r="E71" s="62" t="str">
        <x:v>G05 Assumption and unknown register</x:v>
      </x:c>
      <x:c r="F71" s="82" t="n">
        <x:v>0</x:v>
      </x:c>
      <x:c r="G71" s="62" t="n">
        <x:v>1</x:v>
      </x:c>
      <x:c r="H71" s="80" t="str">
        <x:f>IF(F71=G71,"PASS","OPEN")</x:f>
        <x:v>OPEN</x:v>
      </x:c>
      <x:c r="I71" s="62" t="str">
        <x:v>REWORK</x:v>
      </x:c>
      <x:c r="J71" s="62" t="str">
        <x:v>Artifact validity only</x:v>
      </x:c>
      <x:c r="K71" s="103"/>
      <x:c r="L71" s="103"/>
      <x:c r="M71" s="103"/>
      <x:c r="N71" s="103"/>
    </x:row>
    <x:row r="72">
      <x:c r="A72" s="62" t="str">
        <x:v>V066</x:v>
      </x:c>
      <x:c r="B72" s="62" t="str">
        <x:v>P06</x:v>
      </x:c>
      <x:c r="C72" s="62" t="str">
        <x:v>CT-C</x:v>
      </x:c>
      <x:c r="D72" s="62" t="str">
        <x:v>CT-C-B</x:v>
      </x:c>
      <x:c r="E72" s="62" t="str">
        <x:v>G06 Independent clean-room replay</x:v>
      </x:c>
      <x:c r="F72" s="82" t="n">
        <x:v>0</x:v>
      </x:c>
      <x:c r="G72" s="62" t="n">
        <x:v>1</x:v>
      </x:c>
      <x:c r="H72" s="80" t="str">
        <x:f>IF(F72=G72,"PASS","OPEN")</x:f>
        <x:v>OPEN</x:v>
      </x:c>
      <x:c r="I72" s="62" t="str">
        <x:v>REWORK</x:v>
      </x:c>
      <x:c r="J72" s="62" t="str">
        <x:v>Artifact validity only</x:v>
      </x:c>
      <x:c r="K72" s="103"/>
      <x:c r="L72" s="103"/>
      <x:c r="M72" s="103"/>
      <x:c r="N72" s="103"/>
    </x:row>
    <x:row r="73">
      <x:c r="A73" s="62" t="str">
        <x:v>V067</x:v>
      </x:c>
      <x:c r="B73" s="62" t="str">
        <x:v>P06</x:v>
      </x:c>
      <x:c r="C73" s="62" t="str">
        <x:v>CT-C</x:v>
      </x:c>
      <x:c r="D73" s="62" t="str">
        <x:v>CT-C-B</x:v>
      </x:c>
      <x:c r="E73" s="62" t="str">
        <x:v>G07 Interface and destructive-test trace</x:v>
      </x:c>
      <x:c r="F73" s="82" t="n">
        <x:v>0</x:v>
      </x:c>
      <x:c r="G73" s="62" t="n">
        <x:v>1</x:v>
      </x:c>
      <x:c r="H73" s="80" t="str">
        <x:f>IF(F73=G73,"PASS","OPEN")</x:f>
        <x:v>OPEN</x:v>
      </x:c>
      <x:c r="I73" s="62" t="str">
        <x:v>REWORK</x:v>
      </x:c>
      <x:c r="J73" s="62" t="str">
        <x:v>Artifact validity only</x:v>
      </x:c>
      <x:c r="K73" s="103"/>
      <x:c r="L73" s="103"/>
      <x:c r="M73" s="103"/>
      <x:c r="N73" s="103"/>
    </x:row>
    <x:row r="74">
      <x:c r="A74" s="62" t="str">
        <x:v>V068</x:v>
      </x:c>
      <x:c r="B74" s="62" t="str">
        <x:v>P06</x:v>
      </x:c>
      <x:c r="C74" s="62" t="str">
        <x:v>CT-C</x:v>
      </x:c>
      <x:c r="D74" s="62" t="str">
        <x:v>CT-C-B</x:v>
      </x:c>
      <x:c r="E74" s="62" t="str">
        <x:v>G08 Rights and safe-state closure</x:v>
      </x:c>
      <x:c r="F74" s="82" t="n">
        <x:v>0</x:v>
      </x:c>
      <x:c r="G74" s="62" t="n">
        <x:v>1</x:v>
      </x:c>
      <x:c r="H74" s="80" t="str">
        <x:f>IF(F74=G74,"PASS","OPEN")</x:f>
        <x:v>OPEN</x:v>
      </x:c>
      <x:c r="I74" s="62" t="str">
        <x:v>REWORK</x:v>
      </x:c>
      <x:c r="J74" s="62" t="str">
        <x:v>Artifact validity only</x:v>
      </x:c>
      <x:c r="K74" s="103"/>
      <x:c r="L74" s="103"/>
      <x:c r="M74" s="103"/>
      <x:c r="N74" s="103"/>
    </x:row>
    <x:row r="75">
      <x:c r="A75" s="62" t="str">
        <x:v>V069</x:v>
      </x:c>
      <x:c r="B75" s="62" t="str">
        <x:v>P06</x:v>
      </x:c>
      <x:c r="C75" s="62" t="str">
        <x:v>CT-C</x:v>
      </x:c>
      <x:c r="D75" s="62" t="str">
        <x:v>CT-C-B</x:v>
      </x:c>
      <x:c r="E75" s="62" t="str">
        <x:v>G09 Receiver and residual closure</x:v>
      </x:c>
      <x:c r="F75" s="82" t="n">
        <x:v>0</x:v>
      </x:c>
      <x:c r="G75" s="62" t="n">
        <x:v>1</x:v>
      </x:c>
      <x:c r="H75" s="80" t="str">
        <x:f>IF(F75=G75,"PASS","OPEN")</x:f>
        <x:v>OPEN</x:v>
      </x:c>
      <x:c r="I75" s="62" t="str">
        <x:v>REWORK</x:v>
      </x:c>
      <x:c r="J75" s="62" t="str">
        <x:v>Artifact validity only</x:v>
      </x:c>
      <x:c r="K75" s="103"/>
      <x:c r="L75" s="103"/>
      <x:c r="M75" s="103"/>
      <x:c r="N75" s="103"/>
    </x:row>
    <x:row r="76">
      <x:c r="A76" s="62" t="str">
        <x:v>V070</x:v>
      </x:c>
      <x:c r="B76" s="62" t="str">
        <x:v>P06</x:v>
      </x:c>
      <x:c r="C76" s="62" t="str">
        <x:v>CT-C</x:v>
      </x:c>
      <x:c r="D76" s="62" t="str">
        <x:v>CT-C-B</x:v>
      </x:c>
      <x:c r="E76" s="62" t="str">
        <x:v>G10 Challenge response and terminal archive</x:v>
      </x:c>
      <x:c r="F76" s="82" t="n">
        <x:v>0</x:v>
      </x:c>
      <x:c r="G76" s="62" t="n">
        <x:v>1</x:v>
      </x:c>
      <x:c r="H76" s="80" t="str">
        <x:f>IF(F76=G76,"PASS","OPEN")</x:f>
        <x:v>OPEN</x:v>
      </x:c>
      <x:c r="I76" s="62" t="str">
        <x:v>REWORK</x:v>
      </x:c>
      <x:c r="J76" s="62" t="str">
        <x:v>Artifact validity only</x:v>
      </x:c>
      <x:c r="K76" s="103"/>
      <x:c r="L76" s="103"/>
      <x:c r="M76" s="103"/>
      <x:c r="N76" s="103"/>
    </x:row>
    <x:row r="77">
      <x:c r="A77" s="62" t="str">
        <x:v>V071</x:v>
      </x:c>
      <x:c r="B77" s="62" t="str">
        <x:v>P06</x:v>
      </x:c>
      <x:c r="C77" s="62" t="str">
        <x:v>CT-C</x:v>
      </x:c>
      <x:c r="D77" s="62" t="str">
        <x:v>CT-C-B</x:v>
      </x:c>
      <x:c r="E77" s="62" t="str">
        <x:v>G11 No sibling performance exposure</x:v>
      </x:c>
      <x:c r="F77" s="82" t="n">
        <x:v>1</x:v>
      </x:c>
      <x:c r="G77" s="62" t="n">
        <x:v>1</x:v>
      </x:c>
      <x:c r="H77" s="80" t="str">
        <x:f>IF(F77=G77,"PASS","OPEN")</x:f>
        <x:v>PASS</x:v>
      </x:c>
      <x:c r="I77" s="62" t="str">
        <x:v>TERMINATE CELL</x:v>
      </x:c>
      <x:c r="J77" s="62" t="str">
        <x:v>Constitutional independence</x:v>
      </x:c>
      <x:c r="K77" s="103"/>
      <x:c r="L77" s="103"/>
      <x:c r="M77" s="103"/>
      <x:c r="N77" s="103"/>
    </x:row>
    <x:row r="78">
      <x:c r="A78" s="62" t="str">
        <x:v>V072</x:v>
      </x:c>
      <x:c r="B78" s="62" t="str">
        <x:v>P06</x:v>
      </x:c>
      <x:c r="C78" s="62" t="str">
        <x:v>CT-C</x:v>
      </x:c>
      <x:c r="D78" s="62" t="str">
        <x:v>CT-C-B</x:v>
      </x:c>
      <x:c r="E78" s="62" t="str">
        <x:v>G12 Builder and validity control separated</x:v>
      </x:c>
      <x:c r="F78" s="82" t="n">
        <x:v>1</x:v>
      </x:c>
      <x:c r="G78" s="62" t="n">
        <x:v>1</x:v>
      </x:c>
      <x:c r="H78" s="80" t="str">
        <x:f>IF(F78=G78,"PASS","OPEN")</x:f>
        <x:v>PASS</x:v>
      </x:c>
      <x:c r="I78" s="62" t="str">
        <x:v>TERMINATE CELL</x:v>
      </x:c>
      <x:c r="J78" s="62" t="str">
        <x:v>Constitutional independence</x:v>
      </x:c>
      <x:c r="K78" s="103"/>
      <x:c r="L78" s="103"/>
      <x:c r="M78" s="103"/>
      <x:c r="N78" s="103"/>
    </x:row>
    <x:row r="79">
      <x:c r="A79" s="62" t="str">
        <x:v>V073</x:v>
      </x:c>
      <x:c r="B79" s="62" t="str">
        <x:v>P07</x:v>
      </x:c>
      <x:c r="C79" s="62" t="str">
        <x:v>CT-C</x:v>
      </x:c>
      <x:c r="D79" s="62" t="str">
        <x:v>CT-C-B</x:v>
      </x:c>
      <x:c r="E79" s="62" t="str">
        <x:v>G01 Source manifest and authorship</x:v>
      </x:c>
      <x:c r="F79" s="82" t="n">
        <x:v>0</x:v>
      </x:c>
      <x:c r="G79" s="62" t="n">
        <x:v>1</x:v>
      </x:c>
      <x:c r="H79" s="80" t="str">
        <x:f>IF(F79=G79,"PASS","OPEN")</x:f>
        <x:v>OPEN</x:v>
      </x:c>
      <x:c r="I79" s="62" t="str">
        <x:v>REWORK</x:v>
      </x:c>
      <x:c r="J79" s="62" t="str">
        <x:v>Artifact validity only</x:v>
      </x:c>
      <x:c r="K79" s="103"/>
      <x:c r="L79" s="103"/>
      <x:c r="M79" s="103"/>
      <x:c r="N79" s="103"/>
    </x:row>
    <x:row r="80">
      <x:c r="A80" s="62" t="str">
        <x:v>V074</x:v>
      </x:c>
      <x:c r="B80" s="62" t="str">
        <x:v>P07</x:v>
      </x:c>
      <x:c r="C80" s="62" t="str">
        <x:v>CT-C</x:v>
      </x:c>
      <x:c r="D80" s="62" t="str">
        <x:v>CT-C-B</x:v>
      </x:c>
      <x:c r="E80" s="62" t="str">
        <x:v>G02 Frozen configuration hash</x:v>
      </x:c>
      <x:c r="F80" s="82" t="n">
        <x:v>0</x:v>
      </x:c>
      <x:c r="G80" s="62" t="n">
        <x:v>1</x:v>
      </x:c>
      <x:c r="H80" s="80" t="str">
        <x:f>IF(F80=G80,"PASS","OPEN")</x:f>
        <x:v>OPEN</x:v>
      </x:c>
      <x:c r="I80" s="62" t="str">
        <x:v>REWORK</x:v>
      </x:c>
      <x:c r="J80" s="62" t="str">
        <x:v>Artifact validity only</x:v>
      </x:c>
      <x:c r="K80" s="103"/>
      <x:c r="L80" s="103"/>
      <x:c r="M80" s="103"/>
      <x:c r="N80" s="103"/>
    </x:row>
    <x:row r="81">
      <x:c r="A81" s="62" t="str">
        <x:v>V075</x:v>
      </x:c>
      <x:c r="B81" s="62" t="str">
        <x:v>P07</x:v>
      </x:c>
      <x:c r="C81" s="62" t="str">
        <x:v>CT-C</x:v>
      </x:c>
      <x:c r="D81" s="62" t="str">
        <x:v>CT-C-B</x:v>
      </x:c>
      <x:c r="E81" s="62" t="str">
        <x:v>G03 Executable native artifact</x:v>
      </x:c>
      <x:c r="F81" s="82" t="n">
        <x:v>0</x:v>
      </x:c>
      <x:c r="G81" s="62" t="n">
        <x:v>1</x:v>
      </x:c>
      <x:c r="H81" s="80" t="str">
        <x:f>IF(F81=G81,"PASS","OPEN")</x:f>
        <x:v>OPEN</x:v>
      </x:c>
      <x:c r="I81" s="62" t="str">
        <x:v>REWORK</x:v>
      </x:c>
      <x:c r="J81" s="62" t="str">
        <x:v>Artifact validity only</x:v>
      </x:c>
      <x:c r="K81" s="103"/>
      <x:c r="L81" s="103"/>
      <x:c r="M81" s="103"/>
      <x:c r="N81" s="103"/>
    </x:row>
    <x:row r="82">
      <x:c r="A82" s="62" t="str">
        <x:v>V076</x:v>
      </x:c>
      <x:c r="B82" s="62" t="str">
        <x:v>P07</x:v>
      </x:c>
      <x:c r="C82" s="62" t="str">
        <x:v>CT-C</x:v>
      </x:c>
      <x:c r="D82" s="62" t="str">
        <x:v>CT-C-B</x:v>
      </x:c>
      <x:c r="E82" s="62" t="str">
        <x:v>G04 Dependency, tool and material ledger</x:v>
      </x:c>
      <x:c r="F82" s="82" t="n">
        <x:v>0</x:v>
      </x:c>
      <x:c r="G82" s="62" t="n">
        <x:v>1</x:v>
      </x:c>
      <x:c r="H82" s="80" t="str">
        <x:f>IF(F82=G82,"PASS","OPEN")</x:f>
        <x:v>OPEN</x:v>
      </x:c>
      <x:c r="I82" s="62" t="str">
        <x:v>REWORK</x:v>
      </x:c>
      <x:c r="J82" s="62" t="str">
        <x:v>Artifact validity only</x:v>
      </x:c>
      <x:c r="K82" s="103"/>
      <x:c r="L82" s="103"/>
      <x:c r="M82" s="103"/>
      <x:c r="N82" s="103"/>
    </x:row>
    <x:row r="83">
      <x:c r="A83" s="62" t="str">
        <x:v>V077</x:v>
      </x:c>
      <x:c r="B83" s="62" t="str">
        <x:v>P07</x:v>
      </x:c>
      <x:c r="C83" s="62" t="str">
        <x:v>CT-C</x:v>
      </x:c>
      <x:c r="D83" s="62" t="str">
        <x:v>CT-C-B</x:v>
      </x:c>
      <x:c r="E83" s="62" t="str">
        <x:v>G05 Assumption and unknown register</x:v>
      </x:c>
      <x:c r="F83" s="82" t="n">
        <x:v>0</x:v>
      </x:c>
      <x:c r="G83" s="62" t="n">
        <x:v>1</x:v>
      </x:c>
      <x:c r="H83" s="80" t="str">
        <x:f>IF(F83=G83,"PASS","OPEN")</x:f>
        <x:v>OPEN</x:v>
      </x:c>
      <x:c r="I83" s="62" t="str">
        <x:v>REWORK</x:v>
      </x:c>
      <x:c r="J83" s="62" t="str">
        <x:v>Artifact validity only</x:v>
      </x:c>
      <x:c r="K83" s="103"/>
      <x:c r="L83" s="103"/>
      <x:c r="M83" s="103"/>
      <x:c r="N83" s="103"/>
    </x:row>
    <x:row r="84">
      <x:c r="A84" s="62" t="str">
        <x:v>V078</x:v>
      </x:c>
      <x:c r="B84" s="62" t="str">
        <x:v>P07</x:v>
      </x:c>
      <x:c r="C84" s="62" t="str">
        <x:v>CT-C</x:v>
      </x:c>
      <x:c r="D84" s="62" t="str">
        <x:v>CT-C-B</x:v>
      </x:c>
      <x:c r="E84" s="62" t="str">
        <x:v>G06 Independent clean-room replay</x:v>
      </x:c>
      <x:c r="F84" s="82" t="n">
        <x:v>0</x:v>
      </x:c>
      <x:c r="G84" s="62" t="n">
        <x:v>1</x:v>
      </x:c>
      <x:c r="H84" s="80" t="str">
        <x:f>IF(F84=G84,"PASS","OPEN")</x:f>
        <x:v>OPEN</x:v>
      </x:c>
      <x:c r="I84" s="62" t="str">
        <x:v>REWORK</x:v>
      </x:c>
      <x:c r="J84" s="62" t="str">
        <x:v>Artifact validity only</x:v>
      </x:c>
      <x:c r="K84" s="103"/>
      <x:c r="L84" s="103"/>
      <x:c r="M84" s="103"/>
      <x:c r="N84" s="103"/>
    </x:row>
    <x:row r="85">
      <x:c r="A85" s="62" t="str">
        <x:v>V079</x:v>
      </x:c>
      <x:c r="B85" s="62" t="str">
        <x:v>P07</x:v>
      </x:c>
      <x:c r="C85" s="62" t="str">
        <x:v>CT-C</x:v>
      </x:c>
      <x:c r="D85" s="62" t="str">
        <x:v>CT-C-B</x:v>
      </x:c>
      <x:c r="E85" s="62" t="str">
        <x:v>G07 Interface and destructive-test trace</x:v>
      </x:c>
      <x:c r="F85" s="82" t="n">
        <x:v>0</x:v>
      </x:c>
      <x:c r="G85" s="62" t="n">
        <x:v>1</x:v>
      </x:c>
      <x:c r="H85" s="80" t="str">
        <x:f>IF(F85=G85,"PASS","OPEN")</x:f>
        <x:v>OPEN</x:v>
      </x:c>
      <x:c r="I85" s="62" t="str">
        <x:v>REWORK</x:v>
      </x:c>
      <x:c r="J85" s="62" t="str">
        <x:v>Artifact validity only</x:v>
      </x:c>
      <x:c r="K85" s="103"/>
      <x:c r="L85" s="103"/>
      <x:c r="M85" s="103"/>
      <x:c r="N85" s="103"/>
    </x:row>
    <x:row r="86">
      <x:c r="A86" s="62" t="str">
        <x:v>V080</x:v>
      </x:c>
      <x:c r="B86" s="62" t="str">
        <x:v>P07</x:v>
      </x:c>
      <x:c r="C86" s="62" t="str">
        <x:v>CT-C</x:v>
      </x:c>
      <x:c r="D86" s="62" t="str">
        <x:v>CT-C-B</x:v>
      </x:c>
      <x:c r="E86" s="62" t="str">
        <x:v>G08 Rights and safe-state closure</x:v>
      </x:c>
      <x:c r="F86" s="82" t="n">
        <x:v>0</x:v>
      </x:c>
      <x:c r="G86" s="62" t="n">
        <x:v>1</x:v>
      </x:c>
      <x:c r="H86" s="80" t="str">
        <x:f>IF(F86=G86,"PASS","OPEN")</x:f>
        <x:v>OPEN</x:v>
      </x:c>
      <x:c r="I86" s="62" t="str">
        <x:v>REWORK</x:v>
      </x:c>
      <x:c r="J86" s="62" t="str">
        <x:v>Artifact validity only</x:v>
      </x:c>
      <x:c r="K86" s="103"/>
      <x:c r="L86" s="103"/>
      <x:c r="M86" s="103"/>
      <x:c r="N86" s="103"/>
    </x:row>
    <x:row r="87">
      <x:c r="A87" s="62" t="str">
        <x:v>V081</x:v>
      </x:c>
      <x:c r="B87" s="62" t="str">
        <x:v>P07</x:v>
      </x:c>
      <x:c r="C87" s="62" t="str">
        <x:v>CT-C</x:v>
      </x:c>
      <x:c r="D87" s="62" t="str">
        <x:v>CT-C-B</x:v>
      </x:c>
      <x:c r="E87" s="62" t="str">
        <x:v>G09 Receiver and residual closure</x:v>
      </x:c>
      <x:c r="F87" s="82" t="n">
        <x:v>0</x:v>
      </x:c>
      <x:c r="G87" s="62" t="n">
        <x:v>1</x:v>
      </x:c>
      <x:c r="H87" s="80" t="str">
        <x:f>IF(F87=G87,"PASS","OPEN")</x:f>
        <x:v>OPEN</x:v>
      </x:c>
      <x:c r="I87" s="62" t="str">
        <x:v>REWORK</x:v>
      </x:c>
      <x:c r="J87" s="62" t="str">
        <x:v>Artifact validity only</x:v>
      </x:c>
      <x:c r="K87" s="103"/>
      <x:c r="L87" s="103"/>
      <x:c r="M87" s="103"/>
      <x:c r="N87" s="103"/>
    </x:row>
    <x:row r="88">
      <x:c r="A88" s="62" t="str">
        <x:v>V082</x:v>
      </x:c>
      <x:c r="B88" s="62" t="str">
        <x:v>P07</x:v>
      </x:c>
      <x:c r="C88" s="62" t="str">
        <x:v>CT-C</x:v>
      </x:c>
      <x:c r="D88" s="62" t="str">
        <x:v>CT-C-B</x:v>
      </x:c>
      <x:c r="E88" s="62" t="str">
        <x:v>G10 Challenge response and terminal archive</x:v>
      </x:c>
      <x:c r="F88" s="82" t="n">
        <x:v>0</x:v>
      </x:c>
      <x:c r="G88" s="62" t="n">
        <x:v>1</x:v>
      </x:c>
      <x:c r="H88" s="80" t="str">
        <x:f>IF(F88=G88,"PASS","OPEN")</x:f>
        <x:v>OPEN</x:v>
      </x:c>
      <x:c r="I88" s="62" t="str">
        <x:v>REWORK</x:v>
      </x:c>
      <x:c r="J88" s="62" t="str">
        <x:v>Artifact validity only</x:v>
      </x:c>
      <x:c r="K88" s="103"/>
      <x:c r="L88" s="103"/>
      <x:c r="M88" s="103"/>
      <x:c r="N88" s="103"/>
    </x:row>
    <x:row r="89">
      <x:c r="A89" s="62" t="str">
        <x:v>V083</x:v>
      </x:c>
      <x:c r="B89" s="62" t="str">
        <x:v>P07</x:v>
      </x:c>
      <x:c r="C89" s="62" t="str">
        <x:v>CT-C</x:v>
      </x:c>
      <x:c r="D89" s="62" t="str">
        <x:v>CT-C-B</x:v>
      </x:c>
      <x:c r="E89" s="62" t="str">
        <x:v>G11 No sibling performance exposure</x:v>
      </x:c>
      <x:c r="F89" s="82" t="n">
        <x:v>1</x:v>
      </x:c>
      <x:c r="G89" s="62" t="n">
        <x:v>1</x:v>
      </x:c>
      <x:c r="H89" s="80" t="str">
        <x:f>IF(F89=G89,"PASS","OPEN")</x:f>
        <x:v>PASS</x:v>
      </x:c>
      <x:c r="I89" s="62" t="str">
        <x:v>TERMINATE CELL</x:v>
      </x:c>
      <x:c r="J89" s="62" t="str">
        <x:v>Constitutional independence</x:v>
      </x:c>
      <x:c r="K89" s="103"/>
      <x:c r="L89" s="103"/>
      <x:c r="M89" s="103"/>
      <x:c r="N89" s="103"/>
    </x:row>
    <x:row r="90">
      <x:c r="A90" s="62" t="str">
        <x:v>V084</x:v>
      </x:c>
      <x:c r="B90" s="62" t="str">
        <x:v>P07</x:v>
      </x:c>
      <x:c r="C90" s="62" t="str">
        <x:v>CT-C</x:v>
      </x:c>
      <x:c r="D90" s="62" t="str">
        <x:v>CT-C-B</x:v>
      </x:c>
      <x:c r="E90" s="62" t="str">
        <x:v>G12 Builder and validity control separated</x:v>
      </x:c>
      <x:c r="F90" s="82" t="n">
        <x:v>1</x:v>
      </x:c>
      <x:c r="G90" s="62" t="n">
        <x:v>1</x:v>
      </x:c>
      <x:c r="H90" s="80" t="str">
        <x:f>IF(F90=G90,"PASS","OPEN")</x:f>
        <x:v>PASS</x:v>
      </x:c>
      <x:c r="I90" s="62" t="str">
        <x:v>TERMINATE CELL</x:v>
      </x:c>
      <x:c r="J90" s="62" t="str">
        <x:v>Constitutional independence</x:v>
      </x:c>
      <x:c r="K90" s="103"/>
      <x:c r="L90" s="103"/>
      <x:c r="M90" s="103"/>
      <x:c r="N90" s="103"/>
    </x:row>
    <x:row r="91">
      <x:c r="A91" s="62" t="str">
        <x:v>V085</x:v>
      </x:c>
      <x:c r="B91" s="62" t="str">
        <x:v>P08</x:v>
      </x:c>
      <x:c r="C91" s="62" t="str">
        <x:v>CT-C</x:v>
      </x:c>
      <x:c r="D91" s="62" t="str">
        <x:v>CT-C-B</x:v>
      </x:c>
      <x:c r="E91" s="62" t="str">
        <x:v>G01 Source manifest and authorship</x:v>
      </x:c>
      <x:c r="F91" s="82" t="n">
        <x:v>0</x:v>
      </x:c>
      <x:c r="G91" s="62" t="n">
        <x:v>1</x:v>
      </x:c>
      <x:c r="H91" s="80" t="str">
        <x:f>IF(F91=G91,"PASS","OPEN")</x:f>
        <x:v>OPEN</x:v>
      </x:c>
      <x:c r="I91" s="62" t="str">
        <x:v>REWORK</x:v>
      </x:c>
      <x:c r="J91" s="62" t="str">
        <x:v>Artifact validity only</x:v>
      </x:c>
      <x:c r="K91" s="103"/>
      <x:c r="L91" s="103"/>
      <x:c r="M91" s="103"/>
      <x:c r="N91" s="103"/>
    </x:row>
    <x:row r="92">
      <x:c r="A92" s="62" t="str">
        <x:v>V086</x:v>
      </x:c>
      <x:c r="B92" s="62" t="str">
        <x:v>P08</x:v>
      </x:c>
      <x:c r="C92" s="62" t="str">
        <x:v>CT-C</x:v>
      </x:c>
      <x:c r="D92" s="62" t="str">
        <x:v>CT-C-B</x:v>
      </x:c>
      <x:c r="E92" s="62" t="str">
        <x:v>G02 Frozen configuration hash</x:v>
      </x:c>
      <x:c r="F92" s="82" t="n">
        <x:v>0</x:v>
      </x:c>
      <x:c r="G92" s="62" t="n">
        <x:v>1</x:v>
      </x:c>
      <x:c r="H92" s="80" t="str">
        <x:f>IF(F92=G92,"PASS","OPEN")</x:f>
        <x:v>OPEN</x:v>
      </x:c>
      <x:c r="I92" s="62" t="str">
        <x:v>REWORK</x:v>
      </x:c>
      <x:c r="J92" s="62" t="str">
        <x:v>Artifact validity only</x:v>
      </x:c>
      <x:c r="K92" s="103"/>
      <x:c r="L92" s="103"/>
      <x:c r="M92" s="103"/>
      <x:c r="N92" s="103"/>
    </x:row>
    <x:row r="93">
      <x:c r="A93" s="62" t="str">
        <x:v>V087</x:v>
      </x:c>
      <x:c r="B93" s="62" t="str">
        <x:v>P08</x:v>
      </x:c>
      <x:c r="C93" s="62" t="str">
        <x:v>CT-C</x:v>
      </x:c>
      <x:c r="D93" s="62" t="str">
        <x:v>CT-C-B</x:v>
      </x:c>
      <x:c r="E93" s="62" t="str">
        <x:v>G03 Executable native artifact</x:v>
      </x:c>
      <x:c r="F93" s="82" t="n">
        <x:v>0</x:v>
      </x:c>
      <x:c r="G93" s="62" t="n">
        <x:v>1</x:v>
      </x:c>
      <x:c r="H93" s="80" t="str">
        <x:f>IF(F93=G93,"PASS","OPEN")</x:f>
        <x:v>OPEN</x:v>
      </x:c>
      <x:c r="I93" s="62" t="str">
        <x:v>REWORK</x:v>
      </x:c>
      <x:c r="J93" s="62" t="str">
        <x:v>Artifact validity only</x:v>
      </x:c>
      <x:c r="K93" s="103"/>
      <x:c r="L93" s="103"/>
      <x:c r="M93" s="103"/>
      <x:c r="N93" s="103"/>
    </x:row>
    <x:row r="94">
      <x:c r="A94" s="62" t="str">
        <x:v>V088</x:v>
      </x:c>
      <x:c r="B94" s="62" t="str">
        <x:v>P08</x:v>
      </x:c>
      <x:c r="C94" s="62" t="str">
        <x:v>CT-C</x:v>
      </x:c>
      <x:c r="D94" s="62" t="str">
        <x:v>CT-C-B</x:v>
      </x:c>
      <x:c r="E94" s="62" t="str">
        <x:v>G04 Dependency, tool and material ledger</x:v>
      </x:c>
      <x:c r="F94" s="82" t="n">
        <x:v>0</x:v>
      </x:c>
      <x:c r="G94" s="62" t="n">
        <x:v>1</x:v>
      </x:c>
      <x:c r="H94" s="80" t="str">
        <x:f>IF(F94=G94,"PASS","OPEN")</x:f>
        <x:v>OPEN</x:v>
      </x:c>
      <x:c r="I94" s="62" t="str">
        <x:v>REWORK</x:v>
      </x:c>
      <x:c r="J94" s="62" t="str">
        <x:v>Artifact validity only</x:v>
      </x:c>
      <x:c r="K94" s="103"/>
      <x:c r="L94" s="103"/>
      <x:c r="M94" s="103"/>
      <x:c r="N94" s="103"/>
    </x:row>
    <x:row r="95">
      <x:c r="A95" s="62" t="str">
        <x:v>V089</x:v>
      </x:c>
      <x:c r="B95" s="62" t="str">
        <x:v>P08</x:v>
      </x:c>
      <x:c r="C95" s="62" t="str">
        <x:v>CT-C</x:v>
      </x:c>
      <x:c r="D95" s="62" t="str">
        <x:v>CT-C-B</x:v>
      </x:c>
      <x:c r="E95" s="62" t="str">
        <x:v>G05 Assumption and unknown register</x:v>
      </x:c>
      <x:c r="F95" s="82" t="n">
        <x:v>0</x:v>
      </x:c>
      <x:c r="G95" s="62" t="n">
        <x:v>1</x:v>
      </x:c>
      <x:c r="H95" s="80" t="str">
        <x:f>IF(F95=G95,"PASS","OPEN")</x:f>
        <x:v>OPEN</x:v>
      </x:c>
      <x:c r="I95" s="62" t="str">
        <x:v>REWORK</x:v>
      </x:c>
      <x:c r="J95" s="62" t="str">
        <x:v>Artifact validity only</x:v>
      </x:c>
      <x:c r="K95" s="103"/>
      <x:c r="L95" s="103"/>
      <x:c r="M95" s="103"/>
      <x:c r="N95" s="103"/>
    </x:row>
    <x:row r="96">
      <x:c r="A96" s="62" t="str">
        <x:v>V090</x:v>
      </x:c>
      <x:c r="B96" s="62" t="str">
        <x:v>P08</x:v>
      </x:c>
      <x:c r="C96" s="62" t="str">
        <x:v>CT-C</x:v>
      </x:c>
      <x:c r="D96" s="62" t="str">
        <x:v>CT-C-B</x:v>
      </x:c>
      <x:c r="E96" s="62" t="str">
        <x:v>G06 Independent clean-room replay</x:v>
      </x:c>
      <x:c r="F96" s="82" t="n">
        <x:v>0</x:v>
      </x:c>
      <x:c r="G96" s="62" t="n">
        <x:v>1</x:v>
      </x:c>
      <x:c r="H96" s="80" t="str">
        <x:f>IF(F96=G96,"PASS","OPEN")</x:f>
        <x:v>OPEN</x:v>
      </x:c>
      <x:c r="I96" s="62" t="str">
        <x:v>REWORK</x:v>
      </x:c>
      <x:c r="J96" s="62" t="str">
        <x:v>Artifact validity only</x:v>
      </x:c>
      <x:c r="K96" s="103"/>
      <x:c r="L96" s="103"/>
      <x:c r="M96" s="103"/>
      <x:c r="N96" s="103"/>
    </x:row>
    <x:row r="97">
      <x:c r="A97" s="62" t="str">
        <x:v>V091</x:v>
      </x:c>
      <x:c r="B97" s="62" t="str">
        <x:v>P08</x:v>
      </x:c>
      <x:c r="C97" s="62" t="str">
        <x:v>CT-C</x:v>
      </x:c>
      <x:c r="D97" s="62" t="str">
        <x:v>CT-C-B</x:v>
      </x:c>
      <x:c r="E97" s="62" t="str">
        <x:v>G07 Interface and destructive-test trace</x:v>
      </x:c>
      <x:c r="F97" s="82" t="n">
        <x:v>0</x:v>
      </x:c>
      <x:c r="G97" s="62" t="n">
        <x:v>1</x:v>
      </x:c>
      <x:c r="H97" s="80" t="str">
        <x:f>IF(F97=G97,"PASS","OPEN")</x:f>
        <x:v>OPEN</x:v>
      </x:c>
      <x:c r="I97" s="62" t="str">
        <x:v>REWORK</x:v>
      </x:c>
      <x:c r="J97" s="62" t="str">
        <x:v>Artifact validity only</x:v>
      </x:c>
      <x:c r="K97" s="103"/>
      <x:c r="L97" s="103"/>
      <x:c r="M97" s="103"/>
      <x:c r="N97" s="103"/>
    </x:row>
    <x:row r="98">
      <x:c r="A98" s="62" t="str">
        <x:v>V092</x:v>
      </x:c>
      <x:c r="B98" s="62" t="str">
        <x:v>P08</x:v>
      </x:c>
      <x:c r="C98" s="62" t="str">
        <x:v>CT-C</x:v>
      </x:c>
      <x:c r="D98" s="62" t="str">
        <x:v>CT-C-B</x:v>
      </x:c>
      <x:c r="E98" s="62" t="str">
        <x:v>G08 Rights and safe-state closure</x:v>
      </x:c>
      <x:c r="F98" s="82" t="n">
        <x:v>0</x:v>
      </x:c>
      <x:c r="G98" s="62" t="n">
        <x:v>1</x:v>
      </x:c>
      <x:c r="H98" s="80" t="str">
        <x:f>IF(F98=G98,"PASS","OPEN")</x:f>
        <x:v>OPEN</x:v>
      </x:c>
      <x:c r="I98" s="62" t="str">
        <x:v>REWORK</x:v>
      </x:c>
      <x:c r="J98" s="62" t="str">
        <x:v>Artifact validity only</x:v>
      </x:c>
      <x:c r="K98" s="103"/>
      <x:c r="L98" s="103"/>
      <x:c r="M98" s="103"/>
      <x:c r="N98" s="103"/>
    </x:row>
    <x:row r="99">
      <x:c r="A99" s="62" t="str">
        <x:v>V093</x:v>
      </x:c>
      <x:c r="B99" s="62" t="str">
        <x:v>P08</x:v>
      </x:c>
      <x:c r="C99" s="62" t="str">
        <x:v>CT-C</x:v>
      </x:c>
      <x:c r="D99" s="62" t="str">
        <x:v>CT-C-B</x:v>
      </x:c>
      <x:c r="E99" s="62" t="str">
        <x:v>G09 Receiver and residual closure</x:v>
      </x:c>
      <x:c r="F99" s="82" t="n">
        <x:v>0</x:v>
      </x:c>
      <x:c r="G99" s="62" t="n">
        <x:v>1</x:v>
      </x:c>
      <x:c r="H99" s="80" t="str">
        <x:f>IF(F99=G99,"PASS","OPEN")</x:f>
        <x:v>OPEN</x:v>
      </x:c>
      <x:c r="I99" s="62" t="str">
        <x:v>REWORK</x:v>
      </x:c>
      <x:c r="J99" s="62" t="str">
        <x:v>Artifact validity only</x:v>
      </x:c>
      <x:c r="K99" s="103"/>
      <x:c r="L99" s="103"/>
      <x:c r="M99" s="103"/>
      <x:c r="N99" s="103"/>
    </x:row>
    <x:row r="100">
      <x:c r="A100" s="62" t="str">
        <x:v>V094</x:v>
      </x:c>
      <x:c r="B100" s="62" t="str">
        <x:v>P08</x:v>
      </x:c>
      <x:c r="C100" s="62" t="str">
        <x:v>CT-C</x:v>
      </x:c>
      <x:c r="D100" s="62" t="str">
        <x:v>CT-C-B</x:v>
      </x:c>
      <x:c r="E100" s="62" t="str">
        <x:v>G10 Challenge response and terminal archive</x:v>
      </x:c>
      <x:c r="F100" s="82" t="n">
        <x:v>0</x:v>
      </x:c>
      <x:c r="G100" s="62" t="n">
        <x:v>1</x:v>
      </x:c>
      <x:c r="H100" s="80" t="str">
        <x:f>IF(F100=G100,"PASS","OPEN")</x:f>
        <x:v>OPEN</x:v>
      </x:c>
      <x:c r="I100" s="62" t="str">
        <x:v>REWORK</x:v>
      </x:c>
      <x:c r="J100" s="62" t="str">
        <x:v>Artifact validity only</x:v>
      </x:c>
      <x:c r="K100" s="103"/>
      <x:c r="L100" s="103"/>
      <x:c r="M100" s="103"/>
      <x:c r="N100" s="103"/>
    </x:row>
    <x:row r="101">
      <x:c r="A101" s="62" t="str">
        <x:v>V095</x:v>
      </x:c>
      <x:c r="B101" s="62" t="str">
        <x:v>P08</x:v>
      </x:c>
      <x:c r="C101" s="62" t="str">
        <x:v>CT-C</x:v>
      </x:c>
      <x:c r="D101" s="62" t="str">
        <x:v>CT-C-B</x:v>
      </x:c>
      <x:c r="E101" s="62" t="str">
        <x:v>G11 No sibling performance exposure</x:v>
      </x:c>
      <x:c r="F101" s="82" t="n">
        <x:v>1</x:v>
      </x:c>
      <x:c r="G101" s="62" t="n">
        <x:v>1</x:v>
      </x:c>
      <x:c r="H101" s="80" t="str">
        <x:f>IF(F101=G101,"PASS","OPEN")</x:f>
        <x:v>PASS</x:v>
      </x:c>
      <x:c r="I101" s="62" t="str">
        <x:v>TERMINATE CELL</x:v>
      </x:c>
      <x:c r="J101" s="62" t="str">
        <x:v>Constitutional independence</x:v>
      </x:c>
      <x:c r="K101" s="103"/>
      <x:c r="L101" s="103"/>
      <x:c r="M101" s="103"/>
      <x:c r="N101" s="103"/>
    </x:row>
    <x:row r="102">
      <x:c r="A102" s="62" t="str">
        <x:v>V096</x:v>
      </x:c>
      <x:c r="B102" s="62" t="str">
        <x:v>P08</x:v>
      </x:c>
      <x:c r="C102" s="62" t="str">
        <x:v>CT-C</x:v>
      </x:c>
      <x:c r="D102" s="62" t="str">
        <x:v>CT-C-B</x:v>
      </x:c>
      <x:c r="E102" s="62" t="str">
        <x:v>G12 Builder and validity control separated</x:v>
      </x:c>
      <x:c r="F102" s="82" t="n">
        <x:v>1</x:v>
      </x:c>
      <x:c r="G102" s="62" t="n">
        <x:v>1</x:v>
      </x:c>
      <x:c r="H102" s="80" t="str">
        <x:f>IF(F102=G102,"PASS","OPEN")</x:f>
        <x:v>PASS</x:v>
      </x:c>
      <x:c r="I102" s="62" t="str">
        <x:v>TERMINATE CELL</x:v>
      </x:c>
      <x:c r="J102" s="62" t="str">
        <x:v>Constitutional independence</x:v>
      </x:c>
      <x:c r="K102" s="103"/>
      <x:c r="L102" s="103"/>
      <x:c r="M102" s="103"/>
      <x:c r="N102" s="103"/>
    </x:row>
    <x:row r="103">
      <x:c r="A103" s="62" t="str">
        <x:v>V097</x:v>
      </x:c>
      <x:c r="B103" s="62" t="str">
        <x:v>P09</x:v>
      </x:c>
      <x:c r="C103" s="62" t="str">
        <x:v>CT-C</x:v>
      </x:c>
      <x:c r="D103" s="62" t="str">
        <x:v>CT-C-B</x:v>
      </x:c>
      <x:c r="E103" s="62" t="str">
        <x:v>G01 Source manifest and authorship</x:v>
      </x:c>
      <x:c r="F103" s="82" t="n">
        <x:v>0</x:v>
      </x:c>
      <x:c r="G103" s="62" t="n">
        <x:v>1</x:v>
      </x:c>
      <x:c r="H103" s="80" t="str">
        <x:f>IF(F103=G103,"PASS","OPEN")</x:f>
        <x:v>OPEN</x:v>
      </x:c>
      <x:c r="I103" s="62" t="str">
        <x:v>REWORK</x:v>
      </x:c>
      <x:c r="J103" s="62" t="str">
        <x:v>Artifact validity only</x:v>
      </x:c>
      <x:c r="K103" s="103"/>
      <x:c r="L103" s="103"/>
      <x:c r="M103" s="103"/>
      <x:c r="N103" s="103"/>
    </x:row>
    <x:row r="104">
      <x:c r="A104" s="62" t="str">
        <x:v>V098</x:v>
      </x:c>
      <x:c r="B104" s="62" t="str">
        <x:v>P09</x:v>
      </x:c>
      <x:c r="C104" s="62" t="str">
        <x:v>CT-C</x:v>
      </x:c>
      <x:c r="D104" s="62" t="str">
        <x:v>CT-C-B</x:v>
      </x:c>
      <x:c r="E104" s="62" t="str">
        <x:v>G02 Frozen configuration hash</x:v>
      </x:c>
      <x:c r="F104" s="82" t="n">
        <x:v>0</x:v>
      </x:c>
      <x:c r="G104" s="62" t="n">
        <x:v>1</x:v>
      </x:c>
      <x:c r="H104" s="80" t="str">
        <x:f>IF(F104=G104,"PASS","OPEN")</x:f>
        <x:v>OPEN</x:v>
      </x:c>
      <x:c r="I104" s="62" t="str">
        <x:v>REWORK</x:v>
      </x:c>
      <x:c r="J104" s="62" t="str">
        <x:v>Artifact validity only</x:v>
      </x:c>
      <x:c r="K104" s="103"/>
      <x:c r="L104" s="103"/>
      <x:c r="M104" s="103"/>
      <x:c r="N104" s="103"/>
    </x:row>
    <x:row r="105">
      <x:c r="A105" s="62" t="str">
        <x:v>V099</x:v>
      </x:c>
      <x:c r="B105" s="62" t="str">
        <x:v>P09</x:v>
      </x:c>
      <x:c r="C105" s="62" t="str">
        <x:v>CT-C</x:v>
      </x:c>
      <x:c r="D105" s="62" t="str">
        <x:v>CT-C-B</x:v>
      </x:c>
      <x:c r="E105" s="62" t="str">
        <x:v>G03 Executable native artifact</x:v>
      </x:c>
      <x:c r="F105" s="82" t="n">
        <x:v>0</x:v>
      </x:c>
      <x:c r="G105" s="62" t="n">
        <x:v>1</x:v>
      </x:c>
      <x:c r="H105" s="80" t="str">
        <x:f>IF(F105=G105,"PASS","OPEN")</x:f>
        <x:v>OPEN</x:v>
      </x:c>
      <x:c r="I105" s="62" t="str">
        <x:v>REWORK</x:v>
      </x:c>
      <x:c r="J105" s="62" t="str">
        <x:v>Artifact validity only</x:v>
      </x:c>
      <x:c r="K105" s="103"/>
      <x:c r="L105" s="103"/>
      <x:c r="M105" s="103"/>
      <x:c r="N105" s="103"/>
    </x:row>
    <x:row r="106">
      <x:c r="A106" s="62" t="str">
        <x:v>V100</x:v>
      </x:c>
      <x:c r="B106" s="62" t="str">
        <x:v>P09</x:v>
      </x:c>
      <x:c r="C106" s="62" t="str">
        <x:v>CT-C</x:v>
      </x:c>
      <x:c r="D106" s="62" t="str">
        <x:v>CT-C-B</x:v>
      </x:c>
      <x:c r="E106" s="62" t="str">
        <x:v>G04 Dependency, tool and material ledger</x:v>
      </x:c>
      <x:c r="F106" s="82" t="n">
        <x:v>0</x:v>
      </x:c>
      <x:c r="G106" s="62" t="n">
        <x:v>1</x:v>
      </x:c>
      <x:c r="H106" s="80" t="str">
        <x:f>IF(F106=G106,"PASS","OPEN")</x:f>
        <x:v>OPEN</x:v>
      </x:c>
      <x:c r="I106" s="62" t="str">
        <x:v>REWORK</x:v>
      </x:c>
      <x:c r="J106" s="62" t="str">
        <x:v>Artifact validity only</x:v>
      </x:c>
      <x:c r="K106" s="103"/>
      <x:c r="L106" s="103"/>
      <x:c r="M106" s="103"/>
      <x:c r="N106" s="103"/>
    </x:row>
    <x:row r="107">
      <x:c r="A107" s="62" t="str">
        <x:v>V101</x:v>
      </x:c>
      <x:c r="B107" s="62" t="str">
        <x:v>P09</x:v>
      </x:c>
      <x:c r="C107" s="62" t="str">
        <x:v>CT-C</x:v>
      </x:c>
      <x:c r="D107" s="62" t="str">
        <x:v>CT-C-B</x:v>
      </x:c>
      <x:c r="E107" s="62" t="str">
        <x:v>G05 Assumption and unknown register</x:v>
      </x:c>
      <x:c r="F107" s="82" t="n">
        <x:v>0</x:v>
      </x:c>
      <x:c r="G107" s="62" t="n">
        <x:v>1</x:v>
      </x:c>
      <x:c r="H107" s="80" t="str">
        <x:f>IF(F107=G107,"PASS","OPEN")</x:f>
        <x:v>OPEN</x:v>
      </x:c>
      <x:c r="I107" s="62" t="str">
        <x:v>REWORK</x:v>
      </x:c>
      <x:c r="J107" s="62" t="str">
        <x:v>Artifact validity only</x:v>
      </x:c>
      <x:c r="K107" s="103"/>
      <x:c r="L107" s="103"/>
      <x:c r="M107" s="103"/>
      <x:c r="N107" s="103"/>
    </x:row>
    <x:row r="108">
      <x:c r="A108" s="62" t="str">
        <x:v>V102</x:v>
      </x:c>
      <x:c r="B108" s="62" t="str">
        <x:v>P09</x:v>
      </x:c>
      <x:c r="C108" s="62" t="str">
        <x:v>CT-C</x:v>
      </x:c>
      <x:c r="D108" s="62" t="str">
        <x:v>CT-C-B</x:v>
      </x:c>
      <x:c r="E108" s="62" t="str">
        <x:v>G06 Independent clean-room replay</x:v>
      </x:c>
      <x:c r="F108" s="82" t="n">
        <x:v>0</x:v>
      </x:c>
      <x:c r="G108" s="62" t="n">
        <x:v>1</x:v>
      </x:c>
      <x:c r="H108" s="80" t="str">
        <x:f>IF(F108=G108,"PASS","OPEN")</x:f>
        <x:v>OPEN</x:v>
      </x:c>
      <x:c r="I108" s="62" t="str">
        <x:v>REWORK</x:v>
      </x:c>
      <x:c r="J108" s="62" t="str">
        <x:v>Artifact validity only</x:v>
      </x:c>
      <x:c r="K108" s="103"/>
      <x:c r="L108" s="103"/>
      <x:c r="M108" s="103"/>
      <x:c r="N108" s="103"/>
    </x:row>
    <x:row r="109">
      <x:c r="A109" s="62" t="str">
        <x:v>V103</x:v>
      </x:c>
      <x:c r="B109" s="62" t="str">
        <x:v>P09</x:v>
      </x:c>
      <x:c r="C109" s="62" t="str">
        <x:v>CT-C</x:v>
      </x:c>
      <x:c r="D109" s="62" t="str">
        <x:v>CT-C-B</x:v>
      </x:c>
      <x:c r="E109" s="62" t="str">
        <x:v>G07 Interface and destructive-test trace</x:v>
      </x:c>
      <x:c r="F109" s="82" t="n">
        <x:v>0</x:v>
      </x:c>
      <x:c r="G109" s="62" t="n">
        <x:v>1</x:v>
      </x:c>
      <x:c r="H109" s="80" t="str">
        <x:f>IF(F109=G109,"PASS","OPEN")</x:f>
        <x:v>OPEN</x:v>
      </x:c>
      <x:c r="I109" s="62" t="str">
        <x:v>REWORK</x:v>
      </x:c>
      <x:c r="J109" s="62" t="str">
        <x:v>Artifact validity only</x:v>
      </x:c>
      <x:c r="K109" s="103"/>
      <x:c r="L109" s="103"/>
      <x:c r="M109" s="103"/>
      <x:c r="N109" s="103"/>
    </x:row>
    <x:row r="110">
      <x:c r="A110" s="62" t="str">
        <x:v>V104</x:v>
      </x:c>
      <x:c r="B110" s="62" t="str">
        <x:v>P09</x:v>
      </x:c>
      <x:c r="C110" s="62" t="str">
        <x:v>CT-C</x:v>
      </x:c>
      <x:c r="D110" s="62" t="str">
        <x:v>CT-C-B</x:v>
      </x:c>
      <x:c r="E110" s="62" t="str">
        <x:v>G08 Rights and safe-state closure</x:v>
      </x:c>
      <x:c r="F110" s="82" t="n">
        <x:v>0</x:v>
      </x:c>
      <x:c r="G110" s="62" t="n">
        <x:v>1</x:v>
      </x:c>
      <x:c r="H110" s="80" t="str">
        <x:f>IF(F110=G110,"PASS","OPEN")</x:f>
        <x:v>OPEN</x:v>
      </x:c>
      <x:c r="I110" s="62" t="str">
        <x:v>REWORK</x:v>
      </x:c>
      <x:c r="J110" s="62" t="str">
        <x:v>Artifact validity only</x:v>
      </x:c>
      <x:c r="K110" s="103"/>
      <x:c r="L110" s="103"/>
      <x:c r="M110" s="103"/>
      <x:c r="N110" s="103"/>
    </x:row>
    <x:row r="111">
      <x:c r="A111" s="62" t="str">
        <x:v>V105</x:v>
      </x:c>
      <x:c r="B111" s="62" t="str">
        <x:v>P09</x:v>
      </x:c>
      <x:c r="C111" s="62" t="str">
        <x:v>CT-C</x:v>
      </x:c>
      <x:c r="D111" s="62" t="str">
        <x:v>CT-C-B</x:v>
      </x:c>
      <x:c r="E111" s="62" t="str">
        <x:v>G09 Receiver and residual closure</x:v>
      </x:c>
      <x:c r="F111" s="82" t="n">
        <x:v>0</x:v>
      </x:c>
      <x:c r="G111" s="62" t="n">
        <x:v>1</x:v>
      </x:c>
      <x:c r="H111" s="80" t="str">
        <x:f>IF(F111=G111,"PASS","OPEN")</x:f>
        <x:v>OPEN</x:v>
      </x:c>
      <x:c r="I111" s="62" t="str">
        <x:v>REWORK</x:v>
      </x:c>
      <x:c r="J111" s="62" t="str">
        <x:v>Artifact validity only</x:v>
      </x:c>
      <x:c r="K111" s="103"/>
      <x:c r="L111" s="103"/>
      <x:c r="M111" s="103"/>
      <x:c r="N111" s="103"/>
    </x:row>
    <x:row r="112">
      <x:c r="A112" s="62" t="str">
        <x:v>V106</x:v>
      </x:c>
      <x:c r="B112" s="62" t="str">
        <x:v>P09</x:v>
      </x:c>
      <x:c r="C112" s="62" t="str">
        <x:v>CT-C</x:v>
      </x:c>
      <x:c r="D112" s="62" t="str">
        <x:v>CT-C-B</x:v>
      </x:c>
      <x:c r="E112" s="62" t="str">
        <x:v>G10 Challenge response and terminal archive</x:v>
      </x:c>
      <x:c r="F112" s="82" t="n">
        <x:v>0</x:v>
      </x:c>
      <x:c r="G112" s="62" t="n">
        <x:v>1</x:v>
      </x:c>
      <x:c r="H112" s="80" t="str">
        <x:f>IF(F112=G112,"PASS","OPEN")</x:f>
        <x:v>OPEN</x:v>
      </x:c>
      <x:c r="I112" s="62" t="str">
        <x:v>REWORK</x:v>
      </x:c>
      <x:c r="J112" s="62" t="str">
        <x:v>Artifact validity only</x:v>
      </x:c>
      <x:c r="K112" s="103"/>
      <x:c r="L112" s="103"/>
      <x:c r="M112" s="103"/>
      <x:c r="N112" s="103"/>
    </x:row>
    <x:row r="113">
      <x:c r="A113" s="62" t="str">
        <x:v>V107</x:v>
      </x:c>
      <x:c r="B113" s="62" t="str">
        <x:v>P09</x:v>
      </x:c>
      <x:c r="C113" s="62" t="str">
        <x:v>CT-C</x:v>
      </x:c>
      <x:c r="D113" s="62" t="str">
        <x:v>CT-C-B</x:v>
      </x:c>
      <x:c r="E113" s="62" t="str">
        <x:v>G11 No sibling performance exposure</x:v>
      </x:c>
      <x:c r="F113" s="82" t="n">
        <x:v>1</x:v>
      </x:c>
      <x:c r="G113" s="62" t="n">
        <x:v>1</x:v>
      </x:c>
      <x:c r="H113" s="80" t="str">
        <x:f>IF(F113=G113,"PASS","OPEN")</x:f>
        <x:v>PASS</x:v>
      </x:c>
      <x:c r="I113" s="62" t="str">
        <x:v>TERMINATE CELL</x:v>
      </x:c>
      <x:c r="J113" s="62" t="str">
        <x:v>Constitutional independence</x:v>
      </x:c>
      <x:c r="K113" s="103"/>
      <x:c r="L113" s="103"/>
      <x:c r="M113" s="103"/>
      <x:c r="N113" s="103"/>
    </x:row>
    <x:row r="114">
      <x:c r="A114" s="62" t="str">
        <x:v>V108</x:v>
      </x:c>
      <x:c r="B114" s="62" t="str">
        <x:v>P09</x:v>
      </x:c>
      <x:c r="C114" s="62" t="str">
        <x:v>CT-C</x:v>
      </x:c>
      <x:c r="D114" s="62" t="str">
        <x:v>CT-C-B</x:v>
      </x:c>
      <x:c r="E114" s="62" t="str">
        <x:v>G12 Builder and validity control separated</x:v>
      </x:c>
      <x:c r="F114" s="82" t="n">
        <x:v>1</x:v>
      </x:c>
      <x:c r="G114" s="62" t="n">
        <x:v>1</x:v>
      </x:c>
      <x:c r="H114" s="80" t="str">
        <x:f>IF(F114=G114,"PASS","OPEN")</x:f>
        <x:v>PASS</x:v>
      </x:c>
      <x:c r="I114" s="62" t="str">
        <x:v>TERMINATE CELL</x:v>
      </x:c>
      <x:c r="J114" s="62" t="str">
        <x:v>Constitutional independence</x:v>
      </x:c>
      <x:c r="K114" s="103"/>
      <x:c r="L114" s="103"/>
      <x:c r="M114" s="103"/>
      <x:c r="N114" s="103"/>
    </x:row>
    <x:row r="115">
      <x:c r="A115" s="62" t="str">
        <x:v>V109</x:v>
      </x:c>
      <x:c r="B115" s="62" t="str">
        <x:v>P10</x:v>
      </x:c>
      <x:c r="C115" s="62" t="str">
        <x:v>CT-C</x:v>
      </x:c>
      <x:c r="D115" s="62" t="str">
        <x:v>CT-C-B</x:v>
      </x:c>
      <x:c r="E115" s="62" t="str">
        <x:v>G01 Source manifest and authorship</x:v>
      </x:c>
      <x:c r="F115" s="82" t="n">
        <x:v>0</x:v>
      </x:c>
      <x:c r="G115" s="62" t="n">
        <x:v>1</x:v>
      </x:c>
      <x:c r="H115" s="80" t="str">
        <x:f>IF(F115=G115,"PASS","OPEN")</x:f>
        <x:v>OPEN</x:v>
      </x:c>
      <x:c r="I115" s="62" t="str">
        <x:v>REWORK</x:v>
      </x:c>
      <x:c r="J115" s="62" t="str">
        <x:v>Artifact validity only</x:v>
      </x:c>
      <x:c r="K115" s="103"/>
      <x:c r="L115" s="103"/>
      <x:c r="M115" s="103"/>
      <x:c r="N115" s="103"/>
    </x:row>
    <x:row r="116">
      <x:c r="A116" s="62" t="str">
        <x:v>V110</x:v>
      </x:c>
      <x:c r="B116" s="62" t="str">
        <x:v>P10</x:v>
      </x:c>
      <x:c r="C116" s="62" t="str">
        <x:v>CT-C</x:v>
      </x:c>
      <x:c r="D116" s="62" t="str">
        <x:v>CT-C-B</x:v>
      </x:c>
      <x:c r="E116" s="62" t="str">
        <x:v>G02 Frozen configuration hash</x:v>
      </x:c>
      <x:c r="F116" s="82" t="n">
        <x:v>0</x:v>
      </x:c>
      <x:c r="G116" s="62" t="n">
        <x:v>1</x:v>
      </x:c>
      <x:c r="H116" s="80" t="str">
        <x:f>IF(F116=G116,"PASS","OPEN")</x:f>
        <x:v>OPEN</x:v>
      </x:c>
      <x:c r="I116" s="62" t="str">
        <x:v>REWORK</x:v>
      </x:c>
      <x:c r="J116" s="62" t="str">
        <x:v>Artifact validity only</x:v>
      </x:c>
      <x:c r="K116" s="103"/>
      <x:c r="L116" s="103"/>
      <x:c r="M116" s="103"/>
      <x:c r="N116" s="103"/>
    </x:row>
    <x:row r="117">
      <x:c r="A117" s="62" t="str">
        <x:v>V111</x:v>
      </x:c>
      <x:c r="B117" s="62" t="str">
        <x:v>P10</x:v>
      </x:c>
      <x:c r="C117" s="62" t="str">
        <x:v>CT-C</x:v>
      </x:c>
      <x:c r="D117" s="62" t="str">
        <x:v>CT-C-B</x:v>
      </x:c>
      <x:c r="E117" s="62" t="str">
        <x:v>G03 Executable native artifact</x:v>
      </x:c>
      <x:c r="F117" s="82" t="n">
        <x:v>0</x:v>
      </x:c>
      <x:c r="G117" s="62" t="n">
        <x:v>1</x:v>
      </x:c>
      <x:c r="H117" s="80" t="str">
        <x:f>IF(F117=G117,"PASS","OPEN")</x:f>
        <x:v>OPEN</x:v>
      </x:c>
      <x:c r="I117" s="62" t="str">
        <x:v>REWORK</x:v>
      </x:c>
      <x:c r="J117" s="62" t="str">
        <x:v>Artifact validity only</x:v>
      </x:c>
      <x:c r="K117" s="103"/>
      <x:c r="L117" s="103"/>
      <x:c r="M117" s="103"/>
      <x:c r="N117" s="103"/>
    </x:row>
    <x:row r="118">
      <x:c r="A118" s="62" t="str">
        <x:v>V112</x:v>
      </x:c>
      <x:c r="B118" s="62" t="str">
        <x:v>P10</x:v>
      </x:c>
      <x:c r="C118" s="62" t="str">
        <x:v>CT-C</x:v>
      </x:c>
      <x:c r="D118" s="62" t="str">
        <x:v>CT-C-B</x:v>
      </x:c>
      <x:c r="E118" s="62" t="str">
        <x:v>G04 Dependency, tool and material ledger</x:v>
      </x:c>
      <x:c r="F118" s="82" t="n">
        <x:v>0</x:v>
      </x:c>
      <x:c r="G118" s="62" t="n">
        <x:v>1</x:v>
      </x:c>
      <x:c r="H118" s="80" t="str">
        <x:f>IF(F118=G118,"PASS","OPEN")</x:f>
        <x:v>OPEN</x:v>
      </x:c>
      <x:c r="I118" s="62" t="str">
        <x:v>REWORK</x:v>
      </x:c>
      <x:c r="J118" s="62" t="str">
        <x:v>Artifact validity only</x:v>
      </x:c>
      <x:c r="K118" s="103"/>
      <x:c r="L118" s="103"/>
      <x:c r="M118" s="103"/>
      <x:c r="N118" s="103"/>
    </x:row>
    <x:row r="119">
      <x:c r="A119" s="62" t="str">
        <x:v>V113</x:v>
      </x:c>
      <x:c r="B119" s="62" t="str">
        <x:v>P10</x:v>
      </x:c>
      <x:c r="C119" s="62" t="str">
        <x:v>CT-C</x:v>
      </x:c>
      <x:c r="D119" s="62" t="str">
        <x:v>CT-C-B</x:v>
      </x:c>
      <x:c r="E119" s="62" t="str">
        <x:v>G05 Assumption and unknown register</x:v>
      </x:c>
      <x:c r="F119" s="82" t="n">
        <x:v>0</x:v>
      </x:c>
      <x:c r="G119" s="62" t="n">
        <x:v>1</x:v>
      </x:c>
      <x:c r="H119" s="80" t="str">
        <x:f>IF(F119=G119,"PASS","OPEN")</x:f>
        <x:v>OPEN</x:v>
      </x:c>
      <x:c r="I119" s="62" t="str">
        <x:v>REWORK</x:v>
      </x:c>
      <x:c r="J119" s="62" t="str">
        <x:v>Artifact validity only</x:v>
      </x:c>
      <x:c r="K119" s="103"/>
      <x:c r="L119" s="103"/>
      <x:c r="M119" s="103"/>
      <x:c r="N119" s="103"/>
    </x:row>
    <x:row r="120">
      <x:c r="A120" s="62" t="str">
        <x:v>V114</x:v>
      </x:c>
      <x:c r="B120" s="62" t="str">
        <x:v>P10</x:v>
      </x:c>
      <x:c r="C120" s="62" t="str">
        <x:v>CT-C</x:v>
      </x:c>
      <x:c r="D120" s="62" t="str">
        <x:v>CT-C-B</x:v>
      </x:c>
      <x:c r="E120" s="62" t="str">
        <x:v>G06 Independent clean-room replay</x:v>
      </x:c>
      <x:c r="F120" s="82" t="n">
        <x:v>0</x:v>
      </x:c>
      <x:c r="G120" s="62" t="n">
        <x:v>1</x:v>
      </x:c>
      <x:c r="H120" s="80" t="str">
        <x:f>IF(F120=G120,"PASS","OPEN")</x:f>
        <x:v>OPEN</x:v>
      </x:c>
      <x:c r="I120" s="62" t="str">
        <x:v>REWORK</x:v>
      </x:c>
      <x:c r="J120" s="62" t="str">
        <x:v>Artifact validity only</x:v>
      </x:c>
      <x:c r="K120" s="103"/>
      <x:c r="L120" s="103"/>
      <x:c r="M120" s="103"/>
      <x:c r="N120" s="103"/>
    </x:row>
    <x:row r="121">
      <x:c r="A121" s="62" t="str">
        <x:v>V115</x:v>
      </x:c>
      <x:c r="B121" s="62" t="str">
        <x:v>P10</x:v>
      </x:c>
      <x:c r="C121" s="62" t="str">
        <x:v>CT-C</x:v>
      </x:c>
      <x:c r="D121" s="62" t="str">
        <x:v>CT-C-B</x:v>
      </x:c>
      <x:c r="E121" s="62" t="str">
        <x:v>G07 Interface and destructive-test trace</x:v>
      </x:c>
      <x:c r="F121" s="82" t="n">
        <x:v>0</x:v>
      </x:c>
      <x:c r="G121" s="62" t="n">
        <x:v>1</x:v>
      </x:c>
      <x:c r="H121" s="80" t="str">
        <x:f>IF(F121=G121,"PASS","OPEN")</x:f>
        <x:v>OPEN</x:v>
      </x:c>
      <x:c r="I121" s="62" t="str">
        <x:v>REWORK</x:v>
      </x:c>
      <x:c r="J121" s="62" t="str">
        <x:v>Artifact validity only</x:v>
      </x:c>
      <x:c r="K121" s="103"/>
      <x:c r="L121" s="103"/>
      <x:c r="M121" s="103"/>
      <x:c r="N121" s="103"/>
    </x:row>
    <x:row r="122">
      <x:c r="A122" s="62" t="str">
        <x:v>V116</x:v>
      </x:c>
      <x:c r="B122" s="62" t="str">
        <x:v>P10</x:v>
      </x:c>
      <x:c r="C122" s="62" t="str">
        <x:v>CT-C</x:v>
      </x:c>
      <x:c r="D122" s="62" t="str">
        <x:v>CT-C-B</x:v>
      </x:c>
      <x:c r="E122" s="62" t="str">
        <x:v>G08 Rights and safe-state closure</x:v>
      </x:c>
      <x:c r="F122" s="82" t="n">
        <x:v>0</x:v>
      </x:c>
      <x:c r="G122" s="62" t="n">
        <x:v>1</x:v>
      </x:c>
      <x:c r="H122" s="80" t="str">
        <x:f>IF(F122=G122,"PASS","OPEN")</x:f>
        <x:v>OPEN</x:v>
      </x:c>
      <x:c r="I122" s="62" t="str">
        <x:v>REWORK</x:v>
      </x:c>
      <x:c r="J122" s="62" t="str">
        <x:v>Artifact validity only</x:v>
      </x:c>
      <x:c r="K122" s="103"/>
      <x:c r="L122" s="103"/>
      <x:c r="M122" s="103"/>
      <x:c r="N122" s="103"/>
    </x:row>
    <x:row r="123">
      <x:c r="A123" s="62" t="str">
        <x:v>V117</x:v>
      </x:c>
      <x:c r="B123" s="62" t="str">
        <x:v>P10</x:v>
      </x:c>
      <x:c r="C123" s="62" t="str">
        <x:v>CT-C</x:v>
      </x:c>
      <x:c r="D123" s="62" t="str">
        <x:v>CT-C-B</x:v>
      </x:c>
      <x:c r="E123" s="62" t="str">
        <x:v>G09 Receiver and residual closure</x:v>
      </x:c>
      <x:c r="F123" s="82" t="n">
        <x:v>0</x:v>
      </x:c>
      <x:c r="G123" s="62" t="n">
        <x:v>1</x:v>
      </x:c>
      <x:c r="H123" s="80" t="str">
        <x:f>IF(F123=G123,"PASS","OPEN")</x:f>
        <x:v>OPEN</x:v>
      </x:c>
      <x:c r="I123" s="62" t="str">
        <x:v>REWORK</x:v>
      </x:c>
      <x:c r="J123" s="62" t="str">
        <x:v>Artifact validity only</x:v>
      </x:c>
      <x:c r="K123" s="103"/>
      <x:c r="L123" s="103"/>
      <x:c r="M123" s="103"/>
      <x:c r="N123" s="103"/>
    </x:row>
    <x:row r="124">
      <x:c r="A124" s="62" t="str">
        <x:v>V118</x:v>
      </x:c>
      <x:c r="B124" s="62" t="str">
        <x:v>P10</x:v>
      </x:c>
      <x:c r="C124" s="62" t="str">
        <x:v>CT-C</x:v>
      </x:c>
      <x:c r="D124" s="62" t="str">
        <x:v>CT-C-B</x:v>
      </x:c>
      <x:c r="E124" s="62" t="str">
        <x:v>G10 Challenge response and terminal archive</x:v>
      </x:c>
      <x:c r="F124" s="82" t="n">
        <x:v>0</x:v>
      </x:c>
      <x:c r="G124" s="62" t="n">
        <x:v>1</x:v>
      </x:c>
      <x:c r="H124" s="80" t="str">
        <x:f>IF(F124=G124,"PASS","OPEN")</x:f>
        <x:v>OPEN</x:v>
      </x:c>
      <x:c r="I124" s="62" t="str">
        <x:v>REWORK</x:v>
      </x:c>
      <x:c r="J124" s="62" t="str">
        <x:v>Artifact validity only</x:v>
      </x:c>
      <x:c r="K124" s="103"/>
      <x:c r="L124" s="103"/>
      <x:c r="M124" s="103"/>
      <x:c r="N124" s="103"/>
    </x:row>
    <x:row r="125">
      <x:c r="A125" s="62" t="str">
        <x:v>V119</x:v>
      </x:c>
      <x:c r="B125" s="62" t="str">
        <x:v>P10</x:v>
      </x:c>
      <x:c r="C125" s="62" t="str">
        <x:v>CT-C</x:v>
      </x:c>
      <x:c r="D125" s="62" t="str">
        <x:v>CT-C-B</x:v>
      </x:c>
      <x:c r="E125" s="62" t="str">
        <x:v>G11 No sibling performance exposure</x:v>
      </x:c>
      <x:c r="F125" s="82" t="n">
        <x:v>1</x:v>
      </x:c>
      <x:c r="G125" s="62" t="n">
        <x:v>1</x:v>
      </x:c>
      <x:c r="H125" s="80" t="str">
        <x:f>IF(F125=G125,"PASS","OPEN")</x:f>
        <x:v>PASS</x:v>
      </x:c>
      <x:c r="I125" s="62" t="str">
        <x:v>TERMINATE CELL</x:v>
      </x:c>
      <x:c r="J125" s="62" t="str">
        <x:v>Constitutional independence</x:v>
      </x:c>
      <x:c r="K125" s="103"/>
      <x:c r="L125" s="103"/>
      <x:c r="M125" s="103"/>
      <x:c r="N125" s="103"/>
    </x:row>
    <x:row r="126">
      <x:c r="A126" s="62" t="str">
        <x:v>V120</x:v>
      </x:c>
      <x:c r="B126" s="62" t="str">
        <x:v>P10</x:v>
      </x:c>
      <x:c r="C126" s="62" t="str">
        <x:v>CT-C</x:v>
      </x:c>
      <x:c r="D126" s="62" t="str">
        <x:v>CT-C-B</x:v>
      </x:c>
      <x:c r="E126" s="62" t="str">
        <x:v>G12 Builder and validity control separated</x:v>
      </x:c>
      <x:c r="F126" s="82" t="n">
        <x:v>1</x:v>
      </x:c>
      <x:c r="G126" s="62" t="n">
        <x:v>1</x:v>
      </x:c>
      <x:c r="H126" s="80" t="str">
        <x:f>IF(F126=G126,"PASS","OPEN")</x:f>
        <x:v>PASS</x:v>
      </x:c>
      <x:c r="I126" s="62" t="str">
        <x:v>TERMINATE CELL</x:v>
      </x:c>
      <x:c r="J126" s="62" t="str">
        <x:v>Constitutional independence</x:v>
      </x:c>
      <x:c r="K126" s="103"/>
      <x:c r="L126" s="103"/>
      <x:c r="M126" s="103"/>
      <x:c r="N126" s="103"/>
    </x:row>
    <x:row r="127">
      <x:c r="A127" s="62" t="str">
        <x:v>V121</x:v>
      </x:c>
      <x:c r="B127" s="62" t="str">
        <x:v>P11</x:v>
      </x:c>
      <x:c r="C127" s="62" t="str">
        <x:v>HC-A</x:v>
      </x:c>
      <x:c r="D127" s="62" t="str">
        <x:v>HC-A-C</x:v>
      </x:c>
      <x:c r="E127" s="62" t="str">
        <x:v>G01 Source manifest and authorship</x:v>
      </x:c>
      <x:c r="F127" s="82" t="n">
        <x:v>0</x:v>
      </x:c>
      <x:c r="G127" s="62" t="n">
        <x:v>1</x:v>
      </x:c>
      <x:c r="H127" s="80" t="str">
        <x:f>IF(F127=G127,"PASS","OPEN")</x:f>
        <x:v>OPEN</x:v>
      </x:c>
      <x:c r="I127" s="62" t="str">
        <x:v>REWORK</x:v>
      </x:c>
      <x:c r="J127" s="62" t="str">
        <x:v>Artifact validity only</x:v>
      </x:c>
      <x:c r="K127" s="103"/>
      <x:c r="L127" s="103"/>
      <x:c r="M127" s="103"/>
      <x:c r="N127" s="103"/>
    </x:row>
    <x:row r="128">
      <x:c r="A128" s="62" t="str">
        <x:v>V122</x:v>
      </x:c>
      <x:c r="B128" s="62" t="str">
        <x:v>P11</x:v>
      </x:c>
      <x:c r="C128" s="62" t="str">
        <x:v>HC-A</x:v>
      </x:c>
      <x:c r="D128" s="62" t="str">
        <x:v>HC-A-C</x:v>
      </x:c>
      <x:c r="E128" s="62" t="str">
        <x:v>G02 Frozen configuration hash</x:v>
      </x:c>
      <x:c r="F128" s="82" t="n">
        <x:v>0</x:v>
      </x:c>
      <x:c r="G128" s="62" t="n">
        <x:v>1</x:v>
      </x:c>
      <x:c r="H128" s="80" t="str">
        <x:f>IF(F128=G128,"PASS","OPEN")</x:f>
        <x:v>OPEN</x:v>
      </x:c>
      <x:c r="I128" s="62" t="str">
        <x:v>REWORK</x:v>
      </x:c>
      <x:c r="J128" s="62" t="str">
        <x:v>Artifact validity only</x:v>
      </x:c>
      <x:c r="K128" s="103"/>
      <x:c r="L128" s="103"/>
      <x:c r="M128" s="103"/>
      <x:c r="N128" s="103"/>
    </x:row>
    <x:row r="129">
      <x:c r="A129" s="62" t="str">
        <x:v>V123</x:v>
      </x:c>
      <x:c r="B129" s="62" t="str">
        <x:v>P11</x:v>
      </x:c>
      <x:c r="C129" s="62" t="str">
        <x:v>HC-A</x:v>
      </x:c>
      <x:c r="D129" s="62" t="str">
        <x:v>HC-A-C</x:v>
      </x:c>
      <x:c r="E129" s="62" t="str">
        <x:v>G03 Executable native artifact</x:v>
      </x:c>
      <x:c r="F129" s="82" t="n">
        <x:v>0</x:v>
      </x:c>
      <x:c r="G129" s="62" t="n">
        <x:v>1</x:v>
      </x:c>
      <x:c r="H129" s="80" t="str">
        <x:f>IF(F129=G129,"PASS","OPEN")</x:f>
        <x:v>OPEN</x:v>
      </x:c>
      <x:c r="I129" s="62" t="str">
        <x:v>REWORK</x:v>
      </x:c>
      <x:c r="J129" s="62" t="str">
        <x:v>Artifact validity only</x:v>
      </x:c>
      <x:c r="K129" s="103"/>
      <x:c r="L129" s="103"/>
      <x:c r="M129" s="103"/>
      <x:c r="N129" s="103"/>
    </x:row>
    <x:row r="130">
      <x:c r="A130" s="62" t="str">
        <x:v>V124</x:v>
      </x:c>
      <x:c r="B130" s="62" t="str">
        <x:v>P11</x:v>
      </x:c>
      <x:c r="C130" s="62" t="str">
        <x:v>HC-A</x:v>
      </x:c>
      <x:c r="D130" s="62" t="str">
        <x:v>HC-A-C</x:v>
      </x:c>
      <x:c r="E130" s="62" t="str">
        <x:v>G04 Dependency, tool and material ledger</x:v>
      </x:c>
      <x:c r="F130" s="82" t="n">
        <x:v>0</x:v>
      </x:c>
      <x:c r="G130" s="62" t="n">
        <x:v>1</x:v>
      </x:c>
      <x:c r="H130" s="80" t="str">
        <x:f>IF(F130=G130,"PASS","OPEN")</x:f>
        <x:v>OPEN</x:v>
      </x:c>
      <x:c r="I130" s="62" t="str">
        <x:v>REWORK</x:v>
      </x:c>
      <x:c r="J130" s="62" t="str">
        <x:v>Artifact validity only</x:v>
      </x:c>
      <x:c r="K130" s="103"/>
      <x:c r="L130" s="103"/>
      <x:c r="M130" s="103"/>
      <x:c r="N130" s="103"/>
    </x:row>
    <x:row r="131">
      <x:c r="A131" s="62" t="str">
        <x:v>V125</x:v>
      </x:c>
      <x:c r="B131" s="62" t="str">
        <x:v>P11</x:v>
      </x:c>
      <x:c r="C131" s="62" t="str">
        <x:v>HC-A</x:v>
      </x:c>
      <x:c r="D131" s="62" t="str">
        <x:v>HC-A-C</x:v>
      </x:c>
      <x:c r="E131" s="62" t="str">
        <x:v>G05 Assumption and unknown register</x:v>
      </x:c>
      <x:c r="F131" s="82" t="n">
        <x:v>0</x:v>
      </x:c>
      <x:c r="G131" s="62" t="n">
        <x:v>1</x:v>
      </x:c>
      <x:c r="H131" s="80" t="str">
        <x:f>IF(F131=G131,"PASS","OPEN")</x:f>
        <x:v>OPEN</x:v>
      </x:c>
      <x:c r="I131" s="62" t="str">
        <x:v>REWORK</x:v>
      </x:c>
      <x:c r="J131" s="62" t="str">
        <x:v>Artifact validity only</x:v>
      </x:c>
      <x:c r="K131" s="103"/>
      <x:c r="L131" s="103"/>
      <x:c r="M131" s="103"/>
      <x:c r="N131" s="103"/>
    </x:row>
    <x:row r="132">
      <x:c r="A132" s="62" t="str">
        <x:v>V126</x:v>
      </x:c>
      <x:c r="B132" s="62" t="str">
        <x:v>P11</x:v>
      </x:c>
      <x:c r="C132" s="62" t="str">
        <x:v>HC-A</x:v>
      </x:c>
      <x:c r="D132" s="62" t="str">
        <x:v>HC-A-C</x:v>
      </x:c>
      <x:c r="E132" s="62" t="str">
        <x:v>G06 Independent clean-room replay</x:v>
      </x:c>
      <x:c r="F132" s="82" t="n">
        <x:v>0</x:v>
      </x:c>
      <x:c r="G132" s="62" t="n">
        <x:v>1</x:v>
      </x:c>
      <x:c r="H132" s="80" t="str">
        <x:f>IF(F132=G132,"PASS","OPEN")</x:f>
        <x:v>OPEN</x:v>
      </x:c>
      <x:c r="I132" s="62" t="str">
        <x:v>REWORK</x:v>
      </x:c>
      <x:c r="J132" s="62" t="str">
        <x:v>Artifact validity only</x:v>
      </x:c>
      <x:c r="K132" s="103"/>
      <x:c r="L132" s="103"/>
      <x:c r="M132" s="103"/>
      <x:c r="N132" s="103"/>
    </x:row>
    <x:row r="133">
      <x:c r="A133" s="62" t="str">
        <x:v>V127</x:v>
      </x:c>
      <x:c r="B133" s="62" t="str">
        <x:v>P11</x:v>
      </x:c>
      <x:c r="C133" s="62" t="str">
        <x:v>HC-A</x:v>
      </x:c>
      <x:c r="D133" s="62" t="str">
        <x:v>HC-A-C</x:v>
      </x:c>
      <x:c r="E133" s="62" t="str">
        <x:v>G07 Interface and destructive-test trace</x:v>
      </x:c>
      <x:c r="F133" s="82" t="n">
        <x:v>0</x:v>
      </x:c>
      <x:c r="G133" s="62" t="n">
        <x:v>1</x:v>
      </x:c>
      <x:c r="H133" s="80" t="str">
        <x:f>IF(F133=G133,"PASS","OPEN")</x:f>
        <x:v>OPEN</x:v>
      </x:c>
      <x:c r="I133" s="62" t="str">
        <x:v>REWORK</x:v>
      </x:c>
      <x:c r="J133" s="62" t="str">
        <x:v>Artifact validity only</x:v>
      </x:c>
      <x:c r="K133" s="103"/>
      <x:c r="L133" s="103"/>
      <x:c r="M133" s="103"/>
      <x:c r="N133" s="103"/>
    </x:row>
    <x:row r="134">
      <x:c r="A134" s="62" t="str">
        <x:v>V128</x:v>
      </x:c>
      <x:c r="B134" s="62" t="str">
        <x:v>P11</x:v>
      </x:c>
      <x:c r="C134" s="62" t="str">
        <x:v>HC-A</x:v>
      </x:c>
      <x:c r="D134" s="62" t="str">
        <x:v>HC-A-C</x:v>
      </x:c>
      <x:c r="E134" s="62" t="str">
        <x:v>G08 Rights and safe-state closure</x:v>
      </x:c>
      <x:c r="F134" s="82" t="n">
        <x:v>0</x:v>
      </x:c>
      <x:c r="G134" s="62" t="n">
        <x:v>1</x:v>
      </x:c>
      <x:c r="H134" s="80" t="str">
        <x:f>IF(F134=G134,"PASS","OPEN")</x:f>
        <x:v>OPEN</x:v>
      </x:c>
      <x:c r="I134" s="62" t="str">
        <x:v>REWORK</x:v>
      </x:c>
      <x:c r="J134" s="62" t="str">
        <x:v>Artifact validity only</x:v>
      </x:c>
      <x:c r="K134" s="103"/>
      <x:c r="L134" s="103"/>
      <x:c r="M134" s="103"/>
      <x:c r="N134" s="103"/>
    </x:row>
    <x:row r="135">
      <x:c r="A135" s="62" t="str">
        <x:v>V129</x:v>
      </x:c>
      <x:c r="B135" s="62" t="str">
        <x:v>P11</x:v>
      </x:c>
      <x:c r="C135" s="62" t="str">
        <x:v>HC-A</x:v>
      </x:c>
      <x:c r="D135" s="62" t="str">
        <x:v>HC-A-C</x:v>
      </x:c>
      <x:c r="E135" s="62" t="str">
        <x:v>G09 Receiver and residual closure</x:v>
      </x:c>
      <x:c r="F135" s="82" t="n">
        <x:v>0</x:v>
      </x:c>
      <x:c r="G135" s="62" t="n">
        <x:v>1</x:v>
      </x:c>
      <x:c r="H135" s="80" t="str">
        <x:f>IF(F135=G135,"PASS","OPEN")</x:f>
        <x:v>OPEN</x:v>
      </x:c>
      <x:c r="I135" s="62" t="str">
        <x:v>REWORK</x:v>
      </x:c>
      <x:c r="J135" s="62" t="str">
        <x:v>Artifact validity only</x:v>
      </x:c>
      <x:c r="K135" s="103"/>
      <x:c r="L135" s="103"/>
      <x:c r="M135" s="103"/>
      <x:c r="N135" s="103"/>
    </x:row>
    <x:row r="136">
      <x:c r="A136" s="62" t="str">
        <x:v>V130</x:v>
      </x:c>
      <x:c r="B136" s="62" t="str">
        <x:v>P11</x:v>
      </x:c>
      <x:c r="C136" s="62" t="str">
        <x:v>HC-A</x:v>
      </x:c>
      <x:c r="D136" s="62" t="str">
        <x:v>HC-A-C</x:v>
      </x:c>
      <x:c r="E136" s="62" t="str">
        <x:v>G10 Challenge response and terminal archive</x:v>
      </x:c>
      <x:c r="F136" s="82" t="n">
        <x:v>0</x:v>
      </x:c>
      <x:c r="G136" s="62" t="n">
        <x:v>1</x:v>
      </x:c>
      <x:c r="H136" s="80" t="str">
        <x:f>IF(F136=G136,"PASS","OPEN")</x:f>
        <x:v>OPEN</x:v>
      </x:c>
      <x:c r="I136" s="62" t="str">
        <x:v>REWORK</x:v>
      </x:c>
      <x:c r="J136" s="62" t="str">
        <x:v>Artifact validity only</x:v>
      </x:c>
      <x:c r="K136" s="103"/>
      <x:c r="L136" s="103"/>
      <x:c r="M136" s="103"/>
      <x:c r="N136" s="103"/>
    </x:row>
    <x:row r="137">
      <x:c r="A137" s="62" t="str">
        <x:v>V131</x:v>
      </x:c>
      <x:c r="B137" s="62" t="str">
        <x:v>P11</x:v>
      </x:c>
      <x:c r="C137" s="62" t="str">
        <x:v>HC-A</x:v>
      </x:c>
      <x:c r="D137" s="62" t="str">
        <x:v>HC-A-C</x:v>
      </x:c>
      <x:c r="E137" s="62" t="str">
        <x:v>G11 No sibling performance exposure</x:v>
      </x:c>
      <x:c r="F137" s="82" t="n">
        <x:v>1</x:v>
      </x:c>
      <x:c r="G137" s="62" t="n">
        <x:v>1</x:v>
      </x:c>
      <x:c r="H137" s="80" t="str">
        <x:f>IF(F137=G137,"PASS","OPEN")</x:f>
        <x:v>PASS</x:v>
      </x:c>
      <x:c r="I137" s="62" t="str">
        <x:v>TERMINATE CELL</x:v>
      </x:c>
      <x:c r="J137" s="62" t="str">
        <x:v>Constitutional independence</x:v>
      </x:c>
      <x:c r="K137" s="103"/>
      <x:c r="L137" s="103"/>
      <x:c r="M137" s="103"/>
      <x:c r="N137" s="103"/>
    </x:row>
    <x:row r="138">
      <x:c r="A138" s="62" t="str">
        <x:v>V132</x:v>
      </x:c>
      <x:c r="B138" s="62" t="str">
        <x:v>P11</x:v>
      </x:c>
      <x:c r="C138" s="62" t="str">
        <x:v>HC-A</x:v>
      </x:c>
      <x:c r="D138" s="62" t="str">
        <x:v>HC-A-C</x:v>
      </x:c>
      <x:c r="E138" s="62" t="str">
        <x:v>G12 Builder and validity control separated</x:v>
      </x:c>
      <x:c r="F138" s="82" t="n">
        <x:v>1</x:v>
      </x:c>
      <x:c r="G138" s="62" t="n">
        <x:v>1</x:v>
      </x:c>
      <x:c r="H138" s="80" t="str">
        <x:f>IF(F138=G138,"PASS","OPEN")</x:f>
        <x:v>PASS</x:v>
      </x:c>
      <x:c r="I138" s="62" t="str">
        <x:v>TERMINATE CELL</x:v>
      </x:c>
      <x:c r="J138" s="62" t="str">
        <x:v>Constitutional independence</x:v>
      </x:c>
      <x:c r="K138" s="103"/>
      <x:c r="L138" s="103"/>
      <x:c r="M138" s="103"/>
      <x:c r="N138" s="103"/>
    </x:row>
    <x:row r="139">
      <x:c r="A139" s="62" t="str">
        <x:v>V133</x:v>
      </x:c>
      <x:c r="B139" s="62" t="str">
        <x:v>P12</x:v>
      </x:c>
      <x:c r="C139" s="62" t="str">
        <x:v>HC-A</x:v>
      </x:c>
      <x:c r="D139" s="62" t="str">
        <x:v>HC-A-C</x:v>
      </x:c>
      <x:c r="E139" s="62" t="str">
        <x:v>G01 Source manifest and authorship</x:v>
      </x:c>
      <x:c r="F139" s="82" t="n">
        <x:v>0</x:v>
      </x:c>
      <x:c r="G139" s="62" t="n">
        <x:v>1</x:v>
      </x:c>
      <x:c r="H139" s="80" t="str">
        <x:f>IF(F139=G139,"PASS","OPEN")</x:f>
        <x:v>OPEN</x:v>
      </x:c>
      <x:c r="I139" s="62" t="str">
        <x:v>REWORK</x:v>
      </x:c>
      <x:c r="J139" s="62" t="str">
        <x:v>Artifact validity only</x:v>
      </x:c>
      <x:c r="K139" s="103"/>
      <x:c r="L139" s="103"/>
      <x:c r="M139" s="103"/>
      <x:c r="N139" s="103"/>
    </x:row>
    <x:row r="140">
      <x:c r="A140" s="62" t="str">
        <x:v>V134</x:v>
      </x:c>
      <x:c r="B140" s="62" t="str">
        <x:v>P12</x:v>
      </x:c>
      <x:c r="C140" s="62" t="str">
        <x:v>HC-A</x:v>
      </x:c>
      <x:c r="D140" s="62" t="str">
        <x:v>HC-A-C</x:v>
      </x:c>
      <x:c r="E140" s="62" t="str">
        <x:v>G02 Frozen configuration hash</x:v>
      </x:c>
      <x:c r="F140" s="82" t="n">
        <x:v>0</x:v>
      </x:c>
      <x:c r="G140" s="62" t="n">
        <x:v>1</x:v>
      </x:c>
      <x:c r="H140" s="80" t="str">
        <x:f>IF(F140=G140,"PASS","OPEN")</x:f>
        <x:v>OPEN</x:v>
      </x:c>
      <x:c r="I140" s="62" t="str">
        <x:v>REWORK</x:v>
      </x:c>
      <x:c r="J140" s="62" t="str">
        <x:v>Artifact validity only</x:v>
      </x:c>
      <x:c r="K140" s="103"/>
      <x:c r="L140" s="103"/>
      <x:c r="M140" s="103"/>
      <x:c r="N140" s="103"/>
    </x:row>
    <x:row r="141">
      <x:c r="A141" s="62" t="str">
        <x:v>V135</x:v>
      </x:c>
      <x:c r="B141" s="62" t="str">
        <x:v>P12</x:v>
      </x:c>
      <x:c r="C141" s="62" t="str">
        <x:v>HC-A</x:v>
      </x:c>
      <x:c r="D141" s="62" t="str">
        <x:v>HC-A-C</x:v>
      </x:c>
      <x:c r="E141" s="62" t="str">
        <x:v>G03 Executable native artifact</x:v>
      </x:c>
      <x:c r="F141" s="82" t="n">
        <x:v>0</x:v>
      </x:c>
      <x:c r="G141" s="62" t="n">
        <x:v>1</x:v>
      </x:c>
      <x:c r="H141" s="80" t="str">
        <x:f>IF(F141=G141,"PASS","OPEN")</x:f>
        <x:v>OPEN</x:v>
      </x:c>
      <x:c r="I141" s="62" t="str">
        <x:v>REWORK</x:v>
      </x:c>
      <x:c r="J141" s="62" t="str">
        <x:v>Artifact validity only</x:v>
      </x:c>
      <x:c r="K141" s="103"/>
      <x:c r="L141" s="103"/>
      <x:c r="M141" s="103"/>
      <x:c r="N141" s="103"/>
    </x:row>
    <x:row r="142">
      <x:c r="A142" s="62" t="str">
        <x:v>V136</x:v>
      </x:c>
      <x:c r="B142" s="62" t="str">
        <x:v>P12</x:v>
      </x:c>
      <x:c r="C142" s="62" t="str">
        <x:v>HC-A</x:v>
      </x:c>
      <x:c r="D142" s="62" t="str">
        <x:v>HC-A-C</x:v>
      </x:c>
      <x:c r="E142" s="62" t="str">
        <x:v>G04 Dependency, tool and material ledger</x:v>
      </x:c>
      <x:c r="F142" s="82" t="n">
        <x:v>0</x:v>
      </x:c>
      <x:c r="G142" s="62" t="n">
        <x:v>1</x:v>
      </x:c>
      <x:c r="H142" s="80" t="str">
        <x:f>IF(F142=G142,"PASS","OPEN")</x:f>
        <x:v>OPEN</x:v>
      </x:c>
      <x:c r="I142" s="62" t="str">
        <x:v>REWORK</x:v>
      </x:c>
      <x:c r="J142" s="62" t="str">
        <x:v>Artifact validity only</x:v>
      </x:c>
      <x:c r="K142" s="103"/>
      <x:c r="L142" s="103"/>
      <x:c r="M142" s="103"/>
      <x:c r="N142" s="103"/>
    </x:row>
    <x:row r="143">
      <x:c r="A143" s="62" t="str">
        <x:v>V137</x:v>
      </x:c>
      <x:c r="B143" s="62" t="str">
        <x:v>P12</x:v>
      </x:c>
      <x:c r="C143" s="62" t="str">
        <x:v>HC-A</x:v>
      </x:c>
      <x:c r="D143" s="62" t="str">
        <x:v>HC-A-C</x:v>
      </x:c>
      <x:c r="E143" s="62" t="str">
        <x:v>G05 Assumption and unknown register</x:v>
      </x:c>
      <x:c r="F143" s="82" t="n">
        <x:v>0</x:v>
      </x:c>
      <x:c r="G143" s="62" t="n">
        <x:v>1</x:v>
      </x:c>
      <x:c r="H143" s="80" t="str">
        <x:f>IF(F143=G143,"PASS","OPEN")</x:f>
        <x:v>OPEN</x:v>
      </x:c>
      <x:c r="I143" s="62" t="str">
        <x:v>REWORK</x:v>
      </x:c>
      <x:c r="J143" s="62" t="str">
        <x:v>Artifact validity only</x:v>
      </x:c>
      <x:c r="K143" s="103"/>
      <x:c r="L143" s="103"/>
      <x:c r="M143" s="103"/>
      <x:c r="N143" s="103"/>
    </x:row>
    <x:row r="144">
      <x:c r="A144" s="62" t="str">
        <x:v>V138</x:v>
      </x:c>
      <x:c r="B144" s="62" t="str">
        <x:v>P12</x:v>
      </x:c>
      <x:c r="C144" s="62" t="str">
        <x:v>HC-A</x:v>
      </x:c>
      <x:c r="D144" s="62" t="str">
        <x:v>HC-A-C</x:v>
      </x:c>
      <x:c r="E144" s="62" t="str">
        <x:v>G06 Independent clean-room replay</x:v>
      </x:c>
      <x:c r="F144" s="82" t="n">
        <x:v>0</x:v>
      </x:c>
      <x:c r="G144" s="62" t="n">
        <x:v>1</x:v>
      </x:c>
      <x:c r="H144" s="80" t="str">
        <x:f>IF(F144=G144,"PASS","OPEN")</x:f>
        <x:v>OPEN</x:v>
      </x:c>
      <x:c r="I144" s="62" t="str">
        <x:v>REWORK</x:v>
      </x:c>
      <x:c r="J144" s="62" t="str">
        <x:v>Artifact validity only</x:v>
      </x:c>
      <x:c r="K144" s="103"/>
      <x:c r="L144" s="103"/>
      <x:c r="M144" s="103"/>
      <x:c r="N144" s="103"/>
    </x:row>
    <x:row r="145">
      <x:c r="A145" s="62" t="str">
        <x:v>V139</x:v>
      </x:c>
      <x:c r="B145" s="62" t="str">
        <x:v>P12</x:v>
      </x:c>
      <x:c r="C145" s="62" t="str">
        <x:v>HC-A</x:v>
      </x:c>
      <x:c r="D145" s="62" t="str">
        <x:v>HC-A-C</x:v>
      </x:c>
      <x:c r="E145" s="62" t="str">
        <x:v>G07 Interface and destructive-test trace</x:v>
      </x:c>
      <x:c r="F145" s="82" t="n">
        <x:v>0</x:v>
      </x:c>
      <x:c r="G145" s="62" t="n">
        <x:v>1</x:v>
      </x:c>
      <x:c r="H145" s="80" t="str">
        <x:f>IF(F145=G145,"PASS","OPEN")</x:f>
        <x:v>OPEN</x:v>
      </x:c>
      <x:c r="I145" s="62" t="str">
        <x:v>REWORK</x:v>
      </x:c>
      <x:c r="J145" s="62" t="str">
        <x:v>Artifact validity only</x:v>
      </x:c>
      <x:c r="K145" s="103"/>
      <x:c r="L145" s="103"/>
      <x:c r="M145" s="103"/>
      <x:c r="N145" s="103"/>
    </x:row>
    <x:row r="146">
      <x:c r="A146" s="62" t="str">
        <x:v>V140</x:v>
      </x:c>
      <x:c r="B146" s="62" t="str">
        <x:v>P12</x:v>
      </x:c>
      <x:c r="C146" s="62" t="str">
        <x:v>HC-A</x:v>
      </x:c>
      <x:c r="D146" s="62" t="str">
        <x:v>HC-A-C</x:v>
      </x:c>
      <x:c r="E146" s="62" t="str">
        <x:v>G08 Rights and safe-state closure</x:v>
      </x:c>
      <x:c r="F146" s="82" t="n">
        <x:v>0</x:v>
      </x:c>
      <x:c r="G146" s="62" t="n">
        <x:v>1</x:v>
      </x:c>
      <x:c r="H146" s="80" t="str">
        <x:f>IF(F146=G146,"PASS","OPEN")</x:f>
        <x:v>OPEN</x:v>
      </x:c>
      <x:c r="I146" s="62" t="str">
        <x:v>REWORK</x:v>
      </x:c>
      <x:c r="J146" s="62" t="str">
        <x:v>Artifact validity only</x:v>
      </x:c>
      <x:c r="K146" s="103"/>
      <x:c r="L146" s="103"/>
      <x:c r="M146" s="103"/>
      <x:c r="N146" s="103"/>
    </x:row>
    <x:row r="147">
      <x:c r="A147" s="62" t="str">
        <x:v>V141</x:v>
      </x:c>
      <x:c r="B147" s="62" t="str">
        <x:v>P12</x:v>
      </x:c>
      <x:c r="C147" s="62" t="str">
        <x:v>HC-A</x:v>
      </x:c>
      <x:c r="D147" s="62" t="str">
        <x:v>HC-A-C</x:v>
      </x:c>
      <x:c r="E147" s="62" t="str">
        <x:v>G09 Receiver and residual closure</x:v>
      </x:c>
      <x:c r="F147" s="82" t="n">
        <x:v>0</x:v>
      </x:c>
      <x:c r="G147" s="62" t="n">
        <x:v>1</x:v>
      </x:c>
      <x:c r="H147" s="80" t="str">
        <x:f>IF(F147=G147,"PASS","OPEN")</x:f>
        <x:v>OPEN</x:v>
      </x:c>
      <x:c r="I147" s="62" t="str">
        <x:v>REWORK</x:v>
      </x:c>
      <x:c r="J147" s="62" t="str">
        <x:v>Artifact validity only</x:v>
      </x:c>
      <x:c r="K147" s="103"/>
      <x:c r="L147" s="103"/>
      <x:c r="M147" s="103"/>
      <x:c r="N147" s="103"/>
    </x:row>
    <x:row r="148">
      <x:c r="A148" s="62" t="str">
        <x:v>V142</x:v>
      </x:c>
      <x:c r="B148" s="62" t="str">
        <x:v>P12</x:v>
      </x:c>
      <x:c r="C148" s="62" t="str">
        <x:v>HC-A</x:v>
      </x:c>
      <x:c r="D148" s="62" t="str">
        <x:v>HC-A-C</x:v>
      </x:c>
      <x:c r="E148" s="62" t="str">
        <x:v>G10 Challenge response and terminal archive</x:v>
      </x:c>
      <x:c r="F148" s="82" t="n">
        <x:v>0</x:v>
      </x:c>
      <x:c r="G148" s="62" t="n">
        <x:v>1</x:v>
      </x:c>
      <x:c r="H148" s="80" t="str">
        <x:f>IF(F148=G148,"PASS","OPEN")</x:f>
        <x:v>OPEN</x:v>
      </x:c>
      <x:c r="I148" s="62" t="str">
        <x:v>REWORK</x:v>
      </x:c>
      <x:c r="J148" s="62" t="str">
        <x:v>Artifact validity only</x:v>
      </x:c>
      <x:c r="K148" s="103"/>
      <x:c r="L148" s="103"/>
      <x:c r="M148" s="103"/>
      <x:c r="N148" s="103"/>
    </x:row>
    <x:row r="149">
      <x:c r="A149" s="62" t="str">
        <x:v>V143</x:v>
      </x:c>
      <x:c r="B149" s="62" t="str">
        <x:v>P12</x:v>
      </x:c>
      <x:c r="C149" s="62" t="str">
        <x:v>HC-A</x:v>
      </x:c>
      <x:c r="D149" s="62" t="str">
        <x:v>HC-A-C</x:v>
      </x:c>
      <x:c r="E149" s="62" t="str">
        <x:v>G11 No sibling performance exposure</x:v>
      </x:c>
      <x:c r="F149" s="82" t="n">
        <x:v>1</x:v>
      </x:c>
      <x:c r="G149" s="62" t="n">
        <x:v>1</x:v>
      </x:c>
      <x:c r="H149" s="80" t="str">
        <x:f>IF(F149=G149,"PASS","OPEN")</x:f>
        <x:v>PASS</x:v>
      </x:c>
      <x:c r="I149" s="62" t="str">
        <x:v>TERMINATE CELL</x:v>
      </x:c>
      <x:c r="J149" s="62" t="str">
        <x:v>Constitutional independence</x:v>
      </x:c>
      <x:c r="K149" s="103"/>
      <x:c r="L149" s="103"/>
      <x:c r="M149" s="103"/>
      <x:c r="N149" s="103"/>
    </x:row>
    <x:row r="150">
      <x:c r="A150" s="62" t="str">
        <x:v>V144</x:v>
      </x:c>
      <x:c r="B150" s="62" t="str">
        <x:v>P12</x:v>
      </x:c>
      <x:c r="C150" s="62" t="str">
        <x:v>HC-A</x:v>
      </x:c>
      <x:c r="D150" s="62" t="str">
        <x:v>HC-A-C</x:v>
      </x:c>
      <x:c r="E150" s="62" t="str">
        <x:v>G12 Builder and validity control separated</x:v>
      </x:c>
      <x:c r="F150" s="82" t="n">
        <x:v>1</x:v>
      </x:c>
      <x:c r="G150" s="62" t="n">
        <x:v>1</x:v>
      </x:c>
      <x:c r="H150" s="80" t="str">
        <x:f>IF(F150=G150,"PASS","OPEN")</x:f>
        <x:v>PASS</x:v>
      </x:c>
      <x:c r="I150" s="62" t="str">
        <x:v>TERMINATE CELL</x:v>
      </x:c>
      <x:c r="J150" s="62" t="str">
        <x:v>Constitutional independence</x:v>
      </x:c>
      <x:c r="K150" s="103"/>
      <x:c r="L150" s="103"/>
      <x:c r="M150" s="103"/>
      <x:c r="N150" s="103"/>
    </x:row>
    <x:row r="151">
      <x:c r="A151" s="62" t="str">
        <x:v>V145</x:v>
      </x:c>
      <x:c r="B151" s="62" t="str">
        <x:v>P13</x:v>
      </x:c>
      <x:c r="C151" s="62" t="str">
        <x:v>HC-A</x:v>
      </x:c>
      <x:c r="D151" s="62" t="str">
        <x:v>HC-A-C</x:v>
      </x:c>
      <x:c r="E151" s="62" t="str">
        <x:v>G01 Source manifest and authorship</x:v>
      </x:c>
      <x:c r="F151" s="82" t="n">
        <x:v>0</x:v>
      </x:c>
      <x:c r="G151" s="62" t="n">
        <x:v>1</x:v>
      </x:c>
      <x:c r="H151" s="80" t="str">
        <x:f>IF(F151=G151,"PASS","OPEN")</x:f>
        <x:v>OPEN</x:v>
      </x:c>
      <x:c r="I151" s="62" t="str">
        <x:v>REWORK</x:v>
      </x:c>
      <x:c r="J151" s="62" t="str">
        <x:v>Artifact validity only</x:v>
      </x:c>
      <x:c r="K151" s="103"/>
      <x:c r="L151" s="103"/>
      <x:c r="M151" s="103"/>
      <x:c r="N151" s="103"/>
    </x:row>
    <x:row r="152">
      <x:c r="A152" s="62" t="str">
        <x:v>V146</x:v>
      </x:c>
      <x:c r="B152" s="62" t="str">
        <x:v>P13</x:v>
      </x:c>
      <x:c r="C152" s="62" t="str">
        <x:v>HC-A</x:v>
      </x:c>
      <x:c r="D152" s="62" t="str">
        <x:v>HC-A-C</x:v>
      </x:c>
      <x:c r="E152" s="62" t="str">
        <x:v>G02 Frozen configuration hash</x:v>
      </x:c>
      <x:c r="F152" s="82" t="n">
        <x:v>0</x:v>
      </x:c>
      <x:c r="G152" s="62" t="n">
        <x:v>1</x:v>
      </x:c>
      <x:c r="H152" s="80" t="str">
        <x:f>IF(F152=G152,"PASS","OPEN")</x:f>
        <x:v>OPEN</x:v>
      </x:c>
      <x:c r="I152" s="62" t="str">
        <x:v>REWORK</x:v>
      </x:c>
      <x:c r="J152" s="62" t="str">
        <x:v>Artifact validity only</x:v>
      </x:c>
      <x:c r="K152" s="103"/>
      <x:c r="L152" s="103"/>
      <x:c r="M152" s="103"/>
      <x:c r="N152" s="103"/>
    </x:row>
    <x:row r="153">
      <x:c r="A153" s="62" t="str">
        <x:v>V147</x:v>
      </x:c>
      <x:c r="B153" s="62" t="str">
        <x:v>P13</x:v>
      </x:c>
      <x:c r="C153" s="62" t="str">
        <x:v>HC-A</x:v>
      </x:c>
      <x:c r="D153" s="62" t="str">
        <x:v>HC-A-C</x:v>
      </x:c>
      <x:c r="E153" s="62" t="str">
        <x:v>G03 Executable native artifact</x:v>
      </x:c>
      <x:c r="F153" s="82" t="n">
        <x:v>0</x:v>
      </x:c>
      <x:c r="G153" s="62" t="n">
        <x:v>1</x:v>
      </x:c>
      <x:c r="H153" s="80" t="str">
        <x:f>IF(F153=G153,"PASS","OPEN")</x:f>
        <x:v>OPEN</x:v>
      </x:c>
      <x:c r="I153" s="62" t="str">
        <x:v>REWORK</x:v>
      </x:c>
      <x:c r="J153" s="62" t="str">
        <x:v>Artifact validity only</x:v>
      </x:c>
      <x:c r="K153" s="103"/>
      <x:c r="L153" s="103"/>
      <x:c r="M153" s="103"/>
      <x:c r="N153" s="103"/>
    </x:row>
    <x:row r="154">
      <x:c r="A154" s="62" t="str">
        <x:v>V148</x:v>
      </x:c>
      <x:c r="B154" s="62" t="str">
        <x:v>P13</x:v>
      </x:c>
      <x:c r="C154" s="62" t="str">
        <x:v>HC-A</x:v>
      </x:c>
      <x:c r="D154" s="62" t="str">
        <x:v>HC-A-C</x:v>
      </x:c>
      <x:c r="E154" s="62" t="str">
        <x:v>G04 Dependency, tool and material ledger</x:v>
      </x:c>
      <x:c r="F154" s="82" t="n">
        <x:v>0</x:v>
      </x:c>
      <x:c r="G154" s="62" t="n">
        <x:v>1</x:v>
      </x:c>
      <x:c r="H154" s="80" t="str">
        <x:f>IF(F154=G154,"PASS","OPEN")</x:f>
        <x:v>OPEN</x:v>
      </x:c>
      <x:c r="I154" s="62" t="str">
        <x:v>REWORK</x:v>
      </x:c>
      <x:c r="J154" s="62" t="str">
        <x:v>Artifact validity only</x:v>
      </x:c>
      <x:c r="K154" s="103"/>
      <x:c r="L154" s="103"/>
      <x:c r="M154" s="103"/>
      <x:c r="N154" s="103"/>
    </x:row>
    <x:row r="155">
      <x:c r="A155" s="62" t="str">
        <x:v>V149</x:v>
      </x:c>
      <x:c r="B155" s="62" t="str">
        <x:v>P13</x:v>
      </x:c>
      <x:c r="C155" s="62" t="str">
        <x:v>HC-A</x:v>
      </x:c>
      <x:c r="D155" s="62" t="str">
        <x:v>HC-A-C</x:v>
      </x:c>
      <x:c r="E155" s="62" t="str">
        <x:v>G05 Assumption and unknown register</x:v>
      </x:c>
      <x:c r="F155" s="82" t="n">
        <x:v>0</x:v>
      </x:c>
      <x:c r="G155" s="62" t="n">
        <x:v>1</x:v>
      </x:c>
      <x:c r="H155" s="80" t="str">
        <x:f>IF(F155=G155,"PASS","OPEN")</x:f>
        <x:v>OPEN</x:v>
      </x:c>
      <x:c r="I155" s="62" t="str">
        <x:v>REWORK</x:v>
      </x:c>
      <x:c r="J155" s="62" t="str">
        <x:v>Artifact validity only</x:v>
      </x:c>
      <x:c r="K155" s="103"/>
      <x:c r="L155" s="103"/>
      <x:c r="M155" s="103"/>
      <x:c r="N155" s="103"/>
    </x:row>
    <x:row r="156">
      <x:c r="A156" s="62" t="str">
        <x:v>V150</x:v>
      </x:c>
      <x:c r="B156" s="62" t="str">
        <x:v>P13</x:v>
      </x:c>
      <x:c r="C156" s="62" t="str">
        <x:v>HC-A</x:v>
      </x:c>
      <x:c r="D156" s="62" t="str">
        <x:v>HC-A-C</x:v>
      </x:c>
      <x:c r="E156" s="62" t="str">
        <x:v>G06 Independent clean-room replay</x:v>
      </x:c>
      <x:c r="F156" s="82" t="n">
        <x:v>0</x:v>
      </x:c>
      <x:c r="G156" s="62" t="n">
        <x:v>1</x:v>
      </x:c>
      <x:c r="H156" s="80" t="str">
        <x:f>IF(F156=G156,"PASS","OPEN")</x:f>
        <x:v>OPEN</x:v>
      </x:c>
      <x:c r="I156" s="62" t="str">
        <x:v>REWORK</x:v>
      </x:c>
      <x:c r="J156" s="62" t="str">
        <x:v>Artifact validity only</x:v>
      </x:c>
      <x:c r="K156" s="103"/>
      <x:c r="L156" s="103"/>
      <x:c r="M156" s="103"/>
      <x:c r="N156" s="103"/>
    </x:row>
    <x:row r="157">
      <x:c r="A157" s="62" t="str">
        <x:v>V151</x:v>
      </x:c>
      <x:c r="B157" s="62" t="str">
        <x:v>P13</x:v>
      </x:c>
      <x:c r="C157" s="62" t="str">
        <x:v>HC-A</x:v>
      </x:c>
      <x:c r="D157" s="62" t="str">
        <x:v>HC-A-C</x:v>
      </x:c>
      <x:c r="E157" s="62" t="str">
        <x:v>G07 Interface and destructive-test trace</x:v>
      </x:c>
      <x:c r="F157" s="82" t="n">
        <x:v>0</x:v>
      </x:c>
      <x:c r="G157" s="62" t="n">
        <x:v>1</x:v>
      </x:c>
      <x:c r="H157" s="80" t="str">
        <x:f>IF(F157=G157,"PASS","OPEN")</x:f>
        <x:v>OPEN</x:v>
      </x:c>
      <x:c r="I157" s="62" t="str">
        <x:v>REWORK</x:v>
      </x:c>
      <x:c r="J157" s="62" t="str">
        <x:v>Artifact validity only</x:v>
      </x:c>
      <x:c r="K157" s="103"/>
      <x:c r="L157" s="103"/>
      <x:c r="M157" s="103"/>
      <x:c r="N157" s="103"/>
    </x:row>
    <x:row r="158">
      <x:c r="A158" s="62" t="str">
        <x:v>V152</x:v>
      </x:c>
      <x:c r="B158" s="62" t="str">
        <x:v>P13</x:v>
      </x:c>
      <x:c r="C158" s="62" t="str">
        <x:v>HC-A</x:v>
      </x:c>
      <x:c r="D158" s="62" t="str">
        <x:v>HC-A-C</x:v>
      </x:c>
      <x:c r="E158" s="62" t="str">
        <x:v>G08 Rights and safe-state closure</x:v>
      </x:c>
      <x:c r="F158" s="82" t="n">
        <x:v>0</x:v>
      </x:c>
      <x:c r="G158" s="62" t="n">
        <x:v>1</x:v>
      </x:c>
      <x:c r="H158" s="80" t="str">
        <x:f>IF(F158=G158,"PASS","OPEN")</x:f>
        <x:v>OPEN</x:v>
      </x:c>
      <x:c r="I158" s="62" t="str">
        <x:v>REWORK</x:v>
      </x:c>
      <x:c r="J158" s="62" t="str">
        <x:v>Artifact validity only</x:v>
      </x:c>
      <x:c r="K158" s="103"/>
      <x:c r="L158" s="103"/>
      <x:c r="M158" s="103"/>
      <x:c r="N158" s="103"/>
    </x:row>
    <x:row r="159">
      <x:c r="A159" s="62" t="str">
        <x:v>V153</x:v>
      </x:c>
      <x:c r="B159" s="62" t="str">
        <x:v>P13</x:v>
      </x:c>
      <x:c r="C159" s="62" t="str">
        <x:v>HC-A</x:v>
      </x:c>
      <x:c r="D159" s="62" t="str">
        <x:v>HC-A-C</x:v>
      </x:c>
      <x:c r="E159" s="62" t="str">
        <x:v>G09 Receiver and residual closure</x:v>
      </x:c>
      <x:c r="F159" s="82" t="n">
        <x:v>0</x:v>
      </x:c>
      <x:c r="G159" s="62" t="n">
        <x:v>1</x:v>
      </x:c>
      <x:c r="H159" s="80" t="str">
        <x:f>IF(F159=G159,"PASS","OPEN")</x:f>
        <x:v>OPEN</x:v>
      </x:c>
      <x:c r="I159" s="62" t="str">
        <x:v>REWORK</x:v>
      </x:c>
      <x:c r="J159" s="62" t="str">
        <x:v>Artifact validity only</x:v>
      </x:c>
      <x:c r="K159" s="103"/>
      <x:c r="L159" s="103"/>
      <x:c r="M159" s="103"/>
      <x:c r="N159" s="103"/>
    </x:row>
    <x:row r="160">
      <x:c r="A160" s="62" t="str">
        <x:v>V154</x:v>
      </x:c>
      <x:c r="B160" s="62" t="str">
        <x:v>P13</x:v>
      </x:c>
      <x:c r="C160" s="62" t="str">
        <x:v>HC-A</x:v>
      </x:c>
      <x:c r="D160" s="62" t="str">
        <x:v>HC-A-C</x:v>
      </x:c>
      <x:c r="E160" s="62" t="str">
        <x:v>G10 Challenge response and terminal archive</x:v>
      </x:c>
      <x:c r="F160" s="82" t="n">
        <x:v>0</x:v>
      </x:c>
      <x:c r="G160" s="62" t="n">
        <x:v>1</x:v>
      </x:c>
      <x:c r="H160" s="80" t="str">
        <x:f>IF(F160=G160,"PASS","OPEN")</x:f>
        <x:v>OPEN</x:v>
      </x:c>
      <x:c r="I160" s="62" t="str">
        <x:v>REWORK</x:v>
      </x:c>
      <x:c r="J160" s="62" t="str">
        <x:v>Artifact validity only</x:v>
      </x:c>
      <x:c r="K160" s="103"/>
      <x:c r="L160" s="103"/>
      <x:c r="M160" s="103"/>
      <x:c r="N160" s="103"/>
    </x:row>
    <x:row r="161">
      <x:c r="A161" s="62" t="str">
        <x:v>V155</x:v>
      </x:c>
      <x:c r="B161" s="62" t="str">
        <x:v>P13</x:v>
      </x:c>
      <x:c r="C161" s="62" t="str">
        <x:v>HC-A</x:v>
      </x:c>
      <x:c r="D161" s="62" t="str">
        <x:v>HC-A-C</x:v>
      </x:c>
      <x:c r="E161" s="62" t="str">
        <x:v>G11 No sibling performance exposure</x:v>
      </x:c>
      <x:c r="F161" s="82" t="n">
        <x:v>1</x:v>
      </x:c>
      <x:c r="G161" s="62" t="n">
        <x:v>1</x:v>
      </x:c>
      <x:c r="H161" s="80" t="str">
        <x:f>IF(F161=G161,"PASS","OPEN")</x:f>
        <x:v>PASS</x:v>
      </x:c>
      <x:c r="I161" s="62" t="str">
        <x:v>TERMINATE CELL</x:v>
      </x:c>
      <x:c r="J161" s="62" t="str">
        <x:v>Constitutional independence</x:v>
      </x:c>
      <x:c r="K161" s="103"/>
      <x:c r="L161" s="103"/>
      <x:c r="M161" s="103"/>
      <x:c r="N161" s="103"/>
    </x:row>
    <x:row r="162">
      <x:c r="A162" s="62" t="str">
        <x:v>V156</x:v>
      </x:c>
      <x:c r="B162" s="62" t="str">
        <x:v>P13</x:v>
      </x:c>
      <x:c r="C162" s="62" t="str">
        <x:v>HC-A</x:v>
      </x:c>
      <x:c r="D162" s="62" t="str">
        <x:v>HC-A-C</x:v>
      </x:c>
      <x:c r="E162" s="62" t="str">
        <x:v>G12 Builder and validity control separated</x:v>
      </x:c>
      <x:c r="F162" s="82" t="n">
        <x:v>1</x:v>
      </x:c>
      <x:c r="G162" s="62" t="n">
        <x:v>1</x:v>
      </x:c>
      <x:c r="H162" s="80" t="str">
        <x:f>IF(F162=G162,"PASS","OPEN")</x:f>
        <x:v>PASS</x:v>
      </x:c>
      <x:c r="I162" s="62" t="str">
        <x:v>TERMINATE CELL</x:v>
      </x:c>
      <x:c r="J162" s="62" t="str">
        <x:v>Constitutional independence</x:v>
      </x:c>
      <x:c r="K162" s="103"/>
      <x:c r="L162" s="103"/>
      <x:c r="M162" s="103"/>
      <x:c r="N162" s="103"/>
    </x:row>
    <x:row r="163">
      <x:c r="A163" s="62" t="str">
        <x:v>V157</x:v>
      </x:c>
      <x:c r="B163" s="62" t="str">
        <x:v>P14</x:v>
      </x:c>
      <x:c r="C163" s="62" t="str">
        <x:v>HC-A</x:v>
      </x:c>
      <x:c r="D163" s="62" t="str">
        <x:v>HC-A-C</x:v>
      </x:c>
      <x:c r="E163" s="62" t="str">
        <x:v>G01 Source manifest and authorship</x:v>
      </x:c>
      <x:c r="F163" s="82" t="n">
        <x:v>0</x:v>
      </x:c>
      <x:c r="G163" s="62" t="n">
        <x:v>1</x:v>
      </x:c>
      <x:c r="H163" s="80" t="str">
        <x:f>IF(F163=G163,"PASS","OPEN")</x:f>
        <x:v>OPEN</x:v>
      </x:c>
      <x:c r="I163" s="62" t="str">
        <x:v>REWORK</x:v>
      </x:c>
      <x:c r="J163" s="62" t="str">
        <x:v>Artifact validity only</x:v>
      </x:c>
      <x:c r="K163" s="103"/>
      <x:c r="L163" s="103"/>
      <x:c r="M163" s="103"/>
      <x:c r="N163" s="103"/>
    </x:row>
    <x:row r="164">
      <x:c r="A164" s="62" t="str">
        <x:v>V158</x:v>
      </x:c>
      <x:c r="B164" s="62" t="str">
        <x:v>P14</x:v>
      </x:c>
      <x:c r="C164" s="62" t="str">
        <x:v>HC-A</x:v>
      </x:c>
      <x:c r="D164" s="62" t="str">
        <x:v>HC-A-C</x:v>
      </x:c>
      <x:c r="E164" s="62" t="str">
        <x:v>G02 Frozen configuration hash</x:v>
      </x:c>
      <x:c r="F164" s="82" t="n">
        <x:v>0</x:v>
      </x:c>
      <x:c r="G164" s="62" t="n">
        <x:v>1</x:v>
      </x:c>
      <x:c r="H164" s="80" t="str">
        <x:f>IF(F164=G164,"PASS","OPEN")</x:f>
        <x:v>OPEN</x:v>
      </x:c>
      <x:c r="I164" s="62" t="str">
        <x:v>REWORK</x:v>
      </x:c>
      <x:c r="J164" s="62" t="str">
        <x:v>Artifact validity only</x:v>
      </x:c>
      <x:c r="K164" s="103"/>
      <x:c r="L164" s="103"/>
      <x:c r="M164" s="103"/>
      <x:c r="N164" s="103"/>
    </x:row>
    <x:row r="165">
      <x:c r="A165" s="62" t="str">
        <x:v>V159</x:v>
      </x:c>
      <x:c r="B165" s="62" t="str">
        <x:v>P14</x:v>
      </x:c>
      <x:c r="C165" s="62" t="str">
        <x:v>HC-A</x:v>
      </x:c>
      <x:c r="D165" s="62" t="str">
        <x:v>HC-A-C</x:v>
      </x:c>
      <x:c r="E165" s="62" t="str">
        <x:v>G03 Executable native artifact</x:v>
      </x:c>
      <x:c r="F165" s="82" t="n">
        <x:v>0</x:v>
      </x:c>
      <x:c r="G165" s="62" t="n">
        <x:v>1</x:v>
      </x:c>
      <x:c r="H165" s="80" t="str">
        <x:f>IF(F165=G165,"PASS","OPEN")</x:f>
        <x:v>OPEN</x:v>
      </x:c>
      <x:c r="I165" s="62" t="str">
        <x:v>REWORK</x:v>
      </x:c>
      <x:c r="J165" s="62" t="str">
        <x:v>Artifact validity only</x:v>
      </x:c>
      <x:c r="K165" s="103"/>
      <x:c r="L165" s="103"/>
      <x:c r="M165" s="103"/>
      <x:c r="N165" s="103"/>
    </x:row>
    <x:row r="166">
      <x:c r="A166" s="62" t="str">
        <x:v>V160</x:v>
      </x:c>
      <x:c r="B166" s="62" t="str">
        <x:v>P14</x:v>
      </x:c>
      <x:c r="C166" s="62" t="str">
        <x:v>HC-A</x:v>
      </x:c>
      <x:c r="D166" s="62" t="str">
        <x:v>HC-A-C</x:v>
      </x:c>
      <x:c r="E166" s="62" t="str">
        <x:v>G04 Dependency, tool and material ledger</x:v>
      </x:c>
      <x:c r="F166" s="82" t="n">
        <x:v>0</x:v>
      </x:c>
      <x:c r="G166" s="62" t="n">
        <x:v>1</x:v>
      </x:c>
      <x:c r="H166" s="80" t="str">
        <x:f>IF(F166=G166,"PASS","OPEN")</x:f>
        <x:v>OPEN</x:v>
      </x:c>
      <x:c r="I166" s="62" t="str">
        <x:v>REWORK</x:v>
      </x:c>
      <x:c r="J166" s="62" t="str">
        <x:v>Artifact validity only</x:v>
      </x:c>
      <x:c r="K166" s="103"/>
      <x:c r="L166" s="103"/>
      <x:c r="M166" s="103"/>
      <x:c r="N166" s="103"/>
    </x:row>
    <x:row r="167">
      <x:c r="A167" s="62" t="str">
        <x:v>V161</x:v>
      </x:c>
      <x:c r="B167" s="62" t="str">
        <x:v>P14</x:v>
      </x:c>
      <x:c r="C167" s="62" t="str">
        <x:v>HC-A</x:v>
      </x:c>
      <x:c r="D167" s="62" t="str">
        <x:v>HC-A-C</x:v>
      </x:c>
      <x:c r="E167" s="62" t="str">
        <x:v>G05 Assumption and unknown register</x:v>
      </x:c>
      <x:c r="F167" s="82" t="n">
        <x:v>0</x:v>
      </x:c>
      <x:c r="G167" s="62" t="n">
        <x:v>1</x:v>
      </x:c>
      <x:c r="H167" s="80" t="str">
        <x:f>IF(F167=G167,"PASS","OPEN")</x:f>
        <x:v>OPEN</x:v>
      </x:c>
      <x:c r="I167" s="62" t="str">
        <x:v>REWORK</x:v>
      </x:c>
      <x:c r="J167" s="62" t="str">
        <x:v>Artifact validity only</x:v>
      </x:c>
      <x:c r="K167" s="103"/>
      <x:c r="L167" s="103"/>
      <x:c r="M167" s="103"/>
      <x:c r="N167" s="103"/>
    </x:row>
    <x:row r="168">
      <x:c r="A168" s="62" t="str">
        <x:v>V162</x:v>
      </x:c>
      <x:c r="B168" s="62" t="str">
        <x:v>P14</x:v>
      </x:c>
      <x:c r="C168" s="62" t="str">
        <x:v>HC-A</x:v>
      </x:c>
      <x:c r="D168" s="62" t="str">
        <x:v>HC-A-C</x:v>
      </x:c>
      <x:c r="E168" s="62" t="str">
        <x:v>G06 Independent clean-room replay</x:v>
      </x:c>
      <x:c r="F168" s="82" t="n">
        <x:v>0</x:v>
      </x:c>
      <x:c r="G168" s="62" t="n">
        <x:v>1</x:v>
      </x:c>
      <x:c r="H168" s="80" t="str">
        <x:f>IF(F168=G168,"PASS","OPEN")</x:f>
        <x:v>OPEN</x:v>
      </x:c>
      <x:c r="I168" s="62" t="str">
        <x:v>REWORK</x:v>
      </x:c>
      <x:c r="J168" s="62" t="str">
        <x:v>Artifact validity only</x:v>
      </x:c>
      <x:c r="K168" s="103"/>
      <x:c r="L168" s="103"/>
      <x:c r="M168" s="103"/>
      <x:c r="N168" s="103"/>
    </x:row>
    <x:row r="169">
      <x:c r="A169" s="62" t="str">
        <x:v>V163</x:v>
      </x:c>
      <x:c r="B169" s="62" t="str">
        <x:v>P14</x:v>
      </x:c>
      <x:c r="C169" s="62" t="str">
        <x:v>HC-A</x:v>
      </x:c>
      <x:c r="D169" s="62" t="str">
        <x:v>HC-A-C</x:v>
      </x:c>
      <x:c r="E169" s="62" t="str">
        <x:v>G07 Interface and destructive-test trace</x:v>
      </x:c>
      <x:c r="F169" s="82" t="n">
        <x:v>0</x:v>
      </x:c>
      <x:c r="G169" s="62" t="n">
        <x:v>1</x:v>
      </x:c>
      <x:c r="H169" s="80" t="str">
        <x:f>IF(F169=G169,"PASS","OPEN")</x:f>
        <x:v>OPEN</x:v>
      </x:c>
      <x:c r="I169" s="62" t="str">
        <x:v>REWORK</x:v>
      </x:c>
      <x:c r="J169" s="62" t="str">
        <x:v>Artifact validity only</x:v>
      </x:c>
      <x:c r="K169" s="103"/>
      <x:c r="L169" s="103"/>
      <x:c r="M169" s="103"/>
      <x:c r="N169" s="103"/>
    </x:row>
    <x:row r="170">
      <x:c r="A170" s="62" t="str">
        <x:v>V164</x:v>
      </x:c>
      <x:c r="B170" s="62" t="str">
        <x:v>P14</x:v>
      </x:c>
      <x:c r="C170" s="62" t="str">
        <x:v>HC-A</x:v>
      </x:c>
      <x:c r="D170" s="62" t="str">
        <x:v>HC-A-C</x:v>
      </x:c>
      <x:c r="E170" s="62" t="str">
        <x:v>G08 Rights and safe-state closure</x:v>
      </x:c>
      <x:c r="F170" s="82" t="n">
        <x:v>0</x:v>
      </x:c>
      <x:c r="G170" s="62" t="n">
        <x:v>1</x:v>
      </x:c>
      <x:c r="H170" s="80" t="str">
        <x:f>IF(F170=G170,"PASS","OPEN")</x:f>
        <x:v>OPEN</x:v>
      </x:c>
      <x:c r="I170" s="62" t="str">
        <x:v>REWORK</x:v>
      </x:c>
      <x:c r="J170" s="62" t="str">
        <x:v>Artifact validity only</x:v>
      </x:c>
      <x:c r="K170" s="103"/>
      <x:c r="L170" s="103"/>
      <x:c r="M170" s="103"/>
      <x:c r="N170" s="103"/>
    </x:row>
    <x:row r="171">
      <x:c r="A171" s="62" t="str">
        <x:v>V165</x:v>
      </x:c>
      <x:c r="B171" s="62" t="str">
        <x:v>P14</x:v>
      </x:c>
      <x:c r="C171" s="62" t="str">
        <x:v>HC-A</x:v>
      </x:c>
      <x:c r="D171" s="62" t="str">
        <x:v>HC-A-C</x:v>
      </x:c>
      <x:c r="E171" s="62" t="str">
        <x:v>G09 Receiver and residual closure</x:v>
      </x:c>
      <x:c r="F171" s="82" t="n">
        <x:v>0</x:v>
      </x:c>
      <x:c r="G171" s="62" t="n">
        <x:v>1</x:v>
      </x:c>
      <x:c r="H171" s="80" t="str">
        <x:f>IF(F171=G171,"PASS","OPEN")</x:f>
        <x:v>OPEN</x:v>
      </x:c>
      <x:c r="I171" s="62" t="str">
        <x:v>REWORK</x:v>
      </x:c>
      <x:c r="J171" s="62" t="str">
        <x:v>Artifact validity only</x:v>
      </x:c>
      <x:c r="K171" s="103"/>
      <x:c r="L171" s="103"/>
      <x:c r="M171" s="103"/>
      <x:c r="N171" s="103"/>
    </x:row>
    <x:row r="172">
      <x:c r="A172" s="62" t="str">
        <x:v>V166</x:v>
      </x:c>
      <x:c r="B172" s="62" t="str">
        <x:v>P14</x:v>
      </x:c>
      <x:c r="C172" s="62" t="str">
        <x:v>HC-A</x:v>
      </x:c>
      <x:c r="D172" s="62" t="str">
        <x:v>HC-A-C</x:v>
      </x:c>
      <x:c r="E172" s="62" t="str">
        <x:v>G10 Challenge response and terminal archive</x:v>
      </x:c>
      <x:c r="F172" s="82" t="n">
        <x:v>0</x:v>
      </x:c>
      <x:c r="G172" s="62" t="n">
        <x:v>1</x:v>
      </x:c>
      <x:c r="H172" s="80" t="str">
        <x:f>IF(F172=G172,"PASS","OPEN")</x:f>
        <x:v>OPEN</x:v>
      </x:c>
      <x:c r="I172" s="62" t="str">
        <x:v>REWORK</x:v>
      </x:c>
      <x:c r="J172" s="62" t="str">
        <x:v>Artifact validity only</x:v>
      </x:c>
      <x:c r="K172" s="103"/>
      <x:c r="L172" s="103"/>
      <x:c r="M172" s="103"/>
      <x:c r="N172" s="103"/>
    </x:row>
    <x:row r="173">
      <x:c r="A173" s="62" t="str">
        <x:v>V167</x:v>
      </x:c>
      <x:c r="B173" s="62" t="str">
        <x:v>P14</x:v>
      </x:c>
      <x:c r="C173" s="62" t="str">
        <x:v>HC-A</x:v>
      </x:c>
      <x:c r="D173" s="62" t="str">
        <x:v>HC-A-C</x:v>
      </x:c>
      <x:c r="E173" s="62" t="str">
        <x:v>G11 No sibling performance exposure</x:v>
      </x:c>
      <x:c r="F173" s="82" t="n">
        <x:v>1</x:v>
      </x:c>
      <x:c r="G173" s="62" t="n">
        <x:v>1</x:v>
      </x:c>
      <x:c r="H173" s="80" t="str">
        <x:f>IF(F173=G173,"PASS","OPEN")</x:f>
        <x:v>PASS</x:v>
      </x:c>
      <x:c r="I173" s="62" t="str">
        <x:v>TERMINATE CELL</x:v>
      </x:c>
      <x:c r="J173" s="62" t="str">
        <x:v>Constitutional independence</x:v>
      </x:c>
      <x:c r="K173" s="103"/>
      <x:c r="L173" s="103"/>
      <x:c r="M173" s="103"/>
      <x:c r="N173" s="103"/>
    </x:row>
    <x:row r="174">
      <x:c r="A174" s="62" t="str">
        <x:v>V168</x:v>
      </x:c>
      <x:c r="B174" s="62" t="str">
        <x:v>P14</x:v>
      </x:c>
      <x:c r="C174" s="62" t="str">
        <x:v>HC-A</x:v>
      </x:c>
      <x:c r="D174" s="62" t="str">
        <x:v>HC-A-C</x:v>
      </x:c>
      <x:c r="E174" s="62" t="str">
        <x:v>G12 Builder and validity control separated</x:v>
      </x:c>
      <x:c r="F174" s="82" t="n">
        <x:v>1</x:v>
      </x:c>
      <x:c r="G174" s="62" t="n">
        <x:v>1</x:v>
      </x:c>
      <x:c r="H174" s="80" t="str">
        <x:f>IF(F174=G174,"PASS","OPEN")</x:f>
        <x:v>PASS</x:v>
      </x:c>
      <x:c r="I174" s="62" t="str">
        <x:v>TERMINATE CELL</x:v>
      </x:c>
      <x:c r="J174" s="62" t="str">
        <x:v>Constitutional independence</x:v>
      </x:c>
      <x:c r="K174" s="103"/>
      <x:c r="L174" s="103"/>
      <x:c r="M174" s="103"/>
      <x:c r="N174" s="103"/>
    </x:row>
    <x:row r="175">
      <x:c r="A175" s="62" t="str">
        <x:v>V169</x:v>
      </x:c>
      <x:c r="B175" s="62" t="str">
        <x:v>P15</x:v>
      </x:c>
      <x:c r="C175" s="62" t="str">
        <x:v>HC-A</x:v>
      </x:c>
      <x:c r="D175" s="62" t="str">
        <x:v>HC-A-C</x:v>
      </x:c>
      <x:c r="E175" s="62" t="str">
        <x:v>G01 Source manifest and authorship</x:v>
      </x:c>
      <x:c r="F175" s="82" t="n">
        <x:v>0</x:v>
      </x:c>
      <x:c r="G175" s="62" t="n">
        <x:v>1</x:v>
      </x:c>
      <x:c r="H175" s="80" t="str">
        <x:f>IF(F175=G175,"PASS","OPEN")</x:f>
        <x:v>OPEN</x:v>
      </x:c>
      <x:c r="I175" s="62" t="str">
        <x:v>REWORK</x:v>
      </x:c>
      <x:c r="J175" s="62" t="str">
        <x:v>Artifact validity only</x:v>
      </x:c>
      <x:c r="K175" s="103"/>
      <x:c r="L175" s="103"/>
      <x:c r="M175" s="103"/>
      <x:c r="N175" s="103"/>
    </x:row>
    <x:row r="176">
      <x:c r="A176" s="62" t="str">
        <x:v>V170</x:v>
      </x:c>
      <x:c r="B176" s="62" t="str">
        <x:v>P15</x:v>
      </x:c>
      <x:c r="C176" s="62" t="str">
        <x:v>HC-A</x:v>
      </x:c>
      <x:c r="D176" s="62" t="str">
        <x:v>HC-A-C</x:v>
      </x:c>
      <x:c r="E176" s="62" t="str">
        <x:v>G02 Frozen configuration hash</x:v>
      </x:c>
      <x:c r="F176" s="82" t="n">
        <x:v>0</x:v>
      </x:c>
      <x:c r="G176" s="62" t="n">
        <x:v>1</x:v>
      </x:c>
      <x:c r="H176" s="80" t="str">
        <x:f>IF(F176=G176,"PASS","OPEN")</x:f>
        <x:v>OPEN</x:v>
      </x:c>
      <x:c r="I176" s="62" t="str">
        <x:v>REWORK</x:v>
      </x:c>
      <x:c r="J176" s="62" t="str">
        <x:v>Artifact validity only</x:v>
      </x:c>
      <x:c r="K176" s="103"/>
      <x:c r="L176" s="103"/>
      <x:c r="M176" s="103"/>
      <x:c r="N176" s="103"/>
    </x:row>
    <x:row r="177">
      <x:c r="A177" s="62" t="str">
        <x:v>V171</x:v>
      </x:c>
      <x:c r="B177" s="62" t="str">
        <x:v>P15</x:v>
      </x:c>
      <x:c r="C177" s="62" t="str">
        <x:v>HC-A</x:v>
      </x:c>
      <x:c r="D177" s="62" t="str">
        <x:v>HC-A-C</x:v>
      </x:c>
      <x:c r="E177" s="62" t="str">
        <x:v>G03 Executable native artifact</x:v>
      </x:c>
      <x:c r="F177" s="82" t="n">
        <x:v>0</x:v>
      </x:c>
      <x:c r="G177" s="62" t="n">
        <x:v>1</x:v>
      </x:c>
      <x:c r="H177" s="80" t="str">
        <x:f>IF(F177=G177,"PASS","OPEN")</x:f>
        <x:v>OPEN</x:v>
      </x:c>
      <x:c r="I177" s="62" t="str">
        <x:v>REWORK</x:v>
      </x:c>
      <x:c r="J177" s="62" t="str">
        <x:v>Artifact validity only</x:v>
      </x:c>
      <x:c r="K177" s="103"/>
      <x:c r="L177" s="103"/>
      <x:c r="M177" s="103"/>
      <x:c r="N177" s="103"/>
    </x:row>
    <x:row r="178">
      <x:c r="A178" s="62" t="str">
        <x:v>V172</x:v>
      </x:c>
      <x:c r="B178" s="62" t="str">
        <x:v>P15</x:v>
      </x:c>
      <x:c r="C178" s="62" t="str">
        <x:v>HC-A</x:v>
      </x:c>
      <x:c r="D178" s="62" t="str">
        <x:v>HC-A-C</x:v>
      </x:c>
      <x:c r="E178" s="62" t="str">
        <x:v>G04 Dependency, tool and material ledger</x:v>
      </x:c>
      <x:c r="F178" s="82" t="n">
        <x:v>0</x:v>
      </x:c>
      <x:c r="G178" s="62" t="n">
        <x:v>1</x:v>
      </x:c>
      <x:c r="H178" s="80" t="str">
        <x:f>IF(F178=G178,"PASS","OPEN")</x:f>
        <x:v>OPEN</x:v>
      </x:c>
      <x:c r="I178" s="62" t="str">
        <x:v>REWORK</x:v>
      </x:c>
      <x:c r="J178" s="62" t="str">
        <x:v>Artifact validity only</x:v>
      </x:c>
      <x:c r="K178" s="103"/>
      <x:c r="L178" s="103"/>
      <x:c r="M178" s="103"/>
      <x:c r="N178" s="103"/>
    </x:row>
    <x:row r="179">
      <x:c r="A179" s="62" t="str">
        <x:v>V173</x:v>
      </x:c>
      <x:c r="B179" s="62" t="str">
        <x:v>P15</x:v>
      </x:c>
      <x:c r="C179" s="62" t="str">
        <x:v>HC-A</x:v>
      </x:c>
      <x:c r="D179" s="62" t="str">
        <x:v>HC-A-C</x:v>
      </x:c>
      <x:c r="E179" s="62" t="str">
        <x:v>G05 Assumption and unknown register</x:v>
      </x:c>
      <x:c r="F179" s="82" t="n">
        <x:v>0</x:v>
      </x:c>
      <x:c r="G179" s="62" t="n">
        <x:v>1</x:v>
      </x:c>
      <x:c r="H179" s="80" t="str">
        <x:f>IF(F179=G179,"PASS","OPEN")</x:f>
        <x:v>OPEN</x:v>
      </x:c>
      <x:c r="I179" s="62" t="str">
        <x:v>REWORK</x:v>
      </x:c>
      <x:c r="J179" s="62" t="str">
        <x:v>Artifact validity only</x:v>
      </x:c>
      <x:c r="K179" s="103"/>
      <x:c r="L179" s="103"/>
      <x:c r="M179" s="103"/>
      <x:c r="N179" s="103"/>
    </x:row>
    <x:row r="180">
      <x:c r="A180" s="62" t="str">
        <x:v>V174</x:v>
      </x:c>
      <x:c r="B180" s="62" t="str">
        <x:v>P15</x:v>
      </x:c>
      <x:c r="C180" s="62" t="str">
        <x:v>HC-A</x:v>
      </x:c>
      <x:c r="D180" s="62" t="str">
        <x:v>HC-A-C</x:v>
      </x:c>
      <x:c r="E180" s="62" t="str">
        <x:v>G06 Independent clean-room replay</x:v>
      </x:c>
      <x:c r="F180" s="82" t="n">
        <x:v>0</x:v>
      </x:c>
      <x:c r="G180" s="62" t="n">
        <x:v>1</x:v>
      </x:c>
      <x:c r="H180" s="80" t="str">
        <x:f>IF(F180=G180,"PASS","OPEN")</x:f>
        <x:v>OPEN</x:v>
      </x:c>
      <x:c r="I180" s="62" t="str">
        <x:v>REWORK</x:v>
      </x:c>
      <x:c r="J180" s="62" t="str">
        <x:v>Artifact validity only</x:v>
      </x:c>
      <x:c r="K180" s="103"/>
      <x:c r="L180" s="103"/>
      <x:c r="M180" s="103"/>
      <x:c r="N180" s="103"/>
    </x:row>
    <x:row r="181">
      <x:c r="A181" s="62" t="str">
        <x:v>V175</x:v>
      </x:c>
      <x:c r="B181" s="62" t="str">
        <x:v>P15</x:v>
      </x:c>
      <x:c r="C181" s="62" t="str">
        <x:v>HC-A</x:v>
      </x:c>
      <x:c r="D181" s="62" t="str">
        <x:v>HC-A-C</x:v>
      </x:c>
      <x:c r="E181" s="62" t="str">
        <x:v>G07 Interface and destructive-test trace</x:v>
      </x:c>
      <x:c r="F181" s="82" t="n">
        <x:v>0</x:v>
      </x:c>
      <x:c r="G181" s="62" t="n">
        <x:v>1</x:v>
      </x:c>
      <x:c r="H181" s="80" t="str">
        <x:f>IF(F181=G181,"PASS","OPEN")</x:f>
        <x:v>OPEN</x:v>
      </x:c>
      <x:c r="I181" s="62" t="str">
        <x:v>REWORK</x:v>
      </x:c>
      <x:c r="J181" s="62" t="str">
        <x:v>Artifact validity only</x:v>
      </x:c>
      <x:c r="K181" s="103"/>
      <x:c r="L181" s="103"/>
      <x:c r="M181" s="103"/>
      <x:c r="N181" s="103"/>
    </x:row>
    <x:row r="182">
      <x:c r="A182" s="62" t="str">
        <x:v>V176</x:v>
      </x:c>
      <x:c r="B182" s="62" t="str">
        <x:v>P15</x:v>
      </x:c>
      <x:c r="C182" s="62" t="str">
        <x:v>HC-A</x:v>
      </x:c>
      <x:c r="D182" s="62" t="str">
        <x:v>HC-A-C</x:v>
      </x:c>
      <x:c r="E182" s="62" t="str">
        <x:v>G08 Rights and safe-state closure</x:v>
      </x:c>
      <x:c r="F182" s="82" t="n">
        <x:v>0</x:v>
      </x:c>
      <x:c r="G182" s="62" t="n">
        <x:v>1</x:v>
      </x:c>
      <x:c r="H182" s="80" t="str">
        <x:f>IF(F182=G182,"PASS","OPEN")</x:f>
        <x:v>OPEN</x:v>
      </x:c>
      <x:c r="I182" s="62" t="str">
        <x:v>REWORK</x:v>
      </x:c>
      <x:c r="J182" s="62" t="str">
        <x:v>Artifact validity only</x:v>
      </x:c>
      <x:c r="K182" s="103"/>
      <x:c r="L182" s="103"/>
      <x:c r="M182" s="103"/>
      <x:c r="N182" s="103"/>
    </x:row>
    <x:row r="183">
      <x:c r="A183" s="62" t="str">
        <x:v>V177</x:v>
      </x:c>
      <x:c r="B183" s="62" t="str">
        <x:v>P15</x:v>
      </x:c>
      <x:c r="C183" s="62" t="str">
        <x:v>HC-A</x:v>
      </x:c>
      <x:c r="D183" s="62" t="str">
        <x:v>HC-A-C</x:v>
      </x:c>
      <x:c r="E183" s="62" t="str">
        <x:v>G09 Receiver and residual closure</x:v>
      </x:c>
      <x:c r="F183" s="82" t="n">
        <x:v>0</x:v>
      </x:c>
      <x:c r="G183" s="62" t="n">
        <x:v>1</x:v>
      </x:c>
      <x:c r="H183" s="80" t="str">
        <x:f>IF(F183=G183,"PASS","OPEN")</x:f>
        <x:v>OPEN</x:v>
      </x:c>
      <x:c r="I183" s="62" t="str">
        <x:v>REWORK</x:v>
      </x:c>
      <x:c r="J183" s="62" t="str">
        <x:v>Artifact validity only</x:v>
      </x:c>
      <x:c r="K183" s="103"/>
      <x:c r="L183" s="103"/>
      <x:c r="M183" s="103"/>
      <x:c r="N183" s="103"/>
    </x:row>
    <x:row r="184">
      <x:c r="A184" s="62" t="str">
        <x:v>V178</x:v>
      </x:c>
      <x:c r="B184" s="62" t="str">
        <x:v>P15</x:v>
      </x:c>
      <x:c r="C184" s="62" t="str">
        <x:v>HC-A</x:v>
      </x:c>
      <x:c r="D184" s="62" t="str">
        <x:v>HC-A-C</x:v>
      </x:c>
      <x:c r="E184" s="62" t="str">
        <x:v>G10 Challenge response and terminal archive</x:v>
      </x:c>
      <x:c r="F184" s="82" t="n">
        <x:v>0</x:v>
      </x:c>
      <x:c r="G184" s="62" t="n">
        <x:v>1</x:v>
      </x:c>
      <x:c r="H184" s="80" t="str">
        <x:f>IF(F184=G184,"PASS","OPEN")</x:f>
        <x:v>OPEN</x:v>
      </x:c>
      <x:c r="I184" s="62" t="str">
        <x:v>REWORK</x:v>
      </x:c>
      <x:c r="J184" s="62" t="str">
        <x:v>Artifact validity only</x:v>
      </x:c>
      <x:c r="K184" s="103"/>
      <x:c r="L184" s="103"/>
      <x:c r="M184" s="103"/>
      <x:c r="N184" s="103"/>
    </x:row>
    <x:row r="185">
      <x:c r="A185" s="62" t="str">
        <x:v>V179</x:v>
      </x:c>
      <x:c r="B185" s="62" t="str">
        <x:v>P15</x:v>
      </x:c>
      <x:c r="C185" s="62" t="str">
        <x:v>HC-A</x:v>
      </x:c>
      <x:c r="D185" s="62" t="str">
        <x:v>HC-A-C</x:v>
      </x:c>
      <x:c r="E185" s="62" t="str">
        <x:v>G11 No sibling performance exposure</x:v>
      </x:c>
      <x:c r="F185" s="82" t="n">
        <x:v>1</x:v>
      </x:c>
      <x:c r="G185" s="62" t="n">
        <x:v>1</x:v>
      </x:c>
      <x:c r="H185" s="80" t="str">
        <x:f>IF(F185=G185,"PASS","OPEN")</x:f>
        <x:v>PASS</x:v>
      </x:c>
      <x:c r="I185" s="62" t="str">
        <x:v>TERMINATE CELL</x:v>
      </x:c>
      <x:c r="J185" s="62" t="str">
        <x:v>Constitutional independence</x:v>
      </x:c>
      <x:c r="K185" s="103"/>
      <x:c r="L185" s="103"/>
      <x:c r="M185" s="103"/>
      <x:c r="N185" s="103"/>
    </x:row>
    <x:row r="186">
      <x:c r="A186" s="62" t="str">
        <x:v>V180</x:v>
      </x:c>
      <x:c r="B186" s="62" t="str">
        <x:v>P15</x:v>
      </x:c>
      <x:c r="C186" s="62" t="str">
        <x:v>HC-A</x:v>
      </x:c>
      <x:c r="D186" s="62" t="str">
        <x:v>HC-A-C</x:v>
      </x:c>
      <x:c r="E186" s="62" t="str">
        <x:v>G12 Builder and validity control separated</x:v>
      </x:c>
      <x:c r="F186" s="82" t="n">
        <x:v>1</x:v>
      </x:c>
      <x:c r="G186" s="62" t="n">
        <x:v>1</x:v>
      </x:c>
      <x:c r="H186" s="80" t="str">
        <x:f>IF(F186=G186,"PASS","OPEN")</x:f>
        <x:v>PASS</x:v>
      </x:c>
      <x:c r="I186" s="62" t="str">
        <x:v>TERMINATE CELL</x:v>
      </x:c>
      <x:c r="J186" s="62" t="str">
        <x:v>Constitutional independence</x:v>
      </x:c>
      <x:c r="K186" s="103"/>
      <x:c r="L186" s="103"/>
      <x:c r="M186" s="103"/>
      <x:c r="N186" s="103"/>
    </x:row>
    <x:row r="187">
      <x:c r="A187" s="62" t="str">
        <x:v>V181</x:v>
      </x:c>
      <x:c r="B187" s="62" t="str">
        <x:v>P16</x:v>
      </x:c>
      <x:c r="C187" s="62" t="str">
        <x:v>LF-B</x:v>
      </x:c>
      <x:c r="D187" s="62" t="str">
        <x:v>LF-B-A</x:v>
      </x:c>
      <x:c r="E187" s="62" t="str">
        <x:v>G01 Source manifest and authorship</x:v>
      </x:c>
      <x:c r="F187" s="82" t="n">
        <x:v>0</x:v>
      </x:c>
      <x:c r="G187" s="62" t="n">
        <x:v>1</x:v>
      </x:c>
      <x:c r="H187" s="80" t="str">
        <x:f>IF(F187=G187,"PASS","OPEN")</x:f>
        <x:v>OPEN</x:v>
      </x:c>
      <x:c r="I187" s="62" t="str">
        <x:v>REWORK</x:v>
      </x:c>
      <x:c r="J187" s="62" t="str">
        <x:v>Artifact validity only</x:v>
      </x:c>
      <x:c r="K187" s="103"/>
      <x:c r="L187" s="103"/>
      <x:c r="M187" s="103"/>
      <x:c r="N187" s="103"/>
    </x:row>
    <x:row r="188">
      <x:c r="A188" s="62" t="str">
        <x:v>V182</x:v>
      </x:c>
      <x:c r="B188" s="62" t="str">
        <x:v>P16</x:v>
      </x:c>
      <x:c r="C188" s="62" t="str">
        <x:v>LF-B</x:v>
      </x:c>
      <x:c r="D188" s="62" t="str">
        <x:v>LF-B-A</x:v>
      </x:c>
      <x:c r="E188" s="62" t="str">
        <x:v>G02 Frozen configuration hash</x:v>
      </x:c>
      <x:c r="F188" s="82" t="n">
        <x:v>0</x:v>
      </x:c>
      <x:c r="G188" s="62" t="n">
        <x:v>1</x:v>
      </x:c>
      <x:c r="H188" s="80" t="str">
        <x:f>IF(F188=G188,"PASS","OPEN")</x:f>
        <x:v>OPEN</x:v>
      </x:c>
      <x:c r="I188" s="62" t="str">
        <x:v>REWORK</x:v>
      </x:c>
      <x:c r="J188" s="62" t="str">
        <x:v>Artifact validity only</x:v>
      </x:c>
      <x:c r="K188" s="103"/>
      <x:c r="L188" s="103"/>
      <x:c r="M188" s="103"/>
      <x:c r="N188" s="103"/>
    </x:row>
    <x:row r="189">
      <x:c r="A189" s="62" t="str">
        <x:v>V183</x:v>
      </x:c>
      <x:c r="B189" s="62" t="str">
        <x:v>P16</x:v>
      </x:c>
      <x:c r="C189" s="62" t="str">
        <x:v>LF-B</x:v>
      </x:c>
      <x:c r="D189" s="62" t="str">
        <x:v>LF-B-A</x:v>
      </x:c>
      <x:c r="E189" s="62" t="str">
        <x:v>G03 Executable native artifact</x:v>
      </x:c>
      <x:c r="F189" s="82" t="n">
        <x:v>0</x:v>
      </x:c>
      <x:c r="G189" s="62" t="n">
        <x:v>1</x:v>
      </x:c>
      <x:c r="H189" s="80" t="str">
        <x:f>IF(F189=G189,"PASS","OPEN")</x:f>
        <x:v>OPEN</x:v>
      </x:c>
      <x:c r="I189" s="62" t="str">
        <x:v>REWORK</x:v>
      </x:c>
      <x:c r="J189" s="62" t="str">
        <x:v>Artifact validity only</x:v>
      </x:c>
      <x:c r="K189" s="103"/>
      <x:c r="L189" s="103"/>
      <x:c r="M189" s="103"/>
      <x:c r="N189" s="103"/>
    </x:row>
    <x:row r="190">
      <x:c r="A190" s="62" t="str">
        <x:v>V184</x:v>
      </x:c>
      <x:c r="B190" s="62" t="str">
        <x:v>P16</x:v>
      </x:c>
      <x:c r="C190" s="62" t="str">
        <x:v>LF-B</x:v>
      </x:c>
      <x:c r="D190" s="62" t="str">
        <x:v>LF-B-A</x:v>
      </x:c>
      <x:c r="E190" s="62" t="str">
        <x:v>G04 Dependency, tool and material ledger</x:v>
      </x:c>
      <x:c r="F190" s="82" t="n">
        <x:v>0</x:v>
      </x:c>
      <x:c r="G190" s="62" t="n">
        <x:v>1</x:v>
      </x:c>
      <x:c r="H190" s="80" t="str">
        <x:f>IF(F190=G190,"PASS","OPEN")</x:f>
        <x:v>OPEN</x:v>
      </x:c>
      <x:c r="I190" s="62" t="str">
        <x:v>REWORK</x:v>
      </x:c>
      <x:c r="J190" s="62" t="str">
        <x:v>Artifact validity only</x:v>
      </x:c>
      <x:c r="K190" s="103"/>
      <x:c r="L190" s="103"/>
      <x:c r="M190" s="103"/>
      <x:c r="N190" s="103"/>
    </x:row>
    <x:row r="191">
      <x:c r="A191" s="62" t="str">
        <x:v>V185</x:v>
      </x:c>
      <x:c r="B191" s="62" t="str">
        <x:v>P16</x:v>
      </x:c>
      <x:c r="C191" s="62" t="str">
        <x:v>LF-B</x:v>
      </x:c>
      <x:c r="D191" s="62" t="str">
        <x:v>LF-B-A</x:v>
      </x:c>
      <x:c r="E191" s="62" t="str">
        <x:v>G05 Assumption and unknown register</x:v>
      </x:c>
      <x:c r="F191" s="82" t="n">
        <x:v>0</x:v>
      </x:c>
      <x:c r="G191" s="62" t="n">
        <x:v>1</x:v>
      </x:c>
      <x:c r="H191" s="80" t="str">
        <x:f>IF(F191=G191,"PASS","OPEN")</x:f>
        <x:v>OPEN</x:v>
      </x:c>
      <x:c r="I191" s="62" t="str">
        <x:v>REWORK</x:v>
      </x:c>
      <x:c r="J191" s="62" t="str">
        <x:v>Artifact validity only</x:v>
      </x:c>
      <x:c r="K191" s="103"/>
      <x:c r="L191" s="103"/>
      <x:c r="M191" s="103"/>
      <x:c r="N191" s="103"/>
    </x:row>
    <x:row r="192">
      <x:c r="A192" s="62" t="str">
        <x:v>V186</x:v>
      </x:c>
      <x:c r="B192" s="62" t="str">
        <x:v>P16</x:v>
      </x:c>
      <x:c r="C192" s="62" t="str">
        <x:v>LF-B</x:v>
      </x:c>
      <x:c r="D192" s="62" t="str">
        <x:v>LF-B-A</x:v>
      </x:c>
      <x:c r="E192" s="62" t="str">
        <x:v>G06 Independent clean-room replay</x:v>
      </x:c>
      <x:c r="F192" s="82" t="n">
        <x:v>0</x:v>
      </x:c>
      <x:c r="G192" s="62" t="n">
        <x:v>1</x:v>
      </x:c>
      <x:c r="H192" s="80" t="str">
        <x:f>IF(F192=G192,"PASS","OPEN")</x:f>
        <x:v>OPEN</x:v>
      </x:c>
      <x:c r="I192" s="62" t="str">
        <x:v>REWORK</x:v>
      </x:c>
      <x:c r="J192" s="62" t="str">
        <x:v>Artifact validity only</x:v>
      </x:c>
      <x:c r="K192" s="103"/>
      <x:c r="L192" s="103"/>
      <x:c r="M192" s="103"/>
      <x:c r="N192" s="103"/>
    </x:row>
    <x:row r="193">
      <x:c r="A193" s="62" t="str">
        <x:v>V187</x:v>
      </x:c>
      <x:c r="B193" s="62" t="str">
        <x:v>P16</x:v>
      </x:c>
      <x:c r="C193" s="62" t="str">
        <x:v>LF-B</x:v>
      </x:c>
      <x:c r="D193" s="62" t="str">
        <x:v>LF-B-A</x:v>
      </x:c>
      <x:c r="E193" s="62" t="str">
        <x:v>G07 Interface and destructive-test trace</x:v>
      </x:c>
      <x:c r="F193" s="82" t="n">
        <x:v>0</x:v>
      </x:c>
      <x:c r="G193" s="62" t="n">
        <x:v>1</x:v>
      </x:c>
      <x:c r="H193" s="80" t="str">
        <x:f>IF(F193=G193,"PASS","OPEN")</x:f>
        <x:v>OPEN</x:v>
      </x:c>
      <x:c r="I193" s="62" t="str">
        <x:v>REWORK</x:v>
      </x:c>
      <x:c r="J193" s="62" t="str">
        <x:v>Artifact validity only</x:v>
      </x:c>
      <x:c r="K193" s="103"/>
      <x:c r="L193" s="103"/>
      <x:c r="M193" s="103"/>
      <x:c r="N193" s="103"/>
    </x:row>
    <x:row r="194">
      <x:c r="A194" s="62" t="str">
        <x:v>V188</x:v>
      </x:c>
      <x:c r="B194" s="62" t="str">
        <x:v>P16</x:v>
      </x:c>
      <x:c r="C194" s="62" t="str">
        <x:v>LF-B</x:v>
      </x:c>
      <x:c r="D194" s="62" t="str">
        <x:v>LF-B-A</x:v>
      </x:c>
      <x:c r="E194" s="62" t="str">
        <x:v>G08 Rights and safe-state closure</x:v>
      </x:c>
      <x:c r="F194" s="82" t="n">
        <x:v>0</x:v>
      </x:c>
      <x:c r="G194" s="62" t="n">
        <x:v>1</x:v>
      </x:c>
      <x:c r="H194" s="80" t="str">
        <x:f>IF(F194=G194,"PASS","OPEN")</x:f>
        <x:v>OPEN</x:v>
      </x:c>
      <x:c r="I194" s="62" t="str">
        <x:v>REWORK</x:v>
      </x:c>
      <x:c r="J194" s="62" t="str">
        <x:v>Artifact validity only</x:v>
      </x:c>
      <x:c r="K194" s="103"/>
      <x:c r="L194" s="103"/>
      <x:c r="M194" s="103"/>
      <x:c r="N194" s="103"/>
    </x:row>
    <x:row r="195">
      <x:c r="A195" s="62" t="str">
        <x:v>V189</x:v>
      </x:c>
      <x:c r="B195" s="62" t="str">
        <x:v>P16</x:v>
      </x:c>
      <x:c r="C195" s="62" t="str">
        <x:v>LF-B</x:v>
      </x:c>
      <x:c r="D195" s="62" t="str">
        <x:v>LF-B-A</x:v>
      </x:c>
      <x:c r="E195" s="62" t="str">
        <x:v>G09 Receiver and residual closure</x:v>
      </x:c>
      <x:c r="F195" s="82" t="n">
        <x:v>0</x:v>
      </x:c>
      <x:c r="G195" s="62" t="n">
        <x:v>1</x:v>
      </x:c>
      <x:c r="H195" s="80" t="str">
        <x:f>IF(F195=G195,"PASS","OPEN")</x:f>
        <x:v>OPEN</x:v>
      </x:c>
      <x:c r="I195" s="62" t="str">
        <x:v>REWORK</x:v>
      </x:c>
      <x:c r="J195" s="62" t="str">
        <x:v>Artifact validity only</x:v>
      </x:c>
      <x:c r="K195" s="103"/>
      <x:c r="L195" s="103"/>
      <x:c r="M195" s="103"/>
      <x:c r="N195" s="103"/>
    </x:row>
    <x:row r="196">
      <x:c r="A196" s="62" t="str">
        <x:v>V190</x:v>
      </x:c>
      <x:c r="B196" s="62" t="str">
        <x:v>P16</x:v>
      </x:c>
      <x:c r="C196" s="62" t="str">
        <x:v>LF-B</x:v>
      </x:c>
      <x:c r="D196" s="62" t="str">
        <x:v>LF-B-A</x:v>
      </x:c>
      <x:c r="E196" s="62" t="str">
        <x:v>G10 Challenge response and terminal archive</x:v>
      </x:c>
      <x:c r="F196" s="82" t="n">
        <x:v>0</x:v>
      </x:c>
      <x:c r="G196" s="62" t="n">
        <x:v>1</x:v>
      </x:c>
      <x:c r="H196" s="80" t="str">
        <x:f>IF(F196=G196,"PASS","OPEN")</x:f>
        <x:v>OPEN</x:v>
      </x:c>
      <x:c r="I196" s="62" t="str">
        <x:v>REWORK</x:v>
      </x:c>
      <x:c r="J196" s="62" t="str">
        <x:v>Artifact validity only</x:v>
      </x:c>
      <x:c r="K196" s="103"/>
      <x:c r="L196" s="103"/>
      <x:c r="M196" s="103"/>
      <x:c r="N196" s="103"/>
    </x:row>
    <x:row r="197">
      <x:c r="A197" s="62" t="str">
        <x:v>V191</x:v>
      </x:c>
      <x:c r="B197" s="62" t="str">
        <x:v>P16</x:v>
      </x:c>
      <x:c r="C197" s="62" t="str">
        <x:v>LF-B</x:v>
      </x:c>
      <x:c r="D197" s="62" t="str">
        <x:v>LF-B-A</x:v>
      </x:c>
      <x:c r="E197" s="62" t="str">
        <x:v>G11 No sibling performance exposure</x:v>
      </x:c>
      <x:c r="F197" s="82" t="n">
        <x:v>1</x:v>
      </x:c>
      <x:c r="G197" s="62" t="n">
        <x:v>1</x:v>
      </x:c>
      <x:c r="H197" s="80" t="str">
        <x:f>IF(F197=G197,"PASS","OPEN")</x:f>
        <x:v>PASS</x:v>
      </x:c>
      <x:c r="I197" s="62" t="str">
        <x:v>TERMINATE CELL</x:v>
      </x:c>
      <x:c r="J197" s="62" t="str">
        <x:v>Constitutional independence</x:v>
      </x:c>
      <x:c r="K197" s="103"/>
      <x:c r="L197" s="103"/>
      <x:c r="M197" s="103"/>
      <x:c r="N197" s="103"/>
    </x:row>
    <x:row r="198">
      <x:c r="A198" s="62" t="str">
        <x:v>V192</x:v>
      </x:c>
      <x:c r="B198" s="62" t="str">
        <x:v>P16</x:v>
      </x:c>
      <x:c r="C198" s="62" t="str">
        <x:v>LF-B</x:v>
      </x:c>
      <x:c r="D198" s="62" t="str">
        <x:v>LF-B-A</x:v>
      </x:c>
      <x:c r="E198" s="62" t="str">
        <x:v>G12 Builder and validity control separated</x:v>
      </x:c>
      <x:c r="F198" s="82" t="n">
        <x:v>1</x:v>
      </x:c>
      <x:c r="G198" s="62" t="n">
        <x:v>1</x:v>
      </x:c>
      <x:c r="H198" s="80" t="str">
        <x:f>IF(F198=G198,"PASS","OPEN")</x:f>
        <x:v>PASS</x:v>
      </x:c>
      <x:c r="I198" s="62" t="str">
        <x:v>TERMINATE CELL</x:v>
      </x:c>
      <x:c r="J198" s="62" t="str">
        <x:v>Constitutional independence</x:v>
      </x:c>
      <x:c r="K198" s="103"/>
      <x:c r="L198" s="103"/>
      <x:c r="M198" s="103"/>
      <x:c r="N198" s="103"/>
    </x:row>
    <x:row r="199">
      <x:c r="A199" s="62" t="str">
        <x:v>V193</x:v>
      </x:c>
      <x:c r="B199" s="62" t="str">
        <x:v>P17</x:v>
      </x:c>
      <x:c r="C199" s="62" t="str">
        <x:v>LF-B</x:v>
      </x:c>
      <x:c r="D199" s="62" t="str">
        <x:v>LF-B-A</x:v>
      </x:c>
      <x:c r="E199" s="62" t="str">
        <x:v>G01 Source manifest and authorship</x:v>
      </x:c>
      <x:c r="F199" s="82" t="n">
        <x:v>0</x:v>
      </x:c>
      <x:c r="G199" s="62" t="n">
        <x:v>1</x:v>
      </x:c>
      <x:c r="H199" s="80" t="str">
        <x:f>IF(F199=G199,"PASS","OPEN")</x:f>
        <x:v>OPEN</x:v>
      </x:c>
      <x:c r="I199" s="62" t="str">
        <x:v>REWORK</x:v>
      </x:c>
      <x:c r="J199" s="62" t="str">
        <x:v>Artifact validity only</x:v>
      </x:c>
      <x:c r="K199" s="103"/>
      <x:c r="L199" s="103"/>
      <x:c r="M199" s="103"/>
      <x:c r="N199" s="103"/>
    </x:row>
    <x:row r="200">
      <x:c r="A200" s="62" t="str">
        <x:v>V194</x:v>
      </x:c>
      <x:c r="B200" s="62" t="str">
        <x:v>P17</x:v>
      </x:c>
      <x:c r="C200" s="62" t="str">
        <x:v>LF-B</x:v>
      </x:c>
      <x:c r="D200" s="62" t="str">
        <x:v>LF-B-A</x:v>
      </x:c>
      <x:c r="E200" s="62" t="str">
        <x:v>G02 Frozen configuration hash</x:v>
      </x:c>
      <x:c r="F200" s="82" t="n">
        <x:v>0</x:v>
      </x:c>
      <x:c r="G200" s="62" t="n">
        <x:v>1</x:v>
      </x:c>
      <x:c r="H200" s="80" t="str">
        <x:f>IF(F200=G200,"PASS","OPEN")</x:f>
        <x:v>OPEN</x:v>
      </x:c>
      <x:c r="I200" s="62" t="str">
        <x:v>REWORK</x:v>
      </x:c>
      <x:c r="J200" s="62" t="str">
        <x:v>Artifact validity only</x:v>
      </x:c>
      <x:c r="K200" s="103"/>
      <x:c r="L200" s="103"/>
      <x:c r="M200" s="103"/>
      <x:c r="N200" s="103"/>
    </x:row>
    <x:row r="201">
      <x:c r="A201" s="62" t="str">
        <x:v>V195</x:v>
      </x:c>
      <x:c r="B201" s="62" t="str">
        <x:v>P17</x:v>
      </x:c>
      <x:c r="C201" s="62" t="str">
        <x:v>LF-B</x:v>
      </x:c>
      <x:c r="D201" s="62" t="str">
        <x:v>LF-B-A</x:v>
      </x:c>
      <x:c r="E201" s="62" t="str">
        <x:v>G03 Executable native artifact</x:v>
      </x:c>
      <x:c r="F201" s="82" t="n">
        <x:v>0</x:v>
      </x:c>
      <x:c r="G201" s="62" t="n">
        <x:v>1</x:v>
      </x:c>
      <x:c r="H201" s="80" t="str">
        <x:f>IF(F201=G201,"PASS","OPEN")</x:f>
        <x:v>OPEN</x:v>
      </x:c>
      <x:c r="I201" s="62" t="str">
        <x:v>REWORK</x:v>
      </x:c>
      <x:c r="J201" s="62" t="str">
        <x:v>Artifact validity only</x:v>
      </x:c>
      <x:c r="K201" s="103"/>
      <x:c r="L201" s="103"/>
      <x:c r="M201" s="103"/>
      <x:c r="N201" s="103"/>
    </x:row>
    <x:row r="202">
      <x:c r="A202" s="62" t="str">
        <x:v>V196</x:v>
      </x:c>
      <x:c r="B202" s="62" t="str">
        <x:v>P17</x:v>
      </x:c>
      <x:c r="C202" s="62" t="str">
        <x:v>LF-B</x:v>
      </x:c>
      <x:c r="D202" s="62" t="str">
        <x:v>LF-B-A</x:v>
      </x:c>
      <x:c r="E202" s="62" t="str">
        <x:v>G04 Dependency, tool and material ledger</x:v>
      </x:c>
      <x:c r="F202" s="82" t="n">
        <x:v>0</x:v>
      </x:c>
      <x:c r="G202" s="62" t="n">
        <x:v>1</x:v>
      </x:c>
      <x:c r="H202" s="80" t="str">
        <x:f>IF(F202=G202,"PASS","OPEN")</x:f>
        <x:v>OPEN</x:v>
      </x:c>
      <x:c r="I202" s="62" t="str">
        <x:v>REWORK</x:v>
      </x:c>
      <x:c r="J202" s="62" t="str">
        <x:v>Artifact validity only</x:v>
      </x:c>
      <x:c r="K202" s="103"/>
      <x:c r="L202" s="103"/>
      <x:c r="M202" s="103"/>
      <x:c r="N202" s="103"/>
    </x:row>
    <x:row r="203">
      <x:c r="A203" s="62" t="str">
        <x:v>V197</x:v>
      </x:c>
      <x:c r="B203" s="62" t="str">
        <x:v>P17</x:v>
      </x:c>
      <x:c r="C203" s="62" t="str">
        <x:v>LF-B</x:v>
      </x:c>
      <x:c r="D203" s="62" t="str">
        <x:v>LF-B-A</x:v>
      </x:c>
      <x:c r="E203" s="62" t="str">
        <x:v>G05 Assumption and unknown register</x:v>
      </x:c>
      <x:c r="F203" s="82" t="n">
        <x:v>0</x:v>
      </x:c>
      <x:c r="G203" s="62" t="n">
        <x:v>1</x:v>
      </x:c>
      <x:c r="H203" s="80" t="str">
        <x:f>IF(F203=G203,"PASS","OPEN")</x:f>
        <x:v>OPEN</x:v>
      </x:c>
      <x:c r="I203" s="62" t="str">
        <x:v>REWORK</x:v>
      </x:c>
      <x:c r="J203" s="62" t="str">
        <x:v>Artifact validity only</x:v>
      </x:c>
      <x:c r="K203" s="103"/>
      <x:c r="L203" s="103"/>
      <x:c r="M203" s="103"/>
      <x:c r="N203" s="103"/>
    </x:row>
    <x:row r="204">
      <x:c r="A204" s="62" t="str">
        <x:v>V198</x:v>
      </x:c>
      <x:c r="B204" s="62" t="str">
        <x:v>P17</x:v>
      </x:c>
      <x:c r="C204" s="62" t="str">
        <x:v>LF-B</x:v>
      </x:c>
      <x:c r="D204" s="62" t="str">
        <x:v>LF-B-A</x:v>
      </x:c>
      <x:c r="E204" s="62" t="str">
        <x:v>G06 Independent clean-room replay</x:v>
      </x:c>
      <x:c r="F204" s="82" t="n">
        <x:v>0</x:v>
      </x:c>
      <x:c r="G204" s="62" t="n">
        <x:v>1</x:v>
      </x:c>
      <x:c r="H204" s="80" t="str">
        <x:f>IF(F204=G204,"PASS","OPEN")</x:f>
        <x:v>OPEN</x:v>
      </x:c>
      <x:c r="I204" s="62" t="str">
        <x:v>REWORK</x:v>
      </x:c>
      <x:c r="J204" s="62" t="str">
        <x:v>Artifact validity only</x:v>
      </x:c>
      <x:c r="K204" s="103"/>
      <x:c r="L204" s="103"/>
      <x:c r="M204" s="103"/>
      <x:c r="N204" s="103"/>
    </x:row>
    <x:row r="205">
      <x:c r="A205" s="62" t="str">
        <x:v>V199</x:v>
      </x:c>
      <x:c r="B205" s="62" t="str">
        <x:v>P17</x:v>
      </x:c>
      <x:c r="C205" s="62" t="str">
        <x:v>LF-B</x:v>
      </x:c>
      <x:c r="D205" s="62" t="str">
        <x:v>LF-B-A</x:v>
      </x:c>
      <x:c r="E205" s="62" t="str">
        <x:v>G07 Interface and destructive-test trace</x:v>
      </x:c>
      <x:c r="F205" s="82" t="n">
        <x:v>0</x:v>
      </x:c>
      <x:c r="G205" s="62" t="n">
        <x:v>1</x:v>
      </x:c>
      <x:c r="H205" s="80" t="str">
        <x:f>IF(F205=G205,"PASS","OPEN")</x:f>
        <x:v>OPEN</x:v>
      </x:c>
      <x:c r="I205" s="62" t="str">
        <x:v>REWORK</x:v>
      </x:c>
      <x:c r="J205" s="62" t="str">
        <x:v>Artifact validity only</x:v>
      </x:c>
      <x:c r="K205" s="103"/>
      <x:c r="L205" s="103"/>
      <x:c r="M205" s="103"/>
      <x:c r="N205" s="103"/>
    </x:row>
    <x:row r="206">
      <x:c r="A206" s="62" t="str">
        <x:v>V200</x:v>
      </x:c>
      <x:c r="B206" s="62" t="str">
        <x:v>P17</x:v>
      </x:c>
      <x:c r="C206" s="62" t="str">
        <x:v>LF-B</x:v>
      </x:c>
      <x:c r="D206" s="62" t="str">
        <x:v>LF-B-A</x:v>
      </x:c>
      <x:c r="E206" s="62" t="str">
        <x:v>G08 Rights and safe-state closure</x:v>
      </x:c>
      <x:c r="F206" s="82" t="n">
        <x:v>0</x:v>
      </x:c>
      <x:c r="G206" s="62" t="n">
        <x:v>1</x:v>
      </x:c>
      <x:c r="H206" s="80" t="str">
        <x:f>IF(F206=G206,"PASS","OPEN")</x:f>
        <x:v>OPEN</x:v>
      </x:c>
      <x:c r="I206" s="62" t="str">
        <x:v>REWORK</x:v>
      </x:c>
      <x:c r="J206" s="62" t="str">
        <x:v>Artifact validity only</x:v>
      </x:c>
      <x:c r="K206" s="103"/>
      <x:c r="L206" s="103"/>
      <x:c r="M206" s="103"/>
      <x:c r="N206" s="103"/>
    </x:row>
    <x:row r="207">
      <x:c r="A207" s="62" t="str">
        <x:v>V201</x:v>
      </x:c>
      <x:c r="B207" s="62" t="str">
        <x:v>P17</x:v>
      </x:c>
      <x:c r="C207" s="62" t="str">
        <x:v>LF-B</x:v>
      </x:c>
      <x:c r="D207" s="62" t="str">
        <x:v>LF-B-A</x:v>
      </x:c>
      <x:c r="E207" s="62" t="str">
        <x:v>G09 Receiver and residual closure</x:v>
      </x:c>
      <x:c r="F207" s="82" t="n">
        <x:v>0</x:v>
      </x:c>
      <x:c r="G207" s="62" t="n">
        <x:v>1</x:v>
      </x:c>
      <x:c r="H207" s="80" t="str">
        <x:f>IF(F207=G207,"PASS","OPEN")</x:f>
        <x:v>OPEN</x:v>
      </x:c>
      <x:c r="I207" s="62" t="str">
        <x:v>REWORK</x:v>
      </x:c>
      <x:c r="J207" s="62" t="str">
        <x:v>Artifact validity only</x:v>
      </x:c>
      <x:c r="K207" s="103"/>
      <x:c r="L207" s="103"/>
      <x:c r="M207" s="103"/>
      <x:c r="N207" s="103"/>
    </x:row>
    <x:row r="208">
      <x:c r="A208" s="62" t="str">
        <x:v>V202</x:v>
      </x:c>
      <x:c r="B208" s="62" t="str">
        <x:v>P17</x:v>
      </x:c>
      <x:c r="C208" s="62" t="str">
        <x:v>LF-B</x:v>
      </x:c>
      <x:c r="D208" s="62" t="str">
        <x:v>LF-B-A</x:v>
      </x:c>
      <x:c r="E208" s="62" t="str">
        <x:v>G10 Challenge response and terminal archive</x:v>
      </x:c>
      <x:c r="F208" s="82" t="n">
        <x:v>0</x:v>
      </x:c>
      <x:c r="G208" s="62" t="n">
        <x:v>1</x:v>
      </x:c>
      <x:c r="H208" s="80" t="str">
        <x:f>IF(F208=G208,"PASS","OPEN")</x:f>
        <x:v>OPEN</x:v>
      </x:c>
      <x:c r="I208" s="62" t="str">
        <x:v>REWORK</x:v>
      </x:c>
      <x:c r="J208" s="62" t="str">
        <x:v>Artifact validity only</x:v>
      </x:c>
      <x:c r="K208" s="103"/>
      <x:c r="L208" s="103"/>
      <x:c r="M208" s="103"/>
      <x:c r="N208" s="103"/>
    </x:row>
    <x:row r="209">
      <x:c r="A209" s="62" t="str">
        <x:v>V203</x:v>
      </x:c>
      <x:c r="B209" s="62" t="str">
        <x:v>P17</x:v>
      </x:c>
      <x:c r="C209" s="62" t="str">
        <x:v>LF-B</x:v>
      </x:c>
      <x:c r="D209" s="62" t="str">
        <x:v>LF-B-A</x:v>
      </x:c>
      <x:c r="E209" s="62" t="str">
        <x:v>G11 No sibling performance exposure</x:v>
      </x:c>
      <x:c r="F209" s="82" t="n">
        <x:v>1</x:v>
      </x:c>
      <x:c r="G209" s="62" t="n">
        <x:v>1</x:v>
      </x:c>
      <x:c r="H209" s="80" t="str">
        <x:f>IF(F209=G209,"PASS","OPEN")</x:f>
        <x:v>PASS</x:v>
      </x:c>
      <x:c r="I209" s="62" t="str">
        <x:v>TERMINATE CELL</x:v>
      </x:c>
      <x:c r="J209" s="62" t="str">
        <x:v>Constitutional independence</x:v>
      </x:c>
      <x:c r="K209" s="103"/>
      <x:c r="L209" s="103"/>
      <x:c r="M209" s="103"/>
      <x:c r="N209" s="103"/>
    </x:row>
    <x:row r="210">
      <x:c r="A210" s="62" t="str">
        <x:v>V204</x:v>
      </x:c>
      <x:c r="B210" s="62" t="str">
        <x:v>P17</x:v>
      </x:c>
      <x:c r="C210" s="62" t="str">
        <x:v>LF-B</x:v>
      </x:c>
      <x:c r="D210" s="62" t="str">
        <x:v>LF-B-A</x:v>
      </x:c>
      <x:c r="E210" s="62" t="str">
        <x:v>G12 Builder and validity control separated</x:v>
      </x:c>
      <x:c r="F210" s="82" t="n">
        <x:v>1</x:v>
      </x:c>
      <x:c r="G210" s="62" t="n">
        <x:v>1</x:v>
      </x:c>
      <x:c r="H210" s="80" t="str">
        <x:f>IF(F210=G210,"PASS","OPEN")</x:f>
        <x:v>PASS</x:v>
      </x:c>
      <x:c r="I210" s="62" t="str">
        <x:v>TERMINATE CELL</x:v>
      </x:c>
      <x:c r="J210" s="62" t="str">
        <x:v>Constitutional independence</x:v>
      </x:c>
      <x:c r="K210" s="103"/>
      <x:c r="L210" s="103"/>
      <x:c r="M210" s="103"/>
      <x:c r="N210" s="103"/>
    </x:row>
    <x:row r="211">
      <x:c r="A211" s="62" t="str">
        <x:v>V205</x:v>
      </x:c>
      <x:c r="B211" s="62" t="str">
        <x:v>P18</x:v>
      </x:c>
      <x:c r="C211" s="62" t="str">
        <x:v>LF-B</x:v>
      </x:c>
      <x:c r="D211" s="62" t="str">
        <x:v>LF-B-A</x:v>
      </x:c>
      <x:c r="E211" s="62" t="str">
        <x:v>G01 Source manifest and authorship</x:v>
      </x:c>
      <x:c r="F211" s="82" t="n">
        <x:v>0</x:v>
      </x:c>
      <x:c r="G211" s="62" t="n">
        <x:v>1</x:v>
      </x:c>
      <x:c r="H211" s="80" t="str">
        <x:f>IF(F211=G211,"PASS","OPEN")</x:f>
        <x:v>OPEN</x:v>
      </x:c>
      <x:c r="I211" s="62" t="str">
        <x:v>REWORK</x:v>
      </x:c>
      <x:c r="J211" s="62" t="str">
        <x:v>Artifact validity only</x:v>
      </x:c>
      <x:c r="K211" s="103"/>
      <x:c r="L211" s="103"/>
      <x:c r="M211" s="103"/>
      <x:c r="N211" s="103"/>
    </x:row>
    <x:row r="212">
      <x:c r="A212" s="62" t="str">
        <x:v>V206</x:v>
      </x:c>
      <x:c r="B212" s="62" t="str">
        <x:v>P18</x:v>
      </x:c>
      <x:c r="C212" s="62" t="str">
        <x:v>LF-B</x:v>
      </x:c>
      <x:c r="D212" s="62" t="str">
        <x:v>LF-B-A</x:v>
      </x:c>
      <x:c r="E212" s="62" t="str">
        <x:v>G02 Frozen configuration hash</x:v>
      </x:c>
      <x:c r="F212" s="82" t="n">
        <x:v>0</x:v>
      </x:c>
      <x:c r="G212" s="62" t="n">
        <x:v>1</x:v>
      </x:c>
      <x:c r="H212" s="80" t="str">
        <x:f>IF(F212=G212,"PASS","OPEN")</x:f>
        <x:v>OPEN</x:v>
      </x:c>
      <x:c r="I212" s="62" t="str">
        <x:v>REWORK</x:v>
      </x:c>
      <x:c r="J212" s="62" t="str">
        <x:v>Artifact validity only</x:v>
      </x:c>
      <x:c r="K212" s="103"/>
      <x:c r="L212" s="103"/>
      <x:c r="M212" s="103"/>
      <x:c r="N212" s="103"/>
    </x:row>
    <x:row r="213">
      <x:c r="A213" s="62" t="str">
        <x:v>V207</x:v>
      </x:c>
      <x:c r="B213" s="62" t="str">
        <x:v>P18</x:v>
      </x:c>
      <x:c r="C213" s="62" t="str">
        <x:v>LF-B</x:v>
      </x:c>
      <x:c r="D213" s="62" t="str">
        <x:v>LF-B-A</x:v>
      </x:c>
      <x:c r="E213" s="62" t="str">
        <x:v>G03 Executable native artifact</x:v>
      </x:c>
      <x:c r="F213" s="82" t="n">
        <x:v>0</x:v>
      </x:c>
      <x:c r="G213" s="62" t="n">
        <x:v>1</x:v>
      </x:c>
      <x:c r="H213" s="80" t="str">
        <x:f>IF(F213=G213,"PASS","OPEN")</x:f>
        <x:v>OPEN</x:v>
      </x:c>
      <x:c r="I213" s="62" t="str">
        <x:v>REWORK</x:v>
      </x:c>
      <x:c r="J213" s="62" t="str">
        <x:v>Artifact validity only</x:v>
      </x:c>
      <x:c r="K213" s="103"/>
      <x:c r="L213" s="103"/>
      <x:c r="M213" s="103"/>
      <x:c r="N213" s="103"/>
    </x:row>
    <x:row r="214">
      <x:c r="A214" s="62" t="str">
        <x:v>V208</x:v>
      </x:c>
      <x:c r="B214" s="62" t="str">
        <x:v>P18</x:v>
      </x:c>
      <x:c r="C214" s="62" t="str">
        <x:v>LF-B</x:v>
      </x:c>
      <x:c r="D214" s="62" t="str">
        <x:v>LF-B-A</x:v>
      </x:c>
      <x:c r="E214" s="62" t="str">
        <x:v>G04 Dependency, tool and material ledger</x:v>
      </x:c>
      <x:c r="F214" s="82" t="n">
        <x:v>0</x:v>
      </x:c>
      <x:c r="G214" s="62" t="n">
        <x:v>1</x:v>
      </x:c>
      <x:c r="H214" s="80" t="str">
        <x:f>IF(F214=G214,"PASS","OPEN")</x:f>
        <x:v>OPEN</x:v>
      </x:c>
      <x:c r="I214" s="62" t="str">
        <x:v>REWORK</x:v>
      </x:c>
      <x:c r="J214" s="62" t="str">
        <x:v>Artifact validity only</x:v>
      </x:c>
      <x:c r="K214" s="103"/>
      <x:c r="L214" s="103"/>
      <x:c r="M214" s="103"/>
      <x:c r="N214" s="103"/>
    </x:row>
    <x:row r="215">
      <x:c r="A215" s="62" t="str">
        <x:v>V209</x:v>
      </x:c>
      <x:c r="B215" s="62" t="str">
        <x:v>P18</x:v>
      </x:c>
      <x:c r="C215" s="62" t="str">
        <x:v>LF-B</x:v>
      </x:c>
      <x:c r="D215" s="62" t="str">
        <x:v>LF-B-A</x:v>
      </x:c>
      <x:c r="E215" s="62" t="str">
        <x:v>G05 Assumption and unknown register</x:v>
      </x:c>
      <x:c r="F215" s="82" t="n">
        <x:v>0</x:v>
      </x:c>
      <x:c r="G215" s="62" t="n">
        <x:v>1</x:v>
      </x:c>
      <x:c r="H215" s="80" t="str">
        <x:f>IF(F215=G215,"PASS","OPEN")</x:f>
        <x:v>OPEN</x:v>
      </x:c>
      <x:c r="I215" s="62" t="str">
        <x:v>REWORK</x:v>
      </x:c>
      <x:c r="J215" s="62" t="str">
        <x:v>Artifact validity only</x:v>
      </x:c>
      <x:c r="K215" s="103"/>
      <x:c r="L215" s="103"/>
      <x:c r="M215" s="103"/>
      <x:c r="N215" s="103"/>
    </x:row>
    <x:row r="216">
      <x:c r="A216" s="62" t="str">
        <x:v>V210</x:v>
      </x:c>
      <x:c r="B216" s="62" t="str">
        <x:v>P18</x:v>
      </x:c>
      <x:c r="C216" s="62" t="str">
        <x:v>LF-B</x:v>
      </x:c>
      <x:c r="D216" s="62" t="str">
        <x:v>LF-B-A</x:v>
      </x:c>
      <x:c r="E216" s="62" t="str">
        <x:v>G06 Independent clean-room replay</x:v>
      </x:c>
      <x:c r="F216" s="82" t="n">
        <x:v>0</x:v>
      </x:c>
      <x:c r="G216" s="62" t="n">
        <x:v>1</x:v>
      </x:c>
      <x:c r="H216" s="80" t="str">
        <x:f>IF(F216=G216,"PASS","OPEN")</x:f>
        <x:v>OPEN</x:v>
      </x:c>
      <x:c r="I216" s="62" t="str">
        <x:v>REWORK</x:v>
      </x:c>
      <x:c r="J216" s="62" t="str">
        <x:v>Artifact validity only</x:v>
      </x:c>
      <x:c r="K216" s="103"/>
      <x:c r="L216" s="103"/>
      <x:c r="M216" s="103"/>
      <x:c r="N216" s="103"/>
    </x:row>
    <x:row r="217">
      <x:c r="A217" s="62" t="str">
        <x:v>V211</x:v>
      </x:c>
      <x:c r="B217" s="62" t="str">
        <x:v>P18</x:v>
      </x:c>
      <x:c r="C217" s="62" t="str">
        <x:v>LF-B</x:v>
      </x:c>
      <x:c r="D217" s="62" t="str">
        <x:v>LF-B-A</x:v>
      </x:c>
      <x:c r="E217" s="62" t="str">
        <x:v>G07 Interface and destructive-test trace</x:v>
      </x:c>
      <x:c r="F217" s="82" t="n">
        <x:v>0</x:v>
      </x:c>
      <x:c r="G217" s="62" t="n">
        <x:v>1</x:v>
      </x:c>
      <x:c r="H217" s="80" t="str">
        <x:f>IF(F217=G217,"PASS","OPEN")</x:f>
        <x:v>OPEN</x:v>
      </x:c>
      <x:c r="I217" s="62" t="str">
        <x:v>REWORK</x:v>
      </x:c>
      <x:c r="J217" s="62" t="str">
        <x:v>Artifact validity only</x:v>
      </x:c>
      <x:c r="K217" s="103"/>
      <x:c r="L217" s="103"/>
      <x:c r="M217" s="103"/>
      <x:c r="N217" s="103"/>
    </x:row>
    <x:row r="218">
      <x:c r="A218" s="62" t="str">
        <x:v>V212</x:v>
      </x:c>
      <x:c r="B218" s="62" t="str">
        <x:v>P18</x:v>
      </x:c>
      <x:c r="C218" s="62" t="str">
        <x:v>LF-B</x:v>
      </x:c>
      <x:c r="D218" s="62" t="str">
        <x:v>LF-B-A</x:v>
      </x:c>
      <x:c r="E218" s="62" t="str">
        <x:v>G08 Rights and safe-state closure</x:v>
      </x:c>
      <x:c r="F218" s="82" t="n">
        <x:v>0</x:v>
      </x:c>
      <x:c r="G218" s="62" t="n">
        <x:v>1</x:v>
      </x:c>
      <x:c r="H218" s="80" t="str">
        <x:f>IF(F218=G218,"PASS","OPEN")</x:f>
        <x:v>OPEN</x:v>
      </x:c>
      <x:c r="I218" s="62" t="str">
        <x:v>REWORK</x:v>
      </x:c>
      <x:c r="J218" s="62" t="str">
        <x:v>Artifact validity only</x:v>
      </x:c>
      <x:c r="K218" s="103"/>
      <x:c r="L218" s="103"/>
      <x:c r="M218" s="103"/>
      <x:c r="N218" s="103"/>
    </x:row>
    <x:row r="219">
      <x:c r="A219" s="62" t="str">
        <x:v>V213</x:v>
      </x:c>
      <x:c r="B219" s="62" t="str">
        <x:v>P18</x:v>
      </x:c>
      <x:c r="C219" s="62" t="str">
        <x:v>LF-B</x:v>
      </x:c>
      <x:c r="D219" s="62" t="str">
        <x:v>LF-B-A</x:v>
      </x:c>
      <x:c r="E219" s="62" t="str">
        <x:v>G09 Receiver and residual closure</x:v>
      </x:c>
      <x:c r="F219" s="82" t="n">
        <x:v>0</x:v>
      </x:c>
      <x:c r="G219" s="62" t="n">
        <x:v>1</x:v>
      </x:c>
      <x:c r="H219" s="80" t="str">
        <x:f>IF(F219=G219,"PASS","OPEN")</x:f>
        <x:v>OPEN</x:v>
      </x:c>
      <x:c r="I219" s="62" t="str">
        <x:v>REWORK</x:v>
      </x:c>
      <x:c r="J219" s="62" t="str">
        <x:v>Artifact validity only</x:v>
      </x:c>
      <x:c r="K219" s="103"/>
      <x:c r="L219" s="103"/>
      <x:c r="M219" s="103"/>
      <x:c r="N219" s="103"/>
    </x:row>
    <x:row r="220">
      <x:c r="A220" s="62" t="str">
        <x:v>V214</x:v>
      </x:c>
      <x:c r="B220" s="62" t="str">
        <x:v>P18</x:v>
      </x:c>
      <x:c r="C220" s="62" t="str">
        <x:v>LF-B</x:v>
      </x:c>
      <x:c r="D220" s="62" t="str">
        <x:v>LF-B-A</x:v>
      </x:c>
      <x:c r="E220" s="62" t="str">
        <x:v>G10 Challenge response and terminal archive</x:v>
      </x:c>
      <x:c r="F220" s="82" t="n">
        <x:v>0</x:v>
      </x:c>
      <x:c r="G220" s="62" t="n">
        <x:v>1</x:v>
      </x:c>
      <x:c r="H220" s="80" t="str">
        <x:f>IF(F220=G220,"PASS","OPEN")</x:f>
        <x:v>OPEN</x:v>
      </x:c>
      <x:c r="I220" s="62" t="str">
        <x:v>REWORK</x:v>
      </x:c>
      <x:c r="J220" s="62" t="str">
        <x:v>Artifact validity only</x:v>
      </x:c>
      <x:c r="K220" s="103"/>
      <x:c r="L220" s="103"/>
      <x:c r="M220" s="103"/>
      <x:c r="N220" s="103"/>
    </x:row>
    <x:row r="221">
      <x:c r="A221" s="62" t="str">
        <x:v>V215</x:v>
      </x:c>
      <x:c r="B221" s="62" t="str">
        <x:v>P18</x:v>
      </x:c>
      <x:c r="C221" s="62" t="str">
        <x:v>LF-B</x:v>
      </x:c>
      <x:c r="D221" s="62" t="str">
        <x:v>LF-B-A</x:v>
      </x:c>
      <x:c r="E221" s="62" t="str">
        <x:v>G11 No sibling performance exposure</x:v>
      </x:c>
      <x:c r="F221" s="82" t="n">
        <x:v>1</x:v>
      </x:c>
      <x:c r="G221" s="62" t="n">
        <x:v>1</x:v>
      </x:c>
      <x:c r="H221" s="80" t="str">
        <x:f>IF(F221=G221,"PASS","OPEN")</x:f>
        <x:v>PASS</x:v>
      </x:c>
      <x:c r="I221" s="62" t="str">
        <x:v>TERMINATE CELL</x:v>
      </x:c>
      <x:c r="J221" s="62" t="str">
        <x:v>Constitutional independence</x:v>
      </x:c>
      <x:c r="K221" s="103"/>
      <x:c r="L221" s="103"/>
      <x:c r="M221" s="103"/>
      <x:c r="N221" s="103"/>
    </x:row>
    <x:row r="222">
      <x:c r="A222" s="62" t="str">
        <x:v>V216</x:v>
      </x:c>
      <x:c r="B222" s="62" t="str">
        <x:v>P18</x:v>
      </x:c>
      <x:c r="C222" s="62" t="str">
        <x:v>LF-B</x:v>
      </x:c>
      <x:c r="D222" s="62" t="str">
        <x:v>LF-B-A</x:v>
      </x:c>
      <x:c r="E222" s="62" t="str">
        <x:v>G12 Builder and validity control separated</x:v>
      </x:c>
      <x:c r="F222" s="82" t="n">
        <x:v>1</x:v>
      </x:c>
      <x:c r="G222" s="62" t="n">
        <x:v>1</x:v>
      </x:c>
      <x:c r="H222" s="80" t="str">
        <x:f>IF(F222=G222,"PASS","OPEN")</x:f>
        <x:v>PASS</x:v>
      </x:c>
      <x:c r="I222" s="62" t="str">
        <x:v>TERMINATE CELL</x:v>
      </x:c>
      <x:c r="J222" s="62" t="str">
        <x:v>Constitutional independence</x:v>
      </x:c>
      <x:c r="K222" s="103"/>
      <x:c r="L222" s="103"/>
      <x:c r="M222" s="103"/>
      <x:c r="N222" s="103"/>
    </x:row>
    <x:row r="223">
      <x:c r="A223" s="62" t="str">
        <x:v>V217</x:v>
      </x:c>
      <x:c r="B223" s="62" t="str">
        <x:v>P19</x:v>
      </x:c>
      <x:c r="C223" s="62" t="str">
        <x:v>LF-B</x:v>
      </x:c>
      <x:c r="D223" s="62" t="str">
        <x:v>LF-B-A</x:v>
      </x:c>
      <x:c r="E223" s="62" t="str">
        <x:v>G01 Source manifest and authorship</x:v>
      </x:c>
      <x:c r="F223" s="82" t="n">
        <x:v>0</x:v>
      </x:c>
      <x:c r="G223" s="62" t="n">
        <x:v>1</x:v>
      </x:c>
      <x:c r="H223" s="80" t="str">
        <x:f>IF(F223=G223,"PASS","OPEN")</x:f>
        <x:v>OPEN</x:v>
      </x:c>
      <x:c r="I223" s="62" t="str">
        <x:v>REWORK</x:v>
      </x:c>
      <x:c r="J223" s="62" t="str">
        <x:v>Artifact validity only</x:v>
      </x:c>
      <x:c r="K223" s="103"/>
      <x:c r="L223" s="103"/>
      <x:c r="M223" s="103"/>
      <x:c r="N223" s="103"/>
    </x:row>
    <x:row r="224">
      <x:c r="A224" s="62" t="str">
        <x:v>V218</x:v>
      </x:c>
      <x:c r="B224" s="62" t="str">
        <x:v>P19</x:v>
      </x:c>
      <x:c r="C224" s="62" t="str">
        <x:v>LF-B</x:v>
      </x:c>
      <x:c r="D224" s="62" t="str">
        <x:v>LF-B-A</x:v>
      </x:c>
      <x:c r="E224" s="62" t="str">
        <x:v>G02 Frozen configuration hash</x:v>
      </x:c>
      <x:c r="F224" s="82" t="n">
        <x:v>0</x:v>
      </x:c>
      <x:c r="G224" s="62" t="n">
        <x:v>1</x:v>
      </x:c>
      <x:c r="H224" s="80" t="str">
        <x:f>IF(F224=G224,"PASS","OPEN")</x:f>
        <x:v>OPEN</x:v>
      </x:c>
      <x:c r="I224" s="62" t="str">
        <x:v>REWORK</x:v>
      </x:c>
      <x:c r="J224" s="62" t="str">
        <x:v>Artifact validity only</x:v>
      </x:c>
      <x:c r="K224" s="103"/>
      <x:c r="L224" s="103"/>
      <x:c r="M224" s="103"/>
      <x:c r="N224" s="103"/>
    </x:row>
    <x:row r="225">
      <x:c r="A225" s="62" t="str">
        <x:v>V219</x:v>
      </x:c>
      <x:c r="B225" s="62" t="str">
        <x:v>P19</x:v>
      </x:c>
      <x:c r="C225" s="62" t="str">
        <x:v>LF-B</x:v>
      </x:c>
      <x:c r="D225" s="62" t="str">
        <x:v>LF-B-A</x:v>
      </x:c>
      <x:c r="E225" s="62" t="str">
        <x:v>G03 Executable native artifact</x:v>
      </x:c>
      <x:c r="F225" s="82" t="n">
        <x:v>0</x:v>
      </x:c>
      <x:c r="G225" s="62" t="n">
        <x:v>1</x:v>
      </x:c>
      <x:c r="H225" s="80" t="str">
        <x:f>IF(F225=G225,"PASS","OPEN")</x:f>
        <x:v>OPEN</x:v>
      </x:c>
      <x:c r="I225" s="62" t="str">
        <x:v>REWORK</x:v>
      </x:c>
      <x:c r="J225" s="62" t="str">
        <x:v>Artifact validity only</x:v>
      </x:c>
      <x:c r="K225" s="103"/>
      <x:c r="L225" s="103"/>
      <x:c r="M225" s="103"/>
      <x:c r="N225" s="103"/>
    </x:row>
    <x:row r="226">
      <x:c r="A226" s="62" t="str">
        <x:v>V220</x:v>
      </x:c>
      <x:c r="B226" s="62" t="str">
        <x:v>P19</x:v>
      </x:c>
      <x:c r="C226" s="62" t="str">
        <x:v>LF-B</x:v>
      </x:c>
      <x:c r="D226" s="62" t="str">
        <x:v>LF-B-A</x:v>
      </x:c>
      <x:c r="E226" s="62" t="str">
        <x:v>G04 Dependency, tool and material ledger</x:v>
      </x:c>
      <x:c r="F226" s="82" t="n">
        <x:v>0</x:v>
      </x:c>
      <x:c r="G226" s="62" t="n">
        <x:v>1</x:v>
      </x:c>
      <x:c r="H226" s="80" t="str">
        <x:f>IF(F226=G226,"PASS","OPEN")</x:f>
        <x:v>OPEN</x:v>
      </x:c>
      <x:c r="I226" s="62" t="str">
        <x:v>REWORK</x:v>
      </x:c>
      <x:c r="J226" s="62" t="str">
        <x:v>Artifact validity only</x:v>
      </x:c>
      <x:c r="K226" s="103"/>
      <x:c r="L226" s="103"/>
      <x:c r="M226" s="103"/>
      <x:c r="N226" s="103"/>
    </x:row>
    <x:row r="227">
      <x:c r="A227" s="62" t="str">
        <x:v>V221</x:v>
      </x:c>
      <x:c r="B227" s="62" t="str">
        <x:v>P19</x:v>
      </x:c>
      <x:c r="C227" s="62" t="str">
        <x:v>LF-B</x:v>
      </x:c>
      <x:c r="D227" s="62" t="str">
        <x:v>LF-B-A</x:v>
      </x:c>
      <x:c r="E227" s="62" t="str">
        <x:v>G05 Assumption and unknown register</x:v>
      </x:c>
      <x:c r="F227" s="82" t="n">
        <x:v>0</x:v>
      </x:c>
      <x:c r="G227" s="62" t="n">
        <x:v>1</x:v>
      </x:c>
      <x:c r="H227" s="80" t="str">
        <x:f>IF(F227=G227,"PASS","OPEN")</x:f>
        <x:v>OPEN</x:v>
      </x:c>
      <x:c r="I227" s="62" t="str">
        <x:v>REWORK</x:v>
      </x:c>
      <x:c r="J227" s="62" t="str">
        <x:v>Artifact validity only</x:v>
      </x:c>
      <x:c r="K227" s="103"/>
      <x:c r="L227" s="103"/>
      <x:c r="M227" s="103"/>
      <x:c r="N227" s="103"/>
    </x:row>
    <x:row r="228">
      <x:c r="A228" s="62" t="str">
        <x:v>V222</x:v>
      </x:c>
      <x:c r="B228" s="62" t="str">
        <x:v>P19</x:v>
      </x:c>
      <x:c r="C228" s="62" t="str">
        <x:v>LF-B</x:v>
      </x:c>
      <x:c r="D228" s="62" t="str">
        <x:v>LF-B-A</x:v>
      </x:c>
      <x:c r="E228" s="62" t="str">
        <x:v>G06 Independent clean-room replay</x:v>
      </x:c>
      <x:c r="F228" s="82" t="n">
        <x:v>0</x:v>
      </x:c>
      <x:c r="G228" s="62" t="n">
        <x:v>1</x:v>
      </x:c>
      <x:c r="H228" s="80" t="str">
        <x:f>IF(F228=G228,"PASS","OPEN")</x:f>
        <x:v>OPEN</x:v>
      </x:c>
      <x:c r="I228" s="62" t="str">
        <x:v>REWORK</x:v>
      </x:c>
      <x:c r="J228" s="62" t="str">
        <x:v>Artifact validity only</x:v>
      </x:c>
      <x:c r="K228" s="103"/>
      <x:c r="L228" s="103"/>
      <x:c r="M228" s="103"/>
      <x:c r="N228" s="103"/>
    </x:row>
    <x:row r="229">
      <x:c r="A229" s="62" t="str">
        <x:v>V223</x:v>
      </x:c>
      <x:c r="B229" s="62" t="str">
        <x:v>P19</x:v>
      </x:c>
      <x:c r="C229" s="62" t="str">
        <x:v>LF-B</x:v>
      </x:c>
      <x:c r="D229" s="62" t="str">
        <x:v>LF-B-A</x:v>
      </x:c>
      <x:c r="E229" s="62" t="str">
        <x:v>G07 Interface and destructive-test trace</x:v>
      </x:c>
      <x:c r="F229" s="82" t="n">
        <x:v>0</x:v>
      </x:c>
      <x:c r="G229" s="62" t="n">
        <x:v>1</x:v>
      </x:c>
      <x:c r="H229" s="80" t="str">
        <x:f>IF(F229=G229,"PASS","OPEN")</x:f>
        <x:v>OPEN</x:v>
      </x:c>
      <x:c r="I229" s="62" t="str">
        <x:v>REWORK</x:v>
      </x:c>
      <x:c r="J229" s="62" t="str">
        <x:v>Artifact validity only</x:v>
      </x:c>
      <x:c r="K229" s="103"/>
      <x:c r="L229" s="103"/>
      <x:c r="M229" s="103"/>
      <x:c r="N229" s="103"/>
    </x:row>
    <x:row r="230">
      <x:c r="A230" s="62" t="str">
        <x:v>V224</x:v>
      </x:c>
      <x:c r="B230" s="62" t="str">
        <x:v>P19</x:v>
      </x:c>
      <x:c r="C230" s="62" t="str">
        <x:v>LF-B</x:v>
      </x:c>
      <x:c r="D230" s="62" t="str">
        <x:v>LF-B-A</x:v>
      </x:c>
      <x:c r="E230" s="62" t="str">
        <x:v>G08 Rights and safe-state closure</x:v>
      </x:c>
      <x:c r="F230" s="82" t="n">
        <x:v>0</x:v>
      </x:c>
      <x:c r="G230" s="62" t="n">
        <x:v>1</x:v>
      </x:c>
      <x:c r="H230" s="80" t="str">
        <x:f>IF(F230=G230,"PASS","OPEN")</x:f>
        <x:v>OPEN</x:v>
      </x:c>
      <x:c r="I230" s="62" t="str">
        <x:v>REWORK</x:v>
      </x:c>
      <x:c r="J230" s="62" t="str">
        <x:v>Artifact validity only</x:v>
      </x:c>
      <x:c r="K230" s="103"/>
      <x:c r="L230" s="103"/>
      <x:c r="M230" s="103"/>
      <x:c r="N230" s="103"/>
    </x:row>
    <x:row r="231">
      <x:c r="A231" s="62" t="str">
        <x:v>V225</x:v>
      </x:c>
      <x:c r="B231" s="62" t="str">
        <x:v>P19</x:v>
      </x:c>
      <x:c r="C231" s="62" t="str">
        <x:v>LF-B</x:v>
      </x:c>
      <x:c r="D231" s="62" t="str">
        <x:v>LF-B-A</x:v>
      </x:c>
      <x:c r="E231" s="62" t="str">
        <x:v>G09 Receiver and residual closure</x:v>
      </x:c>
      <x:c r="F231" s="82" t="n">
        <x:v>0</x:v>
      </x:c>
      <x:c r="G231" s="62" t="n">
        <x:v>1</x:v>
      </x:c>
      <x:c r="H231" s="80" t="str">
        <x:f>IF(F231=G231,"PASS","OPEN")</x:f>
        <x:v>OPEN</x:v>
      </x:c>
      <x:c r="I231" s="62" t="str">
        <x:v>REWORK</x:v>
      </x:c>
      <x:c r="J231" s="62" t="str">
        <x:v>Artifact validity only</x:v>
      </x:c>
      <x:c r="K231" s="103"/>
      <x:c r="L231" s="103"/>
      <x:c r="M231" s="103"/>
      <x:c r="N231" s="103"/>
    </x:row>
    <x:row r="232">
      <x:c r="A232" s="62" t="str">
        <x:v>V226</x:v>
      </x:c>
      <x:c r="B232" s="62" t="str">
        <x:v>P19</x:v>
      </x:c>
      <x:c r="C232" s="62" t="str">
        <x:v>LF-B</x:v>
      </x:c>
      <x:c r="D232" s="62" t="str">
        <x:v>LF-B-A</x:v>
      </x:c>
      <x:c r="E232" s="62" t="str">
        <x:v>G10 Challenge response and terminal archive</x:v>
      </x:c>
      <x:c r="F232" s="82" t="n">
        <x:v>0</x:v>
      </x:c>
      <x:c r="G232" s="62" t="n">
        <x:v>1</x:v>
      </x:c>
      <x:c r="H232" s="80" t="str">
        <x:f>IF(F232=G232,"PASS","OPEN")</x:f>
        <x:v>OPEN</x:v>
      </x:c>
      <x:c r="I232" s="62" t="str">
        <x:v>REWORK</x:v>
      </x:c>
      <x:c r="J232" s="62" t="str">
        <x:v>Artifact validity only</x:v>
      </x:c>
      <x:c r="K232" s="103"/>
      <x:c r="L232" s="103"/>
      <x:c r="M232" s="103"/>
      <x:c r="N232" s="103"/>
    </x:row>
    <x:row r="233">
      <x:c r="A233" s="62" t="str">
        <x:v>V227</x:v>
      </x:c>
      <x:c r="B233" s="62" t="str">
        <x:v>P19</x:v>
      </x:c>
      <x:c r="C233" s="62" t="str">
        <x:v>LF-B</x:v>
      </x:c>
      <x:c r="D233" s="62" t="str">
        <x:v>LF-B-A</x:v>
      </x:c>
      <x:c r="E233" s="62" t="str">
        <x:v>G11 No sibling performance exposure</x:v>
      </x:c>
      <x:c r="F233" s="82" t="n">
        <x:v>1</x:v>
      </x:c>
      <x:c r="G233" s="62" t="n">
        <x:v>1</x:v>
      </x:c>
      <x:c r="H233" s="80" t="str">
        <x:f>IF(F233=G233,"PASS","OPEN")</x:f>
        <x:v>PASS</x:v>
      </x:c>
      <x:c r="I233" s="62" t="str">
        <x:v>TERMINATE CELL</x:v>
      </x:c>
      <x:c r="J233" s="62" t="str">
        <x:v>Constitutional independence</x:v>
      </x:c>
      <x:c r="K233" s="103"/>
      <x:c r="L233" s="103"/>
      <x:c r="M233" s="103"/>
      <x:c r="N233" s="103"/>
    </x:row>
    <x:row r="234">
      <x:c r="A234" s="62" t="str">
        <x:v>V228</x:v>
      </x:c>
      <x:c r="B234" s="62" t="str">
        <x:v>P19</x:v>
      </x:c>
      <x:c r="C234" s="62" t="str">
        <x:v>LF-B</x:v>
      </x:c>
      <x:c r="D234" s="62" t="str">
        <x:v>LF-B-A</x:v>
      </x:c>
      <x:c r="E234" s="62" t="str">
        <x:v>G12 Builder and validity control separated</x:v>
      </x:c>
      <x:c r="F234" s="82" t="n">
        <x:v>1</x:v>
      </x:c>
      <x:c r="G234" s="62" t="n">
        <x:v>1</x:v>
      </x:c>
      <x:c r="H234" s="80" t="str">
        <x:f>IF(F234=G234,"PASS","OPEN")</x:f>
        <x:v>PASS</x:v>
      </x:c>
      <x:c r="I234" s="62" t="str">
        <x:v>TERMINATE CELL</x:v>
      </x:c>
      <x:c r="J234" s="62" t="str">
        <x:v>Constitutional independence</x:v>
      </x:c>
      <x:c r="K234" s="103"/>
      <x:c r="L234" s="103"/>
      <x:c r="M234" s="103"/>
      <x:c r="N234" s="103"/>
    </x:row>
    <x:row r="235">
      <x:c r="A235" s="62" t="str">
        <x:v>V229</x:v>
      </x:c>
      <x:c r="B235" s="62" t="str">
        <x:v>P20</x:v>
      </x:c>
      <x:c r="C235" s="62" t="str">
        <x:v>LF-B</x:v>
      </x:c>
      <x:c r="D235" s="62" t="str">
        <x:v>LF-B-A</x:v>
      </x:c>
      <x:c r="E235" s="62" t="str">
        <x:v>G01 Source manifest and authorship</x:v>
      </x:c>
      <x:c r="F235" s="82" t="n">
        <x:v>0</x:v>
      </x:c>
      <x:c r="G235" s="62" t="n">
        <x:v>1</x:v>
      </x:c>
      <x:c r="H235" s="80" t="str">
        <x:f>IF(F235=G235,"PASS","OPEN")</x:f>
        <x:v>OPEN</x:v>
      </x:c>
      <x:c r="I235" s="62" t="str">
        <x:v>REWORK</x:v>
      </x:c>
      <x:c r="J235" s="62" t="str">
        <x:v>Artifact validity only</x:v>
      </x:c>
      <x:c r="K235" s="103"/>
      <x:c r="L235" s="103"/>
      <x:c r="M235" s="103"/>
      <x:c r="N235" s="103"/>
    </x:row>
    <x:row r="236">
      <x:c r="A236" s="62" t="str">
        <x:v>V230</x:v>
      </x:c>
      <x:c r="B236" s="62" t="str">
        <x:v>P20</x:v>
      </x:c>
      <x:c r="C236" s="62" t="str">
        <x:v>LF-B</x:v>
      </x:c>
      <x:c r="D236" s="62" t="str">
        <x:v>LF-B-A</x:v>
      </x:c>
      <x:c r="E236" s="62" t="str">
        <x:v>G02 Frozen configuration hash</x:v>
      </x:c>
      <x:c r="F236" s="82" t="n">
        <x:v>0</x:v>
      </x:c>
      <x:c r="G236" s="62" t="n">
        <x:v>1</x:v>
      </x:c>
      <x:c r="H236" s="80" t="str">
        <x:f>IF(F236=G236,"PASS","OPEN")</x:f>
        <x:v>OPEN</x:v>
      </x:c>
      <x:c r="I236" s="62" t="str">
        <x:v>REWORK</x:v>
      </x:c>
      <x:c r="J236" s="62" t="str">
        <x:v>Artifact validity only</x:v>
      </x:c>
      <x:c r="K236" s="103"/>
      <x:c r="L236" s="103"/>
      <x:c r="M236" s="103"/>
      <x:c r="N236" s="103"/>
    </x:row>
    <x:row r="237">
      <x:c r="A237" s="62" t="str">
        <x:v>V231</x:v>
      </x:c>
      <x:c r="B237" s="62" t="str">
        <x:v>P20</x:v>
      </x:c>
      <x:c r="C237" s="62" t="str">
        <x:v>LF-B</x:v>
      </x:c>
      <x:c r="D237" s="62" t="str">
        <x:v>LF-B-A</x:v>
      </x:c>
      <x:c r="E237" s="62" t="str">
        <x:v>G03 Executable native artifact</x:v>
      </x:c>
      <x:c r="F237" s="82" t="n">
        <x:v>0</x:v>
      </x:c>
      <x:c r="G237" s="62" t="n">
        <x:v>1</x:v>
      </x:c>
      <x:c r="H237" s="80" t="str">
        <x:f>IF(F237=G237,"PASS","OPEN")</x:f>
        <x:v>OPEN</x:v>
      </x:c>
      <x:c r="I237" s="62" t="str">
        <x:v>REWORK</x:v>
      </x:c>
      <x:c r="J237" s="62" t="str">
        <x:v>Artifact validity only</x:v>
      </x:c>
      <x:c r="K237" s="103"/>
      <x:c r="L237" s="103"/>
      <x:c r="M237" s="103"/>
      <x:c r="N237" s="103"/>
    </x:row>
    <x:row r="238">
      <x:c r="A238" s="62" t="str">
        <x:v>V232</x:v>
      </x:c>
      <x:c r="B238" s="62" t="str">
        <x:v>P20</x:v>
      </x:c>
      <x:c r="C238" s="62" t="str">
        <x:v>LF-B</x:v>
      </x:c>
      <x:c r="D238" s="62" t="str">
        <x:v>LF-B-A</x:v>
      </x:c>
      <x:c r="E238" s="62" t="str">
        <x:v>G04 Dependency, tool and material ledger</x:v>
      </x:c>
      <x:c r="F238" s="82" t="n">
        <x:v>0</x:v>
      </x:c>
      <x:c r="G238" s="62" t="n">
        <x:v>1</x:v>
      </x:c>
      <x:c r="H238" s="80" t="str">
        <x:f>IF(F238=G238,"PASS","OPEN")</x:f>
        <x:v>OPEN</x:v>
      </x:c>
      <x:c r="I238" s="62" t="str">
        <x:v>REWORK</x:v>
      </x:c>
      <x:c r="J238" s="62" t="str">
        <x:v>Artifact validity only</x:v>
      </x:c>
      <x:c r="K238" s="103"/>
      <x:c r="L238" s="103"/>
      <x:c r="M238" s="103"/>
      <x:c r="N238" s="103"/>
    </x:row>
    <x:row r="239">
      <x:c r="A239" s="62" t="str">
        <x:v>V233</x:v>
      </x:c>
      <x:c r="B239" s="62" t="str">
        <x:v>P20</x:v>
      </x:c>
      <x:c r="C239" s="62" t="str">
        <x:v>LF-B</x:v>
      </x:c>
      <x:c r="D239" s="62" t="str">
        <x:v>LF-B-A</x:v>
      </x:c>
      <x:c r="E239" s="62" t="str">
        <x:v>G05 Assumption and unknown register</x:v>
      </x:c>
      <x:c r="F239" s="82" t="n">
        <x:v>0</x:v>
      </x:c>
      <x:c r="G239" s="62" t="n">
        <x:v>1</x:v>
      </x:c>
      <x:c r="H239" s="80" t="str">
        <x:f>IF(F239=G239,"PASS","OPEN")</x:f>
        <x:v>OPEN</x:v>
      </x:c>
      <x:c r="I239" s="62" t="str">
        <x:v>REWORK</x:v>
      </x:c>
      <x:c r="J239" s="62" t="str">
        <x:v>Artifact validity only</x:v>
      </x:c>
      <x:c r="K239" s="103"/>
      <x:c r="L239" s="103"/>
      <x:c r="M239" s="103"/>
      <x:c r="N239" s="103"/>
    </x:row>
    <x:row r="240">
      <x:c r="A240" s="62" t="str">
        <x:v>V234</x:v>
      </x:c>
      <x:c r="B240" s="62" t="str">
        <x:v>P20</x:v>
      </x:c>
      <x:c r="C240" s="62" t="str">
        <x:v>LF-B</x:v>
      </x:c>
      <x:c r="D240" s="62" t="str">
        <x:v>LF-B-A</x:v>
      </x:c>
      <x:c r="E240" s="62" t="str">
        <x:v>G06 Independent clean-room replay</x:v>
      </x:c>
      <x:c r="F240" s="82" t="n">
        <x:v>0</x:v>
      </x:c>
      <x:c r="G240" s="62" t="n">
        <x:v>1</x:v>
      </x:c>
      <x:c r="H240" s="80" t="str">
        <x:f>IF(F240=G240,"PASS","OPEN")</x:f>
        <x:v>OPEN</x:v>
      </x:c>
      <x:c r="I240" s="62" t="str">
        <x:v>REWORK</x:v>
      </x:c>
      <x:c r="J240" s="62" t="str">
        <x:v>Artifact validity only</x:v>
      </x:c>
      <x:c r="K240" s="103"/>
      <x:c r="L240" s="103"/>
      <x:c r="M240" s="103"/>
      <x:c r="N240" s="103"/>
    </x:row>
    <x:row r="241">
      <x:c r="A241" s="62" t="str">
        <x:v>V235</x:v>
      </x:c>
      <x:c r="B241" s="62" t="str">
        <x:v>P20</x:v>
      </x:c>
      <x:c r="C241" s="62" t="str">
        <x:v>LF-B</x:v>
      </x:c>
      <x:c r="D241" s="62" t="str">
        <x:v>LF-B-A</x:v>
      </x:c>
      <x:c r="E241" s="62" t="str">
        <x:v>G07 Interface and destructive-test trace</x:v>
      </x:c>
      <x:c r="F241" s="82" t="n">
        <x:v>0</x:v>
      </x:c>
      <x:c r="G241" s="62" t="n">
        <x:v>1</x:v>
      </x:c>
      <x:c r="H241" s="80" t="str">
        <x:f>IF(F241=G241,"PASS","OPEN")</x:f>
        <x:v>OPEN</x:v>
      </x:c>
      <x:c r="I241" s="62" t="str">
        <x:v>REWORK</x:v>
      </x:c>
      <x:c r="J241" s="62" t="str">
        <x:v>Artifact validity only</x:v>
      </x:c>
      <x:c r="K241" s="103"/>
      <x:c r="L241" s="103"/>
      <x:c r="M241" s="103"/>
      <x:c r="N241" s="103"/>
    </x:row>
    <x:row r="242">
      <x:c r="A242" s="62" t="str">
        <x:v>V236</x:v>
      </x:c>
      <x:c r="B242" s="62" t="str">
        <x:v>P20</x:v>
      </x:c>
      <x:c r="C242" s="62" t="str">
        <x:v>LF-B</x:v>
      </x:c>
      <x:c r="D242" s="62" t="str">
        <x:v>LF-B-A</x:v>
      </x:c>
      <x:c r="E242" s="62" t="str">
        <x:v>G08 Rights and safe-state closure</x:v>
      </x:c>
      <x:c r="F242" s="82" t="n">
        <x:v>0</x:v>
      </x:c>
      <x:c r="G242" s="62" t="n">
        <x:v>1</x:v>
      </x:c>
      <x:c r="H242" s="80" t="str">
        <x:f>IF(F242=G242,"PASS","OPEN")</x:f>
        <x:v>OPEN</x:v>
      </x:c>
      <x:c r="I242" s="62" t="str">
        <x:v>REWORK</x:v>
      </x:c>
      <x:c r="J242" s="62" t="str">
        <x:v>Artifact validity only</x:v>
      </x:c>
      <x:c r="K242" s="103"/>
      <x:c r="L242" s="103"/>
      <x:c r="M242" s="103"/>
      <x:c r="N242" s="103"/>
    </x:row>
    <x:row r="243">
      <x:c r="A243" s="62" t="str">
        <x:v>V237</x:v>
      </x:c>
      <x:c r="B243" s="62" t="str">
        <x:v>P20</x:v>
      </x:c>
      <x:c r="C243" s="62" t="str">
        <x:v>LF-B</x:v>
      </x:c>
      <x:c r="D243" s="62" t="str">
        <x:v>LF-B-A</x:v>
      </x:c>
      <x:c r="E243" s="62" t="str">
        <x:v>G09 Receiver and residual closure</x:v>
      </x:c>
      <x:c r="F243" s="82" t="n">
        <x:v>0</x:v>
      </x:c>
      <x:c r="G243" s="62" t="n">
        <x:v>1</x:v>
      </x:c>
      <x:c r="H243" s="80" t="str">
        <x:f>IF(F243=G243,"PASS","OPEN")</x:f>
        <x:v>OPEN</x:v>
      </x:c>
      <x:c r="I243" s="62" t="str">
        <x:v>REWORK</x:v>
      </x:c>
      <x:c r="J243" s="62" t="str">
        <x:v>Artifact validity only</x:v>
      </x:c>
      <x:c r="K243" s="103"/>
      <x:c r="L243" s="103"/>
      <x:c r="M243" s="103"/>
      <x:c r="N243" s="103"/>
    </x:row>
    <x:row r="244">
      <x:c r="A244" s="62" t="str">
        <x:v>V238</x:v>
      </x:c>
      <x:c r="B244" s="62" t="str">
        <x:v>P20</x:v>
      </x:c>
      <x:c r="C244" s="62" t="str">
        <x:v>LF-B</x:v>
      </x:c>
      <x:c r="D244" s="62" t="str">
        <x:v>LF-B-A</x:v>
      </x:c>
      <x:c r="E244" s="62" t="str">
        <x:v>G10 Challenge response and terminal archive</x:v>
      </x:c>
      <x:c r="F244" s="82" t="n">
        <x:v>0</x:v>
      </x:c>
      <x:c r="G244" s="62" t="n">
        <x:v>1</x:v>
      </x:c>
      <x:c r="H244" s="80" t="str">
        <x:f>IF(F244=G244,"PASS","OPEN")</x:f>
        <x:v>OPEN</x:v>
      </x:c>
      <x:c r="I244" s="62" t="str">
        <x:v>REWORK</x:v>
      </x:c>
      <x:c r="J244" s="62" t="str">
        <x:v>Artifact validity only</x:v>
      </x:c>
      <x:c r="K244" s="103"/>
      <x:c r="L244" s="103"/>
      <x:c r="M244" s="103"/>
      <x:c r="N244" s="103"/>
    </x:row>
    <x:row r="245">
      <x:c r="A245" s="62" t="str">
        <x:v>V239</x:v>
      </x:c>
      <x:c r="B245" s="62" t="str">
        <x:v>P20</x:v>
      </x:c>
      <x:c r="C245" s="62" t="str">
        <x:v>LF-B</x:v>
      </x:c>
      <x:c r="D245" s="62" t="str">
        <x:v>LF-B-A</x:v>
      </x:c>
      <x:c r="E245" s="62" t="str">
        <x:v>G11 No sibling performance exposure</x:v>
      </x:c>
      <x:c r="F245" s="82" t="n">
        <x:v>1</x:v>
      </x:c>
      <x:c r="G245" s="62" t="n">
        <x:v>1</x:v>
      </x:c>
      <x:c r="H245" s="80" t="str">
        <x:f>IF(F245=G245,"PASS","OPEN")</x:f>
        <x:v>PASS</x:v>
      </x:c>
      <x:c r="I245" s="62" t="str">
        <x:v>TERMINATE CELL</x:v>
      </x:c>
      <x:c r="J245" s="62" t="str">
        <x:v>Constitutional independence</x:v>
      </x:c>
      <x:c r="K245" s="103"/>
      <x:c r="L245" s="103"/>
      <x:c r="M245" s="103"/>
      <x:c r="N245" s="103"/>
    </x:row>
    <x:row r="246">
      <x:c r="A246" s="62" t="str">
        <x:v>V240</x:v>
      </x:c>
      <x:c r="B246" s="62" t="str">
        <x:v>P20</x:v>
      </x:c>
      <x:c r="C246" s="62" t="str">
        <x:v>LF-B</x:v>
      </x:c>
      <x:c r="D246" s="62" t="str">
        <x:v>LF-B-A</x:v>
      </x:c>
      <x:c r="E246" s="62" t="str">
        <x:v>G12 Builder and validity control separated</x:v>
      </x:c>
      <x:c r="F246" s="82" t="n">
        <x:v>1</x:v>
      </x:c>
      <x:c r="G246" s="62" t="n">
        <x:v>1</x:v>
      </x:c>
      <x:c r="H246" s="80" t="str">
        <x:f>IF(F246=G246,"PASS","OPEN")</x:f>
        <x:v>PASS</x:v>
      </x:c>
      <x:c r="I246" s="62" t="str">
        <x:v>TERMINATE CELL</x:v>
      </x:c>
      <x:c r="J246" s="62" t="str">
        <x:v>Constitutional independence</x:v>
      </x:c>
      <x:c r="K246" s="103"/>
      <x:c r="L246" s="103"/>
      <x:c r="M246" s="103"/>
      <x:c r="N246" s="103"/>
    </x:row>
    <x:row r="247">
      <x:c r="A247" s="62" t="str">
        <x:v>V241</x:v>
      </x:c>
      <x:c r="B247" s="62" t="str">
        <x:v>P21</x:v>
      </x:c>
      <x:c r="C247" s="62" t="str">
        <x:v>HU-A</x:v>
      </x:c>
      <x:c r="D247" s="62" t="str">
        <x:v>HU-A-B</x:v>
      </x:c>
      <x:c r="E247" s="62" t="str">
        <x:v>G01 Source manifest and authorship</x:v>
      </x:c>
      <x:c r="F247" s="82" t="n">
        <x:v>0</x:v>
      </x:c>
      <x:c r="G247" s="62" t="n">
        <x:v>1</x:v>
      </x:c>
      <x:c r="H247" s="80" t="str">
        <x:f>IF(F247=G247,"PASS","OPEN")</x:f>
        <x:v>OPEN</x:v>
      </x:c>
      <x:c r="I247" s="62" t="str">
        <x:v>REWORK</x:v>
      </x:c>
      <x:c r="J247" s="62" t="str">
        <x:v>Artifact validity only</x:v>
      </x:c>
      <x:c r="K247" s="103"/>
      <x:c r="L247" s="103"/>
      <x:c r="M247" s="103"/>
      <x:c r="N247" s="103"/>
    </x:row>
    <x:row r="248">
      <x:c r="A248" s="62" t="str">
        <x:v>V242</x:v>
      </x:c>
      <x:c r="B248" s="62" t="str">
        <x:v>P21</x:v>
      </x:c>
      <x:c r="C248" s="62" t="str">
        <x:v>HU-A</x:v>
      </x:c>
      <x:c r="D248" s="62" t="str">
        <x:v>HU-A-B</x:v>
      </x:c>
      <x:c r="E248" s="62" t="str">
        <x:v>G02 Frozen configuration hash</x:v>
      </x:c>
      <x:c r="F248" s="82" t="n">
        <x:v>0</x:v>
      </x:c>
      <x:c r="G248" s="62" t="n">
        <x:v>1</x:v>
      </x:c>
      <x:c r="H248" s="80" t="str">
        <x:f>IF(F248=G248,"PASS","OPEN")</x:f>
        <x:v>OPEN</x:v>
      </x:c>
      <x:c r="I248" s="62" t="str">
        <x:v>REWORK</x:v>
      </x:c>
      <x:c r="J248" s="62" t="str">
        <x:v>Artifact validity only</x:v>
      </x:c>
      <x:c r="K248" s="103"/>
      <x:c r="L248" s="103"/>
      <x:c r="M248" s="103"/>
      <x:c r="N248" s="103"/>
    </x:row>
    <x:row r="249">
      <x:c r="A249" s="62" t="str">
        <x:v>V243</x:v>
      </x:c>
      <x:c r="B249" s="62" t="str">
        <x:v>P21</x:v>
      </x:c>
      <x:c r="C249" s="62" t="str">
        <x:v>HU-A</x:v>
      </x:c>
      <x:c r="D249" s="62" t="str">
        <x:v>HU-A-B</x:v>
      </x:c>
      <x:c r="E249" s="62" t="str">
        <x:v>G03 Executable native artifact</x:v>
      </x:c>
      <x:c r="F249" s="82" t="n">
        <x:v>0</x:v>
      </x:c>
      <x:c r="G249" s="62" t="n">
        <x:v>1</x:v>
      </x:c>
      <x:c r="H249" s="80" t="str">
        <x:f>IF(F249=G249,"PASS","OPEN")</x:f>
        <x:v>OPEN</x:v>
      </x:c>
      <x:c r="I249" s="62" t="str">
        <x:v>REWORK</x:v>
      </x:c>
      <x:c r="J249" s="62" t="str">
        <x:v>Artifact validity only</x:v>
      </x:c>
      <x:c r="K249" s="103"/>
      <x:c r="L249" s="103"/>
      <x:c r="M249" s="103"/>
      <x:c r="N249" s="103"/>
    </x:row>
    <x:row r="250">
      <x:c r="A250" s="62" t="str">
        <x:v>V244</x:v>
      </x:c>
      <x:c r="B250" s="62" t="str">
        <x:v>P21</x:v>
      </x:c>
      <x:c r="C250" s="62" t="str">
        <x:v>HU-A</x:v>
      </x:c>
      <x:c r="D250" s="62" t="str">
        <x:v>HU-A-B</x:v>
      </x:c>
      <x:c r="E250" s="62" t="str">
        <x:v>G04 Dependency, tool and material ledger</x:v>
      </x:c>
      <x:c r="F250" s="82" t="n">
        <x:v>0</x:v>
      </x:c>
      <x:c r="G250" s="62" t="n">
        <x:v>1</x:v>
      </x:c>
      <x:c r="H250" s="80" t="str">
        <x:f>IF(F250=G250,"PASS","OPEN")</x:f>
        <x:v>OPEN</x:v>
      </x:c>
      <x:c r="I250" s="62" t="str">
        <x:v>REWORK</x:v>
      </x:c>
      <x:c r="J250" s="62" t="str">
        <x:v>Artifact validity only</x:v>
      </x:c>
      <x:c r="K250" s="103"/>
      <x:c r="L250" s="103"/>
      <x:c r="M250" s="103"/>
      <x:c r="N250" s="103"/>
    </x:row>
    <x:row r="251">
      <x:c r="A251" s="62" t="str">
        <x:v>V245</x:v>
      </x:c>
      <x:c r="B251" s="62" t="str">
        <x:v>P21</x:v>
      </x:c>
      <x:c r="C251" s="62" t="str">
        <x:v>HU-A</x:v>
      </x:c>
      <x:c r="D251" s="62" t="str">
        <x:v>HU-A-B</x:v>
      </x:c>
      <x:c r="E251" s="62" t="str">
        <x:v>G05 Assumption and unknown register</x:v>
      </x:c>
      <x:c r="F251" s="82" t="n">
        <x:v>0</x:v>
      </x:c>
      <x:c r="G251" s="62" t="n">
        <x:v>1</x:v>
      </x:c>
      <x:c r="H251" s="80" t="str">
        <x:f>IF(F251=G251,"PASS","OPEN")</x:f>
        <x:v>OPEN</x:v>
      </x:c>
      <x:c r="I251" s="62" t="str">
        <x:v>REWORK</x:v>
      </x:c>
      <x:c r="J251" s="62" t="str">
        <x:v>Artifact validity only</x:v>
      </x:c>
      <x:c r="K251" s="103"/>
      <x:c r="L251" s="103"/>
      <x:c r="M251" s="103"/>
      <x:c r="N251" s="103"/>
    </x:row>
    <x:row r="252">
      <x:c r="A252" s="62" t="str">
        <x:v>V246</x:v>
      </x:c>
      <x:c r="B252" s="62" t="str">
        <x:v>P21</x:v>
      </x:c>
      <x:c r="C252" s="62" t="str">
        <x:v>HU-A</x:v>
      </x:c>
      <x:c r="D252" s="62" t="str">
        <x:v>HU-A-B</x:v>
      </x:c>
      <x:c r="E252" s="62" t="str">
        <x:v>G06 Independent clean-room replay</x:v>
      </x:c>
      <x:c r="F252" s="82" t="n">
        <x:v>0</x:v>
      </x:c>
      <x:c r="G252" s="62" t="n">
        <x:v>1</x:v>
      </x:c>
      <x:c r="H252" s="80" t="str">
        <x:f>IF(F252=G252,"PASS","OPEN")</x:f>
        <x:v>OPEN</x:v>
      </x:c>
      <x:c r="I252" s="62" t="str">
        <x:v>REWORK</x:v>
      </x:c>
      <x:c r="J252" s="62" t="str">
        <x:v>Artifact validity only</x:v>
      </x:c>
      <x:c r="K252" s="103"/>
      <x:c r="L252" s="103"/>
      <x:c r="M252" s="103"/>
      <x:c r="N252" s="103"/>
    </x:row>
    <x:row r="253">
      <x:c r="A253" s="62" t="str">
        <x:v>V247</x:v>
      </x:c>
      <x:c r="B253" s="62" t="str">
        <x:v>P21</x:v>
      </x:c>
      <x:c r="C253" s="62" t="str">
        <x:v>HU-A</x:v>
      </x:c>
      <x:c r="D253" s="62" t="str">
        <x:v>HU-A-B</x:v>
      </x:c>
      <x:c r="E253" s="62" t="str">
        <x:v>G07 Interface and destructive-test trace</x:v>
      </x:c>
      <x:c r="F253" s="82" t="n">
        <x:v>0</x:v>
      </x:c>
      <x:c r="G253" s="62" t="n">
        <x:v>1</x:v>
      </x:c>
      <x:c r="H253" s="80" t="str">
        <x:f>IF(F253=G253,"PASS","OPEN")</x:f>
        <x:v>OPEN</x:v>
      </x:c>
      <x:c r="I253" s="62" t="str">
        <x:v>REWORK</x:v>
      </x:c>
      <x:c r="J253" s="62" t="str">
        <x:v>Artifact validity only</x:v>
      </x:c>
      <x:c r="K253" s="103"/>
      <x:c r="L253" s="103"/>
      <x:c r="M253" s="103"/>
      <x:c r="N253" s="103"/>
    </x:row>
    <x:row r="254">
      <x:c r="A254" s="62" t="str">
        <x:v>V248</x:v>
      </x:c>
      <x:c r="B254" s="62" t="str">
        <x:v>P21</x:v>
      </x:c>
      <x:c r="C254" s="62" t="str">
        <x:v>HU-A</x:v>
      </x:c>
      <x:c r="D254" s="62" t="str">
        <x:v>HU-A-B</x:v>
      </x:c>
      <x:c r="E254" s="62" t="str">
        <x:v>G08 Rights and safe-state closure</x:v>
      </x:c>
      <x:c r="F254" s="82" t="n">
        <x:v>0</x:v>
      </x:c>
      <x:c r="G254" s="62" t="n">
        <x:v>1</x:v>
      </x:c>
      <x:c r="H254" s="80" t="str">
        <x:f>IF(F254=G254,"PASS","OPEN")</x:f>
        <x:v>OPEN</x:v>
      </x:c>
      <x:c r="I254" s="62" t="str">
        <x:v>REWORK</x:v>
      </x:c>
      <x:c r="J254" s="62" t="str">
        <x:v>Artifact validity only</x:v>
      </x:c>
      <x:c r="K254" s="103"/>
      <x:c r="L254" s="103"/>
      <x:c r="M254" s="103"/>
      <x:c r="N254" s="103"/>
    </x:row>
    <x:row r="255">
      <x:c r="A255" s="62" t="str">
        <x:v>V249</x:v>
      </x:c>
      <x:c r="B255" s="62" t="str">
        <x:v>P21</x:v>
      </x:c>
      <x:c r="C255" s="62" t="str">
        <x:v>HU-A</x:v>
      </x:c>
      <x:c r="D255" s="62" t="str">
        <x:v>HU-A-B</x:v>
      </x:c>
      <x:c r="E255" s="62" t="str">
        <x:v>G09 Receiver and residual closure</x:v>
      </x:c>
      <x:c r="F255" s="82" t="n">
        <x:v>0</x:v>
      </x:c>
      <x:c r="G255" s="62" t="n">
        <x:v>1</x:v>
      </x:c>
      <x:c r="H255" s="80" t="str">
        <x:f>IF(F255=G255,"PASS","OPEN")</x:f>
        <x:v>OPEN</x:v>
      </x:c>
      <x:c r="I255" s="62" t="str">
        <x:v>REWORK</x:v>
      </x:c>
      <x:c r="J255" s="62" t="str">
        <x:v>Artifact validity only</x:v>
      </x:c>
      <x:c r="K255" s="103"/>
      <x:c r="L255" s="103"/>
      <x:c r="M255" s="103"/>
      <x:c r="N255" s="103"/>
    </x:row>
    <x:row r="256">
      <x:c r="A256" s="62" t="str">
        <x:v>V250</x:v>
      </x:c>
      <x:c r="B256" s="62" t="str">
        <x:v>P21</x:v>
      </x:c>
      <x:c r="C256" s="62" t="str">
        <x:v>HU-A</x:v>
      </x:c>
      <x:c r="D256" s="62" t="str">
        <x:v>HU-A-B</x:v>
      </x:c>
      <x:c r="E256" s="62" t="str">
        <x:v>G10 Challenge response and terminal archive</x:v>
      </x:c>
      <x:c r="F256" s="82" t="n">
        <x:v>0</x:v>
      </x:c>
      <x:c r="G256" s="62" t="n">
        <x:v>1</x:v>
      </x:c>
      <x:c r="H256" s="80" t="str">
        <x:f>IF(F256=G256,"PASS","OPEN")</x:f>
        <x:v>OPEN</x:v>
      </x:c>
      <x:c r="I256" s="62" t="str">
        <x:v>REWORK</x:v>
      </x:c>
      <x:c r="J256" s="62" t="str">
        <x:v>Artifact validity only</x:v>
      </x:c>
      <x:c r="K256" s="103"/>
      <x:c r="L256" s="103"/>
      <x:c r="M256" s="103"/>
      <x:c r="N256" s="103"/>
    </x:row>
    <x:row r="257">
      <x:c r="A257" s="62" t="str">
        <x:v>V251</x:v>
      </x:c>
      <x:c r="B257" s="62" t="str">
        <x:v>P21</x:v>
      </x:c>
      <x:c r="C257" s="62" t="str">
        <x:v>HU-A</x:v>
      </x:c>
      <x:c r="D257" s="62" t="str">
        <x:v>HU-A-B</x:v>
      </x:c>
      <x:c r="E257" s="62" t="str">
        <x:v>G11 No sibling performance exposure</x:v>
      </x:c>
      <x:c r="F257" s="82" t="n">
        <x:v>1</x:v>
      </x:c>
      <x:c r="G257" s="62" t="n">
        <x:v>1</x:v>
      </x:c>
      <x:c r="H257" s="80" t="str">
        <x:f>IF(F257=G257,"PASS","OPEN")</x:f>
        <x:v>PASS</x:v>
      </x:c>
      <x:c r="I257" s="62" t="str">
        <x:v>TERMINATE CELL</x:v>
      </x:c>
      <x:c r="J257" s="62" t="str">
        <x:v>Constitutional independence</x:v>
      </x:c>
      <x:c r="K257" s="103"/>
      <x:c r="L257" s="103"/>
      <x:c r="M257" s="103"/>
      <x:c r="N257" s="103"/>
    </x:row>
    <x:row r="258">
      <x:c r="A258" s="62" t="str">
        <x:v>V252</x:v>
      </x:c>
      <x:c r="B258" s="62" t="str">
        <x:v>P21</x:v>
      </x:c>
      <x:c r="C258" s="62" t="str">
        <x:v>HU-A</x:v>
      </x:c>
      <x:c r="D258" s="62" t="str">
        <x:v>HU-A-B</x:v>
      </x:c>
      <x:c r="E258" s="62" t="str">
        <x:v>G12 Builder and validity control separated</x:v>
      </x:c>
      <x:c r="F258" s="82" t="n">
        <x:v>1</x:v>
      </x:c>
      <x:c r="G258" s="62" t="n">
        <x:v>1</x:v>
      </x:c>
      <x:c r="H258" s="80" t="str">
        <x:f>IF(F258=G258,"PASS","OPEN")</x:f>
        <x:v>PASS</x:v>
      </x:c>
      <x:c r="I258" s="62" t="str">
        <x:v>TERMINATE CELL</x:v>
      </x:c>
      <x:c r="J258" s="62" t="str">
        <x:v>Constitutional independence</x:v>
      </x:c>
      <x:c r="K258" s="103"/>
      <x:c r="L258" s="103"/>
      <x:c r="M258" s="103"/>
      <x:c r="N258" s="103"/>
    </x:row>
    <x:row r="259">
      <x:c r="A259" s="62" t="str">
        <x:v>V253</x:v>
      </x:c>
      <x:c r="B259" s="62" t="str">
        <x:v>P22</x:v>
      </x:c>
      <x:c r="C259" s="62" t="str">
        <x:v>HU-A</x:v>
      </x:c>
      <x:c r="D259" s="62" t="str">
        <x:v>HU-A-B</x:v>
      </x:c>
      <x:c r="E259" s="62" t="str">
        <x:v>G01 Source manifest and authorship</x:v>
      </x:c>
      <x:c r="F259" s="82" t="n">
        <x:v>0</x:v>
      </x:c>
      <x:c r="G259" s="62" t="n">
        <x:v>1</x:v>
      </x:c>
      <x:c r="H259" s="80" t="str">
        <x:f>IF(F259=G259,"PASS","OPEN")</x:f>
        <x:v>OPEN</x:v>
      </x:c>
      <x:c r="I259" s="62" t="str">
        <x:v>REWORK</x:v>
      </x:c>
      <x:c r="J259" s="62" t="str">
        <x:v>Artifact validity only</x:v>
      </x:c>
      <x:c r="K259" s="103"/>
      <x:c r="L259" s="103"/>
      <x:c r="M259" s="103"/>
      <x:c r="N259" s="103"/>
    </x:row>
    <x:row r="260">
      <x:c r="A260" s="62" t="str">
        <x:v>V254</x:v>
      </x:c>
      <x:c r="B260" s="62" t="str">
        <x:v>P22</x:v>
      </x:c>
      <x:c r="C260" s="62" t="str">
        <x:v>HU-A</x:v>
      </x:c>
      <x:c r="D260" s="62" t="str">
        <x:v>HU-A-B</x:v>
      </x:c>
      <x:c r="E260" s="62" t="str">
        <x:v>G02 Frozen configuration hash</x:v>
      </x:c>
      <x:c r="F260" s="82" t="n">
        <x:v>0</x:v>
      </x:c>
      <x:c r="G260" s="62" t="n">
        <x:v>1</x:v>
      </x:c>
      <x:c r="H260" s="80" t="str">
        <x:f>IF(F260=G260,"PASS","OPEN")</x:f>
        <x:v>OPEN</x:v>
      </x:c>
      <x:c r="I260" s="62" t="str">
        <x:v>REWORK</x:v>
      </x:c>
      <x:c r="J260" s="62" t="str">
        <x:v>Artifact validity only</x:v>
      </x:c>
      <x:c r="K260" s="103"/>
      <x:c r="L260" s="103"/>
      <x:c r="M260" s="103"/>
      <x:c r="N260" s="103"/>
    </x:row>
    <x:row r="261">
      <x:c r="A261" s="62" t="str">
        <x:v>V255</x:v>
      </x:c>
      <x:c r="B261" s="62" t="str">
        <x:v>P22</x:v>
      </x:c>
      <x:c r="C261" s="62" t="str">
        <x:v>HU-A</x:v>
      </x:c>
      <x:c r="D261" s="62" t="str">
        <x:v>HU-A-B</x:v>
      </x:c>
      <x:c r="E261" s="62" t="str">
        <x:v>G03 Executable native artifact</x:v>
      </x:c>
      <x:c r="F261" s="82" t="n">
        <x:v>0</x:v>
      </x:c>
      <x:c r="G261" s="62" t="n">
        <x:v>1</x:v>
      </x:c>
      <x:c r="H261" s="80" t="str">
        <x:f>IF(F261=G261,"PASS","OPEN")</x:f>
        <x:v>OPEN</x:v>
      </x:c>
      <x:c r="I261" s="62" t="str">
        <x:v>REWORK</x:v>
      </x:c>
      <x:c r="J261" s="62" t="str">
        <x:v>Artifact validity only</x:v>
      </x:c>
      <x:c r="K261" s="103"/>
      <x:c r="L261" s="103"/>
      <x:c r="M261" s="103"/>
      <x:c r="N261" s="103"/>
    </x:row>
    <x:row r="262">
      <x:c r="A262" s="62" t="str">
        <x:v>V256</x:v>
      </x:c>
      <x:c r="B262" s="62" t="str">
        <x:v>P22</x:v>
      </x:c>
      <x:c r="C262" s="62" t="str">
        <x:v>HU-A</x:v>
      </x:c>
      <x:c r="D262" s="62" t="str">
        <x:v>HU-A-B</x:v>
      </x:c>
      <x:c r="E262" s="62" t="str">
        <x:v>G04 Dependency, tool and material ledger</x:v>
      </x:c>
      <x:c r="F262" s="82" t="n">
        <x:v>0</x:v>
      </x:c>
      <x:c r="G262" s="62" t="n">
        <x:v>1</x:v>
      </x:c>
      <x:c r="H262" s="80" t="str">
        <x:f>IF(F262=G262,"PASS","OPEN")</x:f>
        <x:v>OPEN</x:v>
      </x:c>
      <x:c r="I262" s="62" t="str">
        <x:v>REWORK</x:v>
      </x:c>
      <x:c r="J262" s="62" t="str">
        <x:v>Artifact validity only</x:v>
      </x:c>
      <x:c r="K262" s="103"/>
      <x:c r="L262" s="103"/>
      <x:c r="M262" s="103"/>
      <x:c r="N262" s="103"/>
    </x:row>
    <x:row r="263">
      <x:c r="A263" s="62" t="str">
        <x:v>V257</x:v>
      </x:c>
      <x:c r="B263" s="62" t="str">
        <x:v>P22</x:v>
      </x:c>
      <x:c r="C263" s="62" t="str">
        <x:v>HU-A</x:v>
      </x:c>
      <x:c r="D263" s="62" t="str">
        <x:v>HU-A-B</x:v>
      </x:c>
      <x:c r="E263" s="62" t="str">
        <x:v>G05 Assumption and unknown register</x:v>
      </x:c>
      <x:c r="F263" s="82" t="n">
        <x:v>0</x:v>
      </x:c>
      <x:c r="G263" s="62" t="n">
        <x:v>1</x:v>
      </x:c>
      <x:c r="H263" s="80" t="str">
        <x:f>IF(F263=G263,"PASS","OPEN")</x:f>
        <x:v>OPEN</x:v>
      </x:c>
      <x:c r="I263" s="62" t="str">
        <x:v>REWORK</x:v>
      </x:c>
      <x:c r="J263" s="62" t="str">
        <x:v>Artifact validity only</x:v>
      </x:c>
      <x:c r="K263" s="103"/>
      <x:c r="L263" s="103"/>
      <x:c r="M263" s="103"/>
      <x:c r="N263" s="103"/>
    </x:row>
    <x:row r="264">
      <x:c r="A264" s="62" t="str">
        <x:v>V258</x:v>
      </x:c>
      <x:c r="B264" s="62" t="str">
        <x:v>P22</x:v>
      </x:c>
      <x:c r="C264" s="62" t="str">
        <x:v>HU-A</x:v>
      </x:c>
      <x:c r="D264" s="62" t="str">
        <x:v>HU-A-B</x:v>
      </x:c>
      <x:c r="E264" s="62" t="str">
        <x:v>G06 Independent clean-room replay</x:v>
      </x:c>
      <x:c r="F264" s="82" t="n">
        <x:v>0</x:v>
      </x:c>
      <x:c r="G264" s="62" t="n">
        <x:v>1</x:v>
      </x:c>
      <x:c r="H264" s="80" t="str">
        <x:f>IF(F264=G264,"PASS","OPEN")</x:f>
        <x:v>OPEN</x:v>
      </x:c>
      <x:c r="I264" s="62" t="str">
        <x:v>REWORK</x:v>
      </x:c>
      <x:c r="J264" s="62" t="str">
        <x:v>Artifact validity only</x:v>
      </x:c>
      <x:c r="K264" s="103"/>
      <x:c r="L264" s="103"/>
      <x:c r="M264" s="103"/>
      <x:c r="N264" s="103"/>
    </x:row>
    <x:row r="265">
      <x:c r="A265" s="62" t="str">
        <x:v>V259</x:v>
      </x:c>
      <x:c r="B265" s="62" t="str">
        <x:v>P22</x:v>
      </x:c>
      <x:c r="C265" s="62" t="str">
        <x:v>HU-A</x:v>
      </x:c>
      <x:c r="D265" s="62" t="str">
        <x:v>HU-A-B</x:v>
      </x:c>
      <x:c r="E265" s="62" t="str">
        <x:v>G07 Interface and destructive-test trace</x:v>
      </x:c>
      <x:c r="F265" s="82" t="n">
        <x:v>0</x:v>
      </x:c>
      <x:c r="G265" s="62" t="n">
        <x:v>1</x:v>
      </x:c>
      <x:c r="H265" s="80" t="str">
        <x:f>IF(F265=G265,"PASS","OPEN")</x:f>
        <x:v>OPEN</x:v>
      </x:c>
      <x:c r="I265" s="62" t="str">
        <x:v>REWORK</x:v>
      </x:c>
      <x:c r="J265" s="62" t="str">
        <x:v>Artifact validity only</x:v>
      </x:c>
      <x:c r="K265" s="103"/>
      <x:c r="L265" s="103"/>
      <x:c r="M265" s="103"/>
      <x:c r="N265" s="103"/>
    </x:row>
    <x:row r="266">
      <x:c r="A266" s="62" t="str">
        <x:v>V260</x:v>
      </x:c>
      <x:c r="B266" s="62" t="str">
        <x:v>P22</x:v>
      </x:c>
      <x:c r="C266" s="62" t="str">
        <x:v>HU-A</x:v>
      </x:c>
      <x:c r="D266" s="62" t="str">
        <x:v>HU-A-B</x:v>
      </x:c>
      <x:c r="E266" s="62" t="str">
        <x:v>G08 Rights and safe-state closure</x:v>
      </x:c>
      <x:c r="F266" s="82" t="n">
        <x:v>0</x:v>
      </x:c>
      <x:c r="G266" s="62" t="n">
        <x:v>1</x:v>
      </x:c>
      <x:c r="H266" s="80" t="str">
        <x:f>IF(F266=G266,"PASS","OPEN")</x:f>
        <x:v>OPEN</x:v>
      </x:c>
      <x:c r="I266" s="62" t="str">
        <x:v>REWORK</x:v>
      </x:c>
      <x:c r="J266" s="62" t="str">
        <x:v>Artifact validity only</x:v>
      </x:c>
      <x:c r="K266" s="103"/>
      <x:c r="L266" s="103"/>
      <x:c r="M266" s="103"/>
      <x:c r="N266" s="103"/>
    </x:row>
    <x:row r="267">
      <x:c r="A267" s="62" t="str">
        <x:v>V261</x:v>
      </x:c>
      <x:c r="B267" s="62" t="str">
        <x:v>P22</x:v>
      </x:c>
      <x:c r="C267" s="62" t="str">
        <x:v>HU-A</x:v>
      </x:c>
      <x:c r="D267" s="62" t="str">
        <x:v>HU-A-B</x:v>
      </x:c>
      <x:c r="E267" s="62" t="str">
        <x:v>G09 Receiver and residual closure</x:v>
      </x:c>
      <x:c r="F267" s="82" t="n">
        <x:v>0</x:v>
      </x:c>
      <x:c r="G267" s="62" t="n">
        <x:v>1</x:v>
      </x:c>
      <x:c r="H267" s="80" t="str">
        <x:f>IF(F267=G267,"PASS","OPEN")</x:f>
        <x:v>OPEN</x:v>
      </x:c>
      <x:c r="I267" s="62" t="str">
        <x:v>REWORK</x:v>
      </x:c>
      <x:c r="J267" s="62" t="str">
        <x:v>Artifact validity only</x:v>
      </x:c>
      <x:c r="K267" s="103"/>
      <x:c r="L267" s="103"/>
      <x:c r="M267" s="103"/>
      <x:c r="N267" s="103"/>
    </x:row>
    <x:row r="268">
      <x:c r="A268" s="62" t="str">
        <x:v>V262</x:v>
      </x:c>
      <x:c r="B268" s="62" t="str">
        <x:v>P22</x:v>
      </x:c>
      <x:c r="C268" s="62" t="str">
        <x:v>HU-A</x:v>
      </x:c>
      <x:c r="D268" s="62" t="str">
        <x:v>HU-A-B</x:v>
      </x:c>
      <x:c r="E268" s="62" t="str">
        <x:v>G10 Challenge response and terminal archive</x:v>
      </x:c>
      <x:c r="F268" s="82" t="n">
        <x:v>0</x:v>
      </x:c>
      <x:c r="G268" s="62" t="n">
        <x:v>1</x:v>
      </x:c>
      <x:c r="H268" s="80" t="str">
        <x:f>IF(F268=G268,"PASS","OPEN")</x:f>
        <x:v>OPEN</x:v>
      </x:c>
      <x:c r="I268" s="62" t="str">
        <x:v>REWORK</x:v>
      </x:c>
      <x:c r="J268" s="62" t="str">
        <x:v>Artifact validity only</x:v>
      </x:c>
      <x:c r="K268" s="103"/>
      <x:c r="L268" s="103"/>
      <x:c r="M268" s="103"/>
      <x:c r="N268" s="103"/>
    </x:row>
    <x:row r="269">
      <x:c r="A269" s="62" t="str">
        <x:v>V263</x:v>
      </x:c>
      <x:c r="B269" s="62" t="str">
        <x:v>P22</x:v>
      </x:c>
      <x:c r="C269" s="62" t="str">
        <x:v>HU-A</x:v>
      </x:c>
      <x:c r="D269" s="62" t="str">
        <x:v>HU-A-B</x:v>
      </x:c>
      <x:c r="E269" s="62" t="str">
        <x:v>G11 No sibling performance exposure</x:v>
      </x:c>
      <x:c r="F269" s="82" t="n">
        <x:v>1</x:v>
      </x:c>
      <x:c r="G269" s="62" t="n">
        <x:v>1</x:v>
      </x:c>
      <x:c r="H269" s="80" t="str">
        <x:f>IF(F269=G269,"PASS","OPEN")</x:f>
        <x:v>PASS</x:v>
      </x:c>
      <x:c r="I269" s="62" t="str">
        <x:v>TERMINATE CELL</x:v>
      </x:c>
      <x:c r="J269" s="62" t="str">
        <x:v>Constitutional independence</x:v>
      </x:c>
      <x:c r="K269" s="103"/>
      <x:c r="L269" s="103"/>
      <x:c r="M269" s="103"/>
      <x:c r="N269" s="103"/>
    </x:row>
    <x:row r="270">
      <x:c r="A270" s="62" t="str">
        <x:v>V264</x:v>
      </x:c>
      <x:c r="B270" s="62" t="str">
        <x:v>P22</x:v>
      </x:c>
      <x:c r="C270" s="62" t="str">
        <x:v>HU-A</x:v>
      </x:c>
      <x:c r="D270" s="62" t="str">
        <x:v>HU-A-B</x:v>
      </x:c>
      <x:c r="E270" s="62" t="str">
        <x:v>G12 Builder and validity control separated</x:v>
      </x:c>
      <x:c r="F270" s="82" t="n">
        <x:v>1</x:v>
      </x:c>
      <x:c r="G270" s="62" t="n">
        <x:v>1</x:v>
      </x:c>
      <x:c r="H270" s="80" t="str">
        <x:f>IF(F270=G270,"PASS","OPEN")</x:f>
        <x:v>PASS</x:v>
      </x:c>
      <x:c r="I270" s="62" t="str">
        <x:v>TERMINATE CELL</x:v>
      </x:c>
      <x:c r="J270" s="62" t="str">
        <x:v>Constitutional independence</x:v>
      </x:c>
      <x:c r="K270" s="103"/>
      <x:c r="L270" s="103"/>
      <x:c r="M270" s="103"/>
      <x:c r="N270" s="103"/>
    </x:row>
    <x:row r="271">
      <x:c r="A271" s="62" t="str">
        <x:v>V265</x:v>
      </x:c>
      <x:c r="B271" s="62" t="str">
        <x:v>P23</x:v>
      </x:c>
      <x:c r="C271" s="62" t="str">
        <x:v>HU-A</x:v>
      </x:c>
      <x:c r="D271" s="62" t="str">
        <x:v>HU-A-B</x:v>
      </x:c>
      <x:c r="E271" s="62" t="str">
        <x:v>G01 Source manifest and authorship</x:v>
      </x:c>
      <x:c r="F271" s="82" t="n">
        <x:v>0</x:v>
      </x:c>
      <x:c r="G271" s="62" t="n">
        <x:v>1</x:v>
      </x:c>
      <x:c r="H271" s="80" t="str">
        <x:f>IF(F271=G271,"PASS","OPEN")</x:f>
        <x:v>OPEN</x:v>
      </x:c>
      <x:c r="I271" s="62" t="str">
        <x:v>REWORK</x:v>
      </x:c>
      <x:c r="J271" s="62" t="str">
        <x:v>Artifact validity only</x:v>
      </x:c>
      <x:c r="K271" s="103"/>
      <x:c r="L271" s="103"/>
      <x:c r="M271" s="103"/>
      <x:c r="N271" s="103"/>
    </x:row>
    <x:row r="272">
      <x:c r="A272" s="62" t="str">
        <x:v>V266</x:v>
      </x:c>
      <x:c r="B272" s="62" t="str">
        <x:v>P23</x:v>
      </x:c>
      <x:c r="C272" s="62" t="str">
        <x:v>HU-A</x:v>
      </x:c>
      <x:c r="D272" s="62" t="str">
        <x:v>HU-A-B</x:v>
      </x:c>
      <x:c r="E272" s="62" t="str">
        <x:v>G02 Frozen configuration hash</x:v>
      </x:c>
      <x:c r="F272" s="82" t="n">
        <x:v>0</x:v>
      </x:c>
      <x:c r="G272" s="62" t="n">
        <x:v>1</x:v>
      </x:c>
      <x:c r="H272" s="80" t="str">
        <x:f>IF(F272=G272,"PASS","OPEN")</x:f>
        <x:v>OPEN</x:v>
      </x:c>
      <x:c r="I272" s="62" t="str">
        <x:v>REWORK</x:v>
      </x:c>
      <x:c r="J272" s="62" t="str">
        <x:v>Artifact validity only</x:v>
      </x:c>
      <x:c r="K272" s="103"/>
      <x:c r="L272" s="103"/>
      <x:c r="M272" s="103"/>
      <x:c r="N272" s="103"/>
    </x:row>
    <x:row r="273">
      <x:c r="A273" s="62" t="str">
        <x:v>V267</x:v>
      </x:c>
      <x:c r="B273" s="62" t="str">
        <x:v>P23</x:v>
      </x:c>
      <x:c r="C273" s="62" t="str">
        <x:v>HU-A</x:v>
      </x:c>
      <x:c r="D273" s="62" t="str">
        <x:v>HU-A-B</x:v>
      </x:c>
      <x:c r="E273" s="62" t="str">
        <x:v>G03 Executable native artifact</x:v>
      </x:c>
      <x:c r="F273" s="82" t="n">
        <x:v>0</x:v>
      </x:c>
      <x:c r="G273" s="62" t="n">
        <x:v>1</x:v>
      </x:c>
      <x:c r="H273" s="80" t="str">
        <x:f>IF(F273=G273,"PASS","OPEN")</x:f>
        <x:v>OPEN</x:v>
      </x:c>
      <x:c r="I273" s="62" t="str">
        <x:v>REWORK</x:v>
      </x:c>
      <x:c r="J273" s="62" t="str">
        <x:v>Artifact validity only</x:v>
      </x:c>
      <x:c r="K273" s="103"/>
      <x:c r="L273" s="103"/>
      <x:c r="M273" s="103"/>
      <x:c r="N273" s="103"/>
    </x:row>
    <x:row r="274">
      <x:c r="A274" s="62" t="str">
        <x:v>V268</x:v>
      </x:c>
      <x:c r="B274" s="62" t="str">
        <x:v>P23</x:v>
      </x:c>
      <x:c r="C274" s="62" t="str">
        <x:v>HU-A</x:v>
      </x:c>
      <x:c r="D274" s="62" t="str">
        <x:v>HU-A-B</x:v>
      </x:c>
      <x:c r="E274" s="62" t="str">
        <x:v>G04 Dependency, tool and material ledger</x:v>
      </x:c>
      <x:c r="F274" s="82" t="n">
        <x:v>0</x:v>
      </x:c>
      <x:c r="G274" s="62" t="n">
        <x:v>1</x:v>
      </x:c>
      <x:c r="H274" s="80" t="str">
        <x:f>IF(F274=G274,"PASS","OPEN")</x:f>
        <x:v>OPEN</x:v>
      </x:c>
      <x:c r="I274" s="62" t="str">
        <x:v>REWORK</x:v>
      </x:c>
      <x:c r="J274" s="62" t="str">
        <x:v>Artifact validity only</x:v>
      </x:c>
      <x:c r="K274" s="103"/>
      <x:c r="L274" s="103"/>
      <x:c r="M274" s="103"/>
      <x:c r="N274" s="103"/>
    </x:row>
    <x:row r="275">
      <x:c r="A275" s="62" t="str">
        <x:v>V269</x:v>
      </x:c>
      <x:c r="B275" s="62" t="str">
        <x:v>P23</x:v>
      </x:c>
      <x:c r="C275" s="62" t="str">
        <x:v>HU-A</x:v>
      </x:c>
      <x:c r="D275" s="62" t="str">
        <x:v>HU-A-B</x:v>
      </x:c>
      <x:c r="E275" s="62" t="str">
        <x:v>G05 Assumption and unknown register</x:v>
      </x:c>
      <x:c r="F275" s="82" t="n">
        <x:v>0</x:v>
      </x:c>
      <x:c r="G275" s="62" t="n">
        <x:v>1</x:v>
      </x:c>
      <x:c r="H275" s="80" t="str">
        <x:f>IF(F275=G275,"PASS","OPEN")</x:f>
        <x:v>OPEN</x:v>
      </x:c>
      <x:c r="I275" s="62" t="str">
        <x:v>REWORK</x:v>
      </x:c>
      <x:c r="J275" s="62" t="str">
        <x:v>Artifact validity only</x:v>
      </x:c>
      <x:c r="K275" s="103"/>
      <x:c r="L275" s="103"/>
      <x:c r="M275" s="103"/>
      <x:c r="N275" s="103"/>
    </x:row>
    <x:row r="276">
      <x:c r="A276" s="62" t="str">
        <x:v>V270</x:v>
      </x:c>
      <x:c r="B276" s="62" t="str">
        <x:v>P23</x:v>
      </x:c>
      <x:c r="C276" s="62" t="str">
        <x:v>HU-A</x:v>
      </x:c>
      <x:c r="D276" s="62" t="str">
        <x:v>HU-A-B</x:v>
      </x:c>
      <x:c r="E276" s="62" t="str">
        <x:v>G06 Independent clean-room replay</x:v>
      </x:c>
      <x:c r="F276" s="82" t="n">
        <x:v>0</x:v>
      </x:c>
      <x:c r="G276" s="62" t="n">
        <x:v>1</x:v>
      </x:c>
      <x:c r="H276" s="80" t="str">
        <x:f>IF(F276=G276,"PASS","OPEN")</x:f>
        <x:v>OPEN</x:v>
      </x:c>
      <x:c r="I276" s="62" t="str">
        <x:v>REWORK</x:v>
      </x:c>
      <x:c r="J276" s="62" t="str">
        <x:v>Artifact validity only</x:v>
      </x:c>
      <x:c r="K276" s="103"/>
      <x:c r="L276" s="103"/>
      <x:c r="M276" s="103"/>
      <x:c r="N276" s="103"/>
    </x:row>
    <x:row r="277">
      <x:c r="A277" s="62" t="str">
        <x:v>V271</x:v>
      </x:c>
      <x:c r="B277" s="62" t="str">
        <x:v>P23</x:v>
      </x:c>
      <x:c r="C277" s="62" t="str">
        <x:v>HU-A</x:v>
      </x:c>
      <x:c r="D277" s="62" t="str">
        <x:v>HU-A-B</x:v>
      </x:c>
      <x:c r="E277" s="62" t="str">
        <x:v>G07 Interface and destructive-test trace</x:v>
      </x:c>
      <x:c r="F277" s="82" t="n">
        <x:v>0</x:v>
      </x:c>
      <x:c r="G277" s="62" t="n">
        <x:v>1</x:v>
      </x:c>
      <x:c r="H277" s="80" t="str">
        <x:f>IF(F277=G277,"PASS","OPEN")</x:f>
        <x:v>OPEN</x:v>
      </x:c>
      <x:c r="I277" s="62" t="str">
        <x:v>REWORK</x:v>
      </x:c>
      <x:c r="J277" s="62" t="str">
        <x:v>Artifact validity only</x:v>
      </x:c>
      <x:c r="K277" s="103"/>
      <x:c r="L277" s="103"/>
      <x:c r="M277" s="103"/>
      <x:c r="N277" s="103"/>
    </x:row>
    <x:row r="278">
      <x:c r="A278" s="62" t="str">
        <x:v>V272</x:v>
      </x:c>
      <x:c r="B278" s="62" t="str">
        <x:v>P23</x:v>
      </x:c>
      <x:c r="C278" s="62" t="str">
        <x:v>HU-A</x:v>
      </x:c>
      <x:c r="D278" s="62" t="str">
        <x:v>HU-A-B</x:v>
      </x:c>
      <x:c r="E278" s="62" t="str">
        <x:v>G08 Rights and safe-state closure</x:v>
      </x:c>
      <x:c r="F278" s="82" t="n">
        <x:v>0</x:v>
      </x:c>
      <x:c r="G278" s="62" t="n">
        <x:v>1</x:v>
      </x:c>
      <x:c r="H278" s="80" t="str">
        <x:f>IF(F278=G278,"PASS","OPEN")</x:f>
        <x:v>OPEN</x:v>
      </x:c>
      <x:c r="I278" s="62" t="str">
        <x:v>REWORK</x:v>
      </x:c>
      <x:c r="J278" s="62" t="str">
        <x:v>Artifact validity only</x:v>
      </x:c>
      <x:c r="K278" s="103"/>
      <x:c r="L278" s="103"/>
      <x:c r="M278" s="103"/>
      <x:c r="N278" s="103"/>
    </x:row>
    <x:row r="279">
      <x:c r="A279" s="62" t="str">
        <x:v>V273</x:v>
      </x:c>
      <x:c r="B279" s="62" t="str">
        <x:v>P23</x:v>
      </x:c>
      <x:c r="C279" s="62" t="str">
        <x:v>HU-A</x:v>
      </x:c>
      <x:c r="D279" s="62" t="str">
        <x:v>HU-A-B</x:v>
      </x:c>
      <x:c r="E279" s="62" t="str">
        <x:v>G09 Receiver and residual closure</x:v>
      </x:c>
      <x:c r="F279" s="82" t="n">
        <x:v>0</x:v>
      </x:c>
      <x:c r="G279" s="62" t="n">
        <x:v>1</x:v>
      </x:c>
      <x:c r="H279" s="80" t="str">
        <x:f>IF(F279=G279,"PASS","OPEN")</x:f>
        <x:v>OPEN</x:v>
      </x:c>
      <x:c r="I279" s="62" t="str">
        <x:v>REWORK</x:v>
      </x:c>
      <x:c r="J279" s="62" t="str">
        <x:v>Artifact validity only</x:v>
      </x:c>
      <x:c r="K279" s="103"/>
      <x:c r="L279" s="103"/>
      <x:c r="M279" s="103"/>
      <x:c r="N279" s="103"/>
    </x:row>
    <x:row r="280">
      <x:c r="A280" s="62" t="str">
        <x:v>V274</x:v>
      </x:c>
      <x:c r="B280" s="62" t="str">
        <x:v>P23</x:v>
      </x:c>
      <x:c r="C280" s="62" t="str">
        <x:v>HU-A</x:v>
      </x:c>
      <x:c r="D280" s="62" t="str">
        <x:v>HU-A-B</x:v>
      </x:c>
      <x:c r="E280" s="62" t="str">
        <x:v>G10 Challenge response and terminal archive</x:v>
      </x:c>
      <x:c r="F280" s="82" t="n">
        <x:v>0</x:v>
      </x:c>
      <x:c r="G280" s="62" t="n">
        <x:v>1</x:v>
      </x:c>
      <x:c r="H280" s="80" t="str">
        <x:f>IF(F280=G280,"PASS","OPEN")</x:f>
        <x:v>OPEN</x:v>
      </x:c>
      <x:c r="I280" s="62" t="str">
        <x:v>REWORK</x:v>
      </x:c>
      <x:c r="J280" s="62" t="str">
        <x:v>Artifact validity only</x:v>
      </x:c>
      <x:c r="K280" s="103"/>
      <x:c r="L280" s="103"/>
      <x:c r="M280" s="103"/>
      <x:c r="N280" s="103"/>
    </x:row>
    <x:row r="281">
      <x:c r="A281" s="62" t="str">
        <x:v>V275</x:v>
      </x:c>
      <x:c r="B281" s="62" t="str">
        <x:v>P23</x:v>
      </x:c>
      <x:c r="C281" s="62" t="str">
        <x:v>HU-A</x:v>
      </x:c>
      <x:c r="D281" s="62" t="str">
        <x:v>HU-A-B</x:v>
      </x:c>
      <x:c r="E281" s="62" t="str">
        <x:v>G11 No sibling performance exposure</x:v>
      </x:c>
      <x:c r="F281" s="82" t="n">
        <x:v>1</x:v>
      </x:c>
      <x:c r="G281" s="62" t="n">
        <x:v>1</x:v>
      </x:c>
      <x:c r="H281" s="80" t="str">
        <x:f>IF(F281=G281,"PASS","OPEN")</x:f>
        <x:v>PASS</x:v>
      </x:c>
      <x:c r="I281" s="62" t="str">
        <x:v>TERMINATE CELL</x:v>
      </x:c>
      <x:c r="J281" s="62" t="str">
        <x:v>Constitutional independence</x:v>
      </x:c>
      <x:c r="K281" s="103"/>
      <x:c r="L281" s="103"/>
      <x:c r="M281" s="103"/>
      <x:c r="N281" s="103"/>
    </x:row>
    <x:row r="282">
      <x:c r="A282" s="62" t="str">
        <x:v>V276</x:v>
      </x:c>
      <x:c r="B282" s="62" t="str">
        <x:v>P23</x:v>
      </x:c>
      <x:c r="C282" s="62" t="str">
        <x:v>HU-A</x:v>
      </x:c>
      <x:c r="D282" s="62" t="str">
        <x:v>HU-A-B</x:v>
      </x:c>
      <x:c r="E282" s="62" t="str">
        <x:v>G12 Builder and validity control separated</x:v>
      </x:c>
      <x:c r="F282" s="82" t="n">
        <x:v>1</x:v>
      </x:c>
      <x:c r="G282" s="62" t="n">
        <x:v>1</x:v>
      </x:c>
      <x:c r="H282" s="80" t="str">
        <x:f>IF(F282=G282,"PASS","OPEN")</x:f>
        <x:v>PASS</x:v>
      </x:c>
      <x:c r="I282" s="62" t="str">
        <x:v>TERMINATE CELL</x:v>
      </x:c>
      <x:c r="J282" s="62" t="str">
        <x:v>Constitutional independence</x:v>
      </x:c>
      <x:c r="K282" s="103"/>
      <x:c r="L282" s="103"/>
      <x:c r="M282" s="103"/>
      <x:c r="N282" s="103"/>
    </x:row>
    <x:row r="283">
      <x:c r="A283" s="62" t="str">
        <x:v>V277</x:v>
      </x:c>
      <x:c r="B283" s="62" t="str">
        <x:v>P24</x:v>
      </x:c>
      <x:c r="C283" s="62" t="str">
        <x:v>HU-A</x:v>
      </x:c>
      <x:c r="D283" s="62" t="str">
        <x:v>HU-A-B</x:v>
      </x:c>
      <x:c r="E283" s="62" t="str">
        <x:v>G01 Source manifest and authorship</x:v>
      </x:c>
      <x:c r="F283" s="82" t="n">
        <x:v>0</x:v>
      </x:c>
      <x:c r="G283" s="62" t="n">
        <x:v>1</x:v>
      </x:c>
      <x:c r="H283" s="80" t="str">
        <x:f>IF(F283=G283,"PASS","OPEN")</x:f>
        <x:v>OPEN</x:v>
      </x:c>
      <x:c r="I283" s="62" t="str">
        <x:v>REWORK</x:v>
      </x:c>
      <x:c r="J283" s="62" t="str">
        <x:v>Artifact validity only</x:v>
      </x:c>
      <x:c r="K283" s="103"/>
      <x:c r="L283" s="103"/>
      <x:c r="M283" s="103"/>
      <x:c r="N283" s="103"/>
    </x:row>
    <x:row r="284">
      <x:c r="A284" s="62" t="str">
        <x:v>V278</x:v>
      </x:c>
      <x:c r="B284" s="62" t="str">
        <x:v>P24</x:v>
      </x:c>
      <x:c r="C284" s="62" t="str">
        <x:v>HU-A</x:v>
      </x:c>
      <x:c r="D284" s="62" t="str">
        <x:v>HU-A-B</x:v>
      </x:c>
      <x:c r="E284" s="62" t="str">
        <x:v>G02 Frozen configuration hash</x:v>
      </x:c>
      <x:c r="F284" s="82" t="n">
        <x:v>0</x:v>
      </x:c>
      <x:c r="G284" s="62" t="n">
        <x:v>1</x:v>
      </x:c>
      <x:c r="H284" s="80" t="str">
        <x:f>IF(F284=G284,"PASS","OPEN")</x:f>
        <x:v>OPEN</x:v>
      </x:c>
      <x:c r="I284" s="62" t="str">
        <x:v>REWORK</x:v>
      </x:c>
      <x:c r="J284" s="62" t="str">
        <x:v>Artifact validity only</x:v>
      </x:c>
      <x:c r="K284" s="103"/>
      <x:c r="L284" s="103"/>
      <x:c r="M284" s="103"/>
      <x:c r="N284" s="103"/>
    </x:row>
    <x:row r="285">
      <x:c r="A285" s="62" t="str">
        <x:v>V279</x:v>
      </x:c>
      <x:c r="B285" s="62" t="str">
        <x:v>P24</x:v>
      </x:c>
      <x:c r="C285" s="62" t="str">
        <x:v>HU-A</x:v>
      </x:c>
      <x:c r="D285" s="62" t="str">
        <x:v>HU-A-B</x:v>
      </x:c>
      <x:c r="E285" s="62" t="str">
        <x:v>G03 Executable native artifact</x:v>
      </x:c>
      <x:c r="F285" s="82" t="n">
        <x:v>0</x:v>
      </x:c>
      <x:c r="G285" s="62" t="n">
        <x:v>1</x:v>
      </x:c>
      <x:c r="H285" s="80" t="str">
        <x:f>IF(F285=G285,"PASS","OPEN")</x:f>
        <x:v>OPEN</x:v>
      </x:c>
      <x:c r="I285" s="62" t="str">
        <x:v>REWORK</x:v>
      </x:c>
      <x:c r="J285" s="62" t="str">
        <x:v>Artifact validity only</x:v>
      </x:c>
      <x:c r="K285" s="103"/>
      <x:c r="L285" s="103"/>
      <x:c r="M285" s="103"/>
      <x:c r="N285" s="103"/>
    </x:row>
    <x:row r="286">
      <x:c r="A286" s="62" t="str">
        <x:v>V280</x:v>
      </x:c>
      <x:c r="B286" s="62" t="str">
        <x:v>P24</x:v>
      </x:c>
      <x:c r="C286" s="62" t="str">
        <x:v>HU-A</x:v>
      </x:c>
      <x:c r="D286" s="62" t="str">
        <x:v>HU-A-B</x:v>
      </x:c>
      <x:c r="E286" s="62" t="str">
        <x:v>G04 Dependency, tool and material ledger</x:v>
      </x:c>
      <x:c r="F286" s="82" t="n">
        <x:v>0</x:v>
      </x:c>
      <x:c r="G286" s="62" t="n">
        <x:v>1</x:v>
      </x:c>
      <x:c r="H286" s="80" t="str">
        <x:f>IF(F286=G286,"PASS","OPEN")</x:f>
        <x:v>OPEN</x:v>
      </x:c>
      <x:c r="I286" s="62" t="str">
        <x:v>REWORK</x:v>
      </x:c>
      <x:c r="J286" s="62" t="str">
        <x:v>Artifact validity only</x:v>
      </x:c>
      <x:c r="K286" s="103"/>
      <x:c r="L286" s="103"/>
      <x:c r="M286" s="103"/>
      <x:c r="N286" s="103"/>
    </x:row>
    <x:row r="287">
      <x:c r="A287" s="62" t="str">
        <x:v>V281</x:v>
      </x:c>
      <x:c r="B287" s="62" t="str">
        <x:v>P24</x:v>
      </x:c>
      <x:c r="C287" s="62" t="str">
        <x:v>HU-A</x:v>
      </x:c>
      <x:c r="D287" s="62" t="str">
        <x:v>HU-A-B</x:v>
      </x:c>
      <x:c r="E287" s="62" t="str">
        <x:v>G05 Assumption and unknown register</x:v>
      </x:c>
      <x:c r="F287" s="82" t="n">
        <x:v>0</x:v>
      </x:c>
      <x:c r="G287" s="62" t="n">
        <x:v>1</x:v>
      </x:c>
      <x:c r="H287" s="80" t="str">
        <x:f>IF(F287=G287,"PASS","OPEN")</x:f>
        <x:v>OPEN</x:v>
      </x:c>
      <x:c r="I287" s="62" t="str">
        <x:v>REWORK</x:v>
      </x:c>
      <x:c r="J287" s="62" t="str">
        <x:v>Artifact validity only</x:v>
      </x:c>
      <x:c r="K287" s="103"/>
      <x:c r="L287" s="103"/>
      <x:c r="M287" s="103"/>
      <x:c r="N287" s="103"/>
    </x:row>
    <x:row r="288">
      <x:c r="A288" s="62" t="str">
        <x:v>V282</x:v>
      </x:c>
      <x:c r="B288" s="62" t="str">
        <x:v>P24</x:v>
      </x:c>
      <x:c r="C288" s="62" t="str">
        <x:v>HU-A</x:v>
      </x:c>
      <x:c r="D288" s="62" t="str">
        <x:v>HU-A-B</x:v>
      </x:c>
      <x:c r="E288" s="62" t="str">
        <x:v>G06 Independent clean-room replay</x:v>
      </x:c>
      <x:c r="F288" s="82" t="n">
        <x:v>0</x:v>
      </x:c>
      <x:c r="G288" s="62" t="n">
        <x:v>1</x:v>
      </x:c>
      <x:c r="H288" s="80" t="str">
        <x:f>IF(F288=G288,"PASS","OPEN")</x:f>
        <x:v>OPEN</x:v>
      </x:c>
      <x:c r="I288" s="62" t="str">
        <x:v>REWORK</x:v>
      </x:c>
      <x:c r="J288" s="62" t="str">
        <x:v>Artifact validity only</x:v>
      </x:c>
      <x:c r="K288" s="103"/>
      <x:c r="L288" s="103"/>
      <x:c r="M288" s="103"/>
      <x:c r="N288" s="103"/>
    </x:row>
    <x:row r="289">
      <x:c r="A289" s="62" t="str">
        <x:v>V283</x:v>
      </x:c>
      <x:c r="B289" s="62" t="str">
        <x:v>P24</x:v>
      </x:c>
      <x:c r="C289" s="62" t="str">
        <x:v>HU-A</x:v>
      </x:c>
      <x:c r="D289" s="62" t="str">
        <x:v>HU-A-B</x:v>
      </x:c>
      <x:c r="E289" s="62" t="str">
        <x:v>G07 Interface and destructive-test trace</x:v>
      </x:c>
      <x:c r="F289" s="82" t="n">
        <x:v>0</x:v>
      </x:c>
      <x:c r="G289" s="62" t="n">
        <x:v>1</x:v>
      </x:c>
      <x:c r="H289" s="80" t="str">
        <x:f>IF(F289=G289,"PASS","OPEN")</x:f>
        <x:v>OPEN</x:v>
      </x:c>
      <x:c r="I289" s="62" t="str">
        <x:v>REWORK</x:v>
      </x:c>
      <x:c r="J289" s="62" t="str">
        <x:v>Artifact validity only</x:v>
      </x:c>
      <x:c r="K289" s="103"/>
      <x:c r="L289" s="103"/>
      <x:c r="M289" s="103"/>
      <x:c r="N289" s="103"/>
    </x:row>
    <x:row r="290">
      <x:c r="A290" s="62" t="str">
        <x:v>V284</x:v>
      </x:c>
      <x:c r="B290" s="62" t="str">
        <x:v>P24</x:v>
      </x:c>
      <x:c r="C290" s="62" t="str">
        <x:v>HU-A</x:v>
      </x:c>
      <x:c r="D290" s="62" t="str">
        <x:v>HU-A-B</x:v>
      </x:c>
      <x:c r="E290" s="62" t="str">
        <x:v>G08 Rights and safe-state closure</x:v>
      </x:c>
      <x:c r="F290" s="82" t="n">
        <x:v>0</x:v>
      </x:c>
      <x:c r="G290" s="62" t="n">
        <x:v>1</x:v>
      </x:c>
      <x:c r="H290" s="80" t="str">
        <x:f>IF(F290=G290,"PASS","OPEN")</x:f>
        <x:v>OPEN</x:v>
      </x:c>
      <x:c r="I290" s="62" t="str">
        <x:v>REWORK</x:v>
      </x:c>
      <x:c r="J290" s="62" t="str">
        <x:v>Artifact validity only</x:v>
      </x:c>
      <x:c r="K290" s="103"/>
      <x:c r="L290" s="103"/>
      <x:c r="M290" s="103"/>
      <x:c r="N290" s="103"/>
    </x:row>
    <x:row r="291">
      <x:c r="A291" s="62" t="str">
        <x:v>V285</x:v>
      </x:c>
      <x:c r="B291" s="62" t="str">
        <x:v>P24</x:v>
      </x:c>
      <x:c r="C291" s="62" t="str">
        <x:v>HU-A</x:v>
      </x:c>
      <x:c r="D291" s="62" t="str">
        <x:v>HU-A-B</x:v>
      </x:c>
      <x:c r="E291" s="62" t="str">
        <x:v>G09 Receiver and residual closure</x:v>
      </x:c>
      <x:c r="F291" s="82" t="n">
        <x:v>0</x:v>
      </x:c>
      <x:c r="G291" s="62" t="n">
        <x:v>1</x:v>
      </x:c>
      <x:c r="H291" s="80" t="str">
        <x:f>IF(F291=G291,"PASS","OPEN")</x:f>
        <x:v>OPEN</x:v>
      </x:c>
      <x:c r="I291" s="62" t="str">
        <x:v>REWORK</x:v>
      </x:c>
      <x:c r="J291" s="62" t="str">
        <x:v>Artifact validity only</x:v>
      </x:c>
      <x:c r="K291" s="103"/>
      <x:c r="L291" s="103"/>
      <x:c r="M291" s="103"/>
      <x:c r="N291" s="103"/>
    </x:row>
    <x:row r="292">
      <x:c r="A292" s="62" t="str">
        <x:v>V286</x:v>
      </x:c>
      <x:c r="B292" s="62" t="str">
        <x:v>P24</x:v>
      </x:c>
      <x:c r="C292" s="62" t="str">
        <x:v>HU-A</x:v>
      </x:c>
      <x:c r="D292" s="62" t="str">
        <x:v>HU-A-B</x:v>
      </x:c>
      <x:c r="E292" s="62" t="str">
        <x:v>G10 Challenge response and terminal archive</x:v>
      </x:c>
      <x:c r="F292" s="82" t="n">
        <x:v>0</x:v>
      </x:c>
      <x:c r="G292" s="62" t="n">
        <x:v>1</x:v>
      </x:c>
      <x:c r="H292" s="80" t="str">
        <x:f>IF(F292=G292,"PASS","OPEN")</x:f>
        <x:v>OPEN</x:v>
      </x:c>
      <x:c r="I292" s="62" t="str">
        <x:v>REWORK</x:v>
      </x:c>
      <x:c r="J292" s="62" t="str">
        <x:v>Artifact validity only</x:v>
      </x:c>
      <x:c r="K292" s="103"/>
      <x:c r="L292" s="103"/>
      <x:c r="M292" s="103"/>
      <x:c r="N292" s="103"/>
    </x:row>
    <x:row r="293">
      <x:c r="A293" s="62" t="str">
        <x:v>V287</x:v>
      </x:c>
      <x:c r="B293" s="62" t="str">
        <x:v>P24</x:v>
      </x:c>
      <x:c r="C293" s="62" t="str">
        <x:v>HU-A</x:v>
      </x:c>
      <x:c r="D293" s="62" t="str">
        <x:v>HU-A-B</x:v>
      </x:c>
      <x:c r="E293" s="62" t="str">
        <x:v>G11 No sibling performance exposure</x:v>
      </x:c>
      <x:c r="F293" s="82" t="n">
        <x:v>1</x:v>
      </x:c>
      <x:c r="G293" s="62" t="n">
        <x:v>1</x:v>
      </x:c>
      <x:c r="H293" s="80" t="str">
        <x:f>IF(F293=G293,"PASS","OPEN")</x:f>
        <x:v>PASS</x:v>
      </x:c>
      <x:c r="I293" s="62" t="str">
        <x:v>TERMINATE CELL</x:v>
      </x:c>
      <x:c r="J293" s="62" t="str">
        <x:v>Constitutional independence</x:v>
      </x:c>
      <x:c r="K293" s="103"/>
      <x:c r="L293" s="103"/>
      <x:c r="M293" s="103"/>
      <x:c r="N293" s="103"/>
    </x:row>
    <x:row r="294">
      <x:c r="A294" s="62" t="str">
        <x:v>V288</x:v>
      </x:c>
      <x:c r="B294" s="62" t="str">
        <x:v>P24</x:v>
      </x:c>
      <x:c r="C294" s="62" t="str">
        <x:v>HU-A</x:v>
      </x:c>
      <x:c r="D294" s="62" t="str">
        <x:v>HU-A-B</x:v>
      </x:c>
      <x:c r="E294" s="62" t="str">
        <x:v>G12 Builder and validity control separated</x:v>
      </x:c>
      <x:c r="F294" s="82" t="n">
        <x:v>1</x:v>
      </x:c>
      <x:c r="G294" s="62" t="n">
        <x:v>1</x:v>
      </x:c>
      <x:c r="H294" s="80" t="str">
        <x:f>IF(F294=G294,"PASS","OPEN")</x:f>
        <x:v>PASS</x:v>
      </x:c>
      <x:c r="I294" s="62" t="str">
        <x:v>TERMINATE CELL</x:v>
      </x:c>
      <x:c r="J294" s="62" t="str">
        <x:v>Constitutional independence</x:v>
      </x:c>
      <x:c r="K294" s="103"/>
      <x:c r="L294" s="103"/>
      <x:c r="M294" s="103"/>
      <x:c r="N294" s="103"/>
    </x:row>
    <x:row r="295">
      <x:c r="A295" s="62" t="str">
        <x:v>V289</x:v>
      </x:c>
      <x:c r="B295" s="62" t="str">
        <x:v>P25</x:v>
      </x:c>
      <x:c r="C295" s="62" t="str">
        <x:v>HU-A</x:v>
      </x:c>
      <x:c r="D295" s="62" t="str">
        <x:v>HU-A-B</x:v>
      </x:c>
      <x:c r="E295" s="62" t="str">
        <x:v>G01 Source manifest and authorship</x:v>
      </x:c>
      <x:c r="F295" s="82" t="n">
        <x:v>0</x:v>
      </x:c>
      <x:c r="G295" s="62" t="n">
        <x:v>1</x:v>
      </x:c>
      <x:c r="H295" s="80" t="str">
        <x:f>IF(F295=G295,"PASS","OPEN")</x:f>
        <x:v>OPEN</x:v>
      </x:c>
      <x:c r="I295" s="62" t="str">
        <x:v>REWORK</x:v>
      </x:c>
      <x:c r="J295" s="62" t="str">
        <x:v>Artifact validity only</x:v>
      </x:c>
      <x:c r="K295" s="103"/>
      <x:c r="L295" s="103"/>
      <x:c r="M295" s="103"/>
      <x:c r="N295" s="103"/>
    </x:row>
    <x:row r="296">
      <x:c r="A296" s="62" t="str">
        <x:v>V290</x:v>
      </x:c>
      <x:c r="B296" s="62" t="str">
        <x:v>P25</x:v>
      </x:c>
      <x:c r="C296" s="62" t="str">
        <x:v>HU-A</x:v>
      </x:c>
      <x:c r="D296" s="62" t="str">
        <x:v>HU-A-B</x:v>
      </x:c>
      <x:c r="E296" s="62" t="str">
        <x:v>G02 Frozen configuration hash</x:v>
      </x:c>
      <x:c r="F296" s="82" t="n">
        <x:v>0</x:v>
      </x:c>
      <x:c r="G296" s="62" t="n">
        <x:v>1</x:v>
      </x:c>
      <x:c r="H296" s="80" t="str">
        <x:f>IF(F296=G296,"PASS","OPEN")</x:f>
        <x:v>OPEN</x:v>
      </x:c>
      <x:c r="I296" s="62" t="str">
        <x:v>REWORK</x:v>
      </x:c>
      <x:c r="J296" s="62" t="str">
        <x:v>Artifact validity only</x:v>
      </x:c>
      <x:c r="K296" s="103"/>
      <x:c r="L296" s="103"/>
      <x:c r="M296" s="103"/>
      <x:c r="N296" s="103"/>
    </x:row>
    <x:row r="297">
      <x:c r="A297" s="62" t="str">
        <x:v>V291</x:v>
      </x:c>
      <x:c r="B297" s="62" t="str">
        <x:v>P25</x:v>
      </x:c>
      <x:c r="C297" s="62" t="str">
        <x:v>HU-A</x:v>
      </x:c>
      <x:c r="D297" s="62" t="str">
        <x:v>HU-A-B</x:v>
      </x:c>
      <x:c r="E297" s="62" t="str">
        <x:v>G03 Executable native artifact</x:v>
      </x:c>
      <x:c r="F297" s="82" t="n">
        <x:v>0</x:v>
      </x:c>
      <x:c r="G297" s="62" t="n">
        <x:v>1</x:v>
      </x:c>
      <x:c r="H297" s="80" t="str">
        <x:f>IF(F297=G297,"PASS","OPEN")</x:f>
        <x:v>OPEN</x:v>
      </x:c>
      <x:c r="I297" s="62" t="str">
        <x:v>REWORK</x:v>
      </x:c>
      <x:c r="J297" s="62" t="str">
        <x:v>Artifact validity only</x:v>
      </x:c>
      <x:c r="K297" s="103"/>
      <x:c r="L297" s="103"/>
      <x:c r="M297" s="103"/>
      <x:c r="N297" s="103"/>
    </x:row>
    <x:row r="298">
      <x:c r="A298" s="62" t="str">
        <x:v>V292</x:v>
      </x:c>
      <x:c r="B298" s="62" t="str">
        <x:v>P25</x:v>
      </x:c>
      <x:c r="C298" s="62" t="str">
        <x:v>HU-A</x:v>
      </x:c>
      <x:c r="D298" s="62" t="str">
        <x:v>HU-A-B</x:v>
      </x:c>
      <x:c r="E298" s="62" t="str">
        <x:v>G04 Dependency, tool and material ledger</x:v>
      </x:c>
      <x:c r="F298" s="82" t="n">
        <x:v>0</x:v>
      </x:c>
      <x:c r="G298" s="62" t="n">
        <x:v>1</x:v>
      </x:c>
      <x:c r="H298" s="80" t="str">
        <x:f>IF(F298=G298,"PASS","OPEN")</x:f>
        <x:v>OPEN</x:v>
      </x:c>
      <x:c r="I298" s="62" t="str">
        <x:v>REWORK</x:v>
      </x:c>
      <x:c r="J298" s="62" t="str">
        <x:v>Artifact validity only</x:v>
      </x:c>
      <x:c r="K298" s="103"/>
      <x:c r="L298" s="103"/>
      <x:c r="M298" s="103"/>
      <x:c r="N298" s="103"/>
    </x:row>
    <x:row r="299">
      <x:c r="A299" s="62" t="str">
        <x:v>V293</x:v>
      </x:c>
      <x:c r="B299" s="62" t="str">
        <x:v>P25</x:v>
      </x:c>
      <x:c r="C299" s="62" t="str">
        <x:v>HU-A</x:v>
      </x:c>
      <x:c r="D299" s="62" t="str">
        <x:v>HU-A-B</x:v>
      </x:c>
      <x:c r="E299" s="62" t="str">
        <x:v>G05 Assumption and unknown register</x:v>
      </x:c>
      <x:c r="F299" s="82" t="n">
        <x:v>0</x:v>
      </x:c>
      <x:c r="G299" s="62" t="n">
        <x:v>1</x:v>
      </x:c>
      <x:c r="H299" s="80" t="str">
        <x:f>IF(F299=G299,"PASS","OPEN")</x:f>
        <x:v>OPEN</x:v>
      </x:c>
      <x:c r="I299" s="62" t="str">
        <x:v>REWORK</x:v>
      </x:c>
      <x:c r="J299" s="62" t="str">
        <x:v>Artifact validity only</x:v>
      </x:c>
      <x:c r="K299" s="103"/>
      <x:c r="L299" s="103"/>
      <x:c r="M299" s="103"/>
      <x:c r="N299" s="103"/>
    </x:row>
    <x:row r="300">
      <x:c r="A300" s="62" t="str">
        <x:v>V294</x:v>
      </x:c>
      <x:c r="B300" s="62" t="str">
        <x:v>P25</x:v>
      </x:c>
      <x:c r="C300" s="62" t="str">
        <x:v>HU-A</x:v>
      </x:c>
      <x:c r="D300" s="62" t="str">
        <x:v>HU-A-B</x:v>
      </x:c>
      <x:c r="E300" s="62" t="str">
        <x:v>G06 Independent clean-room replay</x:v>
      </x:c>
      <x:c r="F300" s="82" t="n">
        <x:v>0</x:v>
      </x:c>
      <x:c r="G300" s="62" t="n">
        <x:v>1</x:v>
      </x:c>
      <x:c r="H300" s="80" t="str">
        <x:f>IF(F300=G300,"PASS","OPEN")</x:f>
        <x:v>OPEN</x:v>
      </x:c>
      <x:c r="I300" s="62" t="str">
        <x:v>REWORK</x:v>
      </x:c>
      <x:c r="J300" s="62" t="str">
        <x:v>Artifact validity only</x:v>
      </x:c>
      <x:c r="K300" s="103"/>
      <x:c r="L300" s="103"/>
      <x:c r="M300" s="103"/>
      <x:c r="N300" s="103"/>
    </x:row>
    <x:row r="301">
      <x:c r="A301" s="62" t="str">
        <x:v>V295</x:v>
      </x:c>
      <x:c r="B301" s="62" t="str">
        <x:v>P25</x:v>
      </x:c>
      <x:c r="C301" s="62" t="str">
        <x:v>HU-A</x:v>
      </x:c>
      <x:c r="D301" s="62" t="str">
        <x:v>HU-A-B</x:v>
      </x:c>
      <x:c r="E301" s="62" t="str">
        <x:v>G07 Interface and destructive-test trace</x:v>
      </x:c>
      <x:c r="F301" s="82" t="n">
        <x:v>0</x:v>
      </x:c>
      <x:c r="G301" s="62" t="n">
        <x:v>1</x:v>
      </x:c>
      <x:c r="H301" s="80" t="str">
        <x:f>IF(F301=G301,"PASS","OPEN")</x:f>
        <x:v>OPEN</x:v>
      </x:c>
      <x:c r="I301" s="62" t="str">
        <x:v>REWORK</x:v>
      </x:c>
      <x:c r="J301" s="62" t="str">
        <x:v>Artifact validity only</x:v>
      </x:c>
      <x:c r="K301" s="103"/>
      <x:c r="L301" s="103"/>
      <x:c r="M301" s="103"/>
      <x:c r="N301" s="103"/>
    </x:row>
    <x:row r="302">
      <x:c r="A302" s="62" t="str">
        <x:v>V296</x:v>
      </x:c>
      <x:c r="B302" s="62" t="str">
        <x:v>P25</x:v>
      </x:c>
      <x:c r="C302" s="62" t="str">
        <x:v>HU-A</x:v>
      </x:c>
      <x:c r="D302" s="62" t="str">
        <x:v>HU-A-B</x:v>
      </x:c>
      <x:c r="E302" s="62" t="str">
        <x:v>G08 Rights and safe-state closure</x:v>
      </x:c>
      <x:c r="F302" s="82" t="n">
        <x:v>0</x:v>
      </x:c>
      <x:c r="G302" s="62" t="n">
        <x:v>1</x:v>
      </x:c>
      <x:c r="H302" s="80" t="str">
        <x:f>IF(F302=G302,"PASS","OPEN")</x:f>
        <x:v>OPEN</x:v>
      </x:c>
      <x:c r="I302" s="62" t="str">
        <x:v>REWORK</x:v>
      </x:c>
      <x:c r="J302" s="62" t="str">
        <x:v>Artifact validity only</x:v>
      </x:c>
      <x:c r="K302" s="103"/>
      <x:c r="L302" s="103"/>
      <x:c r="M302" s="103"/>
      <x:c r="N302" s="103"/>
    </x:row>
    <x:row r="303">
      <x:c r="A303" s="62" t="str">
        <x:v>V297</x:v>
      </x:c>
      <x:c r="B303" s="62" t="str">
        <x:v>P25</x:v>
      </x:c>
      <x:c r="C303" s="62" t="str">
        <x:v>HU-A</x:v>
      </x:c>
      <x:c r="D303" s="62" t="str">
        <x:v>HU-A-B</x:v>
      </x:c>
      <x:c r="E303" s="62" t="str">
        <x:v>G09 Receiver and residual closure</x:v>
      </x:c>
      <x:c r="F303" s="82" t="n">
        <x:v>0</x:v>
      </x:c>
      <x:c r="G303" s="62" t="n">
        <x:v>1</x:v>
      </x:c>
      <x:c r="H303" s="80" t="str">
        <x:f>IF(F303=G303,"PASS","OPEN")</x:f>
        <x:v>OPEN</x:v>
      </x:c>
      <x:c r="I303" s="62" t="str">
        <x:v>REWORK</x:v>
      </x:c>
      <x:c r="J303" s="62" t="str">
        <x:v>Artifact validity only</x:v>
      </x:c>
      <x:c r="K303" s="103"/>
      <x:c r="L303" s="103"/>
      <x:c r="M303" s="103"/>
      <x:c r="N303" s="103"/>
    </x:row>
    <x:row r="304">
      <x:c r="A304" s="62" t="str">
        <x:v>V298</x:v>
      </x:c>
      <x:c r="B304" s="62" t="str">
        <x:v>P25</x:v>
      </x:c>
      <x:c r="C304" s="62" t="str">
        <x:v>HU-A</x:v>
      </x:c>
      <x:c r="D304" s="62" t="str">
        <x:v>HU-A-B</x:v>
      </x:c>
      <x:c r="E304" s="62" t="str">
        <x:v>G10 Challenge response and terminal archive</x:v>
      </x:c>
      <x:c r="F304" s="82" t="n">
        <x:v>0</x:v>
      </x:c>
      <x:c r="G304" s="62" t="n">
        <x:v>1</x:v>
      </x:c>
      <x:c r="H304" s="80" t="str">
        <x:f>IF(F304=G304,"PASS","OPEN")</x:f>
        <x:v>OPEN</x:v>
      </x:c>
      <x:c r="I304" s="62" t="str">
        <x:v>REWORK</x:v>
      </x:c>
      <x:c r="J304" s="62" t="str">
        <x:v>Artifact validity only</x:v>
      </x:c>
      <x:c r="K304" s="103"/>
      <x:c r="L304" s="103"/>
      <x:c r="M304" s="103"/>
      <x:c r="N304" s="103"/>
    </x:row>
    <x:row r="305">
      <x:c r="A305" s="62" t="str">
        <x:v>V299</x:v>
      </x:c>
      <x:c r="B305" s="62" t="str">
        <x:v>P25</x:v>
      </x:c>
      <x:c r="C305" s="62" t="str">
        <x:v>HU-A</x:v>
      </x:c>
      <x:c r="D305" s="62" t="str">
        <x:v>HU-A-B</x:v>
      </x:c>
      <x:c r="E305" s="62" t="str">
        <x:v>G11 No sibling performance exposure</x:v>
      </x:c>
      <x:c r="F305" s="82" t="n">
        <x:v>1</x:v>
      </x:c>
      <x:c r="G305" s="62" t="n">
        <x:v>1</x:v>
      </x:c>
      <x:c r="H305" s="80" t="str">
        <x:f>IF(F305=G305,"PASS","OPEN")</x:f>
        <x:v>PASS</x:v>
      </x:c>
      <x:c r="I305" s="62" t="str">
        <x:v>TERMINATE CELL</x:v>
      </x:c>
      <x:c r="J305" s="62" t="str">
        <x:v>Constitutional independence</x:v>
      </x:c>
      <x:c r="K305" s="103"/>
      <x:c r="L305" s="103"/>
      <x:c r="M305" s="103"/>
      <x:c r="N305" s="103"/>
    </x:row>
    <x:row r="306">
      <x:c r="A306" s="62" t="str">
        <x:v>V300</x:v>
      </x:c>
      <x:c r="B306" s="62" t="str">
        <x:v>P25</x:v>
      </x:c>
      <x:c r="C306" s="62" t="str">
        <x:v>HU-A</x:v>
      </x:c>
      <x:c r="D306" s="62" t="str">
        <x:v>HU-A-B</x:v>
      </x:c>
      <x:c r="E306" s="62" t="str">
        <x:v>G12 Builder and validity control separated</x:v>
      </x:c>
      <x:c r="F306" s="82" t="n">
        <x:v>1</x:v>
      </x:c>
      <x:c r="G306" s="62" t="n">
        <x:v>1</x:v>
      </x:c>
      <x:c r="H306" s="80" t="str">
        <x:f>IF(F306=G306,"PASS","OPEN")</x:f>
        <x:v>PASS</x:v>
      </x:c>
      <x:c r="I306" s="62" t="str">
        <x:v>TERMINATE CELL</x:v>
      </x:c>
      <x:c r="J306" s="62" t="str">
        <x:v>Constitutional independence</x:v>
      </x:c>
      <x:c r="K306" s="103"/>
      <x:c r="L306" s="103"/>
      <x:c r="M306" s="103"/>
      <x:c r="N306" s="103"/>
    </x:row>
    <x:row r="307">
      <x:c r="A307" s="62" t="str">
        <x:v>V301</x:v>
      </x:c>
      <x:c r="B307" s="62" t="str">
        <x:v>P26</x:v>
      </x:c>
      <x:c r="C307" s="62" t="str">
        <x:v>RT-B</x:v>
      </x:c>
      <x:c r="D307" s="62" t="str">
        <x:v>RT-B-C</x:v>
      </x:c>
      <x:c r="E307" s="62" t="str">
        <x:v>G01 Source manifest and authorship</x:v>
      </x:c>
      <x:c r="F307" s="82" t="n">
        <x:v>0</x:v>
      </x:c>
      <x:c r="G307" s="62" t="n">
        <x:v>1</x:v>
      </x:c>
      <x:c r="H307" s="80" t="str">
        <x:f>IF(F307=G307,"PASS","OPEN")</x:f>
        <x:v>OPEN</x:v>
      </x:c>
      <x:c r="I307" s="62" t="str">
        <x:v>REWORK</x:v>
      </x:c>
      <x:c r="J307" s="62" t="str">
        <x:v>Artifact validity only</x:v>
      </x:c>
      <x:c r="K307" s="103"/>
      <x:c r="L307" s="103"/>
      <x:c r="M307" s="103"/>
      <x:c r="N307" s="103"/>
    </x:row>
    <x:row r="308">
      <x:c r="A308" s="62" t="str">
        <x:v>V302</x:v>
      </x:c>
      <x:c r="B308" s="62" t="str">
        <x:v>P26</x:v>
      </x:c>
      <x:c r="C308" s="62" t="str">
        <x:v>RT-B</x:v>
      </x:c>
      <x:c r="D308" s="62" t="str">
        <x:v>RT-B-C</x:v>
      </x:c>
      <x:c r="E308" s="62" t="str">
        <x:v>G02 Frozen configuration hash</x:v>
      </x:c>
      <x:c r="F308" s="82" t="n">
        <x:v>0</x:v>
      </x:c>
      <x:c r="G308" s="62" t="n">
        <x:v>1</x:v>
      </x:c>
      <x:c r="H308" s="80" t="str">
        <x:f>IF(F308=G308,"PASS","OPEN")</x:f>
        <x:v>OPEN</x:v>
      </x:c>
      <x:c r="I308" s="62" t="str">
        <x:v>REWORK</x:v>
      </x:c>
      <x:c r="J308" s="62" t="str">
        <x:v>Artifact validity only</x:v>
      </x:c>
      <x:c r="K308" s="103"/>
      <x:c r="L308" s="103"/>
      <x:c r="M308" s="103"/>
      <x:c r="N308" s="103"/>
    </x:row>
    <x:row r="309">
      <x:c r="A309" s="62" t="str">
        <x:v>V303</x:v>
      </x:c>
      <x:c r="B309" s="62" t="str">
        <x:v>P26</x:v>
      </x:c>
      <x:c r="C309" s="62" t="str">
        <x:v>RT-B</x:v>
      </x:c>
      <x:c r="D309" s="62" t="str">
        <x:v>RT-B-C</x:v>
      </x:c>
      <x:c r="E309" s="62" t="str">
        <x:v>G03 Executable native artifact</x:v>
      </x:c>
      <x:c r="F309" s="82" t="n">
        <x:v>0</x:v>
      </x:c>
      <x:c r="G309" s="62" t="n">
        <x:v>1</x:v>
      </x:c>
      <x:c r="H309" s="80" t="str">
        <x:f>IF(F309=G309,"PASS","OPEN")</x:f>
        <x:v>OPEN</x:v>
      </x:c>
      <x:c r="I309" s="62" t="str">
        <x:v>REWORK</x:v>
      </x:c>
      <x:c r="J309" s="62" t="str">
        <x:v>Artifact validity only</x:v>
      </x:c>
      <x:c r="K309" s="103"/>
      <x:c r="L309" s="103"/>
      <x:c r="M309" s="103"/>
      <x:c r="N309" s="103"/>
    </x:row>
    <x:row r="310">
      <x:c r="A310" s="62" t="str">
        <x:v>V304</x:v>
      </x:c>
      <x:c r="B310" s="62" t="str">
        <x:v>P26</x:v>
      </x:c>
      <x:c r="C310" s="62" t="str">
        <x:v>RT-B</x:v>
      </x:c>
      <x:c r="D310" s="62" t="str">
        <x:v>RT-B-C</x:v>
      </x:c>
      <x:c r="E310" s="62" t="str">
        <x:v>G04 Dependency, tool and material ledger</x:v>
      </x:c>
      <x:c r="F310" s="82" t="n">
        <x:v>0</x:v>
      </x:c>
      <x:c r="G310" s="62" t="n">
        <x:v>1</x:v>
      </x:c>
      <x:c r="H310" s="80" t="str">
        <x:f>IF(F310=G310,"PASS","OPEN")</x:f>
        <x:v>OPEN</x:v>
      </x:c>
      <x:c r="I310" s="62" t="str">
        <x:v>REWORK</x:v>
      </x:c>
      <x:c r="J310" s="62" t="str">
        <x:v>Artifact validity only</x:v>
      </x:c>
      <x:c r="K310" s="103"/>
      <x:c r="L310" s="103"/>
      <x:c r="M310" s="103"/>
      <x:c r="N310" s="103"/>
    </x:row>
    <x:row r="311">
      <x:c r="A311" s="62" t="str">
        <x:v>V305</x:v>
      </x:c>
      <x:c r="B311" s="62" t="str">
        <x:v>P26</x:v>
      </x:c>
      <x:c r="C311" s="62" t="str">
        <x:v>RT-B</x:v>
      </x:c>
      <x:c r="D311" s="62" t="str">
        <x:v>RT-B-C</x:v>
      </x:c>
      <x:c r="E311" s="62" t="str">
        <x:v>G05 Assumption and unknown register</x:v>
      </x:c>
      <x:c r="F311" s="82" t="n">
        <x:v>0</x:v>
      </x:c>
      <x:c r="G311" s="62" t="n">
        <x:v>1</x:v>
      </x:c>
      <x:c r="H311" s="80" t="str">
        <x:f>IF(F311=G311,"PASS","OPEN")</x:f>
        <x:v>OPEN</x:v>
      </x:c>
      <x:c r="I311" s="62" t="str">
        <x:v>REWORK</x:v>
      </x:c>
      <x:c r="J311" s="62" t="str">
        <x:v>Artifact validity only</x:v>
      </x:c>
      <x:c r="K311" s="103"/>
      <x:c r="L311" s="103"/>
      <x:c r="M311" s="103"/>
      <x:c r="N311" s="103"/>
    </x:row>
    <x:row r="312">
      <x:c r="A312" s="62" t="str">
        <x:v>V306</x:v>
      </x:c>
      <x:c r="B312" s="62" t="str">
        <x:v>P26</x:v>
      </x:c>
      <x:c r="C312" s="62" t="str">
        <x:v>RT-B</x:v>
      </x:c>
      <x:c r="D312" s="62" t="str">
        <x:v>RT-B-C</x:v>
      </x:c>
      <x:c r="E312" s="62" t="str">
        <x:v>G06 Independent clean-room replay</x:v>
      </x:c>
      <x:c r="F312" s="82" t="n">
        <x:v>0</x:v>
      </x:c>
      <x:c r="G312" s="62" t="n">
        <x:v>1</x:v>
      </x:c>
      <x:c r="H312" s="80" t="str">
        <x:f>IF(F312=G312,"PASS","OPEN")</x:f>
        <x:v>OPEN</x:v>
      </x:c>
      <x:c r="I312" s="62" t="str">
        <x:v>REWORK</x:v>
      </x:c>
      <x:c r="J312" s="62" t="str">
        <x:v>Artifact validity only</x:v>
      </x:c>
      <x:c r="K312" s="103"/>
      <x:c r="L312" s="103"/>
      <x:c r="M312" s="103"/>
      <x:c r="N312" s="103"/>
    </x:row>
    <x:row r="313">
      <x:c r="A313" s="62" t="str">
        <x:v>V307</x:v>
      </x:c>
      <x:c r="B313" s="62" t="str">
        <x:v>P26</x:v>
      </x:c>
      <x:c r="C313" s="62" t="str">
        <x:v>RT-B</x:v>
      </x:c>
      <x:c r="D313" s="62" t="str">
        <x:v>RT-B-C</x:v>
      </x:c>
      <x:c r="E313" s="62" t="str">
        <x:v>G07 Interface and destructive-test trace</x:v>
      </x:c>
      <x:c r="F313" s="82" t="n">
        <x:v>0</x:v>
      </x:c>
      <x:c r="G313" s="62" t="n">
        <x:v>1</x:v>
      </x:c>
      <x:c r="H313" s="80" t="str">
        <x:f>IF(F313=G313,"PASS","OPEN")</x:f>
        <x:v>OPEN</x:v>
      </x:c>
      <x:c r="I313" s="62" t="str">
        <x:v>REWORK</x:v>
      </x:c>
      <x:c r="J313" s="62" t="str">
        <x:v>Artifact validity only</x:v>
      </x:c>
      <x:c r="K313" s="103"/>
      <x:c r="L313" s="103"/>
      <x:c r="M313" s="103"/>
      <x:c r="N313" s="103"/>
    </x:row>
    <x:row r="314">
      <x:c r="A314" s="62" t="str">
        <x:v>V308</x:v>
      </x:c>
      <x:c r="B314" s="62" t="str">
        <x:v>P26</x:v>
      </x:c>
      <x:c r="C314" s="62" t="str">
        <x:v>RT-B</x:v>
      </x:c>
      <x:c r="D314" s="62" t="str">
        <x:v>RT-B-C</x:v>
      </x:c>
      <x:c r="E314" s="62" t="str">
        <x:v>G08 Rights and safe-state closure</x:v>
      </x:c>
      <x:c r="F314" s="82" t="n">
        <x:v>0</x:v>
      </x:c>
      <x:c r="G314" s="62" t="n">
        <x:v>1</x:v>
      </x:c>
      <x:c r="H314" s="80" t="str">
        <x:f>IF(F314=G314,"PASS","OPEN")</x:f>
        <x:v>OPEN</x:v>
      </x:c>
      <x:c r="I314" s="62" t="str">
        <x:v>REWORK</x:v>
      </x:c>
      <x:c r="J314" s="62" t="str">
        <x:v>Artifact validity only</x:v>
      </x:c>
      <x:c r="K314" s="103"/>
      <x:c r="L314" s="103"/>
      <x:c r="M314" s="103"/>
      <x:c r="N314" s="103"/>
    </x:row>
    <x:row r="315">
      <x:c r="A315" s="62" t="str">
        <x:v>V309</x:v>
      </x:c>
      <x:c r="B315" s="62" t="str">
        <x:v>P26</x:v>
      </x:c>
      <x:c r="C315" s="62" t="str">
        <x:v>RT-B</x:v>
      </x:c>
      <x:c r="D315" s="62" t="str">
        <x:v>RT-B-C</x:v>
      </x:c>
      <x:c r="E315" s="62" t="str">
        <x:v>G09 Receiver and residual closure</x:v>
      </x:c>
      <x:c r="F315" s="82" t="n">
        <x:v>0</x:v>
      </x:c>
      <x:c r="G315" s="62" t="n">
        <x:v>1</x:v>
      </x:c>
      <x:c r="H315" s="80" t="str">
        <x:f>IF(F315=G315,"PASS","OPEN")</x:f>
        <x:v>OPEN</x:v>
      </x:c>
      <x:c r="I315" s="62" t="str">
        <x:v>REWORK</x:v>
      </x:c>
      <x:c r="J315" s="62" t="str">
        <x:v>Artifact validity only</x:v>
      </x:c>
      <x:c r="K315" s="103"/>
      <x:c r="L315" s="103"/>
      <x:c r="M315" s="103"/>
      <x:c r="N315" s="103"/>
    </x:row>
    <x:row r="316">
      <x:c r="A316" s="62" t="str">
        <x:v>V310</x:v>
      </x:c>
      <x:c r="B316" s="62" t="str">
        <x:v>P26</x:v>
      </x:c>
      <x:c r="C316" s="62" t="str">
        <x:v>RT-B</x:v>
      </x:c>
      <x:c r="D316" s="62" t="str">
        <x:v>RT-B-C</x:v>
      </x:c>
      <x:c r="E316" s="62" t="str">
        <x:v>G10 Challenge response and terminal archive</x:v>
      </x:c>
      <x:c r="F316" s="82" t="n">
        <x:v>0</x:v>
      </x:c>
      <x:c r="G316" s="62" t="n">
        <x:v>1</x:v>
      </x:c>
      <x:c r="H316" s="80" t="str">
        <x:f>IF(F316=G316,"PASS","OPEN")</x:f>
        <x:v>OPEN</x:v>
      </x:c>
      <x:c r="I316" s="62" t="str">
        <x:v>REWORK</x:v>
      </x:c>
      <x:c r="J316" s="62" t="str">
        <x:v>Artifact validity only</x:v>
      </x:c>
      <x:c r="K316" s="103"/>
      <x:c r="L316" s="103"/>
      <x:c r="M316" s="103"/>
      <x:c r="N316" s="103"/>
    </x:row>
    <x:row r="317">
      <x:c r="A317" s="62" t="str">
        <x:v>V311</x:v>
      </x:c>
      <x:c r="B317" s="62" t="str">
        <x:v>P26</x:v>
      </x:c>
      <x:c r="C317" s="62" t="str">
        <x:v>RT-B</x:v>
      </x:c>
      <x:c r="D317" s="62" t="str">
        <x:v>RT-B-C</x:v>
      </x:c>
      <x:c r="E317" s="62" t="str">
        <x:v>G11 No sibling performance exposure</x:v>
      </x:c>
      <x:c r="F317" s="82" t="n">
        <x:v>1</x:v>
      </x:c>
      <x:c r="G317" s="62" t="n">
        <x:v>1</x:v>
      </x:c>
      <x:c r="H317" s="80" t="str">
        <x:f>IF(F317=G317,"PASS","OPEN")</x:f>
        <x:v>PASS</x:v>
      </x:c>
      <x:c r="I317" s="62" t="str">
        <x:v>TERMINATE CELL</x:v>
      </x:c>
      <x:c r="J317" s="62" t="str">
        <x:v>Constitutional independence</x:v>
      </x:c>
      <x:c r="K317" s="103"/>
      <x:c r="L317" s="103"/>
      <x:c r="M317" s="103"/>
      <x:c r="N317" s="103"/>
    </x:row>
    <x:row r="318">
      <x:c r="A318" s="62" t="str">
        <x:v>V312</x:v>
      </x:c>
      <x:c r="B318" s="62" t="str">
        <x:v>P26</x:v>
      </x:c>
      <x:c r="C318" s="62" t="str">
        <x:v>RT-B</x:v>
      </x:c>
      <x:c r="D318" s="62" t="str">
        <x:v>RT-B-C</x:v>
      </x:c>
      <x:c r="E318" s="62" t="str">
        <x:v>G12 Builder and validity control separated</x:v>
      </x:c>
      <x:c r="F318" s="82" t="n">
        <x:v>1</x:v>
      </x:c>
      <x:c r="G318" s="62" t="n">
        <x:v>1</x:v>
      </x:c>
      <x:c r="H318" s="80" t="str">
        <x:f>IF(F318=G318,"PASS","OPEN")</x:f>
        <x:v>PASS</x:v>
      </x:c>
      <x:c r="I318" s="62" t="str">
        <x:v>TERMINATE CELL</x:v>
      </x:c>
      <x:c r="J318" s="62" t="str">
        <x:v>Constitutional independence</x:v>
      </x:c>
      <x:c r="K318" s="103"/>
      <x:c r="L318" s="103"/>
      <x:c r="M318" s="103"/>
      <x:c r="N318" s="103"/>
    </x:row>
    <x:row r="319">
      <x:c r="A319" s="62" t="str">
        <x:v>V313</x:v>
      </x:c>
      <x:c r="B319" s="62" t="str">
        <x:v>P27</x:v>
      </x:c>
      <x:c r="C319" s="62" t="str">
        <x:v>RT-B</x:v>
      </x:c>
      <x:c r="D319" s="62" t="str">
        <x:v>RT-B-C</x:v>
      </x:c>
      <x:c r="E319" s="62" t="str">
        <x:v>G01 Source manifest and authorship</x:v>
      </x:c>
      <x:c r="F319" s="82" t="n">
        <x:v>0</x:v>
      </x:c>
      <x:c r="G319" s="62" t="n">
        <x:v>1</x:v>
      </x:c>
      <x:c r="H319" s="80" t="str">
        <x:f>IF(F319=G319,"PASS","OPEN")</x:f>
        <x:v>OPEN</x:v>
      </x:c>
      <x:c r="I319" s="62" t="str">
        <x:v>REWORK</x:v>
      </x:c>
      <x:c r="J319" s="62" t="str">
        <x:v>Artifact validity only</x:v>
      </x:c>
      <x:c r="K319" s="103"/>
      <x:c r="L319" s="103"/>
      <x:c r="M319" s="103"/>
      <x:c r="N319" s="103"/>
    </x:row>
    <x:row r="320">
      <x:c r="A320" s="62" t="str">
        <x:v>V314</x:v>
      </x:c>
      <x:c r="B320" s="62" t="str">
        <x:v>P27</x:v>
      </x:c>
      <x:c r="C320" s="62" t="str">
        <x:v>RT-B</x:v>
      </x:c>
      <x:c r="D320" s="62" t="str">
        <x:v>RT-B-C</x:v>
      </x:c>
      <x:c r="E320" s="62" t="str">
        <x:v>G02 Frozen configuration hash</x:v>
      </x:c>
      <x:c r="F320" s="82" t="n">
        <x:v>0</x:v>
      </x:c>
      <x:c r="G320" s="62" t="n">
        <x:v>1</x:v>
      </x:c>
      <x:c r="H320" s="80" t="str">
        <x:f>IF(F320=G320,"PASS","OPEN")</x:f>
        <x:v>OPEN</x:v>
      </x:c>
      <x:c r="I320" s="62" t="str">
        <x:v>REWORK</x:v>
      </x:c>
      <x:c r="J320" s="62" t="str">
        <x:v>Artifact validity only</x:v>
      </x:c>
      <x:c r="K320" s="103"/>
      <x:c r="L320" s="103"/>
      <x:c r="M320" s="103"/>
      <x:c r="N320" s="103"/>
    </x:row>
    <x:row r="321">
      <x:c r="A321" s="62" t="str">
        <x:v>V315</x:v>
      </x:c>
      <x:c r="B321" s="62" t="str">
        <x:v>P27</x:v>
      </x:c>
      <x:c r="C321" s="62" t="str">
        <x:v>RT-B</x:v>
      </x:c>
      <x:c r="D321" s="62" t="str">
        <x:v>RT-B-C</x:v>
      </x:c>
      <x:c r="E321" s="62" t="str">
        <x:v>G03 Executable native artifact</x:v>
      </x:c>
      <x:c r="F321" s="82" t="n">
        <x:v>0</x:v>
      </x:c>
      <x:c r="G321" s="62" t="n">
        <x:v>1</x:v>
      </x:c>
      <x:c r="H321" s="80" t="str">
        <x:f>IF(F321=G321,"PASS","OPEN")</x:f>
        <x:v>OPEN</x:v>
      </x:c>
      <x:c r="I321" s="62" t="str">
        <x:v>REWORK</x:v>
      </x:c>
      <x:c r="J321" s="62" t="str">
        <x:v>Artifact validity only</x:v>
      </x:c>
      <x:c r="K321" s="103"/>
      <x:c r="L321" s="103"/>
      <x:c r="M321" s="103"/>
      <x:c r="N321" s="103"/>
    </x:row>
    <x:row r="322">
      <x:c r="A322" s="62" t="str">
        <x:v>V316</x:v>
      </x:c>
      <x:c r="B322" s="62" t="str">
        <x:v>P27</x:v>
      </x:c>
      <x:c r="C322" s="62" t="str">
        <x:v>RT-B</x:v>
      </x:c>
      <x:c r="D322" s="62" t="str">
        <x:v>RT-B-C</x:v>
      </x:c>
      <x:c r="E322" s="62" t="str">
        <x:v>G04 Dependency, tool and material ledger</x:v>
      </x:c>
      <x:c r="F322" s="82" t="n">
        <x:v>0</x:v>
      </x:c>
      <x:c r="G322" s="62" t="n">
        <x:v>1</x:v>
      </x:c>
      <x:c r="H322" s="80" t="str">
        <x:f>IF(F322=G322,"PASS","OPEN")</x:f>
        <x:v>OPEN</x:v>
      </x:c>
      <x:c r="I322" s="62" t="str">
        <x:v>REWORK</x:v>
      </x:c>
      <x:c r="J322" s="62" t="str">
        <x:v>Artifact validity only</x:v>
      </x:c>
      <x:c r="K322" s="103"/>
      <x:c r="L322" s="103"/>
      <x:c r="M322" s="103"/>
      <x:c r="N322" s="103"/>
    </x:row>
    <x:row r="323">
      <x:c r="A323" s="62" t="str">
        <x:v>V317</x:v>
      </x:c>
      <x:c r="B323" s="62" t="str">
        <x:v>P27</x:v>
      </x:c>
      <x:c r="C323" s="62" t="str">
        <x:v>RT-B</x:v>
      </x:c>
      <x:c r="D323" s="62" t="str">
        <x:v>RT-B-C</x:v>
      </x:c>
      <x:c r="E323" s="62" t="str">
        <x:v>G05 Assumption and unknown register</x:v>
      </x:c>
      <x:c r="F323" s="82" t="n">
        <x:v>0</x:v>
      </x:c>
      <x:c r="G323" s="62" t="n">
        <x:v>1</x:v>
      </x:c>
      <x:c r="H323" s="80" t="str">
        <x:f>IF(F323=G323,"PASS","OPEN")</x:f>
        <x:v>OPEN</x:v>
      </x:c>
      <x:c r="I323" s="62" t="str">
        <x:v>REWORK</x:v>
      </x:c>
      <x:c r="J323" s="62" t="str">
        <x:v>Artifact validity only</x:v>
      </x:c>
      <x:c r="K323" s="103"/>
      <x:c r="L323" s="103"/>
      <x:c r="M323" s="103"/>
      <x:c r="N323" s="103"/>
    </x:row>
    <x:row r="324">
      <x:c r="A324" s="62" t="str">
        <x:v>V318</x:v>
      </x:c>
      <x:c r="B324" s="62" t="str">
        <x:v>P27</x:v>
      </x:c>
      <x:c r="C324" s="62" t="str">
        <x:v>RT-B</x:v>
      </x:c>
      <x:c r="D324" s="62" t="str">
        <x:v>RT-B-C</x:v>
      </x:c>
      <x:c r="E324" s="62" t="str">
        <x:v>G06 Independent clean-room replay</x:v>
      </x:c>
      <x:c r="F324" s="82" t="n">
        <x:v>0</x:v>
      </x:c>
      <x:c r="G324" s="62" t="n">
        <x:v>1</x:v>
      </x:c>
      <x:c r="H324" s="80" t="str">
        <x:f>IF(F324=G324,"PASS","OPEN")</x:f>
        <x:v>OPEN</x:v>
      </x:c>
      <x:c r="I324" s="62" t="str">
        <x:v>REWORK</x:v>
      </x:c>
      <x:c r="J324" s="62" t="str">
        <x:v>Artifact validity only</x:v>
      </x:c>
      <x:c r="K324" s="103"/>
      <x:c r="L324" s="103"/>
      <x:c r="M324" s="103"/>
      <x:c r="N324" s="103"/>
    </x:row>
    <x:row r="325">
      <x:c r="A325" s="62" t="str">
        <x:v>V319</x:v>
      </x:c>
      <x:c r="B325" s="62" t="str">
        <x:v>P27</x:v>
      </x:c>
      <x:c r="C325" s="62" t="str">
        <x:v>RT-B</x:v>
      </x:c>
      <x:c r="D325" s="62" t="str">
        <x:v>RT-B-C</x:v>
      </x:c>
      <x:c r="E325" s="62" t="str">
        <x:v>G07 Interface and destructive-test trace</x:v>
      </x:c>
      <x:c r="F325" s="82" t="n">
        <x:v>0</x:v>
      </x:c>
      <x:c r="G325" s="62" t="n">
        <x:v>1</x:v>
      </x:c>
      <x:c r="H325" s="80" t="str">
        <x:f>IF(F325=G325,"PASS","OPEN")</x:f>
        <x:v>OPEN</x:v>
      </x:c>
      <x:c r="I325" s="62" t="str">
        <x:v>REWORK</x:v>
      </x:c>
      <x:c r="J325" s="62" t="str">
        <x:v>Artifact validity only</x:v>
      </x:c>
      <x:c r="K325" s="103"/>
      <x:c r="L325" s="103"/>
      <x:c r="M325" s="103"/>
      <x:c r="N325" s="103"/>
    </x:row>
    <x:row r="326">
      <x:c r="A326" s="62" t="str">
        <x:v>V320</x:v>
      </x:c>
      <x:c r="B326" s="62" t="str">
        <x:v>P27</x:v>
      </x:c>
      <x:c r="C326" s="62" t="str">
        <x:v>RT-B</x:v>
      </x:c>
      <x:c r="D326" s="62" t="str">
        <x:v>RT-B-C</x:v>
      </x:c>
      <x:c r="E326" s="62" t="str">
        <x:v>G08 Rights and safe-state closure</x:v>
      </x:c>
      <x:c r="F326" s="82" t="n">
        <x:v>0</x:v>
      </x:c>
      <x:c r="G326" s="62" t="n">
        <x:v>1</x:v>
      </x:c>
      <x:c r="H326" s="80" t="str">
        <x:f>IF(F326=G326,"PASS","OPEN")</x:f>
        <x:v>OPEN</x:v>
      </x:c>
      <x:c r="I326" s="62" t="str">
        <x:v>REWORK</x:v>
      </x:c>
      <x:c r="J326" s="62" t="str">
        <x:v>Artifact validity only</x:v>
      </x:c>
      <x:c r="K326" s="103"/>
      <x:c r="L326" s="103"/>
      <x:c r="M326" s="103"/>
      <x:c r="N326" s="103"/>
    </x:row>
    <x:row r="327">
      <x:c r="A327" s="62" t="str">
        <x:v>V321</x:v>
      </x:c>
      <x:c r="B327" s="62" t="str">
        <x:v>P27</x:v>
      </x:c>
      <x:c r="C327" s="62" t="str">
        <x:v>RT-B</x:v>
      </x:c>
      <x:c r="D327" s="62" t="str">
        <x:v>RT-B-C</x:v>
      </x:c>
      <x:c r="E327" s="62" t="str">
        <x:v>G09 Receiver and residual closure</x:v>
      </x:c>
      <x:c r="F327" s="82" t="n">
        <x:v>0</x:v>
      </x:c>
      <x:c r="G327" s="62" t="n">
        <x:v>1</x:v>
      </x:c>
      <x:c r="H327" s="80" t="str">
        <x:f>IF(F327=G327,"PASS","OPEN")</x:f>
        <x:v>OPEN</x:v>
      </x:c>
      <x:c r="I327" s="62" t="str">
        <x:v>REWORK</x:v>
      </x:c>
      <x:c r="J327" s="62" t="str">
        <x:v>Artifact validity only</x:v>
      </x:c>
      <x:c r="K327" s="103"/>
      <x:c r="L327" s="103"/>
      <x:c r="M327" s="103"/>
      <x:c r="N327" s="103"/>
    </x:row>
    <x:row r="328">
      <x:c r="A328" s="62" t="str">
        <x:v>V322</x:v>
      </x:c>
      <x:c r="B328" s="62" t="str">
        <x:v>P27</x:v>
      </x:c>
      <x:c r="C328" s="62" t="str">
        <x:v>RT-B</x:v>
      </x:c>
      <x:c r="D328" s="62" t="str">
        <x:v>RT-B-C</x:v>
      </x:c>
      <x:c r="E328" s="62" t="str">
        <x:v>G10 Challenge response and terminal archive</x:v>
      </x:c>
      <x:c r="F328" s="82" t="n">
        <x:v>0</x:v>
      </x:c>
      <x:c r="G328" s="62" t="n">
        <x:v>1</x:v>
      </x:c>
      <x:c r="H328" s="80" t="str">
        <x:f>IF(F328=G328,"PASS","OPEN")</x:f>
        <x:v>OPEN</x:v>
      </x:c>
      <x:c r="I328" s="62" t="str">
        <x:v>REWORK</x:v>
      </x:c>
      <x:c r="J328" s="62" t="str">
        <x:v>Artifact validity only</x:v>
      </x:c>
      <x:c r="K328" s="103"/>
      <x:c r="L328" s="103"/>
      <x:c r="M328" s="103"/>
      <x:c r="N328" s="103"/>
    </x:row>
    <x:row r="329">
      <x:c r="A329" s="62" t="str">
        <x:v>V323</x:v>
      </x:c>
      <x:c r="B329" s="62" t="str">
        <x:v>P27</x:v>
      </x:c>
      <x:c r="C329" s="62" t="str">
        <x:v>RT-B</x:v>
      </x:c>
      <x:c r="D329" s="62" t="str">
        <x:v>RT-B-C</x:v>
      </x:c>
      <x:c r="E329" s="62" t="str">
        <x:v>G11 No sibling performance exposure</x:v>
      </x:c>
      <x:c r="F329" s="82" t="n">
        <x:v>1</x:v>
      </x:c>
      <x:c r="G329" s="62" t="n">
        <x:v>1</x:v>
      </x:c>
      <x:c r="H329" s="80" t="str">
        <x:f>IF(F329=G329,"PASS","OPEN")</x:f>
        <x:v>PASS</x:v>
      </x:c>
      <x:c r="I329" s="62" t="str">
        <x:v>TERMINATE CELL</x:v>
      </x:c>
      <x:c r="J329" s="62" t="str">
        <x:v>Constitutional independence</x:v>
      </x:c>
      <x:c r="K329" s="103"/>
      <x:c r="L329" s="103"/>
      <x:c r="M329" s="103"/>
      <x:c r="N329" s="103"/>
    </x:row>
    <x:row r="330">
      <x:c r="A330" s="62" t="str">
        <x:v>V324</x:v>
      </x:c>
      <x:c r="B330" s="62" t="str">
        <x:v>P27</x:v>
      </x:c>
      <x:c r="C330" s="62" t="str">
        <x:v>RT-B</x:v>
      </x:c>
      <x:c r="D330" s="62" t="str">
        <x:v>RT-B-C</x:v>
      </x:c>
      <x:c r="E330" s="62" t="str">
        <x:v>G12 Builder and validity control separated</x:v>
      </x:c>
      <x:c r="F330" s="82" t="n">
        <x:v>1</x:v>
      </x:c>
      <x:c r="G330" s="62" t="n">
        <x:v>1</x:v>
      </x:c>
      <x:c r="H330" s="80" t="str">
        <x:f>IF(F330=G330,"PASS","OPEN")</x:f>
        <x:v>PASS</x:v>
      </x:c>
      <x:c r="I330" s="62" t="str">
        <x:v>TERMINATE CELL</x:v>
      </x:c>
      <x:c r="J330" s="62" t="str">
        <x:v>Constitutional independence</x:v>
      </x:c>
      <x:c r="K330" s="103"/>
      <x:c r="L330" s="103"/>
      <x:c r="M330" s="103"/>
      <x:c r="N330" s="103"/>
    </x:row>
    <x:row r="331">
      <x:c r="A331" s="62" t="str">
        <x:v>V325</x:v>
      </x:c>
      <x:c r="B331" s="62" t="str">
        <x:v>P28</x:v>
      </x:c>
      <x:c r="C331" s="62" t="str">
        <x:v>RT-B</x:v>
      </x:c>
      <x:c r="D331" s="62" t="str">
        <x:v>RT-B-C</x:v>
      </x:c>
      <x:c r="E331" s="62" t="str">
        <x:v>G01 Source manifest and authorship</x:v>
      </x:c>
      <x:c r="F331" s="82" t="n">
        <x:v>0</x:v>
      </x:c>
      <x:c r="G331" s="62" t="n">
        <x:v>1</x:v>
      </x:c>
      <x:c r="H331" s="80" t="str">
        <x:f>IF(F331=G331,"PASS","OPEN")</x:f>
        <x:v>OPEN</x:v>
      </x:c>
      <x:c r="I331" s="62" t="str">
        <x:v>REWORK</x:v>
      </x:c>
      <x:c r="J331" s="62" t="str">
        <x:v>Artifact validity only</x:v>
      </x:c>
      <x:c r="K331" s="103"/>
      <x:c r="L331" s="103"/>
      <x:c r="M331" s="103"/>
      <x:c r="N331" s="103"/>
    </x:row>
    <x:row r="332">
      <x:c r="A332" s="62" t="str">
        <x:v>V326</x:v>
      </x:c>
      <x:c r="B332" s="62" t="str">
        <x:v>P28</x:v>
      </x:c>
      <x:c r="C332" s="62" t="str">
        <x:v>RT-B</x:v>
      </x:c>
      <x:c r="D332" s="62" t="str">
        <x:v>RT-B-C</x:v>
      </x:c>
      <x:c r="E332" s="62" t="str">
        <x:v>G02 Frozen configuration hash</x:v>
      </x:c>
      <x:c r="F332" s="82" t="n">
        <x:v>0</x:v>
      </x:c>
      <x:c r="G332" s="62" t="n">
        <x:v>1</x:v>
      </x:c>
      <x:c r="H332" s="80" t="str">
        <x:f>IF(F332=G332,"PASS","OPEN")</x:f>
        <x:v>OPEN</x:v>
      </x:c>
      <x:c r="I332" s="62" t="str">
        <x:v>REWORK</x:v>
      </x:c>
      <x:c r="J332" s="62" t="str">
        <x:v>Artifact validity only</x:v>
      </x:c>
      <x:c r="K332" s="103"/>
      <x:c r="L332" s="103"/>
      <x:c r="M332" s="103"/>
      <x:c r="N332" s="103"/>
    </x:row>
    <x:row r="333">
      <x:c r="A333" s="62" t="str">
        <x:v>V327</x:v>
      </x:c>
      <x:c r="B333" s="62" t="str">
        <x:v>P28</x:v>
      </x:c>
      <x:c r="C333" s="62" t="str">
        <x:v>RT-B</x:v>
      </x:c>
      <x:c r="D333" s="62" t="str">
        <x:v>RT-B-C</x:v>
      </x:c>
      <x:c r="E333" s="62" t="str">
        <x:v>G03 Executable native artifact</x:v>
      </x:c>
      <x:c r="F333" s="82" t="n">
        <x:v>0</x:v>
      </x:c>
      <x:c r="G333" s="62" t="n">
        <x:v>1</x:v>
      </x:c>
      <x:c r="H333" s="80" t="str">
        <x:f>IF(F333=G333,"PASS","OPEN")</x:f>
        <x:v>OPEN</x:v>
      </x:c>
      <x:c r="I333" s="62" t="str">
        <x:v>REWORK</x:v>
      </x:c>
      <x:c r="J333" s="62" t="str">
        <x:v>Artifact validity only</x:v>
      </x:c>
      <x:c r="K333" s="103"/>
      <x:c r="L333" s="103"/>
      <x:c r="M333" s="103"/>
      <x:c r="N333" s="103"/>
    </x:row>
    <x:row r="334">
      <x:c r="A334" s="62" t="str">
        <x:v>V328</x:v>
      </x:c>
      <x:c r="B334" s="62" t="str">
        <x:v>P28</x:v>
      </x:c>
      <x:c r="C334" s="62" t="str">
        <x:v>RT-B</x:v>
      </x:c>
      <x:c r="D334" s="62" t="str">
        <x:v>RT-B-C</x:v>
      </x:c>
      <x:c r="E334" s="62" t="str">
        <x:v>G04 Dependency, tool and material ledger</x:v>
      </x:c>
      <x:c r="F334" s="82" t="n">
        <x:v>0</x:v>
      </x:c>
      <x:c r="G334" s="62" t="n">
        <x:v>1</x:v>
      </x:c>
      <x:c r="H334" s="80" t="str">
        <x:f>IF(F334=G334,"PASS","OPEN")</x:f>
        <x:v>OPEN</x:v>
      </x:c>
      <x:c r="I334" s="62" t="str">
        <x:v>REWORK</x:v>
      </x:c>
      <x:c r="J334" s="62" t="str">
        <x:v>Artifact validity only</x:v>
      </x:c>
      <x:c r="K334" s="103"/>
      <x:c r="L334" s="103"/>
      <x:c r="M334" s="103"/>
      <x:c r="N334" s="103"/>
    </x:row>
    <x:row r="335">
      <x:c r="A335" s="62" t="str">
        <x:v>V329</x:v>
      </x:c>
      <x:c r="B335" s="62" t="str">
        <x:v>P28</x:v>
      </x:c>
      <x:c r="C335" s="62" t="str">
        <x:v>RT-B</x:v>
      </x:c>
      <x:c r="D335" s="62" t="str">
        <x:v>RT-B-C</x:v>
      </x:c>
      <x:c r="E335" s="62" t="str">
        <x:v>G05 Assumption and unknown register</x:v>
      </x:c>
      <x:c r="F335" s="82" t="n">
        <x:v>0</x:v>
      </x:c>
      <x:c r="G335" s="62" t="n">
        <x:v>1</x:v>
      </x:c>
      <x:c r="H335" s="80" t="str">
        <x:f>IF(F335=G335,"PASS","OPEN")</x:f>
        <x:v>OPEN</x:v>
      </x:c>
      <x:c r="I335" s="62" t="str">
        <x:v>REWORK</x:v>
      </x:c>
      <x:c r="J335" s="62" t="str">
        <x:v>Artifact validity only</x:v>
      </x:c>
      <x:c r="K335" s="103"/>
      <x:c r="L335" s="103"/>
      <x:c r="M335" s="103"/>
      <x:c r="N335" s="103"/>
    </x:row>
    <x:row r="336">
      <x:c r="A336" s="62" t="str">
        <x:v>V330</x:v>
      </x:c>
      <x:c r="B336" s="62" t="str">
        <x:v>P28</x:v>
      </x:c>
      <x:c r="C336" s="62" t="str">
        <x:v>RT-B</x:v>
      </x:c>
      <x:c r="D336" s="62" t="str">
        <x:v>RT-B-C</x:v>
      </x:c>
      <x:c r="E336" s="62" t="str">
        <x:v>G06 Independent clean-room replay</x:v>
      </x:c>
      <x:c r="F336" s="82" t="n">
        <x:v>0</x:v>
      </x:c>
      <x:c r="G336" s="62" t="n">
        <x:v>1</x:v>
      </x:c>
      <x:c r="H336" s="80" t="str">
        <x:f>IF(F336=G336,"PASS","OPEN")</x:f>
        <x:v>OPEN</x:v>
      </x:c>
      <x:c r="I336" s="62" t="str">
        <x:v>REWORK</x:v>
      </x:c>
      <x:c r="J336" s="62" t="str">
        <x:v>Artifact validity only</x:v>
      </x:c>
      <x:c r="K336" s="103"/>
      <x:c r="L336" s="103"/>
      <x:c r="M336" s="103"/>
      <x:c r="N336" s="103"/>
    </x:row>
    <x:row r="337">
      <x:c r="A337" s="62" t="str">
        <x:v>V331</x:v>
      </x:c>
      <x:c r="B337" s="62" t="str">
        <x:v>P28</x:v>
      </x:c>
      <x:c r="C337" s="62" t="str">
        <x:v>RT-B</x:v>
      </x:c>
      <x:c r="D337" s="62" t="str">
        <x:v>RT-B-C</x:v>
      </x:c>
      <x:c r="E337" s="62" t="str">
        <x:v>G07 Interface and destructive-test trace</x:v>
      </x:c>
      <x:c r="F337" s="82" t="n">
        <x:v>0</x:v>
      </x:c>
      <x:c r="G337" s="62" t="n">
        <x:v>1</x:v>
      </x:c>
      <x:c r="H337" s="80" t="str">
        <x:f>IF(F337=G337,"PASS","OPEN")</x:f>
        <x:v>OPEN</x:v>
      </x:c>
      <x:c r="I337" s="62" t="str">
        <x:v>REWORK</x:v>
      </x:c>
      <x:c r="J337" s="62" t="str">
        <x:v>Artifact validity only</x:v>
      </x:c>
      <x:c r="K337" s="103"/>
      <x:c r="L337" s="103"/>
      <x:c r="M337" s="103"/>
      <x:c r="N337" s="103"/>
    </x:row>
    <x:row r="338">
      <x:c r="A338" s="62" t="str">
        <x:v>V332</x:v>
      </x:c>
      <x:c r="B338" s="62" t="str">
        <x:v>P28</x:v>
      </x:c>
      <x:c r="C338" s="62" t="str">
        <x:v>RT-B</x:v>
      </x:c>
      <x:c r="D338" s="62" t="str">
        <x:v>RT-B-C</x:v>
      </x:c>
      <x:c r="E338" s="62" t="str">
        <x:v>G08 Rights and safe-state closure</x:v>
      </x:c>
      <x:c r="F338" s="82" t="n">
        <x:v>0</x:v>
      </x:c>
      <x:c r="G338" s="62" t="n">
        <x:v>1</x:v>
      </x:c>
      <x:c r="H338" s="80" t="str">
        <x:f>IF(F338=G338,"PASS","OPEN")</x:f>
        <x:v>OPEN</x:v>
      </x:c>
      <x:c r="I338" s="62" t="str">
        <x:v>REWORK</x:v>
      </x:c>
      <x:c r="J338" s="62" t="str">
        <x:v>Artifact validity only</x:v>
      </x:c>
      <x:c r="K338" s="103"/>
      <x:c r="L338" s="103"/>
      <x:c r="M338" s="103"/>
      <x:c r="N338" s="103"/>
    </x:row>
    <x:row r="339">
      <x:c r="A339" s="62" t="str">
        <x:v>V333</x:v>
      </x:c>
      <x:c r="B339" s="62" t="str">
        <x:v>P28</x:v>
      </x:c>
      <x:c r="C339" s="62" t="str">
        <x:v>RT-B</x:v>
      </x:c>
      <x:c r="D339" s="62" t="str">
        <x:v>RT-B-C</x:v>
      </x:c>
      <x:c r="E339" s="62" t="str">
        <x:v>G09 Receiver and residual closure</x:v>
      </x:c>
      <x:c r="F339" s="82" t="n">
        <x:v>0</x:v>
      </x:c>
      <x:c r="G339" s="62" t="n">
        <x:v>1</x:v>
      </x:c>
      <x:c r="H339" s="80" t="str">
        <x:f>IF(F339=G339,"PASS","OPEN")</x:f>
        <x:v>OPEN</x:v>
      </x:c>
      <x:c r="I339" s="62" t="str">
        <x:v>REWORK</x:v>
      </x:c>
      <x:c r="J339" s="62" t="str">
        <x:v>Artifact validity only</x:v>
      </x:c>
      <x:c r="K339" s="103"/>
      <x:c r="L339" s="103"/>
      <x:c r="M339" s="103"/>
      <x:c r="N339" s="103"/>
    </x:row>
    <x:row r="340">
      <x:c r="A340" s="62" t="str">
        <x:v>V334</x:v>
      </x:c>
      <x:c r="B340" s="62" t="str">
        <x:v>P28</x:v>
      </x:c>
      <x:c r="C340" s="62" t="str">
        <x:v>RT-B</x:v>
      </x:c>
      <x:c r="D340" s="62" t="str">
        <x:v>RT-B-C</x:v>
      </x:c>
      <x:c r="E340" s="62" t="str">
        <x:v>G10 Challenge response and terminal archive</x:v>
      </x:c>
      <x:c r="F340" s="82" t="n">
        <x:v>0</x:v>
      </x:c>
      <x:c r="G340" s="62" t="n">
        <x:v>1</x:v>
      </x:c>
      <x:c r="H340" s="80" t="str">
        <x:f>IF(F340=G340,"PASS","OPEN")</x:f>
        <x:v>OPEN</x:v>
      </x:c>
      <x:c r="I340" s="62" t="str">
        <x:v>REWORK</x:v>
      </x:c>
      <x:c r="J340" s="62" t="str">
        <x:v>Artifact validity only</x:v>
      </x:c>
      <x:c r="K340" s="103"/>
      <x:c r="L340" s="103"/>
      <x:c r="M340" s="103"/>
      <x:c r="N340" s="103"/>
    </x:row>
    <x:row r="341">
      <x:c r="A341" s="62" t="str">
        <x:v>V335</x:v>
      </x:c>
      <x:c r="B341" s="62" t="str">
        <x:v>P28</x:v>
      </x:c>
      <x:c r="C341" s="62" t="str">
        <x:v>RT-B</x:v>
      </x:c>
      <x:c r="D341" s="62" t="str">
        <x:v>RT-B-C</x:v>
      </x:c>
      <x:c r="E341" s="62" t="str">
        <x:v>G11 No sibling performance exposure</x:v>
      </x:c>
      <x:c r="F341" s="82" t="n">
        <x:v>1</x:v>
      </x:c>
      <x:c r="G341" s="62" t="n">
        <x:v>1</x:v>
      </x:c>
      <x:c r="H341" s="80" t="str">
        <x:f>IF(F341=G341,"PASS","OPEN")</x:f>
        <x:v>PASS</x:v>
      </x:c>
      <x:c r="I341" s="62" t="str">
        <x:v>TERMINATE CELL</x:v>
      </x:c>
      <x:c r="J341" s="62" t="str">
        <x:v>Constitutional independence</x:v>
      </x:c>
      <x:c r="K341" s="103"/>
      <x:c r="L341" s="103"/>
      <x:c r="M341" s="103"/>
      <x:c r="N341" s="103"/>
    </x:row>
    <x:row r="342">
      <x:c r="A342" s="62" t="str">
        <x:v>V336</x:v>
      </x:c>
      <x:c r="B342" s="62" t="str">
        <x:v>P28</x:v>
      </x:c>
      <x:c r="C342" s="62" t="str">
        <x:v>RT-B</x:v>
      </x:c>
      <x:c r="D342" s="62" t="str">
        <x:v>RT-B-C</x:v>
      </x:c>
      <x:c r="E342" s="62" t="str">
        <x:v>G12 Builder and validity control separated</x:v>
      </x:c>
      <x:c r="F342" s="82" t="n">
        <x:v>1</x:v>
      </x:c>
      <x:c r="G342" s="62" t="n">
        <x:v>1</x:v>
      </x:c>
      <x:c r="H342" s="80" t="str">
        <x:f>IF(F342=G342,"PASS","OPEN")</x:f>
        <x:v>PASS</x:v>
      </x:c>
      <x:c r="I342" s="62" t="str">
        <x:v>TERMINATE CELL</x:v>
      </x:c>
      <x:c r="J342" s="62" t="str">
        <x:v>Constitutional independence</x:v>
      </x:c>
      <x:c r="K342" s="103"/>
      <x:c r="L342" s="103"/>
      <x:c r="M342" s="103"/>
      <x:c r="N342" s="103"/>
    </x:row>
    <x:row r="343">
      <x:c r="A343" s="62" t="str">
        <x:v>V337</x:v>
      </x:c>
      <x:c r="B343" s="62" t="str">
        <x:v>P29</x:v>
      </x:c>
      <x:c r="C343" s="62" t="str">
        <x:v>RT-B</x:v>
      </x:c>
      <x:c r="D343" s="62" t="str">
        <x:v>RT-B-C</x:v>
      </x:c>
      <x:c r="E343" s="62" t="str">
        <x:v>G01 Source manifest and authorship</x:v>
      </x:c>
      <x:c r="F343" s="82" t="n">
        <x:v>0</x:v>
      </x:c>
      <x:c r="G343" s="62" t="n">
        <x:v>1</x:v>
      </x:c>
      <x:c r="H343" s="80" t="str">
        <x:f>IF(F343=G343,"PASS","OPEN")</x:f>
        <x:v>OPEN</x:v>
      </x:c>
      <x:c r="I343" s="62" t="str">
        <x:v>REWORK</x:v>
      </x:c>
      <x:c r="J343" s="62" t="str">
        <x:v>Artifact validity only</x:v>
      </x:c>
      <x:c r="K343" s="103"/>
      <x:c r="L343" s="103"/>
      <x:c r="M343" s="103"/>
      <x:c r="N343" s="103"/>
    </x:row>
    <x:row r="344">
      <x:c r="A344" s="62" t="str">
        <x:v>V338</x:v>
      </x:c>
      <x:c r="B344" s="62" t="str">
        <x:v>P29</x:v>
      </x:c>
      <x:c r="C344" s="62" t="str">
        <x:v>RT-B</x:v>
      </x:c>
      <x:c r="D344" s="62" t="str">
        <x:v>RT-B-C</x:v>
      </x:c>
      <x:c r="E344" s="62" t="str">
        <x:v>G02 Frozen configuration hash</x:v>
      </x:c>
      <x:c r="F344" s="82" t="n">
        <x:v>0</x:v>
      </x:c>
      <x:c r="G344" s="62" t="n">
        <x:v>1</x:v>
      </x:c>
      <x:c r="H344" s="80" t="str">
        <x:f>IF(F344=G344,"PASS","OPEN")</x:f>
        <x:v>OPEN</x:v>
      </x:c>
      <x:c r="I344" s="62" t="str">
        <x:v>REWORK</x:v>
      </x:c>
      <x:c r="J344" s="62" t="str">
        <x:v>Artifact validity only</x:v>
      </x:c>
      <x:c r="K344" s="103"/>
      <x:c r="L344" s="103"/>
      <x:c r="M344" s="103"/>
      <x:c r="N344" s="103"/>
    </x:row>
    <x:row r="345">
      <x:c r="A345" s="62" t="str">
        <x:v>V339</x:v>
      </x:c>
      <x:c r="B345" s="62" t="str">
        <x:v>P29</x:v>
      </x:c>
      <x:c r="C345" s="62" t="str">
        <x:v>RT-B</x:v>
      </x:c>
      <x:c r="D345" s="62" t="str">
        <x:v>RT-B-C</x:v>
      </x:c>
      <x:c r="E345" s="62" t="str">
        <x:v>G03 Executable native artifact</x:v>
      </x:c>
      <x:c r="F345" s="82" t="n">
        <x:v>0</x:v>
      </x:c>
      <x:c r="G345" s="62" t="n">
        <x:v>1</x:v>
      </x:c>
      <x:c r="H345" s="80" t="str">
        <x:f>IF(F345=G345,"PASS","OPEN")</x:f>
        <x:v>OPEN</x:v>
      </x:c>
      <x:c r="I345" s="62" t="str">
        <x:v>REWORK</x:v>
      </x:c>
      <x:c r="J345" s="62" t="str">
        <x:v>Artifact validity only</x:v>
      </x:c>
      <x:c r="K345" s="103"/>
      <x:c r="L345" s="103"/>
      <x:c r="M345" s="103"/>
      <x:c r="N345" s="103"/>
    </x:row>
    <x:row r="346">
      <x:c r="A346" s="62" t="str">
        <x:v>V340</x:v>
      </x:c>
      <x:c r="B346" s="62" t="str">
        <x:v>P29</x:v>
      </x:c>
      <x:c r="C346" s="62" t="str">
        <x:v>RT-B</x:v>
      </x:c>
      <x:c r="D346" s="62" t="str">
        <x:v>RT-B-C</x:v>
      </x:c>
      <x:c r="E346" s="62" t="str">
        <x:v>G04 Dependency, tool and material ledger</x:v>
      </x:c>
      <x:c r="F346" s="82" t="n">
        <x:v>0</x:v>
      </x:c>
      <x:c r="G346" s="62" t="n">
        <x:v>1</x:v>
      </x:c>
      <x:c r="H346" s="80" t="str">
        <x:f>IF(F346=G346,"PASS","OPEN")</x:f>
        <x:v>OPEN</x:v>
      </x:c>
      <x:c r="I346" s="62" t="str">
        <x:v>REWORK</x:v>
      </x:c>
      <x:c r="J346" s="62" t="str">
        <x:v>Artifact validity only</x:v>
      </x:c>
      <x:c r="K346" s="103"/>
      <x:c r="L346" s="103"/>
      <x:c r="M346" s="103"/>
      <x:c r="N346" s="103"/>
    </x:row>
    <x:row r="347">
      <x:c r="A347" s="62" t="str">
        <x:v>V341</x:v>
      </x:c>
      <x:c r="B347" s="62" t="str">
        <x:v>P29</x:v>
      </x:c>
      <x:c r="C347" s="62" t="str">
        <x:v>RT-B</x:v>
      </x:c>
      <x:c r="D347" s="62" t="str">
        <x:v>RT-B-C</x:v>
      </x:c>
      <x:c r="E347" s="62" t="str">
        <x:v>G05 Assumption and unknown register</x:v>
      </x:c>
      <x:c r="F347" s="82" t="n">
        <x:v>0</x:v>
      </x:c>
      <x:c r="G347" s="62" t="n">
        <x:v>1</x:v>
      </x:c>
      <x:c r="H347" s="80" t="str">
        <x:f>IF(F347=G347,"PASS","OPEN")</x:f>
        <x:v>OPEN</x:v>
      </x:c>
      <x:c r="I347" s="62" t="str">
        <x:v>REWORK</x:v>
      </x:c>
      <x:c r="J347" s="62" t="str">
        <x:v>Artifact validity only</x:v>
      </x:c>
      <x:c r="K347" s="103"/>
      <x:c r="L347" s="103"/>
      <x:c r="M347" s="103"/>
      <x:c r="N347" s="103"/>
    </x:row>
    <x:row r="348">
      <x:c r="A348" s="62" t="str">
        <x:v>V342</x:v>
      </x:c>
      <x:c r="B348" s="62" t="str">
        <x:v>P29</x:v>
      </x:c>
      <x:c r="C348" s="62" t="str">
        <x:v>RT-B</x:v>
      </x:c>
      <x:c r="D348" s="62" t="str">
        <x:v>RT-B-C</x:v>
      </x:c>
      <x:c r="E348" s="62" t="str">
        <x:v>G06 Independent clean-room replay</x:v>
      </x:c>
      <x:c r="F348" s="82" t="n">
        <x:v>0</x:v>
      </x:c>
      <x:c r="G348" s="62" t="n">
        <x:v>1</x:v>
      </x:c>
      <x:c r="H348" s="80" t="str">
        <x:f>IF(F348=G348,"PASS","OPEN")</x:f>
        <x:v>OPEN</x:v>
      </x:c>
      <x:c r="I348" s="62" t="str">
        <x:v>REWORK</x:v>
      </x:c>
      <x:c r="J348" s="62" t="str">
        <x:v>Artifact validity only</x:v>
      </x:c>
      <x:c r="K348" s="103"/>
      <x:c r="L348" s="103"/>
      <x:c r="M348" s="103"/>
      <x:c r="N348" s="103"/>
    </x:row>
    <x:row r="349">
      <x:c r="A349" s="62" t="str">
        <x:v>V343</x:v>
      </x:c>
      <x:c r="B349" s="62" t="str">
        <x:v>P29</x:v>
      </x:c>
      <x:c r="C349" s="62" t="str">
        <x:v>RT-B</x:v>
      </x:c>
      <x:c r="D349" s="62" t="str">
        <x:v>RT-B-C</x:v>
      </x:c>
      <x:c r="E349" s="62" t="str">
        <x:v>G07 Interface and destructive-test trace</x:v>
      </x:c>
      <x:c r="F349" s="82" t="n">
        <x:v>0</x:v>
      </x:c>
      <x:c r="G349" s="62" t="n">
        <x:v>1</x:v>
      </x:c>
      <x:c r="H349" s="80" t="str">
        <x:f>IF(F349=G349,"PASS","OPEN")</x:f>
        <x:v>OPEN</x:v>
      </x:c>
      <x:c r="I349" s="62" t="str">
        <x:v>REWORK</x:v>
      </x:c>
      <x:c r="J349" s="62" t="str">
        <x:v>Artifact validity only</x:v>
      </x:c>
      <x:c r="K349" s="103"/>
      <x:c r="L349" s="103"/>
      <x:c r="M349" s="103"/>
      <x:c r="N349" s="103"/>
    </x:row>
    <x:row r="350">
      <x:c r="A350" s="62" t="str">
        <x:v>V344</x:v>
      </x:c>
      <x:c r="B350" s="62" t="str">
        <x:v>P29</x:v>
      </x:c>
      <x:c r="C350" s="62" t="str">
        <x:v>RT-B</x:v>
      </x:c>
      <x:c r="D350" s="62" t="str">
        <x:v>RT-B-C</x:v>
      </x:c>
      <x:c r="E350" s="62" t="str">
        <x:v>G08 Rights and safe-state closure</x:v>
      </x:c>
      <x:c r="F350" s="82" t="n">
        <x:v>0</x:v>
      </x:c>
      <x:c r="G350" s="62" t="n">
        <x:v>1</x:v>
      </x:c>
      <x:c r="H350" s="80" t="str">
        <x:f>IF(F350=G350,"PASS","OPEN")</x:f>
        <x:v>OPEN</x:v>
      </x:c>
      <x:c r="I350" s="62" t="str">
        <x:v>REWORK</x:v>
      </x:c>
      <x:c r="J350" s="62" t="str">
        <x:v>Artifact validity only</x:v>
      </x:c>
      <x:c r="K350" s="103"/>
      <x:c r="L350" s="103"/>
      <x:c r="M350" s="103"/>
      <x:c r="N350" s="103"/>
    </x:row>
    <x:row r="351">
      <x:c r="A351" s="62" t="str">
        <x:v>V345</x:v>
      </x:c>
      <x:c r="B351" s="62" t="str">
        <x:v>P29</x:v>
      </x:c>
      <x:c r="C351" s="62" t="str">
        <x:v>RT-B</x:v>
      </x:c>
      <x:c r="D351" s="62" t="str">
        <x:v>RT-B-C</x:v>
      </x:c>
      <x:c r="E351" s="62" t="str">
        <x:v>G09 Receiver and residual closure</x:v>
      </x:c>
      <x:c r="F351" s="82" t="n">
        <x:v>0</x:v>
      </x:c>
      <x:c r="G351" s="62" t="n">
        <x:v>1</x:v>
      </x:c>
      <x:c r="H351" s="80" t="str">
        <x:f>IF(F351=G351,"PASS","OPEN")</x:f>
        <x:v>OPEN</x:v>
      </x:c>
      <x:c r="I351" s="62" t="str">
        <x:v>REWORK</x:v>
      </x:c>
      <x:c r="J351" s="62" t="str">
        <x:v>Artifact validity only</x:v>
      </x:c>
      <x:c r="K351" s="103"/>
      <x:c r="L351" s="103"/>
      <x:c r="M351" s="103"/>
      <x:c r="N351" s="103"/>
    </x:row>
    <x:row r="352">
      <x:c r="A352" s="62" t="str">
        <x:v>V346</x:v>
      </x:c>
      <x:c r="B352" s="62" t="str">
        <x:v>P29</x:v>
      </x:c>
      <x:c r="C352" s="62" t="str">
        <x:v>RT-B</x:v>
      </x:c>
      <x:c r="D352" s="62" t="str">
        <x:v>RT-B-C</x:v>
      </x:c>
      <x:c r="E352" s="62" t="str">
        <x:v>G10 Challenge response and terminal archive</x:v>
      </x:c>
      <x:c r="F352" s="82" t="n">
        <x:v>0</x:v>
      </x:c>
      <x:c r="G352" s="62" t="n">
        <x:v>1</x:v>
      </x:c>
      <x:c r="H352" s="80" t="str">
        <x:f>IF(F352=G352,"PASS","OPEN")</x:f>
        <x:v>OPEN</x:v>
      </x:c>
      <x:c r="I352" s="62" t="str">
        <x:v>REWORK</x:v>
      </x:c>
      <x:c r="J352" s="62" t="str">
        <x:v>Artifact validity only</x:v>
      </x:c>
      <x:c r="K352" s="103"/>
      <x:c r="L352" s="103"/>
      <x:c r="M352" s="103"/>
      <x:c r="N352" s="103"/>
    </x:row>
    <x:row r="353">
      <x:c r="A353" s="62" t="str">
        <x:v>V347</x:v>
      </x:c>
      <x:c r="B353" s="62" t="str">
        <x:v>P29</x:v>
      </x:c>
      <x:c r="C353" s="62" t="str">
        <x:v>RT-B</x:v>
      </x:c>
      <x:c r="D353" s="62" t="str">
        <x:v>RT-B-C</x:v>
      </x:c>
      <x:c r="E353" s="62" t="str">
        <x:v>G11 No sibling performance exposure</x:v>
      </x:c>
      <x:c r="F353" s="82" t="n">
        <x:v>1</x:v>
      </x:c>
      <x:c r="G353" s="62" t="n">
        <x:v>1</x:v>
      </x:c>
      <x:c r="H353" s="80" t="str">
        <x:f>IF(F353=G353,"PASS","OPEN")</x:f>
        <x:v>PASS</x:v>
      </x:c>
      <x:c r="I353" s="62" t="str">
        <x:v>TERMINATE CELL</x:v>
      </x:c>
      <x:c r="J353" s="62" t="str">
        <x:v>Constitutional independence</x:v>
      </x:c>
      <x:c r="K353" s="103"/>
      <x:c r="L353" s="103"/>
      <x:c r="M353" s="103"/>
      <x:c r="N353" s="103"/>
    </x:row>
    <x:row r="354">
      <x:c r="A354" s="62" t="str">
        <x:v>V348</x:v>
      </x:c>
      <x:c r="B354" s="62" t="str">
        <x:v>P29</x:v>
      </x:c>
      <x:c r="C354" s="62" t="str">
        <x:v>RT-B</x:v>
      </x:c>
      <x:c r="D354" s="62" t="str">
        <x:v>RT-B-C</x:v>
      </x:c>
      <x:c r="E354" s="62" t="str">
        <x:v>G12 Builder and validity control separated</x:v>
      </x:c>
      <x:c r="F354" s="82" t="n">
        <x:v>1</x:v>
      </x:c>
      <x:c r="G354" s="62" t="n">
        <x:v>1</x:v>
      </x:c>
      <x:c r="H354" s="80" t="str">
        <x:f>IF(F354=G354,"PASS","OPEN")</x:f>
        <x:v>PASS</x:v>
      </x:c>
      <x:c r="I354" s="62" t="str">
        <x:v>TERMINATE CELL</x:v>
      </x:c>
      <x:c r="J354" s="62" t="str">
        <x:v>Constitutional independence</x:v>
      </x:c>
      <x:c r="K354" s="103"/>
      <x:c r="L354" s="103"/>
      <x:c r="M354" s="103"/>
      <x:c r="N354" s="103"/>
    </x:row>
    <x:row r="355">
      <x:c r="A355" s="62" t="str">
        <x:v>V349</x:v>
      </x:c>
      <x:c r="B355" s="62" t="str">
        <x:v>P30</x:v>
      </x:c>
      <x:c r="C355" s="62" t="str">
        <x:v>RT-B</x:v>
      </x:c>
      <x:c r="D355" s="62" t="str">
        <x:v>RT-B-C</x:v>
      </x:c>
      <x:c r="E355" s="62" t="str">
        <x:v>G01 Source manifest and authorship</x:v>
      </x:c>
      <x:c r="F355" s="82" t="n">
        <x:v>0</x:v>
      </x:c>
      <x:c r="G355" s="62" t="n">
        <x:v>1</x:v>
      </x:c>
      <x:c r="H355" s="80" t="str">
        <x:f>IF(F355=G355,"PASS","OPEN")</x:f>
        <x:v>OPEN</x:v>
      </x:c>
      <x:c r="I355" s="62" t="str">
        <x:v>REWORK</x:v>
      </x:c>
      <x:c r="J355" s="62" t="str">
        <x:v>Artifact validity only</x:v>
      </x:c>
      <x:c r="K355" s="103"/>
      <x:c r="L355" s="103"/>
      <x:c r="M355" s="103"/>
      <x:c r="N355" s="103"/>
    </x:row>
    <x:row r="356">
      <x:c r="A356" s="62" t="str">
        <x:v>V350</x:v>
      </x:c>
      <x:c r="B356" s="62" t="str">
        <x:v>P30</x:v>
      </x:c>
      <x:c r="C356" s="62" t="str">
        <x:v>RT-B</x:v>
      </x:c>
      <x:c r="D356" s="62" t="str">
        <x:v>RT-B-C</x:v>
      </x:c>
      <x:c r="E356" s="62" t="str">
        <x:v>G02 Frozen configuration hash</x:v>
      </x:c>
      <x:c r="F356" s="82" t="n">
        <x:v>0</x:v>
      </x:c>
      <x:c r="G356" s="62" t="n">
        <x:v>1</x:v>
      </x:c>
      <x:c r="H356" s="80" t="str">
        <x:f>IF(F356=G356,"PASS","OPEN")</x:f>
        <x:v>OPEN</x:v>
      </x:c>
      <x:c r="I356" s="62" t="str">
        <x:v>REWORK</x:v>
      </x:c>
      <x:c r="J356" s="62" t="str">
        <x:v>Artifact validity only</x:v>
      </x:c>
      <x:c r="K356" s="103"/>
      <x:c r="L356" s="103"/>
      <x:c r="M356" s="103"/>
      <x:c r="N356" s="103"/>
    </x:row>
    <x:row r="357">
      <x:c r="A357" s="62" t="str">
        <x:v>V351</x:v>
      </x:c>
      <x:c r="B357" s="62" t="str">
        <x:v>P30</x:v>
      </x:c>
      <x:c r="C357" s="62" t="str">
        <x:v>RT-B</x:v>
      </x:c>
      <x:c r="D357" s="62" t="str">
        <x:v>RT-B-C</x:v>
      </x:c>
      <x:c r="E357" s="62" t="str">
        <x:v>G03 Executable native artifact</x:v>
      </x:c>
      <x:c r="F357" s="82" t="n">
        <x:v>0</x:v>
      </x:c>
      <x:c r="G357" s="62" t="n">
        <x:v>1</x:v>
      </x:c>
      <x:c r="H357" s="80" t="str">
        <x:f>IF(F357=G357,"PASS","OPEN")</x:f>
        <x:v>OPEN</x:v>
      </x:c>
      <x:c r="I357" s="62" t="str">
        <x:v>REWORK</x:v>
      </x:c>
      <x:c r="J357" s="62" t="str">
        <x:v>Artifact validity only</x:v>
      </x:c>
      <x:c r="K357" s="103"/>
      <x:c r="L357" s="103"/>
      <x:c r="M357" s="103"/>
      <x:c r="N357" s="103"/>
    </x:row>
    <x:row r="358">
      <x:c r="A358" s="62" t="str">
        <x:v>V352</x:v>
      </x:c>
      <x:c r="B358" s="62" t="str">
        <x:v>P30</x:v>
      </x:c>
      <x:c r="C358" s="62" t="str">
        <x:v>RT-B</x:v>
      </x:c>
      <x:c r="D358" s="62" t="str">
        <x:v>RT-B-C</x:v>
      </x:c>
      <x:c r="E358" s="62" t="str">
        <x:v>G04 Dependency, tool and material ledger</x:v>
      </x:c>
      <x:c r="F358" s="82" t="n">
        <x:v>0</x:v>
      </x:c>
      <x:c r="G358" s="62" t="n">
        <x:v>1</x:v>
      </x:c>
      <x:c r="H358" s="80" t="str">
        <x:f>IF(F358=G358,"PASS","OPEN")</x:f>
        <x:v>OPEN</x:v>
      </x:c>
      <x:c r="I358" s="62" t="str">
        <x:v>REWORK</x:v>
      </x:c>
      <x:c r="J358" s="62" t="str">
        <x:v>Artifact validity only</x:v>
      </x:c>
      <x:c r="K358" s="103"/>
      <x:c r="L358" s="103"/>
      <x:c r="M358" s="103"/>
      <x:c r="N358" s="103"/>
    </x:row>
    <x:row r="359">
      <x:c r="A359" s="62" t="str">
        <x:v>V353</x:v>
      </x:c>
      <x:c r="B359" s="62" t="str">
        <x:v>P30</x:v>
      </x:c>
      <x:c r="C359" s="62" t="str">
        <x:v>RT-B</x:v>
      </x:c>
      <x:c r="D359" s="62" t="str">
        <x:v>RT-B-C</x:v>
      </x:c>
      <x:c r="E359" s="62" t="str">
        <x:v>G05 Assumption and unknown register</x:v>
      </x:c>
      <x:c r="F359" s="82" t="n">
        <x:v>0</x:v>
      </x:c>
      <x:c r="G359" s="62" t="n">
        <x:v>1</x:v>
      </x:c>
      <x:c r="H359" s="80" t="str">
        <x:f>IF(F359=G359,"PASS","OPEN")</x:f>
        <x:v>OPEN</x:v>
      </x:c>
      <x:c r="I359" s="62" t="str">
        <x:v>REWORK</x:v>
      </x:c>
      <x:c r="J359" s="62" t="str">
        <x:v>Artifact validity only</x:v>
      </x:c>
      <x:c r="K359" s="103"/>
      <x:c r="L359" s="103"/>
      <x:c r="M359" s="103"/>
      <x:c r="N359" s="103"/>
    </x:row>
    <x:row r="360">
      <x:c r="A360" s="62" t="str">
        <x:v>V354</x:v>
      </x:c>
      <x:c r="B360" s="62" t="str">
        <x:v>P30</x:v>
      </x:c>
      <x:c r="C360" s="62" t="str">
        <x:v>RT-B</x:v>
      </x:c>
      <x:c r="D360" s="62" t="str">
        <x:v>RT-B-C</x:v>
      </x:c>
      <x:c r="E360" s="62" t="str">
        <x:v>G06 Independent clean-room replay</x:v>
      </x:c>
      <x:c r="F360" s="82" t="n">
        <x:v>0</x:v>
      </x:c>
      <x:c r="G360" s="62" t="n">
        <x:v>1</x:v>
      </x:c>
      <x:c r="H360" s="80" t="str">
        <x:f>IF(F360=G360,"PASS","OPEN")</x:f>
        <x:v>OPEN</x:v>
      </x:c>
      <x:c r="I360" s="62" t="str">
        <x:v>REWORK</x:v>
      </x:c>
      <x:c r="J360" s="62" t="str">
        <x:v>Artifact validity only</x:v>
      </x:c>
      <x:c r="K360" s="103"/>
      <x:c r="L360" s="103"/>
      <x:c r="M360" s="103"/>
      <x:c r="N360" s="103"/>
    </x:row>
    <x:row r="361">
      <x:c r="A361" s="62" t="str">
        <x:v>V355</x:v>
      </x:c>
      <x:c r="B361" s="62" t="str">
        <x:v>P30</x:v>
      </x:c>
      <x:c r="C361" s="62" t="str">
        <x:v>RT-B</x:v>
      </x:c>
      <x:c r="D361" s="62" t="str">
        <x:v>RT-B-C</x:v>
      </x:c>
      <x:c r="E361" s="62" t="str">
        <x:v>G07 Interface and destructive-test trace</x:v>
      </x:c>
      <x:c r="F361" s="82" t="n">
        <x:v>0</x:v>
      </x:c>
      <x:c r="G361" s="62" t="n">
        <x:v>1</x:v>
      </x:c>
      <x:c r="H361" s="80" t="str">
        <x:f>IF(F361=G361,"PASS","OPEN")</x:f>
        <x:v>OPEN</x:v>
      </x:c>
      <x:c r="I361" s="62" t="str">
        <x:v>REWORK</x:v>
      </x:c>
      <x:c r="J361" s="62" t="str">
        <x:v>Artifact validity only</x:v>
      </x:c>
      <x:c r="K361" s="103"/>
      <x:c r="L361" s="103"/>
      <x:c r="M361" s="103"/>
      <x:c r="N361" s="103"/>
    </x:row>
    <x:row r="362">
      <x:c r="A362" s="62" t="str">
        <x:v>V356</x:v>
      </x:c>
      <x:c r="B362" s="62" t="str">
        <x:v>P30</x:v>
      </x:c>
      <x:c r="C362" s="62" t="str">
        <x:v>RT-B</x:v>
      </x:c>
      <x:c r="D362" s="62" t="str">
        <x:v>RT-B-C</x:v>
      </x:c>
      <x:c r="E362" s="62" t="str">
        <x:v>G08 Rights and safe-state closure</x:v>
      </x:c>
      <x:c r="F362" s="82" t="n">
        <x:v>0</x:v>
      </x:c>
      <x:c r="G362" s="62" t="n">
        <x:v>1</x:v>
      </x:c>
      <x:c r="H362" s="80" t="str">
        <x:f>IF(F362=G362,"PASS","OPEN")</x:f>
        <x:v>OPEN</x:v>
      </x:c>
      <x:c r="I362" s="62" t="str">
        <x:v>REWORK</x:v>
      </x:c>
      <x:c r="J362" s="62" t="str">
        <x:v>Artifact validity only</x:v>
      </x:c>
      <x:c r="K362" s="103"/>
      <x:c r="L362" s="103"/>
      <x:c r="M362" s="103"/>
      <x:c r="N362" s="103"/>
    </x:row>
    <x:row r="363">
      <x:c r="A363" s="62" t="str">
        <x:v>V357</x:v>
      </x:c>
      <x:c r="B363" s="62" t="str">
        <x:v>P30</x:v>
      </x:c>
      <x:c r="C363" s="62" t="str">
        <x:v>RT-B</x:v>
      </x:c>
      <x:c r="D363" s="62" t="str">
        <x:v>RT-B-C</x:v>
      </x:c>
      <x:c r="E363" s="62" t="str">
        <x:v>G09 Receiver and residual closure</x:v>
      </x:c>
      <x:c r="F363" s="82" t="n">
        <x:v>0</x:v>
      </x:c>
      <x:c r="G363" s="62" t="n">
        <x:v>1</x:v>
      </x:c>
      <x:c r="H363" s="80" t="str">
        <x:f>IF(F363=G363,"PASS","OPEN")</x:f>
        <x:v>OPEN</x:v>
      </x:c>
      <x:c r="I363" s="62" t="str">
        <x:v>REWORK</x:v>
      </x:c>
      <x:c r="J363" s="62" t="str">
        <x:v>Artifact validity only</x:v>
      </x:c>
      <x:c r="K363" s="103"/>
      <x:c r="L363" s="103"/>
      <x:c r="M363" s="103"/>
      <x:c r="N363" s="103"/>
    </x:row>
    <x:row r="364">
      <x:c r="A364" s="62" t="str">
        <x:v>V358</x:v>
      </x:c>
      <x:c r="B364" s="62" t="str">
        <x:v>P30</x:v>
      </x:c>
      <x:c r="C364" s="62" t="str">
        <x:v>RT-B</x:v>
      </x:c>
      <x:c r="D364" s="62" t="str">
        <x:v>RT-B-C</x:v>
      </x:c>
      <x:c r="E364" s="62" t="str">
        <x:v>G10 Challenge response and terminal archive</x:v>
      </x:c>
      <x:c r="F364" s="82" t="n">
        <x:v>0</x:v>
      </x:c>
      <x:c r="G364" s="62" t="n">
        <x:v>1</x:v>
      </x:c>
      <x:c r="H364" s="80" t="str">
        <x:f>IF(F364=G364,"PASS","OPEN")</x:f>
        <x:v>OPEN</x:v>
      </x:c>
      <x:c r="I364" s="62" t="str">
        <x:v>REWORK</x:v>
      </x:c>
      <x:c r="J364" s="62" t="str">
        <x:v>Artifact validity only</x:v>
      </x:c>
      <x:c r="K364" s="103"/>
      <x:c r="L364" s="103"/>
      <x:c r="M364" s="103"/>
      <x:c r="N364" s="103"/>
    </x:row>
    <x:row r="365">
      <x:c r="A365" s="62" t="str">
        <x:v>V359</x:v>
      </x:c>
      <x:c r="B365" s="62" t="str">
        <x:v>P30</x:v>
      </x:c>
      <x:c r="C365" s="62" t="str">
        <x:v>RT-B</x:v>
      </x:c>
      <x:c r="D365" s="62" t="str">
        <x:v>RT-B-C</x:v>
      </x:c>
      <x:c r="E365" s="62" t="str">
        <x:v>G11 No sibling performance exposure</x:v>
      </x:c>
      <x:c r="F365" s="82" t="n">
        <x:v>1</x:v>
      </x:c>
      <x:c r="G365" s="62" t="n">
        <x:v>1</x:v>
      </x:c>
      <x:c r="H365" s="80" t="str">
        <x:f>IF(F365=G365,"PASS","OPEN")</x:f>
        <x:v>PASS</x:v>
      </x:c>
      <x:c r="I365" s="62" t="str">
        <x:v>TERMINATE CELL</x:v>
      </x:c>
      <x:c r="J365" s="62" t="str">
        <x:v>Constitutional independence</x:v>
      </x:c>
      <x:c r="K365" s="103"/>
      <x:c r="L365" s="103"/>
      <x:c r="M365" s="103"/>
      <x:c r="N365" s="103"/>
    </x:row>
    <x:row r="366">
      <x:c r="A366" s="62" t="str">
        <x:v>V360</x:v>
      </x:c>
      <x:c r="B366" s="62" t="str">
        <x:v>P30</x:v>
      </x:c>
      <x:c r="C366" s="62" t="str">
        <x:v>RT-B</x:v>
      </x:c>
      <x:c r="D366" s="62" t="str">
        <x:v>RT-B-C</x:v>
      </x:c>
      <x:c r="E366" s="62" t="str">
        <x:v>G12 Builder and validity control separated</x:v>
      </x:c>
      <x:c r="F366" s="82" t="n">
        <x:v>1</x:v>
      </x:c>
      <x:c r="G366" s="62" t="n">
        <x:v>1</x:v>
      </x:c>
      <x:c r="H366" s="80" t="str">
        <x:f>IF(F366=G366,"PASS","OPEN")</x:f>
        <x:v>PASS</x:v>
      </x:c>
      <x:c r="I366" s="62" t="str">
        <x:v>TERMINATE CELL</x:v>
      </x:c>
      <x:c r="J366" s="62" t="str">
        <x:v>Constitutional independence</x:v>
      </x:c>
      <x:c r="K366" s="103"/>
      <x:c r="L366" s="103"/>
      <x:c r="M366" s="103"/>
      <x:c r="N366" s="103"/>
    </x:row>
  </x:sheetData>
  <x:mergeCells>
    <x:mergeCell ref="A2:N2"/>
    <x:mergeCell ref="A4:N4"/>
  </x:mergeCells>
  <x:conditionalFormatting sqref="H7:H366">
    <x:cfRule type="containsText" dxfId="2" priority="1" operator="containsText" text="OPEN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3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2">
      <x:c r="A2" s="2" t="str">
        <x:v>Artifact payment schedule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  <x:c r="N2" s="103"/>
    </x:row>
    <x:row r="3">
      <x:c r="A3" s="104"/>
      <x:c r="B3" s="104"/>
      <x:c r="C3" s="104"/>
      <x:c r="D3" s="104"/>
      <x:c r="E3" s="104"/>
      <x:c r="F3" s="104"/>
      <x:c r="G3" s="104"/>
      <x:c r="H3" s="104"/>
      <x:c r="I3" s="104"/>
      <x:c r="J3" s="104"/>
      <x:c r="K3" s="104"/>
      <x:c r="L3" s="104"/>
      <x:c r="M3" s="104"/>
      <x:c r="N3" s="104"/>
    </x:row>
    <x:row r="4">
      <x:c r="A4" s="105" t="str">
        <x:v>Six artifact records per package can become payable only through separate validity and finance warrants. Current payment remains zero.</x:v>
      </x:c>
      <x:c r="B4" s="103"/>
      <x:c r="C4" s="103"/>
      <x:c r="D4" s="103"/>
      <x:c r="E4" s="103"/>
      <x:c r="F4" s="103"/>
      <x:c r="G4" s="103"/>
      <x:c r="H4" s="103"/>
      <x:c r="I4" s="103"/>
      <x:c r="J4" s="103"/>
      <x:c r="K4" s="103"/>
      <x:c r="L4" s="103"/>
      <x:c r="M4" s="103"/>
      <x:c r="N4" s="103"/>
    </x:row>
    <x:row r="5">
      <x:c r="A5" s="103"/>
      <x:c r="B5" s="103"/>
      <x:c r="C5" s="103"/>
      <x:c r="D5" s="103"/>
      <x:c r="E5" s="103"/>
      <x:c r="F5" s="103"/>
      <x:c r="G5" s="103"/>
      <x:c r="H5" s="103"/>
      <x:c r="I5" s="103"/>
      <x:c r="J5" s="103"/>
      <x:c r="K5" s="103"/>
      <x:c r="L5" s="103"/>
      <x:c r="M5" s="103"/>
      <x:c r="N5" s="103"/>
    </x:row>
    <x:row r="6">
      <x:c r="A6" s="31" t="str">
        <x:v>Claim ID</x:v>
      </x:c>
      <x:c r="B6" s="32" t="str">
        <x:v>Package ID</x:v>
      </x:c>
      <x:c r="C6" s="32" t="str">
        <x:v>Milestone</x:v>
      </x:c>
      <x:c r="D6" s="32" t="str">
        <x:v>Share</x:v>
      </x:c>
      <x:c r="E6" s="32" t="str">
        <x:v>Claim amount</x:v>
      </x:c>
      <x:c r="F6" s="32" t="str">
        <x:v>Submitted</x:v>
      </x:c>
      <x:c r="G6" s="32" t="str">
        <x:v>Validity warrant</x:v>
      </x:c>
      <x:c r="H6" s="32" t="str">
        <x:v>Finance warrant</x:v>
      </x:c>
      <x:c r="I6" s="32" t="str">
        <x:v>Eligibility</x:v>
      </x:c>
      <x:c r="J6" s="32" t="str">
        <x:v>Payable</x:v>
      </x:c>
      <x:c r="K6" s="32" t="str">
        <x:v>Paid</x:v>
      </x:c>
      <x:c r="L6" s="33" t="str">
        <x:v>Control</x:v>
      </x:c>
      <x:c r="M6" s="103"/>
      <x:c r="N6" s="103"/>
    </x:row>
    <x:row r="7">
      <x:c r="A7" s="62" t="str">
        <x:v>C001</x:v>
      </x:c>
      <x:c r="B7" s="62" t="str">
        <x:v>P01</x:v>
      </x:c>
      <x:c r="C7" s="62" t="str">
        <x:v>M1 Source capsule</x:v>
      </x:c>
      <x:c r="D7" s="72" t="n">
        <x:v>0.1</x:v>
      </x:c>
      <x:c r="E7" s="79" t="n">
        <x:f>D7*INDEX('Package Build'!$H$7:$H$36,MATCH(B7,'Package Build'!$A$7:$A$36,0))</x:f>
        <x:v>0.5006666666666667</x:v>
      </x:c>
      <x:c r="F7" s="82" t="n">
        <x:v>0</x:v>
      </x:c>
      <x:c r="G7" s="82" t="n">
        <x:v>0</x:v>
      </x:c>
      <x:c r="H7" s="82" t="n">
        <x:v>0</x:v>
      </x:c>
      <x:c r="I7" s="80" t="str">
        <x:f>IF(AND(F7=1,G7=1,H7=1,Inputs!$B$18=0,Inputs!$B$19=0),"ELIGIBLE","HELD")</x:f>
        <x:v>HELD</x:v>
      </x:c>
      <x:c r="J7" s="79" t="n">
        <x:f>IF(I7="ELIGIBLE",E7,0)</x:f>
        <x:v>0</x:v>
      </x:c>
      <x:c r="K7" s="84" t="n">
        <x:v>0</x:v>
      </x:c>
      <x:c r="L7" s="80" t="str">
        <x:f>IF(K7&lt;=J7,"CONTROLLED","OVERPAID")</x:f>
        <x:v>CONTROLLED</x:v>
      </x:c>
      <x:c r="M7" s="103"/>
      <x:c r="N7" s="103"/>
    </x:row>
    <x:row r="8">
      <x:c r="A8" s="62" t="str">
        <x:v>C002</x:v>
      </x:c>
      <x:c r="B8" s="62" t="str">
        <x:v>P01</x:v>
      </x:c>
      <x:c r="C8" s="62" t="str">
        <x:v>M2 Executable causal ledger</x:v>
      </x:c>
      <x:c r="D8" s="72" t="n">
        <x:v>0.2</x:v>
      </x:c>
      <x:c r="E8" s="79" t="n">
        <x:f>D8*INDEX('Package Build'!$H$7:$H$36,MATCH(B8,'Package Build'!$A$7:$A$36,0))</x:f>
        <x:v>1.0013333333333334</x:v>
      </x:c>
      <x:c r="F8" s="82" t="n">
        <x:v>0</x:v>
      </x:c>
      <x:c r="G8" s="82" t="n">
        <x:v>0</x:v>
      </x:c>
      <x:c r="H8" s="82" t="n">
        <x:v>0</x:v>
      </x:c>
      <x:c r="I8" s="80" t="str">
        <x:f>IF(AND(F8=1,G8=1,H8=1,Inputs!$B$18=0,Inputs!$B$19=0),"ELIGIBLE","HELD")</x:f>
        <x:v>HELD</x:v>
      </x:c>
      <x:c r="J8" s="79" t="n">
        <x:f>IF(I8="ELIGIBLE",E8,0)</x:f>
        <x:v>0</x:v>
      </x:c>
      <x:c r="K8" s="84" t="n">
        <x:v>0</x:v>
      </x:c>
      <x:c r="L8" s="80" t="str">
        <x:f>IF(K8&lt;=J8,"CONTROLLED","OVERPAID")</x:f>
        <x:v>CONTROLLED</x:v>
      </x:c>
      <x:c r="M8" s="103"/>
      <x:c r="N8" s="103"/>
    </x:row>
    <x:row r="9">
      <x:c r="A9" s="62" t="str">
        <x:v>C003</x:v>
      </x:c>
      <x:c r="B9" s="62" t="str">
        <x:v>P01</x:v>
      </x:c>
      <x:c r="C9" s="62" t="str">
        <x:v>M3 Dependency and unknown register</x:v>
      </x:c>
      <x:c r="D9" s="72" t="n">
        <x:v>0.15</x:v>
      </x:c>
      <x:c r="E9" s="79" t="n">
        <x:f>D9*INDEX('Package Build'!$H$7:$H$36,MATCH(B9,'Package Build'!$A$7:$A$36,0))</x:f>
        <x:v>0.751</x:v>
      </x:c>
      <x:c r="F9" s="82" t="n">
        <x:v>0</x:v>
      </x:c>
      <x:c r="G9" s="82" t="n">
        <x:v>0</x:v>
      </x:c>
      <x:c r="H9" s="82" t="n">
        <x:v>0</x:v>
      </x:c>
      <x:c r="I9" s="80" t="str">
        <x:f>IF(AND(F9=1,G9=1,H9=1,Inputs!$B$18=0,Inputs!$B$19=0),"ELIGIBLE","HELD")</x:f>
        <x:v>HELD</x:v>
      </x:c>
      <x:c r="J9" s="79" t="n">
        <x:f>IF(I9="ELIGIBLE",E9,0)</x:f>
        <x:v>0</x:v>
      </x:c>
      <x:c r="K9" s="84" t="n">
        <x:v>0</x:v>
      </x:c>
      <x:c r="L9" s="80" t="str">
        <x:f>IF(K9&lt;=J9,"CONTROLLED","OVERPAID")</x:f>
        <x:v>CONTROLLED</x:v>
      </x:c>
      <x:c r="M9" s="103"/>
      <x:c r="N9" s="103"/>
    </x:row>
    <x:row r="10">
      <x:c r="A10" s="62" t="str">
        <x:v>C004</x:v>
      </x:c>
      <x:c r="B10" s="62" t="str">
        <x:v>P01</x:v>
      </x:c>
      <x:c r="C10" s="62" t="str">
        <x:v>M4 Independent clean-room replay</x:v>
      </x:c>
      <x:c r="D10" s="72" t="n">
        <x:v>0.25</x:v>
      </x:c>
      <x:c r="E10" s="79" t="n">
        <x:f>D10*INDEX('Package Build'!$H$7:$H$36,MATCH(B10,'Package Build'!$A$7:$A$36,0))</x:f>
        <x:v>1.2516666666666667</x:v>
      </x:c>
      <x:c r="F10" s="82" t="n">
        <x:v>0</x:v>
      </x:c>
      <x:c r="G10" s="82" t="n">
        <x:v>0</x:v>
      </x:c>
      <x:c r="H10" s="82" t="n">
        <x:v>0</x:v>
      </x:c>
      <x:c r="I10" s="80" t="str">
        <x:f>IF(AND(F10=1,G10=1,H10=1,Inputs!$B$18=0,Inputs!$B$19=0),"ELIGIBLE","HELD")</x:f>
        <x:v>HELD</x:v>
      </x:c>
      <x:c r="J10" s="79" t="n">
        <x:f>IF(I10="ELIGIBLE",E10,0)</x:f>
        <x:v>0</x:v>
      </x:c>
      <x:c r="K10" s="84" t="n">
        <x:v>0</x:v>
      </x:c>
      <x:c r="L10" s="80" t="str">
        <x:f>IF(K10&lt;=J10,"CONTROLLED","OVERPAID")</x:f>
        <x:v>CONTROLLED</x:v>
      </x:c>
      <x:c r="M10" s="103"/>
      <x:c r="N10" s="103"/>
    </x:row>
    <x:row r="11">
      <x:c r="A11" s="62" t="str">
        <x:v>C005</x:v>
      </x:c>
      <x:c r="B11" s="62" t="str">
        <x:v>P01</x:v>
      </x:c>
      <x:c r="C11" s="62" t="str">
        <x:v>M5 Rights, receiver and residual closure</x:v>
      </x:c>
      <x:c r="D11" s="72" t="n">
        <x:v>0.2</x:v>
      </x:c>
      <x:c r="E11" s="79" t="n">
        <x:f>D11*INDEX('Package Build'!$H$7:$H$36,MATCH(B11,'Package Build'!$A$7:$A$36,0))</x:f>
        <x:v>1.0013333333333334</x:v>
      </x:c>
      <x:c r="F11" s="82" t="n">
        <x:v>0</x:v>
      </x:c>
      <x:c r="G11" s="82" t="n">
        <x:v>0</x:v>
      </x:c>
      <x:c r="H11" s="82" t="n">
        <x:v>0</x:v>
      </x:c>
      <x:c r="I11" s="80" t="str">
        <x:f>IF(AND(F11=1,G11=1,H11=1,Inputs!$B$18=0,Inputs!$B$19=0),"ELIGIBLE","HELD")</x:f>
        <x:v>HELD</x:v>
      </x:c>
      <x:c r="J11" s="79" t="n">
        <x:f>IF(I11="ELIGIBLE",E11,0)</x:f>
        <x:v>0</x:v>
      </x:c>
      <x:c r="K11" s="84" t="n">
        <x:v>0</x:v>
      </x:c>
      <x:c r="L11" s="80" t="str">
        <x:f>IF(K11&lt;=J11,"CONTROLLED","OVERPAID")</x:f>
        <x:v>CONTROLLED</x:v>
      </x:c>
      <x:c r="M11" s="103"/>
      <x:c r="N11" s="103"/>
    </x:row>
    <x:row r="12">
      <x:c r="A12" s="62" t="str">
        <x:v>C006</x:v>
      </x:c>
      <x:c r="B12" s="62" t="str">
        <x:v>P01</x:v>
      </x:c>
      <x:c r="C12" s="62" t="str">
        <x:v>M6 Challenge closure and terminal archive</x:v>
      </x:c>
      <x:c r="D12" s="72" t="n">
        <x:v>0.1</x:v>
      </x:c>
      <x:c r="E12" s="79" t="n">
        <x:f>D12*INDEX('Package Build'!$H$7:$H$36,MATCH(B12,'Package Build'!$A$7:$A$36,0))</x:f>
        <x:v>0.5006666666666667</x:v>
      </x:c>
      <x:c r="F12" s="82" t="n">
        <x:v>0</x:v>
      </x:c>
      <x:c r="G12" s="82" t="n">
        <x:v>0</x:v>
      </x:c>
      <x:c r="H12" s="82" t="n">
        <x:v>0</x:v>
      </x:c>
      <x:c r="I12" s="80" t="str">
        <x:f>IF(AND(F12=1,G12=1,H12=1,Inputs!$B$18=0,Inputs!$B$19=0),"ELIGIBLE","HELD")</x:f>
        <x:v>HELD</x:v>
      </x:c>
      <x:c r="J12" s="79" t="n">
        <x:f>IF(I12="ELIGIBLE",E12,0)</x:f>
        <x:v>0</x:v>
      </x:c>
      <x:c r="K12" s="84" t="n">
        <x:v>0</x:v>
      </x:c>
      <x:c r="L12" s="80" t="str">
        <x:f>IF(K12&lt;=J12,"CONTROLLED","OVERPAID")</x:f>
        <x:v>CONTROLLED</x:v>
      </x:c>
      <x:c r="M12" s="103"/>
      <x:c r="N12" s="103"/>
    </x:row>
    <x:row r="13">
      <x:c r="A13" s="62" t="str">
        <x:v>C007</x:v>
      </x:c>
      <x:c r="B13" s="62" t="str">
        <x:v>P02</x:v>
      </x:c>
      <x:c r="C13" s="62" t="str">
        <x:v>M1 Source capsule</x:v>
      </x:c>
      <x:c r="D13" s="72" t="n">
        <x:v>0.1</x:v>
      </x:c>
      <x:c r="E13" s="79" t="n">
        <x:f>D13*INDEX('Package Build'!$H$7:$H$36,MATCH(B13,'Package Build'!$A$7:$A$36,0))</x:f>
        <x:v>0.6258333333333334</x:v>
      </x:c>
      <x:c r="F13" s="82" t="n">
        <x:v>0</x:v>
      </x:c>
      <x:c r="G13" s="82" t="n">
        <x:v>0</x:v>
      </x:c>
      <x:c r="H13" s="82" t="n">
        <x:v>0</x:v>
      </x:c>
      <x:c r="I13" s="80" t="str">
        <x:f>IF(AND(F13=1,G13=1,H13=1,Inputs!$B$18=0,Inputs!$B$19=0),"ELIGIBLE","HELD")</x:f>
        <x:v>HELD</x:v>
      </x:c>
      <x:c r="J13" s="79" t="n">
        <x:f>IF(I13="ELIGIBLE",E13,0)</x:f>
        <x:v>0</x:v>
      </x:c>
      <x:c r="K13" s="84" t="n">
        <x:v>0</x:v>
      </x:c>
      <x:c r="L13" s="80" t="str">
        <x:f>IF(K13&lt;=J13,"CONTROLLED","OVERPAID")</x:f>
        <x:v>CONTROLLED</x:v>
      </x:c>
      <x:c r="M13" s="103"/>
      <x:c r="N13" s="103"/>
    </x:row>
    <x:row r="14">
      <x:c r="A14" s="62" t="str">
        <x:v>C008</x:v>
      </x:c>
      <x:c r="B14" s="62" t="str">
        <x:v>P02</x:v>
      </x:c>
      <x:c r="C14" s="62" t="str">
        <x:v>M2 Executable causal ledger</x:v>
      </x:c>
      <x:c r="D14" s="72" t="n">
        <x:v>0.2</x:v>
      </x:c>
      <x:c r="E14" s="79" t="n">
        <x:f>D14*INDEX('Package Build'!$H$7:$H$36,MATCH(B14,'Package Build'!$A$7:$A$36,0))</x:f>
        <x:v>1.2516666666666667</x:v>
      </x:c>
      <x:c r="F14" s="82" t="n">
        <x:v>0</x:v>
      </x:c>
      <x:c r="G14" s="82" t="n">
        <x:v>0</x:v>
      </x:c>
      <x:c r="H14" s="82" t="n">
        <x:v>0</x:v>
      </x:c>
      <x:c r="I14" s="80" t="str">
        <x:f>IF(AND(F14=1,G14=1,H14=1,Inputs!$B$18=0,Inputs!$B$19=0),"ELIGIBLE","HELD")</x:f>
        <x:v>HELD</x:v>
      </x:c>
      <x:c r="J14" s="79" t="n">
        <x:f>IF(I14="ELIGIBLE",E14,0)</x:f>
        <x:v>0</x:v>
      </x:c>
      <x:c r="K14" s="84" t="n">
        <x:v>0</x:v>
      </x:c>
      <x:c r="L14" s="80" t="str">
        <x:f>IF(K14&lt;=J14,"CONTROLLED","OVERPAID")</x:f>
        <x:v>CONTROLLED</x:v>
      </x:c>
      <x:c r="M14" s="103"/>
      <x:c r="N14" s="103"/>
    </x:row>
    <x:row r="15">
      <x:c r="A15" s="62" t="str">
        <x:v>C009</x:v>
      </x:c>
      <x:c r="B15" s="62" t="str">
        <x:v>P02</x:v>
      </x:c>
      <x:c r="C15" s="62" t="str">
        <x:v>M3 Dependency and unknown register</x:v>
      </x:c>
      <x:c r="D15" s="72" t="n">
        <x:v>0.15</x:v>
      </x:c>
      <x:c r="E15" s="79" t="n">
        <x:f>D15*INDEX('Package Build'!$H$7:$H$36,MATCH(B15,'Package Build'!$A$7:$A$36,0))</x:f>
        <x:v>0.9387499999999999</x:v>
      </x:c>
      <x:c r="F15" s="82" t="n">
        <x:v>0</x:v>
      </x:c>
      <x:c r="G15" s="82" t="n">
        <x:v>0</x:v>
      </x:c>
      <x:c r="H15" s="82" t="n">
        <x:v>0</x:v>
      </x:c>
      <x:c r="I15" s="80" t="str">
        <x:f>IF(AND(F15=1,G15=1,H15=1,Inputs!$B$18=0,Inputs!$B$19=0),"ELIGIBLE","HELD")</x:f>
        <x:v>HELD</x:v>
      </x:c>
      <x:c r="J15" s="79" t="n">
        <x:f>IF(I15="ELIGIBLE",E15,0)</x:f>
        <x:v>0</x:v>
      </x:c>
      <x:c r="K15" s="84" t="n">
        <x:v>0</x:v>
      </x:c>
      <x:c r="L15" s="80" t="str">
        <x:f>IF(K15&lt;=J15,"CONTROLLED","OVERPAID")</x:f>
        <x:v>CONTROLLED</x:v>
      </x:c>
      <x:c r="M15" s="103"/>
      <x:c r="N15" s="103"/>
    </x:row>
    <x:row r="16">
      <x:c r="A16" s="62" t="str">
        <x:v>C010</x:v>
      </x:c>
      <x:c r="B16" s="62" t="str">
        <x:v>P02</x:v>
      </x:c>
      <x:c r="C16" s="62" t="str">
        <x:v>M4 Independent clean-room replay</x:v>
      </x:c>
      <x:c r="D16" s="72" t="n">
        <x:v>0.25</x:v>
      </x:c>
      <x:c r="E16" s="79" t="n">
        <x:f>D16*INDEX('Package Build'!$H$7:$H$36,MATCH(B16,'Package Build'!$A$7:$A$36,0))</x:f>
        <x:v>1.5645833333333332</x:v>
      </x:c>
      <x:c r="F16" s="82" t="n">
        <x:v>0</x:v>
      </x:c>
      <x:c r="G16" s="82" t="n">
        <x:v>0</x:v>
      </x:c>
      <x:c r="H16" s="82" t="n">
        <x:v>0</x:v>
      </x:c>
      <x:c r="I16" s="80" t="str">
        <x:f>IF(AND(F16=1,G16=1,H16=1,Inputs!$B$18=0,Inputs!$B$19=0),"ELIGIBLE","HELD")</x:f>
        <x:v>HELD</x:v>
      </x:c>
      <x:c r="J16" s="79" t="n">
        <x:f>IF(I16="ELIGIBLE",E16,0)</x:f>
        <x:v>0</x:v>
      </x:c>
      <x:c r="K16" s="84" t="n">
        <x:v>0</x:v>
      </x:c>
      <x:c r="L16" s="80" t="str">
        <x:f>IF(K16&lt;=J16,"CONTROLLED","OVERPAID")</x:f>
        <x:v>CONTROLLED</x:v>
      </x:c>
      <x:c r="M16" s="103"/>
      <x:c r="N16" s="103"/>
    </x:row>
    <x:row r="17">
      <x:c r="A17" s="62" t="str">
        <x:v>C011</x:v>
      </x:c>
      <x:c r="B17" s="62" t="str">
        <x:v>P02</x:v>
      </x:c>
      <x:c r="C17" s="62" t="str">
        <x:v>M5 Rights, receiver and residual closure</x:v>
      </x:c>
      <x:c r="D17" s="72" t="n">
        <x:v>0.2</x:v>
      </x:c>
      <x:c r="E17" s="79" t="n">
        <x:f>D17*INDEX('Package Build'!$H$7:$H$36,MATCH(B17,'Package Build'!$A$7:$A$36,0))</x:f>
        <x:v>1.2516666666666667</x:v>
      </x:c>
      <x:c r="F17" s="82" t="n">
        <x:v>0</x:v>
      </x:c>
      <x:c r="G17" s="82" t="n">
        <x:v>0</x:v>
      </x:c>
      <x:c r="H17" s="82" t="n">
        <x:v>0</x:v>
      </x:c>
      <x:c r="I17" s="80" t="str">
        <x:f>IF(AND(F17=1,G17=1,H17=1,Inputs!$B$18=0,Inputs!$B$19=0),"ELIGIBLE","HELD")</x:f>
        <x:v>HELD</x:v>
      </x:c>
      <x:c r="J17" s="79" t="n">
        <x:f>IF(I17="ELIGIBLE",E17,0)</x:f>
        <x:v>0</x:v>
      </x:c>
      <x:c r="K17" s="84" t="n">
        <x:v>0</x:v>
      </x:c>
      <x:c r="L17" s="80" t="str">
        <x:f>IF(K17&lt;=J17,"CONTROLLED","OVERPAID")</x:f>
        <x:v>CONTROLLED</x:v>
      </x:c>
      <x:c r="M17" s="103"/>
      <x:c r="N17" s="103"/>
    </x:row>
    <x:row r="18">
      <x:c r="A18" s="62" t="str">
        <x:v>C012</x:v>
      </x:c>
      <x:c r="B18" s="62" t="str">
        <x:v>P02</x:v>
      </x:c>
      <x:c r="C18" s="62" t="str">
        <x:v>M6 Challenge closure and terminal archive</x:v>
      </x:c>
      <x:c r="D18" s="72" t="n">
        <x:v>0.1</x:v>
      </x:c>
      <x:c r="E18" s="79" t="n">
        <x:f>D18*INDEX('Package Build'!$H$7:$H$36,MATCH(B18,'Package Build'!$A$7:$A$36,0))</x:f>
        <x:v>0.6258333333333334</x:v>
      </x:c>
      <x:c r="F18" s="82" t="n">
        <x:v>0</x:v>
      </x:c>
      <x:c r="G18" s="82" t="n">
        <x:v>0</x:v>
      </x:c>
      <x:c r="H18" s="82" t="n">
        <x:v>0</x:v>
      </x:c>
      <x:c r="I18" s="80" t="str">
        <x:f>IF(AND(F18=1,G18=1,H18=1,Inputs!$B$18=0,Inputs!$B$19=0),"ELIGIBLE","HELD")</x:f>
        <x:v>HELD</x:v>
      </x:c>
      <x:c r="J18" s="79" t="n">
        <x:f>IF(I18="ELIGIBLE",E18,0)</x:f>
        <x:v>0</x:v>
      </x:c>
      <x:c r="K18" s="84" t="n">
        <x:v>0</x:v>
      </x:c>
      <x:c r="L18" s="80" t="str">
        <x:f>IF(K18&lt;=J18,"CONTROLLED","OVERPAID")</x:f>
        <x:v>CONTROLLED</x:v>
      </x:c>
      <x:c r="M18" s="103"/>
      <x:c r="N18" s="103"/>
    </x:row>
    <x:row r="19">
      <x:c r="A19" s="62" t="str">
        <x:v>C013</x:v>
      </x:c>
      <x:c r="B19" s="62" t="str">
        <x:v>P03</x:v>
      </x:c>
      <x:c r="C19" s="62" t="str">
        <x:v>M1 Source capsule</x:v>
      </x:c>
      <x:c r="D19" s="72" t="n">
        <x:v>0.1</x:v>
      </x:c>
      <x:c r="E19" s="79" t="n">
        <x:f>D19*INDEX('Package Build'!$H$7:$H$36,MATCH(B19,'Package Build'!$A$7:$A$36,0))</x:f>
        <x:v>0.37549999999999994</x:v>
      </x:c>
      <x:c r="F19" s="82" t="n">
        <x:v>0</x:v>
      </x:c>
      <x:c r="G19" s="82" t="n">
        <x:v>0</x:v>
      </x:c>
      <x:c r="H19" s="82" t="n">
        <x:v>0</x:v>
      </x:c>
      <x:c r="I19" s="80" t="str">
        <x:f>IF(AND(F19=1,G19=1,H19=1,Inputs!$B$18=0,Inputs!$B$19=0),"ELIGIBLE","HELD")</x:f>
        <x:v>HELD</x:v>
      </x:c>
      <x:c r="J19" s="79" t="n">
        <x:f>IF(I19="ELIGIBLE",E19,0)</x:f>
        <x:v>0</x:v>
      </x:c>
      <x:c r="K19" s="84" t="n">
        <x:v>0</x:v>
      </x:c>
      <x:c r="L19" s="80" t="str">
        <x:f>IF(K19&lt;=J19,"CONTROLLED","OVERPAID")</x:f>
        <x:v>CONTROLLED</x:v>
      </x:c>
      <x:c r="M19" s="103"/>
      <x:c r="N19" s="103"/>
    </x:row>
    <x:row r="20">
      <x:c r="A20" s="62" t="str">
        <x:v>C014</x:v>
      </x:c>
      <x:c r="B20" s="62" t="str">
        <x:v>P03</x:v>
      </x:c>
      <x:c r="C20" s="62" t="str">
        <x:v>M2 Executable causal ledger</x:v>
      </x:c>
      <x:c r="D20" s="72" t="n">
        <x:v>0.2</x:v>
      </x:c>
      <x:c r="E20" s="79" t="n">
        <x:f>D20*INDEX('Package Build'!$H$7:$H$36,MATCH(B20,'Package Build'!$A$7:$A$36,0))</x:f>
        <x:v>0.7509999999999999</x:v>
      </x:c>
      <x:c r="F20" s="82" t="n">
        <x:v>0</x:v>
      </x:c>
      <x:c r="G20" s="82" t="n">
        <x:v>0</x:v>
      </x:c>
      <x:c r="H20" s="82" t="n">
        <x:v>0</x:v>
      </x:c>
      <x:c r="I20" s="80" t="str">
        <x:f>IF(AND(F20=1,G20=1,H20=1,Inputs!$B$18=0,Inputs!$B$19=0),"ELIGIBLE","HELD")</x:f>
        <x:v>HELD</x:v>
      </x:c>
      <x:c r="J20" s="79" t="n">
        <x:f>IF(I20="ELIGIBLE",E20,0)</x:f>
        <x:v>0</x:v>
      </x:c>
      <x:c r="K20" s="84" t="n">
        <x:v>0</x:v>
      </x:c>
      <x:c r="L20" s="80" t="str">
        <x:f>IF(K20&lt;=J20,"CONTROLLED","OVERPAID")</x:f>
        <x:v>CONTROLLED</x:v>
      </x:c>
      <x:c r="M20" s="103"/>
      <x:c r="N20" s="103"/>
    </x:row>
    <x:row r="21">
      <x:c r="A21" s="62" t="str">
        <x:v>C015</x:v>
      </x:c>
      <x:c r="B21" s="62" t="str">
        <x:v>P03</x:v>
      </x:c>
      <x:c r="C21" s="62" t="str">
        <x:v>M3 Dependency and unknown register</x:v>
      </x:c>
      <x:c r="D21" s="72" t="n">
        <x:v>0.15</x:v>
      </x:c>
      <x:c r="E21" s="79" t="n">
        <x:f>D21*INDEX('Package Build'!$H$7:$H$36,MATCH(B21,'Package Build'!$A$7:$A$36,0))</x:f>
        <x:v>0.5632499999999999</x:v>
      </x:c>
      <x:c r="F21" s="82" t="n">
        <x:v>0</x:v>
      </x:c>
      <x:c r="G21" s="82" t="n">
        <x:v>0</x:v>
      </x:c>
      <x:c r="H21" s="82" t="n">
        <x:v>0</x:v>
      </x:c>
      <x:c r="I21" s="80" t="str">
        <x:f>IF(AND(F21=1,G21=1,H21=1,Inputs!$B$18=0,Inputs!$B$19=0),"ELIGIBLE","HELD")</x:f>
        <x:v>HELD</x:v>
      </x:c>
      <x:c r="J21" s="79" t="n">
        <x:f>IF(I21="ELIGIBLE",E21,0)</x:f>
        <x:v>0</x:v>
      </x:c>
      <x:c r="K21" s="84" t="n">
        <x:v>0</x:v>
      </x:c>
      <x:c r="L21" s="80" t="str">
        <x:f>IF(K21&lt;=J21,"CONTROLLED","OVERPAID")</x:f>
        <x:v>CONTROLLED</x:v>
      </x:c>
      <x:c r="M21" s="103"/>
      <x:c r="N21" s="103"/>
    </x:row>
    <x:row r="22">
      <x:c r="A22" s="62" t="str">
        <x:v>C016</x:v>
      </x:c>
      <x:c r="B22" s="62" t="str">
        <x:v>P03</x:v>
      </x:c>
      <x:c r="C22" s="62" t="str">
        <x:v>M4 Independent clean-room replay</x:v>
      </x:c>
      <x:c r="D22" s="72" t="n">
        <x:v>0.25</x:v>
      </x:c>
      <x:c r="E22" s="79" t="n">
        <x:f>D22*INDEX('Package Build'!$H$7:$H$36,MATCH(B22,'Package Build'!$A$7:$A$36,0))</x:f>
        <x:v>0.9387499999999999</x:v>
      </x:c>
      <x:c r="F22" s="82" t="n">
        <x:v>0</x:v>
      </x:c>
      <x:c r="G22" s="82" t="n">
        <x:v>0</x:v>
      </x:c>
      <x:c r="H22" s="82" t="n">
        <x:v>0</x:v>
      </x:c>
      <x:c r="I22" s="80" t="str">
        <x:f>IF(AND(F22=1,G22=1,H22=1,Inputs!$B$18=0,Inputs!$B$19=0),"ELIGIBLE","HELD")</x:f>
        <x:v>HELD</x:v>
      </x:c>
      <x:c r="J22" s="79" t="n">
        <x:f>IF(I22="ELIGIBLE",E22,0)</x:f>
        <x:v>0</x:v>
      </x:c>
      <x:c r="K22" s="84" t="n">
        <x:v>0</x:v>
      </x:c>
      <x:c r="L22" s="80" t="str">
        <x:f>IF(K22&lt;=J22,"CONTROLLED","OVERPAID")</x:f>
        <x:v>CONTROLLED</x:v>
      </x:c>
      <x:c r="M22" s="103"/>
      <x:c r="N22" s="103"/>
    </x:row>
    <x:row r="23">
      <x:c r="A23" s="62" t="str">
        <x:v>C017</x:v>
      </x:c>
      <x:c r="B23" s="62" t="str">
        <x:v>P03</x:v>
      </x:c>
      <x:c r="C23" s="62" t="str">
        <x:v>M5 Rights, receiver and residual closure</x:v>
      </x:c>
      <x:c r="D23" s="72" t="n">
        <x:v>0.2</x:v>
      </x:c>
      <x:c r="E23" s="79" t="n">
        <x:f>D23*INDEX('Package Build'!$H$7:$H$36,MATCH(B23,'Package Build'!$A$7:$A$36,0))</x:f>
        <x:v>0.7509999999999999</x:v>
      </x:c>
      <x:c r="F23" s="82" t="n">
        <x:v>0</x:v>
      </x:c>
      <x:c r="G23" s="82" t="n">
        <x:v>0</x:v>
      </x:c>
      <x:c r="H23" s="82" t="n">
        <x:v>0</x:v>
      </x:c>
      <x:c r="I23" s="80" t="str">
        <x:f>IF(AND(F23=1,G23=1,H23=1,Inputs!$B$18=0,Inputs!$B$19=0),"ELIGIBLE","HELD")</x:f>
        <x:v>HELD</x:v>
      </x:c>
      <x:c r="J23" s="79" t="n">
        <x:f>IF(I23="ELIGIBLE",E23,0)</x:f>
        <x:v>0</x:v>
      </x:c>
      <x:c r="K23" s="84" t="n">
        <x:v>0</x:v>
      </x:c>
      <x:c r="L23" s="80" t="str">
        <x:f>IF(K23&lt;=J23,"CONTROLLED","OVERPAID")</x:f>
        <x:v>CONTROLLED</x:v>
      </x:c>
      <x:c r="M23" s="103"/>
      <x:c r="N23" s="103"/>
    </x:row>
    <x:row r="24">
      <x:c r="A24" s="62" t="str">
        <x:v>C018</x:v>
      </x:c>
      <x:c r="B24" s="62" t="str">
        <x:v>P03</x:v>
      </x:c>
      <x:c r="C24" s="62" t="str">
        <x:v>M6 Challenge closure and terminal archive</x:v>
      </x:c>
      <x:c r="D24" s="72" t="n">
        <x:v>0.1</x:v>
      </x:c>
      <x:c r="E24" s="79" t="n">
        <x:f>D24*INDEX('Package Build'!$H$7:$H$36,MATCH(B24,'Package Build'!$A$7:$A$36,0))</x:f>
        <x:v>0.37549999999999994</x:v>
      </x:c>
      <x:c r="F24" s="82" t="n">
        <x:v>0</x:v>
      </x:c>
      <x:c r="G24" s="82" t="n">
        <x:v>0</x:v>
      </x:c>
      <x:c r="H24" s="82" t="n">
        <x:v>0</x:v>
      </x:c>
      <x:c r="I24" s="80" t="str">
        <x:f>IF(AND(F24=1,G24=1,H24=1,Inputs!$B$18=0,Inputs!$B$19=0),"ELIGIBLE","HELD")</x:f>
        <x:v>HELD</x:v>
      </x:c>
      <x:c r="J24" s="79" t="n">
        <x:f>IF(I24="ELIGIBLE",E24,0)</x:f>
        <x:v>0</x:v>
      </x:c>
      <x:c r="K24" s="84" t="n">
        <x:v>0</x:v>
      </x:c>
      <x:c r="L24" s="80" t="str">
        <x:f>IF(K24&lt;=J24,"CONTROLLED","OVERPAID")</x:f>
        <x:v>CONTROLLED</x:v>
      </x:c>
      <x:c r="M24" s="103"/>
      <x:c r="N24" s="103"/>
    </x:row>
    <x:row r="25">
      <x:c r="A25" s="62" t="str">
        <x:v>C019</x:v>
      </x:c>
      <x:c r="B25" s="62" t="str">
        <x:v>P04</x:v>
      </x:c>
      <x:c r="C25" s="62" t="str">
        <x:v>M1 Source capsule</x:v>
      </x:c>
      <x:c r="D25" s="72" t="n">
        <x:v>0.1</x:v>
      </x:c>
      <x:c r="E25" s="79" t="n">
        <x:f>D25*INDEX('Package Build'!$H$7:$H$36,MATCH(B25,'Package Build'!$A$7:$A$36,0))</x:f>
        <x:v>0.6258333333333334</x:v>
      </x:c>
      <x:c r="F25" s="82" t="n">
        <x:v>0</x:v>
      </x:c>
      <x:c r="G25" s="82" t="n">
        <x:v>0</x:v>
      </x:c>
      <x:c r="H25" s="82" t="n">
        <x:v>0</x:v>
      </x:c>
      <x:c r="I25" s="80" t="str">
        <x:f>IF(AND(F25=1,G25=1,H25=1,Inputs!$B$18=0,Inputs!$B$19=0),"ELIGIBLE","HELD")</x:f>
        <x:v>HELD</x:v>
      </x:c>
      <x:c r="J25" s="79" t="n">
        <x:f>IF(I25="ELIGIBLE",E25,0)</x:f>
        <x:v>0</x:v>
      </x:c>
      <x:c r="K25" s="84" t="n">
        <x:v>0</x:v>
      </x:c>
      <x:c r="L25" s="80" t="str">
        <x:f>IF(K25&lt;=J25,"CONTROLLED","OVERPAID")</x:f>
        <x:v>CONTROLLED</x:v>
      </x:c>
      <x:c r="M25" s="103"/>
      <x:c r="N25" s="103"/>
    </x:row>
    <x:row r="26">
      <x:c r="A26" s="62" t="str">
        <x:v>C020</x:v>
      </x:c>
      <x:c r="B26" s="62" t="str">
        <x:v>P04</x:v>
      </x:c>
      <x:c r="C26" s="62" t="str">
        <x:v>M2 Executable causal ledger</x:v>
      </x:c>
      <x:c r="D26" s="72" t="n">
        <x:v>0.2</x:v>
      </x:c>
      <x:c r="E26" s="79" t="n">
        <x:f>D26*INDEX('Package Build'!$H$7:$H$36,MATCH(B26,'Package Build'!$A$7:$A$36,0))</x:f>
        <x:v>1.2516666666666667</x:v>
      </x:c>
      <x:c r="F26" s="82" t="n">
        <x:v>0</x:v>
      </x:c>
      <x:c r="G26" s="82" t="n">
        <x:v>0</x:v>
      </x:c>
      <x:c r="H26" s="82" t="n">
        <x:v>0</x:v>
      </x:c>
      <x:c r="I26" s="80" t="str">
        <x:f>IF(AND(F26=1,G26=1,H26=1,Inputs!$B$18=0,Inputs!$B$19=0),"ELIGIBLE","HELD")</x:f>
        <x:v>HELD</x:v>
      </x:c>
      <x:c r="J26" s="79" t="n">
        <x:f>IF(I26="ELIGIBLE",E26,0)</x:f>
        <x:v>0</x:v>
      </x:c>
      <x:c r="K26" s="84" t="n">
        <x:v>0</x:v>
      </x:c>
      <x:c r="L26" s="80" t="str">
        <x:f>IF(K26&lt;=J26,"CONTROLLED","OVERPAID")</x:f>
        <x:v>CONTROLLED</x:v>
      </x:c>
      <x:c r="M26" s="103"/>
      <x:c r="N26" s="103"/>
    </x:row>
    <x:row r="27">
      <x:c r="A27" s="62" t="str">
        <x:v>C021</x:v>
      </x:c>
      <x:c r="B27" s="62" t="str">
        <x:v>P04</x:v>
      </x:c>
      <x:c r="C27" s="62" t="str">
        <x:v>M3 Dependency and unknown register</x:v>
      </x:c>
      <x:c r="D27" s="72" t="n">
        <x:v>0.15</x:v>
      </x:c>
      <x:c r="E27" s="79" t="n">
        <x:f>D27*INDEX('Package Build'!$H$7:$H$36,MATCH(B27,'Package Build'!$A$7:$A$36,0))</x:f>
        <x:v>0.9387499999999999</x:v>
      </x:c>
      <x:c r="F27" s="82" t="n">
        <x:v>0</x:v>
      </x:c>
      <x:c r="G27" s="82" t="n">
        <x:v>0</x:v>
      </x:c>
      <x:c r="H27" s="82" t="n">
        <x:v>0</x:v>
      </x:c>
      <x:c r="I27" s="80" t="str">
        <x:f>IF(AND(F27=1,G27=1,H27=1,Inputs!$B$18=0,Inputs!$B$19=0),"ELIGIBLE","HELD")</x:f>
        <x:v>HELD</x:v>
      </x:c>
      <x:c r="J27" s="79" t="n">
        <x:f>IF(I27="ELIGIBLE",E27,0)</x:f>
        <x:v>0</x:v>
      </x:c>
      <x:c r="K27" s="84" t="n">
        <x:v>0</x:v>
      </x:c>
      <x:c r="L27" s="80" t="str">
        <x:f>IF(K27&lt;=J27,"CONTROLLED","OVERPAID")</x:f>
        <x:v>CONTROLLED</x:v>
      </x:c>
      <x:c r="M27" s="103"/>
      <x:c r="N27" s="103"/>
    </x:row>
    <x:row r="28">
      <x:c r="A28" s="62" t="str">
        <x:v>C022</x:v>
      </x:c>
      <x:c r="B28" s="62" t="str">
        <x:v>P04</x:v>
      </x:c>
      <x:c r="C28" s="62" t="str">
        <x:v>M4 Independent clean-room replay</x:v>
      </x:c>
      <x:c r="D28" s="72" t="n">
        <x:v>0.25</x:v>
      </x:c>
      <x:c r="E28" s="79" t="n">
        <x:f>D28*INDEX('Package Build'!$H$7:$H$36,MATCH(B28,'Package Build'!$A$7:$A$36,0))</x:f>
        <x:v>1.5645833333333332</x:v>
      </x:c>
      <x:c r="F28" s="82" t="n">
        <x:v>0</x:v>
      </x:c>
      <x:c r="G28" s="82" t="n">
        <x:v>0</x:v>
      </x:c>
      <x:c r="H28" s="82" t="n">
        <x:v>0</x:v>
      </x:c>
      <x:c r="I28" s="80" t="str">
        <x:f>IF(AND(F28=1,G28=1,H28=1,Inputs!$B$18=0,Inputs!$B$19=0),"ELIGIBLE","HELD")</x:f>
        <x:v>HELD</x:v>
      </x:c>
      <x:c r="J28" s="79" t="n">
        <x:f>IF(I28="ELIGIBLE",E28,0)</x:f>
        <x:v>0</x:v>
      </x:c>
      <x:c r="K28" s="84" t="n">
        <x:v>0</x:v>
      </x:c>
      <x:c r="L28" s="80" t="str">
        <x:f>IF(K28&lt;=J28,"CONTROLLED","OVERPAID")</x:f>
        <x:v>CONTROLLED</x:v>
      </x:c>
      <x:c r="M28" s="103"/>
      <x:c r="N28" s="103"/>
    </x:row>
    <x:row r="29">
      <x:c r="A29" s="62" t="str">
        <x:v>C023</x:v>
      </x:c>
      <x:c r="B29" s="62" t="str">
        <x:v>P04</x:v>
      </x:c>
      <x:c r="C29" s="62" t="str">
        <x:v>M5 Rights, receiver and residual closure</x:v>
      </x:c>
      <x:c r="D29" s="72" t="n">
        <x:v>0.2</x:v>
      </x:c>
      <x:c r="E29" s="79" t="n">
        <x:f>D29*INDEX('Package Build'!$H$7:$H$36,MATCH(B29,'Package Build'!$A$7:$A$36,0))</x:f>
        <x:v>1.2516666666666667</x:v>
      </x:c>
      <x:c r="F29" s="82" t="n">
        <x:v>0</x:v>
      </x:c>
      <x:c r="G29" s="82" t="n">
        <x:v>0</x:v>
      </x:c>
      <x:c r="H29" s="82" t="n">
        <x:v>0</x:v>
      </x:c>
      <x:c r="I29" s="80" t="str">
        <x:f>IF(AND(F29=1,G29=1,H29=1,Inputs!$B$18=0,Inputs!$B$19=0),"ELIGIBLE","HELD")</x:f>
        <x:v>HELD</x:v>
      </x:c>
      <x:c r="J29" s="79" t="n">
        <x:f>IF(I29="ELIGIBLE",E29,0)</x:f>
        <x:v>0</x:v>
      </x:c>
      <x:c r="K29" s="84" t="n">
        <x:v>0</x:v>
      </x:c>
      <x:c r="L29" s="80" t="str">
        <x:f>IF(K29&lt;=J29,"CONTROLLED","OVERPAID")</x:f>
        <x:v>CONTROLLED</x:v>
      </x:c>
      <x:c r="M29" s="103"/>
      <x:c r="N29" s="103"/>
    </x:row>
    <x:row r="30">
      <x:c r="A30" s="62" t="str">
        <x:v>C024</x:v>
      </x:c>
      <x:c r="B30" s="62" t="str">
        <x:v>P04</x:v>
      </x:c>
      <x:c r="C30" s="62" t="str">
        <x:v>M6 Challenge closure and terminal archive</x:v>
      </x:c>
      <x:c r="D30" s="72" t="n">
        <x:v>0.1</x:v>
      </x:c>
      <x:c r="E30" s="79" t="n">
        <x:f>D30*INDEX('Package Build'!$H$7:$H$36,MATCH(B30,'Package Build'!$A$7:$A$36,0))</x:f>
        <x:v>0.6258333333333334</x:v>
      </x:c>
      <x:c r="F30" s="82" t="n">
        <x:v>0</x:v>
      </x:c>
      <x:c r="G30" s="82" t="n">
        <x:v>0</x:v>
      </x:c>
      <x:c r="H30" s="82" t="n">
        <x:v>0</x:v>
      </x:c>
      <x:c r="I30" s="80" t="str">
        <x:f>IF(AND(F30=1,G30=1,H30=1,Inputs!$B$18=0,Inputs!$B$19=0),"ELIGIBLE","HELD")</x:f>
        <x:v>HELD</x:v>
      </x:c>
      <x:c r="J30" s="79" t="n">
        <x:f>IF(I30="ELIGIBLE",E30,0)</x:f>
        <x:v>0</x:v>
      </x:c>
      <x:c r="K30" s="84" t="n">
        <x:v>0</x:v>
      </x:c>
      <x:c r="L30" s="80" t="str">
        <x:f>IF(K30&lt;=J30,"CONTROLLED","OVERPAID")</x:f>
        <x:v>CONTROLLED</x:v>
      </x:c>
      <x:c r="M30" s="103"/>
      <x:c r="N30" s="103"/>
    </x:row>
    <x:row r="31">
      <x:c r="A31" s="62" t="str">
        <x:v>C025</x:v>
      </x:c>
      <x:c r="B31" s="62" t="str">
        <x:v>P05</x:v>
      </x:c>
      <x:c r="C31" s="62" t="str">
        <x:v>M1 Source capsule</x:v>
      </x:c>
      <x:c r="D31" s="72" t="n">
        <x:v>0.1</x:v>
      </x:c>
      <x:c r="E31" s="79" t="n">
        <x:f>D31*INDEX('Package Build'!$H$7:$H$36,MATCH(B31,'Package Build'!$A$7:$A$36,0))</x:f>
        <x:v>0.37549999999999994</x:v>
      </x:c>
      <x:c r="F31" s="82" t="n">
        <x:v>0</x:v>
      </x:c>
      <x:c r="G31" s="82" t="n">
        <x:v>0</x:v>
      </x:c>
      <x:c r="H31" s="82" t="n">
        <x:v>0</x:v>
      </x:c>
      <x:c r="I31" s="80" t="str">
        <x:f>IF(AND(F31=1,G31=1,H31=1,Inputs!$B$18=0,Inputs!$B$19=0),"ELIGIBLE","HELD")</x:f>
        <x:v>HELD</x:v>
      </x:c>
      <x:c r="J31" s="79" t="n">
        <x:f>IF(I31="ELIGIBLE",E31,0)</x:f>
        <x:v>0</x:v>
      </x:c>
      <x:c r="K31" s="84" t="n">
        <x:v>0</x:v>
      </x:c>
      <x:c r="L31" s="80" t="str">
        <x:f>IF(K31&lt;=J31,"CONTROLLED","OVERPAID")</x:f>
        <x:v>CONTROLLED</x:v>
      </x:c>
      <x:c r="M31" s="103"/>
      <x:c r="N31" s="103"/>
    </x:row>
    <x:row r="32">
      <x:c r="A32" s="62" t="str">
        <x:v>C026</x:v>
      </x:c>
      <x:c r="B32" s="62" t="str">
        <x:v>P05</x:v>
      </x:c>
      <x:c r="C32" s="62" t="str">
        <x:v>M2 Executable causal ledger</x:v>
      </x:c>
      <x:c r="D32" s="72" t="n">
        <x:v>0.2</x:v>
      </x:c>
      <x:c r="E32" s="79" t="n">
        <x:f>D32*INDEX('Package Build'!$H$7:$H$36,MATCH(B32,'Package Build'!$A$7:$A$36,0))</x:f>
        <x:v>0.7509999999999999</x:v>
      </x:c>
      <x:c r="F32" s="82" t="n">
        <x:v>0</x:v>
      </x:c>
      <x:c r="G32" s="82" t="n">
        <x:v>0</x:v>
      </x:c>
      <x:c r="H32" s="82" t="n">
        <x:v>0</x:v>
      </x:c>
      <x:c r="I32" s="80" t="str">
        <x:f>IF(AND(F32=1,G32=1,H32=1,Inputs!$B$18=0,Inputs!$B$19=0),"ELIGIBLE","HELD")</x:f>
        <x:v>HELD</x:v>
      </x:c>
      <x:c r="J32" s="79" t="n">
        <x:f>IF(I32="ELIGIBLE",E32,0)</x:f>
        <x:v>0</x:v>
      </x:c>
      <x:c r="K32" s="84" t="n">
        <x:v>0</x:v>
      </x:c>
      <x:c r="L32" s="80" t="str">
        <x:f>IF(K32&lt;=J32,"CONTROLLED","OVERPAID")</x:f>
        <x:v>CONTROLLED</x:v>
      </x:c>
      <x:c r="M32" s="103"/>
      <x:c r="N32" s="103"/>
    </x:row>
    <x:row r="33">
      <x:c r="A33" s="62" t="str">
        <x:v>C027</x:v>
      </x:c>
      <x:c r="B33" s="62" t="str">
        <x:v>P05</x:v>
      </x:c>
      <x:c r="C33" s="62" t="str">
        <x:v>M3 Dependency and unknown register</x:v>
      </x:c>
      <x:c r="D33" s="72" t="n">
        <x:v>0.15</x:v>
      </x:c>
      <x:c r="E33" s="79" t="n">
        <x:f>D33*INDEX('Package Build'!$H$7:$H$36,MATCH(B33,'Package Build'!$A$7:$A$36,0))</x:f>
        <x:v>0.5632499999999999</x:v>
      </x:c>
      <x:c r="F33" s="82" t="n">
        <x:v>0</x:v>
      </x:c>
      <x:c r="G33" s="82" t="n">
        <x:v>0</x:v>
      </x:c>
      <x:c r="H33" s="82" t="n">
        <x:v>0</x:v>
      </x:c>
      <x:c r="I33" s="80" t="str">
        <x:f>IF(AND(F33=1,G33=1,H33=1,Inputs!$B$18=0,Inputs!$B$19=0),"ELIGIBLE","HELD")</x:f>
        <x:v>HELD</x:v>
      </x:c>
      <x:c r="J33" s="79" t="n">
        <x:f>IF(I33="ELIGIBLE",E33,0)</x:f>
        <x:v>0</x:v>
      </x:c>
      <x:c r="K33" s="84" t="n">
        <x:v>0</x:v>
      </x:c>
      <x:c r="L33" s="80" t="str">
        <x:f>IF(K33&lt;=J33,"CONTROLLED","OVERPAID")</x:f>
        <x:v>CONTROLLED</x:v>
      </x:c>
      <x:c r="M33" s="103"/>
      <x:c r="N33" s="103"/>
    </x:row>
    <x:row r="34">
      <x:c r="A34" s="62" t="str">
        <x:v>C028</x:v>
      </x:c>
      <x:c r="B34" s="62" t="str">
        <x:v>P05</x:v>
      </x:c>
      <x:c r="C34" s="62" t="str">
        <x:v>M4 Independent clean-room replay</x:v>
      </x:c>
      <x:c r="D34" s="72" t="n">
        <x:v>0.25</x:v>
      </x:c>
      <x:c r="E34" s="79" t="n">
        <x:f>D34*INDEX('Package Build'!$H$7:$H$36,MATCH(B34,'Package Build'!$A$7:$A$36,0))</x:f>
        <x:v>0.9387499999999999</x:v>
      </x:c>
      <x:c r="F34" s="82" t="n">
        <x:v>0</x:v>
      </x:c>
      <x:c r="G34" s="82" t="n">
        <x:v>0</x:v>
      </x:c>
      <x:c r="H34" s="82" t="n">
        <x:v>0</x:v>
      </x:c>
      <x:c r="I34" s="80" t="str">
        <x:f>IF(AND(F34=1,G34=1,H34=1,Inputs!$B$18=0,Inputs!$B$19=0),"ELIGIBLE","HELD")</x:f>
        <x:v>HELD</x:v>
      </x:c>
      <x:c r="J34" s="79" t="n">
        <x:f>IF(I34="ELIGIBLE",E34,0)</x:f>
        <x:v>0</x:v>
      </x:c>
      <x:c r="K34" s="84" t="n">
        <x:v>0</x:v>
      </x:c>
      <x:c r="L34" s="80" t="str">
        <x:f>IF(K34&lt;=J34,"CONTROLLED","OVERPAID")</x:f>
        <x:v>CONTROLLED</x:v>
      </x:c>
      <x:c r="M34" s="103"/>
      <x:c r="N34" s="103"/>
    </x:row>
    <x:row r="35">
      <x:c r="A35" s="62" t="str">
        <x:v>C029</x:v>
      </x:c>
      <x:c r="B35" s="62" t="str">
        <x:v>P05</x:v>
      </x:c>
      <x:c r="C35" s="62" t="str">
        <x:v>M5 Rights, receiver and residual closure</x:v>
      </x:c>
      <x:c r="D35" s="72" t="n">
        <x:v>0.2</x:v>
      </x:c>
      <x:c r="E35" s="79" t="n">
        <x:f>D35*INDEX('Package Build'!$H$7:$H$36,MATCH(B35,'Package Build'!$A$7:$A$36,0))</x:f>
        <x:v>0.7509999999999999</x:v>
      </x:c>
      <x:c r="F35" s="82" t="n">
        <x:v>0</x:v>
      </x:c>
      <x:c r="G35" s="82" t="n">
        <x:v>0</x:v>
      </x:c>
      <x:c r="H35" s="82" t="n">
        <x:v>0</x:v>
      </x:c>
      <x:c r="I35" s="80" t="str">
        <x:f>IF(AND(F35=1,G35=1,H35=1,Inputs!$B$18=0,Inputs!$B$19=0),"ELIGIBLE","HELD")</x:f>
        <x:v>HELD</x:v>
      </x:c>
      <x:c r="J35" s="79" t="n">
        <x:f>IF(I35="ELIGIBLE",E35,0)</x:f>
        <x:v>0</x:v>
      </x:c>
      <x:c r="K35" s="84" t="n">
        <x:v>0</x:v>
      </x:c>
      <x:c r="L35" s="80" t="str">
        <x:f>IF(K35&lt;=J35,"CONTROLLED","OVERPAID")</x:f>
        <x:v>CONTROLLED</x:v>
      </x:c>
      <x:c r="M35" s="103"/>
      <x:c r="N35" s="103"/>
    </x:row>
    <x:row r="36">
      <x:c r="A36" s="62" t="str">
        <x:v>C030</x:v>
      </x:c>
      <x:c r="B36" s="62" t="str">
        <x:v>P05</x:v>
      </x:c>
      <x:c r="C36" s="62" t="str">
        <x:v>M6 Challenge closure and terminal archive</x:v>
      </x:c>
      <x:c r="D36" s="72" t="n">
        <x:v>0.1</x:v>
      </x:c>
      <x:c r="E36" s="79" t="n">
        <x:f>D36*INDEX('Package Build'!$H$7:$H$36,MATCH(B36,'Package Build'!$A$7:$A$36,0))</x:f>
        <x:v>0.37549999999999994</x:v>
      </x:c>
      <x:c r="F36" s="82" t="n">
        <x:v>0</x:v>
      </x:c>
      <x:c r="G36" s="82" t="n">
        <x:v>0</x:v>
      </x:c>
      <x:c r="H36" s="82" t="n">
        <x:v>0</x:v>
      </x:c>
      <x:c r="I36" s="80" t="str">
        <x:f>IF(AND(F36=1,G36=1,H36=1,Inputs!$B$18=0,Inputs!$B$19=0),"ELIGIBLE","HELD")</x:f>
        <x:v>HELD</x:v>
      </x:c>
      <x:c r="J36" s="79" t="n">
        <x:f>IF(I36="ELIGIBLE",E36,0)</x:f>
        <x:v>0</x:v>
      </x:c>
      <x:c r="K36" s="84" t="n">
        <x:v>0</x:v>
      </x:c>
      <x:c r="L36" s="80" t="str">
        <x:f>IF(K36&lt;=J36,"CONTROLLED","OVERPAID")</x:f>
        <x:v>CONTROLLED</x:v>
      </x:c>
      <x:c r="M36" s="103"/>
      <x:c r="N36" s="103"/>
    </x:row>
    <x:row r="37">
      <x:c r="A37" s="62" t="str">
        <x:v>C031</x:v>
      </x:c>
      <x:c r="B37" s="62" t="str">
        <x:v>P06</x:v>
      </x:c>
      <x:c r="C37" s="62" t="str">
        <x:v>M1 Source capsule</x:v>
      </x:c>
      <x:c r="D37" s="72" t="n">
        <x:v>0.1</x:v>
      </x:c>
      <x:c r="E37" s="79" t="n">
        <x:f>D37*INDEX('Package Build'!$H$7:$H$36,MATCH(B37,'Package Build'!$A$7:$A$36,0))</x:f>
        <x:v>0.5166666666666667</x:v>
      </x:c>
      <x:c r="F37" s="82" t="n">
        <x:v>0</x:v>
      </x:c>
      <x:c r="G37" s="82" t="n">
        <x:v>0</x:v>
      </x:c>
      <x:c r="H37" s="82" t="n">
        <x:v>0</x:v>
      </x:c>
      <x:c r="I37" s="80" t="str">
        <x:f>IF(AND(F37=1,G37=1,H37=1,Inputs!$B$18=0,Inputs!$B$19=0),"ELIGIBLE","HELD")</x:f>
        <x:v>HELD</x:v>
      </x:c>
      <x:c r="J37" s="79" t="n">
        <x:f>IF(I37="ELIGIBLE",E37,0)</x:f>
        <x:v>0</x:v>
      </x:c>
      <x:c r="K37" s="84" t="n">
        <x:v>0</x:v>
      </x:c>
      <x:c r="L37" s="80" t="str">
        <x:f>IF(K37&lt;=J37,"CONTROLLED","OVERPAID")</x:f>
        <x:v>CONTROLLED</x:v>
      </x:c>
      <x:c r="M37" s="103"/>
      <x:c r="N37" s="103"/>
    </x:row>
    <x:row r="38">
      <x:c r="A38" s="62" t="str">
        <x:v>C032</x:v>
      </x:c>
      <x:c r="B38" s="62" t="str">
        <x:v>P06</x:v>
      </x:c>
      <x:c r="C38" s="62" t="str">
        <x:v>M2 Executable causal ledger</x:v>
      </x:c>
      <x:c r="D38" s="72" t="n">
        <x:v>0.2</x:v>
      </x:c>
      <x:c r="E38" s="79" t="n">
        <x:f>D38*INDEX('Package Build'!$H$7:$H$36,MATCH(B38,'Package Build'!$A$7:$A$36,0))</x:f>
        <x:v>1.0333333333333334</x:v>
      </x:c>
      <x:c r="F38" s="82" t="n">
        <x:v>0</x:v>
      </x:c>
      <x:c r="G38" s="82" t="n">
        <x:v>0</x:v>
      </x:c>
      <x:c r="H38" s="82" t="n">
        <x:v>0</x:v>
      </x:c>
      <x:c r="I38" s="80" t="str">
        <x:f>IF(AND(F38=1,G38=1,H38=1,Inputs!$B$18=0,Inputs!$B$19=0),"ELIGIBLE","HELD")</x:f>
        <x:v>HELD</x:v>
      </x:c>
      <x:c r="J38" s="79" t="n">
        <x:f>IF(I38="ELIGIBLE",E38,0)</x:f>
        <x:v>0</x:v>
      </x:c>
      <x:c r="K38" s="84" t="n">
        <x:v>0</x:v>
      </x:c>
      <x:c r="L38" s="80" t="str">
        <x:f>IF(K38&lt;=J38,"CONTROLLED","OVERPAID")</x:f>
        <x:v>CONTROLLED</x:v>
      </x:c>
      <x:c r="M38" s="103"/>
      <x:c r="N38" s="103"/>
    </x:row>
    <x:row r="39">
      <x:c r="A39" s="62" t="str">
        <x:v>C033</x:v>
      </x:c>
      <x:c r="B39" s="62" t="str">
        <x:v>P06</x:v>
      </x:c>
      <x:c r="C39" s="62" t="str">
        <x:v>M3 Dependency and unknown register</x:v>
      </x:c>
      <x:c r="D39" s="72" t="n">
        <x:v>0.15</x:v>
      </x:c>
      <x:c r="E39" s="79" t="n">
        <x:f>D39*INDEX('Package Build'!$H$7:$H$36,MATCH(B39,'Package Build'!$A$7:$A$36,0))</x:f>
        <x:v>0.775</x:v>
      </x:c>
      <x:c r="F39" s="82" t="n">
        <x:v>0</x:v>
      </x:c>
      <x:c r="G39" s="82" t="n">
        <x:v>0</x:v>
      </x:c>
      <x:c r="H39" s="82" t="n">
        <x:v>0</x:v>
      </x:c>
      <x:c r="I39" s="80" t="str">
        <x:f>IF(AND(F39=1,G39=1,H39=1,Inputs!$B$18=0,Inputs!$B$19=0),"ELIGIBLE","HELD")</x:f>
        <x:v>HELD</x:v>
      </x:c>
      <x:c r="J39" s="79" t="n">
        <x:f>IF(I39="ELIGIBLE",E39,0)</x:f>
        <x:v>0</x:v>
      </x:c>
      <x:c r="K39" s="84" t="n">
        <x:v>0</x:v>
      </x:c>
      <x:c r="L39" s="80" t="str">
        <x:f>IF(K39&lt;=J39,"CONTROLLED","OVERPAID")</x:f>
        <x:v>CONTROLLED</x:v>
      </x:c>
      <x:c r="M39" s="103"/>
      <x:c r="N39" s="103"/>
    </x:row>
    <x:row r="40">
      <x:c r="A40" s="62" t="str">
        <x:v>C034</x:v>
      </x:c>
      <x:c r="B40" s="62" t="str">
        <x:v>P06</x:v>
      </x:c>
      <x:c r="C40" s="62" t="str">
        <x:v>M4 Independent clean-room replay</x:v>
      </x:c>
      <x:c r="D40" s="72" t="n">
        <x:v>0.25</x:v>
      </x:c>
      <x:c r="E40" s="79" t="n">
        <x:f>D40*INDEX('Package Build'!$H$7:$H$36,MATCH(B40,'Package Build'!$A$7:$A$36,0))</x:f>
        <x:v>1.2916666666666667</x:v>
      </x:c>
      <x:c r="F40" s="82" t="n">
        <x:v>0</x:v>
      </x:c>
      <x:c r="G40" s="82" t="n">
        <x:v>0</x:v>
      </x:c>
      <x:c r="H40" s="82" t="n">
        <x:v>0</x:v>
      </x:c>
      <x:c r="I40" s="80" t="str">
        <x:f>IF(AND(F40=1,G40=1,H40=1,Inputs!$B$18=0,Inputs!$B$19=0),"ELIGIBLE","HELD")</x:f>
        <x:v>HELD</x:v>
      </x:c>
      <x:c r="J40" s="79" t="n">
        <x:f>IF(I40="ELIGIBLE",E40,0)</x:f>
        <x:v>0</x:v>
      </x:c>
      <x:c r="K40" s="84" t="n">
        <x:v>0</x:v>
      </x:c>
      <x:c r="L40" s="80" t="str">
        <x:f>IF(K40&lt;=J40,"CONTROLLED","OVERPAID")</x:f>
        <x:v>CONTROLLED</x:v>
      </x:c>
      <x:c r="M40" s="103"/>
      <x:c r="N40" s="103"/>
    </x:row>
    <x:row r="41">
      <x:c r="A41" s="62" t="str">
        <x:v>C035</x:v>
      </x:c>
      <x:c r="B41" s="62" t="str">
        <x:v>P06</x:v>
      </x:c>
      <x:c r="C41" s="62" t="str">
        <x:v>M5 Rights, receiver and residual closure</x:v>
      </x:c>
      <x:c r="D41" s="72" t="n">
        <x:v>0.2</x:v>
      </x:c>
      <x:c r="E41" s="79" t="n">
        <x:f>D41*INDEX('Package Build'!$H$7:$H$36,MATCH(B41,'Package Build'!$A$7:$A$36,0))</x:f>
        <x:v>1.0333333333333334</x:v>
      </x:c>
      <x:c r="F41" s="82" t="n">
        <x:v>0</x:v>
      </x:c>
      <x:c r="G41" s="82" t="n">
        <x:v>0</x:v>
      </x:c>
      <x:c r="H41" s="82" t="n">
        <x:v>0</x:v>
      </x:c>
      <x:c r="I41" s="80" t="str">
        <x:f>IF(AND(F41=1,G41=1,H41=1,Inputs!$B$18=0,Inputs!$B$19=0),"ELIGIBLE","HELD")</x:f>
        <x:v>HELD</x:v>
      </x:c>
      <x:c r="J41" s="79" t="n">
        <x:f>IF(I41="ELIGIBLE",E41,0)</x:f>
        <x:v>0</x:v>
      </x:c>
      <x:c r="K41" s="84" t="n">
        <x:v>0</x:v>
      </x:c>
      <x:c r="L41" s="80" t="str">
        <x:f>IF(K41&lt;=J41,"CONTROLLED","OVERPAID")</x:f>
        <x:v>CONTROLLED</x:v>
      </x:c>
      <x:c r="M41" s="103"/>
      <x:c r="N41" s="103"/>
    </x:row>
    <x:row r="42">
      <x:c r="A42" s="62" t="str">
        <x:v>C036</x:v>
      </x:c>
      <x:c r="B42" s="62" t="str">
        <x:v>P06</x:v>
      </x:c>
      <x:c r="C42" s="62" t="str">
        <x:v>M6 Challenge closure and terminal archive</x:v>
      </x:c>
      <x:c r="D42" s="72" t="n">
        <x:v>0.1</x:v>
      </x:c>
      <x:c r="E42" s="79" t="n">
        <x:f>D42*INDEX('Package Build'!$H$7:$H$36,MATCH(B42,'Package Build'!$A$7:$A$36,0))</x:f>
        <x:v>0.5166666666666667</x:v>
      </x:c>
      <x:c r="F42" s="82" t="n">
        <x:v>0</x:v>
      </x:c>
      <x:c r="G42" s="82" t="n">
        <x:v>0</x:v>
      </x:c>
      <x:c r="H42" s="82" t="n">
        <x:v>0</x:v>
      </x:c>
      <x:c r="I42" s="80" t="str">
        <x:f>IF(AND(F42=1,G42=1,H42=1,Inputs!$B$18=0,Inputs!$B$19=0),"ELIGIBLE","HELD")</x:f>
        <x:v>HELD</x:v>
      </x:c>
      <x:c r="J42" s="79" t="n">
        <x:f>IF(I42="ELIGIBLE",E42,0)</x:f>
        <x:v>0</x:v>
      </x:c>
      <x:c r="K42" s="84" t="n">
        <x:v>0</x:v>
      </x:c>
      <x:c r="L42" s="80" t="str">
        <x:f>IF(K42&lt;=J42,"CONTROLLED","OVERPAID")</x:f>
        <x:v>CONTROLLED</x:v>
      </x:c>
      <x:c r="M42" s="103"/>
      <x:c r="N42" s="103"/>
    </x:row>
    <x:row r="43">
      <x:c r="A43" s="62" t="str">
        <x:v>C037</x:v>
      </x:c>
      <x:c r="B43" s="62" t="str">
        <x:v>P07</x:v>
      </x:c>
      <x:c r="C43" s="62" t="str">
        <x:v>M1 Source capsule</x:v>
      </x:c>
      <x:c r="D43" s="72" t="n">
        <x:v>0.1</x:v>
      </x:c>
      <x:c r="E43" s="79" t="n">
        <x:f>D43*INDEX('Package Build'!$H$7:$H$36,MATCH(B43,'Package Build'!$A$7:$A$36,0))</x:f>
        <x:v>0.6458333333333334</x:v>
      </x:c>
      <x:c r="F43" s="82" t="n">
        <x:v>0</x:v>
      </x:c>
      <x:c r="G43" s="82" t="n">
        <x:v>0</x:v>
      </x:c>
      <x:c r="H43" s="82" t="n">
        <x:v>0</x:v>
      </x:c>
      <x:c r="I43" s="80" t="str">
        <x:f>IF(AND(F43=1,G43=1,H43=1,Inputs!$B$18=0,Inputs!$B$19=0),"ELIGIBLE","HELD")</x:f>
        <x:v>HELD</x:v>
      </x:c>
      <x:c r="J43" s="79" t="n">
        <x:f>IF(I43="ELIGIBLE",E43,0)</x:f>
        <x:v>0</x:v>
      </x:c>
      <x:c r="K43" s="84" t="n">
        <x:v>0</x:v>
      </x:c>
      <x:c r="L43" s="80" t="str">
        <x:f>IF(K43&lt;=J43,"CONTROLLED","OVERPAID")</x:f>
        <x:v>CONTROLLED</x:v>
      </x:c>
      <x:c r="M43" s="103"/>
      <x:c r="N43" s="103"/>
    </x:row>
    <x:row r="44">
      <x:c r="A44" s="62" t="str">
        <x:v>C038</x:v>
      </x:c>
      <x:c r="B44" s="62" t="str">
        <x:v>P07</x:v>
      </x:c>
      <x:c r="C44" s="62" t="str">
        <x:v>M2 Executable causal ledger</x:v>
      </x:c>
      <x:c r="D44" s="72" t="n">
        <x:v>0.2</x:v>
      </x:c>
      <x:c r="E44" s="79" t="n">
        <x:f>D44*INDEX('Package Build'!$H$7:$H$36,MATCH(B44,'Package Build'!$A$7:$A$36,0))</x:f>
        <x:v>1.2916666666666667</x:v>
      </x:c>
      <x:c r="F44" s="82" t="n">
        <x:v>0</x:v>
      </x:c>
      <x:c r="G44" s="82" t="n">
        <x:v>0</x:v>
      </x:c>
      <x:c r="H44" s="82" t="n">
        <x:v>0</x:v>
      </x:c>
      <x:c r="I44" s="80" t="str">
        <x:f>IF(AND(F44=1,G44=1,H44=1,Inputs!$B$18=0,Inputs!$B$19=0),"ELIGIBLE","HELD")</x:f>
        <x:v>HELD</x:v>
      </x:c>
      <x:c r="J44" s="79" t="n">
        <x:f>IF(I44="ELIGIBLE",E44,0)</x:f>
        <x:v>0</x:v>
      </x:c>
      <x:c r="K44" s="84" t="n">
        <x:v>0</x:v>
      </x:c>
      <x:c r="L44" s="80" t="str">
        <x:f>IF(K44&lt;=J44,"CONTROLLED","OVERPAID")</x:f>
        <x:v>CONTROLLED</x:v>
      </x:c>
      <x:c r="M44" s="103"/>
      <x:c r="N44" s="103"/>
    </x:row>
    <x:row r="45">
      <x:c r="A45" s="62" t="str">
        <x:v>C039</x:v>
      </x:c>
      <x:c r="B45" s="62" t="str">
        <x:v>P07</x:v>
      </x:c>
      <x:c r="C45" s="62" t="str">
        <x:v>M3 Dependency and unknown register</x:v>
      </x:c>
      <x:c r="D45" s="72" t="n">
        <x:v>0.15</x:v>
      </x:c>
      <x:c r="E45" s="79" t="n">
        <x:f>D45*INDEX('Package Build'!$H$7:$H$36,MATCH(B45,'Package Build'!$A$7:$A$36,0))</x:f>
        <x:v>0.9687499999999999</x:v>
      </x:c>
      <x:c r="F45" s="82" t="n">
        <x:v>0</x:v>
      </x:c>
      <x:c r="G45" s="82" t="n">
        <x:v>0</x:v>
      </x:c>
      <x:c r="H45" s="82" t="n">
        <x:v>0</x:v>
      </x:c>
      <x:c r="I45" s="80" t="str">
        <x:f>IF(AND(F45=1,G45=1,H45=1,Inputs!$B$18=0,Inputs!$B$19=0),"ELIGIBLE","HELD")</x:f>
        <x:v>HELD</x:v>
      </x:c>
      <x:c r="J45" s="79" t="n">
        <x:f>IF(I45="ELIGIBLE",E45,0)</x:f>
        <x:v>0</x:v>
      </x:c>
      <x:c r="K45" s="84" t="n">
        <x:v>0</x:v>
      </x:c>
      <x:c r="L45" s="80" t="str">
        <x:f>IF(K45&lt;=J45,"CONTROLLED","OVERPAID")</x:f>
        <x:v>CONTROLLED</x:v>
      </x:c>
      <x:c r="M45" s="103"/>
      <x:c r="N45" s="103"/>
    </x:row>
    <x:row r="46">
      <x:c r="A46" s="62" t="str">
        <x:v>C040</x:v>
      </x:c>
      <x:c r="B46" s="62" t="str">
        <x:v>P07</x:v>
      </x:c>
      <x:c r="C46" s="62" t="str">
        <x:v>M4 Independent clean-room replay</x:v>
      </x:c>
      <x:c r="D46" s="72" t="n">
        <x:v>0.25</x:v>
      </x:c>
      <x:c r="E46" s="79" t="n">
        <x:f>D46*INDEX('Package Build'!$H$7:$H$36,MATCH(B46,'Package Build'!$A$7:$A$36,0))</x:f>
        <x:v>1.6145833333333333</x:v>
      </x:c>
      <x:c r="F46" s="82" t="n">
        <x:v>0</x:v>
      </x:c>
      <x:c r="G46" s="82" t="n">
        <x:v>0</x:v>
      </x:c>
      <x:c r="H46" s="82" t="n">
        <x:v>0</x:v>
      </x:c>
      <x:c r="I46" s="80" t="str">
        <x:f>IF(AND(F46=1,G46=1,H46=1,Inputs!$B$18=0,Inputs!$B$19=0),"ELIGIBLE","HELD")</x:f>
        <x:v>HELD</x:v>
      </x:c>
      <x:c r="J46" s="79" t="n">
        <x:f>IF(I46="ELIGIBLE",E46,0)</x:f>
        <x:v>0</x:v>
      </x:c>
      <x:c r="K46" s="84" t="n">
        <x:v>0</x:v>
      </x:c>
      <x:c r="L46" s="80" t="str">
        <x:f>IF(K46&lt;=J46,"CONTROLLED","OVERPAID")</x:f>
        <x:v>CONTROLLED</x:v>
      </x:c>
      <x:c r="M46" s="103"/>
      <x:c r="N46" s="103"/>
    </x:row>
    <x:row r="47">
      <x:c r="A47" s="62" t="str">
        <x:v>C041</x:v>
      </x:c>
      <x:c r="B47" s="62" t="str">
        <x:v>P07</x:v>
      </x:c>
      <x:c r="C47" s="62" t="str">
        <x:v>M5 Rights, receiver and residual closure</x:v>
      </x:c>
      <x:c r="D47" s="72" t="n">
        <x:v>0.2</x:v>
      </x:c>
      <x:c r="E47" s="79" t="n">
        <x:f>D47*INDEX('Package Build'!$H$7:$H$36,MATCH(B47,'Package Build'!$A$7:$A$36,0))</x:f>
        <x:v>1.2916666666666667</x:v>
      </x:c>
      <x:c r="F47" s="82" t="n">
        <x:v>0</x:v>
      </x:c>
      <x:c r="G47" s="82" t="n">
        <x:v>0</x:v>
      </x:c>
      <x:c r="H47" s="82" t="n">
        <x:v>0</x:v>
      </x:c>
      <x:c r="I47" s="80" t="str">
        <x:f>IF(AND(F47=1,G47=1,H47=1,Inputs!$B$18=0,Inputs!$B$19=0),"ELIGIBLE","HELD")</x:f>
        <x:v>HELD</x:v>
      </x:c>
      <x:c r="J47" s="79" t="n">
        <x:f>IF(I47="ELIGIBLE",E47,0)</x:f>
        <x:v>0</x:v>
      </x:c>
      <x:c r="K47" s="84" t="n">
        <x:v>0</x:v>
      </x:c>
      <x:c r="L47" s="80" t="str">
        <x:f>IF(K47&lt;=J47,"CONTROLLED","OVERPAID")</x:f>
        <x:v>CONTROLLED</x:v>
      </x:c>
      <x:c r="M47" s="103"/>
      <x:c r="N47" s="103"/>
    </x:row>
    <x:row r="48">
      <x:c r="A48" s="62" t="str">
        <x:v>C042</x:v>
      </x:c>
      <x:c r="B48" s="62" t="str">
        <x:v>P07</x:v>
      </x:c>
      <x:c r="C48" s="62" t="str">
        <x:v>M6 Challenge closure and terminal archive</x:v>
      </x:c>
      <x:c r="D48" s="72" t="n">
        <x:v>0.1</x:v>
      </x:c>
      <x:c r="E48" s="79" t="n">
        <x:f>D48*INDEX('Package Build'!$H$7:$H$36,MATCH(B48,'Package Build'!$A$7:$A$36,0))</x:f>
        <x:v>0.6458333333333334</x:v>
      </x:c>
      <x:c r="F48" s="82" t="n">
        <x:v>0</x:v>
      </x:c>
      <x:c r="G48" s="82" t="n">
        <x:v>0</x:v>
      </x:c>
      <x:c r="H48" s="82" t="n">
        <x:v>0</x:v>
      </x:c>
      <x:c r="I48" s="80" t="str">
        <x:f>IF(AND(F48=1,G48=1,H48=1,Inputs!$B$18=0,Inputs!$B$19=0),"ELIGIBLE","HELD")</x:f>
        <x:v>HELD</x:v>
      </x:c>
      <x:c r="J48" s="79" t="n">
        <x:f>IF(I48="ELIGIBLE",E48,0)</x:f>
        <x:v>0</x:v>
      </x:c>
      <x:c r="K48" s="84" t="n">
        <x:v>0</x:v>
      </x:c>
      <x:c r="L48" s="80" t="str">
        <x:f>IF(K48&lt;=J48,"CONTROLLED","OVERPAID")</x:f>
        <x:v>CONTROLLED</x:v>
      </x:c>
      <x:c r="M48" s="103"/>
      <x:c r="N48" s="103"/>
    </x:row>
    <x:row r="49">
      <x:c r="A49" s="62" t="str">
        <x:v>C043</x:v>
      </x:c>
      <x:c r="B49" s="62" t="str">
        <x:v>P08</x:v>
      </x:c>
      <x:c r="C49" s="62" t="str">
        <x:v>M1 Source capsule</x:v>
      </x:c>
      <x:c r="D49" s="72" t="n">
        <x:v>0.1</x:v>
      </x:c>
      <x:c r="E49" s="79" t="n">
        <x:f>D49*INDEX('Package Build'!$H$7:$H$36,MATCH(B49,'Package Build'!$A$7:$A$36,0))</x:f>
        <x:v>0.38749999999999996</x:v>
      </x:c>
      <x:c r="F49" s="82" t="n">
        <x:v>0</x:v>
      </x:c>
      <x:c r="G49" s="82" t="n">
        <x:v>0</x:v>
      </x:c>
      <x:c r="H49" s="82" t="n">
        <x:v>0</x:v>
      </x:c>
      <x:c r="I49" s="80" t="str">
        <x:f>IF(AND(F49=1,G49=1,H49=1,Inputs!$B$18=0,Inputs!$B$19=0),"ELIGIBLE","HELD")</x:f>
        <x:v>HELD</x:v>
      </x:c>
      <x:c r="J49" s="79" t="n">
        <x:f>IF(I49="ELIGIBLE",E49,0)</x:f>
        <x:v>0</x:v>
      </x:c>
      <x:c r="K49" s="84" t="n">
        <x:v>0</x:v>
      </x:c>
      <x:c r="L49" s="80" t="str">
        <x:f>IF(K49&lt;=J49,"CONTROLLED","OVERPAID")</x:f>
        <x:v>CONTROLLED</x:v>
      </x:c>
      <x:c r="M49" s="103"/>
      <x:c r="N49" s="103"/>
    </x:row>
    <x:row r="50">
      <x:c r="A50" s="62" t="str">
        <x:v>C044</x:v>
      </x:c>
      <x:c r="B50" s="62" t="str">
        <x:v>P08</x:v>
      </x:c>
      <x:c r="C50" s="62" t="str">
        <x:v>M2 Executable causal ledger</x:v>
      </x:c>
      <x:c r="D50" s="72" t="n">
        <x:v>0.2</x:v>
      </x:c>
      <x:c r="E50" s="79" t="n">
        <x:f>D50*INDEX('Package Build'!$H$7:$H$36,MATCH(B50,'Package Build'!$A$7:$A$36,0))</x:f>
        <x:v>0.7749999999999999</x:v>
      </x:c>
      <x:c r="F50" s="82" t="n">
        <x:v>0</x:v>
      </x:c>
      <x:c r="G50" s="82" t="n">
        <x:v>0</x:v>
      </x:c>
      <x:c r="H50" s="82" t="n">
        <x:v>0</x:v>
      </x:c>
      <x:c r="I50" s="80" t="str">
        <x:f>IF(AND(F50=1,G50=1,H50=1,Inputs!$B$18=0,Inputs!$B$19=0),"ELIGIBLE","HELD")</x:f>
        <x:v>HELD</x:v>
      </x:c>
      <x:c r="J50" s="79" t="n">
        <x:f>IF(I50="ELIGIBLE",E50,0)</x:f>
        <x:v>0</x:v>
      </x:c>
      <x:c r="K50" s="84" t="n">
        <x:v>0</x:v>
      </x:c>
      <x:c r="L50" s="80" t="str">
        <x:f>IF(K50&lt;=J50,"CONTROLLED","OVERPAID")</x:f>
        <x:v>CONTROLLED</x:v>
      </x:c>
      <x:c r="M50" s="103"/>
      <x:c r="N50" s="103"/>
    </x:row>
    <x:row r="51">
      <x:c r="A51" s="62" t="str">
        <x:v>C045</x:v>
      </x:c>
      <x:c r="B51" s="62" t="str">
        <x:v>P08</x:v>
      </x:c>
      <x:c r="C51" s="62" t="str">
        <x:v>M3 Dependency and unknown register</x:v>
      </x:c>
      <x:c r="D51" s="72" t="n">
        <x:v>0.15</x:v>
      </x:c>
      <x:c r="E51" s="79" t="n">
        <x:f>D51*INDEX('Package Build'!$H$7:$H$36,MATCH(B51,'Package Build'!$A$7:$A$36,0))</x:f>
        <x:v>0.5812499999999999</x:v>
      </x:c>
      <x:c r="F51" s="82" t="n">
        <x:v>0</x:v>
      </x:c>
      <x:c r="G51" s="82" t="n">
        <x:v>0</x:v>
      </x:c>
      <x:c r="H51" s="82" t="n">
        <x:v>0</x:v>
      </x:c>
      <x:c r="I51" s="80" t="str">
        <x:f>IF(AND(F51=1,G51=1,H51=1,Inputs!$B$18=0,Inputs!$B$19=0),"ELIGIBLE","HELD")</x:f>
        <x:v>HELD</x:v>
      </x:c>
      <x:c r="J51" s="79" t="n">
        <x:f>IF(I51="ELIGIBLE",E51,0)</x:f>
        <x:v>0</x:v>
      </x:c>
      <x:c r="K51" s="84" t="n">
        <x:v>0</x:v>
      </x:c>
      <x:c r="L51" s="80" t="str">
        <x:f>IF(K51&lt;=J51,"CONTROLLED","OVERPAID")</x:f>
        <x:v>CONTROLLED</x:v>
      </x:c>
      <x:c r="M51" s="103"/>
      <x:c r="N51" s="103"/>
    </x:row>
    <x:row r="52">
      <x:c r="A52" s="62" t="str">
        <x:v>C046</x:v>
      </x:c>
      <x:c r="B52" s="62" t="str">
        <x:v>P08</x:v>
      </x:c>
      <x:c r="C52" s="62" t="str">
        <x:v>M4 Independent clean-room replay</x:v>
      </x:c>
      <x:c r="D52" s="72" t="n">
        <x:v>0.25</x:v>
      </x:c>
      <x:c r="E52" s="79" t="n">
        <x:f>D52*INDEX('Package Build'!$H$7:$H$36,MATCH(B52,'Package Build'!$A$7:$A$36,0))</x:f>
        <x:v>0.9687499999999999</x:v>
      </x:c>
      <x:c r="F52" s="82" t="n">
        <x:v>0</x:v>
      </x:c>
      <x:c r="G52" s="82" t="n">
        <x:v>0</x:v>
      </x:c>
      <x:c r="H52" s="82" t="n">
        <x:v>0</x:v>
      </x:c>
      <x:c r="I52" s="80" t="str">
        <x:f>IF(AND(F52=1,G52=1,H52=1,Inputs!$B$18=0,Inputs!$B$19=0),"ELIGIBLE","HELD")</x:f>
        <x:v>HELD</x:v>
      </x:c>
      <x:c r="J52" s="79" t="n">
        <x:f>IF(I52="ELIGIBLE",E52,0)</x:f>
        <x:v>0</x:v>
      </x:c>
      <x:c r="K52" s="84" t="n">
        <x:v>0</x:v>
      </x:c>
      <x:c r="L52" s="80" t="str">
        <x:f>IF(K52&lt;=J52,"CONTROLLED","OVERPAID")</x:f>
        <x:v>CONTROLLED</x:v>
      </x:c>
      <x:c r="M52" s="103"/>
      <x:c r="N52" s="103"/>
    </x:row>
    <x:row r="53">
      <x:c r="A53" s="62" t="str">
        <x:v>C047</x:v>
      </x:c>
      <x:c r="B53" s="62" t="str">
        <x:v>P08</x:v>
      </x:c>
      <x:c r="C53" s="62" t="str">
        <x:v>M5 Rights, receiver and residual closure</x:v>
      </x:c>
      <x:c r="D53" s="72" t="n">
        <x:v>0.2</x:v>
      </x:c>
      <x:c r="E53" s="79" t="n">
        <x:f>D53*INDEX('Package Build'!$H$7:$H$36,MATCH(B53,'Package Build'!$A$7:$A$36,0))</x:f>
        <x:v>0.7749999999999999</x:v>
      </x:c>
      <x:c r="F53" s="82" t="n">
        <x:v>0</x:v>
      </x:c>
      <x:c r="G53" s="82" t="n">
        <x:v>0</x:v>
      </x:c>
      <x:c r="H53" s="82" t="n">
        <x:v>0</x:v>
      </x:c>
      <x:c r="I53" s="80" t="str">
        <x:f>IF(AND(F53=1,G53=1,H53=1,Inputs!$B$18=0,Inputs!$B$19=0),"ELIGIBLE","HELD")</x:f>
        <x:v>HELD</x:v>
      </x:c>
      <x:c r="J53" s="79" t="n">
        <x:f>IF(I53="ELIGIBLE",E53,0)</x:f>
        <x:v>0</x:v>
      </x:c>
      <x:c r="K53" s="84" t="n">
        <x:v>0</x:v>
      </x:c>
      <x:c r="L53" s="80" t="str">
        <x:f>IF(K53&lt;=J53,"CONTROLLED","OVERPAID")</x:f>
        <x:v>CONTROLLED</x:v>
      </x:c>
      <x:c r="M53" s="103"/>
      <x:c r="N53" s="103"/>
    </x:row>
    <x:row r="54">
      <x:c r="A54" s="62" t="str">
        <x:v>C048</x:v>
      </x:c>
      <x:c r="B54" s="62" t="str">
        <x:v>P08</x:v>
      </x:c>
      <x:c r="C54" s="62" t="str">
        <x:v>M6 Challenge closure and terminal archive</x:v>
      </x:c>
      <x:c r="D54" s="72" t="n">
        <x:v>0.1</x:v>
      </x:c>
      <x:c r="E54" s="79" t="n">
        <x:f>D54*INDEX('Package Build'!$H$7:$H$36,MATCH(B54,'Package Build'!$A$7:$A$36,0))</x:f>
        <x:v>0.38749999999999996</x:v>
      </x:c>
      <x:c r="F54" s="82" t="n">
        <x:v>0</x:v>
      </x:c>
      <x:c r="G54" s="82" t="n">
        <x:v>0</x:v>
      </x:c>
      <x:c r="H54" s="82" t="n">
        <x:v>0</x:v>
      </x:c>
      <x:c r="I54" s="80" t="str">
        <x:f>IF(AND(F54=1,G54=1,H54=1,Inputs!$B$18=0,Inputs!$B$19=0),"ELIGIBLE","HELD")</x:f>
        <x:v>HELD</x:v>
      </x:c>
      <x:c r="J54" s="79" t="n">
        <x:f>IF(I54="ELIGIBLE",E54,0)</x:f>
        <x:v>0</x:v>
      </x:c>
      <x:c r="K54" s="84" t="n">
        <x:v>0</x:v>
      </x:c>
      <x:c r="L54" s="80" t="str">
        <x:f>IF(K54&lt;=J54,"CONTROLLED","OVERPAID")</x:f>
        <x:v>CONTROLLED</x:v>
      </x:c>
      <x:c r="M54" s="103"/>
      <x:c r="N54" s="103"/>
    </x:row>
    <x:row r="55">
      <x:c r="A55" s="62" t="str">
        <x:v>C049</x:v>
      </x:c>
      <x:c r="B55" s="62" t="str">
        <x:v>P09</x:v>
      </x:c>
      <x:c r="C55" s="62" t="str">
        <x:v>M1 Source capsule</x:v>
      </x:c>
      <x:c r="D55" s="72" t="n">
        <x:v>0.1</x:v>
      </x:c>
      <x:c r="E55" s="79" t="n">
        <x:f>D55*INDEX('Package Build'!$H$7:$H$36,MATCH(B55,'Package Build'!$A$7:$A$36,0))</x:f>
        <x:v>0.6458333333333334</x:v>
      </x:c>
      <x:c r="F55" s="82" t="n">
        <x:v>0</x:v>
      </x:c>
      <x:c r="G55" s="82" t="n">
        <x:v>0</x:v>
      </x:c>
      <x:c r="H55" s="82" t="n">
        <x:v>0</x:v>
      </x:c>
      <x:c r="I55" s="80" t="str">
        <x:f>IF(AND(F55=1,G55=1,H55=1,Inputs!$B$18=0,Inputs!$B$19=0),"ELIGIBLE","HELD")</x:f>
        <x:v>HELD</x:v>
      </x:c>
      <x:c r="J55" s="79" t="n">
        <x:f>IF(I55="ELIGIBLE",E55,0)</x:f>
        <x:v>0</x:v>
      </x:c>
      <x:c r="K55" s="84" t="n">
        <x:v>0</x:v>
      </x:c>
      <x:c r="L55" s="80" t="str">
        <x:f>IF(K55&lt;=J55,"CONTROLLED","OVERPAID")</x:f>
        <x:v>CONTROLLED</x:v>
      </x:c>
      <x:c r="M55" s="103"/>
      <x:c r="N55" s="103"/>
    </x:row>
    <x:row r="56">
      <x:c r="A56" s="62" t="str">
        <x:v>C050</x:v>
      </x:c>
      <x:c r="B56" s="62" t="str">
        <x:v>P09</x:v>
      </x:c>
      <x:c r="C56" s="62" t="str">
        <x:v>M2 Executable causal ledger</x:v>
      </x:c>
      <x:c r="D56" s="72" t="n">
        <x:v>0.2</x:v>
      </x:c>
      <x:c r="E56" s="79" t="n">
        <x:f>D56*INDEX('Package Build'!$H$7:$H$36,MATCH(B56,'Package Build'!$A$7:$A$36,0))</x:f>
        <x:v>1.2916666666666667</x:v>
      </x:c>
      <x:c r="F56" s="82" t="n">
        <x:v>0</x:v>
      </x:c>
      <x:c r="G56" s="82" t="n">
        <x:v>0</x:v>
      </x:c>
      <x:c r="H56" s="82" t="n">
        <x:v>0</x:v>
      </x:c>
      <x:c r="I56" s="80" t="str">
        <x:f>IF(AND(F56=1,G56=1,H56=1,Inputs!$B$18=0,Inputs!$B$19=0),"ELIGIBLE","HELD")</x:f>
        <x:v>HELD</x:v>
      </x:c>
      <x:c r="J56" s="79" t="n">
        <x:f>IF(I56="ELIGIBLE",E56,0)</x:f>
        <x:v>0</x:v>
      </x:c>
      <x:c r="K56" s="84" t="n">
        <x:v>0</x:v>
      </x:c>
      <x:c r="L56" s="80" t="str">
        <x:f>IF(K56&lt;=J56,"CONTROLLED","OVERPAID")</x:f>
        <x:v>CONTROLLED</x:v>
      </x:c>
      <x:c r="M56" s="103"/>
      <x:c r="N56" s="103"/>
    </x:row>
    <x:row r="57">
      <x:c r="A57" s="62" t="str">
        <x:v>C051</x:v>
      </x:c>
      <x:c r="B57" s="62" t="str">
        <x:v>P09</x:v>
      </x:c>
      <x:c r="C57" s="62" t="str">
        <x:v>M3 Dependency and unknown register</x:v>
      </x:c>
      <x:c r="D57" s="72" t="n">
        <x:v>0.15</x:v>
      </x:c>
      <x:c r="E57" s="79" t="n">
        <x:f>D57*INDEX('Package Build'!$H$7:$H$36,MATCH(B57,'Package Build'!$A$7:$A$36,0))</x:f>
        <x:v>0.9687499999999999</x:v>
      </x:c>
      <x:c r="F57" s="82" t="n">
        <x:v>0</x:v>
      </x:c>
      <x:c r="G57" s="82" t="n">
        <x:v>0</x:v>
      </x:c>
      <x:c r="H57" s="82" t="n">
        <x:v>0</x:v>
      </x:c>
      <x:c r="I57" s="80" t="str">
        <x:f>IF(AND(F57=1,G57=1,H57=1,Inputs!$B$18=0,Inputs!$B$19=0),"ELIGIBLE","HELD")</x:f>
        <x:v>HELD</x:v>
      </x:c>
      <x:c r="J57" s="79" t="n">
        <x:f>IF(I57="ELIGIBLE",E57,0)</x:f>
        <x:v>0</x:v>
      </x:c>
      <x:c r="K57" s="84" t="n">
        <x:v>0</x:v>
      </x:c>
      <x:c r="L57" s="80" t="str">
        <x:f>IF(K57&lt;=J57,"CONTROLLED","OVERPAID")</x:f>
        <x:v>CONTROLLED</x:v>
      </x:c>
      <x:c r="M57" s="103"/>
      <x:c r="N57" s="103"/>
    </x:row>
    <x:row r="58">
      <x:c r="A58" s="62" t="str">
        <x:v>C052</x:v>
      </x:c>
      <x:c r="B58" s="62" t="str">
        <x:v>P09</x:v>
      </x:c>
      <x:c r="C58" s="62" t="str">
        <x:v>M4 Independent clean-room replay</x:v>
      </x:c>
      <x:c r="D58" s="72" t="n">
        <x:v>0.25</x:v>
      </x:c>
      <x:c r="E58" s="79" t="n">
        <x:f>D58*INDEX('Package Build'!$H$7:$H$36,MATCH(B58,'Package Build'!$A$7:$A$36,0))</x:f>
        <x:v>1.6145833333333333</x:v>
      </x:c>
      <x:c r="F58" s="82" t="n">
        <x:v>0</x:v>
      </x:c>
      <x:c r="G58" s="82" t="n">
        <x:v>0</x:v>
      </x:c>
      <x:c r="H58" s="82" t="n">
        <x:v>0</x:v>
      </x:c>
      <x:c r="I58" s="80" t="str">
        <x:f>IF(AND(F58=1,G58=1,H58=1,Inputs!$B$18=0,Inputs!$B$19=0),"ELIGIBLE","HELD")</x:f>
        <x:v>HELD</x:v>
      </x:c>
      <x:c r="J58" s="79" t="n">
        <x:f>IF(I58="ELIGIBLE",E58,0)</x:f>
        <x:v>0</x:v>
      </x:c>
      <x:c r="K58" s="84" t="n">
        <x:v>0</x:v>
      </x:c>
      <x:c r="L58" s="80" t="str">
        <x:f>IF(K58&lt;=J58,"CONTROLLED","OVERPAID")</x:f>
        <x:v>CONTROLLED</x:v>
      </x:c>
      <x:c r="M58" s="103"/>
      <x:c r="N58" s="103"/>
    </x:row>
    <x:row r="59">
      <x:c r="A59" s="62" t="str">
        <x:v>C053</x:v>
      </x:c>
      <x:c r="B59" s="62" t="str">
        <x:v>P09</x:v>
      </x:c>
      <x:c r="C59" s="62" t="str">
        <x:v>M5 Rights, receiver and residual closure</x:v>
      </x:c>
      <x:c r="D59" s="72" t="n">
        <x:v>0.2</x:v>
      </x:c>
      <x:c r="E59" s="79" t="n">
        <x:f>D59*INDEX('Package Build'!$H$7:$H$36,MATCH(B59,'Package Build'!$A$7:$A$36,0))</x:f>
        <x:v>1.2916666666666667</x:v>
      </x:c>
      <x:c r="F59" s="82" t="n">
        <x:v>0</x:v>
      </x:c>
      <x:c r="G59" s="82" t="n">
        <x:v>0</x:v>
      </x:c>
      <x:c r="H59" s="82" t="n">
        <x:v>0</x:v>
      </x:c>
      <x:c r="I59" s="80" t="str">
        <x:f>IF(AND(F59=1,G59=1,H59=1,Inputs!$B$18=0,Inputs!$B$19=0),"ELIGIBLE","HELD")</x:f>
        <x:v>HELD</x:v>
      </x:c>
      <x:c r="J59" s="79" t="n">
        <x:f>IF(I59="ELIGIBLE",E59,0)</x:f>
        <x:v>0</x:v>
      </x:c>
      <x:c r="K59" s="84" t="n">
        <x:v>0</x:v>
      </x:c>
      <x:c r="L59" s="80" t="str">
        <x:f>IF(K59&lt;=J59,"CONTROLLED","OVERPAID")</x:f>
        <x:v>CONTROLLED</x:v>
      </x:c>
      <x:c r="M59" s="103"/>
      <x:c r="N59" s="103"/>
    </x:row>
    <x:row r="60">
      <x:c r="A60" s="62" t="str">
        <x:v>C054</x:v>
      </x:c>
      <x:c r="B60" s="62" t="str">
        <x:v>P09</x:v>
      </x:c>
      <x:c r="C60" s="62" t="str">
        <x:v>M6 Challenge closure and terminal archive</x:v>
      </x:c>
      <x:c r="D60" s="72" t="n">
        <x:v>0.1</x:v>
      </x:c>
      <x:c r="E60" s="79" t="n">
        <x:f>D60*INDEX('Package Build'!$H$7:$H$36,MATCH(B60,'Package Build'!$A$7:$A$36,0))</x:f>
        <x:v>0.6458333333333334</x:v>
      </x:c>
      <x:c r="F60" s="82" t="n">
        <x:v>0</x:v>
      </x:c>
      <x:c r="G60" s="82" t="n">
        <x:v>0</x:v>
      </x:c>
      <x:c r="H60" s="82" t="n">
        <x:v>0</x:v>
      </x:c>
      <x:c r="I60" s="80" t="str">
        <x:f>IF(AND(F60=1,G60=1,H60=1,Inputs!$B$18=0,Inputs!$B$19=0),"ELIGIBLE","HELD")</x:f>
        <x:v>HELD</x:v>
      </x:c>
      <x:c r="J60" s="79" t="n">
        <x:f>IF(I60="ELIGIBLE",E60,0)</x:f>
        <x:v>0</x:v>
      </x:c>
      <x:c r="K60" s="84" t="n">
        <x:v>0</x:v>
      </x:c>
      <x:c r="L60" s="80" t="str">
        <x:f>IF(K60&lt;=J60,"CONTROLLED","OVERPAID")</x:f>
        <x:v>CONTROLLED</x:v>
      </x:c>
      <x:c r="M60" s="103"/>
      <x:c r="N60" s="103"/>
    </x:row>
    <x:row r="61">
      <x:c r="A61" s="62" t="str">
        <x:v>C055</x:v>
      </x:c>
      <x:c r="B61" s="62" t="str">
        <x:v>P10</x:v>
      </x:c>
      <x:c r="C61" s="62" t="str">
        <x:v>M1 Source capsule</x:v>
      </x:c>
      <x:c r="D61" s="72" t="n">
        <x:v>0.1</x:v>
      </x:c>
      <x:c r="E61" s="79" t="n">
        <x:f>D61*INDEX('Package Build'!$H$7:$H$36,MATCH(B61,'Package Build'!$A$7:$A$36,0))</x:f>
        <x:v>0.38749999999999996</x:v>
      </x:c>
      <x:c r="F61" s="82" t="n">
        <x:v>0</x:v>
      </x:c>
      <x:c r="G61" s="82" t="n">
        <x:v>0</x:v>
      </x:c>
      <x:c r="H61" s="82" t="n">
        <x:v>0</x:v>
      </x:c>
      <x:c r="I61" s="80" t="str">
        <x:f>IF(AND(F61=1,G61=1,H61=1,Inputs!$B$18=0,Inputs!$B$19=0),"ELIGIBLE","HELD")</x:f>
        <x:v>HELD</x:v>
      </x:c>
      <x:c r="J61" s="79" t="n">
        <x:f>IF(I61="ELIGIBLE",E61,0)</x:f>
        <x:v>0</x:v>
      </x:c>
      <x:c r="K61" s="84" t="n">
        <x:v>0</x:v>
      </x:c>
      <x:c r="L61" s="80" t="str">
        <x:f>IF(K61&lt;=J61,"CONTROLLED","OVERPAID")</x:f>
        <x:v>CONTROLLED</x:v>
      </x:c>
      <x:c r="M61" s="103"/>
      <x:c r="N61" s="103"/>
    </x:row>
    <x:row r="62">
      <x:c r="A62" s="62" t="str">
        <x:v>C056</x:v>
      </x:c>
      <x:c r="B62" s="62" t="str">
        <x:v>P10</x:v>
      </x:c>
      <x:c r="C62" s="62" t="str">
        <x:v>M2 Executable causal ledger</x:v>
      </x:c>
      <x:c r="D62" s="72" t="n">
        <x:v>0.2</x:v>
      </x:c>
      <x:c r="E62" s="79" t="n">
        <x:f>D62*INDEX('Package Build'!$H$7:$H$36,MATCH(B62,'Package Build'!$A$7:$A$36,0))</x:f>
        <x:v>0.7749999999999999</x:v>
      </x:c>
      <x:c r="F62" s="82" t="n">
        <x:v>0</x:v>
      </x:c>
      <x:c r="G62" s="82" t="n">
        <x:v>0</x:v>
      </x:c>
      <x:c r="H62" s="82" t="n">
        <x:v>0</x:v>
      </x:c>
      <x:c r="I62" s="80" t="str">
        <x:f>IF(AND(F62=1,G62=1,H62=1,Inputs!$B$18=0,Inputs!$B$19=0),"ELIGIBLE","HELD")</x:f>
        <x:v>HELD</x:v>
      </x:c>
      <x:c r="J62" s="79" t="n">
        <x:f>IF(I62="ELIGIBLE",E62,0)</x:f>
        <x:v>0</x:v>
      </x:c>
      <x:c r="K62" s="84" t="n">
        <x:v>0</x:v>
      </x:c>
      <x:c r="L62" s="80" t="str">
        <x:f>IF(K62&lt;=J62,"CONTROLLED","OVERPAID")</x:f>
        <x:v>CONTROLLED</x:v>
      </x:c>
      <x:c r="M62" s="103"/>
      <x:c r="N62" s="103"/>
    </x:row>
    <x:row r="63">
      <x:c r="A63" s="62" t="str">
        <x:v>C057</x:v>
      </x:c>
      <x:c r="B63" s="62" t="str">
        <x:v>P10</x:v>
      </x:c>
      <x:c r="C63" s="62" t="str">
        <x:v>M3 Dependency and unknown register</x:v>
      </x:c>
      <x:c r="D63" s="72" t="n">
        <x:v>0.15</x:v>
      </x:c>
      <x:c r="E63" s="79" t="n">
        <x:f>D63*INDEX('Package Build'!$H$7:$H$36,MATCH(B63,'Package Build'!$A$7:$A$36,0))</x:f>
        <x:v>0.5812499999999999</x:v>
      </x:c>
      <x:c r="F63" s="82" t="n">
        <x:v>0</x:v>
      </x:c>
      <x:c r="G63" s="82" t="n">
        <x:v>0</x:v>
      </x:c>
      <x:c r="H63" s="82" t="n">
        <x:v>0</x:v>
      </x:c>
      <x:c r="I63" s="80" t="str">
        <x:f>IF(AND(F63=1,G63=1,H63=1,Inputs!$B$18=0,Inputs!$B$19=0),"ELIGIBLE","HELD")</x:f>
        <x:v>HELD</x:v>
      </x:c>
      <x:c r="J63" s="79" t="n">
        <x:f>IF(I63="ELIGIBLE",E63,0)</x:f>
        <x:v>0</x:v>
      </x:c>
      <x:c r="K63" s="84" t="n">
        <x:v>0</x:v>
      </x:c>
      <x:c r="L63" s="80" t="str">
        <x:f>IF(K63&lt;=J63,"CONTROLLED","OVERPAID")</x:f>
        <x:v>CONTROLLED</x:v>
      </x:c>
      <x:c r="M63" s="103"/>
      <x:c r="N63" s="103"/>
    </x:row>
    <x:row r="64">
      <x:c r="A64" s="62" t="str">
        <x:v>C058</x:v>
      </x:c>
      <x:c r="B64" s="62" t="str">
        <x:v>P10</x:v>
      </x:c>
      <x:c r="C64" s="62" t="str">
        <x:v>M4 Independent clean-room replay</x:v>
      </x:c>
      <x:c r="D64" s="72" t="n">
        <x:v>0.25</x:v>
      </x:c>
      <x:c r="E64" s="79" t="n">
        <x:f>D64*INDEX('Package Build'!$H$7:$H$36,MATCH(B64,'Package Build'!$A$7:$A$36,0))</x:f>
        <x:v>0.9687499999999999</x:v>
      </x:c>
      <x:c r="F64" s="82" t="n">
        <x:v>0</x:v>
      </x:c>
      <x:c r="G64" s="82" t="n">
        <x:v>0</x:v>
      </x:c>
      <x:c r="H64" s="82" t="n">
        <x:v>0</x:v>
      </x:c>
      <x:c r="I64" s="80" t="str">
        <x:f>IF(AND(F64=1,G64=1,H64=1,Inputs!$B$18=0,Inputs!$B$19=0),"ELIGIBLE","HELD")</x:f>
        <x:v>HELD</x:v>
      </x:c>
      <x:c r="J64" s="79" t="n">
        <x:f>IF(I64="ELIGIBLE",E64,0)</x:f>
        <x:v>0</x:v>
      </x:c>
      <x:c r="K64" s="84" t="n">
        <x:v>0</x:v>
      </x:c>
      <x:c r="L64" s="80" t="str">
        <x:f>IF(K64&lt;=J64,"CONTROLLED","OVERPAID")</x:f>
        <x:v>CONTROLLED</x:v>
      </x:c>
      <x:c r="M64" s="103"/>
      <x:c r="N64" s="103"/>
    </x:row>
    <x:row r="65">
      <x:c r="A65" s="62" t="str">
        <x:v>C059</x:v>
      </x:c>
      <x:c r="B65" s="62" t="str">
        <x:v>P10</x:v>
      </x:c>
      <x:c r="C65" s="62" t="str">
        <x:v>M5 Rights, receiver and residual closure</x:v>
      </x:c>
      <x:c r="D65" s="72" t="n">
        <x:v>0.2</x:v>
      </x:c>
      <x:c r="E65" s="79" t="n">
        <x:f>D65*INDEX('Package Build'!$H$7:$H$36,MATCH(B65,'Package Build'!$A$7:$A$36,0))</x:f>
        <x:v>0.7749999999999999</x:v>
      </x:c>
      <x:c r="F65" s="82" t="n">
        <x:v>0</x:v>
      </x:c>
      <x:c r="G65" s="82" t="n">
        <x:v>0</x:v>
      </x:c>
      <x:c r="H65" s="82" t="n">
        <x:v>0</x:v>
      </x:c>
      <x:c r="I65" s="80" t="str">
        <x:f>IF(AND(F65=1,G65=1,H65=1,Inputs!$B$18=0,Inputs!$B$19=0),"ELIGIBLE","HELD")</x:f>
        <x:v>HELD</x:v>
      </x:c>
      <x:c r="J65" s="79" t="n">
        <x:f>IF(I65="ELIGIBLE",E65,0)</x:f>
        <x:v>0</x:v>
      </x:c>
      <x:c r="K65" s="84" t="n">
        <x:v>0</x:v>
      </x:c>
      <x:c r="L65" s="80" t="str">
        <x:f>IF(K65&lt;=J65,"CONTROLLED","OVERPAID")</x:f>
        <x:v>CONTROLLED</x:v>
      </x:c>
      <x:c r="M65" s="103"/>
      <x:c r="N65" s="103"/>
    </x:row>
    <x:row r="66">
      <x:c r="A66" s="62" t="str">
        <x:v>C060</x:v>
      </x:c>
      <x:c r="B66" s="62" t="str">
        <x:v>P10</x:v>
      </x:c>
      <x:c r="C66" s="62" t="str">
        <x:v>M6 Challenge closure and terminal archive</x:v>
      </x:c>
      <x:c r="D66" s="72" t="n">
        <x:v>0.1</x:v>
      </x:c>
      <x:c r="E66" s="79" t="n">
        <x:f>D66*INDEX('Package Build'!$H$7:$H$36,MATCH(B66,'Package Build'!$A$7:$A$36,0))</x:f>
        <x:v>0.38749999999999996</x:v>
      </x:c>
      <x:c r="F66" s="82" t="n">
        <x:v>0</x:v>
      </x:c>
      <x:c r="G66" s="82" t="n">
        <x:v>0</x:v>
      </x:c>
      <x:c r="H66" s="82" t="n">
        <x:v>0</x:v>
      </x:c>
      <x:c r="I66" s="80" t="str">
        <x:f>IF(AND(F66=1,G66=1,H66=1,Inputs!$B$18=0,Inputs!$B$19=0),"ELIGIBLE","HELD")</x:f>
        <x:v>HELD</x:v>
      </x:c>
      <x:c r="J66" s="79" t="n">
        <x:f>IF(I66="ELIGIBLE",E66,0)</x:f>
        <x:v>0</x:v>
      </x:c>
      <x:c r="K66" s="84" t="n">
        <x:v>0</x:v>
      </x:c>
      <x:c r="L66" s="80" t="str">
        <x:f>IF(K66&lt;=J66,"CONTROLLED","OVERPAID")</x:f>
        <x:v>CONTROLLED</x:v>
      </x:c>
      <x:c r="M66" s="103"/>
      <x:c r="N66" s="103"/>
    </x:row>
    <x:row r="67">
      <x:c r="A67" s="62" t="str">
        <x:v>C061</x:v>
      </x:c>
      <x:c r="B67" s="62" t="str">
        <x:v>P11</x:v>
      </x:c>
      <x:c r="C67" s="62" t="str">
        <x:v>M1 Source capsule</x:v>
      </x:c>
      <x:c r="D67" s="72" t="n">
        <x:v>0.1</x:v>
      </x:c>
      <x:c r="E67" s="79" t="n">
        <x:f>D67*INDEX('Package Build'!$H$7:$H$36,MATCH(B67,'Package Build'!$A$7:$A$36,0))</x:f>
        <x:v>0.3073333333333334</x:v>
      </x:c>
      <x:c r="F67" s="82" t="n">
        <x:v>0</x:v>
      </x:c>
      <x:c r="G67" s="82" t="n">
        <x:v>0</x:v>
      </x:c>
      <x:c r="H67" s="82" t="n">
        <x:v>0</x:v>
      </x:c>
      <x:c r="I67" s="80" t="str">
        <x:f>IF(AND(F67=1,G67=1,H67=1,Inputs!$B$18=0,Inputs!$B$19=0),"ELIGIBLE","HELD")</x:f>
        <x:v>HELD</x:v>
      </x:c>
      <x:c r="J67" s="79" t="n">
        <x:f>IF(I67="ELIGIBLE",E67,0)</x:f>
        <x:v>0</x:v>
      </x:c>
      <x:c r="K67" s="84" t="n">
        <x:v>0</x:v>
      </x:c>
      <x:c r="L67" s="80" t="str">
        <x:f>IF(K67&lt;=J67,"CONTROLLED","OVERPAID")</x:f>
        <x:v>CONTROLLED</x:v>
      </x:c>
      <x:c r="M67" s="103"/>
      <x:c r="N67" s="103"/>
    </x:row>
    <x:row r="68">
      <x:c r="A68" s="62" t="str">
        <x:v>C062</x:v>
      </x:c>
      <x:c r="B68" s="62" t="str">
        <x:v>P11</x:v>
      </x:c>
      <x:c r="C68" s="62" t="str">
        <x:v>M2 Executable causal ledger</x:v>
      </x:c>
      <x:c r="D68" s="72" t="n">
        <x:v>0.2</x:v>
      </x:c>
      <x:c r="E68" s="79" t="n">
        <x:f>D68*INDEX('Package Build'!$H$7:$H$36,MATCH(B68,'Package Build'!$A$7:$A$36,0))</x:f>
        <x:v>0.6146666666666668</x:v>
      </x:c>
      <x:c r="F68" s="82" t="n">
        <x:v>0</x:v>
      </x:c>
      <x:c r="G68" s="82" t="n">
        <x:v>0</x:v>
      </x:c>
      <x:c r="H68" s="82" t="n">
        <x:v>0</x:v>
      </x:c>
      <x:c r="I68" s="80" t="str">
        <x:f>IF(AND(F68=1,G68=1,H68=1,Inputs!$B$18=0,Inputs!$B$19=0),"ELIGIBLE","HELD")</x:f>
        <x:v>HELD</x:v>
      </x:c>
      <x:c r="J68" s="79" t="n">
        <x:f>IF(I68="ELIGIBLE",E68,0)</x:f>
        <x:v>0</x:v>
      </x:c>
      <x:c r="K68" s="84" t="n">
        <x:v>0</x:v>
      </x:c>
      <x:c r="L68" s="80" t="str">
        <x:f>IF(K68&lt;=J68,"CONTROLLED","OVERPAID")</x:f>
        <x:v>CONTROLLED</x:v>
      </x:c>
      <x:c r="M68" s="103"/>
      <x:c r="N68" s="103"/>
    </x:row>
    <x:row r="69">
      <x:c r="A69" s="62" t="str">
        <x:v>C063</x:v>
      </x:c>
      <x:c r="B69" s="62" t="str">
        <x:v>P11</x:v>
      </x:c>
      <x:c r="C69" s="62" t="str">
        <x:v>M3 Dependency and unknown register</x:v>
      </x:c>
      <x:c r="D69" s="72" t="n">
        <x:v>0.15</x:v>
      </x:c>
      <x:c r="E69" s="79" t="n">
        <x:f>D69*INDEX('Package Build'!$H$7:$H$36,MATCH(B69,'Package Build'!$A$7:$A$36,0))</x:f>
        <x:v>0.461</x:v>
      </x:c>
      <x:c r="F69" s="82" t="n">
        <x:v>0</x:v>
      </x:c>
      <x:c r="G69" s="82" t="n">
        <x:v>0</x:v>
      </x:c>
      <x:c r="H69" s="82" t="n">
        <x:v>0</x:v>
      </x:c>
      <x:c r="I69" s="80" t="str">
        <x:f>IF(AND(F69=1,G69=1,H69=1,Inputs!$B$18=0,Inputs!$B$19=0),"ELIGIBLE","HELD")</x:f>
        <x:v>HELD</x:v>
      </x:c>
      <x:c r="J69" s="79" t="n">
        <x:f>IF(I69="ELIGIBLE",E69,0)</x:f>
        <x:v>0</x:v>
      </x:c>
      <x:c r="K69" s="84" t="n">
        <x:v>0</x:v>
      </x:c>
      <x:c r="L69" s="80" t="str">
        <x:f>IF(K69&lt;=J69,"CONTROLLED","OVERPAID")</x:f>
        <x:v>CONTROLLED</x:v>
      </x:c>
      <x:c r="M69" s="103"/>
      <x:c r="N69" s="103"/>
    </x:row>
    <x:row r="70">
      <x:c r="A70" s="62" t="str">
        <x:v>C064</x:v>
      </x:c>
      <x:c r="B70" s="62" t="str">
        <x:v>P11</x:v>
      </x:c>
      <x:c r="C70" s="62" t="str">
        <x:v>M4 Independent clean-room replay</x:v>
      </x:c>
      <x:c r="D70" s="72" t="n">
        <x:v>0.25</x:v>
      </x:c>
      <x:c r="E70" s="79" t="n">
        <x:f>D70*INDEX('Package Build'!$H$7:$H$36,MATCH(B70,'Package Build'!$A$7:$A$36,0))</x:f>
        <x:v>0.7683333333333334</x:v>
      </x:c>
      <x:c r="F70" s="82" t="n">
        <x:v>0</x:v>
      </x:c>
      <x:c r="G70" s="82" t="n">
        <x:v>0</x:v>
      </x:c>
      <x:c r="H70" s="82" t="n">
        <x:v>0</x:v>
      </x:c>
      <x:c r="I70" s="80" t="str">
        <x:f>IF(AND(F70=1,G70=1,H70=1,Inputs!$B$18=0,Inputs!$B$19=0),"ELIGIBLE","HELD")</x:f>
        <x:v>HELD</x:v>
      </x:c>
      <x:c r="J70" s="79" t="n">
        <x:f>IF(I70="ELIGIBLE",E70,0)</x:f>
        <x:v>0</x:v>
      </x:c>
      <x:c r="K70" s="84" t="n">
        <x:v>0</x:v>
      </x:c>
      <x:c r="L70" s="80" t="str">
        <x:f>IF(K70&lt;=J70,"CONTROLLED","OVERPAID")</x:f>
        <x:v>CONTROLLED</x:v>
      </x:c>
      <x:c r="M70" s="103"/>
      <x:c r="N70" s="103"/>
    </x:row>
    <x:row r="71">
      <x:c r="A71" s="62" t="str">
        <x:v>C065</x:v>
      </x:c>
      <x:c r="B71" s="62" t="str">
        <x:v>P11</x:v>
      </x:c>
      <x:c r="C71" s="62" t="str">
        <x:v>M5 Rights, receiver and residual closure</x:v>
      </x:c>
      <x:c r="D71" s="72" t="n">
        <x:v>0.2</x:v>
      </x:c>
      <x:c r="E71" s="79" t="n">
        <x:f>D71*INDEX('Package Build'!$H$7:$H$36,MATCH(B71,'Package Build'!$A$7:$A$36,0))</x:f>
        <x:v>0.6146666666666668</x:v>
      </x:c>
      <x:c r="F71" s="82" t="n">
        <x:v>0</x:v>
      </x:c>
      <x:c r="G71" s="82" t="n">
        <x:v>0</x:v>
      </x:c>
      <x:c r="H71" s="82" t="n">
        <x:v>0</x:v>
      </x:c>
      <x:c r="I71" s="80" t="str">
        <x:f>IF(AND(F71=1,G71=1,H71=1,Inputs!$B$18=0,Inputs!$B$19=0),"ELIGIBLE","HELD")</x:f>
        <x:v>HELD</x:v>
      </x:c>
      <x:c r="J71" s="79" t="n">
        <x:f>IF(I71="ELIGIBLE",E71,0)</x:f>
        <x:v>0</x:v>
      </x:c>
      <x:c r="K71" s="84" t="n">
        <x:v>0</x:v>
      </x:c>
      <x:c r="L71" s="80" t="str">
        <x:f>IF(K71&lt;=J71,"CONTROLLED","OVERPAID")</x:f>
        <x:v>CONTROLLED</x:v>
      </x:c>
      <x:c r="M71" s="103"/>
      <x:c r="N71" s="103"/>
    </x:row>
    <x:row r="72">
      <x:c r="A72" s="62" t="str">
        <x:v>C066</x:v>
      </x:c>
      <x:c r="B72" s="62" t="str">
        <x:v>P11</x:v>
      </x:c>
      <x:c r="C72" s="62" t="str">
        <x:v>M6 Challenge closure and terminal archive</x:v>
      </x:c>
      <x:c r="D72" s="72" t="n">
        <x:v>0.1</x:v>
      </x:c>
      <x:c r="E72" s="79" t="n">
        <x:f>D72*INDEX('Package Build'!$H$7:$H$36,MATCH(B72,'Package Build'!$A$7:$A$36,0))</x:f>
        <x:v>0.3073333333333334</x:v>
      </x:c>
      <x:c r="F72" s="82" t="n">
        <x:v>0</x:v>
      </x:c>
      <x:c r="G72" s="82" t="n">
        <x:v>0</x:v>
      </x:c>
      <x:c r="H72" s="82" t="n">
        <x:v>0</x:v>
      </x:c>
      <x:c r="I72" s="80" t="str">
        <x:f>IF(AND(F72=1,G72=1,H72=1,Inputs!$B$18=0,Inputs!$B$19=0),"ELIGIBLE","HELD")</x:f>
        <x:v>HELD</x:v>
      </x:c>
      <x:c r="J72" s="79" t="n">
        <x:f>IF(I72="ELIGIBLE",E72,0)</x:f>
        <x:v>0</x:v>
      </x:c>
      <x:c r="K72" s="84" t="n">
        <x:v>0</x:v>
      </x:c>
      <x:c r="L72" s="80" t="str">
        <x:f>IF(K72&lt;=J72,"CONTROLLED","OVERPAID")</x:f>
        <x:v>CONTROLLED</x:v>
      </x:c>
      <x:c r="M72" s="103"/>
      <x:c r="N72" s="103"/>
    </x:row>
    <x:row r="73">
      <x:c r="A73" s="62" t="str">
        <x:v>C067</x:v>
      </x:c>
      <x:c r="B73" s="62" t="str">
        <x:v>P12</x:v>
      </x:c>
      <x:c r="C73" s="62" t="str">
        <x:v>M1 Source capsule</x:v>
      </x:c>
      <x:c r="D73" s="72" t="n">
        <x:v>0.1</x:v>
      </x:c>
      <x:c r="E73" s="79" t="n">
        <x:f>D73*INDEX('Package Build'!$H$7:$H$36,MATCH(B73,'Package Build'!$A$7:$A$36,0))</x:f>
        <x:v>0.3841666666666667</x:v>
      </x:c>
      <x:c r="F73" s="82" t="n">
        <x:v>0</x:v>
      </x:c>
      <x:c r="G73" s="82" t="n">
        <x:v>0</x:v>
      </x:c>
      <x:c r="H73" s="82" t="n">
        <x:v>0</x:v>
      </x:c>
      <x:c r="I73" s="80" t="str">
        <x:f>IF(AND(F73=1,G73=1,H73=1,Inputs!$B$18=0,Inputs!$B$19=0),"ELIGIBLE","HELD")</x:f>
        <x:v>HELD</x:v>
      </x:c>
      <x:c r="J73" s="79" t="n">
        <x:f>IF(I73="ELIGIBLE",E73,0)</x:f>
        <x:v>0</x:v>
      </x:c>
      <x:c r="K73" s="84" t="n">
        <x:v>0</x:v>
      </x:c>
      <x:c r="L73" s="80" t="str">
        <x:f>IF(K73&lt;=J73,"CONTROLLED","OVERPAID")</x:f>
        <x:v>CONTROLLED</x:v>
      </x:c>
      <x:c r="M73" s="103"/>
      <x:c r="N73" s="103"/>
    </x:row>
    <x:row r="74">
      <x:c r="A74" s="62" t="str">
        <x:v>C068</x:v>
      </x:c>
      <x:c r="B74" s="62" t="str">
        <x:v>P12</x:v>
      </x:c>
      <x:c r="C74" s="62" t="str">
        <x:v>M2 Executable causal ledger</x:v>
      </x:c>
      <x:c r="D74" s="72" t="n">
        <x:v>0.2</x:v>
      </x:c>
      <x:c r="E74" s="79" t="n">
        <x:f>D74*INDEX('Package Build'!$H$7:$H$36,MATCH(B74,'Package Build'!$A$7:$A$36,0))</x:f>
        <x:v>0.7683333333333334</x:v>
      </x:c>
      <x:c r="F74" s="82" t="n">
        <x:v>0</x:v>
      </x:c>
      <x:c r="G74" s="82" t="n">
        <x:v>0</x:v>
      </x:c>
      <x:c r="H74" s="82" t="n">
        <x:v>0</x:v>
      </x:c>
      <x:c r="I74" s="80" t="str">
        <x:f>IF(AND(F74=1,G74=1,H74=1,Inputs!$B$18=0,Inputs!$B$19=0),"ELIGIBLE","HELD")</x:f>
        <x:v>HELD</x:v>
      </x:c>
      <x:c r="J74" s="79" t="n">
        <x:f>IF(I74="ELIGIBLE",E74,0)</x:f>
        <x:v>0</x:v>
      </x:c>
      <x:c r="K74" s="84" t="n">
        <x:v>0</x:v>
      </x:c>
      <x:c r="L74" s="80" t="str">
        <x:f>IF(K74&lt;=J74,"CONTROLLED","OVERPAID")</x:f>
        <x:v>CONTROLLED</x:v>
      </x:c>
      <x:c r="M74" s="103"/>
      <x:c r="N74" s="103"/>
    </x:row>
    <x:row r="75">
      <x:c r="A75" s="62" t="str">
        <x:v>C069</x:v>
      </x:c>
      <x:c r="B75" s="62" t="str">
        <x:v>P12</x:v>
      </x:c>
      <x:c r="C75" s="62" t="str">
        <x:v>M3 Dependency and unknown register</x:v>
      </x:c>
      <x:c r="D75" s="72" t="n">
        <x:v>0.15</x:v>
      </x:c>
      <x:c r="E75" s="79" t="n">
        <x:f>D75*INDEX('Package Build'!$H$7:$H$36,MATCH(B75,'Package Build'!$A$7:$A$36,0))</x:f>
        <x:v>0.57625</x:v>
      </x:c>
      <x:c r="F75" s="82" t="n">
        <x:v>0</x:v>
      </x:c>
      <x:c r="G75" s="82" t="n">
        <x:v>0</x:v>
      </x:c>
      <x:c r="H75" s="82" t="n">
        <x:v>0</x:v>
      </x:c>
      <x:c r="I75" s="80" t="str">
        <x:f>IF(AND(F75=1,G75=1,H75=1,Inputs!$B$18=0,Inputs!$B$19=0),"ELIGIBLE","HELD")</x:f>
        <x:v>HELD</x:v>
      </x:c>
      <x:c r="J75" s="79" t="n">
        <x:f>IF(I75="ELIGIBLE",E75,0)</x:f>
        <x:v>0</x:v>
      </x:c>
      <x:c r="K75" s="84" t="n">
        <x:v>0</x:v>
      </x:c>
      <x:c r="L75" s="80" t="str">
        <x:f>IF(K75&lt;=J75,"CONTROLLED","OVERPAID")</x:f>
        <x:v>CONTROLLED</x:v>
      </x:c>
      <x:c r="M75" s="103"/>
      <x:c r="N75" s="103"/>
    </x:row>
    <x:row r="76">
      <x:c r="A76" s="62" t="str">
        <x:v>C070</x:v>
      </x:c>
      <x:c r="B76" s="62" t="str">
        <x:v>P12</x:v>
      </x:c>
      <x:c r="C76" s="62" t="str">
        <x:v>M4 Independent clean-room replay</x:v>
      </x:c>
      <x:c r="D76" s="72" t="n">
        <x:v>0.25</x:v>
      </x:c>
      <x:c r="E76" s="79" t="n">
        <x:f>D76*INDEX('Package Build'!$H$7:$H$36,MATCH(B76,'Package Build'!$A$7:$A$36,0))</x:f>
        <x:v>0.9604166666666667</x:v>
      </x:c>
      <x:c r="F76" s="82" t="n">
        <x:v>0</x:v>
      </x:c>
      <x:c r="G76" s="82" t="n">
        <x:v>0</x:v>
      </x:c>
      <x:c r="H76" s="82" t="n">
        <x:v>0</x:v>
      </x:c>
      <x:c r="I76" s="80" t="str">
        <x:f>IF(AND(F76=1,G76=1,H76=1,Inputs!$B$18=0,Inputs!$B$19=0),"ELIGIBLE","HELD")</x:f>
        <x:v>HELD</x:v>
      </x:c>
      <x:c r="J76" s="79" t="n">
        <x:f>IF(I76="ELIGIBLE",E76,0)</x:f>
        <x:v>0</x:v>
      </x:c>
      <x:c r="K76" s="84" t="n">
        <x:v>0</x:v>
      </x:c>
      <x:c r="L76" s="80" t="str">
        <x:f>IF(K76&lt;=J76,"CONTROLLED","OVERPAID")</x:f>
        <x:v>CONTROLLED</x:v>
      </x:c>
      <x:c r="M76" s="103"/>
      <x:c r="N76" s="103"/>
    </x:row>
    <x:row r="77">
      <x:c r="A77" s="62" t="str">
        <x:v>C071</x:v>
      </x:c>
      <x:c r="B77" s="62" t="str">
        <x:v>P12</x:v>
      </x:c>
      <x:c r="C77" s="62" t="str">
        <x:v>M5 Rights, receiver and residual closure</x:v>
      </x:c>
      <x:c r="D77" s="72" t="n">
        <x:v>0.2</x:v>
      </x:c>
      <x:c r="E77" s="79" t="n">
        <x:f>D77*INDEX('Package Build'!$H$7:$H$36,MATCH(B77,'Package Build'!$A$7:$A$36,0))</x:f>
        <x:v>0.7683333333333334</x:v>
      </x:c>
      <x:c r="F77" s="82" t="n">
        <x:v>0</x:v>
      </x:c>
      <x:c r="G77" s="82" t="n">
        <x:v>0</x:v>
      </x:c>
      <x:c r="H77" s="82" t="n">
        <x:v>0</x:v>
      </x:c>
      <x:c r="I77" s="80" t="str">
        <x:f>IF(AND(F77=1,G77=1,H77=1,Inputs!$B$18=0,Inputs!$B$19=0),"ELIGIBLE","HELD")</x:f>
        <x:v>HELD</x:v>
      </x:c>
      <x:c r="J77" s="79" t="n">
        <x:f>IF(I77="ELIGIBLE",E77,0)</x:f>
        <x:v>0</x:v>
      </x:c>
      <x:c r="K77" s="84" t="n">
        <x:v>0</x:v>
      </x:c>
      <x:c r="L77" s="80" t="str">
        <x:f>IF(K77&lt;=J77,"CONTROLLED","OVERPAID")</x:f>
        <x:v>CONTROLLED</x:v>
      </x:c>
      <x:c r="M77" s="103"/>
      <x:c r="N77" s="103"/>
    </x:row>
    <x:row r="78">
      <x:c r="A78" s="62" t="str">
        <x:v>C072</x:v>
      </x:c>
      <x:c r="B78" s="62" t="str">
        <x:v>P12</x:v>
      </x:c>
      <x:c r="C78" s="62" t="str">
        <x:v>M6 Challenge closure and terminal archive</x:v>
      </x:c>
      <x:c r="D78" s="72" t="n">
        <x:v>0.1</x:v>
      </x:c>
      <x:c r="E78" s="79" t="n">
        <x:f>D78*INDEX('Package Build'!$H$7:$H$36,MATCH(B78,'Package Build'!$A$7:$A$36,0))</x:f>
        <x:v>0.3841666666666667</x:v>
      </x:c>
      <x:c r="F78" s="82" t="n">
        <x:v>0</x:v>
      </x:c>
      <x:c r="G78" s="82" t="n">
        <x:v>0</x:v>
      </x:c>
      <x:c r="H78" s="82" t="n">
        <x:v>0</x:v>
      </x:c>
      <x:c r="I78" s="80" t="str">
        <x:f>IF(AND(F78=1,G78=1,H78=1,Inputs!$B$18=0,Inputs!$B$19=0),"ELIGIBLE","HELD")</x:f>
        <x:v>HELD</x:v>
      </x:c>
      <x:c r="J78" s="79" t="n">
        <x:f>IF(I78="ELIGIBLE",E78,0)</x:f>
        <x:v>0</x:v>
      </x:c>
      <x:c r="K78" s="84" t="n">
        <x:v>0</x:v>
      </x:c>
      <x:c r="L78" s="80" t="str">
        <x:f>IF(K78&lt;=J78,"CONTROLLED","OVERPAID")</x:f>
        <x:v>CONTROLLED</x:v>
      </x:c>
      <x:c r="M78" s="103"/>
      <x:c r="N78" s="103"/>
    </x:row>
    <x:row r="79">
      <x:c r="A79" s="62" t="str">
        <x:v>C073</x:v>
      </x:c>
      <x:c r="B79" s="62" t="str">
        <x:v>P13</x:v>
      </x:c>
      <x:c r="C79" s="62" t="str">
        <x:v>M1 Source capsule</x:v>
      </x:c>
      <x:c r="D79" s="72" t="n">
        <x:v>0.1</x:v>
      </x:c>
      <x:c r="E79" s="79" t="n">
        <x:f>D79*INDEX('Package Build'!$H$7:$H$36,MATCH(B79,'Package Build'!$A$7:$A$36,0))</x:f>
        <x:v>0.23050000000000004</x:v>
      </x:c>
      <x:c r="F79" s="82" t="n">
        <x:v>0</x:v>
      </x:c>
      <x:c r="G79" s="82" t="n">
        <x:v>0</x:v>
      </x:c>
      <x:c r="H79" s="82" t="n">
        <x:v>0</x:v>
      </x:c>
      <x:c r="I79" s="80" t="str">
        <x:f>IF(AND(F79=1,G79=1,H79=1,Inputs!$B$18=0,Inputs!$B$19=0),"ELIGIBLE","HELD")</x:f>
        <x:v>HELD</x:v>
      </x:c>
      <x:c r="J79" s="79" t="n">
        <x:f>IF(I79="ELIGIBLE",E79,0)</x:f>
        <x:v>0</x:v>
      </x:c>
      <x:c r="K79" s="84" t="n">
        <x:v>0</x:v>
      </x:c>
      <x:c r="L79" s="80" t="str">
        <x:f>IF(K79&lt;=J79,"CONTROLLED","OVERPAID")</x:f>
        <x:v>CONTROLLED</x:v>
      </x:c>
      <x:c r="M79" s="103"/>
      <x:c r="N79" s="103"/>
    </x:row>
    <x:row r="80">
      <x:c r="A80" s="62" t="str">
        <x:v>C074</x:v>
      </x:c>
      <x:c r="B80" s="62" t="str">
        <x:v>P13</x:v>
      </x:c>
      <x:c r="C80" s="62" t="str">
        <x:v>M2 Executable causal ledger</x:v>
      </x:c>
      <x:c r="D80" s="72" t="n">
        <x:v>0.2</x:v>
      </x:c>
      <x:c r="E80" s="79" t="n">
        <x:f>D80*INDEX('Package Build'!$H$7:$H$36,MATCH(B80,'Package Build'!$A$7:$A$36,0))</x:f>
        <x:v>0.4610000000000001</x:v>
      </x:c>
      <x:c r="F80" s="82" t="n">
        <x:v>0</x:v>
      </x:c>
      <x:c r="G80" s="82" t="n">
        <x:v>0</x:v>
      </x:c>
      <x:c r="H80" s="82" t="n">
        <x:v>0</x:v>
      </x:c>
      <x:c r="I80" s="80" t="str">
        <x:f>IF(AND(F80=1,G80=1,H80=1,Inputs!$B$18=0,Inputs!$B$19=0),"ELIGIBLE","HELD")</x:f>
        <x:v>HELD</x:v>
      </x:c>
      <x:c r="J80" s="79" t="n">
        <x:f>IF(I80="ELIGIBLE",E80,0)</x:f>
        <x:v>0</x:v>
      </x:c>
      <x:c r="K80" s="84" t="n">
        <x:v>0</x:v>
      </x:c>
      <x:c r="L80" s="80" t="str">
        <x:f>IF(K80&lt;=J80,"CONTROLLED","OVERPAID")</x:f>
        <x:v>CONTROLLED</x:v>
      </x:c>
      <x:c r="M80" s="103"/>
      <x:c r="N80" s="103"/>
    </x:row>
    <x:row r="81">
      <x:c r="A81" s="62" t="str">
        <x:v>C075</x:v>
      </x:c>
      <x:c r="B81" s="62" t="str">
        <x:v>P13</x:v>
      </x:c>
      <x:c r="C81" s="62" t="str">
        <x:v>M3 Dependency and unknown register</x:v>
      </x:c>
      <x:c r="D81" s="72" t="n">
        <x:v>0.15</x:v>
      </x:c>
      <x:c r="E81" s="79" t="n">
        <x:f>D81*INDEX('Package Build'!$H$7:$H$36,MATCH(B81,'Package Build'!$A$7:$A$36,0))</x:f>
        <x:v>0.34575</x:v>
      </x:c>
      <x:c r="F81" s="82" t="n">
        <x:v>0</x:v>
      </x:c>
      <x:c r="G81" s="82" t="n">
        <x:v>0</x:v>
      </x:c>
      <x:c r="H81" s="82" t="n">
        <x:v>0</x:v>
      </x:c>
      <x:c r="I81" s="80" t="str">
        <x:f>IF(AND(F81=1,G81=1,H81=1,Inputs!$B$18=0,Inputs!$B$19=0),"ELIGIBLE","HELD")</x:f>
        <x:v>HELD</x:v>
      </x:c>
      <x:c r="J81" s="79" t="n">
        <x:f>IF(I81="ELIGIBLE",E81,0)</x:f>
        <x:v>0</x:v>
      </x:c>
      <x:c r="K81" s="84" t="n">
        <x:v>0</x:v>
      </x:c>
      <x:c r="L81" s="80" t="str">
        <x:f>IF(K81&lt;=J81,"CONTROLLED","OVERPAID")</x:f>
        <x:v>CONTROLLED</x:v>
      </x:c>
      <x:c r="M81" s="103"/>
      <x:c r="N81" s="103"/>
    </x:row>
    <x:row r="82">
      <x:c r="A82" s="62" t="str">
        <x:v>C076</x:v>
      </x:c>
      <x:c r="B82" s="62" t="str">
        <x:v>P13</x:v>
      </x:c>
      <x:c r="C82" s="62" t="str">
        <x:v>M4 Independent clean-room replay</x:v>
      </x:c>
      <x:c r="D82" s="72" t="n">
        <x:v>0.25</x:v>
      </x:c>
      <x:c r="E82" s="79" t="n">
        <x:f>D82*INDEX('Package Build'!$H$7:$H$36,MATCH(B82,'Package Build'!$A$7:$A$36,0))</x:f>
        <x:v>0.57625</x:v>
      </x:c>
      <x:c r="F82" s="82" t="n">
        <x:v>0</x:v>
      </x:c>
      <x:c r="G82" s="82" t="n">
        <x:v>0</x:v>
      </x:c>
      <x:c r="H82" s="82" t="n">
        <x:v>0</x:v>
      </x:c>
      <x:c r="I82" s="80" t="str">
        <x:f>IF(AND(F82=1,G82=1,H82=1,Inputs!$B$18=0,Inputs!$B$19=0),"ELIGIBLE","HELD")</x:f>
        <x:v>HELD</x:v>
      </x:c>
      <x:c r="J82" s="79" t="n">
        <x:f>IF(I82="ELIGIBLE",E82,0)</x:f>
        <x:v>0</x:v>
      </x:c>
      <x:c r="K82" s="84" t="n">
        <x:v>0</x:v>
      </x:c>
      <x:c r="L82" s="80" t="str">
        <x:f>IF(K82&lt;=J82,"CONTROLLED","OVERPAID")</x:f>
        <x:v>CONTROLLED</x:v>
      </x:c>
      <x:c r="M82" s="103"/>
      <x:c r="N82" s="103"/>
    </x:row>
    <x:row r="83">
      <x:c r="A83" s="62" t="str">
        <x:v>C077</x:v>
      </x:c>
      <x:c r="B83" s="62" t="str">
        <x:v>P13</x:v>
      </x:c>
      <x:c r="C83" s="62" t="str">
        <x:v>M5 Rights, receiver and residual closure</x:v>
      </x:c>
      <x:c r="D83" s="72" t="n">
        <x:v>0.2</x:v>
      </x:c>
      <x:c r="E83" s="79" t="n">
        <x:f>D83*INDEX('Package Build'!$H$7:$H$36,MATCH(B83,'Package Build'!$A$7:$A$36,0))</x:f>
        <x:v>0.4610000000000001</x:v>
      </x:c>
      <x:c r="F83" s="82" t="n">
        <x:v>0</x:v>
      </x:c>
      <x:c r="G83" s="82" t="n">
        <x:v>0</x:v>
      </x:c>
      <x:c r="H83" s="82" t="n">
        <x:v>0</x:v>
      </x:c>
      <x:c r="I83" s="80" t="str">
        <x:f>IF(AND(F83=1,G83=1,H83=1,Inputs!$B$18=0,Inputs!$B$19=0),"ELIGIBLE","HELD")</x:f>
        <x:v>HELD</x:v>
      </x:c>
      <x:c r="J83" s="79" t="n">
        <x:f>IF(I83="ELIGIBLE",E83,0)</x:f>
        <x:v>0</x:v>
      </x:c>
      <x:c r="K83" s="84" t="n">
        <x:v>0</x:v>
      </x:c>
      <x:c r="L83" s="80" t="str">
        <x:f>IF(K83&lt;=J83,"CONTROLLED","OVERPAID")</x:f>
        <x:v>CONTROLLED</x:v>
      </x:c>
      <x:c r="M83" s="103"/>
      <x:c r="N83" s="103"/>
    </x:row>
    <x:row r="84">
      <x:c r="A84" s="62" t="str">
        <x:v>C078</x:v>
      </x:c>
      <x:c r="B84" s="62" t="str">
        <x:v>P13</x:v>
      </x:c>
      <x:c r="C84" s="62" t="str">
        <x:v>M6 Challenge closure and terminal archive</x:v>
      </x:c>
      <x:c r="D84" s="72" t="n">
        <x:v>0.1</x:v>
      </x:c>
      <x:c r="E84" s="79" t="n">
        <x:f>D84*INDEX('Package Build'!$H$7:$H$36,MATCH(B84,'Package Build'!$A$7:$A$36,0))</x:f>
        <x:v>0.23050000000000004</x:v>
      </x:c>
      <x:c r="F84" s="82" t="n">
        <x:v>0</x:v>
      </x:c>
      <x:c r="G84" s="82" t="n">
        <x:v>0</x:v>
      </x:c>
      <x:c r="H84" s="82" t="n">
        <x:v>0</x:v>
      </x:c>
      <x:c r="I84" s="80" t="str">
        <x:f>IF(AND(F84=1,G84=1,H84=1,Inputs!$B$18=0,Inputs!$B$19=0),"ELIGIBLE","HELD")</x:f>
        <x:v>HELD</x:v>
      </x:c>
      <x:c r="J84" s="79" t="n">
        <x:f>IF(I84="ELIGIBLE",E84,0)</x:f>
        <x:v>0</x:v>
      </x:c>
      <x:c r="K84" s="84" t="n">
        <x:v>0</x:v>
      </x:c>
      <x:c r="L84" s="80" t="str">
        <x:f>IF(K84&lt;=J84,"CONTROLLED","OVERPAID")</x:f>
        <x:v>CONTROLLED</x:v>
      </x:c>
      <x:c r="M84" s="103"/>
      <x:c r="N84" s="103"/>
    </x:row>
    <x:row r="85">
      <x:c r="A85" s="62" t="str">
        <x:v>C079</x:v>
      </x:c>
      <x:c r="B85" s="62" t="str">
        <x:v>P14</x:v>
      </x:c>
      <x:c r="C85" s="62" t="str">
        <x:v>M1 Source capsule</x:v>
      </x:c>
      <x:c r="D85" s="72" t="n">
        <x:v>0.1</x:v>
      </x:c>
      <x:c r="E85" s="79" t="n">
        <x:f>D85*INDEX('Package Build'!$H$7:$H$36,MATCH(B85,'Package Build'!$A$7:$A$36,0))</x:f>
        <x:v>0.3841666666666667</x:v>
      </x:c>
      <x:c r="F85" s="82" t="n">
        <x:v>0</x:v>
      </x:c>
      <x:c r="G85" s="82" t="n">
        <x:v>0</x:v>
      </x:c>
      <x:c r="H85" s="82" t="n">
        <x:v>0</x:v>
      </x:c>
      <x:c r="I85" s="80" t="str">
        <x:f>IF(AND(F85=1,G85=1,H85=1,Inputs!$B$18=0,Inputs!$B$19=0),"ELIGIBLE","HELD")</x:f>
        <x:v>HELD</x:v>
      </x:c>
      <x:c r="J85" s="79" t="n">
        <x:f>IF(I85="ELIGIBLE",E85,0)</x:f>
        <x:v>0</x:v>
      </x:c>
      <x:c r="K85" s="84" t="n">
        <x:v>0</x:v>
      </x:c>
      <x:c r="L85" s="80" t="str">
        <x:f>IF(K85&lt;=J85,"CONTROLLED","OVERPAID")</x:f>
        <x:v>CONTROLLED</x:v>
      </x:c>
      <x:c r="M85" s="103"/>
      <x:c r="N85" s="103"/>
    </x:row>
    <x:row r="86">
      <x:c r="A86" s="62" t="str">
        <x:v>C080</x:v>
      </x:c>
      <x:c r="B86" s="62" t="str">
        <x:v>P14</x:v>
      </x:c>
      <x:c r="C86" s="62" t="str">
        <x:v>M2 Executable causal ledger</x:v>
      </x:c>
      <x:c r="D86" s="72" t="n">
        <x:v>0.2</x:v>
      </x:c>
      <x:c r="E86" s="79" t="n">
        <x:f>D86*INDEX('Package Build'!$H$7:$H$36,MATCH(B86,'Package Build'!$A$7:$A$36,0))</x:f>
        <x:v>0.7683333333333334</x:v>
      </x:c>
      <x:c r="F86" s="82" t="n">
        <x:v>0</x:v>
      </x:c>
      <x:c r="G86" s="82" t="n">
        <x:v>0</x:v>
      </x:c>
      <x:c r="H86" s="82" t="n">
        <x:v>0</x:v>
      </x:c>
      <x:c r="I86" s="80" t="str">
        <x:f>IF(AND(F86=1,G86=1,H86=1,Inputs!$B$18=0,Inputs!$B$19=0),"ELIGIBLE","HELD")</x:f>
        <x:v>HELD</x:v>
      </x:c>
      <x:c r="J86" s="79" t="n">
        <x:f>IF(I86="ELIGIBLE",E86,0)</x:f>
        <x:v>0</x:v>
      </x:c>
      <x:c r="K86" s="84" t="n">
        <x:v>0</x:v>
      </x:c>
      <x:c r="L86" s="80" t="str">
        <x:f>IF(K86&lt;=J86,"CONTROLLED","OVERPAID")</x:f>
        <x:v>CONTROLLED</x:v>
      </x:c>
      <x:c r="M86" s="103"/>
      <x:c r="N86" s="103"/>
    </x:row>
    <x:row r="87">
      <x:c r="A87" s="62" t="str">
        <x:v>C081</x:v>
      </x:c>
      <x:c r="B87" s="62" t="str">
        <x:v>P14</x:v>
      </x:c>
      <x:c r="C87" s="62" t="str">
        <x:v>M3 Dependency and unknown register</x:v>
      </x:c>
      <x:c r="D87" s="72" t="n">
        <x:v>0.15</x:v>
      </x:c>
      <x:c r="E87" s="79" t="n">
        <x:f>D87*INDEX('Package Build'!$H$7:$H$36,MATCH(B87,'Package Build'!$A$7:$A$36,0))</x:f>
        <x:v>0.57625</x:v>
      </x:c>
      <x:c r="F87" s="82" t="n">
        <x:v>0</x:v>
      </x:c>
      <x:c r="G87" s="82" t="n">
        <x:v>0</x:v>
      </x:c>
      <x:c r="H87" s="82" t="n">
        <x:v>0</x:v>
      </x:c>
      <x:c r="I87" s="80" t="str">
        <x:f>IF(AND(F87=1,G87=1,H87=1,Inputs!$B$18=0,Inputs!$B$19=0),"ELIGIBLE","HELD")</x:f>
        <x:v>HELD</x:v>
      </x:c>
      <x:c r="J87" s="79" t="n">
        <x:f>IF(I87="ELIGIBLE",E87,0)</x:f>
        <x:v>0</x:v>
      </x:c>
      <x:c r="K87" s="84" t="n">
        <x:v>0</x:v>
      </x:c>
      <x:c r="L87" s="80" t="str">
        <x:f>IF(K87&lt;=J87,"CONTROLLED","OVERPAID")</x:f>
        <x:v>CONTROLLED</x:v>
      </x:c>
      <x:c r="M87" s="103"/>
      <x:c r="N87" s="103"/>
    </x:row>
    <x:row r="88">
      <x:c r="A88" s="62" t="str">
        <x:v>C082</x:v>
      </x:c>
      <x:c r="B88" s="62" t="str">
        <x:v>P14</x:v>
      </x:c>
      <x:c r="C88" s="62" t="str">
        <x:v>M4 Independent clean-room replay</x:v>
      </x:c>
      <x:c r="D88" s="72" t="n">
        <x:v>0.25</x:v>
      </x:c>
      <x:c r="E88" s="79" t="n">
        <x:f>D88*INDEX('Package Build'!$H$7:$H$36,MATCH(B88,'Package Build'!$A$7:$A$36,0))</x:f>
        <x:v>0.9604166666666667</x:v>
      </x:c>
      <x:c r="F88" s="82" t="n">
        <x:v>0</x:v>
      </x:c>
      <x:c r="G88" s="82" t="n">
        <x:v>0</x:v>
      </x:c>
      <x:c r="H88" s="82" t="n">
        <x:v>0</x:v>
      </x:c>
      <x:c r="I88" s="80" t="str">
        <x:f>IF(AND(F88=1,G88=1,H88=1,Inputs!$B$18=0,Inputs!$B$19=0),"ELIGIBLE","HELD")</x:f>
        <x:v>HELD</x:v>
      </x:c>
      <x:c r="J88" s="79" t="n">
        <x:f>IF(I88="ELIGIBLE",E88,0)</x:f>
        <x:v>0</x:v>
      </x:c>
      <x:c r="K88" s="84" t="n">
        <x:v>0</x:v>
      </x:c>
      <x:c r="L88" s="80" t="str">
        <x:f>IF(K88&lt;=J88,"CONTROLLED","OVERPAID")</x:f>
        <x:v>CONTROLLED</x:v>
      </x:c>
      <x:c r="M88" s="103"/>
      <x:c r="N88" s="103"/>
    </x:row>
    <x:row r="89">
      <x:c r="A89" s="62" t="str">
        <x:v>C083</x:v>
      </x:c>
      <x:c r="B89" s="62" t="str">
        <x:v>P14</x:v>
      </x:c>
      <x:c r="C89" s="62" t="str">
        <x:v>M5 Rights, receiver and residual closure</x:v>
      </x:c>
      <x:c r="D89" s="72" t="n">
        <x:v>0.2</x:v>
      </x:c>
      <x:c r="E89" s="79" t="n">
        <x:f>D89*INDEX('Package Build'!$H$7:$H$36,MATCH(B89,'Package Build'!$A$7:$A$36,0))</x:f>
        <x:v>0.7683333333333334</x:v>
      </x:c>
      <x:c r="F89" s="82" t="n">
        <x:v>0</x:v>
      </x:c>
      <x:c r="G89" s="82" t="n">
        <x:v>0</x:v>
      </x:c>
      <x:c r="H89" s="82" t="n">
        <x:v>0</x:v>
      </x:c>
      <x:c r="I89" s="80" t="str">
        <x:f>IF(AND(F89=1,G89=1,H89=1,Inputs!$B$18=0,Inputs!$B$19=0),"ELIGIBLE","HELD")</x:f>
        <x:v>HELD</x:v>
      </x:c>
      <x:c r="J89" s="79" t="n">
        <x:f>IF(I89="ELIGIBLE",E89,0)</x:f>
        <x:v>0</x:v>
      </x:c>
      <x:c r="K89" s="84" t="n">
        <x:v>0</x:v>
      </x:c>
      <x:c r="L89" s="80" t="str">
        <x:f>IF(K89&lt;=J89,"CONTROLLED","OVERPAID")</x:f>
        <x:v>CONTROLLED</x:v>
      </x:c>
      <x:c r="M89" s="103"/>
      <x:c r="N89" s="103"/>
    </x:row>
    <x:row r="90">
      <x:c r="A90" s="62" t="str">
        <x:v>C084</x:v>
      </x:c>
      <x:c r="B90" s="62" t="str">
        <x:v>P14</x:v>
      </x:c>
      <x:c r="C90" s="62" t="str">
        <x:v>M6 Challenge closure and terminal archive</x:v>
      </x:c>
      <x:c r="D90" s="72" t="n">
        <x:v>0.1</x:v>
      </x:c>
      <x:c r="E90" s="79" t="n">
        <x:f>D90*INDEX('Package Build'!$H$7:$H$36,MATCH(B90,'Package Build'!$A$7:$A$36,0))</x:f>
        <x:v>0.3841666666666667</x:v>
      </x:c>
      <x:c r="F90" s="82" t="n">
        <x:v>0</x:v>
      </x:c>
      <x:c r="G90" s="82" t="n">
        <x:v>0</x:v>
      </x:c>
      <x:c r="H90" s="82" t="n">
        <x:v>0</x:v>
      </x:c>
      <x:c r="I90" s="80" t="str">
        <x:f>IF(AND(F90=1,G90=1,H90=1,Inputs!$B$18=0,Inputs!$B$19=0),"ELIGIBLE","HELD")</x:f>
        <x:v>HELD</x:v>
      </x:c>
      <x:c r="J90" s="79" t="n">
        <x:f>IF(I90="ELIGIBLE",E90,0)</x:f>
        <x:v>0</x:v>
      </x:c>
      <x:c r="K90" s="84" t="n">
        <x:v>0</x:v>
      </x:c>
      <x:c r="L90" s="80" t="str">
        <x:f>IF(K90&lt;=J90,"CONTROLLED","OVERPAID")</x:f>
        <x:v>CONTROLLED</x:v>
      </x:c>
      <x:c r="M90" s="103"/>
      <x:c r="N90" s="103"/>
    </x:row>
    <x:row r="91">
      <x:c r="A91" s="62" t="str">
        <x:v>C085</x:v>
      </x:c>
      <x:c r="B91" s="62" t="str">
        <x:v>P15</x:v>
      </x:c>
      <x:c r="C91" s="62" t="str">
        <x:v>M1 Source capsule</x:v>
      </x:c>
      <x:c r="D91" s="72" t="n">
        <x:v>0.1</x:v>
      </x:c>
      <x:c r="E91" s="79" t="n">
        <x:f>D91*INDEX('Package Build'!$H$7:$H$36,MATCH(B91,'Package Build'!$A$7:$A$36,0))</x:f>
        <x:v>0.23050000000000004</x:v>
      </x:c>
      <x:c r="F91" s="82" t="n">
        <x:v>0</x:v>
      </x:c>
      <x:c r="G91" s="82" t="n">
        <x:v>0</x:v>
      </x:c>
      <x:c r="H91" s="82" t="n">
        <x:v>0</x:v>
      </x:c>
      <x:c r="I91" s="80" t="str">
        <x:f>IF(AND(F91=1,G91=1,H91=1,Inputs!$B$18=0,Inputs!$B$19=0),"ELIGIBLE","HELD")</x:f>
        <x:v>HELD</x:v>
      </x:c>
      <x:c r="J91" s="79" t="n">
        <x:f>IF(I91="ELIGIBLE",E91,0)</x:f>
        <x:v>0</x:v>
      </x:c>
      <x:c r="K91" s="84" t="n">
        <x:v>0</x:v>
      </x:c>
      <x:c r="L91" s="80" t="str">
        <x:f>IF(K91&lt;=J91,"CONTROLLED","OVERPAID")</x:f>
        <x:v>CONTROLLED</x:v>
      </x:c>
      <x:c r="M91" s="103"/>
      <x:c r="N91" s="103"/>
    </x:row>
    <x:row r="92">
      <x:c r="A92" s="62" t="str">
        <x:v>C086</x:v>
      </x:c>
      <x:c r="B92" s="62" t="str">
        <x:v>P15</x:v>
      </x:c>
      <x:c r="C92" s="62" t="str">
        <x:v>M2 Executable causal ledger</x:v>
      </x:c>
      <x:c r="D92" s="72" t="n">
        <x:v>0.2</x:v>
      </x:c>
      <x:c r="E92" s="79" t="n">
        <x:f>D92*INDEX('Package Build'!$H$7:$H$36,MATCH(B92,'Package Build'!$A$7:$A$36,0))</x:f>
        <x:v>0.4610000000000001</x:v>
      </x:c>
      <x:c r="F92" s="82" t="n">
        <x:v>0</x:v>
      </x:c>
      <x:c r="G92" s="82" t="n">
        <x:v>0</x:v>
      </x:c>
      <x:c r="H92" s="82" t="n">
        <x:v>0</x:v>
      </x:c>
      <x:c r="I92" s="80" t="str">
        <x:f>IF(AND(F92=1,G92=1,H92=1,Inputs!$B$18=0,Inputs!$B$19=0),"ELIGIBLE","HELD")</x:f>
        <x:v>HELD</x:v>
      </x:c>
      <x:c r="J92" s="79" t="n">
        <x:f>IF(I92="ELIGIBLE",E92,0)</x:f>
        <x:v>0</x:v>
      </x:c>
      <x:c r="K92" s="84" t="n">
        <x:v>0</x:v>
      </x:c>
      <x:c r="L92" s="80" t="str">
        <x:f>IF(K92&lt;=J92,"CONTROLLED","OVERPAID")</x:f>
        <x:v>CONTROLLED</x:v>
      </x:c>
      <x:c r="M92" s="103"/>
      <x:c r="N92" s="103"/>
    </x:row>
    <x:row r="93">
      <x:c r="A93" s="62" t="str">
        <x:v>C087</x:v>
      </x:c>
      <x:c r="B93" s="62" t="str">
        <x:v>P15</x:v>
      </x:c>
      <x:c r="C93" s="62" t="str">
        <x:v>M3 Dependency and unknown register</x:v>
      </x:c>
      <x:c r="D93" s="72" t="n">
        <x:v>0.15</x:v>
      </x:c>
      <x:c r="E93" s="79" t="n">
        <x:f>D93*INDEX('Package Build'!$H$7:$H$36,MATCH(B93,'Package Build'!$A$7:$A$36,0))</x:f>
        <x:v>0.34575</x:v>
      </x:c>
      <x:c r="F93" s="82" t="n">
        <x:v>0</x:v>
      </x:c>
      <x:c r="G93" s="82" t="n">
        <x:v>0</x:v>
      </x:c>
      <x:c r="H93" s="82" t="n">
        <x:v>0</x:v>
      </x:c>
      <x:c r="I93" s="80" t="str">
        <x:f>IF(AND(F93=1,G93=1,H93=1,Inputs!$B$18=0,Inputs!$B$19=0),"ELIGIBLE","HELD")</x:f>
        <x:v>HELD</x:v>
      </x:c>
      <x:c r="J93" s="79" t="n">
        <x:f>IF(I93="ELIGIBLE",E93,0)</x:f>
        <x:v>0</x:v>
      </x:c>
      <x:c r="K93" s="84" t="n">
        <x:v>0</x:v>
      </x:c>
      <x:c r="L93" s="80" t="str">
        <x:f>IF(K93&lt;=J93,"CONTROLLED","OVERPAID")</x:f>
        <x:v>CONTROLLED</x:v>
      </x:c>
      <x:c r="M93" s="103"/>
      <x:c r="N93" s="103"/>
    </x:row>
    <x:row r="94">
      <x:c r="A94" s="62" t="str">
        <x:v>C088</x:v>
      </x:c>
      <x:c r="B94" s="62" t="str">
        <x:v>P15</x:v>
      </x:c>
      <x:c r="C94" s="62" t="str">
        <x:v>M4 Independent clean-room replay</x:v>
      </x:c>
      <x:c r="D94" s="72" t="n">
        <x:v>0.25</x:v>
      </x:c>
      <x:c r="E94" s="79" t="n">
        <x:f>D94*INDEX('Package Build'!$H$7:$H$36,MATCH(B94,'Package Build'!$A$7:$A$36,0))</x:f>
        <x:v>0.57625</x:v>
      </x:c>
      <x:c r="F94" s="82" t="n">
        <x:v>0</x:v>
      </x:c>
      <x:c r="G94" s="82" t="n">
        <x:v>0</x:v>
      </x:c>
      <x:c r="H94" s="82" t="n">
        <x:v>0</x:v>
      </x:c>
      <x:c r="I94" s="80" t="str">
        <x:f>IF(AND(F94=1,G94=1,H94=1,Inputs!$B$18=0,Inputs!$B$19=0),"ELIGIBLE","HELD")</x:f>
        <x:v>HELD</x:v>
      </x:c>
      <x:c r="J94" s="79" t="n">
        <x:f>IF(I94="ELIGIBLE",E94,0)</x:f>
        <x:v>0</x:v>
      </x:c>
      <x:c r="K94" s="84" t="n">
        <x:v>0</x:v>
      </x:c>
      <x:c r="L94" s="80" t="str">
        <x:f>IF(K94&lt;=J94,"CONTROLLED","OVERPAID")</x:f>
        <x:v>CONTROLLED</x:v>
      </x:c>
      <x:c r="M94" s="103"/>
      <x:c r="N94" s="103"/>
    </x:row>
    <x:row r="95">
      <x:c r="A95" s="62" t="str">
        <x:v>C089</x:v>
      </x:c>
      <x:c r="B95" s="62" t="str">
        <x:v>P15</x:v>
      </x:c>
      <x:c r="C95" s="62" t="str">
        <x:v>M5 Rights, receiver and residual closure</x:v>
      </x:c>
      <x:c r="D95" s="72" t="n">
        <x:v>0.2</x:v>
      </x:c>
      <x:c r="E95" s="79" t="n">
        <x:f>D95*INDEX('Package Build'!$H$7:$H$36,MATCH(B95,'Package Build'!$A$7:$A$36,0))</x:f>
        <x:v>0.4610000000000001</x:v>
      </x:c>
      <x:c r="F95" s="82" t="n">
        <x:v>0</x:v>
      </x:c>
      <x:c r="G95" s="82" t="n">
        <x:v>0</x:v>
      </x:c>
      <x:c r="H95" s="82" t="n">
        <x:v>0</x:v>
      </x:c>
      <x:c r="I95" s="80" t="str">
        <x:f>IF(AND(F95=1,G95=1,H95=1,Inputs!$B$18=0,Inputs!$B$19=0),"ELIGIBLE","HELD")</x:f>
        <x:v>HELD</x:v>
      </x:c>
      <x:c r="J95" s="79" t="n">
        <x:f>IF(I95="ELIGIBLE",E95,0)</x:f>
        <x:v>0</x:v>
      </x:c>
      <x:c r="K95" s="84" t="n">
        <x:v>0</x:v>
      </x:c>
      <x:c r="L95" s="80" t="str">
        <x:f>IF(K95&lt;=J95,"CONTROLLED","OVERPAID")</x:f>
        <x:v>CONTROLLED</x:v>
      </x:c>
      <x:c r="M95" s="103"/>
      <x:c r="N95" s="103"/>
    </x:row>
    <x:row r="96">
      <x:c r="A96" s="62" t="str">
        <x:v>C090</x:v>
      </x:c>
      <x:c r="B96" s="62" t="str">
        <x:v>P15</x:v>
      </x:c>
      <x:c r="C96" s="62" t="str">
        <x:v>M6 Challenge closure and terminal archive</x:v>
      </x:c>
      <x:c r="D96" s="72" t="n">
        <x:v>0.1</x:v>
      </x:c>
      <x:c r="E96" s="79" t="n">
        <x:f>D96*INDEX('Package Build'!$H$7:$H$36,MATCH(B96,'Package Build'!$A$7:$A$36,0))</x:f>
        <x:v>0.23050000000000004</x:v>
      </x:c>
      <x:c r="F96" s="82" t="n">
        <x:v>0</x:v>
      </x:c>
      <x:c r="G96" s="82" t="n">
        <x:v>0</x:v>
      </x:c>
      <x:c r="H96" s="82" t="n">
        <x:v>0</x:v>
      </x:c>
      <x:c r="I96" s="80" t="str">
        <x:f>IF(AND(F96=1,G96=1,H96=1,Inputs!$B$18=0,Inputs!$B$19=0),"ELIGIBLE","HELD")</x:f>
        <x:v>HELD</x:v>
      </x:c>
      <x:c r="J96" s="79" t="n">
        <x:f>IF(I96="ELIGIBLE",E96,0)</x:f>
        <x:v>0</x:v>
      </x:c>
      <x:c r="K96" s="84" t="n">
        <x:v>0</x:v>
      </x:c>
      <x:c r="L96" s="80" t="str">
        <x:f>IF(K96&lt;=J96,"CONTROLLED","OVERPAID")</x:f>
        <x:v>CONTROLLED</x:v>
      </x:c>
      <x:c r="M96" s="103"/>
      <x:c r="N96" s="103"/>
    </x:row>
    <x:row r="97">
      <x:c r="A97" s="62" t="str">
        <x:v>C091</x:v>
      </x:c>
      <x:c r="B97" s="62" t="str">
        <x:v>P16</x:v>
      </x:c>
      <x:c r="C97" s="62" t="str">
        <x:v>M1 Source capsule</x:v>
      </x:c>
      <x:c r="D97" s="72" t="n">
        <x:v>0.1</x:v>
      </x:c>
      <x:c r="E97" s="79" t="n">
        <x:f>D97*INDEX('Package Build'!$H$7:$H$36,MATCH(B97,'Package Build'!$A$7:$A$36,0))</x:f>
        <x:v>0.9</x:v>
      </x:c>
      <x:c r="F97" s="82" t="n">
        <x:v>0</x:v>
      </x:c>
      <x:c r="G97" s="82" t="n">
        <x:v>0</x:v>
      </x:c>
      <x:c r="H97" s="82" t="n">
        <x:v>0</x:v>
      </x:c>
      <x:c r="I97" s="80" t="str">
        <x:f>IF(AND(F97=1,G97=1,H97=1,Inputs!$B$18=0,Inputs!$B$19=0),"ELIGIBLE","HELD")</x:f>
        <x:v>HELD</x:v>
      </x:c>
      <x:c r="J97" s="79" t="n">
        <x:f>IF(I97="ELIGIBLE",E97,0)</x:f>
        <x:v>0</x:v>
      </x:c>
      <x:c r="K97" s="84" t="n">
        <x:v>0</x:v>
      </x:c>
      <x:c r="L97" s="80" t="str">
        <x:f>IF(K97&lt;=J97,"CONTROLLED","OVERPAID")</x:f>
        <x:v>CONTROLLED</x:v>
      </x:c>
      <x:c r="M97" s="103"/>
      <x:c r="N97" s="103"/>
    </x:row>
    <x:row r="98">
      <x:c r="A98" s="62" t="str">
        <x:v>C092</x:v>
      </x:c>
      <x:c r="B98" s="62" t="str">
        <x:v>P16</x:v>
      </x:c>
      <x:c r="C98" s="62" t="str">
        <x:v>M2 Executable causal ledger</x:v>
      </x:c>
      <x:c r="D98" s="72" t="n">
        <x:v>0.2</x:v>
      </x:c>
      <x:c r="E98" s="79" t="n">
        <x:f>D98*INDEX('Package Build'!$H$7:$H$36,MATCH(B98,'Package Build'!$A$7:$A$36,0))</x:f>
        <x:v>1.8</x:v>
      </x:c>
      <x:c r="F98" s="82" t="n">
        <x:v>0</x:v>
      </x:c>
      <x:c r="G98" s="82" t="n">
        <x:v>0</x:v>
      </x:c>
      <x:c r="H98" s="82" t="n">
        <x:v>0</x:v>
      </x:c>
      <x:c r="I98" s="80" t="str">
        <x:f>IF(AND(F98=1,G98=1,H98=1,Inputs!$B$18=0,Inputs!$B$19=0),"ELIGIBLE","HELD")</x:f>
        <x:v>HELD</x:v>
      </x:c>
      <x:c r="J98" s="79" t="n">
        <x:f>IF(I98="ELIGIBLE",E98,0)</x:f>
        <x:v>0</x:v>
      </x:c>
      <x:c r="K98" s="84" t="n">
        <x:v>0</x:v>
      </x:c>
      <x:c r="L98" s="80" t="str">
        <x:f>IF(K98&lt;=J98,"CONTROLLED","OVERPAID")</x:f>
        <x:v>CONTROLLED</x:v>
      </x:c>
      <x:c r="M98" s="103"/>
      <x:c r="N98" s="103"/>
    </x:row>
    <x:row r="99">
      <x:c r="A99" s="62" t="str">
        <x:v>C093</x:v>
      </x:c>
      <x:c r="B99" s="62" t="str">
        <x:v>P16</x:v>
      </x:c>
      <x:c r="C99" s="62" t="str">
        <x:v>M3 Dependency and unknown register</x:v>
      </x:c>
      <x:c r="D99" s="72" t="n">
        <x:v>0.15</x:v>
      </x:c>
      <x:c r="E99" s="79" t="n">
        <x:f>D99*INDEX('Package Build'!$H$7:$H$36,MATCH(B99,'Package Build'!$A$7:$A$36,0))</x:f>
        <x:v>1.3499999999999999</x:v>
      </x:c>
      <x:c r="F99" s="82" t="n">
        <x:v>0</x:v>
      </x:c>
      <x:c r="G99" s="82" t="n">
        <x:v>0</x:v>
      </x:c>
      <x:c r="H99" s="82" t="n">
        <x:v>0</x:v>
      </x:c>
      <x:c r="I99" s="80" t="str">
        <x:f>IF(AND(F99=1,G99=1,H99=1,Inputs!$B$18=0,Inputs!$B$19=0),"ELIGIBLE","HELD")</x:f>
        <x:v>HELD</x:v>
      </x:c>
      <x:c r="J99" s="79" t="n">
        <x:f>IF(I99="ELIGIBLE",E99,0)</x:f>
        <x:v>0</x:v>
      </x:c>
      <x:c r="K99" s="84" t="n">
        <x:v>0</x:v>
      </x:c>
      <x:c r="L99" s="80" t="str">
        <x:f>IF(K99&lt;=J99,"CONTROLLED","OVERPAID")</x:f>
        <x:v>CONTROLLED</x:v>
      </x:c>
      <x:c r="M99" s="103"/>
      <x:c r="N99" s="103"/>
    </x:row>
    <x:row r="100">
      <x:c r="A100" s="62" t="str">
        <x:v>C094</x:v>
      </x:c>
      <x:c r="B100" s="62" t="str">
        <x:v>P16</x:v>
      </x:c>
      <x:c r="C100" s="62" t="str">
        <x:v>M4 Independent clean-room replay</x:v>
      </x:c>
      <x:c r="D100" s="72" t="n">
        <x:v>0.25</x:v>
      </x:c>
      <x:c r="E100" s="79" t="n">
        <x:f>D100*INDEX('Package Build'!$H$7:$H$36,MATCH(B100,'Package Build'!$A$7:$A$36,0))</x:f>
        <x:v>2.25</x:v>
      </x:c>
      <x:c r="F100" s="82" t="n">
        <x:v>0</x:v>
      </x:c>
      <x:c r="G100" s="82" t="n">
        <x:v>0</x:v>
      </x:c>
      <x:c r="H100" s="82" t="n">
        <x:v>0</x:v>
      </x:c>
      <x:c r="I100" s="80" t="str">
        <x:f>IF(AND(F100=1,G100=1,H100=1,Inputs!$B$18=0,Inputs!$B$19=0),"ELIGIBLE","HELD")</x:f>
        <x:v>HELD</x:v>
      </x:c>
      <x:c r="J100" s="79" t="n">
        <x:f>IF(I100="ELIGIBLE",E100,0)</x:f>
        <x:v>0</x:v>
      </x:c>
      <x:c r="K100" s="84" t="n">
        <x:v>0</x:v>
      </x:c>
      <x:c r="L100" s="80" t="str">
        <x:f>IF(K100&lt;=J100,"CONTROLLED","OVERPAID")</x:f>
        <x:v>CONTROLLED</x:v>
      </x:c>
      <x:c r="M100" s="103"/>
      <x:c r="N100" s="103"/>
    </x:row>
    <x:row r="101">
      <x:c r="A101" s="62" t="str">
        <x:v>C095</x:v>
      </x:c>
      <x:c r="B101" s="62" t="str">
        <x:v>P16</x:v>
      </x:c>
      <x:c r="C101" s="62" t="str">
        <x:v>M5 Rights, receiver and residual closure</x:v>
      </x:c>
      <x:c r="D101" s="72" t="n">
        <x:v>0.2</x:v>
      </x:c>
      <x:c r="E101" s="79" t="n">
        <x:f>D101*INDEX('Package Build'!$H$7:$H$36,MATCH(B101,'Package Build'!$A$7:$A$36,0))</x:f>
        <x:v>1.8</x:v>
      </x:c>
      <x:c r="F101" s="82" t="n">
        <x:v>0</x:v>
      </x:c>
      <x:c r="G101" s="82" t="n">
        <x:v>0</x:v>
      </x:c>
      <x:c r="H101" s="82" t="n">
        <x:v>0</x:v>
      </x:c>
      <x:c r="I101" s="80" t="str">
        <x:f>IF(AND(F101=1,G101=1,H101=1,Inputs!$B$18=0,Inputs!$B$19=0),"ELIGIBLE","HELD")</x:f>
        <x:v>HELD</x:v>
      </x:c>
      <x:c r="J101" s="79" t="n">
        <x:f>IF(I101="ELIGIBLE",E101,0)</x:f>
        <x:v>0</x:v>
      </x:c>
      <x:c r="K101" s="84" t="n">
        <x:v>0</x:v>
      </x:c>
      <x:c r="L101" s="80" t="str">
        <x:f>IF(K101&lt;=J101,"CONTROLLED","OVERPAID")</x:f>
        <x:v>CONTROLLED</x:v>
      </x:c>
      <x:c r="M101" s="103"/>
      <x:c r="N101" s="103"/>
    </x:row>
    <x:row r="102">
      <x:c r="A102" s="62" t="str">
        <x:v>C096</x:v>
      </x:c>
      <x:c r="B102" s="62" t="str">
        <x:v>P16</x:v>
      </x:c>
      <x:c r="C102" s="62" t="str">
        <x:v>M6 Challenge closure and terminal archive</x:v>
      </x:c>
      <x:c r="D102" s="72" t="n">
        <x:v>0.1</x:v>
      </x:c>
      <x:c r="E102" s="79" t="n">
        <x:f>D102*INDEX('Package Build'!$H$7:$H$36,MATCH(B102,'Package Build'!$A$7:$A$36,0))</x:f>
        <x:v>0.9</x:v>
      </x:c>
      <x:c r="F102" s="82" t="n">
        <x:v>0</x:v>
      </x:c>
      <x:c r="G102" s="82" t="n">
        <x:v>0</x:v>
      </x:c>
      <x:c r="H102" s="82" t="n">
        <x:v>0</x:v>
      </x:c>
      <x:c r="I102" s="80" t="str">
        <x:f>IF(AND(F102=1,G102=1,H102=1,Inputs!$B$18=0,Inputs!$B$19=0),"ELIGIBLE","HELD")</x:f>
        <x:v>HELD</x:v>
      </x:c>
      <x:c r="J102" s="79" t="n">
        <x:f>IF(I102="ELIGIBLE",E102,0)</x:f>
        <x:v>0</x:v>
      </x:c>
      <x:c r="K102" s="84" t="n">
        <x:v>0</x:v>
      </x:c>
      <x:c r="L102" s="80" t="str">
        <x:f>IF(K102&lt;=J102,"CONTROLLED","OVERPAID")</x:f>
        <x:v>CONTROLLED</x:v>
      </x:c>
      <x:c r="M102" s="103"/>
      <x:c r="N102" s="103"/>
    </x:row>
    <x:row r="103">
      <x:c r="A103" s="62" t="str">
        <x:v>C097</x:v>
      </x:c>
      <x:c r="B103" s="62" t="str">
        <x:v>P17</x:v>
      </x:c>
      <x:c r="C103" s="62" t="str">
        <x:v>M1 Source capsule</x:v>
      </x:c>
      <x:c r="D103" s="72" t="n">
        <x:v>0.1</x:v>
      </x:c>
      <x:c r="E103" s="79" t="n">
        <x:f>D103*INDEX('Package Build'!$H$7:$H$36,MATCH(B103,'Package Build'!$A$7:$A$36,0))</x:f>
        <x:v>1.125</x:v>
      </x:c>
      <x:c r="F103" s="82" t="n">
        <x:v>0</x:v>
      </x:c>
      <x:c r="G103" s="82" t="n">
        <x:v>0</x:v>
      </x:c>
      <x:c r="H103" s="82" t="n">
        <x:v>0</x:v>
      </x:c>
      <x:c r="I103" s="80" t="str">
        <x:f>IF(AND(F103=1,G103=1,H103=1,Inputs!$B$18=0,Inputs!$B$19=0),"ELIGIBLE","HELD")</x:f>
        <x:v>HELD</x:v>
      </x:c>
      <x:c r="J103" s="79" t="n">
        <x:f>IF(I103="ELIGIBLE",E103,0)</x:f>
        <x:v>0</x:v>
      </x:c>
      <x:c r="K103" s="84" t="n">
        <x:v>0</x:v>
      </x:c>
      <x:c r="L103" s="80" t="str">
        <x:f>IF(K103&lt;=J103,"CONTROLLED","OVERPAID")</x:f>
        <x:v>CONTROLLED</x:v>
      </x:c>
      <x:c r="M103" s="103"/>
      <x:c r="N103" s="103"/>
    </x:row>
    <x:row r="104">
      <x:c r="A104" s="62" t="str">
        <x:v>C098</x:v>
      </x:c>
      <x:c r="B104" s="62" t="str">
        <x:v>P17</x:v>
      </x:c>
      <x:c r="C104" s="62" t="str">
        <x:v>M2 Executable causal ledger</x:v>
      </x:c>
      <x:c r="D104" s="72" t="n">
        <x:v>0.2</x:v>
      </x:c>
      <x:c r="E104" s="79" t="n">
        <x:f>D104*INDEX('Package Build'!$H$7:$H$36,MATCH(B104,'Package Build'!$A$7:$A$36,0))</x:f>
        <x:v>2.25</x:v>
      </x:c>
      <x:c r="F104" s="82" t="n">
        <x:v>0</x:v>
      </x:c>
      <x:c r="G104" s="82" t="n">
        <x:v>0</x:v>
      </x:c>
      <x:c r="H104" s="82" t="n">
        <x:v>0</x:v>
      </x:c>
      <x:c r="I104" s="80" t="str">
        <x:f>IF(AND(F104=1,G104=1,H104=1,Inputs!$B$18=0,Inputs!$B$19=0),"ELIGIBLE","HELD")</x:f>
        <x:v>HELD</x:v>
      </x:c>
      <x:c r="J104" s="79" t="n">
        <x:f>IF(I104="ELIGIBLE",E104,0)</x:f>
        <x:v>0</x:v>
      </x:c>
      <x:c r="K104" s="84" t="n">
        <x:v>0</x:v>
      </x:c>
      <x:c r="L104" s="80" t="str">
        <x:f>IF(K104&lt;=J104,"CONTROLLED","OVERPAID")</x:f>
        <x:v>CONTROLLED</x:v>
      </x:c>
      <x:c r="M104" s="103"/>
      <x:c r="N104" s="103"/>
    </x:row>
    <x:row r="105">
      <x:c r="A105" s="62" t="str">
        <x:v>C099</x:v>
      </x:c>
      <x:c r="B105" s="62" t="str">
        <x:v>P17</x:v>
      </x:c>
      <x:c r="C105" s="62" t="str">
        <x:v>M3 Dependency and unknown register</x:v>
      </x:c>
      <x:c r="D105" s="72" t="n">
        <x:v>0.15</x:v>
      </x:c>
      <x:c r="E105" s="79" t="n">
        <x:f>D105*INDEX('Package Build'!$H$7:$H$36,MATCH(B105,'Package Build'!$A$7:$A$36,0))</x:f>
        <x:v>1.6875</x:v>
      </x:c>
      <x:c r="F105" s="82" t="n">
        <x:v>0</x:v>
      </x:c>
      <x:c r="G105" s="82" t="n">
        <x:v>0</x:v>
      </x:c>
      <x:c r="H105" s="82" t="n">
        <x:v>0</x:v>
      </x:c>
      <x:c r="I105" s="80" t="str">
        <x:f>IF(AND(F105=1,G105=1,H105=1,Inputs!$B$18=0,Inputs!$B$19=0),"ELIGIBLE","HELD")</x:f>
        <x:v>HELD</x:v>
      </x:c>
      <x:c r="J105" s="79" t="n">
        <x:f>IF(I105="ELIGIBLE",E105,0)</x:f>
        <x:v>0</x:v>
      </x:c>
      <x:c r="K105" s="84" t="n">
        <x:v>0</x:v>
      </x:c>
      <x:c r="L105" s="80" t="str">
        <x:f>IF(K105&lt;=J105,"CONTROLLED","OVERPAID")</x:f>
        <x:v>CONTROLLED</x:v>
      </x:c>
      <x:c r="M105" s="103"/>
      <x:c r="N105" s="103"/>
    </x:row>
    <x:row r="106">
      <x:c r="A106" s="62" t="str">
        <x:v>C100</x:v>
      </x:c>
      <x:c r="B106" s="62" t="str">
        <x:v>P17</x:v>
      </x:c>
      <x:c r="C106" s="62" t="str">
        <x:v>M4 Independent clean-room replay</x:v>
      </x:c>
      <x:c r="D106" s="72" t="n">
        <x:v>0.25</x:v>
      </x:c>
      <x:c r="E106" s="79" t="n">
        <x:f>D106*INDEX('Package Build'!$H$7:$H$36,MATCH(B106,'Package Build'!$A$7:$A$36,0))</x:f>
        <x:v>2.8125</x:v>
      </x:c>
      <x:c r="F106" s="82" t="n">
        <x:v>0</x:v>
      </x:c>
      <x:c r="G106" s="82" t="n">
        <x:v>0</x:v>
      </x:c>
      <x:c r="H106" s="82" t="n">
        <x:v>0</x:v>
      </x:c>
      <x:c r="I106" s="80" t="str">
        <x:f>IF(AND(F106=1,G106=1,H106=1,Inputs!$B$18=0,Inputs!$B$19=0),"ELIGIBLE","HELD")</x:f>
        <x:v>HELD</x:v>
      </x:c>
      <x:c r="J106" s="79" t="n">
        <x:f>IF(I106="ELIGIBLE",E106,0)</x:f>
        <x:v>0</x:v>
      </x:c>
      <x:c r="K106" s="84" t="n">
        <x:v>0</x:v>
      </x:c>
      <x:c r="L106" s="80" t="str">
        <x:f>IF(K106&lt;=J106,"CONTROLLED","OVERPAID")</x:f>
        <x:v>CONTROLLED</x:v>
      </x:c>
      <x:c r="M106" s="103"/>
      <x:c r="N106" s="103"/>
    </x:row>
    <x:row r="107">
      <x:c r="A107" s="62" t="str">
        <x:v>C101</x:v>
      </x:c>
      <x:c r="B107" s="62" t="str">
        <x:v>P17</x:v>
      </x:c>
      <x:c r="C107" s="62" t="str">
        <x:v>M5 Rights, receiver and residual closure</x:v>
      </x:c>
      <x:c r="D107" s="72" t="n">
        <x:v>0.2</x:v>
      </x:c>
      <x:c r="E107" s="79" t="n">
        <x:f>D107*INDEX('Package Build'!$H$7:$H$36,MATCH(B107,'Package Build'!$A$7:$A$36,0))</x:f>
        <x:v>2.25</x:v>
      </x:c>
      <x:c r="F107" s="82" t="n">
        <x:v>0</x:v>
      </x:c>
      <x:c r="G107" s="82" t="n">
        <x:v>0</x:v>
      </x:c>
      <x:c r="H107" s="82" t="n">
        <x:v>0</x:v>
      </x:c>
      <x:c r="I107" s="80" t="str">
        <x:f>IF(AND(F107=1,G107=1,H107=1,Inputs!$B$18=0,Inputs!$B$19=0),"ELIGIBLE","HELD")</x:f>
        <x:v>HELD</x:v>
      </x:c>
      <x:c r="J107" s="79" t="n">
        <x:f>IF(I107="ELIGIBLE",E107,0)</x:f>
        <x:v>0</x:v>
      </x:c>
      <x:c r="K107" s="84" t="n">
        <x:v>0</x:v>
      </x:c>
      <x:c r="L107" s="80" t="str">
        <x:f>IF(K107&lt;=J107,"CONTROLLED","OVERPAID")</x:f>
        <x:v>CONTROLLED</x:v>
      </x:c>
      <x:c r="M107" s="103"/>
      <x:c r="N107" s="103"/>
    </x:row>
    <x:row r="108">
      <x:c r="A108" s="62" t="str">
        <x:v>C102</x:v>
      </x:c>
      <x:c r="B108" s="62" t="str">
        <x:v>P17</x:v>
      </x:c>
      <x:c r="C108" s="62" t="str">
        <x:v>M6 Challenge closure and terminal archive</x:v>
      </x:c>
      <x:c r="D108" s="72" t="n">
        <x:v>0.1</x:v>
      </x:c>
      <x:c r="E108" s="79" t="n">
        <x:f>D108*INDEX('Package Build'!$H$7:$H$36,MATCH(B108,'Package Build'!$A$7:$A$36,0))</x:f>
        <x:v>1.125</x:v>
      </x:c>
      <x:c r="F108" s="82" t="n">
        <x:v>0</x:v>
      </x:c>
      <x:c r="G108" s="82" t="n">
        <x:v>0</x:v>
      </x:c>
      <x:c r="H108" s="82" t="n">
        <x:v>0</x:v>
      </x:c>
      <x:c r="I108" s="80" t="str">
        <x:f>IF(AND(F108=1,G108=1,H108=1,Inputs!$B$18=0,Inputs!$B$19=0),"ELIGIBLE","HELD")</x:f>
        <x:v>HELD</x:v>
      </x:c>
      <x:c r="J108" s="79" t="n">
        <x:f>IF(I108="ELIGIBLE",E108,0)</x:f>
        <x:v>0</x:v>
      </x:c>
      <x:c r="K108" s="84" t="n">
        <x:v>0</x:v>
      </x:c>
      <x:c r="L108" s="80" t="str">
        <x:f>IF(K108&lt;=J108,"CONTROLLED","OVERPAID")</x:f>
        <x:v>CONTROLLED</x:v>
      </x:c>
      <x:c r="M108" s="103"/>
      <x:c r="N108" s="103"/>
    </x:row>
    <x:row r="109">
      <x:c r="A109" s="62" t="str">
        <x:v>C103</x:v>
      </x:c>
      <x:c r="B109" s="62" t="str">
        <x:v>P18</x:v>
      </x:c>
      <x:c r="C109" s="62" t="str">
        <x:v>M1 Source capsule</x:v>
      </x:c>
      <x:c r="D109" s="72" t="n">
        <x:v>0.1</x:v>
      </x:c>
      <x:c r="E109" s="79" t="n">
        <x:f>D109*INDEX('Package Build'!$H$7:$H$36,MATCH(B109,'Package Build'!$A$7:$A$36,0))</x:f>
        <x:v>0.675</x:v>
      </x:c>
      <x:c r="F109" s="82" t="n">
        <x:v>0</x:v>
      </x:c>
      <x:c r="G109" s="82" t="n">
        <x:v>0</x:v>
      </x:c>
      <x:c r="H109" s="82" t="n">
        <x:v>0</x:v>
      </x:c>
      <x:c r="I109" s="80" t="str">
        <x:f>IF(AND(F109=1,G109=1,H109=1,Inputs!$B$18=0,Inputs!$B$19=0),"ELIGIBLE","HELD")</x:f>
        <x:v>HELD</x:v>
      </x:c>
      <x:c r="J109" s="79" t="n">
        <x:f>IF(I109="ELIGIBLE",E109,0)</x:f>
        <x:v>0</x:v>
      </x:c>
      <x:c r="K109" s="84" t="n">
        <x:v>0</x:v>
      </x:c>
      <x:c r="L109" s="80" t="str">
        <x:f>IF(K109&lt;=J109,"CONTROLLED","OVERPAID")</x:f>
        <x:v>CONTROLLED</x:v>
      </x:c>
      <x:c r="M109" s="103"/>
      <x:c r="N109" s="103"/>
    </x:row>
    <x:row r="110">
      <x:c r="A110" s="62" t="str">
        <x:v>C104</x:v>
      </x:c>
      <x:c r="B110" s="62" t="str">
        <x:v>P18</x:v>
      </x:c>
      <x:c r="C110" s="62" t="str">
        <x:v>M2 Executable causal ledger</x:v>
      </x:c>
      <x:c r="D110" s="72" t="n">
        <x:v>0.2</x:v>
      </x:c>
      <x:c r="E110" s="79" t="n">
        <x:f>D110*INDEX('Package Build'!$H$7:$H$36,MATCH(B110,'Package Build'!$A$7:$A$36,0))</x:f>
        <x:v>1.35</x:v>
      </x:c>
      <x:c r="F110" s="82" t="n">
        <x:v>0</x:v>
      </x:c>
      <x:c r="G110" s="82" t="n">
        <x:v>0</x:v>
      </x:c>
      <x:c r="H110" s="82" t="n">
        <x:v>0</x:v>
      </x:c>
      <x:c r="I110" s="80" t="str">
        <x:f>IF(AND(F110=1,G110=1,H110=1,Inputs!$B$18=0,Inputs!$B$19=0),"ELIGIBLE","HELD")</x:f>
        <x:v>HELD</x:v>
      </x:c>
      <x:c r="J110" s="79" t="n">
        <x:f>IF(I110="ELIGIBLE",E110,0)</x:f>
        <x:v>0</x:v>
      </x:c>
      <x:c r="K110" s="84" t="n">
        <x:v>0</x:v>
      </x:c>
      <x:c r="L110" s="80" t="str">
        <x:f>IF(K110&lt;=J110,"CONTROLLED","OVERPAID")</x:f>
        <x:v>CONTROLLED</x:v>
      </x:c>
      <x:c r="M110" s="103"/>
      <x:c r="N110" s="103"/>
    </x:row>
    <x:row r="111">
      <x:c r="A111" s="62" t="str">
        <x:v>C105</x:v>
      </x:c>
      <x:c r="B111" s="62" t="str">
        <x:v>P18</x:v>
      </x:c>
      <x:c r="C111" s="62" t="str">
        <x:v>M3 Dependency and unknown register</x:v>
      </x:c>
      <x:c r="D111" s="72" t="n">
        <x:v>0.15</x:v>
      </x:c>
      <x:c r="E111" s="79" t="n">
        <x:f>D111*INDEX('Package Build'!$H$7:$H$36,MATCH(B111,'Package Build'!$A$7:$A$36,0))</x:f>
        <x:v>1.0125</x:v>
      </x:c>
      <x:c r="F111" s="82" t="n">
        <x:v>0</x:v>
      </x:c>
      <x:c r="G111" s="82" t="n">
        <x:v>0</x:v>
      </x:c>
      <x:c r="H111" s="82" t="n">
        <x:v>0</x:v>
      </x:c>
      <x:c r="I111" s="80" t="str">
        <x:f>IF(AND(F111=1,G111=1,H111=1,Inputs!$B$18=0,Inputs!$B$19=0),"ELIGIBLE","HELD")</x:f>
        <x:v>HELD</x:v>
      </x:c>
      <x:c r="J111" s="79" t="n">
        <x:f>IF(I111="ELIGIBLE",E111,0)</x:f>
        <x:v>0</x:v>
      </x:c>
      <x:c r="K111" s="84" t="n">
        <x:v>0</x:v>
      </x:c>
      <x:c r="L111" s="80" t="str">
        <x:f>IF(K111&lt;=J111,"CONTROLLED","OVERPAID")</x:f>
        <x:v>CONTROLLED</x:v>
      </x:c>
      <x:c r="M111" s="103"/>
      <x:c r="N111" s="103"/>
    </x:row>
    <x:row r="112">
      <x:c r="A112" s="62" t="str">
        <x:v>C106</x:v>
      </x:c>
      <x:c r="B112" s="62" t="str">
        <x:v>P18</x:v>
      </x:c>
      <x:c r="C112" s="62" t="str">
        <x:v>M4 Independent clean-room replay</x:v>
      </x:c>
      <x:c r="D112" s="72" t="n">
        <x:v>0.25</x:v>
      </x:c>
      <x:c r="E112" s="79" t="n">
        <x:f>D112*INDEX('Package Build'!$H$7:$H$36,MATCH(B112,'Package Build'!$A$7:$A$36,0))</x:f>
        <x:v>1.6875</x:v>
      </x:c>
      <x:c r="F112" s="82" t="n">
        <x:v>0</x:v>
      </x:c>
      <x:c r="G112" s="82" t="n">
        <x:v>0</x:v>
      </x:c>
      <x:c r="H112" s="82" t="n">
        <x:v>0</x:v>
      </x:c>
      <x:c r="I112" s="80" t="str">
        <x:f>IF(AND(F112=1,G112=1,H112=1,Inputs!$B$18=0,Inputs!$B$19=0),"ELIGIBLE","HELD")</x:f>
        <x:v>HELD</x:v>
      </x:c>
      <x:c r="J112" s="79" t="n">
        <x:f>IF(I112="ELIGIBLE",E112,0)</x:f>
        <x:v>0</x:v>
      </x:c>
      <x:c r="K112" s="84" t="n">
        <x:v>0</x:v>
      </x:c>
      <x:c r="L112" s="80" t="str">
        <x:f>IF(K112&lt;=J112,"CONTROLLED","OVERPAID")</x:f>
        <x:v>CONTROLLED</x:v>
      </x:c>
      <x:c r="M112" s="103"/>
      <x:c r="N112" s="103"/>
    </x:row>
    <x:row r="113">
      <x:c r="A113" s="62" t="str">
        <x:v>C107</x:v>
      </x:c>
      <x:c r="B113" s="62" t="str">
        <x:v>P18</x:v>
      </x:c>
      <x:c r="C113" s="62" t="str">
        <x:v>M5 Rights, receiver and residual closure</x:v>
      </x:c>
      <x:c r="D113" s="72" t="n">
        <x:v>0.2</x:v>
      </x:c>
      <x:c r="E113" s="79" t="n">
        <x:f>D113*INDEX('Package Build'!$H$7:$H$36,MATCH(B113,'Package Build'!$A$7:$A$36,0))</x:f>
        <x:v>1.35</x:v>
      </x:c>
      <x:c r="F113" s="82" t="n">
        <x:v>0</x:v>
      </x:c>
      <x:c r="G113" s="82" t="n">
        <x:v>0</x:v>
      </x:c>
      <x:c r="H113" s="82" t="n">
        <x:v>0</x:v>
      </x:c>
      <x:c r="I113" s="80" t="str">
        <x:f>IF(AND(F113=1,G113=1,H113=1,Inputs!$B$18=0,Inputs!$B$19=0),"ELIGIBLE","HELD")</x:f>
        <x:v>HELD</x:v>
      </x:c>
      <x:c r="J113" s="79" t="n">
        <x:f>IF(I113="ELIGIBLE",E113,0)</x:f>
        <x:v>0</x:v>
      </x:c>
      <x:c r="K113" s="84" t="n">
        <x:v>0</x:v>
      </x:c>
      <x:c r="L113" s="80" t="str">
        <x:f>IF(K113&lt;=J113,"CONTROLLED","OVERPAID")</x:f>
        <x:v>CONTROLLED</x:v>
      </x:c>
      <x:c r="M113" s="103"/>
      <x:c r="N113" s="103"/>
    </x:row>
    <x:row r="114">
      <x:c r="A114" s="62" t="str">
        <x:v>C108</x:v>
      </x:c>
      <x:c r="B114" s="62" t="str">
        <x:v>P18</x:v>
      </x:c>
      <x:c r="C114" s="62" t="str">
        <x:v>M6 Challenge closure and terminal archive</x:v>
      </x:c>
      <x:c r="D114" s="72" t="n">
        <x:v>0.1</x:v>
      </x:c>
      <x:c r="E114" s="79" t="n">
        <x:f>D114*INDEX('Package Build'!$H$7:$H$36,MATCH(B114,'Package Build'!$A$7:$A$36,0))</x:f>
        <x:v>0.675</x:v>
      </x:c>
      <x:c r="F114" s="82" t="n">
        <x:v>0</x:v>
      </x:c>
      <x:c r="G114" s="82" t="n">
        <x:v>0</x:v>
      </x:c>
      <x:c r="H114" s="82" t="n">
        <x:v>0</x:v>
      </x:c>
      <x:c r="I114" s="80" t="str">
        <x:f>IF(AND(F114=1,G114=1,H114=1,Inputs!$B$18=0,Inputs!$B$19=0),"ELIGIBLE","HELD")</x:f>
        <x:v>HELD</x:v>
      </x:c>
      <x:c r="J114" s="79" t="n">
        <x:f>IF(I114="ELIGIBLE",E114,0)</x:f>
        <x:v>0</x:v>
      </x:c>
      <x:c r="K114" s="84" t="n">
        <x:v>0</x:v>
      </x:c>
      <x:c r="L114" s="80" t="str">
        <x:f>IF(K114&lt;=J114,"CONTROLLED","OVERPAID")</x:f>
        <x:v>CONTROLLED</x:v>
      </x:c>
      <x:c r="M114" s="103"/>
      <x:c r="N114" s="103"/>
    </x:row>
    <x:row r="115">
      <x:c r="A115" s="62" t="str">
        <x:v>C109</x:v>
      </x:c>
      <x:c r="B115" s="62" t="str">
        <x:v>P19</x:v>
      </x:c>
      <x:c r="C115" s="62" t="str">
        <x:v>M1 Source capsule</x:v>
      </x:c>
      <x:c r="D115" s="72" t="n">
        <x:v>0.1</x:v>
      </x:c>
      <x:c r="E115" s="79" t="n">
        <x:f>D115*INDEX('Package Build'!$H$7:$H$36,MATCH(B115,'Package Build'!$A$7:$A$36,0))</x:f>
        <x:v>1.125</x:v>
      </x:c>
      <x:c r="F115" s="82" t="n">
        <x:v>0</x:v>
      </x:c>
      <x:c r="G115" s="82" t="n">
        <x:v>0</x:v>
      </x:c>
      <x:c r="H115" s="82" t="n">
        <x:v>0</x:v>
      </x:c>
      <x:c r="I115" s="80" t="str">
        <x:f>IF(AND(F115=1,G115=1,H115=1,Inputs!$B$18=0,Inputs!$B$19=0),"ELIGIBLE","HELD")</x:f>
        <x:v>HELD</x:v>
      </x:c>
      <x:c r="J115" s="79" t="n">
        <x:f>IF(I115="ELIGIBLE",E115,0)</x:f>
        <x:v>0</x:v>
      </x:c>
      <x:c r="K115" s="84" t="n">
        <x:v>0</x:v>
      </x:c>
      <x:c r="L115" s="80" t="str">
        <x:f>IF(K115&lt;=J115,"CONTROLLED","OVERPAID")</x:f>
        <x:v>CONTROLLED</x:v>
      </x:c>
      <x:c r="M115" s="103"/>
      <x:c r="N115" s="103"/>
    </x:row>
    <x:row r="116">
      <x:c r="A116" s="62" t="str">
        <x:v>C110</x:v>
      </x:c>
      <x:c r="B116" s="62" t="str">
        <x:v>P19</x:v>
      </x:c>
      <x:c r="C116" s="62" t="str">
        <x:v>M2 Executable causal ledger</x:v>
      </x:c>
      <x:c r="D116" s="72" t="n">
        <x:v>0.2</x:v>
      </x:c>
      <x:c r="E116" s="79" t="n">
        <x:f>D116*INDEX('Package Build'!$H$7:$H$36,MATCH(B116,'Package Build'!$A$7:$A$36,0))</x:f>
        <x:v>2.25</x:v>
      </x:c>
      <x:c r="F116" s="82" t="n">
        <x:v>0</x:v>
      </x:c>
      <x:c r="G116" s="82" t="n">
        <x:v>0</x:v>
      </x:c>
      <x:c r="H116" s="82" t="n">
        <x:v>0</x:v>
      </x:c>
      <x:c r="I116" s="80" t="str">
        <x:f>IF(AND(F116=1,G116=1,H116=1,Inputs!$B$18=0,Inputs!$B$19=0),"ELIGIBLE","HELD")</x:f>
        <x:v>HELD</x:v>
      </x:c>
      <x:c r="J116" s="79" t="n">
        <x:f>IF(I116="ELIGIBLE",E116,0)</x:f>
        <x:v>0</x:v>
      </x:c>
      <x:c r="K116" s="84" t="n">
        <x:v>0</x:v>
      </x:c>
      <x:c r="L116" s="80" t="str">
        <x:f>IF(K116&lt;=J116,"CONTROLLED","OVERPAID")</x:f>
        <x:v>CONTROLLED</x:v>
      </x:c>
      <x:c r="M116" s="103"/>
      <x:c r="N116" s="103"/>
    </x:row>
    <x:row r="117">
      <x:c r="A117" s="62" t="str">
        <x:v>C111</x:v>
      </x:c>
      <x:c r="B117" s="62" t="str">
        <x:v>P19</x:v>
      </x:c>
      <x:c r="C117" s="62" t="str">
        <x:v>M3 Dependency and unknown register</x:v>
      </x:c>
      <x:c r="D117" s="72" t="n">
        <x:v>0.15</x:v>
      </x:c>
      <x:c r="E117" s="79" t="n">
        <x:f>D117*INDEX('Package Build'!$H$7:$H$36,MATCH(B117,'Package Build'!$A$7:$A$36,0))</x:f>
        <x:v>1.6875</x:v>
      </x:c>
      <x:c r="F117" s="82" t="n">
        <x:v>0</x:v>
      </x:c>
      <x:c r="G117" s="82" t="n">
        <x:v>0</x:v>
      </x:c>
      <x:c r="H117" s="82" t="n">
        <x:v>0</x:v>
      </x:c>
      <x:c r="I117" s="80" t="str">
        <x:f>IF(AND(F117=1,G117=1,H117=1,Inputs!$B$18=0,Inputs!$B$19=0),"ELIGIBLE","HELD")</x:f>
        <x:v>HELD</x:v>
      </x:c>
      <x:c r="J117" s="79" t="n">
        <x:f>IF(I117="ELIGIBLE",E117,0)</x:f>
        <x:v>0</x:v>
      </x:c>
      <x:c r="K117" s="84" t="n">
        <x:v>0</x:v>
      </x:c>
      <x:c r="L117" s="80" t="str">
        <x:f>IF(K117&lt;=J117,"CONTROLLED","OVERPAID")</x:f>
        <x:v>CONTROLLED</x:v>
      </x:c>
      <x:c r="M117" s="103"/>
      <x:c r="N117" s="103"/>
    </x:row>
    <x:row r="118">
      <x:c r="A118" s="62" t="str">
        <x:v>C112</x:v>
      </x:c>
      <x:c r="B118" s="62" t="str">
        <x:v>P19</x:v>
      </x:c>
      <x:c r="C118" s="62" t="str">
        <x:v>M4 Independent clean-room replay</x:v>
      </x:c>
      <x:c r="D118" s="72" t="n">
        <x:v>0.25</x:v>
      </x:c>
      <x:c r="E118" s="79" t="n">
        <x:f>D118*INDEX('Package Build'!$H$7:$H$36,MATCH(B118,'Package Build'!$A$7:$A$36,0))</x:f>
        <x:v>2.8125</x:v>
      </x:c>
      <x:c r="F118" s="82" t="n">
        <x:v>0</x:v>
      </x:c>
      <x:c r="G118" s="82" t="n">
        <x:v>0</x:v>
      </x:c>
      <x:c r="H118" s="82" t="n">
        <x:v>0</x:v>
      </x:c>
      <x:c r="I118" s="80" t="str">
        <x:f>IF(AND(F118=1,G118=1,H118=1,Inputs!$B$18=0,Inputs!$B$19=0),"ELIGIBLE","HELD")</x:f>
        <x:v>HELD</x:v>
      </x:c>
      <x:c r="J118" s="79" t="n">
        <x:f>IF(I118="ELIGIBLE",E118,0)</x:f>
        <x:v>0</x:v>
      </x:c>
      <x:c r="K118" s="84" t="n">
        <x:v>0</x:v>
      </x:c>
      <x:c r="L118" s="80" t="str">
        <x:f>IF(K118&lt;=J118,"CONTROLLED","OVERPAID")</x:f>
        <x:v>CONTROLLED</x:v>
      </x:c>
      <x:c r="M118" s="103"/>
      <x:c r="N118" s="103"/>
    </x:row>
    <x:row r="119">
      <x:c r="A119" s="62" t="str">
        <x:v>C113</x:v>
      </x:c>
      <x:c r="B119" s="62" t="str">
        <x:v>P19</x:v>
      </x:c>
      <x:c r="C119" s="62" t="str">
        <x:v>M5 Rights, receiver and residual closure</x:v>
      </x:c>
      <x:c r="D119" s="72" t="n">
        <x:v>0.2</x:v>
      </x:c>
      <x:c r="E119" s="79" t="n">
        <x:f>D119*INDEX('Package Build'!$H$7:$H$36,MATCH(B119,'Package Build'!$A$7:$A$36,0))</x:f>
        <x:v>2.25</x:v>
      </x:c>
      <x:c r="F119" s="82" t="n">
        <x:v>0</x:v>
      </x:c>
      <x:c r="G119" s="82" t="n">
        <x:v>0</x:v>
      </x:c>
      <x:c r="H119" s="82" t="n">
        <x:v>0</x:v>
      </x:c>
      <x:c r="I119" s="80" t="str">
        <x:f>IF(AND(F119=1,G119=1,H119=1,Inputs!$B$18=0,Inputs!$B$19=0),"ELIGIBLE","HELD")</x:f>
        <x:v>HELD</x:v>
      </x:c>
      <x:c r="J119" s="79" t="n">
        <x:f>IF(I119="ELIGIBLE",E119,0)</x:f>
        <x:v>0</x:v>
      </x:c>
      <x:c r="K119" s="84" t="n">
        <x:v>0</x:v>
      </x:c>
      <x:c r="L119" s="80" t="str">
        <x:f>IF(K119&lt;=J119,"CONTROLLED","OVERPAID")</x:f>
        <x:v>CONTROLLED</x:v>
      </x:c>
      <x:c r="M119" s="103"/>
      <x:c r="N119" s="103"/>
    </x:row>
    <x:row r="120">
      <x:c r="A120" s="62" t="str">
        <x:v>C114</x:v>
      </x:c>
      <x:c r="B120" s="62" t="str">
        <x:v>P19</x:v>
      </x:c>
      <x:c r="C120" s="62" t="str">
        <x:v>M6 Challenge closure and terminal archive</x:v>
      </x:c>
      <x:c r="D120" s="72" t="n">
        <x:v>0.1</x:v>
      </x:c>
      <x:c r="E120" s="79" t="n">
        <x:f>D120*INDEX('Package Build'!$H$7:$H$36,MATCH(B120,'Package Build'!$A$7:$A$36,0))</x:f>
        <x:v>1.125</x:v>
      </x:c>
      <x:c r="F120" s="82" t="n">
        <x:v>0</x:v>
      </x:c>
      <x:c r="G120" s="82" t="n">
        <x:v>0</x:v>
      </x:c>
      <x:c r="H120" s="82" t="n">
        <x:v>0</x:v>
      </x:c>
      <x:c r="I120" s="80" t="str">
        <x:f>IF(AND(F120=1,G120=1,H120=1,Inputs!$B$18=0,Inputs!$B$19=0),"ELIGIBLE","HELD")</x:f>
        <x:v>HELD</x:v>
      </x:c>
      <x:c r="J120" s="79" t="n">
        <x:f>IF(I120="ELIGIBLE",E120,0)</x:f>
        <x:v>0</x:v>
      </x:c>
      <x:c r="K120" s="84" t="n">
        <x:v>0</x:v>
      </x:c>
      <x:c r="L120" s="80" t="str">
        <x:f>IF(K120&lt;=J120,"CONTROLLED","OVERPAID")</x:f>
        <x:v>CONTROLLED</x:v>
      </x:c>
      <x:c r="M120" s="103"/>
      <x:c r="N120" s="103"/>
    </x:row>
    <x:row r="121">
      <x:c r="A121" s="62" t="str">
        <x:v>C115</x:v>
      </x:c>
      <x:c r="B121" s="62" t="str">
        <x:v>P20</x:v>
      </x:c>
      <x:c r="C121" s="62" t="str">
        <x:v>M1 Source capsule</x:v>
      </x:c>
      <x:c r="D121" s="72" t="n">
        <x:v>0.1</x:v>
      </x:c>
      <x:c r="E121" s="79" t="n">
        <x:f>D121*INDEX('Package Build'!$H$7:$H$36,MATCH(B121,'Package Build'!$A$7:$A$36,0))</x:f>
        <x:v>0.675</x:v>
      </x:c>
      <x:c r="F121" s="82" t="n">
        <x:v>0</x:v>
      </x:c>
      <x:c r="G121" s="82" t="n">
        <x:v>0</x:v>
      </x:c>
      <x:c r="H121" s="82" t="n">
        <x:v>0</x:v>
      </x:c>
      <x:c r="I121" s="80" t="str">
        <x:f>IF(AND(F121=1,G121=1,H121=1,Inputs!$B$18=0,Inputs!$B$19=0),"ELIGIBLE","HELD")</x:f>
        <x:v>HELD</x:v>
      </x:c>
      <x:c r="J121" s="79" t="n">
        <x:f>IF(I121="ELIGIBLE",E121,0)</x:f>
        <x:v>0</x:v>
      </x:c>
      <x:c r="K121" s="84" t="n">
        <x:v>0</x:v>
      </x:c>
      <x:c r="L121" s="80" t="str">
        <x:f>IF(K121&lt;=J121,"CONTROLLED","OVERPAID")</x:f>
        <x:v>CONTROLLED</x:v>
      </x:c>
      <x:c r="M121" s="103"/>
      <x:c r="N121" s="103"/>
    </x:row>
    <x:row r="122">
      <x:c r="A122" s="62" t="str">
        <x:v>C116</x:v>
      </x:c>
      <x:c r="B122" s="62" t="str">
        <x:v>P20</x:v>
      </x:c>
      <x:c r="C122" s="62" t="str">
        <x:v>M2 Executable causal ledger</x:v>
      </x:c>
      <x:c r="D122" s="72" t="n">
        <x:v>0.2</x:v>
      </x:c>
      <x:c r="E122" s="79" t="n">
        <x:f>D122*INDEX('Package Build'!$H$7:$H$36,MATCH(B122,'Package Build'!$A$7:$A$36,0))</x:f>
        <x:v>1.35</x:v>
      </x:c>
      <x:c r="F122" s="82" t="n">
        <x:v>0</x:v>
      </x:c>
      <x:c r="G122" s="82" t="n">
        <x:v>0</x:v>
      </x:c>
      <x:c r="H122" s="82" t="n">
        <x:v>0</x:v>
      </x:c>
      <x:c r="I122" s="80" t="str">
        <x:f>IF(AND(F122=1,G122=1,H122=1,Inputs!$B$18=0,Inputs!$B$19=0),"ELIGIBLE","HELD")</x:f>
        <x:v>HELD</x:v>
      </x:c>
      <x:c r="J122" s="79" t="n">
        <x:f>IF(I122="ELIGIBLE",E122,0)</x:f>
        <x:v>0</x:v>
      </x:c>
      <x:c r="K122" s="84" t="n">
        <x:v>0</x:v>
      </x:c>
      <x:c r="L122" s="80" t="str">
        <x:f>IF(K122&lt;=J122,"CONTROLLED","OVERPAID")</x:f>
        <x:v>CONTROLLED</x:v>
      </x:c>
      <x:c r="M122" s="103"/>
      <x:c r="N122" s="103"/>
    </x:row>
    <x:row r="123">
      <x:c r="A123" s="62" t="str">
        <x:v>C117</x:v>
      </x:c>
      <x:c r="B123" s="62" t="str">
        <x:v>P20</x:v>
      </x:c>
      <x:c r="C123" s="62" t="str">
        <x:v>M3 Dependency and unknown register</x:v>
      </x:c>
      <x:c r="D123" s="72" t="n">
        <x:v>0.15</x:v>
      </x:c>
      <x:c r="E123" s="79" t="n">
        <x:f>D123*INDEX('Package Build'!$H$7:$H$36,MATCH(B123,'Package Build'!$A$7:$A$36,0))</x:f>
        <x:v>1.0125</x:v>
      </x:c>
      <x:c r="F123" s="82" t="n">
        <x:v>0</x:v>
      </x:c>
      <x:c r="G123" s="82" t="n">
        <x:v>0</x:v>
      </x:c>
      <x:c r="H123" s="82" t="n">
        <x:v>0</x:v>
      </x:c>
      <x:c r="I123" s="80" t="str">
        <x:f>IF(AND(F123=1,G123=1,H123=1,Inputs!$B$18=0,Inputs!$B$19=0),"ELIGIBLE","HELD")</x:f>
        <x:v>HELD</x:v>
      </x:c>
      <x:c r="J123" s="79" t="n">
        <x:f>IF(I123="ELIGIBLE",E123,0)</x:f>
        <x:v>0</x:v>
      </x:c>
      <x:c r="K123" s="84" t="n">
        <x:v>0</x:v>
      </x:c>
      <x:c r="L123" s="80" t="str">
        <x:f>IF(K123&lt;=J123,"CONTROLLED","OVERPAID")</x:f>
        <x:v>CONTROLLED</x:v>
      </x:c>
      <x:c r="M123" s="103"/>
      <x:c r="N123" s="103"/>
    </x:row>
    <x:row r="124">
      <x:c r="A124" s="62" t="str">
        <x:v>C118</x:v>
      </x:c>
      <x:c r="B124" s="62" t="str">
        <x:v>P20</x:v>
      </x:c>
      <x:c r="C124" s="62" t="str">
        <x:v>M4 Independent clean-room replay</x:v>
      </x:c>
      <x:c r="D124" s="72" t="n">
        <x:v>0.25</x:v>
      </x:c>
      <x:c r="E124" s="79" t="n">
        <x:f>D124*INDEX('Package Build'!$H$7:$H$36,MATCH(B124,'Package Build'!$A$7:$A$36,0))</x:f>
        <x:v>1.6875</x:v>
      </x:c>
      <x:c r="F124" s="82" t="n">
        <x:v>0</x:v>
      </x:c>
      <x:c r="G124" s="82" t="n">
        <x:v>0</x:v>
      </x:c>
      <x:c r="H124" s="82" t="n">
        <x:v>0</x:v>
      </x:c>
      <x:c r="I124" s="80" t="str">
        <x:f>IF(AND(F124=1,G124=1,H124=1,Inputs!$B$18=0,Inputs!$B$19=0),"ELIGIBLE","HELD")</x:f>
        <x:v>HELD</x:v>
      </x:c>
      <x:c r="J124" s="79" t="n">
        <x:f>IF(I124="ELIGIBLE",E124,0)</x:f>
        <x:v>0</x:v>
      </x:c>
      <x:c r="K124" s="84" t="n">
        <x:v>0</x:v>
      </x:c>
      <x:c r="L124" s="80" t="str">
        <x:f>IF(K124&lt;=J124,"CONTROLLED","OVERPAID")</x:f>
        <x:v>CONTROLLED</x:v>
      </x:c>
      <x:c r="M124" s="103"/>
      <x:c r="N124" s="103"/>
    </x:row>
    <x:row r="125">
      <x:c r="A125" s="62" t="str">
        <x:v>C119</x:v>
      </x:c>
      <x:c r="B125" s="62" t="str">
        <x:v>P20</x:v>
      </x:c>
      <x:c r="C125" s="62" t="str">
        <x:v>M5 Rights, receiver and residual closure</x:v>
      </x:c>
      <x:c r="D125" s="72" t="n">
        <x:v>0.2</x:v>
      </x:c>
      <x:c r="E125" s="79" t="n">
        <x:f>D125*INDEX('Package Build'!$H$7:$H$36,MATCH(B125,'Package Build'!$A$7:$A$36,0))</x:f>
        <x:v>1.35</x:v>
      </x:c>
      <x:c r="F125" s="82" t="n">
        <x:v>0</x:v>
      </x:c>
      <x:c r="G125" s="82" t="n">
        <x:v>0</x:v>
      </x:c>
      <x:c r="H125" s="82" t="n">
        <x:v>0</x:v>
      </x:c>
      <x:c r="I125" s="80" t="str">
        <x:f>IF(AND(F125=1,G125=1,H125=1,Inputs!$B$18=0,Inputs!$B$19=0),"ELIGIBLE","HELD")</x:f>
        <x:v>HELD</x:v>
      </x:c>
      <x:c r="J125" s="79" t="n">
        <x:f>IF(I125="ELIGIBLE",E125,0)</x:f>
        <x:v>0</x:v>
      </x:c>
      <x:c r="K125" s="84" t="n">
        <x:v>0</x:v>
      </x:c>
      <x:c r="L125" s="80" t="str">
        <x:f>IF(K125&lt;=J125,"CONTROLLED","OVERPAID")</x:f>
        <x:v>CONTROLLED</x:v>
      </x:c>
      <x:c r="M125" s="103"/>
      <x:c r="N125" s="103"/>
    </x:row>
    <x:row r="126">
      <x:c r="A126" s="62" t="str">
        <x:v>C120</x:v>
      </x:c>
      <x:c r="B126" s="62" t="str">
        <x:v>P20</x:v>
      </x:c>
      <x:c r="C126" s="62" t="str">
        <x:v>M6 Challenge closure and terminal archive</x:v>
      </x:c>
      <x:c r="D126" s="72" t="n">
        <x:v>0.1</x:v>
      </x:c>
      <x:c r="E126" s="79" t="n">
        <x:f>D126*INDEX('Package Build'!$H$7:$H$36,MATCH(B126,'Package Build'!$A$7:$A$36,0))</x:f>
        <x:v>0.675</x:v>
      </x:c>
      <x:c r="F126" s="82" t="n">
        <x:v>0</x:v>
      </x:c>
      <x:c r="G126" s="82" t="n">
        <x:v>0</x:v>
      </x:c>
      <x:c r="H126" s="82" t="n">
        <x:v>0</x:v>
      </x:c>
      <x:c r="I126" s="80" t="str">
        <x:f>IF(AND(F126=1,G126=1,H126=1,Inputs!$B$18=0,Inputs!$B$19=0),"ELIGIBLE","HELD")</x:f>
        <x:v>HELD</x:v>
      </x:c>
      <x:c r="J126" s="79" t="n">
        <x:f>IF(I126="ELIGIBLE",E126,0)</x:f>
        <x:v>0</x:v>
      </x:c>
      <x:c r="K126" s="84" t="n">
        <x:v>0</x:v>
      </x:c>
      <x:c r="L126" s="80" t="str">
        <x:f>IF(K126&lt;=J126,"CONTROLLED","OVERPAID")</x:f>
        <x:v>CONTROLLED</x:v>
      </x:c>
      <x:c r="M126" s="103"/>
      <x:c r="N126" s="103"/>
    </x:row>
    <x:row r="127">
      <x:c r="A127" s="62" t="str">
        <x:v>C121</x:v>
      </x:c>
      <x:c r="B127" s="62" t="str">
        <x:v>P21</x:v>
      </x:c>
      <x:c r="C127" s="62" t="str">
        <x:v>M1 Source capsule</x:v>
      </x:c>
      <x:c r="D127" s="72" t="n">
        <x:v>0.1</x:v>
      </x:c>
      <x:c r="E127" s="79" t="n">
        <x:f>D127*INDEX('Package Build'!$H$7:$H$36,MATCH(B127,'Package Build'!$A$7:$A$36,0))</x:f>
        <x:v>0.86</x:v>
      </x:c>
      <x:c r="F127" s="82" t="n">
        <x:v>0</x:v>
      </x:c>
      <x:c r="G127" s="82" t="n">
        <x:v>0</x:v>
      </x:c>
      <x:c r="H127" s="82" t="n">
        <x:v>0</x:v>
      </x:c>
      <x:c r="I127" s="80" t="str">
        <x:f>IF(AND(F127=1,G127=1,H127=1,Inputs!$B$18=0,Inputs!$B$19=0),"ELIGIBLE","HELD")</x:f>
        <x:v>HELD</x:v>
      </x:c>
      <x:c r="J127" s="79" t="n">
        <x:f>IF(I127="ELIGIBLE",E127,0)</x:f>
        <x:v>0</x:v>
      </x:c>
      <x:c r="K127" s="84" t="n">
        <x:v>0</x:v>
      </x:c>
      <x:c r="L127" s="80" t="str">
        <x:f>IF(K127&lt;=J127,"CONTROLLED","OVERPAID")</x:f>
        <x:v>CONTROLLED</x:v>
      </x:c>
      <x:c r="M127" s="103"/>
      <x:c r="N127" s="103"/>
    </x:row>
    <x:row r="128">
      <x:c r="A128" s="62" t="str">
        <x:v>C122</x:v>
      </x:c>
      <x:c r="B128" s="62" t="str">
        <x:v>P21</x:v>
      </x:c>
      <x:c r="C128" s="62" t="str">
        <x:v>M2 Executable causal ledger</x:v>
      </x:c>
      <x:c r="D128" s="72" t="n">
        <x:v>0.2</x:v>
      </x:c>
      <x:c r="E128" s="79" t="n">
        <x:f>D128*INDEX('Package Build'!$H$7:$H$36,MATCH(B128,'Package Build'!$A$7:$A$36,0))</x:f>
        <x:v>1.72</x:v>
      </x:c>
      <x:c r="F128" s="82" t="n">
        <x:v>0</x:v>
      </x:c>
      <x:c r="G128" s="82" t="n">
        <x:v>0</x:v>
      </x:c>
      <x:c r="H128" s="82" t="n">
        <x:v>0</x:v>
      </x:c>
      <x:c r="I128" s="80" t="str">
        <x:f>IF(AND(F128=1,G128=1,H128=1,Inputs!$B$18=0,Inputs!$B$19=0),"ELIGIBLE","HELD")</x:f>
        <x:v>HELD</x:v>
      </x:c>
      <x:c r="J128" s="79" t="n">
        <x:f>IF(I128="ELIGIBLE",E128,0)</x:f>
        <x:v>0</x:v>
      </x:c>
      <x:c r="K128" s="84" t="n">
        <x:v>0</x:v>
      </x:c>
      <x:c r="L128" s="80" t="str">
        <x:f>IF(K128&lt;=J128,"CONTROLLED","OVERPAID")</x:f>
        <x:v>CONTROLLED</x:v>
      </x:c>
      <x:c r="M128" s="103"/>
      <x:c r="N128" s="103"/>
    </x:row>
    <x:row r="129">
      <x:c r="A129" s="62" t="str">
        <x:v>C123</x:v>
      </x:c>
      <x:c r="B129" s="62" t="str">
        <x:v>P21</x:v>
      </x:c>
      <x:c r="C129" s="62" t="str">
        <x:v>M3 Dependency and unknown register</x:v>
      </x:c>
      <x:c r="D129" s="72" t="n">
        <x:v>0.15</x:v>
      </x:c>
      <x:c r="E129" s="79" t="n">
        <x:f>D129*INDEX('Package Build'!$H$7:$H$36,MATCH(B129,'Package Build'!$A$7:$A$36,0))</x:f>
        <x:v>1.2899999999999998</x:v>
      </x:c>
      <x:c r="F129" s="82" t="n">
        <x:v>0</x:v>
      </x:c>
      <x:c r="G129" s="82" t="n">
        <x:v>0</x:v>
      </x:c>
      <x:c r="H129" s="82" t="n">
        <x:v>0</x:v>
      </x:c>
      <x:c r="I129" s="80" t="str">
        <x:f>IF(AND(F129=1,G129=1,H129=1,Inputs!$B$18=0,Inputs!$B$19=0),"ELIGIBLE","HELD")</x:f>
        <x:v>HELD</x:v>
      </x:c>
      <x:c r="J129" s="79" t="n">
        <x:f>IF(I129="ELIGIBLE",E129,0)</x:f>
        <x:v>0</x:v>
      </x:c>
      <x:c r="K129" s="84" t="n">
        <x:v>0</x:v>
      </x:c>
      <x:c r="L129" s="80" t="str">
        <x:f>IF(K129&lt;=J129,"CONTROLLED","OVERPAID")</x:f>
        <x:v>CONTROLLED</x:v>
      </x:c>
      <x:c r="M129" s="103"/>
      <x:c r="N129" s="103"/>
    </x:row>
    <x:row r="130">
      <x:c r="A130" s="62" t="str">
        <x:v>C124</x:v>
      </x:c>
      <x:c r="B130" s="62" t="str">
        <x:v>P21</x:v>
      </x:c>
      <x:c r="C130" s="62" t="str">
        <x:v>M4 Independent clean-room replay</x:v>
      </x:c>
      <x:c r="D130" s="72" t="n">
        <x:v>0.25</x:v>
      </x:c>
      <x:c r="E130" s="79" t="n">
        <x:f>D130*INDEX('Package Build'!$H$7:$H$36,MATCH(B130,'Package Build'!$A$7:$A$36,0))</x:f>
        <x:v>2.15</x:v>
      </x:c>
      <x:c r="F130" s="82" t="n">
        <x:v>0</x:v>
      </x:c>
      <x:c r="G130" s="82" t="n">
        <x:v>0</x:v>
      </x:c>
      <x:c r="H130" s="82" t="n">
        <x:v>0</x:v>
      </x:c>
      <x:c r="I130" s="80" t="str">
        <x:f>IF(AND(F130=1,G130=1,H130=1,Inputs!$B$18=0,Inputs!$B$19=0),"ELIGIBLE","HELD")</x:f>
        <x:v>HELD</x:v>
      </x:c>
      <x:c r="J130" s="79" t="n">
        <x:f>IF(I130="ELIGIBLE",E130,0)</x:f>
        <x:v>0</x:v>
      </x:c>
      <x:c r="K130" s="84" t="n">
        <x:v>0</x:v>
      </x:c>
      <x:c r="L130" s="80" t="str">
        <x:f>IF(K130&lt;=J130,"CONTROLLED","OVERPAID")</x:f>
        <x:v>CONTROLLED</x:v>
      </x:c>
      <x:c r="M130" s="103"/>
      <x:c r="N130" s="103"/>
    </x:row>
    <x:row r="131">
      <x:c r="A131" s="62" t="str">
        <x:v>C125</x:v>
      </x:c>
      <x:c r="B131" s="62" t="str">
        <x:v>P21</x:v>
      </x:c>
      <x:c r="C131" s="62" t="str">
        <x:v>M5 Rights, receiver and residual closure</x:v>
      </x:c>
      <x:c r="D131" s="72" t="n">
        <x:v>0.2</x:v>
      </x:c>
      <x:c r="E131" s="79" t="n">
        <x:f>D131*INDEX('Package Build'!$H$7:$H$36,MATCH(B131,'Package Build'!$A$7:$A$36,0))</x:f>
        <x:v>1.72</x:v>
      </x:c>
      <x:c r="F131" s="82" t="n">
        <x:v>0</x:v>
      </x:c>
      <x:c r="G131" s="82" t="n">
        <x:v>0</x:v>
      </x:c>
      <x:c r="H131" s="82" t="n">
        <x:v>0</x:v>
      </x:c>
      <x:c r="I131" s="80" t="str">
        <x:f>IF(AND(F131=1,G131=1,H131=1,Inputs!$B$18=0,Inputs!$B$19=0),"ELIGIBLE","HELD")</x:f>
        <x:v>HELD</x:v>
      </x:c>
      <x:c r="J131" s="79" t="n">
        <x:f>IF(I131="ELIGIBLE",E131,0)</x:f>
        <x:v>0</x:v>
      </x:c>
      <x:c r="K131" s="84" t="n">
        <x:v>0</x:v>
      </x:c>
      <x:c r="L131" s="80" t="str">
        <x:f>IF(K131&lt;=J131,"CONTROLLED","OVERPAID")</x:f>
        <x:v>CONTROLLED</x:v>
      </x:c>
      <x:c r="M131" s="103"/>
      <x:c r="N131" s="103"/>
    </x:row>
    <x:row r="132">
      <x:c r="A132" s="62" t="str">
        <x:v>C126</x:v>
      </x:c>
      <x:c r="B132" s="62" t="str">
        <x:v>P21</x:v>
      </x:c>
      <x:c r="C132" s="62" t="str">
        <x:v>M6 Challenge closure and terminal archive</x:v>
      </x:c>
      <x:c r="D132" s="72" t="n">
        <x:v>0.1</x:v>
      </x:c>
      <x:c r="E132" s="79" t="n">
        <x:f>D132*INDEX('Package Build'!$H$7:$H$36,MATCH(B132,'Package Build'!$A$7:$A$36,0))</x:f>
        <x:v>0.86</x:v>
      </x:c>
      <x:c r="F132" s="82" t="n">
        <x:v>0</x:v>
      </x:c>
      <x:c r="G132" s="82" t="n">
        <x:v>0</x:v>
      </x:c>
      <x:c r="H132" s="82" t="n">
        <x:v>0</x:v>
      </x:c>
      <x:c r="I132" s="80" t="str">
        <x:f>IF(AND(F132=1,G132=1,H132=1,Inputs!$B$18=0,Inputs!$B$19=0),"ELIGIBLE","HELD")</x:f>
        <x:v>HELD</x:v>
      </x:c>
      <x:c r="J132" s="79" t="n">
        <x:f>IF(I132="ELIGIBLE",E132,0)</x:f>
        <x:v>0</x:v>
      </x:c>
      <x:c r="K132" s="84" t="n">
        <x:v>0</x:v>
      </x:c>
      <x:c r="L132" s="80" t="str">
        <x:f>IF(K132&lt;=J132,"CONTROLLED","OVERPAID")</x:f>
        <x:v>CONTROLLED</x:v>
      </x:c>
      <x:c r="M132" s="103"/>
      <x:c r="N132" s="103"/>
    </x:row>
    <x:row r="133">
      <x:c r="A133" s="62" t="str">
        <x:v>C127</x:v>
      </x:c>
      <x:c r="B133" s="62" t="str">
        <x:v>P22</x:v>
      </x:c>
      <x:c r="C133" s="62" t="str">
        <x:v>M1 Source capsule</x:v>
      </x:c>
      <x:c r="D133" s="72" t="n">
        <x:v>0.1</x:v>
      </x:c>
      <x:c r="E133" s="79" t="n">
        <x:f>D133*INDEX('Package Build'!$H$7:$H$36,MATCH(B133,'Package Build'!$A$7:$A$36,0))</x:f>
        <x:v>1.075</x:v>
      </x:c>
      <x:c r="F133" s="82" t="n">
        <x:v>0</x:v>
      </x:c>
      <x:c r="G133" s="82" t="n">
        <x:v>0</x:v>
      </x:c>
      <x:c r="H133" s="82" t="n">
        <x:v>0</x:v>
      </x:c>
      <x:c r="I133" s="80" t="str">
        <x:f>IF(AND(F133=1,G133=1,H133=1,Inputs!$B$18=0,Inputs!$B$19=0),"ELIGIBLE","HELD")</x:f>
        <x:v>HELD</x:v>
      </x:c>
      <x:c r="J133" s="79" t="n">
        <x:f>IF(I133="ELIGIBLE",E133,0)</x:f>
        <x:v>0</x:v>
      </x:c>
      <x:c r="K133" s="84" t="n">
        <x:v>0</x:v>
      </x:c>
      <x:c r="L133" s="80" t="str">
        <x:f>IF(K133&lt;=J133,"CONTROLLED","OVERPAID")</x:f>
        <x:v>CONTROLLED</x:v>
      </x:c>
      <x:c r="M133" s="103"/>
      <x:c r="N133" s="103"/>
    </x:row>
    <x:row r="134">
      <x:c r="A134" s="62" t="str">
        <x:v>C128</x:v>
      </x:c>
      <x:c r="B134" s="62" t="str">
        <x:v>P22</x:v>
      </x:c>
      <x:c r="C134" s="62" t="str">
        <x:v>M2 Executable causal ledger</x:v>
      </x:c>
      <x:c r="D134" s="72" t="n">
        <x:v>0.2</x:v>
      </x:c>
      <x:c r="E134" s="79" t="n">
        <x:f>D134*INDEX('Package Build'!$H$7:$H$36,MATCH(B134,'Package Build'!$A$7:$A$36,0))</x:f>
        <x:v>2.15</x:v>
      </x:c>
      <x:c r="F134" s="82" t="n">
        <x:v>0</x:v>
      </x:c>
      <x:c r="G134" s="82" t="n">
        <x:v>0</x:v>
      </x:c>
      <x:c r="H134" s="82" t="n">
        <x:v>0</x:v>
      </x:c>
      <x:c r="I134" s="80" t="str">
        <x:f>IF(AND(F134=1,G134=1,H134=1,Inputs!$B$18=0,Inputs!$B$19=0),"ELIGIBLE","HELD")</x:f>
        <x:v>HELD</x:v>
      </x:c>
      <x:c r="J134" s="79" t="n">
        <x:f>IF(I134="ELIGIBLE",E134,0)</x:f>
        <x:v>0</x:v>
      </x:c>
      <x:c r="K134" s="84" t="n">
        <x:v>0</x:v>
      </x:c>
      <x:c r="L134" s="80" t="str">
        <x:f>IF(K134&lt;=J134,"CONTROLLED","OVERPAID")</x:f>
        <x:v>CONTROLLED</x:v>
      </x:c>
      <x:c r="M134" s="103"/>
      <x:c r="N134" s="103"/>
    </x:row>
    <x:row r="135">
      <x:c r="A135" s="62" t="str">
        <x:v>C129</x:v>
      </x:c>
      <x:c r="B135" s="62" t="str">
        <x:v>P22</x:v>
      </x:c>
      <x:c r="C135" s="62" t="str">
        <x:v>M3 Dependency and unknown register</x:v>
      </x:c>
      <x:c r="D135" s="72" t="n">
        <x:v>0.15</x:v>
      </x:c>
      <x:c r="E135" s="79" t="n">
        <x:f>D135*INDEX('Package Build'!$H$7:$H$36,MATCH(B135,'Package Build'!$A$7:$A$36,0))</x:f>
        <x:v>1.6125</x:v>
      </x:c>
      <x:c r="F135" s="82" t="n">
        <x:v>0</x:v>
      </x:c>
      <x:c r="G135" s="82" t="n">
        <x:v>0</x:v>
      </x:c>
      <x:c r="H135" s="82" t="n">
        <x:v>0</x:v>
      </x:c>
      <x:c r="I135" s="80" t="str">
        <x:f>IF(AND(F135=1,G135=1,H135=1,Inputs!$B$18=0,Inputs!$B$19=0),"ELIGIBLE","HELD")</x:f>
        <x:v>HELD</x:v>
      </x:c>
      <x:c r="J135" s="79" t="n">
        <x:f>IF(I135="ELIGIBLE",E135,0)</x:f>
        <x:v>0</x:v>
      </x:c>
      <x:c r="K135" s="84" t="n">
        <x:v>0</x:v>
      </x:c>
      <x:c r="L135" s="80" t="str">
        <x:f>IF(K135&lt;=J135,"CONTROLLED","OVERPAID")</x:f>
        <x:v>CONTROLLED</x:v>
      </x:c>
      <x:c r="M135" s="103"/>
      <x:c r="N135" s="103"/>
    </x:row>
    <x:row r="136">
      <x:c r="A136" s="62" t="str">
        <x:v>C130</x:v>
      </x:c>
      <x:c r="B136" s="62" t="str">
        <x:v>P22</x:v>
      </x:c>
      <x:c r="C136" s="62" t="str">
        <x:v>M4 Independent clean-room replay</x:v>
      </x:c>
      <x:c r="D136" s="72" t="n">
        <x:v>0.25</x:v>
      </x:c>
      <x:c r="E136" s="79" t="n">
        <x:f>D136*INDEX('Package Build'!$H$7:$H$36,MATCH(B136,'Package Build'!$A$7:$A$36,0))</x:f>
        <x:v>2.6875</x:v>
      </x:c>
      <x:c r="F136" s="82" t="n">
        <x:v>0</x:v>
      </x:c>
      <x:c r="G136" s="82" t="n">
        <x:v>0</x:v>
      </x:c>
      <x:c r="H136" s="82" t="n">
        <x:v>0</x:v>
      </x:c>
      <x:c r="I136" s="80" t="str">
        <x:f>IF(AND(F136=1,G136=1,H136=1,Inputs!$B$18=0,Inputs!$B$19=0),"ELIGIBLE","HELD")</x:f>
        <x:v>HELD</x:v>
      </x:c>
      <x:c r="J136" s="79" t="n">
        <x:f>IF(I136="ELIGIBLE",E136,0)</x:f>
        <x:v>0</x:v>
      </x:c>
      <x:c r="K136" s="84" t="n">
        <x:v>0</x:v>
      </x:c>
      <x:c r="L136" s="80" t="str">
        <x:f>IF(K136&lt;=J136,"CONTROLLED","OVERPAID")</x:f>
        <x:v>CONTROLLED</x:v>
      </x:c>
      <x:c r="M136" s="103"/>
      <x:c r="N136" s="103"/>
    </x:row>
    <x:row r="137">
      <x:c r="A137" s="62" t="str">
        <x:v>C131</x:v>
      </x:c>
      <x:c r="B137" s="62" t="str">
        <x:v>P22</x:v>
      </x:c>
      <x:c r="C137" s="62" t="str">
        <x:v>M5 Rights, receiver and residual closure</x:v>
      </x:c>
      <x:c r="D137" s="72" t="n">
        <x:v>0.2</x:v>
      </x:c>
      <x:c r="E137" s="79" t="n">
        <x:f>D137*INDEX('Package Build'!$H$7:$H$36,MATCH(B137,'Package Build'!$A$7:$A$36,0))</x:f>
        <x:v>2.15</x:v>
      </x:c>
      <x:c r="F137" s="82" t="n">
        <x:v>0</x:v>
      </x:c>
      <x:c r="G137" s="82" t="n">
        <x:v>0</x:v>
      </x:c>
      <x:c r="H137" s="82" t="n">
        <x:v>0</x:v>
      </x:c>
      <x:c r="I137" s="80" t="str">
        <x:f>IF(AND(F137=1,G137=1,H137=1,Inputs!$B$18=0,Inputs!$B$19=0),"ELIGIBLE","HELD")</x:f>
        <x:v>HELD</x:v>
      </x:c>
      <x:c r="J137" s="79" t="n">
        <x:f>IF(I137="ELIGIBLE",E137,0)</x:f>
        <x:v>0</x:v>
      </x:c>
      <x:c r="K137" s="84" t="n">
        <x:v>0</x:v>
      </x:c>
      <x:c r="L137" s="80" t="str">
        <x:f>IF(K137&lt;=J137,"CONTROLLED","OVERPAID")</x:f>
        <x:v>CONTROLLED</x:v>
      </x:c>
      <x:c r="M137" s="103"/>
      <x:c r="N137" s="103"/>
    </x:row>
    <x:row r="138">
      <x:c r="A138" s="62" t="str">
        <x:v>C132</x:v>
      </x:c>
      <x:c r="B138" s="62" t="str">
        <x:v>P22</x:v>
      </x:c>
      <x:c r="C138" s="62" t="str">
        <x:v>M6 Challenge closure and terminal archive</x:v>
      </x:c>
      <x:c r="D138" s="72" t="n">
        <x:v>0.1</x:v>
      </x:c>
      <x:c r="E138" s="79" t="n">
        <x:f>D138*INDEX('Package Build'!$H$7:$H$36,MATCH(B138,'Package Build'!$A$7:$A$36,0))</x:f>
        <x:v>1.075</x:v>
      </x:c>
      <x:c r="F138" s="82" t="n">
        <x:v>0</x:v>
      </x:c>
      <x:c r="G138" s="82" t="n">
        <x:v>0</x:v>
      </x:c>
      <x:c r="H138" s="82" t="n">
        <x:v>0</x:v>
      </x:c>
      <x:c r="I138" s="80" t="str">
        <x:f>IF(AND(F138=1,G138=1,H138=1,Inputs!$B$18=0,Inputs!$B$19=0),"ELIGIBLE","HELD")</x:f>
        <x:v>HELD</x:v>
      </x:c>
      <x:c r="J138" s="79" t="n">
        <x:f>IF(I138="ELIGIBLE",E138,0)</x:f>
        <x:v>0</x:v>
      </x:c>
      <x:c r="K138" s="84" t="n">
        <x:v>0</x:v>
      </x:c>
      <x:c r="L138" s="80" t="str">
        <x:f>IF(K138&lt;=J138,"CONTROLLED","OVERPAID")</x:f>
        <x:v>CONTROLLED</x:v>
      </x:c>
      <x:c r="M138" s="103"/>
      <x:c r="N138" s="103"/>
    </x:row>
    <x:row r="139">
      <x:c r="A139" s="62" t="str">
        <x:v>C133</x:v>
      </x:c>
      <x:c r="B139" s="62" t="str">
        <x:v>P23</x:v>
      </x:c>
      <x:c r="C139" s="62" t="str">
        <x:v>M1 Source capsule</x:v>
      </x:c>
      <x:c r="D139" s="72" t="n">
        <x:v>0.1</x:v>
      </x:c>
      <x:c r="E139" s="79" t="n">
        <x:f>D139*INDEX('Package Build'!$H$7:$H$36,MATCH(B139,'Package Build'!$A$7:$A$36,0))</x:f>
        <x:v>0.645</x:v>
      </x:c>
      <x:c r="F139" s="82" t="n">
        <x:v>0</x:v>
      </x:c>
      <x:c r="G139" s="82" t="n">
        <x:v>0</x:v>
      </x:c>
      <x:c r="H139" s="82" t="n">
        <x:v>0</x:v>
      </x:c>
      <x:c r="I139" s="80" t="str">
        <x:f>IF(AND(F139=1,G139=1,H139=1,Inputs!$B$18=0,Inputs!$B$19=0),"ELIGIBLE","HELD")</x:f>
        <x:v>HELD</x:v>
      </x:c>
      <x:c r="J139" s="79" t="n">
        <x:f>IF(I139="ELIGIBLE",E139,0)</x:f>
        <x:v>0</x:v>
      </x:c>
      <x:c r="K139" s="84" t="n">
        <x:v>0</x:v>
      </x:c>
      <x:c r="L139" s="80" t="str">
        <x:f>IF(K139&lt;=J139,"CONTROLLED","OVERPAID")</x:f>
        <x:v>CONTROLLED</x:v>
      </x:c>
      <x:c r="M139" s="103"/>
      <x:c r="N139" s="103"/>
    </x:row>
    <x:row r="140">
      <x:c r="A140" s="62" t="str">
        <x:v>C134</x:v>
      </x:c>
      <x:c r="B140" s="62" t="str">
        <x:v>P23</x:v>
      </x:c>
      <x:c r="C140" s="62" t="str">
        <x:v>M2 Executable causal ledger</x:v>
      </x:c>
      <x:c r="D140" s="72" t="n">
        <x:v>0.2</x:v>
      </x:c>
      <x:c r="E140" s="79" t="n">
        <x:f>D140*INDEX('Package Build'!$H$7:$H$36,MATCH(B140,'Package Build'!$A$7:$A$36,0))</x:f>
        <x:v>1.29</x:v>
      </x:c>
      <x:c r="F140" s="82" t="n">
        <x:v>0</x:v>
      </x:c>
      <x:c r="G140" s="82" t="n">
        <x:v>0</x:v>
      </x:c>
      <x:c r="H140" s="82" t="n">
        <x:v>0</x:v>
      </x:c>
      <x:c r="I140" s="80" t="str">
        <x:f>IF(AND(F140=1,G140=1,H140=1,Inputs!$B$18=0,Inputs!$B$19=0),"ELIGIBLE","HELD")</x:f>
        <x:v>HELD</x:v>
      </x:c>
      <x:c r="J140" s="79" t="n">
        <x:f>IF(I140="ELIGIBLE",E140,0)</x:f>
        <x:v>0</x:v>
      </x:c>
      <x:c r="K140" s="84" t="n">
        <x:v>0</x:v>
      </x:c>
      <x:c r="L140" s="80" t="str">
        <x:f>IF(K140&lt;=J140,"CONTROLLED","OVERPAID")</x:f>
        <x:v>CONTROLLED</x:v>
      </x:c>
      <x:c r="M140" s="103"/>
      <x:c r="N140" s="103"/>
    </x:row>
    <x:row r="141">
      <x:c r="A141" s="62" t="str">
        <x:v>C135</x:v>
      </x:c>
      <x:c r="B141" s="62" t="str">
        <x:v>P23</x:v>
      </x:c>
      <x:c r="C141" s="62" t="str">
        <x:v>M3 Dependency and unknown register</x:v>
      </x:c>
      <x:c r="D141" s="72" t="n">
        <x:v>0.15</x:v>
      </x:c>
      <x:c r="E141" s="79" t="n">
        <x:f>D141*INDEX('Package Build'!$H$7:$H$36,MATCH(B141,'Package Build'!$A$7:$A$36,0))</x:f>
        <x:v>0.9675</x:v>
      </x:c>
      <x:c r="F141" s="82" t="n">
        <x:v>0</x:v>
      </x:c>
      <x:c r="G141" s="82" t="n">
        <x:v>0</x:v>
      </x:c>
      <x:c r="H141" s="82" t="n">
        <x:v>0</x:v>
      </x:c>
      <x:c r="I141" s="80" t="str">
        <x:f>IF(AND(F141=1,G141=1,H141=1,Inputs!$B$18=0,Inputs!$B$19=0),"ELIGIBLE","HELD")</x:f>
        <x:v>HELD</x:v>
      </x:c>
      <x:c r="J141" s="79" t="n">
        <x:f>IF(I141="ELIGIBLE",E141,0)</x:f>
        <x:v>0</x:v>
      </x:c>
      <x:c r="K141" s="84" t="n">
        <x:v>0</x:v>
      </x:c>
      <x:c r="L141" s="80" t="str">
        <x:f>IF(K141&lt;=J141,"CONTROLLED","OVERPAID")</x:f>
        <x:v>CONTROLLED</x:v>
      </x:c>
      <x:c r="M141" s="103"/>
      <x:c r="N141" s="103"/>
    </x:row>
    <x:row r="142">
      <x:c r="A142" s="62" t="str">
        <x:v>C136</x:v>
      </x:c>
      <x:c r="B142" s="62" t="str">
        <x:v>P23</x:v>
      </x:c>
      <x:c r="C142" s="62" t="str">
        <x:v>M4 Independent clean-room replay</x:v>
      </x:c>
      <x:c r="D142" s="72" t="n">
        <x:v>0.25</x:v>
      </x:c>
      <x:c r="E142" s="79" t="n">
        <x:f>D142*INDEX('Package Build'!$H$7:$H$36,MATCH(B142,'Package Build'!$A$7:$A$36,0))</x:f>
        <x:v>1.6125</x:v>
      </x:c>
      <x:c r="F142" s="82" t="n">
        <x:v>0</x:v>
      </x:c>
      <x:c r="G142" s="82" t="n">
        <x:v>0</x:v>
      </x:c>
      <x:c r="H142" s="82" t="n">
        <x:v>0</x:v>
      </x:c>
      <x:c r="I142" s="80" t="str">
        <x:f>IF(AND(F142=1,G142=1,H142=1,Inputs!$B$18=0,Inputs!$B$19=0),"ELIGIBLE","HELD")</x:f>
        <x:v>HELD</x:v>
      </x:c>
      <x:c r="J142" s="79" t="n">
        <x:f>IF(I142="ELIGIBLE",E142,0)</x:f>
        <x:v>0</x:v>
      </x:c>
      <x:c r="K142" s="84" t="n">
        <x:v>0</x:v>
      </x:c>
      <x:c r="L142" s="80" t="str">
        <x:f>IF(K142&lt;=J142,"CONTROLLED","OVERPAID")</x:f>
        <x:v>CONTROLLED</x:v>
      </x:c>
      <x:c r="M142" s="103"/>
      <x:c r="N142" s="103"/>
    </x:row>
    <x:row r="143">
      <x:c r="A143" s="62" t="str">
        <x:v>C137</x:v>
      </x:c>
      <x:c r="B143" s="62" t="str">
        <x:v>P23</x:v>
      </x:c>
      <x:c r="C143" s="62" t="str">
        <x:v>M5 Rights, receiver and residual closure</x:v>
      </x:c>
      <x:c r="D143" s="72" t="n">
        <x:v>0.2</x:v>
      </x:c>
      <x:c r="E143" s="79" t="n">
        <x:f>D143*INDEX('Package Build'!$H$7:$H$36,MATCH(B143,'Package Build'!$A$7:$A$36,0))</x:f>
        <x:v>1.29</x:v>
      </x:c>
      <x:c r="F143" s="82" t="n">
        <x:v>0</x:v>
      </x:c>
      <x:c r="G143" s="82" t="n">
        <x:v>0</x:v>
      </x:c>
      <x:c r="H143" s="82" t="n">
        <x:v>0</x:v>
      </x:c>
      <x:c r="I143" s="80" t="str">
        <x:f>IF(AND(F143=1,G143=1,H143=1,Inputs!$B$18=0,Inputs!$B$19=0),"ELIGIBLE","HELD")</x:f>
        <x:v>HELD</x:v>
      </x:c>
      <x:c r="J143" s="79" t="n">
        <x:f>IF(I143="ELIGIBLE",E143,0)</x:f>
        <x:v>0</x:v>
      </x:c>
      <x:c r="K143" s="84" t="n">
        <x:v>0</x:v>
      </x:c>
      <x:c r="L143" s="80" t="str">
        <x:f>IF(K143&lt;=J143,"CONTROLLED","OVERPAID")</x:f>
        <x:v>CONTROLLED</x:v>
      </x:c>
      <x:c r="M143" s="103"/>
      <x:c r="N143" s="103"/>
    </x:row>
    <x:row r="144">
      <x:c r="A144" s="62" t="str">
        <x:v>C138</x:v>
      </x:c>
      <x:c r="B144" s="62" t="str">
        <x:v>P23</x:v>
      </x:c>
      <x:c r="C144" s="62" t="str">
        <x:v>M6 Challenge closure and terminal archive</x:v>
      </x:c>
      <x:c r="D144" s="72" t="n">
        <x:v>0.1</x:v>
      </x:c>
      <x:c r="E144" s="79" t="n">
        <x:f>D144*INDEX('Package Build'!$H$7:$H$36,MATCH(B144,'Package Build'!$A$7:$A$36,0))</x:f>
        <x:v>0.645</x:v>
      </x:c>
      <x:c r="F144" s="82" t="n">
        <x:v>0</x:v>
      </x:c>
      <x:c r="G144" s="82" t="n">
        <x:v>0</x:v>
      </x:c>
      <x:c r="H144" s="82" t="n">
        <x:v>0</x:v>
      </x:c>
      <x:c r="I144" s="80" t="str">
        <x:f>IF(AND(F144=1,G144=1,H144=1,Inputs!$B$18=0,Inputs!$B$19=0),"ELIGIBLE","HELD")</x:f>
        <x:v>HELD</x:v>
      </x:c>
      <x:c r="J144" s="79" t="n">
        <x:f>IF(I144="ELIGIBLE",E144,0)</x:f>
        <x:v>0</x:v>
      </x:c>
      <x:c r="K144" s="84" t="n">
        <x:v>0</x:v>
      </x:c>
      <x:c r="L144" s="80" t="str">
        <x:f>IF(K144&lt;=J144,"CONTROLLED","OVERPAID")</x:f>
        <x:v>CONTROLLED</x:v>
      </x:c>
      <x:c r="M144" s="103"/>
      <x:c r="N144" s="103"/>
    </x:row>
    <x:row r="145">
      <x:c r="A145" s="62" t="str">
        <x:v>C139</x:v>
      </x:c>
      <x:c r="B145" s="62" t="str">
        <x:v>P24</x:v>
      </x:c>
      <x:c r="C145" s="62" t="str">
        <x:v>M1 Source capsule</x:v>
      </x:c>
      <x:c r="D145" s="72" t="n">
        <x:v>0.1</x:v>
      </x:c>
      <x:c r="E145" s="79" t="n">
        <x:f>D145*INDEX('Package Build'!$H$7:$H$36,MATCH(B145,'Package Build'!$A$7:$A$36,0))</x:f>
        <x:v>1.075</x:v>
      </x:c>
      <x:c r="F145" s="82" t="n">
        <x:v>0</x:v>
      </x:c>
      <x:c r="G145" s="82" t="n">
        <x:v>0</x:v>
      </x:c>
      <x:c r="H145" s="82" t="n">
        <x:v>0</x:v>
      </x:c>
      <x:c r="I145" s="80" t="str">
        <x:f>IF(AND(F145=1,G145=1,H145=1,Inputs!$B$18=0,Inputs!$B$19=0),"ELIGIBLE","HELD")</x:f>
        <x:v>HELD</x:v>
      </x:c>
      <x:c r="J145" s="79" t="n">
        <x:f>IF(I145="ELIGIBLE",E145,0)</x:f>
        <x:v>0</x:v>
      </x:c>
      <x:c r="K145" s="84" t="n">
        <x:v>0</x:v>
      </x:c>
      <x:c r="L145" s="80" t="str">
        <x:f>IF(K145&lt;=J145,"CONTROLLED","OVERPAID")</x:f>
        <x:v>CONTROLLED</x:v>
      </x:c>
      <x:c r="M145" s="103"/>
      <x:c r="N145" s="103"/>
    </x:row>
    <x:row r="146">
      <x:c r="A146" s="62" t="str">
        <x:v>C140</x:v>
      </x:c>
      <x:c r="B146" s="62" t="str">
        <x:v>P24</x:v>
      </x:c>
      <x:c r="C146" s="62" t="str">
        <x:v>M2 Executable causal ledger</x:v>
      </x:c>
      <x:c r="D146" s="72" t="n">
        <x:v>0.2</x:v>
      </x:c>
      <x:c r="E146" s="79" t="n">
        <x:f>D146*INDEX('Package Build'!$H$7:$H$36,MATCH(B146,'Package Build'!$A$7:$A$36,0))</x:f>
        <x:v>2.15</x:v>
      </x:c>
      <x:c r="F146" s="82" t="n">
        <x:v>0</x:v>
      </x:c>
      <x:c r="G146" s="82" t="n">
        <x:v>0</x:v>
      </x:c>
      <x:c r="H146" s="82" t="n">
        <x:v>0</x:v>
      </x:c>
      <x:c r="I146" s="80" t="str">
        <x:f>IF(AND(F146=1,G146=1,H146=1,Inputs!$B$18=0,Inputs!$B$19=0),"ELIGIBLE","HELD")</x:f>
        <x:v>HELD</x:v>
      </x:c>
      <x:c r="J146" s="79" t="n">
        <x:f>IF(I146="ELIGIBLE",E146,0)</x:f>
        <x:v>0</x:v>
      </x:c>
      <x:c r="K146" s="84" t="n">
        <x:v>0</x:v>
      </x:c>
      <x:c r="L146" s="80" t="str">
        <x:f>IF(K146&lt;=J146,"CONTROLLED","OVERPAID")</x:f>
        <x:v>CONTROLLED</x:v>
      </x:c>
      <x:c r="M146" s="103"/>
      <x:c r="N146" s="103"/>
    </x:row>
    <x:row r="147">
      <x:c r="A147" s="62" t="str">
        <x:v>C141</x:v>
      </x:c>
      <x:c r="B147" s="62" t="str">
        <x:v>P24</x:v>
      </x:c>
      <x:c r="C147" s="62" t="str">
        <x:v>M3 Dependency and unknown register</x:v>
      </x:c>
      <x:c r="D147" s="72" t="n">
        <x:v>0.15</x:v>
      </x:c>
      <x:c r="E147" s="79" t="n">
        <x:f>D147*INDEX('Package Build'!$H$7:$H$36,MATCH(B147,'Package Build'!$A$7:$A$36,0))</x:f>
        <x:v>1.6125</x:v>
      </x:c>
      <x:c r="F147" s="82" t="n">
        <x:v>0</x:v>
      </x:c>
      <x:c r="G147" s="82" t="n">
        <x:v>0</x:v>
      </x:c>
      <x:c r="H147" s="82" t="n">
        <x:v>0</x:v>
      </x:c>
      <x:c r="I147" s="80" t="str">
        <x:f>IF(AND(F147=1,G147=1,H147=1,Inputs!$B$18=0,Inputs!$B$19=0),"ELIGIBLE","HELD")</x:f>
        <x:v>HELD</x:v>
      </x:c>
      <x:c r="J147" s="79" t="n">
        <x:f>IF(I147="ELIGIBLE",E147,0)</x:f>
        <x:v>0</x:v>
      </x:c>
      <x:c r="K147" s="84" t="n">
        <x:v>0</x:v>
      </x:c>
      <x:c r="L147" s="80" t="str">
        <x:f>IF(K147&lt;=J147,"CONTROLLED","OVERPAID")</x:f>
        <x:v>CONTROLLED</x:v>
      </x:c>
      <x:c r="M147" s="103"/>
      <x:c r="N147" s="103"/>
    </x:row>
    <x:row r="148">
      <x:c r="A148" s="62" t="str">
        <x:v>C142</x:v>
      </x:c>
      <x:c r="B148" s="62" t="str">
        <x:v>P24</x:v>
      </x:c>
      <x:c r="C148" s="62" t="str">
        <x:v>M4 Independent clean-room replay</x:v>
      </x:c>
      <x:c r="D148" s="72" t="n">
        <x:v>0.25</x:v>
      </x:c>
      <x:c r="E148" s="79" t="n">
        <x:f>D148*INDEX('Package Build'!$H$7:$H$36,MATCH(B148,'Package Build'!$A$7:$A$36,0))</x:f>
        <x:v>2.6875</x:v>
      </x:c>
      <x:c r="F148" s="82" t="n">
        <x:v>0</x:v>
      </x:c>
      <x:c r="G148" s="82" t="n">
        <x:v>0</x:v>
      </x:c>
      <x:c r="H148" s="82" t="n">
        <x:v>0</x:v>
      </x:c>
      <x:c r="I148" s="80" t="str">
        <x:f>IF(AND(F148=1,G148=1,H148=1,Inputs!$B$18=0,Inputs!$B$19=0),"ELIGIBLE","HELD")</x:f>
        <x:v>HELD</x:v>
      </x:c>
      <x:c r="J148" s="79" t="n">
        <x:f>IF(I148="ELIGIBLE",E148,0)</x:f>
        <x:v>0</x:v>
      </x:c>
      <x:c r="K148" s="84" t="n">
        <x:v>0</x:v>
      </x:c>
      <x:c r="L148" s="80" t="str">
        <x:f>IF(K148&lt;=J148,"CONTROLLED","OVERPAID")</x:f>
        <x:v>CONTROLLED</x:v>
      </x:c>
      <x:c r="M148" s="103"/>
      <x:c r="N148" s="103"/>
    </x:row>
    <x:row r="149">
      <x:c r="A149" s="62" t="str">
        <x:v>C143</x:v>
      </x:c>
      <x:c r="B149" s="62" t="str">
        <x:v>P24</x:v>
      </x:c>
      <x:c r="C149" s="62" t="str">
        <x:v>M5 Rights, receiver and residual closure</x:v>
      </x:c>
      <x:c r="D149" s="72" t="n">
        <x:v>0.2</x:v>
      </x:c>
      <x:c r="E149" s="79" t="n">
        <x:f>D149*INDEX('Package Build'!$H$7:$H$36,MATCH(B149,'Package Build'!$A$7:$A$36,0))</x:f>
        <x:v>2.15</x:v>
      </x:c>
      <x:c r="F149" s="82" t="n">
        <x:v>0</x:v>
      </x:c>
      <x:c r="G149" s="82" t="n">
        <x:v>0</x:v>
      </x:c>
      <x:c r="H149" s="82" t="n">
        <x:v>0</x:v>
      </x:c>
      <x:c r="I149" s="80" t="str">
        <x:f>IF(AND(F149=1,G149=1,H149=1,Inputs!$B$18=0,Inputs!$B$19=0),"ELIGIBLE","HELD")</x:f>
        <x:v>HELD</x:v>
      </x:c>
      <x:c r="J149" s="79" t="n">
        <x:f>IF(I149="ELIGIBLE",E149,0)</x:f>
        <x:v>0</x:v>
      </x:c>
      <x:c r="K149" s="84" t="n">
        <x:v>0</x:v>
      </x:c>
      <x:c r="L149" s="80" t="str">
        <x:f>IF(K149&lt;=J149,"CONTROLLED","OVERPAID")</x:f>
        <x:v>CONTROLLED</x:v>
      </x:c>
      <x:c r="M149" s="103"/>
      <x:c r="N149" s="103"/>
    </x:row>
    <x:row r="150">
      <x:c r="A150" s="62" t="str">
        <x:v>C144</x:v>
      </x:c>
      <x:c r="B150" s="62" t="str">
        <x:v>P24</x:v>
      </x:c>
      <x:c r="C150" s="62" t="str">
        <x:v>M6 Challenge closure and terminal archive</x:v>
      </x:c>
      <x:c r="D150" s="72" t="n">
        <x:v>0.1</x:v>
      </x:c>
      <x:c r="E150" s="79" t="n">
        <x:f>D150*INDEX('Package Build'!$H$7:$H$36,MATCH(B150,'Package Build'!$A$7:$A$36,0))</x:f>
        <x:v>1.075</x:v>
      </x:c>
      <x:c r="F150" s="82" t="n">
        <x:v>0</x:v>
      </x:c>
      <x:c r="G150" s="82" t="n">
        <x:v>0</x:v>
      </x:c>
      <x:c r="H150" s="82" t="n">
        <x:v>0</x:v>
      </x:c>
      <x:c r="I150" s="80" t="str">
        <x:f>IF(AND(F150=1,G150=1,H150=1,Inputs!$B$18=0,Inputs!$B$19=0),"ELIGIBLE","HELD")</x:f>
        <x:v>HELD</x:v>
      </x:c>
      <x:c r="J150" s="79" t="n">
        <x:f>IF(I150="ELIGIBLE",E150,0)</x:f>
        <x:v>0</x:v>
      </x:c>
      <x:c r="K150" s="84" t="n">
        <x:v>0</x:v>
      </x:c>
      <x:c r="L150" s="80" t="str">
        <x:f>IF(K150&lt;=J150,"CONTROLLED","OVERPAID")</x:f>
        <x:v>CONTROLLED</x:v>
      </x:c>
      <x:c r="M150" s="103"/>
      <x:c r="N150" s="103"/>
    </x:row>
    <x:row r="151">
      <x:c r="A151" s="62" t="str">
        <x:v>C145</x:v>
      </x:c>
      <x:c r="B151" s="62" t="str">
        <x:v>P25</x:v>
      </x:c>
      <x:c r="C151" s="62" t="str">
        <x:v>M1 Source capsule</x:v>
      </x:c>
      <x:c r="D151" s="72" t="n">
        <x:v>0.1</x:v>
      </x:c>
      <x:c r="E151" s="79" t="n">
        <x:f>D151*INDEX('Package Build'!$H$7:$H$36,MATCH(B151,'Package Build'!$A$7:$A$36,0))</x:f>
        <x:v>0.645</x:v>
      </x:c>
      <x:c r="F151" s="82" t="n">
        <x:v>0</x:v>
      </x:c>
      <x:c r="G151" s="82" t="n">
        <x:v>0</x:v>
      </x:c>
      <x:c r="H151" s="82" t="n">
        <x:v>0</x:v>
      </x:c>
      <x:c r="I151" s="80" t="str">
        <x:f>IF(AND(F151=1,G151=1,H151=1,Inputs!$B$18=0,Inputs!$B$19=0),"ELIGIBLE","HELD")</x:f>
        <x:v>HELD</x:v>
      </x:c>
      <x:c r="J151" s="79" t="n">
        <x:f>IF(I151="ELIGIBLE",E151,0)</x:f>
        <x:v>0</x:v>
      </x:c>
      <x:c r="K151" s="84" t="n">
        <x:v>0</x:v>
      </x:c>
      <x:c r="L151" s="80" t="str">
        <x:f>IF(K151&lt;=J151,"CONTROLLED","OVERPAID")</x:f>
        <x:v>CONTROLLED</x:v>
      </x:c>
      <x:c r="M151" s="103"/>
      <x:c r="N151" s="103"/>
    </x:row>
    <x:row r="152">
      <x:c r="A152" s="62" t="str">
        <x:v>C146</x:v>
      </x:c>
      <x:c r="B152" s="62" t="str">
        <x:v>P25</x:v>
      </x:c>
      <x:c r="C152" s="62" t="str">
        <x:v>M2 Executable causal ledger</x:v>
      </x:c>
      <x:c r="D152" s="72" t="n">
        <x:v>0.2</x:v>
      </x:c>
      <x:c r="E152" s="79" t="n">
        <x:f>D152*INDEX('Package Build'!$H$7:$H$36,MATCH(B152,'Package Build'!$A$7:$A$36,0))</x:f>
        <x:v>1.29</x:v>
      </x:c>
      <x:c r="F152" s="82" t="n">
        <x:v>0</x:v>
      </x:c>
      <x:c r="G152" s="82" t="n">
        <x:v>0</x:v>
      </x:c>
      <x:c r="H152" s="82" t="n">
        <x:v>0</x:v>
      </x:c>
      <x:c r="I152" s="80" t="str">
        <x:f>IF(AND(F152=1,G152=1,H152=1,Inputs!$B$18=0,Inputs!$B$19=0),"ELIGIBLE","HELD")</x:f>
        <x:v>HELD</x:v>
      </x:c>
      <x:c r="J152" s="79" t="n">
        <x:f>IF(I152="ELIGIBLE",E152,0)</x:f>
        <x:v>0</x:v>
      </x:c>
      <x:c r="K152" s="84" t="n">
        <x:v>0</x:v>
      </x:c>
      <x:c r="L152" s="80" t="str">
        <x:f>IF(K152&lt;=J152,"CONTROLLED","OVERPAID")</x:f>
        <x:v>CONTROLLED</x:v>
      </x:c>
      <x:c r="M152" s="103"/>
      <x:c r="N152" s="103"/>
    </x:row>
    <x:row r="153">
      <x:c r="A153" s="62" t="str">
        <x:v>C147</x:v>
      </x:c>
      <x:c r="B153" s="62" t="str">
        <x:v>P25</x:v>
      </x:c>
      <x:c r="C153" s="62" t="str">
        <x:v>M3 Dependency and unknown register</x:v>
      </x:c>
      <x:c r="D153" s="72" t="n">
        <x:v>0.15</x:v>
      </x:c>
      <x:c r="E153" s="79" t="n">
        <x:f>D153*INDEX('Package Build'!$H$7:$H$36,MATCH(B153,'Package Build'!$A$7:$A$36,0))</x:f>
        <x:v>0.9675</x:v>
      </x:c>
      <x:c r="F153" s="82" t="n">
        <x:v>0</x:v>
      </x:c>
      <x:c r="G153" s="82" t="n">
        <x:v>0</x:v>
      </x:c>
      <x:c r="H153" s="82" t="n">
        <x:v>0</x:v>
      </x:c>
      <x:c r="I153" s="80" t="str">
        <x:f>IF(AND(F153=1,G153=1,H153=1,Inputs!$B$18=0,Inputs!$B$19=0),"ELIGIBLE","HELD")</x:f>
        <x:v>HELD</x:v>
      </x:c>
      <x:c r="J153" s="79" t="n">
        <x:f>IF(I153="ELIGIBLE",E153,0)</x:f>
        <x:v>0</x:v>
      </x:c>
      <x:c r="K153" s="84" t="n">
        <x:v>0</x:v>
      </x:c>
      <x:c r="L153" s="80" t="str">
        <x:f>IF(K153&lt;=J153,"CONTROLLED","OVERPAID")</x:f>
        <x:v>CONTROLLED</x:v>
      </x:c>
      <x:c r="M153" s="103"/>
      <x:c r="N153" s="103"/>
    </x:row>
    <x:row r="154">
      <x:c r="A154" s="62" t="str">
        <x:v>C148</x:v>
      </x:c>
      <x:c r="B154" s="62" t="str">
        <x:v>P25</x:v>
      </x:c>
      <x:c r="C154" s="62" t="str">
        <x:v>M4 Independent clean-room replay</x:v>
      </x:c>
      <x:c r="D154" s="72" t="n">
        <x:v>0.25</x:v>
      </x:c>
      <x:c r="E154" s="79" t="n">
        <x:f>D154*INDEX('Package Build'!$H$7:$H$36,MATCH(B154,'Package Build'!$A$7:$A$36,0))</x:f>
        <x:v>1.6125</x:v>
      </x:c>
      <x:c r="F154" s="82" t="n">
        <x:v>0</x:v>
      </x:c>
      <x:c r="G154" s="82" t="n">
        <x:v>0</x:v>
      </x:c>
      <x:c r="H154" s="82" t="n">
        <x:v>0</x:v>
      </x:c>
      <x:c r="I154" s="80" t="str">
        <x:f>IF(AND(F154=1,G154=1,H154=1,Inputs!$B$18=0,Inputs!$B$19=0),"ELIGIBLE","HELD")</x:f>
        <x:v>HELD</x:v>
      </x:c>
      <x:c r="J154" s="79" t="n">
        <x:f>IF(I154="ELIGIBLE",E154,0)</x:f>
        <x:v>0</x:v>
      </x:c>
      <x:c r="K154" s="84" t="n">
        <x:v>0</x:v>
      </x:c>
      <x:c r="L154" s="80" t="str">
        <x:f>IF(K154&lt;=J154,"CONTROLLED","OVERPAID")</x:f>
        <x:v>CONTROLLED</x:v>
      </x:c>
      <x:c r="M154" s="103"/>
      <x:c r="N154" s="103"/>
    </x:row>
    <x:row r="155">
      <x:c r="A155" s="62" t="str">
        <x:v>C149</x:v>
      </x:c>
      <x:c r="B155" s="62" t="str">
        <x:v>P25</x:v>
      </x:c>
      <x:c r="C155" s="62" t="str">
        <x:v>M5 Rights, receiver and residual closure</x:v>
      </x:c>
      <x:c r="D155" s="72" t="n">
        <x:v>0.2</x:v>
      </x:c>
      <x:c r="E155" s="79" t="n">
        <x:f>D155*INDEX('Package Build'!$H$7:$H$36,MATCH(B155,'Package Build'!$A$7:$A$36,0))</x:f>
        <x:v>1.29</x:v>
      </x:c>
      <x:c r="F155" s="82" t="n">
        <x:v>0</x:v>
      </x:c>
      <x:c r="G155" s="82" t="n">
        <x:v>0</x:v>
      </x:c>
      <x:c r="H155" s="82" t="n">
        <x:v>0</x:v>
      </x:c>
      <x:c r="I155" s="80" t="str">
        <x:f>IF(AND(F155=1,G155=1,H155=1,Inputs!$B$18=0,Inputs!$B$19=0),"ELIGIBLE","HELD")</x:f>
        <x:v>HELD</x:v>
      </x:c>
      <x:c r="J155" s="79" t="n">
        <x:f>IF(I155="ELIGIBLE",E155,0)</x:f>
        <x:v>0</x:v>
      </x:c>
      <x:c r="K155" s="84" t="n">
        <x:v>0</x:v>
      </x:c>
      <x:c r="L155" s="80" t="str">
        <x:f>IF(K155&lt;=J155,"CONTROLLED","OVERPAID")</x:f>
        <x:v>CONTROLLED</x:v>
      </x:c>
      <x:c r="M155" s="103"/>
      <x:c r="N155" s="103"/>
    </x:row>
    <x:row r="156">
      <x:c r="A156" s="62" t="str">
        <x:v>C150</x:v>
      </x:c>
      <x:c r="B156" s="62" t="str">
        <x:v>P25</x:v>
      </x:c>
      <x:c r="C156" s="62" t="str">
        <x:v>M6 Challenge closure and terminal archive</x:v>
      </x:c>
      <x:c r="D156" s="72" t="n">
        <x:v>0.1</x:v>
      </x:c>
      <x:c r="E156" s="79" t="n">
        <x:f>D156*INDEX('Package Build'!$H$7:$H$36,MATCH(B156,'Package Build'!$A$7:$A$36,0))</x:f>
        <x:v>0.645</x:v>
      </x:c>
      <x:c r="F156" s="82" t="n">
        <x:v>0</x:v>
      </x:c>
      <x:c r="G156" s="82" t="n">
        <x:v>0</x:v>
      </x:c>
      <x:c r="H156" s="82" t="n">
        <x:v>0</x:v>
      </x:c>
      <x:c r="I156" s="80" t="str">
        <x:f>IF(AND(F156=1,G156=1,H156=1,Inputs!$B$18=0,Inputs!$B$19=0),"ELIGIBLE","HELD")</x:f>
        <x:v>HELD</x:v>
      </x:c>
      <x:c r="J156" s="79" t="n">
        <x:f>IF(I156="ELIGIBLE",E156,0)</x:f>
        <x:v>0</x:v>
      </x:c>
      <x:c r="K156" s="84" t="n">
        <x:v>0</x:v>
      </x:c>
      <x:c r="L156" s="80" t="str">
        <x:f>IF(K156&lt;=J156,"CONTROLLED","OVERPAID")</x:f>
        <x:v>CONTROLLED</x:v>
      </x:c>
      <x:c r="M156" s="103"/>
      <x:c r="N156" s="103"/>
    </x:row>
    <x:row r="157">
      <x:c r="A157" s="62" t="str">
        <x:v>C151</x:v>
      </x:c>
      <x:c r="B157" s="62" t="str">
        <x:v>P26</x:v>
      </x:c>
      <x:c r="C157" s="62" t="str">
        <x:v>M1 Source capsule</x:v>
      </x:c>
      <x:c r="D157" s="72" t="n">
        <x:v>0.1</x:v>
      </x:c>
      <x:c r="E157" s="79" t="n">
        <x:f>D157*INDEX('Package Build'!$H$7:$H$36,MATCH(B157,'Package Build'!$A$7:$A$36,0))</x:f>
        <x:v>0.5026666666666667</x:v>
      </x:c>
      <x:c r="F157" s="82" t="n">
        <x:v>0</x:v>
      </x:c>
      <x:c r="G157" s="82" t="n">
        <x:v>0</x:v>
      </x:c>
      <x:c r="H157" s="82" t="n">
        <x:v>0</x:v>
      </x:c>
      <x:c r="I157" s="80" t="str">
        <x:f>IF(AND(F157=1,G157=1,H157=1,Inputs!$B$18=0,Inputs!$B$19=0),"ELIGIBLE","HELD")</x:f>
        <x:v>HELD</x:v>
      </x:c>
      <x:c r="J157" s="79" t="n">
        <x:f>IF(I157="ELIGIBLE",E157,0)</x:f>
        <x:v>0</x:v>
      </x:c>
      <x:c r="K157" s="84" t="n">
        <x:v>0</x:v>
      </x:c>
      <x:c r="L157" s="80" t="str">
        <x:f>IF(K157&lt;=J157,"CONTROLLED","OVERPAID")</x:f>
        <x:v>CONTROLLED</x:v>
      </x:c>
      <x:c r="M157" s="103"/>
      <x:c r="N157" s="103"/>
    </x:row>
    <x:row r="158">
      <x:c r="A158" s="62" t="str">
        <x:v>C152</x:v>
      </x:c>
      <x:c r="B158" s="62" t="str">
        <x:v>P26</x:v>
      </x:c>
      <x:c r="C158" s="62" t="str">
        <x:v>M2 Executable causal ledger</x:v>
      </x:c>
      <x:c r="D158" s="72" t="n">
        <x:v>0.2</x:v>
      </x:c>
      <x:c r="E158" s="79" t="n">
        <x:f>D158*INDEX('Package Build'!$H$7:$H$36,MATCH(B158,'Package Build'!$A$7:$A$36,0))</x:f>
        <x:v>1.0053333333333334</x:v>
      </x:c>
      <x:c r="F158" s="82" t="n">
        <x:v>0</x:v>
      </x:c>
      <x:c r="G158" s="82" t="n">
        <x:v>0</x:v>
      </x:c>
      <x:c r="H158" s="82" t="n">
        <x:v>0</x:v>
      </x:c>
      <x:c r="I158" s="80" t="str">
        <x:f>IF(AND(F158=1,G158=1,H158=1,Inputs!$B$18=0,Inputs!$B$19=0),"ELIGIBLE","HELD")</x:f>
        <x:v>HELD</x:v>
      </x:c>
      <x:c r="J158" s="79" t="n">
        <x:f>IF(I158="ELIGIBLE",E158,0)</x:f>
        <x:v>0</x:v>
      </x:c>
      <x:c r="K158" s="84" t="n">
        <x:v>0</x:v>
      </x:c>
      <x:c r="L158" s="80" t="str">
        <x:f>IF(K158&lt;=J158,"CONTROLLED","OVERPAID")</x:f>
        <x:v>CONTROLLED</x:v>
      </x:c>
      <x:c r="M158" s="103"/>
      <x:c r="N158" s="103"/>
    </x:row>
    <x:row r="159">
      <x:c r="A159" s="62" t="str">
        <x:v>C153</x:v>
      </x:c>
      <x:c r="B159" s="62" t="str">
        <x:v>P26</x:v>
      </x:c>
      <x:c r="C159" s="62" t="str">
        <x:v>M3 Dependency and unknown register</x:v>
      </x:c>
      <x:c r="D159" s="72" t="n">
        <x:v>0.15</x:v>
      </x:c>
      <x:c r="E159" s="79" t="n">
        <x:f>D159*INDEX('Package Build'!$H$7:$H$36,MATCH(B159,'Package Build'!$A$7:$A$36,0))</x:f>
        <x:v>0.7540000000000001</x:v>
      </x:c>
      <x:c r="F159" s="82" t="n">
        <x:v>0</x:v>
      </x:c>
      <x:c r="G159" s="82" t="n">
        <x:v>0</x:v>
      </x:c>
      <x:c r="H159" s="82" t="n">
        <x:v>0</x:v>
      </x:c>
      <x:c r="I159" s="80" t="str">
        <x:f>IF(AND(F159=1,G159=1,H159=1,Inputs!$B$18=0,Inputs!$B$19=0),"ELIGIBLE","HELD")</x:f>
        <x:v>HELD</x:v>
      </x:c>
      <x:c r="J159" s="79" t="n">
        <x:f>IF(I159="ELIGIBLE",E159,0)</x:f>
        <x:v>0</x:v>
      </x:c>
      <x:c r="K159" s="84" t="n">
        <x:v>0</x:v>
      </x:c>
      <x:c r="L159" s="80" t="str">
        <x:f>IF(K159&lt;=J159,"CONTROLLED","OVERPAID")</x:f>
        <x:v>CONTROLLED</x:v>
      </x:c>
      <x:c r="M159" s="103"/>
      <x:c r="N159" s="103"/>
    </x:row>
    <x:row r="160">
      <x:c r="A160" s="62" t="str">
        <x:v>C154</x:v>
      </x:c>
      <x:c r="B160" s="62" t="str">
        <x:v>P26</x:v>
      </x:c>
      <x:c r="C160" s="62" t="str">
        <x:v>M4 Independent clean-room replay</x:v>
      </x:c>
      <x:c r="D160" s="72" t="n">
        <x:v>0.25</x:v>
      </x:c>
      <x:c r="E160" s="79" t="n">
        <x:f>D160*INDEX('Package Build'!$H$7:$H$36,MATCH(B160,'Package Build'!$A$7:$A$36,0))</x:f>
        <x:v>1.2566666666666668</x:v>
      </x:c>
      <x:c r="F160" s="82" t="n">
        <x:v>0</x:v>
      </x:c>
      <x:c r="G160" s="82" t="n">
        <x:v>0</x:v>
      </x:c>
      <x:c r="H160" s="82" t="n">
        <x:v>0</x:v>
      </x:c>
      <x:c r="I160" s="80" t="str">
        <x:f>IF(AND(F160=1,G160=1,H160=1,Inputs!$B$18=0,Inputs!$B$19=0),"ELIGIBLE","HELD")</x:f>
        <x:v>HELD</x:v>
      </x:c>
      <x:c r="J160" s="79" t="n">
        <x:f>IF(I160="ELIGIBLE",E160,0)</x:f>
        <x:v>0</x:v>
      </x:c>
      <x:c r="K160" s="84" t="n">
        <x:v>0</x:v>
      </x:c>
      <x:c r="L160" s="80" t="str">
        <x:f>IF(K160&lt;=J160,"CONTROLLED","OVERPAID")</x:f>
        <x:v>CONTROLLED</x:v>
      </x:c>
      <x:c r="M160" s="103"/>
      <x:c r="N160" s="103"/>
    </x:row>
    <x:row r="161">
      <x:c r="A161" s="62" t="str">
        <x:v>C155</x:v>
      </x:c>
      <x:c r="B161" s="62" t="str">
        <x:v>P26</x:v>
      </x:c>
      <x:c r="C161" s="62" t="str">
        <x:v>M5 Rights, receiver and residual closure</x:v>
      </x:c>
      <x:c r="D161" s="72" t="n">
        <x:v>0.2</x:v>
      </x:c>
      <x:c r="E161" s="79" t="n">
        <x:f>D161*INDEX('Package Build'!$H$7:$H$36,MATCH(B161,'Package Build'!$A$7:$A$36,0))</x:f>
        <x:v>1.0053333333333334</x:v>
      </x:c>
      <x:c r="F161" s="82" t="n">
        <x:v>0</x:v>
      </x:c>
      <x:c r="G161" s="82" t="n">
        <x:v>0</x:v>
      </x:c>
      <x:c r="H161" s="82" t="n">
        <x:v>0</x:v>
      </x:c>
      <x:c r="I161" s="80" t="str">
        <x:f>IF(AND(F161=1,G161=1,H161=1,Inputs!$B$18=0,Inputs!$B$19=0),"ELIGIBLE","HELD")</x:f>
        <x:v>HELD</x:v>
      </x:c>
      <x:c r="J161" s="79" t="n">
        <x:f>IF(I161="ELIGIBLE",E161,0)</x:f>
        <x:v>0</x:v>
      </x:c>
      <x:c r="K161" s="84" t="n">
        <x:v>0</x:v>
      </x:c>
      <x:c r="L161" s="80" t="str">
        <x:f>IF(K161&lt;=J161,"CONTROLLED","OVERPAID")</x:f>
        <x:v>CONTROLLED</x:v>
      </x:c>
      <x:c r="M161" s="103"/>
      <x:c r="N161" s="103"/>
    </x:row>
    <x:row r="162">
      <x:c r="A162" s="62" t="str">
        <x:v>C156</x:v>
      </x:c>
      <x:c r="B162" s="62" t="str">
        <x:v>P26</x:v>
      </x:c>
      <x:c r="C162" s="62" t="str">
        <x:v>M6 Challenge closure and terminal archive</x:v>
      </x:c>
      <x:c r="D162" s="72" t="n">
        <x:v>0.1</x:v>
      </x:c>
      <x:c r="E162" s="79" t="n">
        <x:f>D162*INDEX('Package Build'!$H$7:$H$36,MATCH(B162,'Package Build'!$A$7:$A$36,0))</x:f>
        <x:v>0.5026666666666667</x:v>
      </x:c>
      <x:c r="F162" s="82" t="n">
        <x:v>0</x:v>
      </x:c>
      <x:c r="G162" s="82" t="n">
        <x:v>0</x:v>
      </x:c>
      <x:c r="H162" s="82" t="n">
        <x:v>0</x:v>
      </x:c>
      <x:c r="I162" s="80" t="str">
        <x:f>IF(AND(F162=1,G162=1,H162=1,Inputs!$B$18=0,Inputs!$B$19=0),"ELIGIBLE","HELD")</x:f>
        <x:v>HELD</x:v>
      </x:c>
      <x:c r="J162" s="79" t="n">
        <x:f>IF(I162="ELIGIBLE",E162,0)</x:f>
        <x:v>0</x:v>
      </x:c>
      <x:c r="K162" s="84" t="n">
        <x:v>0</x:v>
      </x:c>
      <x:c r="L162" s="80" t="str">
        <x:f>IF(K162&lt;=J162,"CONTROLLED","OVERPAID")</x:f>
        <x:v>CONTROLLED</x:v>
      </x:c>
      <x:c r="M162" s="103"/>
      <x:c r="N162" s="103"/>
    </x:row>
    <x:row r="163">
      <x:c r="A163" s="62" t="str">
        <x:v>C157</x:v>
      </x:c>
      <x:c r="B163" s="62" t="str">
        <x:v>P27</x:v>
      </x:c>
      <x:c r="C163" s="62" t="str">
        <x:v>M1 Source capsule</x:v>
      </x:c>
      <x:c r="D163" s="72" t="n">
        <x:v>0.1</x:v>
      </x:c>
      <x:c r="E163" s="79" t="n">
        <x:f>D163*INDEX('Package Build'!$H$7:$H$36,MATCH(B163,'Package Build'!$A$7:$A$36,0))</x:f>
        <x:v>0.6283333333333334</x:v>
      </x:c>
      <x:c r="F163" s="82" t="n">
        <x:v>0</x:v>
      </x:c>
      <x:c r="G163" s="82" t="n">
        <x:v>0</x:v>
      </x:c>
      <x:c r="H163" s="82" t="n">
        <x:v>0</x:v>
      </x:c>
      <x:c r="I163" s="80" t="str">
        <x:f>IF(AND(F163=1,G163=1,H163=1,Inputs!$B$18=0,Inputs!$B$19=0),"ELIGIBLE","HELD")</x:f>
        <x:v>HELD</x:v>
      </x:c>
      <x:c r="J163" s="79" t="n">
        <x:f>IF(I163="ELIGIBLE",E163,0)</x:f>
        <x:v>0</x:v>
      </x:c>
      <x:c r="K163" s="84" t="n">
        <x:v>0</x:v>
      </x:c>
      <x:c r="L163" s="80" t="str">
        <x:f>IF(K163&lt;=J163,"CONTROLLED","OVERPAID")</x:f>
        <x:v>CONTROLLED</x:v>
      </x:c>
      <x:c r="M163" s="103"/>
      <x:c r="N163" s="103"/>
    </x:row>
    <x:row r="164">
      <x:c r="A164" s="62" t="str">
        <x:v>C158</x:v>
      </x:c>
      <x:c r="B164" s="62" t="str">
        <x:v>P27</x:v>
      </x:c>
      <x:c r="C164" s="62" t="str">
        <x:v>M2 Executable causal ledger</x:v>
      </x:c>
      <x:c r="D164" s="72" t="n">
        <x:v>0.2</x:v>
      </x:c>
      <x:c r="E164" s="79" t="n">
        <x:f>D164*INDEX('Package Build'!$H$7:$H$36,MATCH(B164,'Package Build'!$A$7:$A$36,0))</x:f>
        <x:v>1.2566666666666668</x:v>
      </x:c>
      <x:c r="F164" s="82" t="n">
        <x:v>0</x:v>
      </x:c>
      <x:c r="G164" s="82" t="n">
        <x:v>0</x:v>
      </x:c>
      <x:c r="H164" s="82" t="n">
        <x:v>0</x:v>
      </x:c>
      <x:c r="I164" s="80" t="str">
        <x:f>IF(AND(F164=1,G164=1,H164=1,Inputs!$B$18=0,Inputs!$B$19=0),"ELIGIBLE","HELD")</x:f>
        <x:v>HELD</x:v>
      </x:c>
      <x:c r="J164" s="79" t="n">
        <x:f>IF(I164="ELIGIBLE",E164,0)</x:f>
        <x:v>0</x:v>
      </x:c>
      <x:c r="K164" s="84" t="n">
        <x:v>0</x:v>
      </x:c>
      <x:c r="L164" s="80" t="str">
        <x:f>IF(K164&lt;=J164,"CONTROLLED","OVERPAID")</x:f>
        <x:v>CONTROLLED</x:v>
      </x:c>
      <x:c r="M164" s="103"/>
      <x:c r="N164" s="103"/>
    </x:row>
    <x:row r="165">
      <x:c r="A165" s="62" t="str">
        <x:v>C159</x:v>
      </x:c>
      <x:c r="B165" s="62" t="str">
        <x:v>P27</x:v>
      </x:c>
      <x:c r="C165" s="62" t="str">
        <x:v>M3 Dependency and unknown register</x:v>
      </x:c>
      <x:c r="D165" s="72" t="n">
        <x:v>0.15</x:v>
      </x:c>
      <x:c r="E165" s="79" t="n">
        <x:f>D165*INDEX('Package Build'!$H$7:$H$36,MATCH(B165,'Package Build'!$A$7:$A$36,0))</x:f>
        <x:v>0.9425000000000001</x:v>
      </x:c>
      <x:c r="F165" s="82" t="n">
        <x:v>0</x:v>
      </x:c>
      <x:c r="G165" s="82" t="n">
        <x:v>0</x:v>
      </x:c>
      <x:c r="H165" s="82" t="n">
        <x:v>0</x:v>
      </x:c>
      <x:c r="I165" s="80" t="str">
        <x:f>IF(AND(F165=1,G165=1,H165=1,Inputs!$B$18=0,Inputs!$B$19=0),"ELIGIBLE","HELD")</x:f>
        <x:v>HELD</x:v>
      </x:c>
      <x:c r="J165" s="79" t="n">
        <x:f>IF(I165="ELIGIBLE",E165,0)</x:f>
        <x:v>0</x:v>
      </x:c>
      <x:c r="K165" s="84" t="n">
        <x:v>0</x:v>
      </x:c>
      <x:c r="L165" s="80" t="str">
        <x:f>IF(K165&lt;=J165,"CONTROLLED","OVERPAID")</x:f>
        <x:v>CONTROLLED</x:v>
      </x:c>
      <x:c r="M165" s="103"/>
      <x:c r="N165" s="103"/>
    </x:row>
    <x:row r="166">
      <x:c r="A166" s="62" t="str">
        <x:v>C160</x:v>
      </x:c>
      <x:c r="B166" s="62" t="str">
        <x:v>P27</x:v>
      </x:c>
      <x:c r="C166" s="62" t="str">
        <x:v>M4 Independent clean-room replay</x:v>
      </x:c>
      <x:c r="D166" s="72" t="n">
        <x:v>0.25</x:v>
      </x:c>
      <x:c r="E166" s="79" t="n">
        <x:f>D166*INDEX('Package Build'!$H$7:$H$36,MATCH(B166,'Package Build'!$A$7:$A$36,0))</x:f>
        <x:v>1.5708333333333335</x:v>
      </x:c>
      <x:c r="F166" s="82" t="n">
        <x:v>0</x:v>
      </x:c>
      <x:c r="G166" s="82" t="n">
        <x:v>0</x:v>
      </x:c>
      <x:c r="H166" s="82" t="n">
        <x:v>0</x:v>
      </x:c>
      <x:c r="I166" s="80" t="str">
        <x:f>IF(AND(F166=1,G166=1,H166=1,Inputs!$B$18=0,Inputs!$B$19=0),"ELIGIBLE","HELD")</x:f>
        <x:v>HELD</x:v>
      </x:c>
      <x:c r="J166" s="79" t="n">
        <x:f>IF(I166="ELIGIBLE",E166,0)</x:f>
        <x:v>0</x:v>
      </x:c>
      <x:c r="K166" s="84" t="n">
        <x:v>0</x:v>
      </x:c>
      <x:c r="L166" s="80" t="str">
        <x:f>IF(K166&lt;=J166,"CONTROLLED","OVERPAID")</x:f>
        <x:v>CONTROLLED</x:v>
      </x:c>
      <x:c r="M166" s="103"/>
      <x:c r="N166" s="103"/>
    </x:row>
    <x:row r="167">
      <x:c r="A167" s="62" t="str">
        <x:v>C161</x:v>
      </x:c>
      <x:c r="B167" s="62" t="str">
        <x:v>P27</x:v>
      </x:c>
      <x:c r="C167" s="62" t="str">
        <x:v>M5 Rights, receiver and residual closure</x:v>
      </x:c>
      <x:c r="D167" s="72" t="n">
        <x:v>0.2</x:v>
      </x:c>
      <x:c r="E167" s="79" t="n">
        <x:f>D167*INDEX('Package Build'!$H$7:$H$36,MATCH(B167,'Package Build'!$A$7:$A$36,0))</x:f>
        <x:v>1.2566666666666668</x:v>
      </x:c>
      <x:c r="F167" s="82" t="n">
        <x:v>0</x:v>
      </x:c>
      <x:c r="G167" s="82" t="n">
        <x:v>0</x:v>
      </x:c>
      <x:c r="H167" s="82" t="n">
        <x:v>0</x:v>
      </x:c>
      <x:c r="I167" s="80" t="str">
        <x:f>IF(AND(F167=1,G167=1,H167=1,Inputs!$B$18=0,Inputs!$B$19=0),"ELIGIBLE","HELD")</x:f>
        <x:v>HELD</x:v>
      </x:c>
      <x:c r="J167" s="79" t="n">
        <x:f>IF(I167="ELIGIBLE",E167,0)</x:f>
        <x:v>0</x:v>
      </x:c>
      <x:c r="K167" s="84" t="n">
        <x:v>0</x:v>
      </x:c>
      <x:c r="L167" s="80" t="str">
        <x:f>IF(K167&lt;=J167,"CONTROLLED","OVERPAID")</x:f>
        <x:v>CONTROLLED</x:v>
      </x:c>
      <x:c r="M167" s="103"/>
      <x:c r="N167" s="103"/>
    </x:row>
    <x:row r="168">
      <x:c r="A168" s="62" t="str">
        <x:v>C162</x:v>
      </x:c>
      <x:c r="B168" s="62" t="str">
        <x:v>P27</x:v>
      </x:c>
      <x:c r="C168" s="62" t="str">
        <x:v>M6 Challenge closure and terminal archive</x:v>
      </x:c>
      <x:c r="D168" s="72" t="n">
        <x:v>0.1</x:v>
      </x:c>
      <x:c r="E168" s="79" t="n">
        <x:f>D168*INDEX('Package Build'!$H$7:$H$36,MATCH(B168,'Package Build'!$A$7:$A$36,0))</x:f>
        <x:v>0.6283333333333334</x:v>
      </x:c>
      <x:c r="F168" s="82" t="n">
        <x:v>0</x:v>
      </x:c>
      <x:c r="G168" s="82" t="n">
        <x:v>0</x:v>
      </x:c>
      <x:c r="H168" s="82" t="n">
        <x:v>0</x:v>
      </x:c>
      <x:c r="I168" s="80" t="str">
        <x:f>IF(AND(F168=1,G168=1,H168=1,Inputs!$B$18=0,Inputs!$B$19=0),"ELIGIBLE","HELD")</x:f>
        <x:v>HELD</x:v>
      </x:c>
      <x:c r="J168" s="79" t="n">
        <x:f>IF(I168="ELIGIBLE",E168,0)</x:f>
        <x:v>0</x:v>
      </x:c>
      <x:c r="K168" s="84" t="n">
        <x:v>0</x:v>
      </x:c>
      <x:c r="L168" s="80" t="str">
        <x:f>IF(K168&lt;=J168,"CONTROLLED","OVERPAID")</x:f>
        <x:v>CONTROLLED</x:v>
      </x:c>
      <x:c r="M168" s="103"/>
      <x:c r="N168" s="103"/>
    </x:row>
    <x:row r="169">
      <x:c r="A169" s="62" t="str">
        <x:v>C163</x:v>
      </x:c>
      <x:c r="B169" s="62" t="str">
        <x:v>P28</x:v>
      </x:c>
      <x:c r="C169" s="62" t="str">
        <x:v>M1 Source capsule</x:v>
      </x:c>
      <x:c r="D169" s="72" t="n">
        <x:v>0.1</x:v>
      </x:c>
      <x:c r="E169" s="79" t="n">
        <x:f>D169*INDEX('Package Build'!$H$7:$H$36,MATCH(B169,'Package Build'!$A$7:$A$36,0))</x:f>
        <x:v>0.37700000000000006</x:v>
      </x:c>
      <x:c r="F169" s="82" t="n">
        <x:v>0</x:v>
      </x:c>
      <x:c r="G169" s="82" t="n">
        <x:v>0</x:v>
      </x:c>
      <x:c r="H169" s="82" t="n">
        <x:v>0</x:v>
      </x:c>
      <x:c r="I169" s="80" t="str">
        <x:f>IF(AND(F169=1,G169=1,H169=1,Inputs!$B$18=0,Inputs!$B$19=0),"ELIGIBLE","HELD")</x:f>
        <x:v>HELD</x:v>
      </x:c>
      <x:c r="J169" s="79" t="n">
        <x:f>IF(I169="ELIGIBLE",E169,0)</x:f>
        <x:v>0</x:v>
      </x:c>
      <x:c r="K169" s="84" t="n">
        <x:v>0</x:v>
      </x:c>
      <x:c r="L169" s="80" t="str">
        <x:f>IF(K169&lt;=J169,"CONTROLLED","OVERPAID")</x:f>
        <x:v>CONTROLLED</x:v>
      </x:c>
      <x:c r="M169" s="103"/>
      <x:c r="N169" s="103"/>
    </x:row>
    <x:row r="170">
      <x:c r="A170" s="62" t="str">
        <x:v>C164</x:v>
      </x:c>
      <x:c r="B170" s="62" t="str">
        <x:v>P28</x:v>
      </x:c>
      <x:c r="C170" s="62" t="str">
        <x:v>M2 Executable causal ledger</x:v>
      </x:c>
      <x:c r="D170" s="72" t="n">
        <x:v>0.2</x:v>
      </x:c>
      <x:c r="E170" s="79" t="n">
        <x:f>D170*INDEX('Package Build'!$H$7:$H$36,MATCH(B170,'Package Build'!$A$7:$A$36,0))</x:f>
        <x:v>0.7540000000000001</x:v>
      </x:c>
      <x:c r="F170" s="82" t="n">
        <x:v>0</x:v>
      </x:c>
      <x:c r="G170" s="82" t="n">
        <x:v>0</x:v>
      </x:c>
      <x:c r="H170" s="82" t="n">
        <x:v>0</x:v>
      </x:c>
      <x:c r="I170" s="80" t="str">
        <x:f>IF(AND(F170=1,G170=1,H170=1,Inputs!$B$18=0,Inputs!$B$19=0),"ELIGIBLE","HELD")</x:f>
        <x:v>HELD</x:v>
      </x:c>
      <x:c r="J170" s="79" t="n">
        <x:f>IF(I170="ELIGIBLE",E170,0)</x:f>
        <x:v>0</x:v>
      </x:c>
      <x:c r="K170" s="84" t="n">
        <x:v>0</x:v>
      </x:c>
      <x:c r="L170" s="80" t="str">
        <x:f>IF(K170&lt;=J170,"CONTROLLED","OVERPAID")</x:f>
        <x:v>CONTROLLED</x:v>
      </x:c>
      <x:c r="M170" s="103"/>
      <x:c r="N170" s="103"/>
    </x:row>
    <x:row r="171">
      <x:c r="A171" s="62" t="str">
        <x:v>C165</x:v>
      </x:c>
      <x:c r="B171" s="62" t="str">
        <x:v>P28</x:v>
      </x:c>
      <x:c r="C171" s="62" t="str">
        <x:v>M3 Dependency and unknown register</x:v>
      </x:c>
      <x:c r="D171" s="72" t="n">
        <x:v>0.15</x:v>
      </x:c>
      <x:c r="E171" s="79" t="n">
        <x:f>D171*INDEX('Package Build'!$H$7:$H$36,MATCH(B171,'Package Build'!$A$7:$A$36,0))</x:f>
        <x:v>0.5655</x:v>
      </x:c>
      <x:c r="F171" s="82" t="n">
        <x:v>0</x:v>
      </x:c>
      <x:c r="G171" s="82" t="n">
        <x:v>0</x:v>
      </x:c>
      <x:c r="H171" s="82" t="n">
        <x:v>0</x:v>
      </x:c>
      <x:c r="I171" s="80" t="str">
        <x:f>IF(AND(F171=1,G171=1,H171=1,Inputs!$B$18=0,Inputs!$B$19=0),"ELIGIBLE","HELD")</x:f>
        <x:v>HELD</x:v>
      </x:c>
      <x:c r="J171" s="79" t="n">
        <x:f>IF(I171="ELIGIBLE",E171,0)</x:f>
        <x:v>0</x:v>
      </x:c>
      <x:c r="K171" s="84" t="n">
        <x:v>0</x:v>
      </x:c>
      <x:c r="L171" s="80" t="str">
        <x:f>IF(K171&lt;=J171,"CONTROLLED","OVERPAID")</x:f>
        <x:v>CONTROLLED</x:v>
      </x:c>
      <x:c r="M171" s="103"/>
      <x:c r="N171" s="103"/>
    </x:row>
    <x:row r="172">
      <x:c r="A172" s="62" t="str">
        <x:v>C166</x:v>
      </x:c>
      <x:c r="B172" s="62" t="str">
        <x:v>P28</x:v>
      </x:c>
      <x:c r="C172" s="62" t="str">
        <x:v>M4 Independent clean-room replay</x:v>
      </x:c>
      <x:c r="D172" s="72" t="n">
        <x:v>0.25</x:v>
      </x:c>
      <x:c r="E172" s="79" t="n">
        <x:f>D172*INDEX('Package Build'!$H$7:$H$36,MATCH(B172,'Package Build'!$A$7:$A$36,0))</x:f>
        <x:v>0.9425000000000001</x:v>
      </x:c>
      <x:c r="F172" s="82" t="n">
        <x:v>0</x:v>
      </x:c>
      <x:c r="G172" s="82" t="n">
        <x:v>0</x:v>
      </x:c>
      <x:c r="H172" s="82" t="n">
        <x:v>0</x:v>
      </x:c>
      <x:c r="I172" s="80" t="str">
        <x:f>IF(AND(F172=1,G172=1,H172=1,Inputs!$B$18=0,Inputs!$B$19=0),"ELIGIBLE","HELD")</x:f>
        <x:v>HELD</x:v>
      </x:c>
      <x:c r="J172" s="79" t="n">
        <x:f>IF(I172="ELIGIBLE",E172,0)</x:f>
        <x:v>0</x:v>
      </x:c>
      <x:c r="K172" s="84" t="n">
        <x:v>0</x:v>
      </x:c>
      <x:c r="L172" s="80" t="str">
        <x:f>IF(K172&lt;=J172,"CONTROLLED","OVERPAID")</x:f>
        <x:v>CONTROLLED</x:v>
      </x:c>
      <x:c r="M172" s="103"/>
      <x:c r="N172" s="103"/>
    </x:row>
    <x:row r="173">
      <x:c r="A173" s="62" t="str">
        <x:v>C167</x:v>
      </x:c>
      <x:c r="B173" s="62" t="str">
        <x:v>P28</x:v>
      </x:c>
      <x:c r="C173" s="62" t="str">
        <x:v>M5 Rights, receiver and residual closure</x:v>
      </x:c>
      <x:c r="D173" s="72" t="n">
        <x:v>0.2</x:v>
      </x:c>
      <x:c r="E173" s="79" t="n">
        <x:f>D173*INDEX('Package Build'!$H$7:$H$36,MATCH(B173,'Package Build'!$A$7:$A$36,0))</x:f>
        <x:v>0.7540000000000001</x:v>
      </x:c>
      <x:c r="F173" s="82" t="n">
        <x:v>0</x:v>
      </x:c>
      <x:c r="G173" s="82" t="n">
        <x:v>0</x:v>
      </x:c>
      <x:c r="H173" s="82" t="n">
        <x:v>0</x:v>
      </x:c>
      <x:c r="I173" s="80" t="str">
        <x:f>IF(AND(F173=1,G173=1,H173=1,Inputs!$B$18=0,Inputs!$B$19=0),"ELIGIBLE","HELD")</x:f>
        <x:v>HELD</x:v>
      </x:c>
      <x:c r="J173" s="79" t="n">
        <x:f>IF(I173="ELIGIBLE",E173,0)</x:f>
        <x:v>0</x:v>
      </x:c>
      <x:c r="K173" s="84" t="n">
        <x:v>0</x:v>
      </x:c>
      <x:c r="L173" s="80" t="str">
        <x:f>IF(K173&lt;=J173,"CONTROLLED","OVERPAID")</x:f>
        <x:v>CONTROLLED</x:v>
      </x:c>
      <x:c r="M173" s="103"/>
      <x:c r="N173" s="103"/>
    </x:row>
    <x:row r="174">
      <x:c r="A174" s="62" t="str">
        <x:v>C168</x:v>
      </x:c>
      <x:c r="B174" s="62" t="str">
        <x:v>P28</x:v>
      </x:c>
      <x:c r="C174" s="62" t="str">
        <x:v>M6 Challenge closure and terminal archive</x:v>
      </x:c>
      <x:c r="D174" s="72" t="n">
        <x:v>0.1</x:v>
      </x:c>
      <x:c r="E174" s="79" t="n">
        <x:f>D174*INDEX('Package Build'!$H$7:$H$36,MATCH(B174,'Package Build'!$A$7:$A$36,0))</x:f>
        <x:v>0.37700000000000006</x:v>
      </x:c>
      <x:c r="F174" s="82" t="n">
        <x:v>0</x:v>
      </x:c>
      <x:c r="G174" s="82" t="n">
        <x:v>0</x:v>
      </x:c>
      <x:c r="H174" s="82" t="n">
        <x:v>0</x:v>
      </x:c>
      <x:c r="I174" s="80" t="str">
        <x:f>IF(AND(F174=1,G174=1,H174=1,Inputs!$B$18=0,Inputs!$B$19=0),"ELIGIBLE","HELD")</x:f>
        <x:v>HELD</x:v>
      </x:c>
      <x:c r="J174" s="79" t="n">
        <x:f>IF(I174="ELIGIBLE",E174,0)</x:f>
        <x:v>0</x:v>
      </x:c>
      <x:c r="K174" s="84" t="n">
        <x:v>0</x:v>
      </x:c>
      <x:c r="L174" s="80" t="str">
        <x:f>IF(K174&lt;=J174,"CONTROLLED","OVERPAID")</x:f>
        <x:v>CONTROLLED</x:v>
      </x:c>
      <x:c r="M174" s="103"/>
      <x:c r="N174" s="103"/>
    </x:row>
    <x:row r="175">
      <x:c r="A175" s="62" t="str">
        <x:v>C169</x:v>
      </x:c>
      <x:c r="B175" s="62" t="str">
        <x:v>P29</x:v>
      </x:c>
      <x:c r="C175" s="62" t="str">
        <x:v>M1 Source capsule</x:v>
      </x:c>
      <x:c r="D175" s="72" t="n">
        <x:v>0.1</x:v>
      </x:c>
      <x:c r="E175" s="79" t="n">
        <x:f>D175*INDEX('Package Build'!$H$7:$H$36,MATCH(B175,'Package Build'!$A$7:$A$36,0))</x:f>
        <x:v>0.6283333333333334</x:v>
      </x:c>
      <x:c r="F175" s="82" t="n">
        <x:v>0</x:v>
      </x:c>
      <x:c r="G175" s="82" t="n">
        <x:v>0</x:v>
      </x:c>
      <x:c r="H175" s="82" t="n">
        <x:v>0</x:v>
      </x:c>
      <x:c r="I175" s="80" t="str">
        <x:f>IF(AND(F175=1,G175=1,H175=1,Inputs!$B$18=0,Inputs!$B$19=0),"ELIGIBLE","HELD")</x:f>
        <x:v>HELD</x:v>
      </x:c>
      <x:c r="J175" s="79" t="n">
        <x:f>IF(I175="ELIGIBLE",E175,0)</x:f>
        <x:v>0</x:v>
      </x:c>
      <x:c r="K175" s="84" t="n">
        <x:v>0</x:v>
      </x:c>
      <x:c r="L175" s="80" t="str">
        <x:f>IF(K175&lt;=J175,"CONTROLLED","OVERPAID")</x:f>
        <x:v>CONTROLLED</x:v>
      </x:c>
      <x:c r="M175" s="103"/>
      <x:c r="N175" s="103"/>
    </x:row>
    <x:row r="176">
      <x:c r="A176" s="62" t="str">
        <x:v>C170</x:v>
      </x:c>
      <x:c r="B176" s="62" t="str">
        <x:v>P29</x:v>
      </x:c>
      <x:c r="C176" s="62" t="str">
        <x:v>M2 Executable causal ledger</x:v>
      </x:c>
      <x:c r="D176" s="72" t="n">
        <x:v>0.2</x:v>
      </x:c>
      <x:c r="E176" s="79" t="n">
        <x:f>D176*INDEX('Package Build'!$H$7:$H$36,MATCH(B176,'Package Build'!$A$7:$A$36,0))</x:f>
        <x:v>1.2566666666666668</x:v>
      </x:c>
      <x:c r="F176" s="82" t="n">
        <x:v>0</x:v>
      </x:c>
      <x:c r="G176" s="82" t="n">
        <x:v>0</x:v>
      </x:c>
      <x:c r="H176" s="82" t="n">
        <x:v>0</x:v>
      </x:c>
      <x:c r="I176" s="80" t="str">
        <x:f>IF(AND(F176=1,G176=1,H176=1,Inputs!$B$18=0,Inputs!$B$19=0),"ELIGIBLE","HELD")</x:f>
        <x:v>HELD</x:v>
      </x:c>
      <x:c r="J176" s="79" t="n">
        <x:f>IF(I176="ELIGIBLE",E176,0)</x:f>
        <x:v>0</x:v>
      </x:c>
      <x:c r="K176" s="84" t="n">
        <x:v>0</x:v>
      </x:c>
      <x:c r="L176" s="80" t="str">
        <x:f>IF(K176&lt;=J176,"CONTROLLED","OVERPAID")</x:f>
        <x:v>CONTROLLED</x:v>
      </x:c>
      <x:c r="M176" s="103"/>
      <x:c r="N176" s="103"/>
    </x:row>
    <x:row r="177">
      <x:c r="A177" s="62" t="str">
        <x:v>C171</x:v>
      </x:c>
      <x:c r="B177" s="62" t="str">
        <x:v>P29</x:v>
      </x:c>
      <x:c r="C177" s="62" t="str">
        <x:v>M3 Dependency and unknown register</x:v>
      </x:c>
      <x:c r="D177" s="72" t="n">
        <x:v>0.15</x:v>
      </x:c>
      <x:c r="E177" s="79" t="n">
        <x:f>D177*INDEX('Package Build'!$H$7:$H$36,MATCH(B177,'Package Build'!$A$7:$A$36,0))</x:f>
        <x:v>0.9425000000000001</x:v>
      </x:c>
      <x:c r="F177" s="82" t="n">
        <x:v>0</x:v>
      </x:c>
      <x:c r="G177" s="82" t="n">
        <x:v>0</x:v>
      </x:c>
      <x:c r="H177" s="82" t="n">
        <x:v>0</x:v>
      </x:c>
      <x:c r="I177" s="80" t="str">
        <x:f>IF(AND(F177=1,G177=1,H177=1,Inputs!$B$18=0,Inputs!$B$19=0),"ELIGIBLE","HELD")</x:f>
        <x:v>HELD</x:v>
      </x:c>
      <x:c r="J177" s="79" t="n">
        <x:f>IF(I177="ELIGIBLE",E177,0)</x:f>
        <x:v>0</x:v>
      </x:c>
      <x:c r="K177" s="84" t="n">
        <x:v>0</x:v>
      </x:c>
      <x:c r="L177" s="80" t="str">
        <x:f>IF(K177&lt;=J177,"CONTROLLED","OVERPAID")</x:f>
        <x:v>CONTROLLED</x:v>
      </x:c>
      <x:c r="M177" s="103"/>
      <x:c r="N177" s="103"/>
    </x:row>
    <x:row r="178">
      <x:c r="A178" s="62" t="str">
        <x:v>C172</x:v>
      </x:c>
      <x:c r="B178" s="62" t="str">
        <x:v>P29</x:v>
      </x:c>
      <x:c r="C178" s="62" t="str">
        <x:v>M4 Independent clean-room replay</x:v>
      </x:c>
      <x:c r="D178" s="72" t="n">
        <x:v>0.25</x:v>
      </x:c>
      <x:c r="E178" s="79" t="n">
        <x:f>D178*INDEX('Package Build'!$H$7:$H$36,MATCH(B178,'Package Build'!$A$7:$A$36,0))</x:f>
        <x:v>1.5708333333333335</x:v>
      </x:c>
      <x:c r="F178" s="82" t="n">
        <x:v>0</x:v>
      </x:c>
      <x:c r="G178" s="82" t="n">
        <x:v>0</x:v>
      </x:c>
      <x:c r="H178" s="82" t="n">
        <x:v>0</x:v>
      </x:c>
      <x:c r="I178" s="80" t="str">
        <x:f>IF(AND(F178=1,G178=1,H178=1,Inputs!$B$18=0,Inputs!$B$19=0),"ELIGIBLE","HELD")</x:f>
        <x:v>HELD</x:v>
      </x:c>
      <x:c r="J178" s="79" t="n">
        <x:f>IF(I178="ELIGIBLE",E178,0)</x:f>
        <x:v>0</x:v>
      </x:c>
      <x:c r="K178" s="84" t="n">
        <x:v>0</x:v>
      </x:c>
      <x:c r="L178" s="80" t="str">
        <x:f>IF(K178&lt;=J178,"CONTROLLED","OVERPAID")</x:f>
        <x:v>CONTROLLED</x:v>
      </x:c>
      <x:c r="M178" s="103"/>
      <x:c r="N178" s="103"/>
    </x:row>
    <x:row r="179">
      <x:c r="A179" s="62" t="str">
        <x:v>C173</x:v>
      </x:c>
      <x:c r="B179" s="62" t="str">
        <x:v>P29</x:v>
      </x:c>
      <x:c r="C179" s="62" t="str">
        <x:v>M5 Rights, receiver and residual closure</x:v>
      </x:c>
      <x:c r="D179" s="72" t="n">
        <x:v>0.2</x:v>
      </x:c>
      <x:c r="E179" s="79" t="n">
        <x:f>D179*INDEX('Package Build'!$H$7:$H$36,MATCH(B179,'Package Build'!$A$7:$A$36,0))</x:f>
        <x:v>1.2566666666666668</x:v>
      </x:c>
      <x:c r="F179" s="82" t="n">
        <x:v>0</x:v>
      </x:c>
      <x:c r="G179" s="82" t="n">
        <x:v>0</x:v>
      </x:c>
      <x:c r="H179" s="82" t="n">
        <x:v>0</x:v>
      </x:c>
      <x:c r="I179" s="80" t="str">
        <x:f>IF(AND(F179=1,G179=1,H179=1,Inputs!$B$18=0,Inputs!$B$19=0),"ELIGIBLE","HELD")</x:f>
        <x:v>HELD</x:v>
      </x:c>
      <x:c r="J179" s="79" t="n">
        <x:f>IF(I179="ELIGIBLE",E179,0)</x:f>
        <x:v>0</x:v>
      </x:c>
      <x:c r="K179" s="84" t="n">
        <x:v>0</x:v>
      </x:c>
      <x:c r="L179" s="80" t="str">
        <x:f>IF(K179&lt;=J179,"CONTROLLED","OVERPAID")</x:f>
        <x:v>CONTROLLED</x:v>
      </x:c>
      <x:c r="M179" s="103"/>
      <x:c r="N179" s="103"/>
    </x:row>
    <x:row r="180">
      <x:c r="A180" s="62" t="str">
        <x:v>C174</x:v>
      </x:c>
      <x:c r="B180" s="62" t="str">
        <x:v>P29</x:v>
      </x:c>
      <x:c r="C180" s="62" t="str">
        <x:v>M6 Challenge closure and terminal archive</x:v>
      </x:c>
      <x:c r="D180" s="72" t="n">
        <x:v>0.1</x:v>
      </x:c>
      <x:c r="E180" s="79" t="n">
        <x:f>D180*INDEX('Package Build'!$H$7:$H$36,MATCH(B180,'Package Build'!$A$7:$A$36,0))</x:f>
        <x:v>0.6283333333333334</x:v>
      </x:c>
      <x:c r="F180" s="82" t="n">
        <x:v>0</x:v>
      </x:c>
      <x:c r="G180" s="82" t="n">
        <x:v>0</x:v>
      </x:c>
      <x:c r="H180" s="82" t="n">
        <x:v>0</x:v>
      </x:c>
      <x:c r="I180" s="80" t="str">
        <x:f>IF(AND(F180=1,G180=1,H180=1,Inputs!$B$18=0,Inputs!$B$19=0),"ELIGIBLE","HELD")</x:f>
        <x:v>HELD</x:v>
      </x:c>
      <x:c r="J180" s="79" t="n">
        <x:f>IF(I180="ELIGIBLE",E180,0)</x:f>
        <x:v>0</x:v>
      </x:c>
      <x:c r="K180" s="84" t="n">
        <x:v>0</x:v>
      </x:c>
      <x:c r="L180" s="80" t="str">
        <x:f>IF(K180&lt;=J180,"CONTROLLED","OVERPAID")</x:f>
        <x:v>CONTROLLED</x:v>
      </x:c>
      <x:c r="M180" s="103"/>
      <x:c r="N180" s="103"/>
    </x:row>
    <x:row r="181">
      <x:c r="A181" s="62" t="str">
        <x:v>C175</x:v>
      </x:c>
      <x:c r="B181" s="62" t="str">
        <x:v>P30</x:v>
      </x:c>
      <x:c r="C181" s="62" t="str">
        <x:v>M1 Source capsule</x:v>
      </x:c>
      <x:c r="D181" s="72" t="n">
        <x:v>0.1</x:v>
      </x:c>
      <x:c r="E181" s="79" t="n">
        <x:f>D181*INDEX('Package Build'!$H$7:$H$36,MATCH(B181,'Package Build'!$A$7:$A$36,0))</x:f>
        <x:v>0.37700000000000006</x:v>
      </x:c>
      <x:c r="F181" s="82" t="n">
        <x:v>0</x:v>
      </x:c>
      <x:c r="G181" s="82" t="n">
        <x:v>0</x:v>
      </x:c>
      <x:c r="H181" s="82" t="n">
        <x:v>0</x:v>
      </x:c>
      <x:c r="I181" s="80" t="str">
        <x:f>IF(AND(F181=1,G181=1,H181=1,Inputs!$B$18=0,Inputs!$B$19=0),"ELIGIBLE","HELD")</x:f>
        <x:v>HELD</x:v>
      </x:c>
      <x:c r="J181" s="79" t="n">
        <x:f>IF(I181="ELIGIBLE",E181,0)</x:f>
        <x:v>0</x:v>
      </x:c>
      <x:c r="K181" s="84" t="n">
        <x:v>0</x:v>
      </x:c>
      <x:c r="L181" s="80" t="str">
        <x:f>IF(K181&lt;=J181,"CONTROLLED","OVERPAID")</x:f>
        <x:v>CONTROLLED</x:v>
      </x:c>
      <x:c r="M181" s="103"/>
      <x:c r="N181" s="103"/>
    </x:row>
    <x:row r="182">
      <x:c r="A182" s="62" t="str">
        <x:v>C176</x:v>
      </x:c>
      <x:c r="B182" s="62" t="str">
        <x:v>P30</x:v>
      </x:c>
      <x:c r="C182" s="62" t="str">
        <x:v>M2 Executable causal ledger</x:v>
      </x:c>
      <x:c r="D182" s="72" t="n">
        <x:v>0.2</x:v>
      </x:c>
      <x:c r="E182" s="79" t="n">
        <x:f>D182*INDEX('Package Build'!$H$7:$H$36,MATCH(B182,'Package Build'!$A$7:$A$36,0))</x:f>
        <x:v>0.7540000000000001</x:v>
      </x:c>
      <x:c r="F182" s="82" t="n">
        <x:v>0</x:v>
      </x:c>
      <x:c r="G182" s="82" t="n">
        <x:v>0</x:v>
      </x:c>
      <x:c r="H182" s="82" t="n">
        <x:v>0</x:v>
      </x:c>
      <x:c r="I182" s="80" t="str">
        <x:f>IF(AND(F182=1,G182=1,H182=1,Inputs!$B$18=0,Inputs!$B$19=0),"ELIGIBLE","HELD")</x:f>
        <x:v>HELD</x:v>
      </x:c>
      <x:c r="J182" s="79" t="n">
        <x:f>IF(I182="ELIGIBLE",E182,0)</x:f>
        <x:v>0</x:v>
      </x:c>
      <x:c r="K182" s="84" t="n">
        <x:v>0</x:v>
      </x:c>
      <x:c r="L182" s="80" t="str">
        <x:f>IF(K182&lt;=J182,"CONTROLLED","OVERPAID")</x:f>
        <x:v>CONTROLLED</x:v>
      </x:c>
      <x:c r="M182" s="103"/>
      <x:c r="N182" s="103"/>
    </x:row>
    <x:row r="183">
      <x:c r="A183" s="62" t="str">
        <x:v>C177</x:v>
      </x:c>
      <x:c r="B183" s="62" t="str">
        <x:v>P30</x:v>
      </x:c>
      <x:c r="C183" s="62" t="str">
        <x:v>M3 Dependency and unknown register</x:v>
      </x:c>
      <x:c r="D183" s="72" t="n">
        <x:v>0.15</x:v>
      </x:c>
      <x:c r="E183" s="79" t="n">
        <x:f>D183*INDEX('Package Build'!$H$7:$H$36,MATCH(B183,'Package Build'!$A$7:$A$36,0))</x:f>
        <x:v>0.5655</x:v>
      </x:c>
      <x:c r="F183" s="82" t="n">
        <x:v>0</x:v>
      </x:c>
      <x:c r="G183" s="82" t="n">
        <x:v>0</x:v>
      </x:c>
      <x:c r="H183" s="82" t="n">
        <x:v>0</x:v>
      </x:c>
      <x:c r="I183" s="80" t="str">
        <x:f>IF(AND(F183=1,G183=1,H183=1,Inputs!$B$18=0,Inputs!$B$19=0),"ELIGIBLE","HELD")</x:f>
        <x:v>HELD</x:v>
      </x:c>
      <x:c r="J183" s="79" t="n">
        <x:f>IF(I183="ELIGIBLE",E183,0)</x:f>
        <x:v>0</x:v>
      </x:c>
      <x:c r="K183" s="84" t="n">
        <x:v>0</x:v>
      </x:c>
      <x:c r="L183" s="80" t="str">
        <x:f>IF(K183&lt;=J183,"CONTROLLED","OVERPAID")</x:f>
        <x:v>CONTROLLED</x:v>
      </x:c>
      <x:c r="M183" s="103"/>
      <x:c r="N183" s="103"/>
    </x:row>
    <x:row r="184">
      <x:c r="A184" s="62" t="str">
        <x:v>C178</x:v>
      </x:c>
      <x:c r="B184" s="62" t="str">
        <x:v>P30</x:v>
      </x:c>
      <x:c r="C184" s="62" t="str">
        <x:v>M4 Independent clean-room replay</x:v>
      </x:c>
      <x:c r="D184" s="72" t="n">
        <x:v>0.25</x:v>
      </x:c>
      <x:c r="E184" s="79" t="n">
        <x:f>D184*INDEX('Package Build'!$H$7:$H$36,MATCH(B184,'Package Build'!$A$7:$A$36,0))</x:f>
        <x:v>0.9425000000000001</x:v>
      </x:c>
      <x:c r="F184" s="82" t="n">
        <x:v>0</x:v>
      </x:c>
      <x:c r="G184" s="82" t="n">
        <x:v>0</x:v>
      </x:c>
      <x:c r="H184" s="82" t="n">
        <x:v>0</x:v>
      </x:c>
      <x:c r="I184" s="80" t="str">
        <x:f>IF(AND(F184=1,G184=1,H184=1,Inputs!$B$18=0,Inputs!$B$19=0),"ELIGIBLE","HELD")</x:f>
        <x:v>HELD</x:v>
      </x:c>
      <x:c r="J184" s="79" t="n">
        <x:f>IF(I184="ELIGIBLE",E184,0)</x:f>
        <x:v>0</x:v>
      </x:c>
      <x:c r="K184" s="84" t="n">
        <x:v>0</x:v>
      </x:c>
      <x:c r="L184" s="80" t="str">
        <x:f>IF(K184&lt;=J184,"CONTROLLED","OVERPAID")</x:f>
        <x:v>CONTROLLED</x:v>
      </x:c>
      <x:c r="M184" s="103"/>
      <x:c r="N184" s="103"/>
    </x:row>
    <x:row r="185">
      <x:c r="A185" s="62" t="str">
        <x:v>C179</x:v>
      </x:c>
      <x:c r="B185" s="62" t="str">
        <x:v>P30</x:v>
      </x:c>
      <x:c r="C185" s="62" t="str">
        <x:v>M5 Rights, receiver and residual closure</x:v>
      </x:c>
      <x:c r="D185" s="72" t="n">
        <x:v>0.2</x:v>
      </x:c>
      <x:c r="E185" s="79" t="n">
        <x:f>D185*INDEX('Package Build'!$H$7:$H$36,MATCH(B185,'Package Build'!$A$7:$A$36,0))</x:f>
        <x:v>0.7540000000000001</x:v>
      </x:c>
      <x:c r="F185" s="82" t="n">
        <x:v>0</x:v>
      </x:c>
      <x:c r="G185" s="82" t="n">
        <x:v>0</x:v>
      </x:c>
      <x:c r="H185" s="82" t="n">
        <x:v>0</x:v>
      </x:c>
      <x:c r="I185" s="80" t="str">
        <x:f>IF(AND(F185=1,G185=1,H185=1,Inputs!$B$18=0,Inputs!$B$19=0),"ELIGIBLE","HELD")</x:f>
        <x:v>HELD</x:v>
      </x:c>
      <x:c r="J185" s="79" t="n">
        <x:f>IF(I185="ELIGIBLE",E185,0)</x:f>
        <x:v>0</x:v>
      </x:c>
      <x:c r="K185" s="84" t="n">
        <x:v>0</x:v>
      </x:c>
      <x:c r="L185" s="80" t="str">
        <x:f>IF(K185&lt;=J185,"CONTROLLED","OVERPAID")</x:f>
        <x:v>CONTROLLED</x:v>
      </x:c>
      <x:c r="M185" s="103"/>
      <x:c r="N185" s="103"/>
    </x:row>
    <x:row r="186">
      <x:c r="A186" s="62" t="str">
        <x:v>C180</x:v>
      </x:c>
      <x:c r="B186" s="62" t="str">
        <x:v>P30</x:v>
      </x:c>
      <x:c r="C186" s="62" t="str">
        <x:v>M6 Challenge closure and terminal archive</x:v>
      </x:c>
      <x:c r="D186" s="72" t="n">
        <x:v>0.1</x:v>
      </x:c>
      <x:c r="E186" s="79" t="n">
        <x:f>D186*INDEX('Package Build'!$H$7:$H$36,MATCH(B186,'Package Build'!$A$7:$A$36,0))</x:f>
        <x:v>0.37700000000000006</x:v>
      </x:c>
      <x:c r="F186" s="82" t="n">
        <x:v>0</x:v>
      </x:c>
      <x:c r="G186" s="82" t="n">
        <x:v>0</x:v>
      </x:c>
      <x:c r="H186" s="82" t="n">
        <x:v>0</x:v>
      </x:c>
      <x:c r="I186" s="80" t="str">
        <x:f>IF(AND(F186=1,G186=1,H186=1,Inputs!$B$18=0,Inputs!$B$19=0),"ELIGIBLE","HELD")</x:f>
        <x:v>HELD</x:v>
      </x:c>
      <x:c r="J186" s="79" t="n">
        <x:f>IF(I186="ELIGIBLE",E186,0)</x:f>
        <x:v>0</x:v>
      </x:c>
      <x:c r="K186" s="84" t="n">
        <x:v>0</x:v>
      </x:c>
      <x:c r="L186" s="80" t="str">
        <x:f>IF(K186&lt;=J186,"CONTROLLED","OVERPAID")</x:f>
        <x:v>CONTROLLED</x:v>
      </x:c>
      <x:c r="M186" s="103"/>
      <x:c r="N186" s="103"/>
    </x:row>
  </x:sheetData>
  <x:mergeCells>
    <x:mergeCell ref="A2:N2"/>
    <x:mergeCell ref="A4:N4"/>
  </x:mergeCells>
  <x:conditionalFormatting sqref="L7:L186">
    <x:cfRule type="containsText" dxfId="3" priority="1" operator="containsText" text="OVERPAID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2">
      <x:c r="A2" s="2" t="str">
        <x:v>Authority architecture selection and role separation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  <x:c r="N2" s="103"/>
    </x:row>
    <x:row r="3">
      <x:c r="A3" s="104"/>
      <x:c r="B3" s="104"/>
      <x:c r="C3" s="104"/>
      <x:c r="D3" s="104"/>
      <x:c r="E3" s="104"/>
      <x:c r="F3" s="104"/>
      <x:c r="G3" s="104"/>
      <x:c r="H3" s="104"/>
      <x:c r="I3" s="104"/>
      <x:c r="J3" s="104"/>
      <x:c r="K3" s="104"/>
      <x:c r="L3" s="104"/>
      <x:c r="M3" s="104"/>
      <x:c r="N3" s="104"/>
    </x:row>
    <x:row r="4">
      <x:c r="A4" s="105" t="str">
        <x:v>Candidate C3 preserves package-level validity, independent replay and finance separation without exposing sibling performance.</x:v>
      </x:c>
      <x:c r="B4" s="103"/>
      <x:c r="C4" s="103"/>
      <x:c r="D4" s="103"/>
      <x:c r="E4" s="103"/>
      <x:c r="F4" s="103"/>
      <x:c r="G4" s="103"/>
      <x:c r="H4" s="103"/>
      <x:c r="I4" s="103"/>
      <x:c r="J4" s="103"/>
      <x:c r="K4" s="103"/>
      <x:c r="L4" s="103"/>
      <x:c r="M4" s="103"/>
      <x:c r="N4" s="103"/>
    </x:row>
    <x:row r="5">
      <x:c r="A5" s="103"/>
      <x:c r="B5" s="103"/>
      <x:c r="C5" s="103"/>
      <x:c r="D5" s="103"/>
      <x:c r="E5" s="103"/>
      <x:c r="F5" s="103"/>
      <x:c r="G5" s="103"/>
      <x:c r="H5" s="103"/>
      <x:c r="I5" s="103"/>
      <x:c r="J5" s="103"/>
      <x:c r="K5" s="103"/>
      <x:c r="L5" s="103"/>
      <x:c r="M5" s="103"/>
      <x:c r="N5" s="103"/>
    </x:row>
    <x:row r="6">
      <x:c r="A6" s="10" t="str">
        <x:v>Architecture candidates</x:v>
      </x:c>
      <x:c r="B6" s="11" t="str">
        <x:v>Architecture candidates</x:v>
      </x:c>
      <x:c r="C6" s="11" t="str">
        <x:v>Architecture candidates</x:v>
      </x:c>
      <x:c r="D6" s="11" t="str">
        <x:v>Architecture candidates</x:v>
      </x:c>
      <x:c r="E6" s="11" t="str">
        <x:v>Architecture candidates</x:v>
      </x:c>
      <x:c r="F6" s="11" t="str">
        <x:v>Architecture candidates</x:v>
      </x:c>
      <x:c r="G6" s="11" t="str">
        <x:v>Architecture candidates</x:v>
      </x:c>
      <x:c r="H6" s="11" t="str">
        <x:v>Architecture candidates</x:v>
      </x:c>
      <x:c r="I6" s="11" t="str">
        <x:v>Architecture candidates</x:v>
      </x:c>
      <x:c r="J6" s="11" t="str">
        <x:v>Architecture candidates</x:v>
      </x:c>
      <x:c r="K6" s="12" t="str">
        <x:v>Architecture candidates</x:v>
      </x:c>
      <x:c r="L6" s="103"/>
      <x:c r="M6" s="103"/>
      <x:c r="N6" s="103"/>
    </x:row>
    <x:row r="7">
      <x:c r="A7" s="103"/>
      <x:c r="B7" s="103"/>
      <x:c r="C7" s="103"/>
      <x:c r="D7" s="103"/>
      <x:c r="E7" s="103"/>
      <x:c r="F7" s="103"/>
      <x:c r="G7" s="103"/>
      <x:c r="H7" s="103"/>
      <x:c r="I7" s="103"/>
      <x:c r="J7" s="103"/>
      <x:c r="K7" s="103"/>
      <x:c r="L7" s="103"/>
      <x:c r="M7" s="103"/>
      <x:c r="N7" s="103"/>
    </x:row>
    <x:row r="8">
      <x:c r="A8" s="31" t="str">
        <x:v>Candidate</x:v>
      </x:c>
      <x:c r="B8" s="32" t="str">
        <x:v>Builder separated</x:v>
      </x:c>
      <x:c r="C8" s="32" t="str">
        <x:v>Package scope</x:v>
      </x:c>
      <x:c r="D8" s="32" t="str">
        <x:v>Independent replay</x:v>
      </x:c>
      <x:c r="E8" s="32" t="str">
        <x:v>Performance blind</x:v>
      </x:c>
      <x:c r="F8" s="32" t="str">
        <x:v>Reserve protected</x:v>
      </x:c>
      <x:c r="G8" s="32" t="str">
        <x:v>Finance separate</x:v>
      </x:c>
      <x:c r="H8" s="32" t="str">
        <x:v>MAKE held</x:v>
      </x:c>
      <x:c r="I8" s="32" t="str">
        <x:v>REP-4 held</x:v>
      </x:c>
      <x:c r="J8" s="32" t="str">
        <x:v>Gates passed</x:v>
      </x:c>
      <x:c r="K8" s="33" t="str">
        <x:v>Disposition</x:v>
      </x:c>
      <x:c r="L8" s="103"/>
      <x:c r="M8" s="103"/>
      <x:c r="N8" s="103"/>
    </x:row>
    <x:row r="9">
      <x:c r="A9" s="62" t="str">
        <x:v>C1 Builder self-certification</x:v>
      </x:c>
      <x:c r="B9" s="62" t="n">
        <x:v>0</x:v>
      </x:c>
      <x:c r="C9" s="62" t="n">
        <x:v>1</x:v>
      </x:c>
      <x:c r="D9" s="62" t="n">
        <x:v>0</x:v>
      </x:c>
      <x:c r="E9" s="62" t="n">
        <x:v>1</x:v>
      </x:c>
      <x:c r="F9" s="62" t="n">
        <x:v>1</x:v>
      </x:c>
      <x:c r="G9" s="62" t="n">
        <x:v>1</x:v>
      </x:c>
      <x:c r="H9" s="62" t="n">
        <x:v>1</x:v>
      </x:c>
      <x:c r="I9" s="62" t="n">
        <x:v>1</x:v>
      </x:c>
      <x:c r="J9" s="80" t="n">
        <x:f>SUM(B9:I9)</x:f>
        <x:v>6</x:v>
      </x:c>
      <x:c r="K9" s="80" t="str">
        <x:f>IF(J9=8,"PASS","REJECT")</x:f>
        <x:v>REJECT</x:v>
      </x:c>
      <x:c r="L9" s="103"/>
      <x:c r="M9" s="103"/>
      <x:c r="N9" s="103"/>
    </x:row>
    <x:row r="10">
      <x:c r="A10" s="62" t="str">
        <x:v>C2 Central whole-form board</x:v>
      </x:c>
      <x:c r="B10" s="62" t="n">
        <x:v>1</x:v>
      </x:c>
      <x:c r="C10" s="62" t="n">
        <x:v>0</x:v>
      </x:c>
      <x:c r="D10" s="62" t="n">
        <x:v>1</x:v>
      </x:c>
      <x:c r="E10" s="62" t="n">
        <x:v>0</x:v>
      </x:c>
      <x:c r="F10" s="62" t="n">
        <x:v>1</x:v>
      </x:c>
      <x:c r="G10" s="62" t="n">
        <x:v>1</x:v>
      </x:c>
      <x:c r="H10" s="62" t="n">
        <x:v>1</x:v>
      </x:c>
      <x:c r="I10" s="62" t="n">
        <x:v>1</x:v>
      </x:c>
      <x:c r="J10" s="80" t="n">
        <x:f>SUM(B10:I10)</x:f>
        <x:v>6</x:v>
      </x:c>
      <x:c r="K10" s="80" t="str">
        <x:f>IF(J10=8,"PASS","REJECT")</x:f>
        <x:v>REJECT</x:v>
      </x:c>
      <x:c r="L10" s="103"/>
      <x:c r="M10" s="103"/>
      <x:c r="N10" s="103"/>
    </x:row>
    <x:row r="11">
      <x:c r="A11" s="62" t="str">
        <x:v>C3 Federated package validity</x:v>
      </x:c>
      <x:c r="B11" s="62" t="n">
        <x:v>1</x:v>
      </x:c>
      <x:c r="C11" s="62" t="n">
        <x:v>1</x:v>
      </x:c>
      <x:c r="D11" s="62" t="n">
        <x:v>1</x:v>
      </x:c>
      <x:c r="E11" s="62" t="n">
        <x:v>1</x:v>
      </x:c>
      <x:c r="F11" s="62" t="n">
        <x:v>1</x:v>
      </x:c>
      <x:c r="G11" s="62" t="n">
        <x:v>1</x:v>
      </x:c>
      <x:c r="H11" s="62" t="n">
        <x:v>1</x:v>
      </x:c>
      <x:c r="I11" s="62" t="n">
        <x:v>1</x:v>
      </x:c>
      <x:c r="J11" s="80" t="n">
        <x:f>SUM(B11:I11)</x:f>
        <x:v>8</x:v>
      </x:c>
      <x:c r="K11" s="80" t="str">
        <x:f>IF(J11=8,"PASS","REJECT")</x:f>
        <x:v>PASS</x:v>
      </x:c>
      <x:c r="L11" s="103"/>
      <x:c r="M11" s="103"/>
      <x:c r="N11" s="103"/>
    </x:row>
    <x:row r="12">
      <x:c r="A12" s="62" t="str">
        <x:v>C4 Hash-only automation</x:v>
      </x:c>
      <x:c r="B12" s="62" t="n">
        <x:v>1</x:v>
      </x:c>
      <x:c r="C12" s="62" t="n">
        <x:v>1</x:v>
      </x:c>
      <x:c r="D12" s="62" t="n">
        <x:v>0</x:v>
      </x:c>
      <x:c r="E12" s="62" t="n">
        <x:v>1</x:v>
      </x:c>
      <x:c r="F12" s="62" t="n">
        <x:v>1</x:v>
      </x:c>
      <x:c r="G12" s="62" t="n">
        <x:v>1</x:v>
      </x:c>
      <x:c r="H12" s="62" t="n">
        <x:v>1</x:v>
      </x:c>
      <x:c r="I12" s="62" t="n">
        <x:v>1</x:v>
      </x:c>
      <x:c r="J12" s="80" t="n">
        <x:f>SUM(B12:I12)</x:f>
        <x:v>7</x:v>
      </x:c>
      <x:c r="K12" s="80" t="str">
        <x:f>IF(J12=8,"PASS","REJECT")</x:f>
        <x:v>REJECT</x:v>
      </x:c>
      <x:c r="L12" s="103"/>
      <x:c r="M12" s="103"/>
      <x:c r="N12" s="103"/>
    </x:row>
    <x:row r="13">
      <x:c r="A13" s="62" t="str">
        <x:v>C5 Evidence Court design acceptance</x:v>
      </x:c>
      <x:c r="B13" s="62" t="n">
        <x:v>1</x:v>
      </x:c>
      <x:c r="C13" s="62" t="n">
        <x:v>1</x:v>
      </x:c>
      <x:c r="D13" s="62" t="n">
        <x:v>1</x:v>
      </x:c>
      <x:c r="E13" s="62" t="n">
        <x:v>1</x:v>
      </x:c>
      <x:c r="F13" s="62" t="n">
        <x:v>1</x:v>
      </x:c>
      <x:c r="G13" s="62" t="n">
        <x:v>1</x:v>
      </x:c>
      <x:c r="H13" s="62" t="n">
        <x:v>0</x:v>
      </x:c>
      <x:c r="I13" s="62" t="n">
        <x:v>0</x:v>
      </x:c>
      <x:c r="J13" s="80" t="n">
        <x:f>SUM(B13:I13)</x:f>
        <x:v>6</x:v>
      </x:c>
      <x:c r="K13" s="80" t="str">
        <x:f>IF(J13=8,"PASS","REJECT")</x:f>
        <x:v>REJECT</x:v>
      </x:c>
      <x:c r="L13" s="103"/>
      <x:c r="M13" s="103"/>
      <x:c r="N13" s="103"/>
    </x:row>
    <x:row r="14">
      <x:c r="A14" s="103"/>
      <x:c r="B14" s="103"/>
      <x:c r="C14" s="103"/>
      <x:c r="D14" s="103"/>
      <x:c r="E14" s="103"/>
      <x:c r="F14" s="103"/>
      <x:c r="G14" s="103"/>
      <x:c r="H14" s="103"/>
      <x:c r="I14" s="103"/>
      <x:c r="J14" s="103"/>
      <x:c r="K14" s="103"/>
      <x:c r="L14" s="103"/>
      <x:c r="M14" s="103"/>
      <x:c r="N14" s="103"/>
    </x:row>
    <x:row r="15">
      <x:c r="A15" s="103"/>
      <x:c r="B15" s="103"/>
      <x:c r="C15" s="103"/>
      <x:c r="D15" s="103"/>
      <x:c r="E15" s="103"/>
      <x:c r="F15" s="103"/>
      <x:c r="G15" s="103"/>
      <x:c r="H15" s="103"/>
      <x:c r="I15" s="103"/>
      <x:c r="J15" s="103"/>
      <x:c r="K15" s="103"/>
      <x:c r="L15" s="103"/>
      <x:c r="M15" s="103"/>
      <x:c r="N15" s="103"/>
    </x:row>
    <x:row r="16">
      <x:c r="A16" s="103"/>
      <x:c r="B16" s="103"/>
      <x:c r="C16" s="103"/>
      <x:c r="D16" s="103"/>
      <x:c r="E16" s="103"/>
      <x:c r="F16" s="103"/>
      <x:c r="G16" s="103"/>
      <x:c r="H16" s="103"/>
      <x:c r="I16" s="103"/>
      <x:c r="J16" s="103"/>
      <x:c r="K16" s="103"/>
      <x:c r="L16" s="103"/>
      <x:c r="M16" s="103"/>
      <x:c r="N16" s="103"/>
    </x:row>
    <x:row r="17">
      <x:c r="A17" s="10" t="str">
        <x:v>Separated roles</x:v>
      </x:c>
      <x:c r="B17" s="11" t="str">
        <x:v>Separated roles</x:v>
      </x:c>
      <x:c r="C17" s="11" t="str">
        <x:v>Separated roles</x:v>
      </x:c>
      <x:c r="D17" s="11" t="str">
        <x:v>Separated roles</x:v>
      </x:c>
      <x:c r="E17" s="11" t="str">
        <x:v>Separated roles</x:v>
      </x:c>
      <x:c r="F17" s="11" t="str">
        <x:v>Separated roles</x:v>
      </x:c>
      <x:c r="G17" s="11" t="str">
        <x:v>Separated roles</x:v>
      </x:c>
      <x:c r="H17" s="11" t="str">
        <x:v>Separated roles</x:v>
      </x:c>
      <x:c r="I17" s="11" t="str">
        <x:v>Separated roles</x:v>
      </x:c>
      <x:c r="J17" s="11" t="str">
        <x:v>Separated roles</x:v>
      </x:c>
      <x:c r="K17" s="11" t="str">
        <x:v>Separated roles</x:v>
      </x:c>
      <x:c r="L17" s="12" t="str">
        <x:v>Separated roles</x:v>
      </x:c>
      <x:c r="M17" s="103"/>
      <x:c r="N17" s="103"/>
    </x:row>
    <x:row r="18">
      <x:c r="A18" s="103"/>
      <x:c r="B18" s="103"/>
      <x:c r="C18" s="103"/>
      <x:c r="D18" s="103"/>
      <x:c r="E18" s="103"/>
      <x:c r="F18" s="103"/>
      <x:c r="G18" s="103"/>
      <x:c r="H18" s="103"/>
      <x:c r="I18" s="103"/>
      <x:c r="J18" s="103"/>
      <x:c r="K18" s="103"/>
      <x:c r="L18" s="103"/>
      <x:c r="M18" s="103"/>
      <x:c r="N18" s="103"/>
    </x:row>
    <x:row r="19">
      <x:c r="A19" s="31" t="str">
        <x:v>Role</x:v>
      </x:c>
      <x:c r="B19" s="32" t="str">
        <x:v>Build</x:v>
      </x:c>
      <x:c r="C19" s="32" t="str">
        <x:v>Accept</x:v>
      </x:c>
      <x:c r="D19" s="32" t="str">
        <x:v>Pay</x:v>
      </x:c>
      <x:c r="E19" s="32" t="str">
        <x:v>Observe</x:v>
      </x:c>
      <x:c r="F19" s="32" t="str">
        <x:v>Select</x:v>
      </x:c>
      <x:c r="G19" s="32" t="str">
        <x:v>Raw performance</x:v>
      </x:c>
      <x:c r="H19" s="32" t="str">
        <x:v>Sibling translate</x:v>
      </x:c>
      <x:c r="I19" s="32" t="str">
        <x:v>MAKE</x:v>
      </x:c>
      <x:c r="J19" s="32" t="str">
        <x:v>REP-4</x:v>
      </x:c>
      <x:c r="K19" s="32" t="str">
        <x:v>Reserve</x:v>
      </x:c>
      <x:c r="L19" s="33" t="str">
        <x:v>Conflict count</x:v>
      </x:c>
      <x:c r="M19" s="103"/>
      <x:c r="N19" s="103"/>
    </x:row>
    <x:row r="20">
      <x:c r="A20" s="62" t="str">
        <x:v>Form Implementation Cell</x:v>
      </x:c>
      <x:c r="B20" s="62" t="n">
        <x:v>1</x:v>
      </x:c>
      <x:c r="C20" s="62" t="n">
        <x:v>0</x:v>
      </x:c>
      <x:c r="D20" s="62" t="n">
        <x:v>0</x:v>
      </x:c>
      <x:c r="E20" s="62" t="n">
        <x:v>0</x:v>
      </x:c>
      <x:c r="F20" s="62" t="n">
        <x:v>0</x:v>
      </x:c>
      <x:c r="G20" s="62" t="n">
        <x:v>0</x:v>
      </x:c>
      <x:c r="H20" s="62" t="n">
        <x:v>0</x:v>
      </x:c>
      <x:c r="I20" s="62" t="n">
        <x:v>0</x:v>
      </x:c>
      <x:c r="J20" s="62" t="n">
        <x:v>0</x:v>
      </x:c>
      <x:c r="K20" s="62" t="n">
        <x:v>0</x:v>
      </x:c>
      <x:c r="L20" s="80" t="n">
        <x:f>B20*C20+C20*D20+C20*E20+E20*F20+G20*H20+C20*I20+C20*J20</x:f>
        <x:v>0</x:v>
      </x:c>
      <x:c r="M20" s="103"/>
      <x:c r="N20" s="103"/>
    </x:row>
    <x:row r="21">
      <x:c r="A21" s="62" t="str">
        <x:v>Package Custodian</x:v>
      </x:c>
      <x:c r="B21" s="62" t="n">
        <x:v>0</x:v>
      </x:c>
      <x:c r="C21" s="62" t="n">
        <x:v>0</x:v>
      </x:c>
      <x:c r="D21" s="62" t="n">
        <x:v>0</x:v>
      </x:c>
      <x:c r="E21" s="62" t="n">
        <x:v>0</x:v>
      </x:c>
      <x:c r="F21" s="62" t="n">
        <x:v>0</x:v>
      </x:c>
      <x:c r="G21" s="62" t="n">
        <x:v>0</x:v>
      </x:c>
      <x:c r="H21" s="62" t="n">
        <x:v>0</x:v>
      </x:c>
      <x:c r="I21" s="62" t="n">
        <x:v>0</x:v>
      </x:c>
      <x:c r="J21" s="62" t="n">
        <x:v>0</x:v>
      </x:c>
      <x:c r="K21" s="62" t="n">
        <x:v>0</x:v>
      </x:c>
      <x:c r="L21" s="80" t="n">
        <x:f>B21*C21+C21*D21+C21*E21+E21*F21+G21*H21+C21*I21+C21*J21</x:f>
        <x:v>0</x:v>
      </x:c>
      <x:c r="M21" s="103"/>
      <x:c r="N21" s="103"/>
    </x:row>
    <x:row r="22">
      <x:c r="A22" s="62" t="str">
        <x:v>Root Artifact Court</x:v>
      </x:c>
      <x:c r="B22" s="62" t="n">
        <x:v>0</x:v>
      </x:c>
      <x:c r="C22" s="62" t="n">
        <x:v>1</x:v>
      </x:c>
      <x:c r="D22" s="62" t="n">
        <x:v>0</x:v>
      </x:c>
      <x:c r="E22" s="62" t="n">
        <x:v>0</x:v>
      </x:c>
      <x:c r="F22" s="62" t="n">
        <x:v>0</x:v>
      </x:c>
      <x:c r="G22" s="62" t="n">
        <x:v>0</x:v>
      </x:c>
      <x:c r="H22" s="62" t="n">
        <x:v>0</x:v>
      </x:c>
      <x:c r="I22" s="62" t="n">
        <x:v>0</x:v>
      </x:c>
      <x:c r="J22" s="62" t="n">
        <x:v>0</x:v>
      </x:c>
      <x:c r="K22" s="62" t="n">
        <x:v>0</x:v>
      </x:c>
      <x:c r="L22" s="80" t="n">
        <x:f>B22*C22+C22*D22+C22*E22+E22*F22+G22*H22+C22*I22+C22*J22</x:f>
        <x:v>0</x:v>
      </x:c>
      <x:c r="M22" s="103"/>
      <x:c r="N22" s="103"/>
    </x:row>
    <x:row r="23">
      <x:c r="A23" s="62" t="str">
        <x:v>Clean-Room Reconstruction Cell</x:v>
      </x:c>
      <x:c r="B23" s="62" t="n">
        <x:v>0</x:v>
      </x:c>
      <x:c r="C23" s="62" t="n">
        <x:v>0</x:v>
      </x:c>
      <x:c r="D23" s="62" t="n">
        <x:v>0</x:v>
      </x:c>
      <x:c r="E23" s="62" t="n">
        <x:v>0</x:v>
      </x:c>
      <x:c r="F23" s="62" t="n">
        <x:v>0</x:v>
      </x:c>
      <x:c r="G23" s="62" t="n">
        <x:v>0</x:v>
      </x:c>
      <x:c r="H23" s="62" t="n">
        <x:v>0</x:v>
      </x:c>
      <x:c r="I23" s="62" t="n">
        <x:v>0</x:v>
      </x:c>
      <x:c r="J23" s="62" t="n">
        <x:v>0</x:v>
      </x:c>
      <x:c r="K23" s="62" t="n">
        <x:v>0</x:v>
      </x:c>
      <x:c r="L23" s="80" t="n">
        <x:f>B23*C23+C23*D23+C23*E23+E23*F23+G23*H23+C23*I23+C23*J23</x:f>
        <x:v>0</x:v>
      </x:c>
      <x:c r="M23" s="103"/>
      <x:c r="N23" s="103"/>
    </x:row>
    <x:row r="24">
      <x:c r="A24" s="62" t="str">
        <x:v>Public Source Escrow</x:v>
      </x:c>
      <x:c r="B24" s="62" t="n">
        <x:v>0</x:v>
      </x:c>
      <x:c r="C24" s="62" t="n">
        <x:v>0</x:v>
      </x:c>
      <x:c r="D24" s="62" t="n">
        <x:v>0</x:v>
      </x:c>
      <x:c r="E24" s="62" t="n">
        <x:v>0</x:v>
      </x:c>
      <x:c r="F24" s="62" t="n">
        <x:v>0</x:v>
      </x:c>
      <x:c r="G24" s="62" t="n">
        <x:v>0</x:v>
      </x:c>
      <x:c r="H24" s="62" t="n">
        <x:v>0</x:v>
      </x:c>
      <x:c r="I24" s="62" t="n">
        <x:v>0</x:v>
      </x:c>
      <x:c r="J24" s="62" t="n">
        <x:v>0</x:v>
      </x:c>
      <x:c r="K24" s="62" t="n">
        <x:v>0</x:v>
      </x:c>
      <x:c r="L24" s="80" t="n">
        <x:f>B24*C24+C24*D24+C24*E24+E24*F24+G24*H24+C24*I24+C24*J24</x:f>
        <x:v>0</x:v>
      </x:c>
      <x:c r="M24" s="103"/>
      <x:c r="N24" s="103"/>
    </x:row>
    <x:row r="25">
      <x:c r="A25" s="62" t="str">
        <x:v>Finance Disbursing Authority</x:v>
      </x:c>
      <x:c r="B25" s="62" t="n">
        <x:v>0</x:v>
      </x:c>
      <x:c r="C25" s="62" t="n">
        <x:v>0</x:v>
      </x:c>
      <x:c r="D25" s="62" t="n">
        <x:v>1</x:v>
      </x:c>
      <x:c r="E25" s="62" t="n">
        <x:v>0</x:v>
      </x:c>
      <x:c r="F25" s="62" t="n">
        <x:v>0</x:v>
      </x:c>
      <x:c r="G25" s="62" t="n">
        <x:v>0</x:v>
      </x:c>
      <x:c r="H25" s="62" t="n">
        <x:v>0</x:v>
      </x:c>
      <x:c r="I25" s="62" t="n">
        <x:v>0</x:v>
      </x:c>
      <x:c r="J25" s="62" t="n">
        <x:v>0</x:v>
      </x:c>
      <x:c r="K25" s="62" t="n">
        <x:v>0</x:v>
      </x:c>
      <x:c r="L25" s="80" t="n">
        <x:f>B25*C25+C25*D25+C25*E25+E25*F25+G25*H25+C25*I25+C25*J25</x:f>
        <x:v>0</x:v>
      </x:c>
      <x:c r="M25" s="103"/>
      <x:c r="N25" s="103"/>
    </x:row>
    <x:row r="26">
      <x:c r="A26" s="62" t="str">
        <x:v>Evidence Court</x:v>
      </x:c>
      <x:c r="B26" s="62" t="n">
        <x:v>0</x:v>
      </x:c>
      <x:c r="C26" s="62" t="n">
        <x:v>0</x:v>
      </x:c>
      <x:c r="D26" s="62" t="n">
        <x:v>0</x:v>
      </x:c>
      <x:c r="E26" s="62" t="n">
        <x:v>1</x:v>
      </x:c>
      <x:c r="F26" s="62" t="n">
        <x:v>0</x:v>
      </x:c>
      <x:c r="G26" s="62" t="n">
        <x:v>0</x:v>
      </x:c>
      <x:c r="H26" s="62" t="n">
        <x:v>0</x:v>
      </x:c>
      <x:c r="I26" s="62" t="n">
        <x:v>0</x:v>
      </x:c>
      <x:c r="J26" s="62" t="n">
        <x:v>0</x:v>
      </x:c>
      <x:c r="K26" s="62" t="n">
        <x:v>0</x:v>
      </x:c>
      <x:c r="L26" s="80" t="n">
        <x:f>B26*C26+C26*D26+C26*E26+E26*F26+G26*H26+C26*I26+C26*J26</x:f>
        <x:v>0</x:v>
      </x:c>
      <x:c r="M26" s="103"/>
      <x:c r="N26" s="103"/>
    </x:row>
    <x:row r="27">
      <x:c r="A27" s="62" t="str">
        <x:v>Selection Court</x:v>
      </x:c>
      <x:c r="B27" s="62" t="n">
        <x:v>0</x:v>
      </x:c>
      <x:c r="C27" s="62" t="n">
        <x:v>0</x:v>
      </x:c>
      <x:c r="D27" s="62" t="n">
        <x:v>0</x:v>
      </x:c>
      <x:c r="E27" s="62" t="n">
        <x:v>0</x:v>
      </x:c>
      <x:c r="F27" s="62" t="n">
        <x:v>1</x:v>
      </x:c>
      <x:c r="G27" s="62" t="n">
        <x:v>0</x:v>
      </x:c>
      <x:c r="H27" s="62" t="n">
        <x:v>0</x:v>
      </x:c>
      <x:c r="I27" s="62" t="n">
        <x:v>0</x:v>
      </x:c>
      <x:c r="J27" s="62" t="n">
        <x:v>0</x:v>
      </x:c>
      <x:c r="K27" s="62" t="n">
        <x:v>0</x:v>
      </x:c>
      <x:c r="L27" s="80" t="n">
        <x:f>B27*C27+C27*D27+C27*E27+E27*F27+G27*H27+C27*I27+C27*J27</x:f>
        <x:v>0</x:v>
      </x:c>
      <x:c r="M27" s="103"/>
      <x:c r="N27" s="103"/>
    </x:row>
    <x:row r="28">
      <x:c r="A28" s="62" t="str">
        <x:v>Raw Performance Custodian</x:v>
      </x:c>
      <x:c r="B28" s="62" t="n">
        <x:v>0</x:v>
      </x:c>
      <x:c r="C28" s="62" t="n">
        <x:v>0</x:v>
      </x:c>
      <x:c r="D28" s="62" t="n">
        <x:v>0</x:v>
      </x:c>
      <x:c r="E28" s="62" t="n">
        <x:v>0</x:v>
      </x:c>
      <x:c r="F28" s="62" t="n">
        <x:v>0</x:v>
      </x:c>
      <x:c r="G28" s="62" t="n">
        <x:v>1</x:v>
      </x:c>
      <x:c r="H28" s="62" t="n">
        <x:v>0</x:v>
      </x:c>
      <x:c r="I28" s="62" t="n">
        <x:v>0</x:v>
      </x:c>
      <x:c r="J28" s="62" t="n">
        <x:v>0</x:v>
      </x:c>
      <x:c r="K28" s="62" t="n">
        <x:v>0</x:v>
      </x:c>
      <x:c r="L28" s="80" t="n">
        <x:f>B28*C28+C28*D28+C28*E28+E28*F28+G28*H28+C28*I28+C28*J28</x:f>
        <x:v>0</x:v>
      </x:c>
      <x:c r="M28" s="103"/>
      <x:c r="N28" s="103"/>
    </x:row>
    <x:row r="29">
      <x:c r="A29" s="62" t="str">
        <x:v>Sibling Safety Translator</x:v>
      </x:c>
      <x:c r="B29" s="62" t="n">
        <x:v>0</x:v>
      </x:c>
      <x:c r="C29" s="62" t="n">
        <x:v>0</x:v>
      </x:c>
      <x:c r="D29" s="62" t="n">
        <x:v>0</x:v>
      </x:c>
      <x:c r="E29" s="62" t="n">
        <x:v>0</x:v>
      </x:c>
      <x:c r="F29" s="62" t="n">
        <x:v>0</x:v>
      </x:c>
      <x:c r="G29" s="62" t="n">
        <x:v>0</x:v>
      </x:c>
      <x:c r="H29" s="62" t="n">
        <x:v>1</x:v>
      </x:c>
      <x:c r="I29" s="62" t="n">
        <x:v>0</x:v>
      </x:c>
      <x:c r="J29" s="62" t="n">
        <x:v>0</x:v>
      </x:c>
      <x:c r="K29" s="62" t="n">
        <x:v>0</x:v>
      </x:c>
      <x:c r="L29" s="80" t="n">
        <x:f>B29*C29+C29*D29+C29*E29+E29*F29+G29*H29+C29*I29+C29*J29</x:f>
        <x:v>0</x:v>
      </x:c>
      <x:c r="M29" s="103"/>
      <x:c r="N29" s="103"/>
    </x:row>
    <x:row r="30">
      <x:c r="A30" s="62" t="str">
        <x:v>Construction Warrant Authority</x:v>
      </x:c>
      <x:c r="B30" s="62" t="n">
        <x:v>0</x:v>
      </x:c>
      <x:c r="C30" s="62" t="n">
        <x:v>0</x:v>
      </x:c>
      <x:c r="D30" s="62" t="n">
        <x:v>0</x:v>
      </x:c>
      <x:c r="E30" s="62" t="n">
        <x:v>0</x:v>
      </x:c>
      <x:c r="F30" s="62" t="n">
        <x:v>0</x:v>
      </x:c>
      <x:c r="G30" s="62" t="n">
        <x:v>0</x:v>
      </x:c>
      <x:c r="H30" s="62" t="n">
        <x:v>0</x:v>
      </x:c>
      <x:c r="I30" s="62" t="n">
        <x:v>1</x:v>
      </x:c>
      <x:c r="J30" s="62" t="n">
        <x:v>0</x:v>
      </x:c>
      <x:c r="K30" s="62" t="n">
        <x:v>0</x:v>
      </x:c>
      <x:c r="L30" s="80" t="n">
        <x:f>B30*C30+C30*D30+C30*E30+E30*F30+G30*H30+C30*I30+C30*J30</x:f>
        <x:v>0</x:v>
      </x:c>
      <x:c r="M30" s="103"/>
      <x:c r="N30" s="103"/>
    </x:row>
    <x:row r="31">
      <x:c r="A31" s="62" t="str">
        <x:v>REP-4 Registrar</x:v>
      </x:c>
      <x:c r="B31" s="62" t="n">
        <x:v>0</x:v>
      </x:c>
      <x:c r="C31" s="62" t="n">
        <x:v>0</x:v>
      </x:c>
      <x:c r="D31" s="62" t="n">
        <x:v>0</x:v>
      </x:c>
      <x:c r="E31" s="62" t="n">
        <x:v>0</x:v>
      </x:c>
      <x:c r="F31" s="62" t="n">
        <x:v>0</x:v>
      </x:c>
      <x:c r="G31" s="62" t="n">
        <x:v>0</x:v>
      </x:c>
      <x:c r="H31" s="62" t="n">
        <x:v>0</x:v>
      </x:c>
      <x:c r="I31" s="62" t="n">
        <x:v>0</x:v>
      </x:c>
      <x:c r="J31" s="62" t="n">
        <x:v>1</x:v>
      </x:c>
      <x:c r="K31" s="62" t="n">
        <x:v>0</x:v>
      </x:c>
      <x:c r="L31" s="80" t="n">
        <x:f>B31*C31+C31*D31+C31*E31+E31*F31+G31*H31+C31*I31+C31*J31</x:f>
        <x:v>0</x:v>
      </x:c>
      <x:c r="M31" s="103"/>
      <x:c r="N31" s="103"/>
    </x:row>
    <x:row r="32">
      <x:c r="A32" s="62" t="str">
        <x:v>Portfolio Reserve Custodian</x:v>
      </x:c>
      <x:c r="B32" s="62" t="n">
        <x:v>0</x:v>
      </x:c>
      <x:c r="C32" s="62" t="n">
        <x:v>0</x:v>
      </x:c>
      <x:c r="D32" s="62" t="n">
        <x:v>0</x:v>
      </x:c>
      <x:c r="E32" s="62" t="n">
        <x:v>0</x:v>
      </x:c>
      <x:c r="F32" s="62" t="n">
        <x:v>0</x:v>
      </x:c>
      <x:c r="G32" s="62" t="n">
        <x:v>0</x:v>
      </x:c>
      <x:c r="H32" s="62" t="n">
        <x:v>0</x:v>
      </x:c>
      <x:c r="I32" s="62" t="n">
        <x:v>0</x:v>
      </x:c>
      <x:c r="J32" s="62" t="n">
        <x:v>0</x:v>
      </x:c>
      <x:c r="K32" s="62" t="n">
        <x:v>1</x:v>
      </x:c>
      <x:c r="L32" s="80" t="n">
        <x:f>B32*C32+C32*D32+C32*E32+E32*F32+G32*H32+C32*I32+C32*J32</x:f>
        <x:v>0</x:v>
      </x:c>
      <x:c r="M32" s="103"/>
      <x:c r="N32" s="103"/>
    </x:row>
    <x:row r="33">
      <x:c r="A33" s="62" t="str">
        <x:v>Configuration Registrar</x:v>
      </x:c>
      <x:c r="B33" s="62" t="n">
        <x:v>0</x:v>
      </x:c>
      <x:c r="C33" s="62" t="n">
        <x:v>0</x:v>
      </x:c>
      <x:c r="D33" s="62" t="n">
        <x:v>0</x:v>
      </x:c>
      <x:c r="E33" s="62" t="n">
        <x:v>0</x:v>
      </x:c>
      <x:c r="F33" s="62" t="n">
        <x:v>0</x:v>
      </x:c>
      <x:c r="G33" s="62" t="n">
        <x:v>0</x:v>
      </x:c>
      <x:c r="H33" s="62" t="n">
        <x:v>0</x:v>
      </x:c>
      <x:c r="I33" s="62" t="n">
        <x:v>0</x:v>
      </x:c>
      <x:c r="J33" s="62" t="n">
        <x:v>0</x:v>
      </x:c>
      <x:c r="K33" s="62" t="n">
        <x:v>0</x:v>
      </x:c>
      <x:c r="L33" s="80" t="n">
        <x:f>B33*C33+C33*D33+C33*E33+E33*F33+G33*H33+C33*I33+C33*J33</x:f>
        <x:v>0</x:v>
      </x:c>
      <x:c r="M33" s="103"/>
      <x:c r="N33" s="103"/>
    </x:row>
    <x:row r="34">
      <x:c r="A34" s="62" t="str">
        <x:v>Public Ledger</x:v>
      </x:c>
      <x:c r="B34" s="62" t="n">
        <x:v>0</x:v>
      </x:c>
      <x:c r="C34" s="62" t="n">
        <x:v>0</x:v>
      </x:c>
      <x:c r="D34" s="62" t="n">
        <x:v>0</x:v>
      </x:c>
      <x:c r="E34" s="62" t="n">
        <x:v>0</x:v>
      </x:c>
      <x:c r="F34" s="62" t="n">
        <x:v>0</x:v>
      </x:c>
      <x:c r="G34" s="62" t="n">
        <x:v>0</x:v>
      </x:c>
      <x:c r="H34" s="62" t="n">
        <x:v>0</x:v>
      </x:c>
      <x:c r="I34" s="62" t="n">
        <x:v>0</x:v>
      </x:c>
      <x:c r="J34" s="62" t="n">
        <x:v>0</x:v>
      </x:c>
      <x:c r="K34" s="62" t="n">
        <x:v>0</x:v>
      </x:c>
      <x:c r="L34" s="80" t="n">
        <x:f>B34*C34+C34*D34+C34*E34+E34*F34+G34*H34+C34*I34+C34*J34</x:f>
        <x:v>0</x:v>
      </x:c>
      <x:c r="M34" s="103"/>
      <x:c r="N34" s="103"/>
    </x:row>
  </x:sheetData>
  <x:mergeCells>
    <x:mergeCell ref="A2:N2"/>
    <x:mergeCell ref="A4:N4"/>
    <x:mergeCell ref="A6:K6"/>
    <x:mergeCell ref="A17:L17"/>
  </x:mergeCells>
  <x:conditionalFormatting sqref="K9:K13">
    <x:cfRule type="containsText" dxfId="4" priority="1" operator="containsText" text="REJECT"/>
    <x:cfRule type="containsText" dxfId="5" priority="2" operator="containsText" text="PASS"/>
  </x:conditionalFormatting>
  <x:conditionalFormatting sqref="L20:L34">
    <x:cfRule type="cellIs" dxfId="6" priority="3" operator="greaterThan">
      <x:formula>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0" hidden="0" customWidth="1"/>
    <x:col min="3" max="3" width="30" hidden="0" customWidth="1"/>
    <x:col min="4" max="4" width="30" hidden="0" customWidth="1"/>
    <x:col min="5" max="5" width="24" hidden="0" customWidth="1"/>
  </x:cols>
  <x:sheetData>
    <x:row r="2">
      <x:c r="A2" s="2" t="str">
        <x:v>Artifact, payment and evidence state law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  <x:c r="N2" s="103"/>
    </x:row>
    <x:row r="3">
      <x:c r="A3" s="104"/>
      <x:c r="B3" s="104"/>
      <x:c r="C3" s="104"/>
      <x:c r="D3" s="104"/>
      <x:c r="E3" s="104"/>
      <x:c r="F3" s="104"/>
      <x:c r="G3" s="104"/>
      <x:c r="H3" s="104"/>
      <x:c r="I3" s="104"/>
      <x:c r="J3" s="104"/>
      <x:c r="K3" s="104"/>
      <x:c r="L3" s="104"/>
      <x:c r="M3" s="104"/>
      <x:c r="N3" s="104"/>
    </x:row>
    <x:row r="4">
      <x:c r="A4" s="105" t="str">
        <x:v>Administrative completion remains separate from physical observation, selection, construction and measured representation.</x:v>
      </x:c>
      <x:c r="B4" s="103"/>
      <x:c r="C4" s="103"/>
      <x:c r="D4" s="103"/>
      <x:c r="E4" s="103"/>
      <x:c r="F4" s="103"/>
      <x:c r="G4" s="103"/>
      <x:c r="H4" s="103"/>
      <x:c r="I4" s="103"/>
      <x:c r="J4" s="103"/>
      <x:c r="K4" s="103"/>
      <x:c r="L4" s="103"/>
      <x:c r="M4" s="103"/>
      <x:c r="N4" s="103"/>
    </x:row>
    <x:row r="5">
      <x:c r="A5" s="103"/>
      <x:c r="B5" s="103"/>
      <x:c r="C5" s="103"/>
      <x:c r="D5" s="103"/>
      <x:c r="E5" s="103"/>
      <x:c r="F5" s="103"/>
      <x:c r="G5" s="103"/>
      <x:c r="H5" s="103"/>
      <x:c r="I5" s="103"/>
      <x:c r="J5" s="103"/>
      <x:c r="K5" s="103"/>
      <x:c r="L5" s="103"/>
      <x:c r="M5" s="103"/>
      <x:c r="N5" s="103"/>
    </x:row>
    <x:row r="6">
      <x:c r="A6" s="10" t="str">
        <x:v>Permitted state transitions</x:v>
      </x:c>
      <x:c r="B6" s="11" t="str">
        <x:v>Permitted state transitions</x:v>
      </x:c>
      <x:c r="C6" s="11" t="str">
        <x:v>Permitted state transitions</x:v>
      </x:c>
      <x:c r="D6" s="11" t="str">
        <x:v>Permitted state transitions</x:v>
      </x:c>
      <x:c r="E6" s="11" t="str">
        <x:v>Permitted state transitions</x:v>
      </x:c>
      <x:c r="F6" s="11" t="str">
        <x:v>Permitted state transitions</x:v>
      </x:c>
      <x:c r="G6" s="12" t="str">
        <x:v>Permitted state transitions</x:v>
      </x:c>
      <x:c r="H6" s="103"/>
      <x:c r="I6" s="103"/>
      <x:c r="J6" s="103"/>
      <x:c r="K6" s="103"/>
      <x:c r="L6" s="103"/>
      <x:c r="M6" s="103"/>
      <x:c r="N6" s="103"/>
    </x:row>
    <x:row r="7">
      <x:c r="A7" s="103"/>
      <x:c r="B7" s="103"/>
      <x:c r="C7" s="103"/>
      <x:c r="D7" s="103"/>
      <x:c r="E7" s="103"/>
      <x:c r="F7" s="103"/>
      <x:c r="G7" s="103"/>
      <x:c r="H7" s="103"/>
      <x:c r="I7" s="103"/>
      <x:c r="J7" s="103"/>
      <x:c r="K7" s="103"/>
      <x:c r="L7" s="103"/>
      <x:c r="M7" s="103"/>
      <x:c r="N7" s="103"/>
    </x:row>
    <x:row r="8">
      <x:c r="A8" s="31" t="str">
        <x:v>Order</x:v>
      </x:c>
      <x:c r="B8" s="32" t="str">
        <x:v>State</x:v>
      </x:c>
      <x:c r="C8" s="32" t="str">
        <x:v>Creating authority</x:v>
      </x:c>
      <x:c r="D8" s="32" t="str">
        <x:v>Permitted next state</x:v>
      </x:c>
      <x:c r="E8" s="32" t="str">
        <x:v>Creates evidence</x:v>
      </x:c>
      <x:c r="F8" s="32" t="str">
        <x:v>Creates selection</x:v>
      </x:c>
      <x:c r="G8" s="33" t="str">
        <x:v>Creates physical authority</x:v>
      </x:c>
      <x:c r="H8" s="103"/>
      <x:c r="I8" s="103"/>
      <x:c r="J8" s="103"/>
      <x:c r="K8" s="103"/>
      <x:c r="L8" s="103"/>
      <x:c r="M8" s="103"/>
      <x:c r="N8" s="103"/>
    </x:row>
    <x:row r="9">
      <x:c r="A9" s="62" t="n">
        <x:v>1</x:v>
      </x:c>
      <x:c r="B9" s="62" t="str">
        <x:v>OBLIGATED</x:v>
      </x:c>
      <x:c r="C9" s="62" t="str">
        <x:v>CEW-1</x:v>
      </x:c>
      <x:c r="D9" s="62" t="str">
        <x:v>WORKING</x:v>
      </x:c>
      <x:c r="E9" s="85" t="n">
        <x:v>0</x:v>
      </x:c>
      <x:c r="F9" s="85" t="n">
        <x:v>0</x:v>
      </x:c>
      <x:c r="G9" s="85" t="n">
        <x:v>0</x:v>
      </x:c>
      <x:c r="H9" s="103"/>
      <x:c r="I9" s="103"/>
      <x:c r="J9" s="103"/>
      <x:c r="K9" s="103"/>
      <x:c r="L9" s="103"/>
      <x:c r="M9" s="103"/>
      <x:c r="N9" s="103"/>
    </x:row>
    <x:row r="10">
      <x:c r="A10" s="62" t="n">
        <x:v>2</x:v>
      </x:c>
      <x:c r="B10" s="62" t="str">
        <x:v>WORKING</x:v>
      </x:c>
      <x:c r="C10" s="62" t="str">
        <x:v>Implementation Cell</x:v>
      </x:c>
      <x:c r="D10" s="62" t="str">
        <x:v>SUBMITTED</x:v>
      </x:c>
      <x:c r="E10" s="85" t="n">
        <x:v>0</x:v>
      </x:c>
      <x:c r="F10" s="85" t="n">
        <x:v>0</x:v>
      </x:c>
      <x:c r="G10" s="85" t="n">
        <x:v>0</x:v>
      </x:c>
      <x:c r="H10" s="103"/>
      <x:c r="I10" s="103"/>
      <x:c r="J10" s="103"/>
      <x:c r="K10" s="103"/>
      <x:c r="L10" s="103"/>
      <x:c r="M10" s="103"/>
      <x:c r="N10" s="103"/>
    </x:row>
    <x:row r="11">
      <x:c r="A11" s="62" t="n">
        <x:v>3</x:v>
      </x:c>
      <x:c r="B11" s="62" t="str">
        <x:v>SUBMITTED</x:v>
      </x:c>
      <x:c r="C11" s="62" t="str">
        <x:v>Package Custodian</x:v>
      </x:c>
      <x:c r="D11" s="62" t="str">
        <x:v>ARTIFACT VALID</x:v>
      </x:c>
      <x:c r="E11" s="85" t="n">
        <x:v>0</x:v>
      </x:c>
      <x:c r="F11" s="85" t="n">
        <x:v>0</x:v>
      </x:c>
      <x:c r="G11" s="85" t="n">
        <x:v>0</x:v>
      </x:c>
      <x:c r="H11" s="103"/>
      <x:c r="I11" s="103"/>
      <x:c r="J11" s="103"/>
      <x:c r="K11" s="103"/>
      <x:c r="L11" s="103"/>
      <x:c r="M11" s="103"/>
      <x:c r="N11" s="103"/>
    </x:row>
    <x:row r="12">
      <x:c r="A12" s="62" t="n">
        <x:v>4</x:v>
      </x:c>
      <x:c r="B12" s="62" t="str">
        <x:v>ARTIFACT VALID</x:v>
      </x:c>
      <x:c r="C12" s="62" t="str">
        <x:v>Root Artifact Court</x:v>
      </x:c>
      <x:c r="D12" s="62" t="str">
        <x:v>PAYMENT ELIGIBLE</x:v>
      </x:c>
      <x:c r="E12" s="85" t="n">
        <x:v>0</x:v>
      </x:c>
      <x:c r="F12" s="85" t="n">
        <x:v>0</x:v>
      </x:c>
      <x:c r="G12" s="85" t="n">
        <x:v>0</x:v>
      </x:c>
      <x:c r="H12" s="103"/>
      <x:c r="I12" s="103"/>
      <x:c r="J12" s="103"/>
      <x:c r="K12" s="103"/>
      <x:c r="L12" s="103"/>
      <x:c r="M12" s="103"/>
      <x:c r="N12" s="103"/>
    </x:row>
    <x:row r="13">
      <x:c r="A13" s="62" t="n">
        <x:v>5</x:v>
      </x:c>
      <x:c r="B13" s="62" t="str">
        <x:v>PAYMENT ELIGIBLE</x:v>
      </x:c>
      <x:c r="C13" s="62" t="str">
        <x:v>Finance Authority</x:v>
      </x:c>
      <x:c r="D13" s="62" t="str">
        <x:v>PAID</x:v>
      </x:c>
      <x:c r="E13" s="85" t="n">
        <x:v>0</x:v>
      </x:c>
      <x:c r="F13" s="85" t="n">
        <x:v>0</x:v>
      </x:c>
      <x:c r="G13" s="85" t="n">
        <x:v>0</x:v>
      </x:c>
      <x:c r="H13" s="103"/>
      <x:c r="I13" s="103"/>
      <x:c r="J13" s="103"/>
      <x:c r="K13" s="103"/>
      <x:c r="L13" s="103"/>
      <x:c r="M13" s="103"/>
      <x:c r="N13" s="103"/>
    </x:row>
    <x:row r="14">
      <x:c r="A14" s="62" t="n">
        <x:v>6</x:v>
      </x:c>
      <x:c r="B14" s="62" t="str">
        <x:v>PAID</x:v>
      </x:c>
      <x:c r="C14" s="62" t="str">
        <x:v>Finance Authority</x:v>
      </x:c>
      <x:c r="D14" s="62" t="str">
        <x:v>No technical successor</x:v>
      </x:c>
      <x:c r="E14" s="85" t="n">
        <x:v>0</x:v>
      </x:c>
      <x:c r="F14" s="85" t="n">
        <x:v>0</x:v>
      </x:c>
      <x:c r="G14" s="85" t="n">
        <x:v>0</x:v>
      </x:c>
      <x:c r="H14" s="103"/>
      <x:c r="I14" s="103"/>
      <x:c r="J14" s="103"/>
      <x:c r="K14" s="103"/>
      <x:c r="L14" s="103"/>
      <x:c r="M14" s="103"/>
      <x:c r="N14" s="103"/>
    </x:row>
    <x:row r="15">
      <x:c r="A15" s="62" t="n">
        <x:v>7</x:v>
      </x:c>
      <x:c r="B15" s="62" t="str">
        <x:v>EVENT AUTHORIZED</x:v>
      </x:c>
      <x:c r="C15" s="62" t="str">
        <x:v>Separate future warrant</x:v>
      </x:c>
      <x:c r="D15" s="62" t="str">
        <x:v>OBSERVED</x:v>
      </x:c>
      <x:c r="E15" s="85" t="n">
        <x:v>0</x:v>
      </x:c>
      <x:c r="F15" s="85" t="n">
        <x:v>0</x:v>
      </x:c>
      <x:c r="G15" s="85" t="n">
        <x:v>1</x:v>
      </x:c>
      <x:c r="H15" s="103"/>
      <x:c r="I15" s="103"/>
      <x:c r="J15" s="103"/>
      <x:c r="K15" s="103"/>
      <x:c r="L15" s="103"/>
      <x:c r="M15" s="103"/>
      <x:c r="N15" s="103"/>
    </x:row>
    <x:row r="16">
      <x:c r="A16" s="62" t="n">
        <x:v>8</x:v>
      </x:c>
      <x:c r="B16" s="62" t="str">
        <x:v>OBSERVED</x:v>
      </x:c>
      <x:c r="C16" s="62" t="str">
        <x:v>Evidence Court</x:v>
      </x:c>
      <x:c r="D16" s="62" t="str">
        <x:v>DOMAIN PASS or FAIL</x:v>
      </x:c>
      <x:c r="E16" s="85" t="n">
        <x:v>1</x:v>
      </x:c>
      <x:c r="F16" s="85" t="n">
        <x:v>0</x:v>
      </x:c>
      <x:c r="G16" s="85" t="n">
        <x:v>0</x:v>
      </x:c>
      <x:c r="H16" s="103"/>
      <x:c r="I16" s="103"/>
      <x:c r="J16" s="103"/>
      <x:c r="K16" s="103"/>
      <x:c r="L16" s="103"/>
      <x:c r="M16" s="103"/>
      <x:c r="N16" s="103"/>
    </x:row>
    <x:row r="17">
      <x:c r="A17" s="62" t="n">
        <x:v>9</x:v>
      </x:c>
      <x:c r="B17" s="62" t="str">
        <x:v>DOMAIN PASS</x:v>
      </x:c>
      <x:c r="C17" s="62" t="str">
        <x:v>Evidence Court</x:v>
      </x:c>
      <x:c r="D17" s="62" t="str">
        <x:v>SURVIVOR only after six domains</x:v>
      </x:c>
      <x:c r="E17" s="85" t="n">
        <x:v>1</x:v>
      </x:c>
      <x:c r="F17" s="85" t="n">
        <x:v>0</x:v>
      </x:c>
      <x:c r="G17" s="85" t="n">
        <x:v>0</x:v>
      </x:c>
      <x:c r="H17" s="103"/>
      <x:c r="I17" s="103"/>
      <x:c r="J17" s="103"/>
      <x:c r="K17" s="103"/>
      <x:c r="L17" s="103"/>
      <x:c r="M17" s="103"/>
      <x:c r="N17" s="103"/>
    </x:row>
    <x:row r="18">
      <x:c r="A18" s="62" t="n">
        <x:v>10</x:v>
      </x:c>
      <x:c r="B18" s="62" t="str">
        <x:v>SURVIVOR</x:v>
      </x:c>
      <x:c r="C18" s="62" t="str">
        <x:v>Evidence Court</x:v>
      </x:c>
      <x:c r="D18" s="62" t="str">
        <x:v>SELECTED only by Selection Court</x:v>
      </x:c>
      <x:c r="E18" s="85" t="n">
        <x:v>1</x:v>
      </x:c>
      <x:c r="F18" s="85" t="n">
        <x:v>0</x:v>
      </x:c>
      <x:c r="G18" s="85" t="n">
        <x:v>0</x:v>
      </x:c>
      <x:c r="H18" s="103"/>
      <x:c r="I18" s="103"/>
      <x:c r="J18" s="103"/>
      <x:c r="K18" s="103"/>
      <x:c r="L18" s="103"/>
      <x:c r="M18" s="103"/>
      <x:c r="N18" s="103"/>
    </x:row>
    <x:row r="19">
      <x:c r="A19" s="62" t="n">
        <x:v>11</x:v>
      </x:c>
      <x:c r="B19" s="62" t="str">
        <x:v>SELECTED</x:v>
      </x:c>
      <x:c r="C19" s="62" t="str">
        <x:v>Selection Court</x:v>
      </x:c>
      <x:c r="D19" s="62" t="str">
        <x:v>MAKE by separate warrant</x:v>
      </x:c>
      <x:c r="E19" s="85" t="n">
        <x:v>1</x:v>
      </x:c>
      <x:c r="F19" s="85" t="n">
        <x:v>1</x:v>
      </x:c>
      <x:c r="G19" s="85" t="n">
        <x:v>0</x:v>
      </x:c>
      <x:c r="H19" s="103"/>
      <x:c r="I19" s="103"/>
      <x:c r="J19" s="103"/>
      <x:c r="K19" s="103"/>
      <x:c r="L19" s="103"/>
      <x:c r="M19" s="103"/>
      <x:c r="N19" s="103"/>
    </x:row>
    <x:row r="20">
      <x:c r="A20" s="62" t="n">
        <x:v>12</x:v>
      </x:c>
      <x:c r="B20" s="62" t="str">
        <x:v>AS-BUILT MEASURED</x:v>
      </x:c>
      <x:c r="C20" s="62" t="str">
        <x:v>REP-4 Registrar</x:v>
      </x:c>
      <x:c r="D20" s="62" t="str">
        <x:v>REP-4</x:v>
      </x:c>
      <x:c r="E20" s="85" t="n">
        <x:v>1</x:v>
      </x:c>
      <x:c r="F20" s="85" t="n">
        <x:v>0</x:v>
      </x:c>
      <x:c r="G20" s="85" t="n">
        <x:v>1</x:v>
      </x:c>
      <x:c r="H20" s="103"/>
      <x:c r="I20" s="103"/>
      <x:c r="J20" s="103"/>
      <x:c r="K20" s="103"/>
      <x:c r="L20" s="103"/>
      <x:c r="M20" s="103"/>
      <x:c r="N20" s="103"/>
    </x:row>
    <x:row r="21">
      <x:c r="A21" s="103"/>
      <x:c r="B21" s="103"/>
      <x:c r="C21" s="103"/>
      <x:c r="D21" s="103"/>
      <x:c r="E21" s="103"/>
      <x:c r="F21" s="103"/>
      <x:c r="G21" s="103"/>
      <x:c r="H21" s="103"/>
      <x:c r="I21" s="103"/>
      <x:c r="J21" s="103"/>
      <x:c r="K21" s="103"/>
      <x:c r="L21" s="103"/>
      <x:c r="M21" s="103"/>
      <x:c r="N21" s="103"/>
    </x:row>
    <x:row r="22">
      <x:c r="A22" s="103"/>
      <x:c r="B22" s="103"/>
      <x:c r="C22" s="103"/>
      <x:c r="D22" s="103"/>
      <x:c r="E22" s="103"/>
      <x:c r="F22" s="103"/>
      <x:c r="G22" s="103"/>
      <x:c r="H22" s="103"/>
      <x:c r="I22" s="103"/>
      <x:c r="J22" s="103"/>
      <x:c r="K22" s="103"/>
      <x:c r="L22" s="103"/>
      <x:c r="M22" s="103"/>
      <x:c r="N22" s="103"/>
    </x:row>
    <x:row r="23">
      <x:c r="A23" s="103"/>
      <x:c r="B23" s="103"/>
      <x:c r="C23" s="103"/>
      <x:c r="D23" s="103"/>
      <x:c r="E23" s="103"/>
      <x:c r="F23" s="103"/>
      <x:c r="G23" s="103"/>
      <x:c r="H23" s="103"/>
      <x:c r="I23" s="103"/>
      <x:c r="J23" s="103"/>
      <x:c r="K23" s="103"/>
      <x:c r="L23" s="103"/>
      <x:c r="M23" s="103"/>
      <x:c r="N23" s="103"/>
    </x:row>
    <x:row r="24">
      <x:c r="A24" s="10" t="str">
        <x:v>Nonconversions</x:v>
      </x:c>
      <x:c r="B24" s="11" t="str">
        <x:v>Nonconversions</x:v>
      </x:c>
      <x:c r="C24" s="11" t="str">
        <x:v>Nonconversions</x:v>
      </x:c>
      <x:c r="D24" s="11" t="str">
        <x:v>Nonconversions</x:v>
      </x:c>
      <x:c r="E24" s="12" t="str">
        <x:v>Nonconversions</x:v>
      </x:c>
      <x:c r="F24" s="103"/>
      <x:c r="G24" s="103"/>
      <x:c r="H24" s="103"/>
      <x:c r="I24" s="103"/>
      <x:c r="J24" s="103"/>
      <x:c r="K24" s="103"/>
      <x:c r="L24" s="103"/>
      <x:c r="M24" s="103"/>
      <x:c r="N24" s="103"/>
    </x:row>
    <x:row r="25">
      <x:c r="A25" s="103"/>
      <x:c r="B25" s="103"/>
      <x:c r="C25" s="103"/>
      <x:c r="D25" s="103"/>
      <x:c r="E25" s="103"/>
      <x:c r="F25" s="103"/>
      <x:c r="G25" s="103"/>
      <x:c r="H25" s="103"/>
      <x:c r="I25" s="103"/>
      <x:c r="J25" s="103"/>
      <x:c r="K25" s="103"/>
      <x:c r="L25" s="103"/>
      <x:c r="M25" s="103"/>
      <x:c r="N25" s="103"/>
    </x:row>
    <x:row r="26">
      <x:c r="A26" s="31" t="str">
        <x:v>Rule</x:v>
      </x:c>
      <x:c r="B26" s="32" t="str">
        <x:v>Source state</x:v>
      </x:c>
      <x:c r="C26" s="32" t="str">
        <x:v>Prohibited conversion</x:v>
      </x:c>
      <x:c r="D26" s="32" t="str">
        <x:v>Required intervening authority</x:v>
      </x:c>
      <x:c r="E26" s="33" t="str">
        <x:v>Rollback</x:v>
      </x:c>
      <x:c r="F26" s="103"/>
      <x:c r="G26" s="103"/>
      <x:c r="H26" s="103"/>
      <x:c r="I26" s="103"/>
      <x:c r="J26" s="103"/>
      <x:c r="K26" s="103"/>
      <x:c r="L26" s="103"/>
      <x:c r="M26" s="103"/>
      <x:c r="N26" s="103"/>
    </x:row>
    <x:row r="27">
      <x:c r="A27" s="62" t="str">
        <x:v>N01</x:v>
      </x:c>
      <x:c r="B27" s="62" t="str">
        <x:v>Obligation</x:v>
      </x:c>
      <x:c r="C27" s="62" t="str">
        <x:v>Artifact validity</x:v>
      </x:c>
      <x:c r="D27" s="62" t="str">
        <x:v>Root Artifact Court</x:v>
      </x:c>
      <x:c r="E27" s="62" t="str">
        <x:v>Hold package</x:v>
      </x:c>
      <x:c r="F27" s="103"/>
      <x:c r="G27" s="103"/>
      <x:c r="H27" s="103"/>
      <x:c r="I27" s="103"/>
      <x:c r="J27" s="103"/>
      <x:c r="K27" s="103"/>
      <x:c r="L27" s="103"/>
      <x:c r="M27" s="103"/>
      <x:c r="N27" s="103"/>
    </x:row>
    <x:row r="28">
      <x:c r="A28" s="62" t="str">
        <x:v>N02</x:v>
      </x:c>
      <x:c r="B28" s="62" t="str">
        <x:v>Active work</x:v>
      </x:c>
      <x:c r="C28" s="62" t="str">
        <x:v>Artifact validity</x:v>
      </x:c>
      <x:c r="D28" s="62" t="str">
        <x:v>Root Artifact Court</x:v>
      </x:c>
      <x:c r="E28" s="62" t="str">
        <x:v>Rework</x:v>
      </x:c>
      <x:c r="F28" s="103"/>
      <x:c r="G28" s="103"/>
      <x:c r="H28" s="103"/>
      <x:c r="I28" s="103"/>
      <x:c r="J28" s="103"/>
      <x:c r="K28" s="103"/>
      <x:c r="L28" s="103"/>
      <x:c r="M28" s="103"/>
      <x:c r="N28" s="103"/>
    </x:row>
    <x:row r="29">
      <x:c r="A29" s="62" t="str">
        <x:v>N03</x:v>
      </x:c>
      <x:c r="B29" s="62" t="str">
        <x:v>Submission</x:v>
      </x:c>
      <x:c r="C29" s="62" t="str">
        <x:v>Payment</x:v>
      </x:c>
      <x:c r="D29" s="62" t="str">
        <x:v>Finance warrant after validity</x:v>
      </x:c>
      <x:c r="E29" s="62" t="str">
        <x:v>Reject claim</x:v>
      </x:c>
      <x:c r="F29" s="103"/>
      <x:c r="G29" s="103"/>
      <x:c r="H29" s="103"/>
      <x:c r="I29" s="103"/>
      <x:c r="J29" s="103"/>
      <x:c r="K29" s="103"/>
      <x:c r="L29" s="103"/>
      <x:c r="M29" s="103"/>
      <x:c r="N29" s="103"/>
    </x:row>
    <x:row r="30">
      <x:c r="A30" s="62" t="str">
        <x:v>N04</x:v>
      </x:c>
      <x:c r="B30" s="62" t="str">
        <x:v>Artifact validity</x:v>
      </x:c>
      <x:c r="C30" s="62" t="str">
        <x:v>Observation</x:v>
      </x:c>
      <x:c r="D30" s="62" t="str">
        <x:v>Authorized physical event</x:v>
      </x:c>
      <x:c r="E30" s="62" t="str">
        <x:v>Quarantine</x:v>
      </x:c>
      <x:c r="F30" s="103"/>
      <x:c r="G30" s="103"/>
      <x:c r="H30" s="103"/>
      <x:c r="I30" s="103"/>
      <x:c r="J30" s="103"/>
      <x:c r="K30" s="103"/>
      <x:c r="L30" s="103"/>
      <x:c r="M30" s="103"/>
      <x:c r="N30" s="103"/>
    </x:row>
    <x:row r="31">
      <x:c r="A31" s="62" t="str">
        <x:v>N05</x:v>
      </x:c>
      <x:c r="B31" s="62" t="str">
        <x:v>Artifact validity</x:v>
      </x:c>
      <x:c r="C31" s="62" t="str">
        <x:v>REP-4</x:v>
      </x:c>
      <x:c r="D31" s="62" t="str">
        <x:v>As-built measurement</x:v>
      </x:c>
      <x:c r="E31" s="62" t="str">
        <x:v>Withdraw record</x:v>
      </x:c>
      <x:c r="F31" s="103"/>
      <x:c r="G31" s="103"/>
      <x:c r="H31" s="103"/>
      <x:c r="I31" s="103"/>
      <x:c r="J31" s="103"/>
      <x:c r="K31" s="103"/>
      <x:c r="L31" s="103"/>
      <x:c r="M31" s="103"/>
      <x:c r="N31" s="103"/>
    </x:row>
    <x:row r="32">
      <x:c r="A32" s="62" t="str">
        <x:v>N06</x:v>
      </x:c>
      <x:c r="B32" s="62" t="str">
        <x:v>Payment</x:v>
      </x:c>
      <x:c r="C32" s="62" t="str">
        <x:v>Observation</x:v>
      </x:c>
      <x:c r="D32" s="62" t="str">
        <x:v>Evidence Court</x:v>
      </x:c>
      <x:c r="E32" s="62" t="str">
        <x:v>Quarantine</x:v>
      </x:c>
      <x:c r="F32" s="103"/>
      <x:c r="G32" s="103"/>
      <x:c r="H32" s="103"/>
      <x:c r="I32" s="103"/>
      <x:c r="J32" s="103"/>
      <x:c r="K32" s="103"/>
      <x:c r="L32" s="103"/>
      <x:c r="M32" s="103"/>
      <x:c r="N32" s="103"/>
    </x:row>
    <x:row r="33">
      <x:c r="A33" s="62" t="str">
        <x:v>N07</x:v>
      </x:c>
      <x:c r="B33" s="62" t="str">
        <x:v>Payment</x:v>
      </x:c>
      <x:c r="C33" s="62" t="str">
        <x:v>Survival</x:v>
      </x:c>
      <x:c r="D33" s="62" t="str">
        <x:v>Six accepted domains</x:v>
      </x:c>
      <x:c r="E33" s="62" t="str">
        <x:v>Reset credit</x:v>
      </x:c>
      <x:c r="F33" s="103"/>
      <x:c r="G33" s="103"/>
      <x:c r="H33" s="103"/>
      <x:c r="I33" s="103"/>
      <x:c r="J33" s="103"/>
      <x:c r="K33" s="103"/>
      <x:c r="L33" s="103"/>
      <x:c r="M33" s="103"/>
      <x:c r="N33" s="103"/>
    </x:row>
    <x:row r="34">
      <x:c r="A34" s="62" t="str">
        <x:v>N08</x:v>
      </x:c>
      <x:c r="B34" s="62" t="str">
        <x:v>Lower cost</x:v>
      </x:c>
      <x:c r="C34" s="62" t="str">
        <x:v>Selection</x:v>
      </x:c>
      <x:c r="D34" s="62" t="str">
        <x:v>Selection Court and evidence</x:v>
      </x:c>
      <x:c r="E34" s="62" t="str">
        <x:v>Seal cost</x:v>
      </x:c>
      <x:c r="F34" s="103"/>
      <x:c r="G34" s="103"/>
      <x:c r="H34" s="103"/>
      <x:c r="I34" s="103"/>
      <x:c r="J34" s="103"/>
      <x:c r="K34" s="103"/>
      <x:c r="L34" s="103"/>
      <x:c r="M34" s="103"/>
      <x:c r="N34" s="103"/>
    </x:row>
    <x:row r="35">
      <x:c r="A35" s="62" t="str">
        <x:v>N09</x:v>
      </x:c>
      <x:c r="B35" s="62" t="str">
        <x:v>Schedule completion</x:v>
      </x:c>
      <x:c r="C35" s="62" t="str">
        <x:v>Selection</x:v>
      </x:c>
      <x:c r="D35" s="62" t="str">
        <x:v>Comparable root evidence</x:v>
      </x:c>
      <x:c r="E35" s="62" t="str">
        <x:v>Seal schedule</x:v>
      </x:c>
      <x:c r="F35" s="103"/>
      <x:c r="G35" s="103"/>
      <x:c r="H35" s="103"/>
      <x:c r="I35" s="103"/>
      <x:c r="J35" s="103"/>
      <x:c r="K35" s="103"/>
      <x:c r="L35" s="103"/>
      <x:c r="M35" s="103"/>
      <x:c r="N35" s="103"/>
    </x:row>
    <x:row r="36">
      <x:c r="A36" s="62" t="str">
        <x:v>N10</x:v>
      </x:c>
      <x:c r="B36" s="62" t="str">
        <x:v>Independent replay</x:v>
      </x:c>
      <x:c r="C36" s="62" t="str">
        <x:v>Performance proof</x:v>
      </x:c>
      <x:c r="D36" s="62" t="str">
        <x:v>Destructive event</x:v>
      </x:c>
      <x:c r="E36" s="62" t="str">
        <x:v>Label design-only</x:v>
      </x:c>
      <x:c r="F36" s="103"/>
      <x:c r="G36" s="103"/>
      <x:c r="H36" s="103"/>
      <x:c r="I36" s="103"/>
      <x:c r="J36" s="103"/>
      <x:c r="K36" s="103"/>
      <x:c r="L36" s="103"/>
      <x:c r="M36" s="103"/>
      <x:c r="N36" s="103"/>
    </x:row>
    <x:row r="37">
      <x:c r="A37" s="62" t="str">
        <x:v>N11</x:v>
      </x:c>
      <x:c r="B37" s="62" t="str">
        <x:v>Source hash</x:v>
      </x:c>
      <x:c r="C37" s="62" t="str">
        <x:v>Semantic validity</x:v>
      </x:c>
      <x:c r="D37" s="62" t="str">
        <x:v>Independent replay and challenge</x:v>
      </x:c>
      <x:c r="E37" s="62" t="str">
        <x:v>Rework</x:v>
      </x:c>
      <x:c r="F37" s="103"/>
      <x:c r="G37" s="103"/>
      <x:c r="H37" s="103"/>
      <x:c r="I37" s="103"/>
      <x:c r="J37" s="103"/>
      <x:c r="K37" s="103"/>
      <x:c r="L37" s="103"/>
      <x:c r="M37" s="103"/>
      <x:c r="N37" s="103"/>
    </x:row>
    <x:row r="38">
      <x:c r="A38" s="62" t="str">
        <x:v>N12</x:v>
      </x:c>
      <x:c r="B38" s="62" t="str">
        <x:v>Safety burden</x:v>
      </x:c>
      <x:c r="C38" s="62" t="str">
        <x:v>Sibling performance</x:v>
      </x:c>
      <x:c r="D38" s="62" t="str">
        <x:v>Raw Performance Custodian</x:v>
      </x:c>
      <x:c r="E38" s="62" t="str">
        <x:v>Hold root</x:v>
      </x:c>
      <x:c r="F38" s="103"/>
      <x:c r="G38" s="103"/>
      <x:c r="H38" s="103"/>
      <x:c r="I38" s="103"/>
      <x:c r="J38" s="103"/>
      <x:c r="K38" s="103"/>
      <x:c r="L38" s="103"/>
      <x:c r="M38" s="103"/>
      <x:c r="N38" s="103"/>
    </x:row>
    <x:row r="39">
      <x:c r="A39" s="62" t="str">
        <x:v>N13</x:v>
      </x:c>
      <x:c r="B39" s="62" t="str">
        <x:v>Accepted design</x:v>
      </x:c>
      <x:c r="C39" s="62" t="str">
        <x:v>MAKE</x:v>
      </x:c>
      <x:c r="D39" s="62" t="str">
        <x:v>Construction warrant</x:v>
      </x:c>
      <x:c r="E39" s="62" t="str">
        <x:v>Stop</x:v>
      </x:c>
      <x:c r="F39" s="103"/>
      <x:c r="G39" s="103"/>
      <x:c r="H39" s="103"/>
      <x:c r="I39" s="103"/>
      <x:c r="J39" s="103"/>
      <x:c r="K39" s="103"/>
      <x:c r="L39" s="103"/>
      <x:c r="M39" s="103"/>
      <x:c r="N39" s="103"/>
    </x:row>
    <x:row r="40">
      <x:c r="A40" s="62" t="str">
        <x:v>N14</x:v>
      </x:c>
      <x:c r="B40" s="62" t="str">
        <x:v>Selected form</x:v>
      </x:c>
      <x:c r="C40" s="62" t="str">
        <x:v>Capability</x:v>
      </x:c>
      <x:c r="D40" s="62" t="str">
        <x:v>Mission proof</x:v>
      </x:c>
      <x:c r="E40" s="62" t="str">
        <x:v>Hold claim</x:v>
      </x:c>
      <x:c r="F40" s="103"/>
      <x:c r="G40" s="103"/>
      <x:c r="H40" s="103"/>
      <x:c r="I40" s="103"/>
      <x:c r="J40" s="103"/>
      <x:c r="K40" s="103"/>
      <x:c r="L40" s="103"/>
      <x:c r="M40" s="103"/>
      <x:c r="N40" s="103"/>
    </x:row>
    <x:row r="41">
      <x:c r="A41" s="62" t="str">
        <x:v>N15</x:v>
      </x:c>
      <x:c r="B41" s="62" t="str">
        <x:v>Capability</x:v>
      </x:c>
      <x:c r="C41" s="62" t="str">
        <x:v>Production</x:v>
      </x:c>
      <x:c r="D41" s="62" t="str">
        <x:v>Production warrant</x:v>
      </x:c>
      <x:c r="E41" s="62" t="str">
        <x:v>Hold serial</x:v>
      </x:c>
      <x:c r="F41" s="103"/>
      <x:c r="G41" s="103"/>
      <x:c r="H41" s="103"/>
      <x:c r="I41" s="103"/>
      <x:c r="J41" s="103"/>
      <x:c r="K41" s="103"/>
      <x:c r="L41" s="103"/>
      <x:c r="M41" s="103"/>
      <x:c r="N41" s="103"/>
    </x:row>
  </x:sheetData>
  <x:mergeCells>
    <x:mergeCell ref="A2:N2"/>
    <x:mergeCell ref="A4:N4"/>
    <x:mergeCell ref="A6:G6"/>
    <x:mergeCell ref="A24:E2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31" hidden="0" customWidth="1"/>
    <x:col min="2" max="2" width="20" hidden="0" customWidth="1"/>
    <x:col min="3" max="3" width="20" hidden="0" customWidth="1"/>
    <x:col min="4" max="4" width="20" hidden="0" customWidth="1"/>
    <x:col min="5" max="5" width="18" hidden="0" customWidth="1"/>
    <x:col min="6" max="6" width="20" hidden="0" customWidth="1"/>
    <x:col min="7" max="7" width="20" hidden="0" customWidth="1"/>
  </x:cols>
  <x:sheetData>
    <x:row r="2">
      <x:c r="A2" s="2" t="str">
        <x:v>Controlled mutation register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  <x:c r="N2" s="103"/>
    </x:row>
    <x:row r="3">
      <x:c r="A3" s="104"/>
      <x:c r="B3" s="104"/>
      <x:c r="C3" s="104"/>
      <x:c r="D3" s="104"/>
      <x:c r="E3" s="104"/>
      <x:c r="F3" s="104"/>
      <x:c r="G3" s="104"/>
      <x:c r="H3" s="104"/>
      <x:c r="I3" s="104"/>
      <x:c r="J3" s="104"/>
      <x:c r="K3" s="104"/>
      <x:c r="L3" s="104"/>
      <x:c r="M3" s="104"/>
      <x:c r="N3" s="104"/>
    </x:row>
    <x:row r="4">
      <x:c r="A4" s="105" t="str">
        <x:v>Each corruption was applied to the live workbook, detected by a named audit and restored before export.</x:v>
      </x:c>
      <x:c r="B4" s="103"/>
      <x:c r="C4" s="103"/>
      <x:c r="D4" s="103"/>
      <x:c r="E4" s="103"/>
      <x:c r="F4" s="103"/>
      <x:c r="G4" s="103"/>
      <x:c r="H4" s="103"/>
      <x:c r="I4" s="103"/>
      <x:c r="J4" s="103"/>
      <x:c r="K4" s="103"/>
      <x:c r="L4" s="103"/>
      <x:c r="M4" s="103"/>
      <x:c r="N4" s="103"/>
    </x:row>
    <x:row r="5">
      <x:c r="A5" s="103"/>
      <x:c r="B5" s="103"/>
      <x:c r="C5" s="103"/>
      <x:c r="D5" s="103"/>
      <x:c r="E5" s="103"/>
      <x:c r="F5" s="103"/>
      <x:c r="G5" s="103"/>
      <x:c r="H5" s="103"/>
      <x:c r="I5" s="103"/>
      <x:c r="J5" s="103"/>
      <x:c r="K5" s="103"/>
      <x:c r="L5" s="103"/>
      <x:c r="M5" s="103"/>
      <x:c r="N5" s="103"/>
    </x:row>
    <x:row r="6">
      <x:c r="A6" s="31" t="str">
        <x:v>Mutation</x:v>
      </x:c>
      <x:c r="B6" s="32" t="str">
        <x:v>Target</x:v>
      </x:c>
      <x:c r="C6" s="32" t="str">
        <x:v>Baseline</x:v>
      </x:c>
      <x:c r="D6" s="32" t="str">
        <x:v>Mutated</x:v>
      </x:c>
      <x:c r="E6" s="32" t="str">
        <x:v>Expected audit</x:v>
      </x:c>
      <x:c r="F6" s="32" t="str">
        <x:v>Detected</x:v>
      </x:c>
      <x:c r="G6" s="33" t="str">
        <x:v>Restored</x:v>
      </x:c>
      <x:c r="H6" s="103"/>
      <x:c r="I6" s="103"/>
      <x:c r="J6" s="103"/>
      <x:c r="K6" s="103"/>
      <x:c r="L6" s="103"/>
      <x:c r="M6" s="103"/>
      <x:c r="N6" s="103"/>
    </x:row>
    <x:row r="7">
      <x:c r="A7" s="62" t="str">
        <x:v>M01 Production share erosion</x:v>
      </x:c>
      <x:c r="B7" s="62" t="str">
        <x:v>Inputs!B7</x:v>
      </x:c>
      <x:c r="C7" s="62" t="n">
        <x:v>0.72</x:v>
      </x:c>
      <x:c r="D7" s="62" t="n">
        <x:v>0.71</x:v>
      </x:c>
      <x:c r="E7" s="62" t="str">
        <x:v>A09</x:v>
      </x:c>
      <x:c r="F7" s="62" t="str">
        <x:v>YES</x:v>
      </x:c>
      <x:c r="G7" s="62" t="str">
        <x:v>YES</x:v>
      </x:c>
      <x:c r="H7" s="103"/>
      <x:c r="I7" s="103"/>
      <x:c r="J7" s="103"/>
      <x:c r="K7" s="103"/>
      <x:c r="L7" s="103"/>
      <x:c r="M7" s="103"/>
      <x:c r="N7" s="103"/>
    </x:row>
    <x:row r="8">
      <x:c r="A8" s="62" t="str">
        <x:v>M02 Replay share erosion</x:v>
      </x:c>
      <x:c r="B8" s="62" t="str">
        <x:v>Inputs!B8</x:v>
      </x:c>
      <x:c r="C8" s="62" t="n">
        <x:v>0.15</x:v>
      </x:c>
      <x:c r="D8" s="62" t="n">
        <x:v>0.14</x:v>
      </x:c>
      <x:c r="E8" s="62" t="str">
        <x:v>A09</x:v>
      </x:c>
      <x:c r="F8" s="62" t="str">
        <x:v>YES</x:v>
      </x:c>
      <x:c r="G8" s="62" t="str">
        <x:v>YES</x:v>
      </x:c>
      <x:c r="H8" s="103"/>
      <x:c r="I8" s="103"/>
      <x:c r="J8" s="103"/>
      <x:c r="K8" s="103"/>
      <x:c r="L8" s="103"/>
      <x:c r="M8" s="103"/>
      <x:c r="N8" s="103"/>
    </x:row>
    <x:row r="9">
      <x:c r="A9" s="62" t="str">
        <x:v>M03 Escrow share erosion</x:v>
      </x:c>
      <x:c r="B9" s="62" t="str">
        <x:v>Inputs!B9</x:v>
      </x:c>
      <x:c r="C9" s="62" t="n">
        <x:v>0.08</x:v>
      </x:c>
      <x:c r="D9" s="62" t="n">
        <x:v>0.07</x:v>
      </x:c>
      <x:c r="E9" s="62" t="str">
        <x:v>A09</x:v>
      </x:c>
      <x:c r="F9" s="62" t="str">
        <x:v>YES</x:v>
      </x:c>
      <x:c r="G9" s="62" t="str">
        <x:v>YES</x:v>
      </x:c>
      <x:c r="H9" s="103"/>
      <x:c r="I9" s="103"/>
      <x:c r="J9" s="103"/>
      <x:c r="K9" s="103"/>
      <x:c r="L9" s="103"/>
      <x:c r="M9" s="103"/>
      <x:c r="N9" s="103"/>
    </x:row>
    <x:row r="10">
      <x:c r="A10" s="62" t="str">
        <x:v>M04 Holdback share erosion</x:v>
      </x:c>
      <x:c r="B10" s="62" t="str">
        <x:v>Inputs!B10</x:v>
      </x:c>
      <x:c r="C10" s="62" t="n">
        <x:v>0.05</x:v>
      </x:c>
      <x:c r="D10" s="62" t="n">
        <x:v>0.04</x:v>
      </x:c>
      <x:c r="E10" s="62" t="str">
        <x:v>A09</x:v>
      </x:c>
      <x:c r="F10" s="62" t="str">
        <x:v>YES</x:v>
      </x:c>
      <x:c r="G10" s="62" t="str">
        <x:v>YES</x:v>
      </x:c>
      <x:c r="H10" s="103"/>
      <x:c r="I10" s="103"/>
      <x:c r="J10" s="103"/>
      <x:c r="K10" s="103"/>
      <x:c r="L10" s="103"/>
      <x:c r="M10" s="103"/>
      <x:c r="N10" s="103"/>
    </x:row>
    <x:row r="11">
      <x:c r="A11" s="62" t="str">
        <x:v>M05 Sibling reserve raid</x:v>
      </x:c>
      <x:c r="B11" s="62" t="str">
        <x:v>Inputs!B17</x:v>
      </x:c>
      <x:c r="C11" s="62" t="n">
        <x:v>358.7333333333</x:v>
      </x:c>
      <x:c r="D11" s="62" t="n">
        <x:v>300</x:v>
      </x:c>
      <x:c r="E11" s="62" t="str">
        <x:v>A08</x:v>
      </x:c>
      <x:c r="F11" s="62" t="str">
        <x:v>YES</x:v>
      </x:c>
      <x:c r="G11" s="62" t="str">
        <x:v>YES</x:v>
      </x:c>
      <x:c r="H11" s="103"/>
      <x:c r="I11" s="103"/>
      <x:c r="J11" s="103"/>
      <x:c r="K11" s="103"/>
      <x:c r="L11" s="103"/>
      <x:c r="M11" s="103"/>
      <x:c r="N11" s="103"/>
    </x:row>
    <x:row r="12">
      <x:c r="A12" s="62" t="str">
        <x:v>M06 Performance leakage</x:v>
      </x:c>
      <x:c r="B12" s="62" t="str">
        <x:v>Inputs!B18</x:v>
      </x:c>
      <x:c r="C12" s="62" t="n">
        <x:v>0</x:v>
      </x:c>
      <x:c r="D12" s="62" t="n">
        <x:v>1</x:v>
      </x:c>
      <x:c r="E12" s="62" t="str">
        <x:v>A26</x:v>
      </x:c>
      <x:c r="F12" s="62" t="str">
        <x:v>YES</x:v>
      </x:c>
      <x:c r="G12" s="62" t="str">
        <x:v>YES</x:v>
      </x:c>
      <x:c r="H12" s="103"/>
      <x:c r="I12" s="103"/>
      <x:c r="J12" s="103"/>
      <x:c r="K12" s="103"/>
      <x:c r="L12" s="103"/>
      <x:c r="M12" s="103"/>
      <x:c r="N12" s="103"/>
    </x:row>
    <x:row r="13">
      <x:c r="A13" s="62" t="str">
        <x:v>M07 Common control</x:v>
      </x:c>
      <x:c r="B13" s="62" t="str">
        <x:v>Inputs!B19</x:v>
      </x:c>
      <x:c r="C13" s="62" t="n">
        <x:v>0</x:v>
      </x:c>
      <x:c r="D13" s="62" t="n">
        <x:v>1</x:v>
      </x:c>
      <x:c r="E13" s="62" t="str">
        <x:v>A27</x:v>
      </x:c>
      <x:c r="F13" s="62" t="str">
        <x:v>YES</x:v>
      </x:c>
      <x:c r="G13" s="62" t="str">
        <x:v>YES</x:v>
      </x:c>
      <x:c r="H13" s="103"/>
      <x:c r="I13" s="103"/>
      <x:c r="J13" s="103"/>
      <x:c r="K13" s="103"/>
      <x:c r="L13" s="103"/>
      <x:c r="M13" s="103"/>
      <x:c r="N13" s="103"/>
    </x:row>
    <x:row r="14">
      <x:c r="A14" s="62" t="str">
        <x:v>M08 Accepted observation</x:v>
      </x:c>
      <x:c r="B14" s="62" t="str">
        <x:v>Inputs!B13</x:v>
      </x:c>
      <x:c r="C14" s="62" t="n">
        <x:v>0</x:v>
      </x:c>
      <x:c r="D14" s="62" t="n">
        <x:v>1</x:v>
      </x:c>
      <x:c r="E14" s="62" t="str">
        <x:v>A22</x:v>
      </x:c>
      <x:c r="F14" s="62" t="str">
        <x:v>YES</x:v>
      </x:c>
      <x:c r="G14" s="62" t="str">
        <x:v>YES</x:v>
      </x:c>
      <x:c r="H14" s="103"/>
      <x:c r="I14" s="103"/>
      <x:c r="J14" s="103"/>
      <x:c r="K14" s="103"/>
      <x:c r="L14" s="103"/>
      <x:c r="M14" s="103"/>
      <x:c r="N14" s="103"/>
    </x:row>
    <x:row r="15">
      <x:c r="A15" s="62" t="str">
        <x:v>M09 Premature selection</x:v>
      </x:c>
      <x:c r="B15" s="62" t="str">
        <x:v>Inputs!B14</x:v>
      </x:c>
      <x:c r="C15" s="62" t="n">
        <x:v>0</x:v>
      </x:c>
      <x:c r="D15" s="62" t="n">
        <x:v>1</x:v>
      </x:c>
      <x:c r="E15" s="62" t="str">
        <x:v>A23</x:v>
      </x:c>
      <x:c r="F15" s="62" t="str">
        <x:v>YES</x:v>
      </x:c>
      <x:c r="G15" s="62" t="str">
        <x:v>YES</x:v>
      </x:c>
      <x:c r="H15" s="103"/>
      <x:c r="I15" s="103"/>
      <x:c r="J15" s="103"/>
      <x:c r="K15" s="103"/>
      <x:c r="L15" s="103"/>
      <x:c r="M15" s="103"/>
      <x:c r="N15" s="103"/>
    </x:row>
    <x:row r="16">
      <x:c r="A16" s="62" t="str">
        <x:v>M10 Premature MAKE</x:v>
      </x:c>
      <x:c r="B16" s="62" t="str">
        <x:v>Inputs!B15</x:v>
      </x:c>
      <x:c r="C16" s="62" t="n">
        <x:v>0</x:v>
      </x:c>
      <x:c r="D16" s="62" t="n">
        <x:v>1</x:v>
      </x:c>
      <x:c r="E16" s="62" t="str">
        <x:v>A24</x:v>
      </x:c>
      <x:c r="F16" s="62" t="str">
        <x:v>YES</x:v>
      </x:c>
      <x:c r="G16" s="62" t="str">
        <x:v>YES</x:v>
      </x:c>
      <x:c r="H16" s="103"/>
      <x:c r="I16" s="103"/>
      <x:c r="J16" s="103"/>
      <x:c r="K16" s="103"/>
      <x:c r="L16" s="103"/>
      <x:c r="M16" s="103"/>
      <x:c r="N16" s="103"/>
    </x:row>
    <x:row r="17">
      <x:c r="A17" s="62" t="str">
        <x:v>M11 Premature REP-4</x:v>
      </x:c>
      <x:c r="B17" s="62" t="str">
        <x:v>Inputs!B16</x:v>
      </x:c>
      <x:c r="C17" s="62" t="n">
        <x:v>0</x:v>
      </x:c>
      <x:c r="D17" s="62" t="n">
        <x:v>1</x:v>
      </x:c>
      <x:c r="E17" s="62" t="str">
        <x:v>A25</x:v>
      </x:c>
      <x:c r="F17" s="62" t="str">
        <x:v>YES</x:v>
      </x:c>
      <x:c r="G17" s="62" t="str">
        <x:v>YES</x:v>
      </x:c>
      <x:c r="H17" s="103"/>
      <x:c r="I17" s="103"/>
      <x:c r="J17" s="103"/>
      <x:c r="K17" s="103"/>
      <x:c r="L17" s="103"/>
      <x:c r="M17" s="103"/>
      <x:c r="N17" s="103"/>
    </x:row>
    <x:row r="18">
      <x:c r="A18" s="62" t="str">
        <x:v>M12 Wrong architecture</x:v>
      </x:c>
      <x:c r="B18" s="62" t="str">
        <x:v>Inputs!B21</x:v>
      </x:c>
      <x:c r="C18" s="62" t="str">
        <x:v>C3</x:v>
      </x:c>
      <x:c r="D18" s="62" t="str">
        <x:v>C1</x:v>
      </x:c>
      <x:c r="E18" s="62" t="str">
        <x:v>A31</x:v>
      </x:c>
      <x:c r="F18" s="62" t="str">
        <x:v>YES</x:v>
      </x:c>
      <x:c r="G18" s="62" t="str">
        <x:v>YES</x:v>
      </x:c>
      <x:c r="H18" s="103"/>
      <x:c r="I18" s="103"/>
      <x:c r="J18" s="103"/>
      <x:c r="K18" s="103"/>
      <x:c r="L18" s="103"/>
      <x:c r="M18" s="103"/>
      <x:c r="N18" s="103"/>
    </x:row>
    <x:row r="19">
      <x:c r="A19" s="62" t="str">
        <x:v>M13 False gate pass</x:v>
      </x:c>
      <x:c r="B19" s="62" t="str">
        <x:v>Validity Gates!F7</x:v>
      </x:c>
      <x:c r="C19" s="62" t="n">
        <x:v>0</x:v>
      </x:c>
      <x:c r="D19" s="62" t="n">
        <x:v>1</x:v>
      </x:c>
      <x:c r="E19" s="62" t="str">
        <x:v>A15</x:v>
      </x:c>
      <x:c r="F19" s="62" t="str">
        <x:v>YES</x:v>
      </x:c>
      <x:c r="G19" s="62" t="str">
        <x:v>YES</x:v>
      </x:c>
      <x:c r="H19" s="103"/>
      <x:c r="I19" s="103"/>
      <x:c r="J19" s="103"/>
      <x:c r="K19" s="103"/>
      <x:c r="L19" s="103"/>
      <x:c r="M19" s="103"/>
      <x:c r="N19" s="103"/>
    </x:row>
    <x:row r="20">
      <x:c r="A20" s="62" t="str">
        <x:v>M14 Premature submission</x:v>
      </x:c>
      <x:c r="B20" s="62" t="str">
        <x:v>Payment Schedule!F7</x:v>
      </x:c>
      <x:c r="C20" s="62" t="n">
        <x:v>0</x:v>
      </x:c>
      <x:c r="D20" s="62" t="n">
        <x:v>1</x:v>
      </x:c>
      <x:c r="E20" s="62" t="str">
        <x:v>A20</x:v>
      </x:c>
      <x:c r="F20" s="62" t="str">
        <x:v>YES</x:v>
      </x:c>
      <x:c r="G20" s="62" t="str">
        <x:v>YES</x:v>
      </x:c>
      <x:c r="H20" s="103"/>
      <x:c r="I20" s="103"/>
      <x:c r="J20" s="103"/>
      <x:c r="K20" s="103"/>
      <x:c r="L20" s="103"/>
      <x:c r="M20" s="103"/>
      <x:c r="N20" s="103"/>
    </x:row>
    <x:row r="21">
      <x:c r="A21" s="62" t="str">
        <x:v>M15 Premature validity</x:v>
      </x:c>
      <x:c r="B21" s="62" t="str">
        <x:v>Payment Schedule!G7</x:v>
      </x:c>
      <x:c r="C21" s="62" t="n">
        <x:v>0</x:v>
      </x:c>
      <x:c r="D21" s="62" t="n">
        <x:v>1</x:v>
      </x:c>
      <x:c r="E21" s="62" t="str">
        <x:v>A21</x:v>
      </x:c>
      <x:c r="F21" s="62" t="str">
        <x:v>YES</x:v>
      </x:c>
      <x:c r="G21" s="62" t="str">
        <x:v>YES</x:v>
      </x:c>
      <x:c r="H21" s="103"/>
      <x:c r="I21" s="103"/>
      <x:c r="J21" s="103"/>
      <x:c r="K21" s="103"/>
      <x:c r="L21" s="103"/>
      <x:c r="M21" s="103"/>
      <x:c r="N21" s="103"/>
    </x:row>
    <x:row r="22">
      <x:c r="A22" s="62" t="str">
        <x:v>M16 Improper payment</x:v>
      </x:c>
      <x:c r="B22" s="62" t="str">
        <x:v>Payment Schedule!K7</x:v>
      </x:c>
      <x:c r="C22" s="62" t="n">
        <x:v>0</x:v>
      </x:c>
      <x:c r="D22" s="62" t="n">
        <x:v>0.1</x:v>
      </x:c>
      <x:c r="E22" s="62" t="str">
        <x:v>A29</x:v>
      </x:c>
      <x:c r="F22" s="62" t="str">
        <x:v>YES</x:v>
      </x:c>
      <x:c r="G22" s="62" t="str">
        <x:v>YES</x:v>
      </x:c>
      <x:c r="H22" s="103"/>
      <x:c r="I22" s="103"/>
      <x:c r="J22" s="103"/>
      <x:c r="K22" s="103"/>
      <x:c r="L22" s="103"/>
      <x:c r="M22" s="103"/>
      <x:c r="N22" s="103"/>
    </x:row>
  </x:sheetData>
  <x:mergeCells>
    <x:mergeCell ref="A2:N2"/>
    <x:mergeCell ref="A4:N4"/>
  </x:mergeCells>
  <x:conditionalFormatting sqref="F7:G22">
    <x:cfRule type="containsText" dxfId="7" priority="1" operator="containsText" text="FAIL"/>
    <x:cfRule type="containsText" dxfId="8" priority="2" operator="containsText" text="YES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E7E6E6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0" hidden="0" customWidth="1"/>
    <x:col min="2" max="2" width="46" hidden="0" customWidth="1"/>
    <x:col min="3" max="3" width="20" hidden="0" customWidth="1"/>
    <x:col min="4" max="4" width="20" hidden="0" customWidth="1"/>
    <x:col min="5" max="5" width="20" hidden="0" customWidth="1"/>
  </x:cols>
  <x:sheetData>
    <x:row r="2">
      <x:c r="A2" s="2" t="str">
        <x:v>Terminal audit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  <x:c r="N2" s="103"/>
    </x:row>
    <x:row r="3">
      <x:c r="A3" s="104"/>
      <x:c r="B3" s="104"/>
      <x:c r="C3" s="104"/>
      <x:c r="D3" s="104"/>
      <x:c r="E3" s="104"/>
      <x:c r="F3" s="104"/>
      <x:c r="G3" s="104"/>
      <x:c r="H3" s="104"/>
      <x:c r="I3" s="104"/>
      <x:c r="J3" s="104"/>
      <x:c r="K3" s="104"/>
      <x:c r="L3" s="104"/>
      <x:c r="M3" s="104"/>
      <x:c r="N3" s="104"/>
    </x:row>
    <x:row r="4">
      <x:c r="A4" s="105" t="str">
        <x:v>Checks observe the model and never feed business calculations or authority states.</x:v>
      </x:c>
      <x:c r="B4" s="103"/>
      <x:c r="C4" s="103"/>
      <x:c r="D4" s="103"/>
      <x:c r="E4" s="103"/>
      <x:c r="F4" s="103"/>
      <x:c r="G4" s="103"/>
      <x:c r="H4" s="103"/>
      <x:c r="I4" s="103"/>
      <x:c r="J4" s="103"/>
      <x:c r="K4" s="103"/>
      <x:c r="L4" s="103"/>
      <x:c r="M4" s="103"/>
      <x:c r="N4" s="103"/>
    </x:row>
    <x:row r="5">
      <x:c r="A5" s="103"/>
      <x:c r="B5" s="103"/>
      <x:c r="C5" s="103"/>
      <x:c r="D5" s="103"/>
      <x:c r="E5" s="103"/>
      <x:c r="F5" s="103"/>
      <x:c r="G5" s="103"/>
      <x:c r="H5" s="103"/>
      <x:c r="I5" s="103"/>
      <x:c r="J5" s="103"/>
      <x:c r="K5" s="103"/>
      <x:c r="L5" s="103"/>
      <x:c r="M5" s="103"/>
      <x:c r="N5" s="103"/>
    </x:row>
    <x:row r="6">
      <x:c r="A6" s="31" t="str">
        <x:v>Audit</x:v>
      </x:c>
      <x:c r="B6" s="32" t="str">
        <x:v>Test</x:v>
      </x:c>
      <x:c r="C6" s="32" t="str">
        <x:v>Observed result</x:v>
      </x:c>
      <x:c r="D6" s="32" t="str">
        <x:v>Expected</x:v>
      </x:c>
      <x:c r="E6" s="33" t="str">
        <x:v>Status</x:v>
      </x:c>
      <x:c r="F6" s="103"/>
      <x:c r="G6" s="103"/>
      <x:c r="H6" s="103"/>
      <x:c r="I6" s="103"/>
      <x:c r="J6" s="103"/>
      <x:c r="K6" s="103"/>
      <x:c r="L6" s="103"/>
      <x:c r="M6" s="103"/>
      <x:c r="N6" s="103"/>
    </x:row>
    <x:row r="7">
      <x:c r="A7" s="62" t="str">
        <x:v>A01</x:v>
      </x:c>
      <x:c r="B7" s="62" t="str">
        <x:v>Six roots present</x:v>
      </x:c>
      <x:c r="C7" s="62" t="n">
        <x:f>COUNTA(Inputs!A28:A33)</x:f>
        <x:v>6</x:v>
      </x:c>
      <x:c r="D7" s="62" t="n">
        <x:v>6</x:v>
      </x:c>
      <x:c r="E7" s="62" t="str">
        <x:f>IF(ABS(C7-D7)&lt;=Inputs!$B$22,"PASS","FAIL")</x:f>
        <x:v>PASS</x:v>
      </x:c>
      <x:c r="F7" s="103"/>
      <x:c r="G7" s="103"/>
      <x:c r="H7" s="103"/>
      <x:c r="I7" s="103"/>
      <x:c r="J7" s="103"/>
      <x:c r="K7" s="103"/>
      <x:c r="L7" s="103"/>
      <x:c r="M7" s="103"/>
      <x:c r="N7" s="103"/>
    </x:row>
    <x:row r="8">
      <x:c r="A8" s="62" t="str">
        <x:v>A02</x:v>
      </x:c>
      <x:c r="B8" s="62" t="str">
        <x:v>Six active forms present</x:v>
      </x:c>
      <x:c r="C8" s="62" t="n">
        <x:f>COUNTA(Inputs!B28:B33)</x:f>
        <x:v>6</x:v>
      </x:c>
      <x:c r="D8" s="62" t="n">
        <x:v>6</x:v>
      </x:c>
      <x:c r="E8" s="62" t="str">
        <x:f>IF(ABS(C8-D8)&lt;=Inputs!$B$22,"PASS","FAIL")</x:f>
        <x:v>PASS</x:v>
      </x:c>
      <x:c r="F8" s="103"/>
      <x:c r="G8" s="103"/>
      <x:c r="H8" s="103"/>
      <x:c r="I8" s="103"/>
      <x:c r="J8" s="103"/>
      <x:c r="K8" s="103"/>
      <x:c r="L8" s="103"/>
      <x:c r="M8" s="103"/>
      <x:c r="N8" s="103"/>
    </x:row>
    <x:row r="9">
      <x:c r="A9" s="62" t="str">
        <x:v>A03</x:v>
      </x:c>
      <x:c r="B9" s="62" t="str">
        <x:v>Thirty package records</x:v>
      </x:c>
      <x:c r="C9" s="62" t="n">
        <x:f>COUNTA('Package Build'!A7:A36)</x:f>
        <x:v>30</x:v>
      </x:c>
      <x:c r="D9" s="62" t="n">
        <x:v>30</x:v>
      </x:c>
      <x:c r="E9" s="62" t="str">
        <x:f>IF(ABS(C9-D9)&lt;=Inputs!$B$22,"PASS","FAIL")</x:f>
        <x:v>PASS</x:v>
      </x:c>
      <x:c r="F9" s="103"/>
      <x:c r="G9" s="103"/>
      <x:c r="H9" s="103"/>
      <x:c r="I9" s="103"/>
      <x:c r="J9" s="103"/>
      <x:c r="K9" s="103"/>
      <x:c r="L9" s="103"/>
      <x:c r="M9" s="103"/>
      <x:c r="N9" s="103"/>
    </x:row>
    <x:row r="10">
      <x:c r="A10" s="62" t="str">
        <x:v>A04</x:v>
      </x:c>
      <x:c r="B10" s="62" t="str">
        <x:v>Five packages per active form</x:v>
      </x:c>
      <x:c r="C10" s="62" t="n">
        <x:f>COUNTIF('Package Build'!C7:C36,Inputs!B28)</x:f>
        <x:v>5</x:v>
      </x:c>
      <x:c r="D10" s="62" t="n">
        <x:v>5</x:v>
      </x:c>
      <x:c r="E10" s="62" t="str">
        <x:f>IF(ABS(C10-D10)&lt;=Inputs!$B$22,"PASS","FAIL")</x:f>
        <x:v>PASS</x:v>
      </x:c>
      <x:c r="F10" s="103"/>
      <x:c r="G10" s="103"/>
      <x:c r="H10" s="103"/>
      <x:c r="I10" s="103"/>
      <x:c r="J10" s="103"/>
      <x:c r="K10" s="103"/>
      <x:c r="L10" s="103"/>
      <x:c r="M10" s="103"/>
      <x:c r="N10" s="103"/>
    </x:row>
    <x:row r="11">
      <x:c r="A11" s="62" t="str">
        <x:v>A05</x:v>
      </x:c>
      <x:c r="B11" s="62" t="str">
        <x:v>Root ceilings reconcile</x:v>
      </x:c>
      <x:c r="C11" s="62" t="n">
        <x:f>ROUND(Inputs!D34,1)</x:f>
        <x:v>538.1</x:v>
      </x:c>
      <x:c r="D11" s="62" t="n">
        <x:v>538.1</x:v>
      </x:c>
      <x:c r="E11" s="62" t="str">
        <x:f>IF(ABS(C11-D11)&lt;=Inputs!$B$22,"PASS","FAIL")</x:f>
        <x:v>PASS</x:v>
      </x:c>
      <x:c r="F11" s="103"/>
      <x:c r="G11" s="103"/>
      <x:c r="H11" s="103"/>
      <x:c r="I11" s="103"/>
      <x:c r="J11" s="103"/>
      <x:c r="K11" s="103"/>
      <x:c r="L11" s="103"/>
      <x:c r="M11" s="103"/>
      <x:c r="N11" s="103"/>
    </x:row>
    <x:row r="12">
      <x:c r="A12" s="62" t="str">
        <x:v>A06</x:v>
      </x:c>
      <x:c r="B12" s="62" t="str">
        <x:v>Cohort obligation reconciles</x:v>
      </x:c>
      <x:c r="C12" s="62" t="n">
        <x:f>ROUND('Package Build'!H37,6)</x:f>
        <x:v>179.366667</x:v>
      </x:c>
      <x:c r="D12" s="62" t="n">
        <x:v>179.366667</x:v>
      </x:c>
      <x:c r="E12" s="62" t="str">
        <x:f>IF(ABS(C12-D12)&lt;=Inputs!$B$22,"PASS","FAIL")</x:f>
        <x:v>PASS</x:v>
      </x:c>
      <x:c r="F12" s="103"/>
      <x:c r="G12" s="103"/>
      <x:c r="H12" s="103"/>
      <x:c r="I12" s="103"/>
      <x:c r="J12" s="103"/>
      <x:c r="K12" s="103"/>
      <x:c r="L12" s="103"/>
      <x:c r="M12" s="103"/>
      <x:c r="N12" s="103"/>
    </x:row>
    <x:row r="13">
      <x:c r="A13" s="62" t="str">
        <x:v>A07</x:v>
      </x:c>
      <x:c r="B13" s="62" t="str">
        <x:v>Later reserve mathematical value</x:v>
      </x:c>
      <x:c r="C13" s="62" t="n">
        <x:f>ROUND(Inputs!D34-'Package Build'!H37,6)</x:f>
        <x:v>358.733333</x:v>
      </x:c>
      <x:c r="D13" s="62" t="n">
        <x:v>358.733333</x:v>
      </x:c>
      <x:c r="E13" s="62" t="str">
        <x:f>IF(ABS(C13-D13)&lt;=Inputs!$B$22,"PASS","FAIL")</x:f>
        <x:v>PASS</x:v>
      </x:c>
      <x:c r="F13" s="103"/>
      <x:c r="G13" s="103"/>
      <x:c r="H13" s="103"/>
      <x:c r="I13" s="103"/>
      <x:c r="J13" s="103"/>
      <x:c r="K13" s="103"/>
      <x:c r="L13" s="103"/>
      <x:c r="M13" s="103"/>
      <x:c r="N13" s="103"/>
    </x:row>
    <x:row r="14">
      <x:c r="A14" s="62" t="str">
        <x:v>A08</x:v>
      </x:c>
      <x:c r="B14" s="62" t="str">
        <x:v>Protected reserve unchanged</x:v>
      </x:c>
      <x:c r="C14" s="62" t="n">
        <x:f>ROUND(Inputs!B17,6)</x:f>
        <x:v>358.733333</x:v>
      </x:c>
      <x:c r="D14" s="62" t="n">
        <x:v>358.733333</x:v>
      </x:c>
      <x:c r="E14" s="62" t="str">
        <x:f>IF(ABS(C14-D14)&lt;=Inputs!$B$22,"PASS","FAIL")</x:f>
        <x:v>PASS</x:v>
      </x:c>
      <x:c r="F14" s="103"/>
      <x:c r="G14" s="103"/>
      <x:c r="H14" s="103"/>
      <x:c r="I14" s="103"/>
      <x:c r="J14" s="103"/>
      <x:c r="K14" s="103"/>
      <x:c r="L14" s="103"/>
      <x:c r="M14" s="103"/>
      <x:c r="N14" s="103"/>
    </x:row>
    <x:row r="15">
      <x:c r="A15" s="62" t="str">
        <x:v>A09</x:v>
      </x:c>
      <x:c r="B15" s="62" t="str">
        <x:v>Allocation shares total 100 percent</x:v>
      </x:c>
      <x:c r="C15" s="62" t="n">
        <x:f>ROUND(SUM(Inputs!B7:B10),6)</x:f>
        <x:v>1</x:v>
      </x:c>
      <x:c r="D15" s="62" t="n">
        <x:v>1</x:v>
      </x:c>
      <x:c r="E15" s="62" t="str">
        <x:f>IF(ABS(C15-D15)&lt;=Inputs!$B$22,"PASS","FAIL")</x:f>
        <x:v>PASS</x:v>
      </x:c>
      <x:c r="F15" s="103"/>
      <x:c r="G15" s="103"/>
      <x:c r="H15" s="103"/>
      <x:c r="I15" s="103"/>
      <x:c r="J15" s="103"/>
      <x:c r="K15" s="103"/>
      <x:c r="L15" s="103"/>
      <x:c r="M15" s="103"/>
      <x:c r="N15" s="103"/>
    </x:row>
    <x:row r="16">
      <x:c r="A16" s="62" t="str">
        <x:v>A10</x:v>
      </x:c>
      <x:c r="B16" s="62" t="str">
        <x:v>Package subaccounts reconcile</x:v>
      </x:c>
      <x:c r="C16" s="62" t="n">
        <x:f>ROUND(SUM('Package Build'!I37:L37)-'Package Build'!H37,6)</x:f>
        <x:v>0</x:v>
      </x:c>
      <x:c r="D16" s="62" t="n">
        <x:v>0</x:v>
      </x:c>
      <x:c r="E16" s="62" t="str">
        <x:f>IF(ABS(C16-D16)&lt;=Inputs!$B$22,"PASS","FAIL")</x:f>
        <x:v>PASS</x:v>
      </x:c>
      <x:c r="F16" s="103"/>
      <x:c r="G16" s="103"/>
      <x:c r="H16" s="103"/>
      <x:c r="I16" s="103"/>
      <x:c r="J16" s="103"/>
      <x:c r="K16" s="103"/>
      <x:c r="L16" s="103"/>
      <x:c r="M16" s="103"/>
      <x:c r="N16" s="103"/>
    </x:row>
    <x:row r="17">
      <x:c r="A17" s="62" t="str">
        <x:v>A11</x:v>
      </x:c>
      <x:c r="B17" s="62" t="str">
        <x:v>Design-production allocation</x:v>
      </x:c>
      <x:c r="C17" s="62" t="n">
        <x:f>ROUND('Package Build'!I37,6)</x:f>
        <x:v>129.144</x:v>
      </x:c>
      <x:c r="D17" s="62" t="n">
        <x:v>129.144</x:v>
      </x:c>
      <x:c r="E17" s="62" t="str">
        <x:f>IF(ABS(C17-D17)&lt;=Inputs!$B$22,"PASS","FAIL")</x:f>
        <x:v>PASS</x:v>
      </x:c>
      <x:c r="F17" s="103"/>
      <x:c r="G17" s="103"/>
      <x:c r="H17" s="103"/>
      <x:c r="I17" s="103"/>
      <x:c r="J17" s="103"/>
      <x:c r="K17" s="103"/>
      <x:c r="L17" s="103"/>
      <x:c r="M17" s="103"/>
      <x:c r="N17" s="103"/>
    </x:row>
    <x:row r="18">
      <x:c r="A18" s="62" t="str">
        <x:v>A12</x:v>
      </x:c>
      <x:c r="B18" s="62" t="str">
        <x:v>Independent-replay allocation</x:v>
      </x:c>
      <x:c r="C18" s="62" t="n">
        <x:f>ROUND('Package Build'!J37,6)</x:f>
        <x:v>26.905</x:v>
      </x:c>
      <x:c r="D18" s="62" t="n">
        <x:v>26.905</x:v>
      </x:c>
      <x:c r="E18" s="62" t="str">
        <x:f>IF(ABS(C18-D18)&lt;=Inputs!$B$22,"PASS","FAIL")</x:f>
        <x:v>PASS</x:v>
      </x:c>
      <x:c r="F18" s="103"/>
      <x:c r="G18" s="103"/>
      <x:c r="H18" s="103"/>
      <x:c r="I18" s="103"/>
      <x:c r="J18" s="103"/>
      <x:c r="K18" s="103"/>
      <x:c r="L18" s="103"/>
      <x:c r="M18" s="103"/>
      <x:c r="N18" s="103"/>
    </x:row>
    <x:row r="19">
      <x:c r="A19" s="62" t="str">
        <x:v>A13</x:v>
      </x:c>
      <x:c r="B19" s="62" t="str">
        <x:v>Public-source-escrow allocation</x:v>
      </x:c>
      <x:c r="C19" s="62" t="n">
        <x:f>ROUND('Package Build'!K37,6)</x:f>
        <x:v>14.349333</x:v>
      </x:c>
      <x:c r="D19" s="62" t="n">
        <x:v>14.349333</x:v>
      </x:c>
      <x:c r="E19" s="62" t="str">
        <x:f>IF(ABS(C19-D19)&lt;=Inputs!$B$22,"PASS","FAIL")</x:f>
        <x:v>PASS</x:v>
      </x:c>
      <x:c r="F19" s="103"/>
      <x:c r="G19" s="103"/>
      <x:c r="H19" s="103"/>
      <x:c r="I19" s="103"/>
      <x:c r="J19" s="103"/>
      <x:c r="K19" s="103"/>
      <x:c r="L19" s="103"/>
      <x:c r="M19" s="103"/>
      <x:c r="N19" s="103"/>
    </x:row>
    <x:row r="20">
      <x:c r="A20" s="62" t="str">
        <x:v>A14</x:v>
      </x:c>
      <x:c r="B20" s="62" t="str">
        <x:v>Completion-holdback allocation</x:v>
      </x:c>
      <x:c r="C20" s="62" t="n">
        <x:f>ROUND('Package Build'!L37,6)</x:f>
        <x:v>8.968333</x:v>
      </x:c>
      <x:c r="D20" s="62" t="n">
        <x:v>8.968333</x:v>
      </x:c>
      <x:c r="E20" s="62" t="str">
        <x:f>IF(ABS(C20-D20)&lt;=Inputs!$B$22,"PASS","FAIL")</x:f>
        <x:v>PASS</x:v>
      </x:c>
      <x:c r="F20" s="103"/>
      <x:c r="G20" s="103"/>
      <x:c r="H20" s="103"/>
      <x:c r="I20" s="103"/>
      <x:c r="J20" s="103"/>
      <x:c r="K20" s="103"/>
      <x:c r="L20" s="103"/>
      <x:c r="M20" s="103"/>
      <x:c r="N20" s="103"/>
    </x:row>
    <x:row r="21">
      <x:c r="A21" s="62" t="str">
        <x:v>A15</x:v>
      </x:c>
      <x:c r="B21" s="62" t="str">
        <x:v>Current passed validity gates</x:v>
      </x:c>
      <x:c r="C21" s="62" t="n">
        <x:f>SUM('Validity Gates'!F7:F366)</x:f>
        <x:v>60</x:v>
      </x:c>
      <x:c r="D21" s="62" t="n">
        <x:v>60</x:v>
      </x:c>
      <x:c r="E21" s="62" t="str">
        <x:f>IF(ABS(C21-D21)&lt;=Inputs!$B$22,"PASS","FAIL")</x:f>
        <x:v>PASS</x:v>
      </x:c>
      <x:c r="F21" s="103"/>
      <x:c r="G21" s="103"/>
      <x:c r="H21" s="103"/>
      <x:c r="I21" s="103"/>
      <x:c r="J21" s="103"/>
      <x:c r="K21" s="103"/>
      <x:c r="L21" s="103"/>
      <x:c r="M21" s="103"/>
      <x:c r="N21" s="103"/>
    </x:row>
    <x:row r="22">
      <x:c r="A22" s="62" t="str">
        <x:v>A16</x:v>
      </x:c>
      <x:c r="B22" s="62" t="str">
        <x:v>Validity gate records</x:v>
      </x:c>
      <x:c r="C22" s="62" t="n">
        <x:f>COUNTA('Validity Gates'!A7:A366)</x:f>
        <x:v>360</x:v>
      </x:c>
      <x:c r="D22" s="62" t="n">
        <x:v>360</x:v>
      </x:c>
      <x:c r="E22" s="62" t="str">
        <x:f>IF(ABS(C22-D22)&lt;=Inputs!$B$22,"PASS","FAIL")</x:f>
        <x:v>PASS</x:v>
      </x:c>
      <x:c r="F22" s="103"/>
      <x:c r="G22" s="103"/>
      <x:c r="H22" s="103"/>
      <x:c r="I22" s="103"/>
      <x:c r="J22" s="103"/>
      <x:c r="K22" s="103"/>
      <x:c r="L22" s="103"/>
      <x:c r="M22" s="103"/>
      <x:c r="N22" s="103"/>
    </x:row>
    <x:row r="23">
      <x:c r="A23" s="62" t="str">
        <x:v>A17</x:v>
      </x:c>
      <x:c r="B23" s="62" t="str">
        <x:v>Twelve gates per package</x:v>
      </x:c>
      <x:c r="C23" s="62" t="n">
        <x:f>COUNTIF('Validity Gates'!B7:B366,'Package Build'!A7)</x:f>
        <x:v>12</x:v>
      </x:c>
      <x:c r="D23" s="62" t="n">
        <x:v>12</x:v>
      </x:c>
      <x:c r="E23" s="62" t="str">
        <x:f>IF(ABS(C23-D23)&lt;=Inputs!$B$22,"PASS","FAIL")</x:f>
        <x:v>PASS</x:v>
      </x:c>
      <x:c r="F23" s="103"/>
      <x:c r="G23" s="103"/>
      <x:c r="H23" s="103"/>
      <x:c r="I23" s="103"/>
      <x:c r="J23" s="103"/>
      <x:c r="K23" s="103"/>
      <x:c r="L23" s="103"/>
      <x:c r="M23" s="103"/>
      <x:c r="N23" s="103"/>
    </x:row>
    <x:row r="24">
      <x:c r="A24" s="62" t="str">
        <x:v>A18</x:v>
      </x:c>
      <x:c r="B24" s="62" t="str">
        <x:v>Currently valid packages</x:v>
      </x:c>
      <x:c r="C24" s="62" t="n">
        <x:f>COUNTIF('Package Build'!O7:O36,"VALID")</x:f>
        <x:v>0</x:v>
      </x:c>
      <x:c r="D24" s="62" t="n">
        <x:v>0</x:v>
      </x:c>
      <x:c r="E24" s="62" t="str">
        <x:f>IF(ABS(C24-D24)&lt;=Inputs!$B$22,"PASS","FAIL")</x:f>
        <x:v>PASS</x:v>
      </x:c>
      <x:c r="F24" s="103"/>
      <x:c r="G24" s="103"/>
      <x:c r="H24" s="103"/>
      <x:c r="I24" s="103"/>
      <x:c r="J24" s="103"/>
      <x:c r="K24" s="103"/>
      <x:c r="L24" s="103"/>
      <x:c r="M24" s="103"/>
      <x:c r="N24" s="103"/>
    </x:row>
    <x:row r="25">
      <x:c r="A25" s="62" t="str">
        <x:v>A19</x:v>
      </x:c>
      <x:c r="B25" s="62" t="str">
        <x:v>Payment claim records</x:v>
      </x:c>
      <x:c r="C25" s="62" t="n">
        <x:f>COUNTA('Payment Schedule'!A7:A186)</x:f>
        <x:v>180</x:v>
      </x:c>
      <x:c r="D25" s="62" t="n">
        <x:v>180</x:v>
      </x:c>
      <x:c r="E25" s="62" t="str">
        <x:f>IF(ABS(C25-D25)&lt;=Inputs!$B$22,"PASS","FAIL")</x:f>
        <x:v>PASS</x:v>
      </x:c>
      <x:c r="F25" s="103"/>
      <x:c r="G25" s="103"/>
      <x:c r="H25" s="103"/>
      <x:c r="I25" s="103"/>
      <x:c r="J25" s="103"/>
      <x:c r="K25" s="103"/>
      <x:c r="L25" s="103"/>
      <x:c r="M25" s="103"/>
      <x:c r="N25" s="103"/>
    </x:row>
    <x:row r="26">
      <x:c r="A26" s="62" t="str">
        <x:v>A20</x:v>
      </x:c>
      <x:c r="B26" s="62" t="str">
        <x:v>Current submitted claims</x:v>
      </x:c>
      <x:c r="C26" s="62" t="n">
        <x:f>SUM('Payment Schedule'!F7:F186)</x:f>
        <x:v>0</x:v>
      </x:c>
      <x:c r="D26" s="62" t="n">
        <x:v>0</x:v>
      </x:c>
      <x:c r="E26" s="62" t="str">
        <x:f>IF(ABS(C26-D26)&lt;=Inputs!$B$22,"PASS","FAIL")</x:f>
        <x:v>PASS</x:v>
      </x:c>
      <x:c r="F26" s="103"/>
      <x:c r="G26" s="103"/>
      <x:c r="H26" s="103"/>
      <x:c r="I26" s="103"/>
      <x:c r="J26" s="103"/>
      <x:c r="K26" s="103"/>
      <x:c r="L26" s="103"/>
      <x:c r="M26" s="103"/>
      <x:c r="N26" s="103"/>
    </x:row>
    <x:row r="27">
      <x:c r="A27" s="62" t="str">
        <x:v>A21</x:v>
      </x:c>
      <x:c r="B27" s="62" t="str">
        <x:v>Current artifact-validity warrants</x:v>
      </x:c>
      <x:c r="C27" s="62" t="n">
        <x:f>SUM('Payment Schedule'!G7:G186)</x:f>
        <x:v>0</x:v>
      </x:c>
      <x:c r="D27" s="62" t="n">
        <x:v>0</x:v>
      </x:c>
      <x:c r="E27" s="62" t="str">
        <x:f>IF(ABS(C27-D27)&lt;=Inputs!$B$22,"PASS","FAIL")</x:f>
        <x:v>PASS</x:v>
      </x:c>
      <x:c r="F27" s="103"/>
      <x:c r="G27" s="103"/>
      <x:c r="H27" s="103"/>
      <x:c r="I27" s="103"/>
      <x:c r="J27" s="103"/>
      <x:c r="K27" s="103"/>
      <x:c r="L27" s="103"/>
      <x:c r="M27" s="103"/>
      <x:c r="N27" s="103"/>
    </x:row>
    <x:row r="28">
      <x:c r="A28" s="62" t="str">
        <x:v>A22</x:v>
      </x:c>
      <x:c r="B28" s="62" t="str">
        <x:v>Accepted observations remain zero</x:v>
      </x:c>
      <x:c r="C28" s="62" t="n">
        <x:f>Inputs!B13</x:f>
        <x:v>0</x:v>
      </x:c>
      <x:c r="D28" s="62" t="n">
        <x:v>0</x:v>
      </x:c>
      <x:c r="E28" s="62" t="str">
        <x:f>IF(ABS(C28-D28)&lt;=Inputs!$B$22,"PASS","FAIL")</x:f>
        <x:v>PASS</x:v>
      </x:c>
      <x:c r="F28" s="103"/>
      <x:c r="G28" s="103"/>
      <x:c r="H28" s="103"/>
      <x:c r="I28" s="103"/>
      <x:c r="J28" s="103"/>
      <x:c r="K28" s="103"/>
      <x:c r="L28" s="103"/>
      <x:c r="M28" s="103"/>
      <x:c r="N28" s="103"/>
    </x:row>
    <x:row r="29">
      <x:c r="A29" s="62" t="str">
        <x:v>A23</x:v>
      </x:c>
      <x:c r="B29" s="62" t="str">
        <x:v>Selected forms remain zero</x:v>
      </x:c>
      <x:c r="C29" s="62" t="n">
        <x:f>Inputs!B14</x:f>
        <x:v>0</x:v>
      </x:c>
      <x:c r="D29" s="62" t="n">
        <x:v>0</x:v>
      </x:c>
      <x:c r="E29" s="62" t="str">
        <x:f>IF(ABS(C29-D29)&lt;=Inputs!$B$22,"PASS","FAIL")</x:f>
        <x:v>PASS</x:v>
      </x:c>
      <x:c r="F29" s="103"/>
      <x:c r="G29" s="103"/>
      <x:c r="H29" s="103"/>
      <x:c r="I29" s="103"/>
      <x:c r="J29" s="103"/>
      <x:c r="K29" s="103"/>
      <x:c r="L29" s="103"/>
      <x:c r="M29" s="103"/>
      <x:c r="N29" s="103"/>
    </x:row>
    <x:row r="30">
      <x:c r="A30" s="62" t="str">
        <x:v>A24</x:v>
      </x:c>
      <x:c r="B30" s="62" t="str">
        <x:v>MAKE warrants remain zero</x:v>
      </x:c>
      <x:c r="C30" s="62" t="n">
        <x:f>Inputs!B15</x:f>
        <x:v>0</x:v>
      </x:c>
      <x:c r="D30" s="62" t="n">
        <x:v>0</x:v>
      </x:c>
      <x:c r="E30" s="62" t="str">
        <x:f>IF(ABS(C30-D30)&lt;=Inputs!$B$22,"PASS","FAIL")</x:f>
        <x:v>PASS</x:v>
      </x:c>
      <x:c r="F30" s="103"/>
      <x:c r="G30" s="103"/>
      <x:c r="H30" s="103"/>
      <x:c r="I30" s="103"/>
      <x:c r="J30" s="103"/>
      <x:c r="K30" s="103"/>
      <x:c r="L30" s="103"/>
      <x:c r="M30" s="103"/>
      <x:c r="N30" s="103"/>
    </x:row>
    <x:row r="31">
      <x:c r="A31" s="62" t="str">
        <x:v>A25</x:v>
      </x:c>
      <x:c r="B31" s="62" t="str">
        <x:v>REP-4 records remain zero</x:v>
      </x:c>
      <x:c r="C31" s="62" t="n">
        <x:f>Inputs!B16</x:f>
        <x:v>0</x:v>
      </x:c>
      <x:c r="D31" s="62" t="n">
        <x:v>0</x:v>
      </x:c>
      <x:c r="E31" s="62" t="str">
        <x:f>IF(ABS(C31-D31)&lt;=Inputs!$B$22,"PASS","FAIL")</x:f>
        <x:v>PASS</x:v>
      </x:c>
      <x:c r="F31" s="103"/>
      <x:c r="G31" s="103"/>
      <x:c r="H31" s="103"/>
      <x:c r="I31" s="103"/>
      <x:c r="J31" s="103"/>
      <x:c r="K31" s="103"/>
      <x:c r="L31" s="103"/>
      <x:c r="M31" s="103"/>
      <x:c r="N31" s="103"/>
    </x:row>
    <x:row r="32">
      <x:c r="A32" s="62" t="str">
        <x:v>A26</x:v>
      </x:c>
      <x:c r="B32" s="62" t="str">
        <x:v>Sibling performance leakage absent</x:v>
      </x:c>
      <x:c r="C32" s="62" t="n">
        <x:f>Inputs!B18</x:f>
        <x:v>0</x:v>
      </x:c>
      <x:c r="D32" s="62" t="n">
        <x:v>0</x:v>
      </x:c>
      <x:c r="E32" s="62" t="str">
        <x:f>IF(ABS(C32-D32)&lt;=Inputs!$B$22,"PASS","FAIL")</x:f>
        <x:v>PASS</x:v>
      </x:c>
      <x:c r="F32" s="103"/>
      <x:c r="G32" s="103"/>
      <x:c r="H32" s="103"/>
      <x:c r="I32" s="103"/>
      <x:c r="J32" s="103"/>
      <x:c r="K32" s="103"/>
      <x:c r="L32" s="103"/>
      <x:c r="M32" s="103"/>
      <x:c r="N32" s="103"/>
    </x:row>
    <x:row r="33">
      <x:c r="A33" s="62" t="str">
        <x:v>A27</x:v>
      </x:c>
      <x:c r="B33" s="62" t="str">
        <x:v>Shared builder-validity control absent</x:v>
      </x:c>
      <x:c r="C33" s="62" t="n">
        <x:f>Inputs!B19</x:f>
        <x:v>0</x:v>
      </x:c>
      <x:c r="D33" s="62" t="n">
        <x:v>0</x:v>
      </x:c>
      <x:c r="E33" s="62" t="str">
        <x:f>IF(ABS(C33-D33)&lt;=Inputs!$B$22,"PASS","FAIL")</x:f>
        <x:v>PASS</x:v>
      </x:c>
      <x:c r="F33" s="103"/>
      <x:c r="G33" s="103"/>
      <x:c r="H33" s="103"/>
      <x:c r="I33" s="103"/>
      <x:c r="J33" s="103"/>
      <x:c r="K33" s="103"/>
      <x:c r="L33" s="103"/>
      <x:c r="M33" s="103"/>
      <x:c r="N33" s="103"/>
    </x:row>
    <x:row r="34">
      <x:c r="A34" s="62" t="str">
        <x:v>A28</x:v>
      </x:c>
      <x:c r="B34" s="62" t="str">
        <x:v>Eligible claims remain zero</x:v>
      </x:c>
      <x:c r="C34" s="62" t="n">
        <x:f>COUNTIF('Payment Schedule'!I7:I186,"ELIGIBLE")</x:f>
        <x:v>0</x:v>
      </x:c>
      <x:c r="D34" s="62" t="n">
        <x:v>0</x:v>
      </x:c>
      <x:c r="E34" s="62" t="str">
        <x:f>IF(ABS(C34-D34)&lt;=Inputs!$B$22,"PASS","FAIL")</x:f>
        <x:v>PASS</x:v>
      </x:c>
      <x:c r="F34" s="103"/>
      <x:c r="G34" s="103"/>
      <x:c r="H34" s="103"/>
      <x:c r="I34" s="103"/>
      <x:c r="J34" s="103"/>
      <x:c r="K34" s="103"/>
      <x:c r="L34" s="103"/>
      <x:c r="M34" s="103"/>
      <x:c r="N34" s="103"/>
    </x:row>
    <x:row r="35">
      <x:c r="A35" s="62" t="str">
        <x:v>A29</x:v>
      </x:c>
      <x:c r="B35" s="62" t="str">
        <x:v>Paid amount remains zero</x:v>
      </x:c>
      <x:c r="C35" s="62" t="n">
        <x:f>SUM('Payment Schedule'!K7:K186)</x:f>
        <x:v>0</x:v>
      </x:c>
      <x:c r="D35" s="62" t="n">
        <x:v>0</x:v>
      </x:c>
      <x:c r="E35" s="62" t="str">
        <x:f>IF(ABS(C35-D35)&lt;=Inputs!$B$22,"PASS","FAIL")</x:f>
        <x:v>PASS</x:v>
      </x:c>
      <x:c r="F35" s="103"/>
      <x:c r="G35" s="103"/>
      <x:c r="H35" s="103"/>
      <x:c r="I35" s="103"/>
      <x:c r="J35" s="103"/>
      <x:c r="K35" s="103"/>
      <x:c r="L35" s="103"/>
      <x:c r="M35" s="103"/>
      <x:c r="N35" s="103"/>
    </x:row>
    <x:row r="36">
      <x:c r="A36" s="62" t="str">
        <x:v>A30</x:v>
      </x:c>
      <x:c r="B36" s="62" t="str">
        <x:v>Exactly one architecture passes</x:v>
      </x:c>
      <x:c r="C36" s="62" t="n">
        <x:f>COUNTIF('Authority Controls'!K9:K13,"PASS")</x:f>
        <x:v>1</x:v>
      </x:c>
      <x:c r="D36" s="62" t="n">
        <x:v>1</x:v>
      </x:c>
      <x:c r="E36" s="62" t="str">
        <x:f>IF(ABS(C36-D36)&lt;=Inputs!$B$22,"PASS","FAIL")</x:f>
        <x:v>PASS</x:v>
      </x:c>
      <x:c r="F36" s="103"/>
      <x:c r="G36" s="103"/>
      <x:c r="H36" s="103"/>
      <x:c r="I36" s="103"/>
      <x:c r="J36" s="103"/>
      <x:c r="K36" s="103"/>
      <x:c r="L36" s="103"/>
      <x:c r="M36" s="103"/>
      <x:c r="N36" s="103"/>
    </x:row>
    <x:row r="37">
      <x:c r="A37" s="62" t="str">
        <x:v>A31</x:v>
      </x:c>
      <x:c r="B37" s="62" t="str">
        <x:v>Selected architecture is C3</x:v>
      </x:c>
      <x:c r="C37" s="62" t="n">
        <x:f>IF(Inputs!B21="C3",1,0)</x:f>
        <x:v>1</x:v>
      </x:c>
      <x:c r="D37" s="62" t="n">
        <x:v>1</x:v>
      </x:c>
      <x:c r="E37" s="62" t="str">
        <x:f>IF(ABS(C37-D37)&lt;=Inputs!$B$22,"PASS","FAIL")</x:f>
        <x:v>PASS</x:v>
      </x:c>
      <x:c r="F37" s="103"/>
      <x:c r="G37" s="103"/>
      <x:c r="H37" s="103"/>
      <x:c r="I37" s="103"/>
      <x:c r="J37" s="103"/>
      <x:c r="K37" s="103"/>
      <x:c r="L37" s="103"/>
      <x:c r="M37" s="103"/>
      <x:c r="N37" s="103"/>
    </x:row>
    <x:row r="38">
      <x:c r="A38" s="62" t="str">
        <x:v>A32</x:v>
      </x:c>
      <x:c r="B38" s="62" t="str">
        <x:v>No role conflicts</x:v>
      </x:c>
      <x:c r="C38" s="62" t="n">
        <x:f>SUM('Authority Controls'!L20:L34)</x:f>
        <x:v>0</x:v>
      </x:c>
      <x:c r="D38" s="62" t="n">
        <x:v>0</x:v>
      </x:c>
      <x:c r="E38" s="62" t="str">
        <x:f>IF(ABS(C38-D38)&lt;=Inputs!$B$22,"PASS","FAIL")</x:f>
        <x:v>PASS</x:v>
      </x:c>
      <x:c r="F38" s="103"/>
      <x:c r="G38" s="103"/>
      <x:c r="H38" s="103"/>
      <x:c r="I38" s="103"/>
      <x:c r="J38" s="103"/>
      <x:c r="K38" s="103"/>
      <x:c r="L38" s="103"/>
      <x:c r="M38" s="103"/>
      <x:c r="N38" s="103"/>
    </x:row>
    <x:row r="39">
      <x:c r="A39" s="62" t="str">
        <x:v>A33</x:v>
      </x:c>
      <x:c r="B39" s="62" t="str">
        <x:v>Fifteen separated roles</x:v>
      </x:c>
      <x:c r="C39" s="62" t="n">
        <x:f>COUNTA('Authority Controls'!A20:A34)</x:f>
        <x:v>15</x:v>
      </x:c>
      <x:c r="D39" s="62" t="n">
        <x:v>15</x:v>
      </x:c>
      <x:c r="E39" s="62" t="str">
        <x:f>IF(ABS(C39-D39)&lt;=Inputs!$B$22,"PASS","FAIL")</x:f>
        <x:v>PASS</x:v>
      </x:c>
      <x:c r="F39" s="103"/>
      <x:c r="G39" s="103"/>
      <x:c r="H39" s="103"/>
      <x:c r="I39" s="103"/>
      <x:c r="J39" s="103"/>
      <x:c r="K39" s="103"/>
      <x:c r="L39" s="103"/>
      <x:c r="M39" s="103"/>
      <x:c r="N39" s="103"/>
    </x:row>
    <x:row r="40">
      <x:c r="A40" s="62" t="str">
        <x:v>A34</x:v>
      </x:c>
      <x:c r="B40" s="62" t="str">
        <x:v>Payment claims equal package ceiling</x:v>
      </x:c>
      <x:c r="C40" s="62" t="n">
        <x:f>ROUND(SUM('Payment Schedule'!E7:E186)-'Package Build'!H37,6)</x:f>
        <x:v>0</x:v>
      </x:c>
      <x:c r="D40" s="62" t="n">
        <x:v>0</x:v>
      </x:c>
      <x:c r="E40" s="62" t="str">
        <x:f>IF(ABS(C40-D40)&lt;=Inputs!$B$22,"PASS","FAIL")</x:f>
        <x:v>PASS</x:v>
      </x:c>
      <x:c r="F40" s="103"/>
      <x:c r="G40" s="103"/>
      <x:c r="H40" s="103"/>
      <x:c r="I40" s="103"/>
      <x:c r="J40" s="103"/>
      <x:c r="K40" s="103"/>
      <x:c r="L40" s="103"/>
      <x:c r="M40" s="103"/>
      <x:c r="N40" s="103"/>
    </x:row>
    <x:row r="41">
      <x:c r="A41" s="62" t="str">
        <x:v>A35</x:v>
      </x:c>
      <x:c r="B41" s="62" t="str">
        <x:v>No claim is overpaid</x:v>
      </x:c>
      <x:c r="C41" s="62" t="n">
        <x:f>COUNTIF('Payment Schedule'!L7:L186,"OVERPAID")</x:f>
        <x:v>0</x:v>
      </x:c>
      <x:c r="D41" s="62" t="n">
        <x:v>0</x:v>
      </x:c>
      <x:c r="E41" s="62" t="str">
        <x:f>IF(ABS(C41-D41)&lt;=Inputs!$B$22,"PASS","FAIL")</x:f>
        <x:v>PASS</x:v>
      </x:c>
      <x:c r="F41" s="103"/>
      <x:c r="G41" s="103"/>
      <x:c r="H41" s="103"/>
      <x:c r="I41" s="103"/>
      <x:c r="J41" s="103"/>
      <x:c r="K41" s="103"/>
      <x:c r="L41" s="103"/>
      <x:c r="M41" s="103"/>
      <x:c r="N41" s="103"/>
    </x:row>
    <x:row r="42">
      <x:c r="A42" s="62" t="str">
        <x:v>A36</x:v>
      </x:c>
      <x:c r="B42" s="62" t="str">
        <x:v>No negative package ceiling</x:v>
      </x:c>
      <x:c r="C42" s="62" t="n">
        <x:f>COUNTIF('Package Build'!H7:H36,"&lt;0")</x:f>
        <x:v>0</x:v>
      </x:c>
      <x:c r="D42" s="62" t="n">
        <x:v>0</x:v>
      </x:c>
      <x:c r="E42" s="62" t="str">
        <x:f>IF(ABS(C42-D42)&lt;=Inputs!$B$22,"PASS","FAIL")</x:f>
        <x:v>PASS</x:v>
      </x:c>
      <x:c r="F42" s="103"/>
      <x:c r="G42" s="103"/>
      <x:c r="H42" s="103"/>
      <x:c r="I42" s="103"/>
      <x:c r="J42" s="103"/>
      <x:c r="K42" s="103"/>
      <x:c r="L42" s="103"/>
      <x:c r="M42" s="103"/>
      <x:c r="N42" s="103"/>
    </x:row>
    <x:row r="43">
      <x:c r="A43" s="62" t="str">
        <x:v>A37</x:v>
      </x:c>
      <x:c r="B43" s="62" t="str">
        <x:v>Thirty unique package identifiers</x:v>
      </x:c>
      <x:c r="C43" s="62" t="n">
        <x:f>COUNTIF('Package Build'!$A$7:$A$36,'Package Build'!A7)+COUNTIF('Package Build'!$A$7:$A$36,'Package Build'!A8)+COUNTIF('Package Build'!$A$7:$A$36,'Package Build'!A9)+COUNTIF('Package Build'!$A$7:$A$36,'Package Build'!A10)+COUNTIF('Package Build'!$A$7:$A$36,'Package Build'!A11)+COUNTIF('Package Build'!$A$7:$A$36,'Package Build'!A12)+COUNTIF('Package Build'!$A$7:$A$36,'Package Build'!A13)+COUNTIF('Package Build'!$A$7:$A$36,'Package Build'!A14)+COUNTIF('Package Build'!$A$7:$A$36,'Package Build'!A15)+COUNTIF('Package Build'!$A$7:$A$36,'Package Build'!A16)+COUNTIF('Package Build'!$A$7:$A$36,'Package Build'!A17)+COUNTIF('Package Build'!$A$7:$A$36,'Package Build'!A18)+COUNTIF('Package Build'!$A$7:$A$36,'Package Build'!A19)+COUNTIF('Package Build'!$A$7:$A$36,'Package Build'!A20)+COUNTIF('Package Build'!$A$7:$A$36,'Package Build'!A21)+COUNTIF('Package Build'!$A$7:$A$36,'Package Build'!A22)+COUNTIF('Package Build'!$A$7:$A$36,'Package Build'!A23)+COUNTIF('Package Build'!$A$7:$A$36,'Package Build'!A24)+COUNTIF('Package Build'!$A$7:$A$36,'Package Build'!A25)+COUNTIF('Package Build'!$A$7:$A$36,'Package Build'!A26)+COUNTIF('Package Build'!$A$7:$A$36,'Package Build'!A27)+COUNTIF('Package Build'!$A$7:$A$36,'Package Build'!A28)+COUNTIF('Package Build'!$A$7:$A$36,'Package Build'!A29)+COUNTIF('Package Build'!$A$7:$A$36,'Package Build'!A30)+COUNTIF('Package Build'!$A$7:$A$36,'Package Build'!A31)+COUNTIF('Package Build'!$A$7:$A$36,'Package Build'!A32)+COUNTIF('Package Build'!$A$7:$A$36,'Package Build'!A33)+COUNTIF('Package Build'!$A$7:$A$36,'Package Build'!A34)+COUNTIF('Package Build'!$A$7:$A$36,'Package Build'!A35)+COUNTIF('Package Build'!$A$7:$A$36,'Package Build'!A36)</x:f>
        <x:v>30</x:v>
      </x:c>
      <x:c r="D43" s="62" t="n">
        <x:v>30</x:v>
      </x:c>
      <x:c r="E43" s="62" t="str">
        <x:f>IF(ABS(C43-D43)&lt;=Inputs!$B$22,"PASS","FAIL")</x:f>
        <x:v>PASS</x:v>
      </x:c>
      <x:c r="F43" s="103"/>
      <x:c r="G43" s="103"/>
      <x:c r="H43" s="103"/>
      <x:c r="I43" s="103"/>
      <x:c r="J43" s="103"/>
      <x:c r="K43" s="103"/>
      <x:c r="L43" s="103"/>
      <x:c r="M43" s="103"/>
      <x:c r="N43" s="103"/>
    </x:row>
    <x:row r="44">
      <x:c r="A44" s="62" t="str">
        <x:v>A38</x:v>
      </x:c>
      <x:c r="B44" s="62" t="str">
        <x:v>Milestone shares total 100 percent</x:v>
      </x:c>
      <x:c r="C44" s="62" t="n">
        <x:f>ROUND(Inputs!C57,6)</x:f>
        <x:v>1</x:v>
      </x:c>
      <x:c r="D44" s="62" t="n">
        <x:v>1</x:v>
      </x:c>
      <x:c r="E44" s="62" t="str">
        <x:f>IF(ABS(C44-D44)&lt;=Inputs!$B$22,"PASS","FAIL")</x:f>
        <x:v>PASS</x:v>
      </x:c>
      <x:c r="F44" s="103"/>
      <x:c r="G44" s="103"/>
      <x:c r="H44" s="103"/>
      <x:c r="I44" s="103"/>
      <x:c r="J44" s="103"/>
      <x:c r="K44" s="103"/>
      <x:c r="L44" s="103"/>
      <x:c r="M44" s="103"/>
      <x:c r="N44" s="103"/>
    </x:row>
    <x:row r="45">
      <x:c r="A45" s="62" t="str">
        <x:v>A39</x:v>
      </x:c>
      <x:c r="B45" s="62" t="str">
        <x:v>Package shares total 100 percent</x:v>
      </x:c>
      <x:c r="C45" s="62" t="n">
        <x:f>ROUND(Inputs!C45,6)</x:f>
        <x:v>1</x:v>
      </x:c>
      <x:c r="D45" s="62" t="n">
        <x:v>1</x:v>
      </x:c>
      <x:c r="E45" s="62" t="str">
        <x:f>IF(ABS(C45-D45)&lt;=Inputs!$B$22,"PASS","FAIL")</x:f>
        <x:v>PASS</x:v>
      </x:c>
      <x:c r="F45" s="103"/>
      <x:c r="G45" s="103"/>
      <x:c r="H45" s="103"/>
      <x:c r="I45" s="103"/>
      <x:c r="J45" s="103"/>
      <x:c r="K45" s="103"/>
      <x:c r="L45" s="103"/>
      <x:c r="M45" s="103"/>
      <x:c r="N45" s="103"/>
    </x:row>
    <x:row r="46">
      <x:c r="A46" s="62" t="str">
        <x:v>A40</x:v>
      </x:c>
      <x:c r="B46" s="62" t="str">
        <x:v>Finance warrants remain zero</x:v>
      </x:c>
      <x:c r="C46" s="62" t="n">
        <x:f>SUM('Payment Schedule'!H7:H186)</x:f>
        <x:v>0</x:v>
      </x:c>
      <x:c r="D46" s="62" t="n">
        <x:v>0</x:v>
      </x:c>
      <x:c r="E46" s="62" t="str">
        <x:f>IF(ABS(C46-D46)&lt;=Inputs!$B$22,"PASS","FAIL")</x:f>
        <x:v>PASS</x:v>
      </x:c>
      <x:c r="F46" s="103"/>
      <x:c r="G46" s="103"/>
      <x:c r="H46" s="103"/>
      <x:c r="I46" s="103"/>
      <x:c r="J46" s="103"/>
      <x:c r="K46" s="103"/>
      <x:c r="L46" s="103"/>
      <x:c r="M46" s="103"/>
      <x:c r="N46" s="103"/>
    </x:row>
    <x:row r="47">
      <x:c r="A47" s="62" t="str">
        <x:v>A41</x:v>
      </x:c>
      <x:c r="B47" s="62" t="str">
        <x:v>Input artifact ledger remains zero</x:v>
      </x:c>
      <x:c r="C47" s="62" t="n">
        <x:f>Inputs!B11</x:f>
        <x:v>0</x:v>
      </x:c>
      <x:c r="D47" s="62" t="n">
        <x:v>0</x:v>
      </x:c>
      <x:c r="E47" s="62" t="str">
        <x:f>IF(ABS(C47-D47)&lt;=Inputs!$B$22,"PASS","FAIL")</x:f>
        <x:v>PASS</x:v>
      </x:c>
      <x:c r="F47" s="103"/>
      <x:c r="G47" s="103"/>
      <x:c r="H47" s="103"/>
      <x:c r="I47" s="103"/>
      <x:c r="J47" s="103"/>
      <x:c r="K47" s="103"/>
      <x:c r="L47" s="103"/>
      <x:c r="M47" s="103"/>
      <x:c r="N47" s="103"/>
    </x:row>
    <x:row r="48">
      <x:c r="A48" s="62" t="str">
        <x:v>A42</x:v>
      </x:c>
      <x:c r="B48" s="62" t="str">
        <x:v>Input payment ledger remains zero</x:v>
      </x:c>
      <x:c r="C48" s="62" t="n">
        <x:f>Inputs!B12</x:f>
        <x:v>0</x:v>
      </x:c>
      <x:c r="D48" s="62" t="n">
        <x:v>0</x:v>
      </x:c>
      <x:c r="E48" s="62" t="str">
        <x:f>IF(ABS(C48-D48)&lt;=Inputs!$B$22,"PASS","FAIL")</x:f>
        <x:v>PASS</x:v>
      </x:c>
      <x:c r="F48" s="103"/>
      <x:c r="G48" s="103"/>
      <x:c r="H48" s="103"/>
      <x:c r="I48" s="103"/>
      <x:c r="J48" s="103"/>
      <x:c r="K48" s="103"/>
      <x:c r="L48" s="103"/>
      <x:c r="M48" s="103"/>
      <x:c r="N48" s="103"/>
    </x:row>
    <x:row r="49">
      <x:c r="A49" s="62" t="str">
        <x:v>A43</x:v>
      </x:c>
      <x:c r="B49" s="62" t="str">
        <x:v>Accepted records missing source capsule</x:v>
      </x:c>
      <x:c r="C49" s="62" t="n">
        <x:f>Inputs!B20</x:f>
        <x:v>0</x:v>
      </x:c>
      <x:c r="D49" s="62" t="n">
        <x:v>0</x:v>
      </x:c>
      <x:c r="E49" s="62" t="str">
        <x:f>IF(ABS(C49-D49)&lt;=Inputs!$B$22,"PASS","FAIL")</x:f>
        <x:v>PASS</x:v>
      </x:c>
      <x:c r="F49" s="103"/>
      <x:c r="G49" s="103"/>
      <x:c r="H49" s="103"/>
      <x:c r="I49" s="103"/>
      <x:c r="J49" s="103"/>
      <x:c r="K49" s="103"/>
      <x:c r="L49" s="103"/>
      <x:c r="M49" s="103"/>
      <x:c r="N49" s="103"/>
    </x:row>
    <x:row r="50">
      <x:c r="A50" s="62" t="str">
        <x:v>A44</x:v>
      </x:c>
      <x:c r="B50" s="62" t="str">
        <x:v>All package payment controls intact</x:v>
      </x:c>
      <x:c r="C50" s="62" t="n">
        <x:f>COUNTIF('Package Build'!R7:R36,"CONTROLLED")</x:f>
        <x:v>30</x:v>
      </x:c>
      <x:c r="D50" s="62" t="n">
        <x:v>30</x:v>
      </x:c>
      <x:c r="E50" s="62" t="str">
        <x:f>IF(ABS(C50-D50)&lt;=Inputs!$B$22,"PASS","FAIL")</x:f>
        <x:v>PASS</x:v>
      </x:c>
      <x:c r="F50" s="103"/>
      <x:c r="G50" s="103"/>
      <x:c r="H50" s="103"/>
      <x:c r="I50" s="103"/>
      <x:c r="J50" s="103"/>
      <x:c r="K50" s="103"/>
      <x:c r="L50" s="103"/>
      <x:c r="M50" s="103"/>
      <x:c r="N50" s="103"/>
    </x:row>
    <x:row r="51">
      <x:c r="A51" s="62" t="str">
        <x:v>A45</x:v>
      </x:c>
      <x:c r="B51" s="62" t="str">
        <x:v>No package has technical evidence credit</x:v>
      </x:c>
      <x:c r="C51" s="62" t="n">
        <x:f>SUM('Package Build'!T7:T36)</x:f>
        <x:v>0</x:v>
      </x:c>
      <x:c r="D51" s="62" t="n">
        <x:v>0</x:v>
      </x:c>
      <x:c r="E51" s="62" t="str">
        <x:f>IF(ABS(C51-D51)&lt;=Inputs!$B$22,"PASS","FAIL")</x:f>
        <x:v>PASS</x:v>
      </x:c>
      <x:c r="F51" s="103"/>
      <x:c r="G51" s="103"/>
      <x:c r="H51" s="103"/>
      <x:c r="I51" s="103"/>
      <x:c r="J51" s="103"/>
      <x:c r="K51" s="103"/>
      <x:c r="L51" s="103"/>
      <x:c r="M51" s="103"/>
      <x:c r="N51" s="103"/>
    </x:row>
    <x:row r="52">
      <x:c r="A52" s="62" t="str">
        <x:v>A46</x:v>
      </x:c>
      <x:c r="B52" s="62" t="str">
        <x:v>No package has selection credit</x:v>
      </x:c>
      <x:c r="C52" s="62" t="n">
        <x:f>SUM('Package Build'!U7:U36)</x:f>
        <x:v>0</x:v>
      </x:c>
      <x:c r="D52" s="62" t="n">
        <x:v>0</x:v>
      </x:c>
      <x:c r="E52" s="62" t="str">
        <x:f>IF(ABS(C52-D52)&lt;=Inputs!$B$22,"PASS","FAIL")</x:f>
        <x:v>PASS</x:v>
      </x:c>
      <x:c r="F52" s="103"/>
      <x:c r="G52" s="103"/>
      <x:c r="H52" s="103"/>
      <x:c r="I52" s="103"/>
      <x:c r="J52" s="103"/>
      <x:c r="K52" s="103"/>
      <x:c r="L52" s="103"/>
      <x:c r="M52" s="103"/>
      <x:c r="N52" s="103"/>
    </x:row>
    <x:row r="53">
      <x:c r="A53" s="62" t="str">
        <x:v>A47</x:v>
      </x:c>
      <x:c r="B53" s="62" t="str">
        <x:v>No package has MAKE credit</x:v>
      </x:c>
      <x:c r="C53" s="62" t="n">
        <x:f>SUM('Package Build'!V7:V36)</x:f>
        <x:v>0</x:v>
      </x:c>
      <x:c r="D53" s="62" t="n">
        <x:v>0</x:v>
      </x:c>
      <x:c r="E53" s="62" t="str">
        <x:f>IF(ABS(C53-D53)&lt;=Inputs!$B$22,"PASS","FAIL")</x:f>
        <x:v>PASS</x:v>
      </x:c>
      <x:c r="F53" s="103"/>
      <x:c r="G53" s="103"/>
      <x:c r="H53" s="103"/>
      <x:c r="I53" s="103"/>
      <x:c r="J53" s="103"/>
      <x:c r="K53" s="103"/>
      <x:c r="L53" s="103"/>
      <x:c r="M53" s="103"/>
      <x:c r="N53" s="103"/>
    </x:row>
    <x:row r="54">
      <x:c r="A54" s="62" t="str">
        <x:v>A48</x:v>
      </x:c>
      <x:c r="B54" s="62" t="str">
        <x:v>No package has REP-4 credit</x:v>
      </x:c>
      <x:c r="C54" s="62" t="n">
        <x:f>SUM('Package Build'!W7:W36)</x:f>
        <x:v>0</x:v>
      </x:c>
      <x:c r="D54" s="62" t="n">
        <x:v>0</x:v>
      </x:c>
      <x:c r="E54" s="62" t="str">
        <x:f>IF(ABS(C54-D54)&lt;=Inputs!$B$22,"PASS","FAIL")</x:f>
        <x:v>PASS</x:v>
      </x:c>
      <x:c r="F54" s="103"/>
      <x:c r="G54" s="103"/>
      <x:c r="H54" s="103"/>
      <x:c r="I54" s="103"/>
      <x:c r="J54" s="103"/>
      <x:c r="K54" s="103"/>
      <x:c r="L54" s="103"/>
      <x:c r="M54" s="103"/>
      <x:c r="N54" s="103"/>
    </x:row>
  </x:sheetData>
  <x:mergeCells>
    <x:mergeCell ref="A2:N2"/>
    <x:mergeCell ref="A4:N4"/>
  </x:mergeCells>
  <x:conditionalFormatting sqref="E7:E54">
    <x:cfRule type="containsText" dxfId="9" priority="1" operator="containsText" text="FAIL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A6A6A6"/>
  </x:sheetPr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110"/>
      <x:c r="B1" s="110"/>
      <x:c r="C1" s="110"/>
      <x:c r="D1" s="110"/>
      <x:c r="E1" s="110"/>
      <x:c r="F1" s="110"/>
      <x:c r="G1" s="103"/>
      <x:c r="H1" s="103"/>
      <x:c r="I1" s="103"/>
      <x:c r="J1" s="103"/>
      <x:c r="K1" s="103"/>
      <x:c r="L1" s="103"/>
      <x:c r="M1" s="103"/>
      <x:c r="N1" s="103"/>
    </x:row>
    <x:row r="2">
      <x:c r="A2" s="2" t="str">
        <x:v>Model notes and limits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  <x:c r="N2" s="103"/>
    </x:row>
    <x:row r="3">
      <x:c r="A3" s="104"/>
      <x:c r="B3" s="104"/>
      <x:c r="C3" s="104"/>
      <x:c r="D3" s="104"/>
      <x:c r="E3" s="104"/>
      <x:c r="F3" s="104"/>
      <x:c r="G3" s="104"/>
      <x:c r="H3" s="104"/>
      <x:c r="I3" s="104"/>
      <x:c r="J3" s="104"/>
      <x:c r="K3" s="104"/>
      <x:c r="L3" s="104"/>
      <x:c r="M3" s="104"/>
      <x:c r="N3" s="104"/>
    </x:row>
    <x:row r="4">
      <x:c r="A4" s="105" t="str">
        <x:v>This workbook constitutes a design-control architecture. It does not assert that any artifact, payment or physical event exists.</x:v>
      </x:c>
      <x:c r="B4" s="103"/>
      <x:c r="C4" s="103"/>
      <x:c r="D4" s="103"/>
      <x:c r="E4" s="103"/>
      <x:c r="F4" s="103"/>
      <x:c r="G4" s="103"/>
      <x:c r="H4" s="103"/>
      <x:c r="I4" s="103"/>
      <x:c r="J4" s="103"/>
      <x:c r="K4" s="103"/>
      <x:c r="L4" s="103"/>
      <x:c r="M4" s="103"/>
      <x:c r="N4" s="103"/>
    </x:row>
    <x:row r="5">
      <x:c r="A5" s="103"/>
      <x:c r="B5" s="103"/>
      <x:c r="C5" s="103"/>
      <x:c r="D5" s="103"/>
      <x:c r="E5" s="103"/>
      <x:c r="F5" s="103"/>
      <x:c r="G5" s="103"/>
      <x:c r="H5" s="103"/>
      <x:c r="I5" s="103"/>
      <x:c r="J5" s="103"/>
      <x:c r="K5" s="103"/>
      <x:c r="L5" s="103"/>
      <x:c r="M5" s="103"/>
      <x:c r="N5" s="103"/>
    </x:row>
    <x:row r="6">
      <x:c r="A6" s="10" t="str">
        <x:v>Purpose</x:v>
      </x:c>
      <x:c r="B6" s="11" t="str">
        <x:v>Purpose</x:v>
      </x:c>
      <x:c r="C6" s="11" t="str">
        <x:v>Purpose</x:v>
      </x:c>
      <x:c r="D6" s="11" t="str">
        <x:v>Purpose</x:v>
      </x:c>
      <x:c r="E6" s="11" t="str">
        <x:v>Purpose</x:v>
      </x:c>
      <x:c r="F6" s="12" t="str">
        <x:v>Purpose</x:v>
      </x:c>
      <x:c r="G6" s="103"/>
      <x:c r="H6" s="103"/>
      <x:c r="I6" s="103"/>
      <x:c r="J6" s="103"/>
      <x:c r="K6" s="103"/>
      <x:c r="L6" s="103"/>
      <x:c r="M6" s="103"/>
      <x:c r="N6" s="103"/>
    </x:row>
    <x:row r="7">
      <x:c r="A7" s="103"/>
      <x:c r="B7" s="103"/>
      <x:c r="C7" s="103"/>
      <x:c r="D7" s="103"/>
      <x:c r="E7" s="103"/>
      <x:c r="F7" s="103"/>
      <x:c r="G7" s="103"/>
      <x:c r="H7" s="103"/>
      <x:c r="I7" s="103"/>
      <x:c r="J7" s="103"/>
      <x:c r="K7" s="103"/>
      <x:c r="L7" s="103"/>
      <x:c r="M7" s="103"/>
      <x:c r="N7" s="103"/>
    </x:row>
    <x:row r="8" ht="34" customHeight="1">
      <x:c r="A8" s="62" t="str">
        <x:v>The model tests whether cohort-one design work can reach artifact acceptance and payment without manufacturing evidence or form authority.</x:v>
      </x:c>
      <x:c r="B8" s="62"/>
      <x:c r="C8" s="62"/>
      <x:c r="D8" s="62"/>
      <x:c r="E8" s="62"/>
      <x:c r="F8" s="62"/>
      <x:c r="G8" s="103"/>
      <x:c r="H8" s="103"/>
      <x:c r="I8" s="103"/>
      <x:c r="J8" s="103"/>
      <x:c r="K8" s="103"/>
      <x:c r="L8" s="103"/>
      <x:c r="M8" s="103"/>
      <x:c r="N8" s="103"/>
    </x:row>
    <x:row r="9" ht="34" customHeight="1">
      <x:c r="A9" s="62" t="str">
        <x:v>The financial build partitions the inherited USD179M cohort-one obligation. It adds no money and preserves the USD359M sibling reserve.</x:v>
      </x:c>
      <x:c r="B9" s="62"/>
      <x:c r="C9" s="62"/>
      <x:c r="D9" s="62"/>
      <x:c r="E9" s="62"/>
      <x:c r="F9" s="62"/>
      <x:c r="G9" s="103"/>
      <x:c r="H9" s="103"/>
      <x:c r="I9" s="103"/>
      <x:c r="J9" s="103"/>
      <x:c r="K9" s="103"/>
      <x:c r="L9" s="103"/>
      <x:c r="M9" s="103"/>
      <x:c r="N9" s="103"/>
    </x:row>
    <x:row r="10" ht="34" customHeight="1">
      <x:c r="A10" s="62" t="str">
        <x:v>Validity means source identity, executable reconstruction, explicit unknowns, rights closure and independent challenge. It does not mean predicted performance is true.</x:v>
      </x:c>
      <x:c r="B10" s="62"/>
      <x:c r="C10" s="62"/>
      <x:c r="D10" s="62"/>
      <x:c r="E10" s="62"/>
      <x:c r="F10" s="62"/>
      <x:c r="G10" s="103"/>
      <x:c r="H10" s="103"/>
      <x:c r="I10" s="103"/>
      <x:c r="J10" s="103"/>
      <x:c r="K10" s="103"/>
      <x:c r="L10" s="103"/>
      <x:c r="M10" s="103"/>
      <x:c r="N10" s="103"/>
    </x:row>
    <x:row r="11" ht="34" customHeight="1">
      <x:c r="A11" s="62" t="str">
        <x:v>All current artifact, payment, observation, selection, MAKE and REP-4 ledgers remain zero.</x:v>
      </x:c>
      <x:c r="B11" s="62"/>
      <x:c r="C11" s="62"/>
      <x:c r="D11" s="62"/>
      <x:c r="E11" s="62"/>
      <x:c r="F11" s="62"/>
      <x:c r="G11" s="103"/>
      <x:c r="H11" s="103"/>
      <x:c r="I11" s="103"/>
      <x:c r="J11" s="103"/>
      <x:c r="K11" s="103"/>
      <x:c r="L11" s="103"/>
      <x:c r="M11" s="103"/>
      <x:c r="N11" s="103"/>
    </x:row>
    <x:row r="12">
      <x:c r="A12" s="62"/>
      <x:c r="B12" s="62"/>
      <x:c r="C12" s="62"/>
      <x:c r="D12" s="62"/>
      <x:c r="E12" s="62"/>
      <x:c r="F12" s="62"/>
      <x:c r="G12" s="103"/>
      <x:c r="H12" s="103"/>
      <x:c r="I12" s="103"/>
      <x:c r="J12" s="103"/>
      <x:c r="K12" s="103"/>
      <x:c r="L12" s="103"/>
      <x:c r="M12" s="103"/>
      <x:c r="N12" s="103"/>
    </x:row>
    <x:row r="13">
      <x:c r="A13" s="62"/>
      <x:c r="B13" s="62"/>
      <x:c r="C13" s="62"/>
      <x:c r="D13" s="62"/>
      <x:c r="E13" s="62"/>
      <x:c r="F13" s="62"/>
      <x:c r="G13" s="103"/>
      <x:c r="H13" s="103"/>
      <x:c r="I13" s="103"/>
      <x:c r="J13" s="103"/>
      <x:c r="K13" s="103"/>
      <x:c r="L13" s="103"/>
      <x:c r="M13" s="103"/>
      <x:c r="N13" s="103"/>
    </x:row>
    <x:row r="14">
      <x:c r="A14" s="51" t="str">
        <x:v>Workbook logic</x:v>
      </x:c>
      <x:c r="B14" s="52" t="str">
        <x:v>Workbook logic</x:v>
      </x:c>
      <x:c r="C14" s="52" t="str">
        <x:v>Workbook logic</x:v>
      </x:c>
      <x:c r="D14" s="52" t="str">
        <x:v>Workbook logic</x:v>
      </x:c>
      <x:c r="E14" s="52" t="str">
        <x:v>Workbook logic</x:v>
      </x:c>
      <x:c r="F14" s="53" t="str">
        <x:v>Workbook logic</x:v>
      </x:c>
      <x:c r="G14" s="103"/>
      <x:c r="H14" s="103"/>
      <x:c r="I14" s="103"/>
      <x:c r="J14" s="103"/>
      <x:c r="K14" s="103"/>
      <x:c r="L14" s="103"/>
      <x:c r="M14" s="103"/>
      <x:c r="N14" s="103"/>
    </x:row>
    <x:row r="15">
      <x:c r="A15" s="62"/>
      <x:c r="B15" s="62"/>
      <x:c r="C15" s="62"/>
      <x:c r="D15" s="62"/>
      <x:c r="E15" s="62"/>
      <x:c r="F15" s="62"/>
      <x:c r="G15" s="103"/>
      <x:c r="H15" s="103"/>
      <x:c r="I15" s="103"/>
      <x:c r="J15" s="103"/>
      <x:c r="K15" s="103"/>
      <x:c r="L15" s="103"/>
      <x:c r="M15" s="103"/>
      <x:c r="N15" s="103"/>
    </x:row>
    <x:row r="16" ht="30" customHeight="1">
      <x:c r="A16" s="62" t="str">
        <x:v>Inputs owns inherited ceilings and editable current-state controls.</x:v>
      </x:c>
      <x:c r="B16" s="62"/>
      <x:c r="C16" s="62"/>
      <x:c r="D16" s="62"/>
      <x:c r="E16" s="62"/>
      <x:c r="F16" s="62"/>
      <x:c r="G16" s="103"/>
      <x:c r="H16" s="103"/>
      <x:c r="I16" s="103"/>
      <x:c r="J16" s="103"/>
      <x:c r="K16" s="103"/>
      <x:c r="L16" s="103"/>
      <x:c r="M16" s="103"/>
      <x:c r="N16" s="103"/>
    </x:row>
    <x:row r="17" ht="30" customHeight="1">
      <x:c r="A17" s="62" t="str">
        <x:v>Package Build allocates each form ceiling across five work packages and four protected accounts.</x:v>
      </x:c>
      <x:c r="B17" s="62"/>
      <x:c r="C17" s="62"/>
      <x:c r="D17" s="62"/>
      <x:c r="E17" s="62"/>
      <x:c r="F17" s="62"/>
      <x:c r="G17" s="103"/>
      <x:c r="H17" s="103"/>
      <x:c r="I17" s="103"/>
      <x:c r="J17" s="103"/>
      <x:c r="K17" s="103"/>
      <x:c r="L17" s="103"/>
      <x:c r="M17" s="103"/>
      <x:c r="N17" s="103"/>
    </x:row>
    <x:row r="18" ht="30" customHeight="1">
      <x:c r="A18" s="62" t="str">
        <x:v>Validity Gates records twelve conjunctive predicates per package.</x:v>
      </x:c>
      <x:c r="B18" s="62"/>
      <x:c r="C18" s="62"/>
      <x:c r="D18" s="62"/>
      <x:c r="E18" s="62"/>
      <x:c r="F18" s="62"/>
      <x:c r="G18" s="103"/>
      <x:c r="H18" s="103"/>
      <x:c r="I18" s="103"/>
      <x:c r="J18" s="103"/>
      <x:c r="K18" s="103"/>
      <x:c r="L18" s="103"/>
      <x:c r="M18" s="103"/>
      <x:c r="N18" s="103"/>
    </x:row>
    <x:row r="19" ht="30" customHeight="1">
      <x:c r="A19" s="62" t="str">
        <x:v>Payment Schedule creates six potential artifact claims per package. Separate validity and finance warrants are required.</x:v>
      </x:c>
      <x:c r="B19" s="62"/>
      <x:c r="C19" s="62"/>
      <x:c r="D19" s="62"/>
      <x:c r="E19" s="62"/>
      <x:c r="F19" s="62"/>
      <x:c r="G19" s="103"/>
      <x:c r="H19" s="103"/>
      <x:c r="I19" s="103"/>
      <x:c r="J19" s="103"/>
      <x:c r="K19" s="103"/>
      <x:c r="L19" s="103"/>
      <x:c r="M19" s="103"/>
      <x:c r="N19" s="103"/>
    </x:row>
    <x:row r="20" ht="30" customHeight="1">
      <x:c r="A20" s="62" t="str">
        <x:v>Authority Controls compares five architectures and checks role conflicts.</x:v>
      </x:c>
      <x:c r="B20" s="62"/>
      <x:c r="C20" s="62"/>
      <x:c r="D20" s="62"/>
      <x:c r="E20" s="62"/>
      <x:c r="F20" s="62"/>
      <x:c r="G20" s="103"/>
      <x:c r="H20" s="103"/>
      <x:c r="I20" s="103"/>
      <x:c r="J20" s="103"/>
      <x:c r="K20" s="103"/>
      <x:c r="L20" s="103"/>
      <x:c r="M20" s="103"/>
      <x:c r="N20" s="103"/>
    </x:row>
    <x:row r="21" ht="30" customHeight="1">
      <x:c r="A21" s="62" t="str">
        <x:v>State Law fixes transitions and nonconversions.</x:v>
      </x:c>
      <x:c r="B21" s="62"/>
      <x:c r="C21" s="62"/>
      <x:c r="D21" s="62"/>
      <x:c r="E21" s="62"/>
      <x:c r="F21" s="62"/>
      <x:c r="G21" s="103"/>
      <x:c r="H21" s="103"/>
      <x:c r="I21" s="103"/>
      <x:c r="J21" s="103"/>
      <x:c r="K21" s="103"/>
      <x:c r="L21" s="103"/>
      <x:c r="M21" s="103"/>
      <x:c r="N21" s="103"/>
    </x:row>
    <x:row r="22" ht="30" customHeight="1">
      <x:c r="A22" s="62" t="str">
        <x:v>Audit observes the model. No output or business calculation depends on Audit.</x:v>
      </x:c>
      <x:c r="B22" s="62"/>
      <x:c r="C22" s="62"/>
      <x:c r="D22" s="62"/>
      <x:c r="E22" s="62"/>
      <x:c r="F22" s="62"/>
      <x:c r="G22" s="103"/>
      <x:c r="H22" s="103"/>
      <x:c r="I22" s="103"/>
      <x:c r="J22" s="103"/>
      <x:c r="K22" s="103"/>
      <x:c r="L22" s="103"/>
      <x:c r="M22" s="103"/>
      <x:c r="N22" s="103"/>
    </x:row>
    <x:row r="23">
      <x:c r="A23" s="62"/>
      <x:c r="B23" s="62"/>
      <x:c r="C23" s="62"/>
      <x:c r="D23" s="62"/>
      <x:c r="E23" s="62"/>
      <x:c r="F23" s="62"/>
      <x:c r="G23" s="103"/>
      <x:c r="H23" s="103"/>
      <x:c r="I23" s="103"/>
      <x:c r="J23" s="103"/>
      <x:c r="K23" s="103"/>
      <x:c r="L23" s="103"/>
      <x:c r="M23" s="103"/>
      <x:c r="N23" s="103"/>
    </x:row>
    <x:row r="24">
      <x:c r="A24" s="62"/>
      <x:c r="B24" s="62"/>
      <x:c r="C24" s="62"/>
      <x:c r="D24" s="62"/>
      <x:c r="E24" s="62"/>
      <x:c r="F24" s="62"/>
      <x:c r="G24" s="103"/>
      <x:c r="H24" s="103"/>
      <x:c r="I24" s="103"/>
      <x:c r="J24" s="103"/>
      <x:c r="K24" s="103"/>
      <x:c r="L24" s="103"/>
      <x:c r="M24" s="103"/>
      <x:c r="N24" s="103"/>
    </x:row>
    <x:row r="25">
      <x:c r="A25" s="51" t="str">
        <x:v>Limits</x:v>
      </x:c>
      <x:c r="B25" s="52" t="str">
        <x:v>Limits</x:v>
      </x:c>
      <x:c r="C25" s="52" t="str">
        <x:v>Limits</x:v>
      </x:c>
      <x:c r="D25" s="52" t="str">
        <x:v>Limits</x:v>
      </x:c>
      <x:c r="E25" s="52" t="str">
        <x:v>Limits</x:v>
      </x:c>
      <x:c r="F25" s="53" t="str">
        <x:v>Limits</x:v>
      </x:c>
      <x:c r="G25" s="103"/>
      <x:c r="H25" s="103"/>
      <x:c r="I25" s="103"/>
      <x:c r="J25" s="103"/>
      <x:c r="K25" s="103"/>
      <x:c r="L25" s="103"/>
      <x:c r="M25" s="103"/>
      <x:c r="N25" s="103"/>
    </x:row>
    <x:row r="26">
      <x:c r="A26" s="62"/>
      <x:c r="B26" s="62"/>
      <x:c r="C26" s="62"/>
      <x:c r="D26" s="62"/>
      <x:c r="E26" s="62"/>
      <x:c r="F26" s="62"/>
      <x:c r="G26" s="103"/>
      <x:c r="H26" s="103"/>
      <x:c r="I26" s="103"/>
      <x:c r="J26" s="103"/>
      <x:c r="K26" s="103"/>
      <x:c r="L26" s="103"/>
      <x:c r="M26" s="103"/>
      <x:c r="N26" s="103"/>
    </x:row>
    <x:row r="27" ht="34" customHeight="1">
      <x:c r="A27" s="62" t="str">
        <x:v>All durations, costs and allocations are planning controls inherited from prior passes or selected for this design decision.</x:v>
      </x:c>
      <x:c r="B27" s="62"/>
      <x:c r="C27" s="62"/>
      <x:c r="D27" s="62"/>
      <x:c r="E27" s="62"/>
      <x:c r="F27" s="62"/>
      <x:c r="G27" s="103"/>
      <x:c r="H27" s="103"/>
      <x:c r="I27" s="103"/>
      <x:c r="J27" s="103"/>
      <x:c r="K27" s="103"/>
      <x:c r="L27" s="103"/>
      <x:c r="M27" s="103"/>
      <x:c r="N27" s="103"/>
    </x:row>
    <x:row r="28" ht="34" customHeight="1">
      <x:c r="A28" s="62" t="str">
        <x:v>Independent replay tests reproducibility of a design artifact. It cannot substitute for a destructive physical event.</x:v>
      </x:c>
      <x:c r="B28" s="62"/>
      <x:c r="C28" s="62"/>
      <x:c r="D28" s="62"/>
      <x:c r="E28" s="62"/>
      <x:c r="F28" s="62"/>
      <x:c r="G28" s="103"/>
      <x:c r="H28" s="103"/>
      <x:c r="I28" s="103"/>
      <x:c r="J28" s="103"/>
      <x:c r="K28" s="103"/>
      <x:c r="L28" s="103"/>
      <x:c r="M28" s="103"/>
      <x:c r="N28" s="103"/>
    </x:row>
    <x:row r="29" ht="34" customHeight="1">
      <x:c r="A29" s="62" t="str">
        <x:v>No external sources were used. Repository Passes 226, 227, 229 and 230 are the controlling inputs.</x:v>
      </x:c>
      <x:c r="B29" s="62"/>
      <x:c r="C29" s="62"/>
      <x:c r="D29" s="62"/>
      <x:c r="E29" s="62"/>
      <x:c r="F29" s="62"/>
      <x:c r="G29" s="103"/>
      <x:c r="H29" s="103"/>
      <x:c r="I29" s="103"/>
      <x:c r="J29" s="103"/>
      <x:c r="K29" s="103"/>
      <x:c r="L29" s="103"/>
      <x:c r="M29" s="103"/>
      <x:c r="N29" s="103"/>
    </x:row>
    <x:row r="30" ht="34" customHeight="1">
      <x:c r="A30" s="62" t="str">
        <x:v>Exterior vehicle rendering remains deferred.</x:v>
      </x:c>
      <x:c r="B30" s="62"/>
      <x:c r="C30" s="62"/>
      <x:c r="D30" s="62"/>
      <x:c r="E30" s="62"/>
      <x:c r="F30" s="62"/>
      <x:c r="G30" s="103"/>
      <x:c r="H30" s="103"/>
      <x:c r="I30" s="103"/>
      <x:c r="J30" s="103"/>
      <x:c r="K30" s="103"/>
      <x:c r="L30" s="103"/>
      <x:c r="M30" s="103"/>
      <x:c r="N30" s="103"/>
    </x:row>
  </x:sheetData>
  <x:mergeCells>
    <x:mergeCell ref="A2:N2"/>
    <x:mergeCell ref="A4:N4"/>
    <x:mergeCell ref="A6:F6"/>
    <x:mergeCell ref="A8:F8"/>
    <x:mergeCell ref="A9:F9"/>
    <x:mergeCell ref="A10:F10"/>
    <x:mergeCell ref="A11:F11"/>
    <x:mergeCell ref="A14:F14"/>
    <x:mergeCell ref="A16:F16"/>
    <x:mergeCell ref="A17:F17"/>
    <x:mergeCell ref="A18:F18"/>
    <x:mergeCell ref="A19:F19"/>
    <x:mergeCell ref="A20:F20"/>
    <x:mergeCell ref="A21:F21"/>
    <x:mergeCell ref="A22:F22"/>
    <x:mergeCell ref="A25:F25"/>
    <x:mergeCell ref="A27:F27"/>
    <x:mergeCell ref="A28:F28"/>
    <x:mergeCell ref="A29:F29"/>
    <x:mergeCell ref="A30:F30"/>
  </x:mergeCells>
  <x:pageMargins left="0.7" right="0.7" top="0.75" bottom="0.75" header="0.3" footer="0.3"/>
</x:worksheet>
</file>