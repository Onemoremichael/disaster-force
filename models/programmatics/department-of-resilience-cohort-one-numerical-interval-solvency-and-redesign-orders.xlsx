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Decision Tests" sheetId="2" state="visible" r:id="rId4"/>
    <sheet name="Form Results" sheetId="3" state="visible" r:id="rId5"/>
    <sheet name="Closure Cells" sheetId="4" state="visible" r:id="rId6"/>
    <sheet name="Loss Rating Orders" sheetId="5" state="visible" r:id="rId7"/>
    <sheet name="Sensitivity" sheetId="6" state="visible" r:id="rId8"/>
    <sheet name="Coefficient Register" sheetId="7" state="visible" r:id="rId9"/>
    <sheet name="Thermal Experiments" sheetId="8" state="visible" r:id="rId10"/>
    <sheet name="World Rules" sheetId="9" state="visible" r:id="rId11"/>
    <sheet name="Finance" sheetId="10" state="visible" r:id="rId12"/>
    <sheet name="Inputs" sheetId="11" state="visible" r:id="rId13"/>
    <sheet name="Source Inputs" sheetId="12" state="visible" r:id="rId14"/>
    <sheet name="Mutations" sheetId="13" state="visible" r:id="rId15"/>
    <sheet name="Audit" sheetId="14" state="visible" r:id="rId16"/>
    <sheet name="ReadMe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<sst xmlns="http://schemas.openxmlformats.org/spreadsheetml/2006/main" count="2031" uniqueCount="874">
  <si>
    <t xml:space="preserve">Cohort-one numerical interval solvency</t>
  </si>
  <si>
    <t xml:space="preserve">Pass 237 closes the numerical question negatively: all six forms require redesign and bounded physical coefficients.</t>
  </si>
  <si>
    <t xml:space="preserve">Decision</t>
  </si>
  <si>
    <t xml:space="preserve">Form</t>
  </si>
  <si>
    <t xml:space="preserve">Current maximum interval</t>
  </si>
  <si>
    <t xml:space="preserve">Required interval</t>
  </si>
  <si>
    <t xml:space="preserve">ET-A-A</t>
  </si>
  <si>
    <t xml:space="preserve">Method</t>
  </si>
  <si>
    <t xml:space="preserve">NIS-1</t>
  </si>
  <si>
    <t xml:space="preserve">Lower capacity must meet upper requirement under source-specific intervals</t>
  </si>
  <si>
    <t xml:space="preserve">CT-C-B</t>
  </si>
  <si>
    <t xml:space="preserve">Selected two-sided screen</t>
  </si>
  <si>
    <t xml:space="preserve">2.5% capacity downside and 2.5% requirement upside</t>
  </si>
  <si>
    <t xml:space="preserve">HC-A-C</t>
  </si>
  <si>
    <t xml:space="preserve">Required raw capacity ratio</t>
  </si>
  <si>
    <t xml:space="preserve">direct arithmetic</t>
  </si>
  <si>
    <t xml:space="preserve">LF-B-A</t>
  </si>
  <si>
    <t xml:space="preserve">Forms closing all worlds</t>
  </si>
  <si>
    <t xml:space="preserve">none</t>
  </si>
  <si>
    <t xml:space="preserve">HU-A-B</t>
  </si>
  <si>
    <t xml:space="preserve">Largest-loss accounts</t>
  </si>
  <si>
    <t xml:space="preserve">twenty-one rating orders</t>
  </si>
  <si>
    <t xml:space="preserve">RT-B-C</t>
  </si>
  <si>
    <t xml:space="preserve">Unbounded cells</t>
  </si>
  <si>
    <t xml:space="preserve">fatal-keystone, cold-start and thermal states</t>
  </si>
  <si>
    <t xml:space="preserve">Portfolio consequence</t>
  </si>
  <si>
    <t xml:space="preserve">Service</t>
  </si>
  <si>
    <t xml:space="preserve">247 t/h exchange path</t>
  </si>
  <si>
    <t xml:space="preserve">thermal duty and keystone retention still open</t>
  </si>
  <si>
    <t xml:space="preserve">Energy</t>
  </si>
  <si>
    <t xml:space="preserve">7.36 MW isolated cell</t>
  </si>
  <si>
    <t xml:space="preserve">occupied-zone heat and anchor propagation still open</t>
  </si>
  <si>
    <t xml:space="preserve">27.1 km/day held-line sector</t>
  </si>
  <si>
    <t xml:space="preserve">hot-zone duty and local-control loss still open</t>
  </si>
  <si>
    <t xml:space="preserve">Mass</t>
  </si>
  <si>
    <t xml:space="preserve">4.08 kt access slot</t>
  </si>
  <si>
    <t xml:space="preserve">reservoir enthalpy and brine closure still open</t>
  </si>
  <si>
    <t xml:space="preserve">7.51 kt access cell</t>
  </si>
  <si>
    <t xml:space="preserve">clinical thermal continuity and bypass loss still open</t>
  </si>
  <si>
    <t xml:space="preserve">27.2 MW process cell</t>
  </si>
  <si>
    <t xml:space="preserve">process heat and trainlet isolation still open</t>
  </si>
  <si>
    <t xml:space="preserve">Authority boundary</t>
  </si>
  <si>
    <t xml:space="preserve">Measured coefficients</t>
  </si>
  <si>
    <t xml:space="preserve">all thirty-six remain open</t>
  </si>
  <si>
    <t xml:space="preserve">Accepted baselines</t>
  </si>
  <si>
    <t xml:space="preserve">design arithmetic is not evidence</t>
  </si>
  <si>
    <t xml:space="preserve">New obligation</t>
  </si>
  <si>
    <t xml:space="preserve">USD179M obligation and USD359M reserve remain conserved</t>
  </si>
  <si>
    <t xml:space="preserve">Rendering authority</t>
  </si>
  <si>
    <t xml:space="preserve">geometry, structure and safe-state closure remain next</t>
  </si>
  <si>
    <t xml:space="preserve">Numerical closure method</t>
  </si>
  <si>
    <t xml:space="preserve">The selected method must expose both sides of the interval and preserve source-specific unknowns.</t>
  </si>
  <si>
    <t xml:space="preserve">Candidate</t>
  </si>
  <si>
    <t xml:space="preserve">Two-sided interval</t>
  </si>
  <si>
    <t xml:space="preserve">Root-specific</t>
  </si>
  <si>
    <t xml:space="preserve">No midpoint</t>
  </si>
  <si>
    <t xml:space="preserve">Missing holds</t>
  </si>
  <si>
    <t xml:space="preserve">Four worlds</t>
  </si>
  <si>
    <t xml:space="preserve">Five accounts</t>
  </si>
  <si>
    <t xml:space="preserve">Sensitivity</t>
  </si>
  <si>
    <t xml:space="preserve">No authority conversion</t>
  </si>
  <si>
    <t xml:space="preserve">Passed</t>
  </si>
  <si>
    <t xml:space="preserve">Disposition</t>
  </si>
  <si>
    <t xml:space="preserve">C1</t>
  </si>
  <si>
    <t xml:space="preserve">Inherited one-sided 2.5% capacity screen</t>
  </si>
  <si>
    <t xml:space="preserve">C2</t>
  </si>
  <si>
    <t xml:space="preserve">Common 5% gross reserve</t>
  </si>
  <si>
    <t xml:space="preserve">C3</t>
  </si>
  <si>
    <t xml:space="preserve">Midpoint model with assigned priors</t>
  </si>
  <si>
    <t xml:space="preserve">C4</t>
  </si>
  <si>
    <t xml:space="preserve">Unbounded worst case as automatic rejection</t>
  </si>
  <si>
    <t xml:space="preserve">C5</t>
  </si>
  <si>
    <t xml:space="preserve">Source-specific interval budgets plus 2.5/2.5 design rule</t>
  </si>
  <si>
    <t xml:space="preserve">Authoritative decision</t>
  </si>
  <si>
    <t xml:space="preserve">Adopt two-sided interval solvency and issue twenty-one account uprates across all six forms</t>
  </si>
  <si>
    <t xml:space="preserve">Negative result</t>
  </si>
  <si>
    <t xml:space="preserve">0 of 6</t>
  </si>
  <si>
    <t xml:space="preserve">No form closes all five accounts in all four worlds</t>
  </si>
  <si>
    <t xml:space="preserve">Superseded claim</t>
  </si>
  <si>
    <t xml:space="preserve">Pass 219</t>
  </si>
  <si>
    <t xml:space="preserve">One-sided 2.5% design close is no longer sufficient numerical closure</t>
  </si>
  <si>
    <t xml:space="preserve">Present authority</t>
  </si>
  <si>
    <t xml:space="preserve">DESIGN REDESIGN / TEST</t>
  </si>
  <si>
    <t xml:space="preserve">No evidence, selection, MAKE, REP-4, production or rendering authority</t>
  </si>
  <si>
    <t xml:space="preserve">Cohort-one numerical disposition</t>
  </si>
  <si>
    <t xml:space="preserve">No form closes. All six need rating changes and bounded fatal, cold-start and thermal coefficients.</t>
  </si>
  <si>
    <t xml:space="preserve">Root</t>
  </si>
  <si>
    <t xml:space="preserve">Governing account</t>
  </si>
  <si>
    <t xml:space="preserve">Minimum loss ratio</t>
  </si>
  <si>
    <t xml:space="preserve">Maximum symmetric half-width</t>
  </si>
  <si>
    <t xml:space="preserve">Nominal accounts closed</t>
  </si>
  <si>
    <t xml:space="preserve">Loss accounts closed</t>
  </si>
  <si>
    <t xml:space="preserve">Loss accounts failed</t>
  </si>
  <si>
    <t xml:space="preserve">Open coefficients</t>
  </si>
  <si>
    <t xml:space="preserve">Baseline disposition</t>
  </si>
  <si>
    <t xml:space="preserve">Governing redesign</t>
  </si>
  <si>
    <t xml:space="preserve">ET-A</t>
  </si>
  <si>
    <t xml:space="preserve">Raise each complete exchange path from 241 to at least 247 t/h before thermal and keystone closure.</t>
  </si>
  <si>
    <t xml:space="preserve">CT-C</t>
  </si>
  <si>
    <t xml:space="preserve">Raise each isolated generation cell from 7.20 to at least 7.36 MW before thermal and attachment closure.</t>
  </si>
  <si>
    <t xml:space="preserve">HC-A</t>
  </si>
  <si>
    <t xml:space="preserve">Raise each surviving held-line sector from 26.5 to at least 27.1 km/day before hot-zone closure.</t>
  </si>
  <si>
    <t xml:space="preserve">LF-B</t>
  </si>
  <si>
    <t xml:space="preserve">Raise each access-slot allowance from 3.99 to at least 4.08 kt before reservoir and brine closure.</t>
  </si>
  <si>
    <t xml:space="preserve">HU-A</t>
  </si>
  <si>
    <t xml:space="preserve">Raise each access-cell allowance from 7.35 to at least 7.51 kt without deleting a care line.</t>
  </si>
  <si>
    <t xml:space="preserve">RT-B</t>
  </si>
  <si>
    <t xml:space="preserve">Raise each isolated process-energy cell from 26.5 to at least 27.2 MW before process-heat closure.</t>
  </si>
  <si>
    <t xml:space="preserve">Physical account interval closure</t>
  </si>
  <si>
    <t xml:space="preserve">A cell closes only when lower capacity meets upper requirement. Missing bounds order HOLD, never zero or midpoint substitution.</t>
  </si>
  <si>
    <t xml:space="preserve">Cell</t>
  </si>
  <si>
    <t xml:space="preserve">Account</t>
  </si>
  <si>
    <t xml:space="preserve">World</t>
  </si>
  <si>
    <t xml:space="preserve">Unit</t>
  </si>
  <si>
    <t xml:space="preserve">Raw capacity</t>
  </si>
  <si>
    <t xml:space="preserve">Capacity downside</t>
  </si>
  <si>
    <t xml:space="preserve">Raw requirement</t>
  </si>
  <si>
    <t xml:space="preserve">Requirement upside</t>
  </si>
  <si>
    <t xml:space="preserve">Lower capacity</t>
  </si>
  <si>
    <t xml:space="preserve">Upper requirement</t>
  </si>
  <si>
    <t xml:space="preserve">Interval ratio</t>
  </si>
  <si>
    <t xml:space="preserve">Data state</t>
  </si>
  <si>
    <t xml:space="preserve">ET-A-A-SERVICE-NOMINAL</t>
  </si>
  <si>
    <t xml:space="preserve">NOMINAL</t>
  </si>
  <si>
    <t xml:space="preserve">t/h</t>
  </si>
  <si>
    <t xml:space="preserve">ET-A-A-SERVICE-LARGEST_CELL_LOSS</t>
  </si>
  <si>
    <t xml:space="preserve">LARGEST_CELL_LOSS</t>
  </si>
  <si>
    <t xml:space="preserve">ET-A-A-SERVICE-FATAL_KEYSTONE</t>
  </si>
  <si>
    <t xml:space="preserve">FATAL_KEYSTONE</t>
  </si>
  <si>
    <t xml:space="preserve">ET-A-A-SERVICE-COLD_START</t>
  </si>
  <si>
    <t xml:space="preserve">COLD_START</t>
  </si>
  <si>
    <t xml:space="preserve">ET-A-A-MASS-NOMINAL</t>
  </si>
  <si>
    <t xml:space="preserve">t</t>
  </si>
  <si>
    <t xml:space="preserve">ET-A-A-MASS-LARGEST_CELL_LOSS</t>
  </si>
  <si>
    <t xml:space="preserve">ET-A-A-MASS-FATAL_KEYSTONE</t>
  </si>
  <si>
    <t xml:space="preserve">ET-A-A-MASS-COLD_START</t>
  </si>
  <si>
    <t xml:space="preserve">ET-A-A-ENERGY-NOMINAL</t>
  </si>
  <si>
    <t xml:space="preserve">MW</t>
  </si>
  <si>
    <t xml:space="preserve">ET-A-A-ENERGY-LARGEST_CELL_LOSS</t>
  </si>
  <si>
    <t xml:space="preserve">ET-A-A-ENERGY-FATAL_KEYSTONE</t>
  </si>
  <si>
    <t xml:space="preserve">ET-A-A-ENERGY-COLD_START</t>
  </si>
  <si>
    <t xml:space="preserve">ET-A-A-FLOW-NOMINAL</t>
  </si>
  <si>
    <t xml:space="preserve">Flow</t>
  </si>
  <si>
    <t xml:space="preserve">t/day</t>
  </si>
  <si>
    <t xml:space="preserve">ET-A-A-FLOW-LARGEST_CELL_LOSS</t>
  </si>
  <si>
    <t xml:space="preserve">ET-A-A-FLOW-FATAL_KEYSTONE</t>
  </si>
  <si>
    <t xml:space="preserve">ET-A-A-FLOW-COLD_START</t>
  </si>
  <si>
    <t xml:space="preserve">ET-A-A-THERMAL-NOMINAL</t>
  </si>
  <si>
    <t xml:space="preserve">Thermal</t>
  </si>
  <si>
    <t xml:space="preserve">form-native</t>
  </si>
  <si>
    <t xml:space="preserve">ET-A-A-THERMAL-LARGEST_CELL_LOSS</t>
  </si>
  <si>
    <t xml:space="preserve">ET-A-A-THERMAL-FATAL_KEYSTONE</t>
  </si>
  <si>
    <t xml:space="preserve">ET-A-A-THERMAL-COLD_START</t>
  </si>
  <si>
    <t xml:space="preserve">CT-C-B-SERVICE-NOMINAL</t>
  </si>
  <si>
    <t xml:space="preserve">ratio</t>
  </si>
  <si>
    <t xml:space="preserve">CT-C-B-SERVICE-LARGEST_CELL_LOSS</t>
  </si>
  <si>
    <t xml:space="preserve">CT-C-B-SERVICE-FATAL_KEYSTONE</t>
  </si>
  <si>
    <t xml:space="preserve">CT-C-B-SERVICE-COLD_START</t>
  </si>
  <si>
    <t xml:space="preserve">CT-C-B-MASS-NOMINAL</t>
  </si>
  <si>
    <t xml:space="preserve">CT-C-B-MASS-LARGEST_CELL_LOSS</t>
  </si>
  <si>
    <t xml:space="preserve">CT-C-B-MASS-FATAL_KEYSTONE</t>
  </si>
  <si>
    <t xml:space="preserve">CT-C-B-MASS-COLD_START</t>
  </si>
  <si>
    <t xml:space="preserve">CT-C-B-ENERGY-NOMINAL</t>
  </si>
  <si>
    <t xml:space="preserve">CT-C-B-ENERGY-LARGEST_CELL_LOSS</t>
  </si>
  <si>
    <t xml:space="preserve">CT-C-B-ENERGY-FATAL_KEYSTONE</t>
  </si>
  <si>
    <t xml:space="preserve">CT-C-B-ENERGY-COLD_START</t>
  </si>
  <si>
    <t xml:space="preserve">CT-C-B-FLOW-NOMINAL</t>
  </si>
  <si>
    <t xml:space="preserve">CT-C-B-FLOW-LARGEST_CELL_LOSS</t>
  </si>
  <si>
    <t xml:space="preserve">CT-C-B-FLOW-FATAL_KEYSTONE</t>
  </si>
  <si>
    <t xml:space="preserve">CT-C-B-FLOW-COLD_START</t>
  </si>
  <si>
    <t xml:space="preserve">CT-C-B-THERMAL-NOMINAL</t>
  </si>
  <si>
    <t xml:space="preserve">CT-C-B-THERMAL-LARGEST_CELL_LOSS</t>
  </si>
  <si>
    <t xml:space="preserve">CT-C-B-THERMAL-FATAL_KEYSTONE</t>
  </si>
  <si>
    <t xml:space="preserve">CT-C-B-THERMAL-COLD_START</t>
  </si>
  <si>
    <t xml:space="preserve">HC-A-C-SERVICE-NOMINAL</t>
  </si>
  <si>
    <t xml:space="preserve">km/day</t>
  </si>
  <si>
    <t xml:space="preserve">HC-A-C-SERVICE-LARGEST_CELL_LOSS</t>
  </si>
  <si>
    <t xml:space="preserve">HC-A-C-SERVICE-FATAL_KEYSTONE</t>
  </si>
  <si>
    <t xml:space="preserve">HC-A-C-SERVICE-COLD_START</t>
  </si>
  <si>
    <t xml:space="preserve">HC-A-C-MASS-NOMINAL</t>
  </si>
  <si>
    <t xml:space="preserve">HC-A-C-MASS-LARGEST_CELL_LOSS</t>
  </si>
  <si>
    <t xml:space="preserve">HC-A-C-MASS-FATAL_KEYSTONE</t>
  </si>
  <si>
    <t xml:space="preserve">HC-A-C-MASS-COLD_START</t>
  </si>
  <si>
    <t xml:space="preserve">HC-A-C-ENERGY-NOMINAL</t>
  </si>
  <si>
    <t xml:space="preserve">HC-A-C-ENERGY-LARGEST_CELL_LOSS</t>
  </si>
  <si>
    <t xml:space="preserve">HC-A-C-ENERGY-FATAL_KEYSTONE</t>
  </si>
  <si>
    <t xml:space="preserve">HC-A-C-ENERGY-COLD_START</t>
  </si>
  <si>
    <t xml:space="preserve">HC-A-C-FLOW-NOMINAL</t>
  </si>
  <si>
    <t xml:space="preserve">HC-A-C-FLOW-LARGEST_CELL_LOSS</t>
  </si>
  <si>
    <t xml:space="preserve">HC-A-C-FLOW-FATAL_KEYSTONE</t>
  </si>
  <si>
    <t xml:space="preserve">HC-A-C-FLOW-COLD_START</t>
  </si>
  <si>
    <t xml:space="preserve">HC-A-C-THERMAL-NOMINAL</t>
  </si>
  <si>
    <t xml:space="preserve">HC-A-C-THERMAL-LARGEST_CELL_LOSS</t>
  </si>
  <si>
    <t xml:space="preserve">HC-A-C-THERMAL-FATAL_KEYSTONE</t>
  </si>
  <si>
    <t xml:space="preserve">HC-A-C-THERMAL-COLD_START</t>
  </si>
  <si>
    <t xml:space="preserve">LF-B-A-SERVICE-NOMINAL</t>
  </si>
  <si>
    <t xml:space="preserve">thousand m3/day</t>
  </si>
  <si>
    <t xml:space="preserve">LF-B-A-SERVICE-LARGEST_CELL_LOSS</t>
  </si>
  <si>
    <t xml:space="preserve">LF-B-A-SERVICE-FATAL_KEYSTONE</t>
  </si>
  <si>
    <t xml:space="preserve">LF-B-A-SERVICE-COLD_START</t>
  </si>
  <si>
    <t xml:space="preserve">LF-B-A-MASS-NOMINAL</t>
  </si>
  <si>
    <t xml:space="preserve">kt</t>
  </si>
  <si>
    <t xml:space="preserve">LF-B-A-MASS-LARGEST_CELL_LOSS</t>
  </si>
  <si>
    <t xml:space="preserve">LF-B-A-MASS-FATAL_KEYSTONE</t>
  </si>
  <si>
    <t xml:space="preserve">LF-B-A-MASS-COLD_START</t>
  </si>
  <si>
    <t xml:space="preserve">LF-B-A-ENERGY-NOMINAL</t>
  </si>
  <si>
    <t xml:space="preserve">LF-B-A-ENERGY-LARGEST_CELL_LOSS</t>
  </si>
  <si>
    <t xml:space="preserve">LF-B-A-ENERGY-FATAL_KEYSTONE</t>
  </si>
  <si>
    <t xml:space="preserve">LF-B-A-ENERGY-COLD_START</t>
  </si>
  <si>
    <t xml:space="preserve">LF-B-A-FLOW-NOMINAL</t>
  </si>
  <si>
    <t xml:space="preserve">LF-B-A-FLOW-LARGEST_CELL_LOSS</t>
  </si>
  <si>
    <t xml:space="preserve">LF-B-A-FLOW-FATAL_KEYSTONE</t>
  </si>
  <si>
    <t xml:space="preserve">LF-B-A-FLOW-COLD_START</t>
  </si>
  <si>
    <t xml:space="preserve">LF-B-A-THERMAL-NOMINAL</t>
  </si>
  <si>
    <t xml:space="preserve">LF-B-A-THERMAL-LARGEST_CELL_LOSS</t>
  </si>
  <si>
    <t xml:space="preserve">LF-B-A-THERMAL-FATAL_KEYSTONE</t>
  </si>
  <si>
    <t xml:space="preserve">LF-B-A-THERMAL-COLD_START</t>
  </si>
  <si>
    <t xml:space="preserve">HU-A-B-SERVICE-NOMINAL</t>
  </si>
  <si>
    <t xml:space="preserve">HU-A-B-SERVICE-LARGEST_CELL_LOSS</t>
  </si>
  <si>
    <t xml:space="preserve">HU-A-B-SERVICE-FATAL_KEYSTONE</t>
  </si>
  <si>
    <t xml:space="preserve">HU-A-B-SERVICE-COLD_START</t>
  </si>
  <si>
    <t xml:space="preserve">HU-A-B-MASS-NOMINAL</t>
  </si>
  <si>
    <t xml:space="preserve">HU-A-B-MASS-LARGEST_CELL_LOSS</t>
  </si>
  <si>
    <t xml:space="preserve">HU-A-B-MASS-FATAL_KEYSTONE</t>
  </si>
  <si>
    <t xml:space="preserve">HU-A-B-MASS-COLD_START</t>
  </si>
  <si>
    <t xml:space="preserve">HU-A-B-ENERGY-NOMINAL</t>
  </si>
  <si>
    <t xml:space="preserve">HU-A-B-ENERGY-LARGEST_CELL_LOSS</t>
  </si>
  <si>
    <t xml:space="preserve">HU-A-B-ENERGY-FATAL_KEYSTONE</t>
  </si>
  <si>
    <t xml:space="preserve">HU-A-B-ENERGY-COLD_START</t>
  </si>
  <si>
    <t xml:space="preserve">HU-A-B-FLOW-NOMINAL</t>
  </si>
  <si>
    <t xml:space="preserve">HU-A-B-FLOW-LARGEST_CELL_LOSS</t>
  </si>
  <si>
    <t xml:space="preserve">HU-A-B-FLOW-FATAL_KEYSTONE</t>
  </si>
  <si>
    <t xml:space="preserve">HU-A-B-FLOW-COLD_START</t>
  </si>
  <si>
    <t xml:space="preserve">HU-A-B-THERMAL-NOMINAL</t>
  </si>
  <si>
    <t xml:space="preserve">HU-A-B-THERMAL-LARGEST_CELL_LOSS</t>
  </si>
  <si>
    <t xml:space="preserve">HU-A-B-THERMAL-FATAL_KEYSTONE</t>
  </si>
  <si>
    <t xml:space="preserve">HU-A-B-THERMAL-COLD_START</t>
  </si>
  <si>
    <t xml:space="preserve">RT-B-C-SERVICE-NOMINAL</t>
  </si>
  <si>
    <t xml:space="preserve">RT-B-C-SERVICE-LARGEST_CELL_LOSS</t>
  </si>
  <si>
    <t xml:space="preserve">RT-B-C-SERVICE-FATAL_KEYSTONE</t>
  </si>
  <si>
    <t xml:space="preserve">RT-B-C-SERVICE-COLD_START</t>
  </si>
  <si>
    <t xml:space="preserve">RT-B-C-MASS-NOMINAL</t>
  </si>
  <si>
    <t xml:space="preserve">RT-B-C-MASS-LARGEST_CELL_LOSS</t>
  </si>
  <si>
    <t xml:space="preserve">RT-B-C-MASS-FATAL_KEYSTONE</t>
  </si>
  <si>
    <t xml:space="preserve">RT-B-C-MASS-COLD_START</t>
  </si>
  <si>
    <t xml:space="preserve">RT-B-C-ENERGY-NOMINAL</t>
  </si>
  <si>
    <t xml:space="preserve">RT-B-C-ENERGY-LARGEST_CELL_LOSS</t>
  </si>
  <si>
    <t xml:space="preserve">RT-B-C-ENERGY-FATAL_KEYSTONE</t>
  </si>
  <si>
    <t xml:space="preserve">RT-B-C-ENERGY-COLD_START</t>
  </si>
  <si>
    <t xml:space="preserve">RT-B-C-FLOW-NOMINAL</t>
  </si>
  <si>
    <t xml:space="preserve">RT-B-C-FLOW-LARGEST_CELL_LOSS</t>
  </si>
  <si>
    <t xml:space="preserve">RT-B-C-FLOW-FATAL_KEYSTONE</t>
  </si>
  <si>
    <t xml:space="preserve">RT-B-C-FLOW-COLD_START</t>
  </si>
  <si>
    <t xml:space="preserve">RT-B-C-THERMAL-NOMINAL</t>
  </si>
  <si>
    <t xml:space="preserve">RT-B-C-THERMAL-LARGEST_CELL_LOSS</t>
  </si>
  <si>
    <t xml:space="preserve">RT-B-C-THERMAL-FATAL_KEYSTONE</t>
  </si>
  <si>
    <t xml:space="preserve">RT-B-C-THERMAL-COLD_START</t>
  </si>
  <si>
    <t xml:space="preserve">Largest-cell-loss rating orders</t>
  </si>
  <si>
    <t xml:space="preserve">The target is the minimum raw surviving capacity required for independent 2.5% downside and 2.5% requirement upside.</t>
  </si>
  <si>
    <t xml:space="preserve">Order</t>
  </si>
  <si>
    <t xml:space="preserve">Current survivor capacity</t>
  </si>
  <si>
    <t xml:space="preserve">Loss requirement</t>
  </si>
  <si>
    <t xml:space="preserve">Current raw ratio</t>
  </si>
  <si>
    <t xml:space="preserve">Required raw ratio</t>
  </si>
  <si>
    <t xml:space="preserve">Required survivor capacity</t>
  </si>
  <si>
    <t xml:space="preserve">Capacity gap</t>
  </si>
  <si>
    <t xml:space="preserve">Required uplift</t>
  </si>
  <si>
    <t xml:space="preserve">State</t>
  </si>
  <si>
    <t xml:space="preserve">Engineering instruction</t>
  </si>
  <si>
    <t xml:space="preserve">ET-A-A-SERVICE-RATING</t>
  </si>
  <si>
    <t xml:space="preserve">ET-A-A-MASS-RATING</t>
  </si>
  <si>
    <t xml:space="preserve">Meet the form-native mass target without borrowing a sibling coefficient or deleting a cell boundary.</t>
  </si>
  <si>
    <t xml:space="preserve">ET-A-A-ENERGY-RATING</t>
  </si>
  <si>
    <t xml:space="preserve">Meet the form-native energy target without borrowing a sibling coefficient or deleting a cell boundary.</t>
  </si>
  <si>
    <t xml:space="preserve">ET-A-A-FLOW-RATING</t>
  </si>
  <si>
    <t xml:space="preserve">Meet the form-native flow target without borrowing a sibling coefficient or deleting a cell boundary.</t>
  </si>
  <si>
    <t xml:space="preserve">CT-C-B-SERVICE-RATING</t>
  </si>
  <si>
    <t xml:space="preserve">Meet the form-native service target without borrowing a sibling coefficient or deleting a cell boundary.</t>
  </si>
  <si>
    <t xml:space="preserve">CT-C-B-MASS-RATING</t>
  </si>
  <si>
    <t xml:space="preserve">CT-C-B-ENERGY-RATING</t>
  </si>
  <si>
    <t xml:space="preserve">CT-C-B-FLOW-RATING</t>
  </si>
  <si>
    <t xml:space="preserve">HC-A-C-SERVICE-RATING</t>
  </si>
  <si>
    <t xml:space="preserve">HC-A-C-MASS-RATING</t>
  </si>
  <si>
    <t xml:space="preserve">HC-A-C-ENERGY-RATING</t>
  </si>
  <si>
    <t xml:space="preserve">HC-A-C-FLOW-RATING</t>
  </si>
  <si>
    <t xml:space="preserve">LF-B-A-SERVICE-RATING</t>
  </si>
  <si>
    <t xml:space="preserve">LF-B-A-MASS-RATING</t>
  </si>
  <si>
    <t xml:space="preserve">LF-B-A-ENERGY-RATING</t>
  </si>
  <si>
    <t xml:space="preserve">LF-B-A-FLOW-RATING</t>
  </si>
  <si>
    <t xml:space="preserve">HU-A-B-SERVICE-RATING</t>
  </si>
  <si>
    <t xml:space="preserve">HU-A-B-MASS-RATING</t>
  </si>
  <si>
    <t xml:space="preserve">HU-A-B-ENERGY-RATING</t>
  </si>
  <si>
    <t xml:space="preserve">HU-A-B-FLOW-RATING</t>
  </si>
  <si>
    <t xml:space="preserve">RT-B-C-SERVICE-RATING</t>
  </si>
  <si>
    <t xml:space="preserve">RT-B-C-MASS-RATING</t>
  </si>
  <si>
    <t xml:space="preserve">RT-B-C-ENERGY-RATING</t>
  </si>
  <si>
    <t xml:space="preserve">RT-B-C-FLOW-RATING</t>
  </si>
  <si>
    <t xml:space="preserve">Loss-world interval sensitivity</t>
  </si>
  <si>
    <t xml:space="preserve">This view varies the public symmetric screen. It does not invent probability distributions or close missing worlds.</t>
  </si>
  <si>
    <t xml:space="preserve">Scenario</t>
  </si>
  <si>
    <t xml:space="preserve">Symmetric half-width</t>
  </si>
  <si>
    <t xml:space="preserve">Governing raw ratio</t>
  </si>
  <si>
    <t xml:space="preserve">Lower interval ratio</t>
  </si>
  <si>
    <t xml:space="preserve">Loss-world result</t>
  </si>
  <si>
    <t xml:space="preserve">Full-baseline result</t>
  </si>
  <si>
    <t xml:space="preserve">No interval</t>
  </si>
  <si>
    <t xml:space="preserve">1.00%</t>
  </si>
  <si>
    <t xml:space="preserve">1.25%</t>
  </si>
  <si>
    <t xml:space="preserve">1.50%</t>
  </si>
  <si>
    <t xml:space="preserve">Selected 2.50%</t>
  </si>
  <si>
    <t xml:space="preserve">5.00%</t>
  </si>
  <si>
    <t xml:space="preserve">10.0%</t>
  </si>
  <si>
    <t xml:space="preserve">Source-specific coefficient register</t>
  </si>
  <si>
    <t xml:space="preserve">Every form must bound its own six coefficients. No sibling value, midpoint or favorable zero may be imported.</t>
  </si>
  <si>
    <t xml:space="preserve">Coefficient</t>
  </si>
  <si>
    <t xml:space="preserve">Symbol</t>
  </si>
  <si>
    <t xml:space="preserve">Quantity</t>
  </si>
  <si>
    <t xml:space="preserve">Lower bound</t>
  </si>
  <si>
    <t xml:space="preserve">Upper bound</t>
  </si>
  <si>
    <t xml:space="preserve">Measured</t>
  </si>
  <si>
    <t xml:space="preserve">Required experiment</t>
  </si>
  <si>
    <t xml:space="preserve">Prohibited substitution</t>
  </si>
  <si>
    <t xml:space="preserve">Closure use</t>
  </si>
  <si>
    <t xml:space="preserve">ET-A-A-CAP</t>
  </si>
  <si>
    <t xml:space="preserve">βC</t>
  </si>
  <si>
    <t xml:space="preserve">capacity calibration factor</t>
  </si>
  <si>
    <t xml:space="preserve">full-range metered capacity sweep</t>
  </si>
  <si>
    <t xml:space="preserve">nominal rating or sibling derate</t>
  </si>
  <si>
    <t xml:space="preserve">capacity lower bound</t>
  </si>
  <si>
    <t xml:space="preserve">ET-A-A-REQ</t>
  </si>
  <si>
    <t xml:space="preserve">βR</t>
  </si>
  <si>
    <t xml:space="preserve">service requirement scale factor</t>
  </si>
  <si>
    <t xml:space="preserve">receiver-denominator replay</t>
  </si>
  <si>
    <t xml:space="preserve">interval midpoint or average receiver</t>
  </si>
  <si>
    <t xml:space="preserve">requirement upper bound</t>
  </si>
  <si>
    <t xml:space="preserve">ET-A-A-LOSS</t>
  </si>
  <si>
    <t xml:space="preserve">λ</t>
  </si>
  <si>
    <t xml:space="preserve">largest-cell propagation fraction</t>
  </si>
  <si>
    <t xml:space="preserve">share</t>
  </si>
  <si>
    <t xml:space="preserve">instrumented cell-loss trial</t>
  </si>
  <si>
    <t xml:space="preserve">independence declaration</t>
  </si>
  <si>
    <t xml:space="preserve">loss-world capacity</t>
  </si>
  <si>
    <t xml:space="preserve">ET-A-A-KEY</t>
  </si>
  <si>
    <t xml:space="preserve">κ</t>
  </si>
  <si>
    <t xml:space="preserve">fatal-keystone retained fraction</t>
  </si>
  <si>
    <t xml:space="preserve">frozen keystone intervention</t>
  </si>
  <si>
    <t xml:space="preserve">modeled safeing or operator judgment</t>
  </si>
  <si>
    <t xml:space="preserve">fatal-world capacity</t>
  </si>
  <si>
    <t xml:space="preserve">ET-A-A-COLD</t>
  </si>
  <si>
    <t xml:space="preserve">χ</t>
  </si>
  <si>
    <t xml:space="preserve">cold-start retained fraction</t>
  </si>
  <si>
    <t xml:space="preserve">clean-team reconstruction and black start</t>
  </si>
  <si>
    <t xml:space="preserve">builder demonstration or vendor runtime</t>
  </si>
  <si>
    <t xml:space="preserve">cold-start capacity</t>
  </si>
  <si>
    <t xml:space="preserve">ET-A-A-THERM</t>
  </si>
  <si>
    <t xml:space="preserve">θ</t>
  </si>
  <si>
    <t xml:space="preserve">peak thermal duty coefficient</t>
  </si>
  <si>
    <t xml:space="preserve">worst-ambient calorimetry and heat rejection</t>
  </si>
  <si>
    <t xml:space="preserve">electrical surplus or sibling coefficient</t>
  </si>
  <si>
    <t xml:space="preserve">thermal capacity and requirement</t>
  </si>
  <si>
    <t xml:space="preserve">CT-C-B-CAP</t>
  </si>
  <si>
    <t xml:space="preserve">CT-C-B-REQ</t>
  </si>
  <si>
    <t xml:space="preserve">CT-C-B-LOSS</t>
  </si>
  <si>
    <t xml:space="preserve">CT-C-B-KEY</t>
  </si>
  <si>
    <t xml:space="preserve">CT-C-B-COLD</t>
  </si>
  <si>
    <t xml:space="preserve">CT-C-B-THERM</t>
  </si>
  <si>
    <t xml:space="preserve">HC-A-C-CAP</t>
  </si>
  <si>
    <t xml:space="preserve">HC-A-C-REQ</t>
  </si>
  <si>
    <t xml:space="preserve">HC-A-C-LOSS</t>
  </si>
  <si>
    <t xml:space="preserve">HC-A-C-KEY</t>
  </si>
  <si>
    <t xml:space="preserve">HC-A-C-COLD</t>
  </si>
  <si>
    <t xml:space="preserve">HC-A-C-THERM</t>
  </si>
  <si>
    <t xml:space="preserve">LF-B-A-CAP</t>
  </si>
  <si>
    <t xml:space="preserve">LF-B-A-REQ</t>
  </si>
  <si>
    <t xml:space="preserve">LF-B-A-LOSS</t>
  </si>
  <si>
    <t xml:space="preserve">LF-B-A-KEY</t>
  </si>
  <si>
    <t xml:space="preserve">LF-B-A-COLD</t>
  </si>
  <si>
    <t xml:space="preserve">LF-B-A-THERM</t>
  </si>
  <si>
    <t xml:space="preserve">HU-A-B-CAP</t>
  </si>
  <si>
    <t xml:space="preserve">HU-A-B-REQ</t>
  </si>
  <si>
    <t xml:space="preserve">HU-A-B-LOSS</t>
  </si>
  <si>
    <t xml:space="preserve">HU-A-B-KEY</t>
  </si>
  <si>
    <t xml:space="preserve">HU-A-B-COLD</t>
  </si>
  <si>
    <t xml:space="preserve">HU-A-B-THERM</t>
  </si>
  <si>
    <t xml:space="preserve">RT-B-C-CAP</t>
  </si>
  <si>
    <t xml:space="preserve">RT-B-C-REQ</t>
  </si>
  <si>
    <t xml:space="preserve">RT-B-C-LOSS</t>
  </si>
  <si>
    <t xml:space="preserve">RT-B-C-KEY</t>
  </si>
  <si>
    <t xml:space="preserve">RT-B-C-COLD</t>
  </si>
  <si>
    <t xml:space="preserve">RT-B-C-THERM</t>
  </si>
  <si>
    <t xml:space="preserve">Thermal closure experiments</t>
  </si>
  <si>
    <t xml:space="preserve">Electrical reserve cannot establish heat rejection, occupied-zone temperature, reservoir balance or process thermal safety.</t>
  </si>
  <si>
    <t xml:space="preserve">Thermal coefficient</t>
  </si>
  <si>
    <t xml:space="preserve">Control envelope</t>
  </si>
  <si>
    <t xml:space="preserve">Measured boundary</t>
  </si>
  <si>
    <t xml:space="preserve">Instrumentation</t>
  </si>
  <si>
    <t xml:space="preserve">Required intervention</t>
  </si>
  <si>
    <t xml:space="preserve">Closure condition</t>
  </si>
  <si>
    <t xml:space="preserve">Current bound</t>
  </si>
  <si>
    <t xml:space="preserve">Technology consequence</t>
  </si>
  <si>
    <t xml:space="preserve">MWth per dry-custody t/h</t>
  </si>
  <si>
    <t xml:space="preserve">peak relative motion; warm seawater; saturated air</t>
  </si>
  <si>
    <t xml:space="preserve">connector drive, drying, refrigeration and refuge rejection</t>
  </si>
  <si>
    <t xml:space="preserve">shaft torque, calorimetry, wet/dry enthalpy and zone temperature</t>
  </si>
  <si>
    <t xml:space="preserve">disable one body and one rejection loop</t>
  </si>
  <si>
    <t xml:space="preserve">upper duty remains below surviving exchanger capacity with no wet-dry propagation</t>
  </si>
  <si>
    <t xml:space="preserve">OPEN</t>
  </si>
  <si>
    <t xml:space="preserve">two-body heat rejection must remain independent across the transfer saddle</t>
  </si>
  <si>
    <t xml:space="preserve">MWth per delivered utility MW</t>
  </si>
  <si>
    <t xml:space="preserve">occupied envelope; smoke-control limit; severed mixed trunk</t>
  </si>
  <si>
    <t xml:space="preserve">conversion loss, cable heat, smoke transport and indoor rejection</t>
  </si>
  <si>
    <t xml:space="preserve">distributed temperature, smoke, current, flow and pressure tomography</t>
  </si>
  <si>
    <t xml:space="preserve">fault and guillotine one mixed-utility segment</t>
  </si>
  <si>
    <t xml:space="preserve">occupied-zone limits hold after isolation without exporting heat or smoke</t>
  </si>
  <si>
    <t xml:space="preserve">utility guillotines need thermal as well as hydraulic and electrical selectivity</t>
  </si>
  <si>
    <t xml:space="preserve">MJth per held-line km</t>
  </si>
  <si>
    <t xml:space="preserve">hot-day plume; hover; 72 h duty; denied coordination</t>
  </si>
  <si>
    <t xml:space="preserve">rotor drive, battery or fluid exchange, payload and refuge thermal state</t>
  </si>
  <si>
    <t xml:space="preserve">cell calorimetry, winding and pack temperature, plume and refill enthalpy</t>
  </si>
  <si>
    <t xml:space="preserve">safe one cell inside plume and continue locally</t>
  </si>
  <si>
    <t xml:space="preserve">four cells hold the line without thermal runaway or shared cooling</t>
  </si>
  <si>
    <t xml:space="preserve">hot-zone exchange must be cell-local and operable without the mesh</t>
  </si>
  <si>
    <t xml:space="preserve">MWth per thousand m3/day</t>
  </si>
  <si>
    <t xml:space="preserve">reservoir decline; full salinity; ambient maximum</t>
  </si>
  <si>
    <t xml:space="preserve">wellhead enthalpy, conversion rejection, product cooling and reinjection</t>
  </si>
  <si>
    <t xml:space="preserve">mass-flow and enthalpy metering from bore through injection</t>
  </si>
  <si>
    <t xml:space="preserve">isolate one header, conversion cell and bore at full state</t>
  </si>
  <si>
    <t xml:space="preserve">three conversion cells and two injection paths close enthalpy and chemistry</t>
  </si>
  <si>
    <t xml:space="preserve">brine-to-mineral metabolism becomes part of heat rejection, not a byproduct</t>
  </si>
  <si>
    <t xml:space="preserve">MWth per complete care line</t>
  </si>
  <si>
    <t xml:space="preserve">full census; hot-humid ambient; sterile and cold-chain duty</t>
  </si>
  <si>
    <t xml:space="preserve">clinical sensible and latent load, sterilization, refrigeration and refuge</t>
  </si>
  <si>
    <t xml:space="preserve">zone calorimetry, humidity, cold-chain and utility metering</t>
  </si>
  <si>
    <t xml:space="preserve">block one spine section and one cooling path</t>
  </si>
  <si>
    <t xml:space="preserve">all ten care lines remain within clinical temperature and humidity limits</t>
  </si>
  <si>
    <t xml:space="preserve">bypass architecture must carry thermal continuity with clinical continuity</t>
  </si>
  <si>
    <t xml:space="preserve">MJth per released product-equivalent</t>
  </si>
  <si>
    <t xml:space="preserve">worst product mix; pulsed loads; islanded trainlets</t>
  </si>
  <si>
    <t xml:space="preserve">process heat, machine losses, quarantine and rejected-material cooling</t>
  </si>
  <si>
    <t xml:space="preserve">machine-level energy, calorimetry and material-ancestry ledger</t>
  </si>
  <si>
    <t xml:space="preserve">isolate one trainlet and its largest energy cell</t>
  </si>
  <si>
    <t xml:space="preserve">four trainlets preserve qualified release without shared heat sink</t>
  </si>
  <si>
    <t xml:space="preserve">self-describing process chains must include heat and cooling ancestry</t>
  </si>
  <si>
    <t xml:space="preserve">World-specific numerical law</t>
  </si>
  <si>
    <t xml:space="preserve">The same content-addressed baseline enters every world. Reconfiguration, receiver substitution and cross-form borrowing are prohibited.</t>
  </si>
  <si>
    <t xml:space="preserve">Capacity basis</t>
  </si>
  <si>
    <t xml:space="preserve">Requirement basis</t>
  </si>
  <si>
    <t xml:space="preserve">Uncertainty treatment</t>
  </si>
  <si>
    <t xml:space="preserve">Missing-value treatment</t>
  </si>
  <si>
    <t xml:space="preserve">Allowed closure</t>
  </si>
  <si>
    <t xml:space="preserve">Current bounded cells</t>
  </si>
  <si>
    <t xml:space="preserve">Current disposition</t>
  </si>
  <si>
    <t xml:space="preserve">Reason</t>
  </si>
  <si>
    <t xml:space="preserve">nominal</t>
  </si>
  <si>
    <t xml:space="preserve">capacity lower bound versus requirement upper bound</t>
  </si>
  <si>
    <t xml:space="preserve">HOLD; never zero or midpoint</t>
  </si>
  <si>
    <t xml:space="preserve">all five accounts conjunctive</t>
  </si>
  <si>
    <t xml:space="preserve">No denial; configured service denominator applies.</t>
  </si>
  <si>
    <t xml:space="preserve">loss</t>
  </si>
  <si>
    <t xml:space="preserve">Remove the largest independent cell without changing receiver or configuration.</t>
  </si>
  <si>
    <t xml:space="preserve">unknown</t>
  </si>
  <si>
    <t xml:space="preserve">Apply the frozen form-specific keystone intervention at full causal load.</t>
  </si>
  <si>
    <t xml:space="preserve">Deny builder team, private runtime, vendor key and tacit setup; restore from the public package.</t>
  </si>
  <si>
    <t xml:space="preserve">Conserved cohort-one obligation</t>
  </si>
  <si>
    <t xml:space="preserve">Numerical redesign changes technical content, not the USD179M obligation. Rating uplift is not treated as cost uplift.</t>
  </si>
  <si>
    <t xml:space="preserve">Ceiling (USD M)</t>
  </si>
  <si>
    <t xml:space="preserve">Event method 20%</t>
  </si>
  <si>
    <t xml:space="preserve">Instrumentation 25%</t>
  </si>
  <si>
    <t xml:space="preserve">Civil closure 15%</t>
  </si>
  <si>
    <t xml:space="preserve">Article engineering 25%</t>
  </si>
  <si>
    <t xml:space="preserve">Cold reconstruction 15%</t>
  </si>
  <si>
    <t xml:space="preserve">Reconciled ceiling</t>
  </si>
  <si>
    <t xml:space="preserve">Total</t>
  </si>
  <si>
    <t xml:space="preserve">Boundary</t>
  </si>
  <si>
    <t xml:space="preserve">Protected sibling reserve</t>
  </si>
  <si>
    <t xml:space="preserve">USD M</t>
  </si>
  <si>
    <t xml:space="preserve">unchanged</t>
  </si>
  <si>
    <t xml:space="preserve">FRAME ceiling</t>
  </si>
  <si>
    <t xml:space="preserve">Rating-uplift price</t>
  </si>
  <si>
    <t xml:space="preserve">OPEN: a 2.5% capacity change is not a 2.5% cost change</t>
  </si>
  <si>
    <t xml:space="preserve">New obligation authorized</t>
  </si>
  <si>
    <t xml:space="preserve">Numerical interval-solvency controls</t>
  </si>
  <si>
    <t xml:space="preserve">Blue cells are design rules or zero authority states. They are not measured coefficients or evidence.</t>
  </si>
  <si>
    <t xml:space="preserve">Interval-solvency rule</t>
  </si>
  <si>
    <t xml:space="preserve">Capacity downside half-width</t>
  </si>
  <si>
    <t xml:space="preserve">public design test; not a distribution</t>
  </si>
  <si>
    <t xml:space="preserve">Requirement upside half-width</t>
  </si>
  <si>
    <t xml:space="preserve">Closure ratio</t>
  </si>
  <si>
    <t xml:space="preserve">lower capacity / upper requirement</t>
  </si>
  <si>
    <t xml:space="preserve">(1 + requirement upside) / (1 - capacity downside)</t>
  </si>
  <si>
    <t xml:space="preserve">Cold reconstruction maximum</t>
  </si>
  <si>
    <t xml:space="preserve">h</t>
  </si>
  <si>
    <t xml:space="preserve">Numerical tolerance</t>
  </si>
  <si>
    <t xml:space="preserve">model control</t>
  </si>
  <si>
    <t xml:space="preserve">Current evidence and authority</t>
  </si>
  <si>
    <t xml:space="preserve">count</t>
  </si>
  <si>
    <t xml:space="preserve">source empty</t>
  </si>
  <si>
    <t xml:space="preserve">held</t>
  </si>
  <si>
    <t xml:space="preserve">Payments</t>
  </si>
  <si>
    <t xml:space="preserve">Accepted observations</t>
  </si>
  <si>
    <t xml:space="preserve">Selected forms</t>
  </si>
  <si>
    <t xml:space="preserve">MAKE warrants</t>
  </si>
  <si>
    <t xml:space="preserve">REP-4 records</t>
  </si>
  <si>
    <t xml:space="preserve">Capability credit</t>
  </si>
  <si>
    <t xml:space="preserve">Production credit</t>
  </si>
  <si>
    <t xml:space="preserve">Renderings authorized</t>
  </si>
  <si>
    <t xml:space="preserve">Conserved finance</t>
  </si>
  <si>
    <t xml:space="preserve">Cohort-one obligation</t>
  </si>
  <si>
    <t xml:space="preserve">Pass 229</t>
  </si>
  <si>
    <t xml:space="preserve">Pass 226</t>
  </si>
  <si>
    <t xml:space="preserve">Inherited quantitative inputs</t>
  </si>
  <si>
    <t xml:space="preserve">Twenty-four planning rows are copied without measurement uplift. Thermal, fatal-keystone and cold-start quantities remain absent.</t>
  </si>
  <si>
    <t xml:space="preserve">Source ID</t>
  </si>
  <si>
    <t xml:space="preserve">Installed cells</t>
  </si>
  <si>
    <t xml:space="preserve">Cells after loss</t>
  </si>
  <si>
    <t xml:space="preserve">Cell rating</t>
  </si>
  <si>
    <t xml:space="preserve">Nominal capacity</t>
  </si>
  <si>
    <t xml:space="preserve">Nominal requirement</t>
  </si>
  <si>
    <t xml:space="preserve">Loss capacity</t>
  </si>
  <si>
    <t xml:space="preserve">Repository origin</t>
  </si>
  <si>
    <t xml:space="preserve">Value class</t>
  </si>
  <si>
    <t xml:space="preserve">Physical meaning</t>
  </si>
  <si>
    <t xml:space="preserve">ET-A-A-SERVICE</t>
  </si>
  <si>
    <t xml:space="preserve">Pass 219 A03</t>
  </si>
  <si>
    <t xml:space="preserve">INHERITED HYPOTHESIS</t>
  </si>
  <si>
    <t xml:space="preserve">Complete moving-source-to-dry-custody path</t>
  </si>
  <si>
    <t xml:space="preserve">ET-A-A-MASS</t>
  </si>
  <si>
    <t xml:space="preserve">Pass 219 A01</t>
  </si>
  <si>
    <t xml:space="preserve">Independent access and custody cells</t>
  </si>
  <si>
    <t xml:space="preserve">ET-A-A-ENERGY</t>
  </si>
  <si>
    <t xml:space="preserve">Pass 219 A02</t>
  </si>
  <si>
    <t xml:space="preserve">Black-start generation cells</t>
  </si>
  <si>
    <t xml:space="preserve">ET-A-A-FLOW</t>
  </si>
  <si>
    <t xml:space="preserve">Pass 219 A05</t>
  </si>
  <si>
    <t xml:space="preserve">Contained residual treatment</t>
  </si>
  <si>
    <t xml:space="preserve">CT-C-B-SERVICE</t>
  </si>
  <si>
    <t xml:space="preserve">Complete fault-contained utility trunk</t>
  </si>
  <si>
    <t xml:space="preserve">CT-C-B-MASS</t>
  </si>
  <si>
    <t xml:space="preserve">Independent insertion cells</t>
  </si>
  <si>
    <t xml:space="preserve">CT-C-B-ENERGY</t>
  </si>
  <si>
    <t xml:space="preserve">Isolated generation cells</t>
  </si>
  <si>
    <t xml:space="preserve">CT-C-B-FLOW</t>
  </si>
  <si>
    <t xml:space="preserve">Dirty-return treatment</t>
  </si>
  <si>
    <t xml:space="preserve">HC-A-C-SERVICE</t>
  </si>
  <si>
    <t xml:space="preserve">Attributable held-line sectors</t>
  </si>
  <si>
    <t xml:space="preserve">HC-A-C-MASS</t>
  </si>
  <si>
    <t xml:space="preserve">Independent intervention cells</t>
  </si>
  <si>
    <t xml:space="preserve">HC-A-C-ENERGY</t>
  </si>
  <si>
    <t xml:space="preserve">Isolated intervention-energy cells</t>
  </si>
  <si>
    <t xml:space="preserve">HC-A-C-FLOW</t>
  </si>
  <si>
    <t xml:space="preserve">Runoff and working-fluid custody</t>
  </si>
  <si>
    <t xml:space="preserve">LF-B-A-SERVICE</t>
  </si>
  <si>
    <t xml:space="preserve">Pass 219 A04</t>
  </si>
  <si>
    <t xml:space="preserve">Isolated product-water cells</t>
  </si>
  <si>
    <t xml:space="preserve">LF-B-A-MASS</t>
  </si>
  <si>
    <t xml:space="preserve">Independent access slots</t>
  </si>
  <si>
    <t xml:space="preserve">LF-B-A-ENERGY</t>
  </si>
  <si>
    <t xml:space="preserve">Isolated conversion cells</t>
  </si>
  <si>
    <t xml:space="preserve">LF-B-A-FLOW</t>
  </si>
  <si>
    <t xml:space="preserve">Brine treatment and injection paths</t>
  </si>
  <si>
    <t xml:space="preserve">HU-A-B-SERVICE</t>
  </si>
  <si>
    <t xml:space="preserve">Ten complete care lines over separated routes</t>
  </si>
  <si>
    <t xml:space="preserve">HU-A-B-MASS</t>
  </si>
  <si>
    <t xml:space="preserve">Independent access cells</t>
  </si>
  <si>
    <t xml:space="preserve">HU-A-B-ENERGY</t>
  </si>
  <si>
    <t xml:space="preserve">Isolated clinical-utility cells</t>
  </si>
  <si>
    <t xml:space="preserve">HU-A-B-FLOW</t>
  </si>
  <si>
    <t xml:space="preserve">Clinical residual custody</t>
  </si>
  <si>
    <t xml:space="preserve">RT-B-C-SERVICE</t>
  </si>
  <si>
    <t xml:space="preserve">Complete disconnected process meshes</t>
  </si>
  <si>
    <t xml:space="preserve">RT-B-C-MASS</t>
  </si>
  <si>
    <t xml:space="preserve">Independent process-access cells</t>
  </si>
  <si>
    <t xml:space="preserve">RT-B-C-ENERGY</t>
  </si>
  <si>
    <t xml:space="preserve">Isolated process-energy cells</t>
  </si>
  <si>
    <t xml:space="preserve">RT-B-C-FLOW</t>
  </si>
  <si>
    <t xml:space="preserve">Rejected-material treatment</t>
  </si>
  <si>
    <t xml:space="preserve">Adversarial mutation record</t>
  </si>
  <si>
    <t xml:space="preserve">Each corruption was applied to a disposable copy, detected by the audit layer and restored before release.</t>
  </si>
  <si>
    <t xml:space="preserve">Mutation</t>
  </si>
  <si>
    <t xml:space="preserve">Target</t>
  </si>
  <si>
    <t xml:space="preserve">Corruption</t>
  </si>
  <si>
    <t xml:space="preserve">Expected detection</t>
  </si>
  <si>
    <t xml:space="preserve">Applied</t>
  </si>
  <si>
    <t xml:space="preserve">Detected</t>
  </si>
  <si>
    <t xml:space="preserve">Restored</t>
  </si>
  <si>
    <t xml:space="preserve">M01</t>
  </si>
  <si>
    <t xml:space="preserve">Inputs!B7</t>
  </si>
  <si>
    <t xml:space="preserve">capacity downside set to 0</t>
  </si>
  <si>
    <t xml:space="preserve">selected screen control mismatch</t>
  </si>
  <si>
    <t xml:space="preserve">M02</t>
  </si>
  <si>
    <t xml:space="preserve">Inputs!B8</t>
  </si>
  <si>
    <t xml:space="preserve">requirement upside set to 0</t>
  </si>
  <si>
    <t xml:space="preserve">M03</t>
  </si>
  <si>
    <t xml:space="preserve">Inputs!B9</t>
  </si>
  <si>
    <t xml:space="preserve">closure ratio set to 0</t>
  </si>
  <si>
    <t xml:space="preserve">closure rule mismatch</t>
  </si>
  <si>
    <t xml:space="preserve">M04</t>
  </si>
  <si>
    <t xml:space="preserve">Inputs!B10</t>
  </si>
  <si>
    <t xml:space="preserve">required ratio overwritten with 1</t>
  </si>
  <si>
    <t xml:space="preserve">interval identity mismatch</t>
  </si>
  <si>
    <t xml:space="preserve">M05</t>
  </si>
  <si>
    <t xml:space="preserve">Inputs!B16</t>
  </si>
  <si>
    <t xml:space="preserve">measured coefficient count set to 1</t>
  </si>
  <si>
    <t xml:space="preserve">zero-authority check</t>
  </si>
  <si>
    <t xml:space="preserve">M06</t>
  </si>
  <si>
    <t xml:space="preserve">Inputs!B17</t>
  </si>
  <si>
    <t xml:space="preserve">accepted baseline count set to 1</t>
  </si>
  <si>
    <t xml:space="preserve">M07</t>
  </si>
  <si>
    <t xml:space="preserve">Inputs!B18</t>
  </si>
  <si>
    <t xml:space="preserve">payment count set to 1</t>
  </si>
  <si>
    <t xml:space="preserve">M08</t>
  </si>
  <si>
    <t xml:space="preserve">Inputs!B19</t>
  </si>
  <si>
    <t xml:space="preserve">accepted observation count set to 1</t>
  </si>
  <si>
    <t xml:space="preserve">M09</t>
  </si>
  <si>
    <t xml:space="preserve">Inputs!B20</t>
  </si>
  <si>
    <t xml:space="preserve">selected form count set to 1</t>
  </si>
  <si>
    <t xml:space="preserve">M10</t>
  </si>
  <si>
    <t xml:space="preserve">Inputs!B21</t>
  </si>
  <si>
    <t xml:space="preserve">MAKE count set to 1</t>
  </si>
  <si>
    <t xml:space="preserve">M11</t>
  </si>
  <si>
    <t xml:space="preserve">Inputs!B22</t>
  </si>
  <si>
    <t xml:space="preserve">REP-4 count set to 1</t>
  </si>
  <si>
    <t xml:space="preserve">M12</t>
  </si>
  <si>
    <t xml:space="preserve">Inputs!B23</t>
  </si>
  <si>
    <t xml:space="preserve">capability credit set to 1</t>
  </si>
  <si>
    <t xml:space="preserve">M13</t>
  </si>
  <si>
    <t xml:space="preserve">Inputs!B24</t>
  </si>
  <si>
    <t xml:space="preserve">production credit set to 1</t>
  </si>
  <si>
    <t xml:space="preserve">M14</t>
  </si>
  <si>
    <t xml:space="preserve">Inputs!B25</t>
  </si>
  <si>
    <t xml:space="preserve">rendering authority set to 1</t>
  </si>
  <si>
    <t xml:space="preserve">M15</t>
  </si>
  <si>
    <t xml:space="preserve">Source Inputs!H7</t>
  </si>
  <si>
    <t xml:space="preserve">nominal capacity deleted</t>
  </si>
  <si>
    <t xml:space="preserve">bounded-cell count</t>
  </si>
  <si>
    <t xml:space="preserve">M16</t>
  </si>
  <si>
    <t xml:space="preserve">Source Inputs!J7</t>
  </si>
  <si>
    <t xml:space="preserve">loss capacity deleted</t>
  </si>
  <si>
    <t xml:space="preserve">M17</t>
  </si>
  <si>
    <t xml:space="preserve">Source Inputs!I7</t>
  </si>
  <si>
    <t xml:space="preserve">requirement deleted</t>
  </si>
  <si>
    <t xml:space="preserve">M18</t>
  </si>
  <si>
    <t xml:space="preserve">Source Inputs!N7</t>
  </si>
  <si>
    <t xml:space="preserve">measurement flag set to 1</t>
  </si>
  <si>
    <t xml:space="preserve">source-measurement check</t>
  </si>
  <si>
    <t xml:space="preserve">M19</t>
  </si>
  <si>
    <t xml:space="preserve">Closure Cells!O9</t>
  </si>
  <si>
    <t xml:space="preserve">fatal HOLD replaced by CLOSE</t>
  </si>
  <si>
    <t xml:space="preserve">disposition count</t>
  </si>
  <si>
    <t xml:space="preserve">M20</t>
  </si>
  <si>
    <t xml:space="preserve">Coefficient Register!F7</t>
  </si>
  <si>
    <t xml:space="preserve">open coefficient replaced by 0</t>
  </si>
  <si>
    <t xml:space="preserve">coefficient-bound count</t>
  </si>
  <si>
    <t xml:space="preserve">M21</t>
  </si>
  <si>
    <t xml:space="preserve">Loss Rating Orders!M7</t>
  </si>
  <si>
    <t xml:space="preserve">UPRATE replaced by RETAIN</t>
  </si>
  <si>
    <t xml:space="preserve">rating-order count</t>
  </si>
  <si>
    <t xml:space="preserve">M22</t>
  </si>
  <si>
    <t xml:space="preserve">Sensitivity!F31</t>
  </si>
  <si>
    <t xml:space="preserve">selected-screen FAIL replaced by CLOSE</t>
  </si>
  <si>
    <t xml:space="preserve">sensitivity count</t>
  </si>
  <si>
    <t xml:space="preserve">Terminal audit</t>
  </si>
  <si>
    <t xml:space="preserve">Checks observe the model and do not feed any output, assumption or decision cell.</t>
  </si>
  <si>
    <t xml:space="preserve">Audit</t>
  </si>
  <si>
    <t xml:space="preserve">Test</t>
  </si>
  <si>
    <t xml:space="preserve">Actual</t>
  </si>
  <si>
    <t xml:space="preserve">Expected</t>
  </si>
  <si>
    <t xml:space="preserve">Tolerance</t>
  </si>
  <si>
    <t xml:space="preserve">Status</t>
  </si>
  <si>
    <t xml:space="preserve">A01</t>
  </si>
  <si>
    <t xml:space="preserve">closure cell count</t>
  </si>
  <si>
    <t xml:space="preserve">A02</t>
  </si>
  <si>
    <t xml:space="preserve">bounded cell count</t>
  </si>
  <si>
    <t xml:space="preserve">A03</t>
  </si>
  <si>
    <t xml:space="preserve">unbounded cell count</t>
  </si>
  <si>
    <t xml:space="preserve">A04</t>
  </si>
  <si>
    <t xml:space="preserve">closed interval cells</t>
  </si>
  <si>
    <t xml:space="preserve">A05</t>
  </si>
  <si>
    <t xml:space="preserve">failed interval cells</t>
  </si>
  <si>
    <t xml:space="preserve">A06</t>
  </si>
  <si>
    <t xml:space="preserve">held interval cells</t>
  </si>
  <si>
    <t xml:space="preserve">A07</t>
  </si>
  <si>
    <t xml:space="preserve">nominal closed accounts</t>
  </si>
  <si>
    <t xml:space="preserve">A08</t>
  </si>
  <si>
    <t xml:space="preserve">nominal failed accounts</t>
  </si>
  <si>
    <t xml:space="preserve">A09</t>
  </si>
  <si>
    <t xml:space="preserve">nominal held thermal cells</t>
  </si>
  <si>
    <t xml:space="preserve">A10</t>
  </si>
  <si>
    <t xml:space="preserve">loss closed accounts</t>
  </si>
  <si>
    <t xml:space="preserve">A11</t>
  </si>
  <si>
    <t xml:space="preserve">loss failed accounts</t>
  </si>
  <si>
    <t xml:space="preserve">A12</t>
  </si>
  <si>
    <t xml:space="preserve">loss held thermal cells</t>
  </si>
  <si>
    <t xml:space="preserve">A13</t>
  </si>
  <si>
    <t xml:space="preserve">fatal world held cells</t>
  </si>
  <si>
    <t xml:space="preserve">A14</t>
  </si>
  <si>
    <t xml:space="preserve">cold world held cells</t>
  </si>
  <si>
    <t xml:space="preserve">A15</t>
  </si>
  <si>
    <t xml:space="preserve">thermal held cells</t>
  </si>
  <si>
    <t xml:space="preserve">A16</t>
  </si>
  <si>
    <t xml:space="preserve">source input rows</t>
  </si>
  <si>
    <t xml:space="preserve">A17</t>
  </si>
  <si>
    <t xml:space="preserve">source measured flags</t>
  </si>
  <si>
    <t xml:space="preserve">A18</t>
  </si>
  <si>
    <t xml:space="preserve">coefficient rows</t>
  </si>
  <si>
    <t xml:space="preserve">A19</t>
  </si>
  <si>
    <t xml:space="preserve">open coefficients</t>
  </si>
  <si>
    <t xml:space="preserve">A20</t>
  </si>
  <si>
    <t xml:space="preserve">measured coefficients</t>
  </si>
  <si>
    <t xml:space="preserve">A21</t>
  </si>
  <si>
    <t xml:space="preserve">rating orders</t>
  </si>
  <si>
    <t xml:space="preserve">A22</t>
  </si>
  <si>
    <t xml:space="preserve">uprate orders</t>
  </si>
  <si>
    <t xml:space="preserve">A23</t>
  </si>
  <si>
    <t xml:space="preserve">retained ratings</t>
  </si>
  <si>
    <t xml:space="preserve">A24</t>
  </si>
  <si>
    <t xml:space="preserve">required raw ratio</t>
  </si>
  <si>
    <t xml:space="preserve">A25</t>
  </si>
  <si>
    <t xml:space="preserve">form rows</t>
  </si>
  <si>
    <t xml:space="preserve">A26</t>
  </si>
  <si>
    <t xml:space="preserve">closed forms</t>
  </si>
  <si>
    <t xml:space="preserve">A27</t>
  </si>
  <si>
    <t xml:space="preserve">redesign-held forms</t>
  </si>
  <si>
    <t xml:space="preserve">A28</t>
  </si>
  <si>
    <t xml:space="preserve">sensitivity rows</t>
  </si>
  <si>
    <t xml:space="preserve">A29</t>
  </si>
  <si>
    <t xml:space="preserve">forms closing 1.25% loss screen</t>
  </si>
  <si>
    <t xml:space="preserve">A30</t>
  </si>
  <si>
    <t xml:space="preserve">forms closing 1.50% loss screen</t>
  </si>
  <si>
    <t xml:space="preserve">A31</t>
  </si>
  <si>
    <t xml:space="preserve">forms closing selected loss screen</t>
  </si>
  <si>
    <t xml:space="preserve">A32</t>
  </si>
  <si>
    <t xml:space="preserve">thermal experiments</t>
  </si>
  <si>
    <t xml:space="preserve">A33</t>
  </si>
  <si>
    <t xml:space="preserve">finance obligation reconciliation</t>
  </si>
  <si>
    <t xml:space="preserve">A34</t>
  </si>
  <si>
    <t xml:space="preserve">finance form ceiling sum</t>
  </si>
  <si>
    <t xml:space="preserve">A35</t>
  </si>
  <si>
    <t xml:space="preserve">obligation plus reserve</t>
  </si>
  <si>
    <t xml:space="preserve">A36</t>
  </si>
  <si>
    <t xml:space="preserve">zero evidence and authority</t>
  </si>
  <si>
    <t xml:space="preserve">A37</t>
  </si>
  <si>
    <t xml:space="preserve">rendering authority</t>
  </si>
  <si>
    <t xml:space="preserve">A38</t>
  </si>
  <si>
    <t xml:space="preserve">mutation rows</t>
  </si>
  <si>
    <t xml:space="preserve">A39</t>
  </si>
  <si>
    <t xml:space="preserve">mutations applied</t>
  </si>
  <si>
    <t xml:space="preserve">A40</t>
  </si>
  <si>
    <t xml:space="preserve">mutations detected</t>
  </si>
  <si>
    <t xml:space="preserve">A41</t>
  </si>
  <si>
    <t xml:space="preserve">mutations restored</t>
  </si>
  <si>
    <t xml:space="preserve">A42</t>
  </si>
  <si>
    <t xml:space="preserve">capacity downside control</t>
  </si>
  <si>
    <t xml:space="preserve">A43</t>
  </si>
  <si>
    <t xml:space="preserve">requirement upside control</t>
  </si>
  <si>
    <t xml:space="preserve">A44</t>
  </si>
  <si>
    <t xml:space="preserve">closure ratio control</t>
  </si>
  <si>
    <t xml:space="preserve">A45</t>
  </si>
  <si>
    <t xml:space="preserve">numeric coefficient bounds</t>
  </si>
  <si>
    <t xml:space="preserve">A46</t>
  </si>
  <si>
    <t xml:space="preserve">ET-A-A closure rows</t>
  </si>
  <si>
    <t xml:space="preserve">A47</t>
  </si>
  <si>
    <t xml:space="preserve">ET-A-A bounded rows</t>
  </si>
  <si>
    <t xml:space="preserve">A48</t>
  </si>
  <si>
    <t xml:space="preserve">ET-A-A held rows</t>
  </si>
  <si>
    <t xml:space="preserve">A49</t>
  </si>
  <si>
    <t xml:space="preserve">ET-A-A loss closes</t>
  </si>
  <si>
    <t xml:space="preserve">A50</t>
  </si>
  <si>
    <t xml:space="preserve">ET-A-A loss failures</t>
  </si>
  <si>
    <t xml:space="preserve">A51</t>
  </si>
  <si>
    <t xml:space="preserve">ET-A-A open coefficients</t>
  </si>
  <si>
    <t xml:space="preserve">A52</t>
  </si>
  <si>
    <t xml:space="preserve">ET-A-A below selected symmetric screen</t>
  </si>
  <si>
    <t xml:space="preserve">A53</t>
  </si>
  <si>
    <t xml:space="preserve">CT-C-B closure rows</t>
  </si>
  <si>
    <t xml:space="preserve">A54</t>
  </si>
  <si>
    <t xml:space="preserve">CT-C-B bounded rows</t>
  </si>
  <si>
    <t xml:space="preserve">A55</t>
  </si>
  <si>
    <t xml:space="preserve">CT-C-B held rows</t>
  </si>
  <si>
    <t xml:space="preserve">A56</t>
  </si>
  <si>
    <t xml:space="preserve">CT-C-B loss closes</t>
  </si>
  <si>
    <t xml:space="preserve">A57</t>
  </si>
  <si>
    <t xml:space="preserve">CT-C-B loss failures</t>
  </si>
  <si>
    <t xml:space="preserve">A58</t>
  </si>
  <si>
    <t xml:space="preserve">CT-C-B open coefficients</t>
  </si>
  <si>
    <t xml:space="preserve">A59</t>
  </si>
  <si>
    <t xml:space="preserve">CT-C-B below selected symmetric screen</t>
  </si>
  <si>
    <t xml:space="preserve">A60</t>
  </si>
  <si>
    <t xml:space="preserve">HC-A-C closure rows</t>
  </si>
  <si>
    <t xml:space="preserve">A61</t>
  </si>
  <si>
    <t xml:space="preserve">HC-A-C bounded rows</t>
  </si>
  <si>
    <t xml:space="preserve">A62</t>
  </si>
  <si>
    <t xml:space="preserve">HC-A-C held rows</t>
  </si>
  <si>
    <t xml:space="preserve">A63</t>
  </si>
  <si>
    <t xml:space="preserve">HC-A-C loss closes</t>
  </si>
  <si>
    <t xml:space="preserve">A64</t>
  </si>
  <si>
    <t xml:space="preserve">HC-A-C loss failures</t>
  </si>
  <si>
    <t xml:space="preserve">A65</t>
  </si>
  <si>
    <t xml:space="preserve">HC-A-C open coefficients</t>
  </si>
  <si>
    <t xml:space="preserve">A66</t>
  </si>
  <si>
    <t xml:space="preserve">HC-A-C below selected symmetric screen</t>
  </si>
  <si>
    <t xml:space="preserve">A67</t>
  </si>
  <si>
    <t xml:space="preserve">LF-B-A closure rows</t>
  </si>
  <si>
    <t xml:space="preserve">A68</t>
  </si>
  <si>
    <t xml:space="preserve">LF-B-A bounded rows</t>
  </si>
  <si>
    <t xml:space="preserve">A69</t>
  </si>
  <si>
    <t xml:space="preserve">LF-B-A held rows</t>
  </si>
  <si>
    <t xml:space="preserve">A70</t>
  </si>
  <si>
    <t xml:space="preserve">LF-B-A loss closes</t>
  </si>
  <si>
    <t xml:space="preserve">A71</t>
  </si>
  <si>
    <t xml:space="preserve">LF-B-A loss failures</t>
  </si>
  <si>
    <t xml:space="preserve">A72</t>
  </si>
  <si>
    <t xml:space="preserve">LF-B-A open coefficients</t>
  </si>
  <si>
    <t xml:space="preserve">A73</t>
  </si>
  <si>
    <t xml:space="preserve">LF-B-A below selected symmetric screen</t>
  </si>
  <si>
    <t xml:space="preserve">A74</t>
  </si>
  <si>
    <t xml:space="preserve">HU-A-B closure rows</t>
  </si>
  <si>
    <t xml:space="preserve">A75</t>
  </si>
  <si>
    <t xml:space="preserve">HU-A-B bounded rows</t>
  </si>
  <si>
    <t xml:space="preserve">A76</t>
  </si>
  <si>
    <t xml:space="preserve">HU-A-B held rows</t>
  </si>
  <si>
    <t xml:space="preserve">A77</t>
  </si>
  <si>
    <t xml:space="preserve">HU-A-B loss closes</t>
  </si>
  <si>
    <t xml:space="preserve">A78</t>
  </si>
  <si>
    <t xml:space="preserve">HU-A-B loss failures</t>
  </si>
  <si>
    <t xml:space="preserve">A79</t>
  </si>
  <si>
    <t xml:space="preserve">HU-A-B open coefficients</t>
  </si>
  <si>
    <t xml:space="preserve">A80</t>
  </si>
  <si>
    <t xml:space="preserve">HU-A-B below selected symmetric screen</t>
  </si>
  <si>
    <t xml:space="preserve">A81</t>
  </si>
  <si>
    <t xml:space="preserve">RT-B-C closure rows</t>
  </si>
  <si>
    <t xml:space="preserve">A82</t>
  </si>
  <si>
    <t xml:space="preserve">RT-B-C bounded rows</t>
  </si>
  <si>
    <t xml:space="preserve">A83</t>
  </si>
  <si>
    <t xml:space="preserve">RT-B-C held rows</t>
  </si>
  <si>
    <t xml:space="preserve">A84</t>
  </si>
  <si>
    <t xml:space="preserve">RT-B-C loss closes</t>
  </si>
  <si>
    <t xml:space="preserve">A85</t>
  </si>
  <si>
    <t xml:space="preserve">RT-B-C loss failures</t>
  </si>
  <si>
    <t xml:space="preserve">A86</t>
  </si>
  <si>
    <t xml:space="preserve">RT-B-C open coefficients</t>
  </si>
  <si>
    <t xml:space="preserve">A87</t>
  </si>
  <si>
    <t xml:space="preserve">RT-B-C below selected symmetric screen</t>
  </si>
  <si>
    <t xml:space="preserve">Method and use</t>
  </si>
  <si>
    <t xml:space="preserve">This workbook is a design-solvency instrument. It contains no measured result, probability distribution or acquisition authority.</t>
  </si>
  <si>
    <t xml:space="preserve">Interpretation</t>
  </si>
  <si>
    <t xml:space="preserve">Question</t>
  </si>
  <si>
    <t xml:space="preserve">Can all six baselines close service, mass, energy, flow and thermal accounts in four worlds under honest intervals?</t>
  </si>
  <si>
    <t xml:space="preserve">Answer</t>
  </si>
  <si>
    <t xml:space="preserve">No. The inherited configurations close nominal nonthermal arithmetic, but only 3 of 24 loss-world accounts survive the selected two-sided screen.</t>
  </si>
  <si>
    <t xml:space="preserve">Interval law</t>
  </si>
  <si>
    <t xml:space="preserve">Capacity is evaluated at its lower bound and requirement at its upper bound. The midpoint is never used.</t>
  </si>
  <si>
    <t xml:space="preserve">Unknown law</t>
  </si>
  <si>
    <t xml:space="preserve">A missing capacity, requirement or coefficient produces HOLD. Zero is a physical value and cannot stand for missing.</t>
  </si>
  <si>
    <t xml:space="preserve">The common screens are public design tests only. They are not evidence that every form shares the same uncertainty.</t>
  </si>
  <si>
    <t xml:space="preserve">Thermal law</t>
  </si>
  <si>
    <t xml:space="preserve">Each form must establish its own peak-duty coefficient and surviving heat-rejection boundary.</t>
  </si>
  <si>
    <t xml:space="preserve">Authority</t>
  </si>
  <si>
    <t xml:space="preserve">No output creates measurement, evidence, selection, MAKE, REP-4, capability, production or rendering authority.</t>
  </si>
  <si>
    <t xml:space="preserve">Trace and refresh</t>
  </si>
  <si>
    <t xml:space="preserve">Source lineage</t>
  </si>
  <si>
    <t xml:space="preserve">Pass 219 Section Bills supply the twenty-four nonthermal planning rows. Pass 236 supplies the four-world and five-account grammar.</t>
  </si>
  <si>
    <t xml:space="preserve">Update rule</t>
  </si>
  <si>
    <t xml:space="preserve">Append form-native measured bounds in the source and coefficient registers. Do not overwrite inherited hypotheses.</t>
  </si>
  <si>
    <t xml:space="preserve">Configuration rule</t>
  </si>
  <si>
    <t xml:space="preserve">A changed denominator, article boundary or cell partition creates a new content-addressed baseline.</t>
  </si>
  <si>
    <t xml:space="preserve">Rating order</t>
  </si>
  <si>
    <t xml:space="preserve">Required survivor capacity equals loss requirement × (1 + requirement upside) / (1 - capacity downside).</t>
  </si>
  <si>
    <t xml:space="preserve">Financial rule</t>
  </si>
  <si>
    <t xml:space="preserve">The work remains inside the existing USD179M obligation. Rating percentage is not a cost percentage.</t>
  </si>
  <si>
    <t xml:space="preserve">Verification</t>
  </si>
  <si>
    <t xml:space="preserve">Recalculate in the target office engine, scan formula errors, test corruptions and render every sheet before release.</t>
  </si>
  <si>
    <t xml:space="preserve">Next decision</t>
  </si>
  <si>
    <t xml:space="preserve">Close geometry, load path, control, civil rights, residual custody and safe state around the revised ratings.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</si>
</sst>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0.0%"/>
    <numFmt numFmtId="167" formatCode="0.000"/>
    <numFmt numFmtId="168" formatCode="#,##0.000"/>
    <numFmt numFmtId="169" formatCode="\$#,##0.0"/>
    <numFmt numFmtId="170" formatCode="0"/>
    <numFmt numFmtId="171" formatCode="#,##0.000000"/>
  </numFmts>
  <fonts count="2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3A5E"/>
      <name val="Arial"/>
      <family val="0"/>
      <charset val="1"/>
    </font>
    <font>
      <i val="true"/>
      <sz val="9"/>
      <color rgb="FF607080"/>
      <name val="Arial"/>
      <family val="0"/>
      <charset val="1"/>
    </font>
    <font>
      <b val="true"/>
      <sz val="9"/>
      <color rgb="FF173A5E"/>
      <name val="Arial"/>
      <family val="0"/>
      <charset val="1"/>
    </font>
    <font>
      <sz val="9"/>
      <color rgb="FF243240"/>
      <name val="Arial"/>
      <family val="0"/>
      <charset val="1"/>
    </font>
    <font>
      <b val="true"/>
      <sz val="10"/>
      <color rgb="FF173A5E"/>
      <name val="Arial"/>
      <family val="0"/>
      <charset val="1"/>
    </font>
    <font>
      <b val="true"/>
      <sz val="9"/>
      <color rgb="FF000000"/>
      <name val="Arial"/>
      <family val="2"/>
    </font>
    <font>
      <sz val="6.75"/>
      <color rgb="FF000000"/>
      <name val="Arial"/>
      <family val="2"/>
    </font>
    <font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  <font>
      <sz val="8"/>
      <color rgb="FF243240"/>
      <name val="Arial"/>
      <family val="0"/>
      <charset val="1"/>
    </font>
    <font>
      <sz val="9"/>
      <color rgb="FF008000"/>
      <name val="Arial"/>
      <family val="0"/>
      <charset val="1"/>
    </font>
    <font>
      <sz val="8"/>
      <color rgb="FF008000"/>
      <name val="Arial"/>
      <family val="0"/>
      <charset val="1"/>
    </font>
    <font>
      <sz val="8"/>
      <color rgb="FF0000FF"/>
      <name val="Arial"/>
      <family val="0"/>
      <charset val="1"/>
    </font>
    <font>
      <b val="true"/>
      <sz val="8"/>
      <color rgb="FF008000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7F3"/>
        <bgColor rgb="FFD9D9D9"/>
      </patternFill>
    </fill>
    <fill>
      <patternFill patternType="solid">
        <fgColor rgb="FF275D8C"/>
        <bgColor rgb="FF173A5E"/>
      </patternFill>
    </fill>
    <fill>
      <patternFill patternType="solid">
        <fgColor rgb="FFFFF2CC"/>
        <bgColor rgb="FFFCE8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FB7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9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9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9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5"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173A5E"/>
      </font>
      <fill>
        <patternFill>
          <bgColor rgb="FFEEF5FA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173A5E"/>
      </font>
      <fill>
        <patternFill>
          <bgColor rgb="FFEEF5FA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173A5E"/>
      </font>
      <fill>
        <patternFill>
          <bgColor rgb="FFEEF5FA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173A5E"/>
      </font>
      <fill>
        <patternFill>
          <bgColor rgb="FFEEF5FA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173A5E"/>
      </font>
      <fill>
        <patternFill>
          <bgColor rgb="FFEEF5FA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173A5E"/>
      </font>
      <fill>
        <patternFill>
          <bgColor rgb="FFEEF5FA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173A5E"/>
      </font>
      <fill>
        <patternFill>
          <bgColor rgb="FFEEF5FA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173A5E"/>
      </font>
      <fill>
        <patternFill>
          <bgColor rgb="FFEEF5FA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8A5B00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CE8E6"/>
        </patternFill>
      </fill>
    </dxf>
    <dxf>
      <font>
        <b val="1"/>
        <color rgb="FF173A5E"/>
      </font>
      <fill>
        <patternFill>
          <bgColor rgb="FFEEF5F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B00"/>
      <rgbColor rgb="FF800080"/>
      <rgbColor rgb="FF008080"/>
      <rgbColor rgb="FFCCCCCC"/>
      <rgbColor rgb="FF8B8B8B"/>
      <rgbColor rgb="FF9999FF"/>
      <rgbColor rgb="FF993366"/>
      <rgbColor rgb="FFFFF2CC"/>
      <rgbColor rgb="FFD9E7F3"/>
      <rgbColor rgb="FF660066"/>
      <rgbColor rgb="FFFF8080"/>
      <rgbColor rgb="FF275D8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5FA"/>
      <rgbColor rgb="FFCCFFCC"/>
      <rgbColor rgb="FFFCE8E6"/>
      <rgbColor rgb="FF9FB7CC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07080"/>
      <rgbColor rgb="FF969696"/>
      <rgbColor rgb="FF173A5E"/>
      <rgbColor rgb="FF339966"/>
      <rgbColor rgb="FF003300"/>
      <rgbColor rgb="FF333300"/>
      <rgbColor rgb="FF993300"/>
      <rgbColor rgb="FF993366"/>
      <rgbColor rgb="FF333399"/>
      <rgbColor rgb="FF2432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Loss-world interval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"Current maximum interval"</c:f>
              <c:strCache>
                <c:ptCount val="1"/>
                <c:pt idx="0">
                  <c:v>Current maximum interval</c:v>
                </c:pt>
              </c:strCache>
            </c:strRef>
          </c:tx>
          <c:spPr>
            <a:solidFill>
              <a:srgbClr val="275D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Summary!$M$7:$M$12</c:f>
              <c:strCache>
                <c:ptCount val="6"/>
                <c:pt idx="0">
                  <c:v>ET-A-A</c:v>
                </c:pt>
                <c:pt idx="1">
                  <c:v>CT-C-B</c:v>
                </c:pt>
                <c:pt idx="2">
                  <c:v>HC-A-C</c:v>
                </c:pt>
                <c:pt idx="3">
                  <c:v>LF-B-A</c:v>
                </c:pt>
                <c:pt idx="4">
                  <c:v>HU-A-B</c:v>
                </c:pt>
                <c:pt idx="5">
                  <c:v>RT-B-C</c:v>
                </c:pt>
              </c:strCache>
            </c:strRef>
          </c:cat>
          <c:val>
            <c:numRef>
              <c:f>Summary!$N$7:$N$12</c:f>
              <c:numCache>
                <c:formatCode>0.00%</c:formatCode>
                <c:ptCount val="6"/>
                <c:pt idx="0">
                  <c:v>0.0134922025582625</c:v>
                </c:pt>
                <c:pt idx="1">
                  <c:v>0.0140845070422536</c:v>
                </c:pt>
                <c:pt idx="2">
                  <c:v>0.0143540669856459</c:v>
                </c:pt>
                <c:pt idx="3">
                  <c:v>0.0134137629970633</c:v>
                </c:pt>
                <c:pt idx="4">
                  <c:v>0.0142927550517497</c:v>
                </c:pt>
                <c:pt idx="5">
                  <c:v>0.0127388535031847</c:v>
                </c:pt>
              </c:numCache>
            </c:numRef>
          </c:val>
        </c:ser>
        <c:ser>
          <c:idx val="1"/>
          <c:order val="1"/>
          <c:tx>
            <c:strRef>
              <c:f>"Required interval"</c:f>
              <c:strCache>
                <c:ptCount val="1"/>
                <c:pt idx="0">
                  <c:v>Required interval</c:v>
                </c:pt>
              </c:strCache>
            </c:strRef>
          </c:tx>
          <c:spPr>
            <a:solidFill>
              <a:srgbClr val="F4B18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Summary!$M$7:$M$12</c:f>
              <c:strCache>
                <c:ptCount val="6"/>
                <c:pt idx="0">
                  <c:v>ET-A-A</c:v>
                </c:pt>
                <c:pt idx="1">
                  <c:v>CT-C-B</c:v>
                </c:pt>
                <c:pt idx="2">
                  <c:v>HC-A-C</c:v>
                </c:pt>
                <c:pt idx="3">
                  <c:v>LF-B-A</c:v>
                </c:pt>
                <c:pt idx="4">
                  <c:v>HU-A-B</c:v>
                </c:pt>
                <c:pt idx="5">
                  <c:v>RT-B-C</c:v>
                </c:pt>
              </c:strCache>
            </c:strRef>
          </c:cat>
          <c:val>
            <c:numRef>
              <c:f>Summary!$O$7:$O$12</c:f>
              <c:numCache>
                <c:formatCode>0.00%</c:formatCode>
                <c:ptCount val="6"/>
                <c:pt idx="0">
                  <c:v>0.025</c:v>
                </c:pt>
                <c:pt idx="1">
                  <c:v>0.025</c:v>
                </c:pt>
                <c:pt idx="2">
                  <c:v>0.025</c:v>
                </c:pt>
                <c:pt idx="3">
                  <c:v>0.025</c:v>
                </c:pt>
                <c:pt idx="4">
                  <c:v>0.025</c:v>
                </c:pt>
                <c:pt idx="5">
                  <c:v>0.025</c:v>
                </c:pt>
              </c:numCache>
            </c:numRef>
          </c:val>
        </c:ser>
        <c:gapWidth val="150"/>
        <c:overlap val="0"/>
        <c:axId val="43850914"/>
        <c:axId val="73875504"/>
      </c:barChart>
      <c:catAx>
        <c:axId val="4385091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3875504"/>
        <c:crosses val="autoZero"/>
        <c:auto val="1"/>
        <c:lblAlgn val="ctr"/>
        <c:lblOffset val="100"/>
        <c:noMultiLvlLbl val="0"/>
      </c:catAx>
      <c:valAx>
        <c:axId val="7387550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3850914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5</xdr:row>
      <xdr:rowOff>0</xdr:rowOff>
    </xdr:from>
    <xdr:to>
      <xdr:col>14</xdr:col>
      <xdr:colOff>1268640</xdr:colOff>
      <xdr:row>23</xdr:row>
      <xdr:rowOff>190080</xdr:rowOff>
    </xdr:to>
    <xdr:graphicFrame>
      <xdr:nvGraphicFramePr>
        <xdr:cNvPr id="1" name="Chart"/>
        <xdr:cNvGraphicFramePr/>
      </xdr:nvGraphicFramePr>
      <xdr:xfrm>
        <a:off x="10643400" y="965160"/>
        <a:ext cx="7400520" cy="3619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56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3"/>
    <col collapsed="false" customWidth="true" hidden="false" outlineLevel="0" max="11" min="8" style="0" width="13"/>
    <col collapsed="false" customWidth="true" hidden="false" outlineLevel="0" max="12" min="12" style="0" width="3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8"/>
  </cols>
  <sheetData>
    <row r="1" customFormat="false" ht="8" hidden="false" customHeight="true" outlineLevel="0" collapsed="false"/>
    <row r="2" customFormat="false" ht="23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5" hidden="false" customHeight="false" outlineLevel="0" collapsed="false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2"/>
      <c r="H6" s="2"/>
      <c r="I6" s="2"/>
      <c r="J6" s="2"/>
      <c r="K6" s="2"/>
      <c r="L6" s="2"/>
      <c r="M6" s="2" t="s">
        <v>3</v>
      </c>
      <c r="N6" s="2" t="s">
        <v>4</v>
      </c>
      <c r="O6" s="2" t="s">
        <v>5</v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 t="s">
        <v>6</v>
      </c>
      <c r="N7" s="5" t="n">
        <f aca="false">'Form Results'!E7</f>
        <v>0.0134922025582625</v>
      </c>
      <c r="O7" s="5" t="n">
        <f aca="false">Inputs!$B$7</f>
        <v>0.025</v>
      </c>
    </row>
    <row r="8" customFormat="false" ht="15" hidden="false" customHeight="false" outlineLevel="0" collapsed="false">
      <c r="A8" s="6" t="s">
        <v>7</v>
      </c>
      <c r="B8" s="6" t="s">
        <v>8</v>
      </c>
      <c r="C8" s="6" t="s">
        <v>9</v>
      </c>
      <c r="D8" s="6"/>
      <c r="E8" s="6"/>
      <c r="F8" s="6"/>
      <c r="G8" s="2"/>
      <c r="H8" s="2"/>
      <c r="I8" s="2"/>
      <c r="J8" s="2"/>
      <c r="K8" s="2"/>
      <c r="L8" s="2"/>
      <c r="M8" s="2" t="s">
        <v>10</v>
      </c>
      <c r="N8" s="5" t="n">
        <f aca="false">'Form Results'!E8</f>
        <v>0.0140845070422536</v>
      </c>
      <c r="O8" s="5" t="n">
        <f aca="false">Inputs!$B$7</f>
        <v>0.025</v>
      </c>
    </row>
    <row r="9" customFormat="false" ht="15" hidden="false" customHeight="false" outlineLevel="0" collapsed="false">
      <c r="A9" s="6" t="s">
        <v>11</v>
      </c>
      <c r="B9" s="7" t="n">
        <f aca="false">Inputs!B7</f>
        <v>0.025</v>
      </c>
      <c r="C9" s="6" t="s">
        <v>12</v>
      </c>
      <c r="D9" s="6"/>
      <c r="E9" s="6"/>
      <c r="F9" s="6"/>
      <c r="G9" s="2"/>
      <c r="H9" s="2"/>
      <c r="I9" s="2"/>
      <c r="J9" s="2"/>
      <c r="K9" s="2"/>
      <c r="L9" s="2"/>
      <c r="M9" s="2" t="s">
        <v>13</v>
      </c>
      <c r="N9" s="5" t="n">
        <f aca="false">'Form Results'!E9</f>
        <v>0.0143540669856459</v>
      </c>
      <c r="O9" s="5" t="n">
        <f aca="false">Inputs!$B$7</f>
        <v>0.025</v>
      </c>
    </row>
    <row r="10" customFormat="false" ht="15" hidden="false" customHeight="false" outlineLevel="0" collapsed="false">
      <c r="A10" s="6" t="s">
        <v>14</v>
      </c>
      <c r="B10" s="8" t="n">
        <f aca="false">Inputs!B10</f>
        <v>1.05128205128205</v>
      </c>
      <c r="C10" s="6" t="s">
        <v>15</v>
      </c>
      <c r="D10" s="6"/>
      <c r="E10" s="6"/>
      <c r="F10" s="6"/>
      <c r="G10" s="2"/>
      <c r="H10" s="2"/>
      <c r="I10" s="2"/>
      <c r="J10" s="2"/>
      <c r="K10" s="2"/>
      <c r="L10" s="2"/>
      <c r="M10" s="2" t="s">
        <v>16</v>
      </c>
      <c r="N10" s="5" t="n">
        <f aca="false">'Form Results'!E10</f>
        <v>0.0134137629970633</v>
      </c>
      <c r="O10" s="5" t="n">
        <f aca="false">Inputs!$B$7</f>
        <v>0.025</v>
      </c>
    </row>
    <row r="11" customFormat="false" ht="15" hidden="false" customHeight="false" outlineLevel="0" collapsed="false">
      <c r="A11" s="6" t="s">
        <v>17</v>
      </c>
      <c r="B11" s="9" t="n">
        <f aca="false">COUNTIF('Form Results'!$K$7:$K$12,"CLOSE")</f>
        <v>0</v>
      </c>
      <c r="C11" s="6" t="s">
        <v>18</v>
      </c>
      <c r="D11" s="6"/>
      <c r="E11" s="6"/>
      <c r="F11" s="6"/>
      <c r="G11" s="2"/>
      <c r="H11" s="2"/>
      <c r="I11" s="2"/>
      <c r="J11" s="2"/>
      <c r="K11" s="2"/>
      <c r="L11" s="2"/>
      <c r="M11" s="2" t="s">
        <v>19</v>
      </c>
      <c r="N11" s="5" t="n">
        <f aca="false">'Form Results'!E11</f>
        <v>0.0142927550517497</v>
      </c>
      <c r="O11" s="5" t="n">
        <f aca="false">Inputs!$B$7</f>
        <v>0.025</v>
      </c>
    </row>
    <row r="12" customFormat="false" ht="15" hidden="false" customHeight="false" outlineLevel="0" collapsed="false">
      <c r="A12" s="6" t="s">
        <v>20</v>
      </c>
      <c r="B12" s="9" t="str">
        <f aca="false">COUNTIFS('Closure Cells'!$D$7:$D$126,"LARGEST_CELL_LOSS",'Closure Cells'!$O$7:$O$126,"CLOSE")&amp;" close / "&amp;COUNTIFS('Closure Cells'!$D$7:$D$126,"LARGEST_CELL_LOSS",'Closure Cells'!$O$7:$O$126,"FAIL")&amp;" fail"</f>
        <v>3 close / 21 fail</v>
      </c>
      <c r="C12" s="6" t="s">
        <v>21</v>
      </c>
      <c r="D12" s="6"/>
      <c r="E12" s="6"/>
      <c r="F12" s="6"/>
      <c r="G12" s="2"/>
      <c r="H12" s="2"/>
      <c r="I12" s="2"/>
      <c r="J12" s="2"/>
      <c r="K12" s="2"/>
      <c r="L12" s="2"/>
      <c r="M12" s="2" t="s">
        <v>22</v>
      </c>
      <c r="N12" s="5" t="n">
        <f aca="false">'Form Results'!E12</f>
        <v>0.0127388535031847</v>
      </c>
      <c r="O12" s="5" t="n">
        <f aca="false">Inputs!$B$7</f>
        <v>0.025</v>
      </c>
    </row>
    <row r="13" customFormat="false" ht="15" hidden="false" customHeight="false" outlineLevel="0" collapsed="false">
      <c r="A13" s="6" t="s">
        <v>23</v>
      </c>
      <c r="B13" s="6" t="n">
        <v>72</v>
      </c>
      <c r="C13" s="6" t="s">
        <v>24</v>
      </c>
      <c r="D13" s="6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4" t="s">
        <v>25</v>
      </c>
      <c r="B16" s="4" t="s">
        <v>25</v>
      </c>
      <c r="C16" s="4" t="s">
        <v>25</v>
      </c>
      <c r="D16" s="4" t="s">
        <v>25</v>
      </c>
      <c r="E16" s="4" t="s">
        <v>25</v>
      </c>
      <c r="F16" s="4" t="s">
        <v>25</v>
      </c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5" hidden="false" customHeight="false" outlineLevel="0" collapsed="false">
      <c r="A18" s="6" t="s">
        <v>6</v>
      </c>
      <c r="B18" s="6" t="s">
        <v>26</v>
      </c>
      <c r="C18" s="6" t="s">
        <v>27</v>
      </c>
      <c r="D18" s="6" t="s">
        <v>28</v>
      </c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6" t="s">
        <v>10</v>
      </c>
      <c r="B19" s="6" t="s">
        <v>29</v>
      </c>
      <c r="C19" s="6" t="s">
        <v>30</v>
      </c>
      <c r="D19" s="6" t="s">
        <v>31</v>
      </c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5" hidden="false" customHeight="false" outlineLevel="0" collapsed="false">
      <c r="A20" s="6" t="s">
        <v>13</v>
      </c>
      <c r="B20" s="6" t="s">
        <v>26</v>
      </c>
      <c r="C20" s="6" t="s">
        <v>32</v>
      </c>
      <c r="D20" s="6" t="s">
        <v>33</v>
      </c>
      <c r="E20" s="6"/>
      <c r="F20" s="6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5" hidden="false" customHeight="false" outlineLevel="0" collapsed="false">
      <c r="A21" s="6" t="s">
        <v>16</v>
      </c>
      <c r="B21" s="6" t="s">
        <v>34</v>
      </c>
      <c r="C21" s="6" t="s">
        <v>35</v>
      </c>
      <c r="D21" s="6" t="s">
        <v>36</v>
      </c>
      <c r="E21" s="6"/>
      <c r="F21" s="6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5" hidden="false" customHeight="false" outlineLevel="0" collapsed="false">
      <c r="A22" s="6" t="s">
        <v>19</v>
      </c>
      <c r="B22" s="6" t="s">
        <v>34</v>
      </c>
      <c r="C22" s="6" t="s">
        <v>37</v>
      </c>
      <c r="D22" s="6" t="s">
        <v>38</v>
      </c>
      <c r="E22" s="6"/>
      <c r="F22" s="6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5" hidden="false" customHeight="false" outlineLevel="0" collapsed="false">
      <c r="A23" s="6" t="s">
        <v>22</v>
      </c>
      <c r="B23" s="6" t="s">
        <v>29</v>
      </c>
      <c r="C23" s="6" t="s">
        <v>39</v>
      </c>
      <c r="D23" s="6" t="s">
        <v>40</v>
      </c>
      <c r="E23" s="6"/>
      <c r="F23" s="6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" hidden="false" customHeight="false" outlineLevel="0" collapsed="false">
      <c r="A26" s="4" t="s">
        <v>41</v>
      </c>
      <c r="B26" s="4" t="s">
        <v>41</v>
      </c>
      <c r="C26" s="4" t="s">
        <v>41</v>
      </c>
      <c r="D26" s="4" t="s">
        <v>41</v>
      </c>
      <c r="E26" s="4" t="s">
        <v>41</v>
      </c>
      <c r="F26" s="4" t="s">
        <v>41</v>
      </c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5" hidden="false" customHeight="false" outlineLevel="0" collapsed="false">
      <c r="A28" s="6" t="s">
        <v>42</v>
      </c>
      <c r="B28" s="6" t="n">
        <v>0</v>
      </c>
      <c r="C28" s="6" t="s">
        <v>43</v>
      </c>
      <c r="D28" s="6"/>
      <c r="E28" s="6"/>
      <c r="F28" s="6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5" hidden="false" customHeight="false" outlineLevel="0" collapsed="false">
      <c r="A29" s="6" t="s">
        <v>44</v>
      </c>
      <c r="B29" s="6" t="n">
        <v>0</v>
      </c>
      <c r="C29" s="6" t="s">
        <v>45</v>
      </c>
      <c r="D29" s="6"/>
      <c r="E29" s="6"/>
      <c r="F29" s="6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5" hidden="false" customHeight="false" outlineLevel="0" collapsed="false">
      <c r="A30" s="6" t="s">
        <v>46</v>
      </c>
      <c r="B30" s="6" t="n">
        <v>0</v>
      </c>
      <c r="C30" s="6" t="s">
        <v>47</v>
      </c>
      <c r="D30" s="6"/>
      <c r="E30" s="6"/>
      <c r="F30" s="6"/>
      <c r="G30" s="2"/>
      <c r="H30" s="2"/>
      <c r="I30" s="2"/>
      <c r="J30" s="2"/>
      <c r="K30" s="2"/>
      <c r="L30" s="2"/>
      <c r="M30" s="2"/>
      <c r="N30" s="2"/>
      <c r="O30" s="2"/>
    </row>
    <row r="31" customFormat="false" ht="15" hidden="false" customHeight="false" outlineLevel="0" collapsed="false">
      <c r="A31" s="6" t="s">
        <v>48</v>
      </c>
      <c r="B31" s="6" t="n">
        <v>0</v>
      </c>
      <c r="C31" s="6" t="s">
        <v>49</v>
      </c>
      <c r="D31" s="6"/>
      <c r="E31" s="6"/>
      <c r="F31" s="6"/>
      <c r="G31" s="2"/>
      <c r="H31" s="2"/>
      <c r="I31" s="2"/>
      <c r="J31" s="2"/>
      <c r="K31" s="2"/>
      <c r="L31" s="2"/>
      <c r="M31" s="2"/>
      <c r="N31" s="2"/>
      <c r="O31" s="2"/>
    </row>
  </sheetData>
  <mergeCells count="5">
    <mergeCell ref="A2:O2"/>
    <mergeCell ref="A4:O4"/>
    <mergeCell ref="A6:F6"/>
    <mergeCell ref="A16:F16"/>
    <mergeCell ref="A26:F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4"/>
    <col collapsed="false" customWidth="true" hidden="false" outlineLevel="0" max="9" min="3" style="0" width="14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14"/>
  </cols>
  <sheetData>
    <row r="1" customFormat="false" ht="8" hidden="false" customHeight="true" outlineLevel="0" collapsed="false"/>
    <row r="2" customFormat="false" ht="23" hidden="false" customHeight="true" outlineLevel="0" collapsed="false">
      <c r="A2" s="1" t="s">
        <v>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51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31" hidden="false" customHeight="true" outlineLevel="0" collapsed="false">
      <c r="A6" s="10" t="s">
        <v>52</v>
      </c>
      <c r="B6" s="10" t="s">
        <v>7</v>
      </c>
      <c r="C6" s="10" t="s">
        <v>53</v>
      </c>
      <c r="D6" s="10" t="s">
        <v>54</v>
      </c>
      <c r="E6" s="10" t="s">
        <v>55</v>
      </c>
      <c r="F6" s="10" t="s">
        <v>56</v>
      </c>
      <c r="G6" s="10" t="s">
        <v>57</v>
      </c>
      <c r="H6" s="10" t="s">
        <v>58</v>
      </c>
      <c r="I6" s="10" t="s">
        <v>59</v>
      </c>
      <c r="J6" s="10" t="s">
        <v>60</v>
      </c>
      <c r="K6" s="10" t="s">
        <v>61</v>
      </c>
      <c r="L6" s="10" t="s">
        <v>62</v>
      </c>
      <c r="M6" s="2"/>
      <c r="N6" s="2"/>
      <c r="O6" s="2"/>
    </row>
    <row r="7" customFormat="false" ht="15" hidden="false" customHeight="false" outlineLevel="0" collapsed="false">
      <c r="A7" s="11" t="s">
        <v>63</v>
      </c>
      <c r="B7" s="11" t="s">
        <v>64</v>
      </c>
      <c r="C7" s="11" t="n">
        <v>0</v>
      </c>
      <c r="D7" s="11" t="n">
        <v>1</v>
      </c>
      <c r="E7" s="11" t="n">
        <v>1</v>
      </c>
      <c r="F7" s="11" t="n">
        <v>1</v>
      </c>
      <c r="G7" s="11" t="n">
        <v>0</v>
      </c>
      <c r="H7" s="11" t="n">
        <v>0</v>
      </c>
      <c r="I7" s="11" t="n">
        <v>1</v>
      </c>
      <c r="J7" s="11" t="n">
        <v>1</v>
      </c>
      <c r="K7" s="12" t="n">
        <f aca="false">SUM(C7:J7)</f>
        <v>5</v>
      </c>
      <c r="L7" s="12" t="str">
        <f aca="false">IF(K7=8,"SELECT","REJECT")</f>
        <v>REJECT</v>
      </c>
      <c r="M7" s="2"/>
      <c r="N7" s="2"/>
      <c r="O7" s="2"/>
    </row>
    <row r="8" customFormat="false" ht="15" hidden="false" customHeight="false" outlineLevel="0" collapsed="false">
      <c r="A8" s="11" t="s">
        <v>65</v>
      </c>
      <c r="B8" s="11" t="s">
        <v>66</v>
      </c>
      <c r="C8" s="11" t="n">
        <v>1</v>
      </c>
      <c r="D8" s="11" t="n">
        <v>0</v>
      </c>
      <c r="E8" s="11" t="n">
        <v>1</v>
      </c>
      <c r="F8" s="11" t="n">
        <v>1</v>
      </c>
      <c r="G8" s="11" t="n">
        <v>0</v>
      </c>
      <c r="H8" s="11" t="n">
        <v>1</v>
      </c>
      <c r="I8" s="11" t="n">
        <v>1</v>
      </c>
      <c r="J8" s="11" t="n">
        <v>1</v>
      </c>
      <c r="K8" s="12" t="n">
        <f aca="false">SUM(C8:J8)</f>
        <v>6</v>
      </c>
      <c r="L8" s="12" t="str">
        <f aca="false">IF(K8=8,"SELECT","REJECT")</f>
        <v>REJECT</v>
      </c>
      <c r="M8" s="2"/>
      <c r="N8" s="2"/>
      <c r="O8" s="2"/>
    </row>
    <row r="9" customFormat="false" ht="15" hidden="false" customHeight="false" outlineLevel="0" collapsed="false">
      <c r="A9" s="11" t="s">
        <v>67</v>
      </c>
      <c r="B9" s="11" t="s">
        <v>68</v>
      </c>
      <c r="C9" s="11" t="n">
        <v>1</v>
      </c>
      <c r="D9" s="11" t="n">
        <v>1</v>
      </c>
      <c r="E9" s="11" t="n">
        <v>0</v>
      </c>
      <c r="F9" s="11" t="n">
        <v>0</v>
      </c>
      <c r="G9" s="11" t="n">
        <v>1</v>
      </c>
      <c r="H9" s="11" t="n">
        <v>1</v>
      </c>
      <c r="I9" s="11" t="n">
        <v>1</v>
      </c>
      <c r="J9" s="11" t="n">
        <v>1</v>
      </c>
      <c r="K9" s="12" t="n">
        <f aca="false">SUM(C9:J9)</f>
        <v>6</v>
      </c>
      <c r="L9" s="12" t="str">
        <f aca="false">IF(K9=8,"SELECT","REJECT")</f>
        <v>REJECT</v>
      </c>
      <c r="M9" s="2"/>
      <c r="N9" s="2"/>
      <c r="O9" s="2"/>
    </row>
    <row r="10" customFormat="false" ht="15" hidden="false" customHeight="false" outlineLevel="0" collapsed="false">
      <c r="A10" s="11" t="s">
        <v>69</v>
      </c>
      <c r="B10" s="11" t="s">
        <v>70</v>
      </c>
      <c r="C10" s="11" t="n">
        <v>1</v>
      </c>
      <c r="D10" s="11" t="n">
        <v>1</v>
      </c>
      <c r="E10" s="11" t="n">
        <v>1</v>
      </c>
      <c r="F10" s="11" t="n">
        <v>0</v>
      </c>
      <c r="G10" s="11" t="n">
        <v>1</v>
      </c>
      <c r="H10" s="11" t="n">
        <v>1</v>
      </c>
      <c r="I10" s="11" t="n">
        <v>0</v>
      </c>
      <c r="J10" s="11" t="n">
        <v>1</v>
      </c>
      <c r="K10" s="12" t="n">
        <f aca="false">SUM(C10:J10)</f>
        <v>6</v>
      </c>
      <c r="L10" s="12" t="str">
        <f aca="false">IF(K10=8,"SELECT","REJECT")</f>
        <v>REJECT</v>
      </c>
      <c r="M10" s="2"/>
      <c r="N10" s="2"/>
      <c r="O10" s="2"/>
    </row>
    <row r="11" customFormat="false" ht="15" hidden="false" customHeight="false" outlineLevel="0" collapsed="false">
      <c r="A11" s="11" t="s">
        <v>71</v>
      </c>
      <c r="B11" s="11" t="s">
        <v>72</v>
      </c>
      <c r="C11" s="11" t="n">
        <v>1</v>
      </c>
      <c r="D11" s="11" t="n">
        <v>1</v>
      </c>
      <c r="E11" s="11" t="n">
        <v>1</v>
      </c>
      <c r="F11" s="11" t="n">
        <v>1</v>
      </c>
      <c r="G11" s="11" t="n">
        <v>1</v>
      </c>
      <c r="H11" s="11" t="n">
        <v>1</v>
      </c>
      <c r="I11" s="11" t="n">
        <v>1</v>
      </c>
      <c r="J11" s="11" t="n">
        <v>1</v>
      </c>
      <c r="K11" s="12" t="n">
        <f aca="false">SUM(C11:J11)</f>
        <v>8</v>
      </c>
      <c r="L11" s="12" t="str">
        <f aca="false">IF(K11=8,"SELECT","REJECT")</f>
        <v>SELECT</v>
      </c>
      <c r="M11" s="2"/>
      <c r="N11" s="2"/>
      <c r="O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5" hidden="false" customHeight="false" outlineLevel="0" collapsed="false">
      <c r="A14" s="4" t="s">
        <v>73</v>
      </c>
      <c r="B14" s="4" t="s">
        <v>73</v>
      </c>
      <c r="C14" s="4" t="s">
        <v>73</v>
      </c>
      <c r="D14" s="4" t="s">
        <v>73</v>
      </c>
      <c r="E14" s="4" t="s">
        <v>73</v>
      </c>
      <c r="F14" s="4" t="s">
        <v>73</v>
      </c>
      <c r="G14" s="4" t="s">
        <v>73</v>
      </c>
      <c r="H14" s="4" t="s">
        <v>73</v>
      </c>
      <c r="I14" s="4" t="s">
        <v>73</v>
      </c>
      <c r="J14" s="4" t="s">
        <v>73</v>
      </c>
      <c r="K14" s="4" t="s">
        <v>73</v>
      </c>
      <c r="L14" s="4" t="s">
        <v>73</v>
      </c>
      <c r="M14" s="2"/>
      <c r="N14" s="2"/>
      <c r="O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11" t="s">
        <v>2</v>
      </c>
      <c r="B16" s="11" t="s">
        <v>8</v>
      </c>
      <c r="C16" s="11" t="s">
        <v>74</v>
      </c>
      <c r="D16" s="11"/>
      <c r="E16" s="11"/>
      <c r="F16" s="11"/>
      <c r="G16" s="11"/>
      <c r="H16" s="11"/>
      <c r="I16" s="11"/>
      <c r="J16" s="11"/>
      <c r="K16" s="11"/>
      <c r="L16" s="11"/>
      <c r="M16" s="2"/>
      <c r="N16" s="2"/>
      <c r="O16" s="2"/>
    </row>
    <row r="17" customFormat="false" ht="15" hidden="false" customHeight="false" outlineLevel="0" collapsed="false">
      <c r="A17" s="11" t="s">
        <v>75</v>
      </c>
      <c r="B17" s="11" t="s">
        <v>76</v>
      </c>
      <c r="C17" s="11" t="s">
        <v>77</v>
      </c>
      <c r="D17" s="11"/>
      <c r="E17" s="11"/>
      <c r="F17" s="11"/>
      <c r="G17" s="11"/>
      <c r="H17" s="11"/>
      <c r="I17" s="11"/>
      <c r="J17" s="11"/>
      <c r="K17" s="11"/>
      <c r="L17" s="11"/>
      <c r="M17" s="2"/>
      <c r="N17" s="2"/>
      <c r="O17" s="2"/>
    </row>
    <row r="18" customFormat="false" ht="15" hidden="false" customHeight="false" outlineLevel="0" collapsed="false">
      <c r="A18" s="11" t="s">
        <v>78</v>
      </c>
      <c r="B18" s="11" t="s">
        <v>79</v>
      </c>
      <c r="C18" s="11" t="s">
        <v>80</v>
      </c>
      <c r="D18" s="11"/>
      <c r="E18" s="11"/>
      <c r="F18" s="11"/>
      <c r="G18" s="11"/>
      <c r="H18" s="11"/>
      <c r="I18" s="11"/>
      <c r="J18" s="11"/>
      <c r="K18" s="11"/>
      <c r="L18" s="11"/>
      <c r="M18" s="2"/>
      <c r="N18" s="2"/>
      <c r="O18" s="2"/>
    </row>
    <row r="19" customFormat="false" ht="15" hidden="false" customHeight="false" outlineLevel="0" collapsed="false">
      <c r="A19" s="11" t="s">
        <v>81</v>
      </c>
      <c r="B19" s="11" t="s">
        <v>82</v>
      </c>
      <c r="C19" s="11" t="s">
        <v>83</v>
      </c>
      <c r="D19" s="11"/>
      <c r="E19" s="11"/>
      <c r="F19" s="11"/>
      <c r="G19" s="11"/>
      <c r="H19" s="11"/>
      <c r="I19" s="11"/>
      <c r="J19" s="11"/>
      <c r="K19" s="11"/>
      <c r="L19" s="11"/>
      <c r="M19" s="2"/>
      <c r="N19" s="2"/>
      <c r="O19" s="2"/>
    </row>
  </sheetData>
  <mergeCells count="3">
    <mergeCell ref="A2:O2"/>
    <mergeCell ref="A4:O4"/>
    <mergeCell ref="A14:L14"/>
  </mergeCells>
  <conditionalFormatting sqref="L7:L11">
    <cfRule type="containsText" priority="2" operator="containsText" aboveAverage="0" equalAverage="0" bottom="0" percent="0" rank="0" text="FAIL" dxfId="0">
      <formula>NOT(ISERROR(SEARCH("FAIL",L7)))</formula>
    </cfRule>
    <cfRule type="containsText" priority="3" operator="containsText" aboveAverage="0" equalAverage="0" bottom="0" percent="0" rank="0" text="HOLD" dxfId="1">
      <formula>NOT(ISERROR(SEARCH("HOLD",L7)))</formula>
    </cfRule>
    <cfRule type="containsText" priority="4" operator="containsText" aboveAverage="0" equalAverage="0" bottom="0" percent="0" rank="0" text="OPEN" dxfId="2">
      <formula>NOT(ISERROR(SEARCH("OPEN",L7)))</formula>
    </cfRule>
    <cfRule type="containsText" priority="5" operator="containsText" aboveAverage="0" equalAverage="0" bottom="0" percent="0" rank="0" text="UPRATE" dxfId="3">
      <formula>NOT(ISERROR(SEARCH("UPRATE",L7)))</formula>
    </cfRule>
    <cfRule type="containsText" priority="6" operator="containsText" aboveAverage="0" equalAverage="0" bottom="0" percent="0" rank="0" text="SELECT" dxfId="4">
      <formula>NOT(ISERROR(SEARCH("SELECT",L7)))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21"/>
    <col collapsed="false" customWidth="true" hidden="false" outlineLevel="0" max="6" min="6" style="0" width="19"/>
    <col collapsed="false" customWidth="true" hidden="false" outlineLevel="0" max="7" min="7" style="0" width="17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19"/>
    <col collapsed="false" customWidth="true" hidden="false" outlineLevel="0" max="12" min="12" style="0" width="64"/>
  </cols>
  <sheetData>
    <row r="1" customFormat="false" ht="8" hidden="false" customHeight="true" outlineLevel="0" collapsed="false"/>
    <row r="2" customFormat="false" ht="23" hidden="false" customHeight="true" outlineLevel="0" collapsed="false">
      <c r="A2" s="1" t="s">
        <v>84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85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31" hidden="false" customHeight="true" outlineLevel="0" collapsed="false">
      <c r="A6" s="10" t="s">
        <v>3</v>
      </c>
      <c r="B6" s="10" t="s">
        <v>86</v>
      </c>
      <c r="C6" s="10" t="s">
        <v>87</v>
      </c>
      <c r="D6" s="10" t="s">
        <v>88</v>
      </c>
      <c r="E6" s="10" t="s">
        <v>89</v>
      </c>
      <c r="F6" s="10" t="s">
        <v>90</v>
      </c>
      <c r="G6" s="10" t="s">
        <v>91</v>
      </c>
      <c r="H6" s="10" t="s">
        <v>92</v>
      </c>
      <c r="I6" s="10" t="s">
        <v>23</v>
      </c>
      <c r="J6" s="10" t="s">
        <v>93</v>
      </c>
      <c r="K6" s="10" t="s">
        <v>94</v>
      </c>
      <c r="L6" s="10" t="s">
        <v>95</v>
      </c>
      <c r="M6" s="2"/>
      <c r="N6" s="2"/>
      <c r="O6" s="2"/>
    </row>
    <row r="7" customFormat="false" ht="15" hidden="false" customHeight="false" outlineLevel="0" collapsed="false">
      <c r="A7" s="11" t="s">
        <v>6</v>
      </c>
      <c r="B7" s="11" t="s">
        <v>96</v>
      </c>
      <c r="C7" s="11" t="s">
        <v>26</v>
      </c>
      <c r="D7" s="13" t="n">
        <f aca="false">MIN('Loss Rating Orders'!$G$7:$G$10)</f>
        <v>1.02735346358792</v>
      </c>
      <c r="E7" s="14" t="n">
        <f aca="false">MIN('Loss Rating Orders'!$H$7:$H$10)</f>
        <v>0.0134922025582625</v>
      </c>
      <c r="F7" s="15" t="n">
        <f aca="false">COUNTIFS('Closure Cells'!$B$7:$B$126,A7,'Closure Cells'!$D$7:$D$126,"NOMINAL",'Closure Cells'!$O$7:$O$126,"CLOSE")</f>
        <v>4</v>
      </c>
      <c r="G7" s="15" t="n">
        <f aca="false">COUNTIFS('Closure Cells'!$B$7:$B$126,A7,'Closure Cells'!$D$7:$D$126,"LARGEST_CELL_LOSS",'Closure Cells'!$O$7:$O$126,"CLOSE")</f>
        <v>1</v>
      </c>
      <c r="H7" s="15" t="n">
        <f aca="false">COUNTIFS('Closure Cells'!$B$7:$B$126,A7,'Closure Cells'!$D$7:$D$126,"LARGEST_CELL_LOSS",'Closure Cells'!$O$7:$O$126,"FAIL")</f>
        <v>3</v>
      </c>
      <c r="I7" s="15" t="n">
        <f aca="false">COUNTIFS('Closure Cells'!$B$7:$B$126,A7,'Closure Cells'!$O$7:$O$126,"HOLD")</f>
        <v>12</v>
      </c>
      <c r="J7" s="15" t="n">
        <f aca="false">COUNTIFS('Coefficient Register'!$B$7:$B$42,A7,'Coefficient Register'!$K$7:$K$42,"OPEN")</f>
        <v>6</v>
      </c>
      <c r="K7" s="15" t="str">
        <f aca="false">IF(AND(F7=4,G7=4,H7=0,I7=0,J7=0),"CLOSE","REDESIGN / HOLD")</f>
        <v>REDESIGN / HOLD</v>
      </c>
      <c r="L7" s="11" t="s">
        <v>97</v>
      </c>
      <c r="M7" s="2"/>
      <c r="N7" s="2"/>
      <c r="O7" s="2"/>
    </row>
    <row r="8" customFormat="false" ht="15" hidden="false" customHeight="false" outlineLevel="0" collapsed="false">
      <c r="A8" s="11" t="s">
        <v>10</v>
      </c>
      <c r="B8" s="11" t="s">
        <v>98</v>
      </c>
      <c r="C8" s="11" t="s">
        <v>29</v>
      </c>
      <c r="D8" s="13" t="n">
        <f aca="false">MIN('Loss Rating Orders'!$G$11:$G$14)</f>
        <v>1.02857142857143</v>
      </c>
      <c r="E8" s="14" t="n">
        <f aca="false">MIN('Loss Rating Orders'!$H$11:$H$14)</f>
        <v>0.0140845070422536</v>
      </c>
      <c r="F8" s="15" t="n">
        <f aca="false">COUNTIFS('Closure Cells'!$B$7:$B$126,A8,'Closure Cells'!$D$7:$D$126,"NOMINAL",'Closure Cells'!$O$7:$O$126,"CLOSE")</f>
        <v>4</v>
      </c>
      <c r="G8" s="15" t="n">
        <f aca="false">COUNTIFS('Closure Cells'!$B$7:$B$126,A8,'Closure Cells'!$D$7:$D$126,"LARGEST_CELL_LOSS",'Closure Cells'!$O$7:$O$126,"CLOSE")</f>
        <v>1</v>
      </c>
      <c r="H8" s="15" t="n">
        <f aca="false">COUNTIFS('Closure Cells'!$B$7:$B$126,A8,'Closure Cells'!$D$7:$D$126,"LARGEST_CELL_LOSS",'Closure Cells'!$O$7:$O$126,"FAIL")</f>
        <v>3</v>
      </c>
      <c r="I8" s="15" t="n">
        <f aca="false">COUNTIFS('Closure Cells'!$B$7:$B$126,A8,'Closure Cells'!$O$7:$O$126,"HOLD")</f>
        <v>12</v>
      </c>
      <c r="J8" s="15" t="n">
        <f aca="false">COUNTIFS('Coefficient Register'!$B$7:$B$42,A8,'Coefficient Register'!$K$7:$K$42,"OPEN")</f>
        <v>6</v>
      </c>
      <c r="K8" s="15" t="str">
        <f aca="false">IF(AND(F8=4,G8=4,H8=0,I8=0,J8=0),"CLOSE","REDESIGN / HOLD")</f>
        <v>REDESIGN / HOLD</v>
      </c>
      <c r="L8" s="11" t="s">
        <v>99</v>
      </c>
      <c r="M8" s="2"/>
      <c r="N8" s="2"/>
      <c r="O8" s="2"/>
    </row>
    <row r="9" customFormat="false" ht="15" hidden="false" customHeight="false" outlineLevel="0" collapsed="false">
      <c r="A9" s="11" t="s">
        <v>13</v>
      </c>
      <c r="B9" s="11" t="s">
        <v>100</v>
      </c>
      <c r="C9" s="11" t="s">
        <v>26</v>
      </c>
      <c r="D9" s="13" t="n">
        <f aca="false">MIN('Loss Rating Orders'!$G$15:$G$18)</f>
        <v>1.02912621359223</v>
      </c>
      <c r="E9" s="14" t="n">
        <f aca="false">MIN('Loss Rating Orders'!$H$15:$H$18)</f>
        <v>0.0143540669856459</v>
      </c>
      <c r="F9" s="15" t="n">
        <f aca="false">COUNTIFS('Closure Cells'!$B$7:$B$126,A9,'Closure Cells'!$D$7:$D$126,"NOMINAL",'Closure Cells'!$O$7:$O$126,"CLOSE")</f>
        <v>4</v>
      </c>
      <c r="G9" s="15" t="n">
        <f aca="false">COUNTIFS('Closure Cells'!$B$7:$B$126,A9,'Closure Cells'!$D$7:$D$126,"LARGEST_CELL_LOSS",'Closure Cells'!$O$7:$O$126,"CLOSE")</f>
        <v>0</v>
      </c>
      <c r="H9" s="15" t="n">
        <f aca="false">COUNTIFS('Closure Cells'!$B$7:$B$126,A9,'Closure Cells'!$D$7:$D$126,"LARGEST_CELL_LOSS",'Closure Cells'!$O$7:$O$126,"FAIL")</f>
        <v>4</v>
      </c>
      <c r="I9" s="15" t="n">
        <f aca="false">COUNTIFS('Closure Cells'!$B$7:$B$126,A9,'Closure Cells'!$O$7:$O$126,"HOLD")</f>
        <v>12</v>
      </c>
      <c r="J9" s="15" t="n">
        <f aca="false">COUNTIFS('Coefficient Register'!$B$7:$B$42,A9,'Coefficient Register'!$K$7:$K$42,"OPEN")</f>
        <v>6</v>
      </c>
      <c r="K9" s="15" t="str">
        <f aca="false">IF(AND(F9=4,G9=4,H9=0,I9=0,J9=0),"CLOSE","REDESIGN / HOLD")</f>
        <v>REDESIGN / HOLD</v>
      </c>
      <c r="L9" s="11" t="s">
        <v>101</v>
      </c>
      <c r="M9" s="2"/>
      <c r="N9" s="2"/>
      <c r="O9" s="2"/>
    </row>
    <row r="10" customFormat="false" ht="15" hidden="false" customHeight="false" outlineLevel="0" collapsed="false">
      <c r="A10" s="11" t="s">
        <v>16</v>
      </c>
      <c r="B10" s="11" t="s">
        <v>102</v>
      </c>
      <c r="C10" s="11" t="s">
        <v>34</v>
      </c>
      <c r="D10" s="13" t="n">
        <f aca="false">MIN('Loss Rating Orders'!$G$19:$G$22)</f>
        <v>1.0271922767498</v>
      </c>
      <c r="E10" s="14" t="n">
        <f aca="false">MIN('Loss Rating Orders'!$H$19:$H$22)</f>
        <v>0.0134137629970633</v>
      </c>
      <c r="F10" s="15" t="n">
        <f aca="false">COUNTIFS('Closure Cells'!$B$7:$B$126,A10,'Closure Cells'!$D$7:$D$126,"NOMINAL",'Closure Cells'!$O$7:$O$126,"CLOSE")</f>
        <v>4</v>
      </c>
      <c r="G10" s="15" t="n">
        <f aca="false">COUNTIFS('Closure Cells'!$B$7:$B$126,A10,'Closure Cells'!$D$7:$D$126,"LARGEST_CELL_LOSS",'Closure Cells'!$O$7:$O$126,"CLOSE")</f>
        <v>0</v>
      </c>
      <c r="H10" s="15" t="n">
        <f aca="false">COUNTIFS('Closure Cells'!$B$7:$B$126,A10,'Closure Cells'!$D$7:$D$126,"LARGEST_CELL_LOSS",'Closure Cells'!$O$7:$O$126,"FAIL")</f>
        <v>4</v>
      </c>
      <c r="I10" s="15" t="n">
        <f aca="false">COUNTIFS('Closure Cells'!$B$7:$B$126,A10,'Closure Cells'!$O$7:$O$126,"HOLD")</f>
        <v>12</v>
      </c>
      <c r="J10" s="15" t="n">
        <f aca="false">COUNTIFS('Coefficient Register'!$B$7:$B$42,A10,'Coefficient Register'!$K$7:$K$42,"OPEN")</f>
        <v>6</v>
      </c>
      <c r="K10" s="15" t="str">
        <f aca="false">IF(AND(F10=4,G10=4,H10=0,I10=0,J10=0),"CLOSE","REDESIGN / HOLD")</f>
        <v>REDESIGN / HOLD</v>
      </c>
      <c r="L10" s="11" t="s">
        <v>103</v>
      </c>
      <c r="M10" s="2"/>
      <c r="N10" s="2"/>
      <c r="O10" s="2"/>
    </row>
    <row r="11" customFormat="false" ht="15" hidden="false" customHeight="false" outlineLevel="0" collapsed="false">
      <c r="A11" s="11" t="s">
        <v>19</v>
      </c>
      <c r="B11" s="11" t="s">
        <v>104</v>
      </c>
      <c r="C11" s="11" t="s">
        <v>34</v>
      </c>
      <c r="D11" s="13" t="n">
        <f aca="false">MIN('Loss Rating Orders'!$G$23:$G$26)</f>
        <v>1.029</v>
      </c>
      <c r="E11" s="14" t="n">
        <f aca="false">MIN('Loss Rating Orders'!$H$23:$H$26)</f>
        <v>0.0142927550517497</v>
      </c>
      <c r="F11" s="15" t="n">
        <f aca="false">COUNTIFS('Closure Cells'!$B$7:$B$126,A11,'Closure Cells'!$D$7:$D$126,"NOMINAL",'Closure Cells'!$O$7:$O$126,"CLOSE")</f>
        <v>4</v>
      </c>
      <c r="G11" s="15" t="n">
        <f aca="false">COUNTIFS('Closure Cells'!$B$7:$B$126,A11,'Closure Cells'!$D$7:$D$126,"LARGEST_CELL_LOSS",'Closure Cells'!$O$7:$O$126,"CLOSE")</f>
        <v>1</v>
      </c>
      <c r="H11" s="15" t="n">
        <f aca="false">COUNTIFS('Closure Cells'!$B$7:$B$126,A11,'Closure Cells'!$D$7:$D$126,"LARGEST_CELL_LOSS",'Closure Cells'!$O$7:$O$126,"FAIL")</f>
        <v>3</v>
      </c>
      <c r="I11" s="15" t="n">
        <f aca="false">COUNTIFS('Closure Cells'!$B$7:$B$126,A11,'Closure Cells'!$O$7:$O$126,"HOLD")</f>
        <v>12</v>
      </c>
      <c r="J11" s="15" t="n">
        <f aca="false">COUNTIFS('Coefficient Register'!$B$7:$B$42,A11,'Coefficient Register'!$K$7:$K$42,"OPEN")</f>
        <v>6</v>
      </c>
      <c r="K11" s="15" t="str">
        <f aca="false">IF(AND(F11=4,G11=4,H11=0,I11=0,J11=0),"CLOSE","REDESIGN / HOLD")</f>
        <v>REDESIGN / HOLD</v>
      </c>
      <c r="L11" s="11" t="s">
        <v>105</v>
      </c>
      <c r="M11" s="2"/>
      <c r="N11" s="2"/>
      <c r="O11" s="2"/>
    </row>
    <row r="12" customFormat="false" ht="15" hidden="false" customHeight="false" outlineLevel="0" collapsed="false">
      <c r="A12" s="11" t="s">
        <v>22</v>
      </c>
      <c r="B12" s="11" t="s">
        <v>106</v>
      </c>
      <c r="C12" s="11" t="s">
        <v>29</v>
      </c>
      <c r="D12" s="13" t="n">
        <f aca="false">MIN('Loss Rating Orders'!$G$27:$G$30)</f>
        <v>1.0258064516129</v>
      </c>
      <c r="E12" s="14" t="n">
        <f aca="false">MIN('Loss Rating Orders'!$H$27:$H$30)</f>
        <v>0.0127388535031847</v>
      </c>
      <c r="F12" s="15" t="n">
        <f aca="false">COUNTIFS('Closure Cells'!$B$7:$B$126,A12,'Closure Cells'!$D$7:$D$126,"NOMINAL",'Closure Cells'!$O$7:$O$126,"CLOSE")</f>
        <v>4</v>
      </c>
      <c r="G12" s="15" t="n">
        <f aca="false">COUNTIFS('Closure Cells'!$B$7:$B$126,A12,'Closure Cells'!$D$7:$D$126,"LARGEST_CELL_LOSS",'Closure Cells'!$O$7:$O$126,"CLOSE")</f>
        <v>0</v>
      </c>
      <c r="H12" s="15" t="n">
        <f aca="false">COUNTIFS('Closure Cells'!$B$7:$B$126,A12,'Closure Cells'!$D$7:$D$126,"LARGEST_CELL_LOSS",'Closure Cells'!$O$7:$O$126,"FAIL")</f>
        <v>4</v>
      </c>
      <c r="I12" s="15" t="n">
        <f aca="false">COUNTIFS('Closure Cells'!$B$7:$B$126,A12,'Closure Cells'!$O$7:$O$126,"HOLD")</f>
        <v>12</v>
      </c>
      <c r="J12" s="15" t="n">
        <f aca="false">COUNTIFS('Coefficient Register'!$B$7:$B$42,A12,'Coefficient Register'!$K$7:$K$42,"OPEN")</f>
        <v>6</v>
      </c>
      <c r="K12" s="15" t="str">
        <f aca="false">IF(AND(F12=4,G12=4,H12=0,I12=0,J12=0),"CLOSE","REDESIGN / HOLD")</f>
        <v>REDESIGN / HOLD</v>
      </c>
      <c r="L12" s="11" t="s">
        <v>107</v>
      </c>
      <c r="M12" s="2"/>
      <c r="N12" s="2"/>
      <c r="O12" s="2"/>
    </row>
  </sheetData>
  <mergeCells count="2">
    <mergeCell ref="A2:O2"/>
    <mergeCell ref="A4:O4"/>
  </mergeCells>
  <conditionalFormatting sqref="K7:K12">
    <cfRule type="containsText" priority="2" operator="containsText" aboveAverage="0" equalAverage="0" bottom="0" percent="0" rank="0" text="FAIL" dxfId="5">
      <formula>NOT(ISERROR(SEARCH("FAIL",K7)))</formula>
    </cfRule>
    <cfRule type="containsText" priority="3" operator="containsText" aboveAverage="0" equalAverage="0" bottom="0" percent="0" rank="0" text="HOLD" dxfId="6">
      <formula>NOT(ISERROR(SEARCH("HOLD",K7)))</formula>
    </cfRule>
    <cfRule type="containsText" priority="4" operator="containsText" aboveAverage="0" equalAverage="0" bottom="0" percent="0" rank="0" text="OPEN" dxfId="7">
      <formula>NOT(ISERROR(SEARCH("OPEN",K7)))</formula>
    </cfRule>
    <cfRule type="containsText" priority="5" operator="containsText" aboveAverage="0" equalAverage="0" bottom="0" percent="0" rank="0" text="UPRATE" dxfId="8">
      <formula>NOT(ISERROR(SEARCH("UPRATE",K7)))</formula>
    </cfRule>
    <cfRule type="containsText" priority="6" operator="containsText" aboveAverage="0" equalAverage="0" bottom="0" percent="0" rank="0" text="SELECT" dxfId="9">
      <formula>NOT(ISERROR(SEARCH("SELECT",K7)))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20"/>
    <col collapsed="false" customWidth="true" hidden="false" outlineLevel="0" max="14" min="14" style="0" width="14"/>
    <col collapsed="false" customWidth="true" hidden="false" outlineLevel="0" max="15" min="15" style="0" width="13"/>
  </cols>
  <sheetData>
    <row r="1" customFormat="false" ht="8" hidden="false" customHeight="true" outlineLevel="0" collapsed="false"/>
    <row r="2" customFormat="false" ht="23" hidden="false" customHeight="true" outlineLevel="0" collapsed="false">
      <c r="A2" s="1" t="s">
        <v>108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109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31" hidden="false" customHeight="true" outlineLevel="0" collapsed="false">
      <c r="A6" s="10" t="s">
        <v>110</v>
      </c>
      <c r="B6" s="10" t="s">
        <v>3</v>
      </c>
      <c r="C6" s="10" t="s">
        <v>111</v>
      </c>
      <c r="D6" s="10" t="s">
        <v>112</v>
      </c>
      <c r="E6" s="10" t="s">
        <v>113</v>
      </c>
      <c r="F6" s="10" t="s">
        <v>114</v>
      </c>
      <c r="G6" s="10" t="s">
        <v>115</v>
      </c>
      <c r="H6" s="10" t="s">
        <v>116</v>
      </c>
      <c r="I6" s="10" t="s">
        <v>117</v>
      </c>
      <c r="J6" s="10" t="s">
        <v>118</v>
      </c>
      <c r="K6" s="10" t="s">
        <v>119</v>
      </c>
      <c r="L6" s="10" t="s">
        <v>120</v>
      </c>
      <c r="M6" s="10" t="s">
        <v>89</v>
      </c>
      <c r="N6" s="10" t="s">
        <v>121</v>
      </c>
      <c r="O6" s="10" t="s">
        <v>62</v>
      </c>
    </row>
    <row r="7" customFormat="false" ht="15" hidden="false" customHeight="false" outlineLevel="0" collapsed="false">
      <c r="A7" s="11" t="s">
        <v>122</v>
      </c>
      <c r="B7" s="11" t="s">
        <v>6</v>
      </c>
      <c r="C7" s="11" t="s">
        <v>26</v>
      </c>
      <c r="D7" s="11" t="s">
        <v>123</v>
      </c>
      <c r="E7" s="11" t="s">
        <v>124</v>
      </c>
      <c r="F7" s="16" t="n">
        <f aca="false">'Source Inputs'!H7</f>
        <v>482</v>
      </c>
      <c r="G7" s="17" t="n">
        <f aca="false">Inputs!$B$7</f>
        <v>0.025</v>
      </c>
      <c r="H7" s="16" t="n">
        <f aca="false">'Source Inputs'!I7</f>
        <v>234.583333333333</v>
      </c>
      <c r="I7" s="17" t="n">
        <f aca="false">Inputs!$B$8</f>
        <v>0.025</v>
      </c>
      <c r="J7" s="16" t="n">
        <f aca="false">IF(ISNUMBER(F7),F7*(1-G7),"")</f>
        <v>469.95</v>
      </c>
      <c r="K7" s="16" t="n">
        <f aca="false">IF(ISNUMBER(H7),H7*(1+I7),"")</f>
        <v>240.447916666666</v>
      </c>
      <c r="L7" s="16" t="n">
        <f aca="false">IF(AND(ISNUMBER(J7),ISNUMBER(K7),K7&gt;0),J7/K7,"")</f>
        <v>1.95447732097215</v>
      </c>
      <c r="M7" s="14" t="n">
        <f aca="false">IF(AND(ISNUMBER(F7),ISNUMBER(H7),H7&gt;0),(F7/H7-1)/(F7/H7+1),"")</f>
        <v>0.34527270612862</v>
      </c>
      <c r="N7" s="15" t="str">
        <f aca="false">IF(AND(ISNUMBER(F7),ISNUMBER(H7)) ,"BOUNDED","UNBOUNDED")</f>
        <v>BOUNDED</v>
      </c>
      <c r="O7" s="15" t="str">
        <f aca="false">IF(N7="UNBOUNDED","HOLD",IF(L7&gt;=Inputs!$B$9,"CLOSE","FAIL"))</f>
        <v>CLOSE</v>
      </c>
    </row>
    <row r="8" customFormat="false" ht="15" hidden="false" customHeight="false" outlineLevel="0" collapsed="false">
      <c r="A8" s="11" t="s">
        <v>125</v>
      </c>
      <c r="B8" s="11" t="s">
        <v>6</v>
      </c>
      <c r="C8" s="11" t="s">
        <v>26</v>
      </c>
      <c r="D8" s="11" t="s">
        <v>126</v>
      </c>
      <c r="E8" s="11" t="s">
        <v>124</v>
      </c>
      <c r="F8" s="16" t="n">
        <f aca="false">'Source Inputs'!J7</f>
        <v>241</v>
      </c>
      <c r="G8" s="17" t="n">
        <f aca="false">Inputs!$B$7</f>
        <v>0.025</v>
      </c>
      <c r="H8" s="16" t="n">
        <f aca="false">'Source Inputs'!K7</f>
        <v>234.583333333333</v>
      </c>
      <c r="I8" s="17" t="n">
        <f aca="false">Inputs!$B$8</f>
        <v>0.025</v>
      </c>
      <c r="J8" s="16" t="n">
        <f aca="false">IF(ISNUMBER(F8),F8*(1-G8),"")</f>
        <v>234.975</v>
      </c>
      <c r="K8" s="16" t="n">
        <f aca="false">IF(ISNUMBER(H8),H8*(1+I8),"")</f>
        <v>240.447916666666</v>
      </c>
      <c r="L8" s="16" t="n">
        <f aca="false">IF(AND(ISNUMBER(J8),ISNUMBER(K8),K8&gt;0),J8/K8,"")</f>
        <v>0.977238660486073</v>
      </c>
      <c r="M8" s="14" t="n">
        <f aca="false">IF(AND(ISNUMBER(F8),ISNUMBER(H8),H8&gt;0),(F8/H8-1)/(F8/H8+1),"")</f>
        <v>0.0134922025582625</v>
      </c>
      <c r="N8" s="15" t="str">
        <f aca="false">IF(AND(ISNUMBER(F8),ISNUMBER(H8)) ,"BOUNDED","UNBOUNDED")</f>
        <v>BOUNDED</v>
      </c>
      <c r="O8" s="15" t="str">
        <f aca="false">IF(N8="UNBOUNDED","HOLD",IF(L8&gt;=Inputs!$B$9,"CLOSE","FAIL"))</f>
        <v>FAIL</v>
      </c>
    </row>
    <row r="9" customFormat="false" ht="15" hidden="false" customHeight="false" outlineLevel="0" collapsed="false">
      <c r="A9" s="11" t="s">
        <v>127</v>
      </c>
      <c r="B9" s="11" t="s">
        <v>6</v>
      </c>
      <c r="C9" s="11" t="s">
        <v>26</v>
      </c>
      <c r="D9" s="11" t="s">
        <v>128</v>
      </c>
      <c r="E9" s="11" t="s">
        <v>124</v>
      </c>
      <c r="F9" s="16"/>
      <c r="G9" s="17" t="n">
        <f aca="false">Inputs!$B$7</f>
        <v>0.025</v>
      </c>
      <c r="H9" s="16" t="n">
        <f aca="false">'Source Inputs'!I7</f>
        <v>234.583333333333</v>
      </c>
      <c r="I9" s="17" t="n">
        <f aca="false">Inputs!$B$8</f>
        <v>0.025</v>
      </c>
      <c r="J9" s="16" t="str">
        <f aca="false">IF(ISNUMBER(F9),F9*(1-G9),"")</f>
        <v/>
      </c>
      <c r="K9" s="16" t="n">
        <f aca="false">IF(ISNUMBER(H9),H9*(1+I9),"")</f>
        <v>240.447916666666</v>
      </c>
      <c r="L9" s="16" t="str">
        <f aca="false">IF(AND(ISNUMBER(J9),ISNUMBER(K9),K9&gt;0),J9/K9,"")</f>
        <v/>
      </c>
      <c r="M9" s="14" t="str">
        <f aca="false">IF(AND(ISNUMBER(F9),ISNUMBER(H9),H9&gt;0),(F9/H9-1)/(F9/H9+1),"")</f>
        <v/>
      </c>
      <c r="N9" s="15" t="str">
        <f aca="false">IF(AND(ISNUMBER(F9),ISNUMBER(H9)) ,"BOUNDED","UNBOUNDED")</f>
        <v>UNBOUNDED</v>
      </c>
      <c r="O9" s="15" t="str">
        <f aca="false">IF(N9="UNBOUNDED","HOLD",IF(L9&gt;=Inputs!$B$9,"CLOSE","FAIL"))</f>
        <v>HOLD</v>
      </c>
    </row>
    <row r="10" customFormat="false" ht="15" hidden="false" customHeight="false" outlineLevel="0" collapsed="false">
      <c r="A10" s="11" t="s">
        <v>129</v>
      </c>
      <c r="B10" s="11" t="s">
        <v>6</v>
      </c>
      <c r="C10" s="11" t="s">
        <v>26</v>
      </c>
      <c r="D10" s="11" t="s">
        <v>130</v>
      </c>
      <c r="E10" s="11" t="s">
        <v>124</v>
      </c>
      <c r="F10" s="16"/>
      <c r="G10" s="17" t="n">
        <f aca="false">Inputs!$B$7</f>
        <v>0.025</v>
      </c>
      <c r="H10" s="16" t="n">
        <f aca="false">'Source Inputs'!I7</f>
        <v>234.583333333333</v>
      </c>
      <c r="I10" s="17" t="n">
        <f aca="false">Inputs!$B$8</f>
        <v>0.025</v>
      </c>
      <c r="J10" s="16" t="str">
        <f aca="false">IF(ISNUMBER(F10),F10*(1-G10),"")</f>
        <v/>
      </c>
      <c r="K10" s="16" t="n">
        <f aca="false">IF(ISNUMBER(H10),H10*(1+I10),"")</f>
        <v>240.447916666666</v>
      </c>
      <c r="L10" s="16" t="str">
        <f aca="false">IF(AND(ISNUMBER(J10),ISNUMBER(K10),K10&gt;0),J10/K10,"")</f>
        <v/>
      </c>
      <c r="M10" s="14" t="str">
        <f aca="false">IF(AND(ISNUMBER(F10),ISNUMBER(H10),H10&gt;0),(F10/H10-1)/(F10/H10+1),"")</f>
        <v/>
      </c>
      <c r="N10" s="15" t="str">
        <f aca="false">IF(AND(ISNUMBER(F10),ISNUMBER(H10)) ,"BOUNDED","UNBOUNDED")</f>
        <v>UNBOUNDED</v>
      </c>
      <c r="O10" s="15" t="str">
        <f aca="false">IF(N10="UNBOUNDED","HOLD",IF(L10&gt;=Inputs!$B$9,"CLOSE","FAIL"))</f>
        <v>HOLD</v>
      </c>
    </row>
    <row r="11" customFormat="false" ht="15" hidden="false" customHeight="false" outlineLevel="0" collapsed="false">
      <c r="A11" s="11" t="s">
        <v>131</v>
      </c>
      <c r="B11" s="11" t="s">
        <v>6</v>
      </c>
      <c r="C11" s="11" t="s">
        <v>34</v>
      </c>
      <c r="D11" s="11" t="s">
        <v>123</v>
      </c>
      <c r="E11" s="11" t="s">
        <v>132</v>
      </c>
      <c r="F11" s="16" t="n">
        <f aca="false">'Source Inputs'!H8</f>
        <v>128000</v>
      </c>
      <c r="G11" s="17" t="n">
        <f aca="false">Inputs!$B$7</f>
        <v>0.025</v>
      </c>
      <c r="H11" s="16" t="n">
        <f aca="false">'Source Inputs'!I8</f>
        <v>102000</v>
      </c>
      <c r="I11" s="17" t="n">
        <f aca="false">Inputs!$B$8</f>
        <v>0.025</v>
      </c>
      <c r="J11" s="16" t="n">
        <f aca="false">IF(ISNUMBER(F11),F11*(1-G11),"")</f>
        <v>124800</v>
      </c>
      <c r="K11" s="16" t="n">
        <f aca="false">IF(ISNUMBER(H11),H11*(1+I11),"")</f>
        <v>104550</v>
      </c>
      <c r="L11" s="16" t="n">
        <f aca="false">IF(AND(ISNUMBER(J11),ISNUMBER(K11),K11&gt;0),J11/K11,"")</f>
        <v>1.19368723098996</v>
      </c>
      <c r="M11" s="14" t="n">
        <f aca="false">IF(AND(ISNUMBER(F11),ISNUMBER(H11),H11&gt;0),(F11/H11-1)/(F11/H11+1),"")</f>
        <v>0.11304347826087</v>
      </c>
      <c r="N11" s="15" t="str">
        <f aca="false">IF(AND(ISNUMBER(F11),ISNUMBER(H11)) ,"BOUNDED","UNBOUNDED")</f>
        <v>BOUNDED</v>
      </c>
      <c r="O11" s="15" t="str">
        <f aca="false">IF(N11="UNBOUNDED","HOLD",IF(L11&gt;=Inputs!$B$9,"CLOSE","FAIL"))</f>
        <v>CLOSE</v>
      </c>
    </row>
    <row r="12" customFormat="false" ht="15" hidden="false" customHeight="false" outlineLevel="0" collapsed="false">
      <c r="A12" s="11" t="s">
        <v>133</v>
      </c>
      <c r="B12" s="11" t="s">
        <v>6</v>
      </c>
      <c r="C12" s="11" t="s">
        <v>34</v>
      </c>
      <c r="D12" s="11" t="s">
        <v>126</v>
      </c>
      <c r="E12" s="11" t="s">
        <v>132</v>
      </c>
      <c r="F12" s="16" t="n">
        <f aca="false">'Source Inputs'!J8</f>
        <v>112000</v>
      </c>
      <c r="G12" s="17" t="n">
        <f aca="false">Inputs!$B$7</f>
        <v>0.025</v>
      </c>
      <c r="H12" s="16" t="n">
        <f aca="false">'Source Inputs'!K8</f>
        <v>102000</v>
      </c>
      <c r="I12" s="17" t="n">
        <f aca="false">Inputs!$B$8</f>
        <v>0.025</v>
      </c>
      <c r="J12" s="16" t="n">
        <f aca="false">IF(ISNUMBER(F12),F12*(1-G12),"")</f>
        <v>109200</v>
      </c>
      <c r="K12" s="16" t="n">
        <f aca="false">IF(ISNUMBER(H12),H12*(1+I12),"")</f>
        <v>104550</v>
      </c>
      <c r="L12" s="16" t="n">
        <f aca="false">IF(AND(ISNUMBER(J12),ISNUMBER(K12),K12&gt;0),J12/K12,"")</f>
        <v>1.04447632711621</v>
      </c>
      <c r="M12" s="14" t="n">
        <f aca="false">IF(AND(ISNUMBER(F12),ISNUMBER(H12),H12&gt;0),(F12/H12-1)/(F12/H12+1),"")</f>
        <v>0.0467289719626169</v>
      </c>
      <c r="N12" s="15" t="str">
        <f aca="false">IF(AND(ISNUMBER(F12),ISNUMBER(H12)) ,"BOUNDED","UNBOUNDED")</f>
        <v>BOUNDED</v>
      </c>
      <c r="O12" s="15" t="str">
        <f aca="false">IF(N12="UNBOUNDED","HOLD",IF(L12&gt;=Inputs!$B$9,"CLOSE","FAIL"))</f>
        <v>CLOSE</v>
      </c>
    </row>
    <row r="13" customFormat="false" ht="15" hidden="false" customHeight="false" outlineLevel="0" collapsed="false">
      <c r="A13" s="11" t="s">
        <v>134</v>
      </c>
      <c r="B13" s="11" t="s">
        <v>6</v>
      </c>
      <c r="C13" s="11" t="s">
        <v>34</v>
      </c>
      <c r="D13" s="11" t="s">
        <v>128</v>
      </c>
      <c r="E13" s="11" t="s">
        <v>132</v>
      </c>
      <c r="F13" s="16"/>
      <c r="G13" s="17" t="n">
        <f aca="false">Inputs!$B$7</f>
        <v>0.025</v>
      </c>
      <c r="H13" s="16" t="n">
        <f aca="false">'Source Inputs'!I8</f>
        <v>102000</v>
      </c>
      <c r="I13" s="17" t="n">
        <f aca="false">Inputs!$B$8</f>
        <v>0.025</v>
      </c>
      <c r="J13" s="16" t="str">
        <f aca="false">IF(ISNUMBER(F13),F13*(1-G13),"")</f>
        <v/>
      </c>
      <c r="K13" s="16" t="n">
        <f aca="false">IF(ISNUMBER(H13),H13*(1+I13),"")</f>
        <v>104550</v>
      </c>
      <c r="L13" s="16" t="str">
        <f aca="false">IF(AND(ISNUMBER(J13),ISNUMBER(K13),K13&gt;0),J13/K13,"")</f>
        <v/>
      </c>
      <c r="M13" s="14" t="str">
        <f aca="false">IF(AND(ISNUMBER(F13),ISNUMBER(H13),H13&gt;0),(F13/H13-1)/(F13/H13+1),"")</f>
        <v/>
      </c>
      <c r="N13" s="15" t="str">
        <f aca="false">IF(AND(ISNUMBER(F13),ISNUMBER(H13)) ,"BOUNDED","UNBOUNDED")</f>
        <v>UNBOUNDED</v>
      </c>
      <c r="O13" s="15" t="str">
        <f aca="false">IF(N13="UNBOUNDED","HOLD",IF(L13&gt;=Inputs!$B$9,"CLOSE","FAIL"))</f>
        <v>HOLD</v>
      </c>
    </row>
    <row r="14" customFormat="false" ht="15" hidden="false" customHeight="false" outlineLevel="0" collapsed="false">
      <c r="A14" s="11" t="s">
        <v>135</v>
      </c>
      <c r="B14" s="11" t="s">
        <v>6</v>
      </c>
      <c r="C14" s="11" t="s">
        <v>34</v>
      </c>
      <c r="D14" s="11" t="s">
        <v>130</v>
      </c>
      <c r="E14" s="11" t="s">
        <v>132</v>
      </c>
      <c r="F14" s="16"/>
      <c r="G14" s="17" t="n">
        <f aca="false">Inputs!$B$7</f>
        <v>0.025</v>
      </c>
      <c r="H14" s="16" t="n">
        <f aca="false">'Source Inputs'!I8</f>
        <v>102000</v>
      </c>
      <c r="I14" s="17" t="n">
        <f aca="false">Inputs!$B$8</f>
        <v>0.025</v>
      </c>
      <c r="J14" s="16" t="str">
        <f aca="false">IF(ISNUMBER(F14),F14*(1-G14),"")</f>
        <v/>
      </c>
      <c r="K14" s="16" t="n">
        <f aca="false">IF(ISNUMBER(H14),H14*(1+I14),"")</f>
        <v>104550</v>
      </c>
      <c r="L14" s="16" t="str">
        <f aca="false">IF(AND(ISNUMBER(J14),ISNUMBER(K14),K14&gt;0),J14/K14,"")</f>
        <v/>
      </c>
      <c r="M14" s="14" t="str">
        <f aca="false">IF(AND(ISNUMBER(F14),ISNUMBER(H14),H14&gt;0),(F14/H14-1)/(F14/H14+1),"")</f>
        <v/>
      </c>
      <c r="N14" s="15" t="str">
        <f aca="false">IF(AND(ISNUMBER(F14),ISNUMBER(H14)) ,"BOUNDED","UNBOUNDED")</f>
        <v>UNBOUNDED</v>
      </c>
      <c r="O14" s="15" t="str">
        <f aca="false">IF(N14="UNBOUNDED","HOLD",IF(L14&gt;=Inputs!$B$9,"CLOSE","FAIL"))</f>
        <v>HOLD</v>
      </c>
    </row>
    <row r="15" customFormat="false" ht="15" hidden="false" customHeight="false" outlineLevel="0" collapsed="false">
      <c r="A15" s="11" t="s">
        <v>136</v>
      </c>
      <c r="B15" s="11" t="s">
        <v>6</v>
      </c>
      <c r="C15" s="11" t="s">
        <v>29</v>
      </c>
      <c r="D15" s="11" t="s">
        <v>123</v>
      </c>
      <c r="E15" s="11" t="s">
        <v>137</v>
      </c>
      <c r="F15" s="16" t="n">
        <f aca="false">'Source Inputs'!H9</f>
        <v>120</v>
      </c>
      <c r="G15" s="17" t="n">
        <f aca="false">Inputs!$B$7</f>
        <v>0.025</v>
      </c>
      <c r="H15" s="16" t="n">
        <f aca="false">'Source Inputs'!I9</f>
        <v>96</v>
      </c>
      <c r="I15" s="17" t="n">
        <f aca="false">Inputs!$B$8</f>
        <v>0.025</v>
      </c>
      <c r="J15" s="16" t="n">
        <f aca="false">IF(ISNUMBER(F15),F15*(1-G15),"")</f>
        <v>117</v>
      </c>
      <c r="K15" s="16" t="n">
        <f aca="false">IF(ISNUMBER(H15),H15*(1+I15),"")</f>
        <v>98.4</v>
      </c>
      <c r="L15" s="16" t="n">
        <f aca="false">IF(AND(ISNUMBER(J15),ISNUMBER(K15),K15&gt;0),J15/K15,"")</f>
        <v>1.1890243902439</v>
      </c>
      <c r="M15" s="14" t="n">
        <f aca="false">IF(AND(ISNUMBER(F15),ISNUMBER(H15),H15&gt;0),(F15/H15-1)/(F15/H15+1),"")</f>
        <v>0.111111111111111</v>
      </c>
      <c r="N15" s="15" t="str">
        <f aca="false">IF(AND(ISNUMBER(F15),ISNUMBER(H15)) ,"BOUNDED","UNBOUNDED")</f>
        <v>BOUNDED</v>
      </c>
      <c r="O15" s="15" t="str">
        <f aca="false">IF(N15="UNBOUNDED","HOLD",IF(L15&gt;=Inputs!$B$9,"CLOSE","FAIL"))</f>
        <v>CLOSE</v>
      </c>
    </row>
    <row r="16" customFormat="false" ht="15" hidden="false" customHeight="false" outlineLevel="0" collapsed="false">
      <c r="A16" s="11" t="s">
        <v>138</v>
      </c>
      <c r="B16" s="11" t="s">
        <v>6</v>
      </c>
      <c r="C16" s="11" t="s">
        <v>29</v>
      </c>
      <c r="D16" s="11" t="s">
        <v>126</v>
      </c>
      <c r="E16" s="11" t="s">
        <v>137</v>
      </c>
      <c r="F16" s="16" t="n">
        <f aca="false">'Source Inputs'!J9</f>
        <v>100</v>
      </c>
      <c r="G16" s="17" t="n">
        <f aca="false">Inputs!$B$7</f>
        <v>0.025</v>
      </c>
      <c r="H16" s="16" t="n">
        <f aca="false">'Source Inputs'!K9</f>
        <v>96</v>
      </c>
      <c r="I16" s="17" t="n">
        <f aca="false">Inputs!$B$8</f>
        <v>0.025</v>
      </c>
      <c r="J16" s="16" t="n">
        <f aca="false">IF(ISNUMBER(F16),F16*(1-G16),"")</f>
        <v>97.5</v>
      </c>
      <c r="K16" s="16" t="n">
        <f aca="false">IF(ISNUMBER(H16),H16*(1+I16),"")</f>
        <v>98.4</v>
      </c>
      <c r="L16" s="16" t="n">
        <f aca="false">IF(AND(ISNUMBER(J16),ISNUMBER(K16),K16&gt;0),J16/K16,"")</f>
        <v>0.990853658536586</v>
      </c>
      <c r="M16" s="14" t="n">
        <f aca="false">IF(AND(ISNUMBER(F16),ISNUMBER(H16),H16&gt;0),(F16/H16-1)/(F16/H16+1),"")</f>
        <v>0.0204081632653062</v>
      </c>
      <c r="N16" s="15" t="str">
        <f aca="false">IF(AND(ISNUMBER(F16),ISNUMBER(H16)) ,"BOUNDED","UNBOUNDED")</f>
        <v>BOUNDED</v>
      </c>
      <c r="O16" s="15" t="str">
        <f aca="false">IF(N16="UNBOUNDED","HOLD",IF(L16&gt;=Inputs!$B$9,"CLOSE","FAIL"))</f>
        <v>FAIL</v>
      </c>
    </row>
    <row r="17" customFormat="false" ht="15" hidden="false" customHeight="false" outlineLevel="0" collapsed="false">
      <c r="A17" s="11" t="s">
        <v>139</v>
      </c>
      <c r="B17" s="11" t="s">
        <v>6</v>
      </c>
      <c r="C17" s="11" t="s">
        <v>29</v>
      </c>
      <c r="D17" s="11" t="s">
        <v>128</v>
      </c>
      <c r="E17" s="11" t="s">
        <v>137</v>
      </c>
      <c r="F17" s="16"/>
      <c r="G17" s="17" t="n">
        <f aca="false">Inputs!$B$7</f>
        <v>0.025</v>
      </c>
      <c r="H17" s="16" t="n">
        <f aca="false">'Source Inputs'!I9</f>
        <v>96</v>
      </c>
      <c r="I17" s="17" t="n">
        <f aca="false">Inputs!$B$8</f>
        <v>0.025</v>
      </c>
      <c r="J17" s="16" t="str">
        <f aca="false">IF(ISNUMBER(F17),F17*(1-G17),"")</f>
        <v/>
      </c>
      <c r="K17" s="16" t="n">
        <f aca="false">IF(ISNUMBER(H17),H17*(1+I17),"")</f>
        <v>98.4</v>
      </c>
      <c r="L17" s="16" t="str">
        <f aca="false">IF(AND(ISNUMBER(J17),ISNUMBER(K17),K17&gt;0),J17/K17,"")</f>
        <v/>
      </c>
      <c r="M17" s="14" t="str">
        <f aca="false">IF(AND(ISNUMBER(F17),ISNUMBER(H17),H17&gt;0),(F17/H17-1)/(F17/H17+1),"")</f>
        <v/>
      </c>
      <c r="N17" s="15" t="str">
        <f aca="false">IF(AND(ISNUMBER(F17),ISNUMBER(H17)) ,"BOUNDED","UNBOUNDED")</f>
        <v>UNBOUNDED</v>
      </c>
      <c r="O17" s="15" t="str">
        <f aca="false">IF(N17="UNBOUNDED","HOLD",IF(L17&gt;=Inputs!$B$9,"CLOSE","FAIL"))</f>
        <v>HOLD</v>
      </c>
    </row>
    <row r="18" customFormat="false" ht="15" hidden="false" customHeight="false" outlineLevel="0" collapsed="false">
      <c r="A18" s="11" t="s">
        <v>140</v>
      </c>
      <c r="B18" s="11" t="s">
        <v>6</v>
      </c>
      <c r="C18" s="11" t="s">
        <v>29</v>
      </c>
      <c r="D18" s="11" t="s">
        <v>130</v>
      </c>
      <c r="E18" s="11" t="s">
        <v>137</v>
      </c>
      <c r="F18" s="16"/>
      <c r="G18" s="17" t="n">
        <f aca="false">Inputs!$B$7</f>
        <v>0.025</v>
      </c>
      <c r="H18" s="16" t="n">
        <f aca="false">'Source Inputs'!I9</f>
        <v>96</v>
      </c>
      <c r="I18" s="17" t="n">
        <f aca="false">Inputs!$B$8</f>
        <v>0.025</v>
      </c>
      <c r="J18" s="16" t="str">
        <f aca="false">IF(ISNUMBER(F18),F18*(1-G18),"")</f>
        <v/>
      </c>
      <c r="K18" s="16" t="n">
        <f aca="false">IF(ISNUMBER(H18),H18*(1+I18),"")</f>
        <v>98.4</v>
      </c>
      <c r="L18" s="16" t="str">
        <f aca="false">IF(AND(ISNUMBER(J18),ISNUMBER(K18),K18&gt;0),J18/K18,"")</f>
        <v/>
      </c>
      <c r="M18" s="14" t="str">
        <f aca="false">IF(AND(ISNUMBER(F18),ISNUMBER(H18),H18&gt;0),(F18/H18-1)/(F18/H18+1),"")</f>
        <v/>
      </c>
      <c r="N18" s="15" t="str">
        <f aca="false">IF(AND(ISNUMBER(F18),ISNUMBER(H18)) ,"BOUNDED","UNBOUNDED")</f>
        <v>UNBOUNDED</v>
      </c>
      <c r="O18" s="15" t="str">
        <f aca="false">IF(N18="UNBOUNDED","HOLD",IF(L18&gt;=Inputs!$B$9,"CLOSE","FAIL"))</f>
        <v>HOLD</v>
      </c>
    </row>
    <row r="19" customFormat="false" ht="15" hidden="false" customHeight="false" outlineLevel="0" collapsed="false">
      <c r="A19" s="11" t="s">
        <v>141</v>
      </c>
      <c r="B19" s="11" t="s">
        <v>6</v>
      </c>
      <c r="C19" s="11" t="s">
        <v>142</v>
      </c>
      <c r="D19" s="11" t="s">
        <v>123</v>
      </c>
      <c r="E19" s="11" t="s">
        <v>143</v>
      </c>
      <c r="F19" s="16" t="n">
        <f aca="false">'Source Inputs'!H10</f>
        <v>1512</v>
      </c>
      <c r="G19" s="17" t="n">
        <f aca="false">Inputs!$B$7</f>
        <v>0.025</v>
      </c>
      <c r="H19" s="16" t="n">
        <f aca="false">'Source Inputs'!I10</f>
        <v>1200</v>
      </c>
      <c r="I19" s="17" t="n">
        <f aca="false">Inputs!$B$8</f>
        <v>0.025</v>
      </c>
      <c r="J19" s="16" t="n">
        <f aca="false">IF(ISNUMBER(F19),F19*(1-G19),"")</f>
        <v>1474.2</v>
      </c>
      <c r="K19" s="16" t="n">
        <f aca="false">IF(ISNUMBER(H19),H19*(1+I19),"")</f>
        <v>1230</v>
      </c>
      <c r="L19" s="16" t="n">
        <f aca="false">IF(AND(ISNUMBER(J19),ISNUMBER(K19),K19&gt;0),J19/K19,"")</f>
        <v>1.19853658536585</v>
      </c>
      <c r="M19" s="14" t="n">
        <f aca="false">IF(AND(ISNUMBER(F19),ISNUMBER(H19),H19&gt;0),(F19/H19-1)/(F19/H19+1),"")</f>
        <v>0.115044247787611</v>
      </c>
      <c r="N19" s="15" t="str">
        <f aca="false">IF(AND(ISNUMBER(F19),ISNUMBER(H19)) ,"BOUNDED","UNBOUNDED")</f>
        <v>BOUNDED</v>
      </c>
      <c r="O19" s="15" t="str">
        <f aca="false">IF(N19="UNBOUNDED","HOLD",IF(L19&gt;=Inputs!$B$9,"CLOSE","FAIL"))</f>
        <v>CLOSE</v>
      </c>
    </row>
    <row r="20" customFormat="false" ht="15" hidden="false" customHeight="false" outlineLevel="0" collapsed="false">
      <c r="A20" s="11" t="s">
        <v>144</v>
      </c>
      <c r="B20" s="11" t="s">
        <v>6</v>
      </c>
      <c r="C20" s="11" t="s">
        <v>142</v>
      </c>
      <c r="D20" s="11" t="s">
        <v>126</v>
      </c>
      <c r="E20" s="11" t="s">
        <v>143</v>
      </c>
      <c r="F20" s="16" t="n">
        <f aca="false">'Source Inputs'!J10</f>
        <v>1260</v>
      </c>
      <c r="G20" s="17" t="n">
        <f aca="false">Inputs!$B$7</f>
        <v>0.025</v>
      </c>
      <c r="H20" s="16" t="n">
        <f aca="false">'Source Inputs'!K10</f>
        <v>1200</v>
      </c>
      <c r="I20" s="17" t="n">
        <f aca="false">Inputs!$B$8</f>
        <v>0.025</v>
      </c>
      <c r="J20" s="16" t="n">
        <f aca="false">IF(ISNUMBER(F20),F20*(1-G20),"")</f>
        <v>1228.5</v>
      </c>
      <c r="K20" s="16" t="n">
        <f aca="false">IF(ISNUMBER(H20),H20*(1+I20),"")</f>
        <v>1230</v>
      </c>
      <c r="L20" s="16" t="n">
        <f aca="false">IF(AND(ISNUMBER(J20),ISNUMBER(K20),K20&gt;0),J20/K20,"")</f>
        <v>0.998780487804878</v>
      </c>
      <c r="M20" s="14" t="n">
        <f aca="false">IF(AND(ISNUMBER(F20),ISNUMBER(H20),H20&gt;0),(F20/H20-1)/(F20/H20+1),"")</f>
        <v>0.0243902439024391</v>
      </c>
      <c r="N20" s="15" t="str">
        <f aca="false">IF(AND(ISNUMBER(F20),ISNUMBER(H20)) ,"BOUNDED","UNBOUNDED")</f>
        <v>BOUNDED</v>
      </c>
      <c r="O20" s="15" t="str">
        <f aca="false">IF(N20="UNBOUNDED","HOLD",IF(L20&gt;=Inputs!$B$9,"CLOSE","FAIL"))</f>
        <v>FAIL</v>
      </c>
    </row>
    <row r="21" customFormat="false" ht="15" hidden="false" customHeight="false" outlineLevel="0" collapsed="false">
      <c r="A21" s="11" t="s">
        <v>145</v>
      </c>
      <c r="B21" s="11" t="s">
        <v>6</v>
      </c>
      <c r="C21" s="11" t="s">
        <v>142</v>
      </c>
      <c r="D21" s="11" t="s">
        <v>128</v>
      </c>
      <c r="E21" s="11" t="s">
        <v>143</v>
      </c>
      <c r="F21" s="16"/>
      <c r="G21" s="17" t="n">
        <f aca="false">Inputs!$B$7</f>
        <v>0.025</v>
      </c>
      <c r="H21" s="16" t="n">
        <f aca="false">'Source Inputs'!I10</f>
        <v>1200</v>
      </c>
      <c r="I21" s="17" t="n">
        <f aca="false">Inputs!$B$8</f>
        <v>0.025</v>
      </c>
      <c r="J21" s="16" t="str">
        <f aca="false">IF(ISNUMBER(F21),F21*(1-G21),"")</f>
        <v/>
      </c>
      <c r="K21" s="16" t="n">
        <f aca="false">IF(ISNUMBER(H21),H21*(1+I21),"")</f>
        <v>1230</v>
      </c>
      <c r="L21" s="16" t="str">
        <f aca="false">IF(AND(ISNUMBER(J21),ISNUMBER(K21),K21&gt;0),J21/K21,"")</f>
        <v/>
      </c>
      <c r="M21" s="14" t="str">
        <f aca="false">IF(AND(ISNUMBER(F21),ISNUMBER(H21),H21&gt;0),(F21/H21-1)/(F21/H21+1),"")</f>
        <v/>
      </c>
      <c r="N21" s="15" t="str">
        <f aca="false">IF(AND(ISNUMBER(F21),ISNUMBER(H21)) ,"BOUNDED","UNBOUNDED")</f>
        <v>UNBOUNDED</v>
      </c>
      <c r="O21" s="15" t="str">
        <f aca="false">IF(N21="UNBOUNDED","HOLD",IF(L21&gt;=Inputs!$B$9,"CLOSE","FAIL"))</f>
        <v>HOLD</v>
      </c>
    </row>
    <row r="22" customFormat="false" ht="15" hidden="false" customHeight="false" outlineLevel="0" collapsed="false">
      <c r="A22" s="11" t="s">
        <v>146</v>
      </c>
      <c r="B22" s="11" t="s">
        <v>6</v>
      </c>
      <c r="C22" s="11" t="s">
        <v>142</v>
      </c>
      <c r="D22" s="11" t="s">
        <v>130</v>
      </c>
      <c r="E22" s="11" t="s">
        <v>143</v>
      </c>
      <c r="F22" s="16"/>
      <c r="G22" s="17" t="n">
        <f aca="false">Inputs!$B$7</f>
        <v>0.025</v>
      </c>
      <c r="H22" s="16" t="n">
        <f aca="false">'Source Inputs'!I10</f>
        <v>1200</v>
      </c>
      <c r="I22" s="17" t="n">
        <f aca="false">Inputs!$B$8</f>
        <v>0.025</v>
      </c>
      <c r="J22" s="16" t="str">
        <f aca="false">IF(ISNUMBER(F22),F22*(1-G22),"")</f>
        <v/>
      </c>
      <c r="K22" s="16" t="n">
        <f aca="false">IF(ISNUMBER(H22),H22*(1+I22),"")</f>
        <v>1230</v>
      </c>
      <c r="L22" s="16" t="str">
        <f aca="false">IF(AND(ISNUMBER(J22),ISNUMBER(K22),K22&gt;0),J22/K22,"")</f>
        <v/>
      </c>
      <c r="M22" s="14" t="str">
        <f aca="false">IF(AND(ISNUMBER(F22),ISNUMBER(H22),H22&gt;0),(F22/H22-1)/(F22/H22+1),"")</f>
        <v/>
      </c>
      <c r="N22" s="15" t="str">
        <f aca="false">IF(AND(ISNUMBER(F22),ISNUMBER(H22)) ,"BOUNDED","UNBOUNDED")</f>
        <v>UNBOUNDED</v>
      </c>
      <c r="O22" s="15" t="str">
        <f aca="false">IF(N22="UNBOUNDED","HOLD",IF(L22&gt;=Inputs!$B$9,"CLOSE","FAIL"))</f>
        <v>HOLD</v>
      </c>
    </row>
    <row r="23" customFormat="false" ht="15" hidden="false" customHeight="false" outlineLevel="0" collapsed="false">
      <c r="A23" s="11" t="s">
        <v>147</v>
      </c>
      <c r="B23" s="11" t="s">
        <v>6</v>
      </c>
      <c r="C23" s="11" t="s">
        <v>148</v>
      </c>
      <c r="D23" s="11" t="s">
        <v>123</v>
      </c>
      <c r="E23" s="11" t="s">
        <v>149</v>
      </c>
      <c r="F23" s="16"/>
      <c r="G23" s="17" t="n">
        <f aca="false">Inputs!$B$7</f>
        <v>0.025</v>
      </c>
      <c r="H23" s="16"/>
      <c r="I23" s="17" t="n">
        <f aca="false">Inputs!$B$8</f>
        <v>0.025</v>
      </c>
      <c r="J23" s="16" t="str">
        <f aca="false">IF(ISNUMBER(F23),F23*(1-G23),"")</f>
        <v/>
      </c>
      <c r="K23" s="16" t="str">
        <f aca="false">IF(ISNUMBER(H23),H23*(1+I23),"")</f>
        <v/>
      </c>
      <c r="L23" s="16" t="str">
        <f aca="false">IF(AND(ISNUMBER(J23),ISNUMBER(K23),K23&gt;0),J23/K23,"")</f>
        <v/>
      </c>
      <c r="M23" s="14" t="str">
        <f aca="false">IF(AND(ISNUMBER(F23),ISNUMBER(H23),H23&gt;0),(F23/H23-1)/(F23/H23+1),"")</f>
        <v/>
      </c>
      <c r="N23" s="15" t="str">
        <f aca="false">IF(AND(ISNUMBER(F23),ISNUMBER(H23)) ,"BOUNDED","UNBOUNDED")</f>
        <v>UNBOUNDED</v>
      </c>
      <c r="O23" s="15" t="str">
        <f aca="false">IF(N23="UNBOUNDED","HOLD",IF(L23&gt;=Inputs!$B$9,"CLOSE","FAIL"))</f>
        <v>HOLD</v>
      </c>
    </row>
    <row r="24" customFormat="false" ht="15" hidden="false" customHeight="false" outlineLevel="0" collapsed="false">
      <c r="A24" s="11" t="s">
        <v>150</v>
      </c>
      <c r="B24" s="11" t="s">
        <v>6</v>
      </c>
      <c r="C24" s="11" t="s">
        <v>148</v>
      </c>
      <c r="D24" s="11" t="s">
        <v>126</v>
      </c>
      <c r="E24" s="11" t="s">
        <v>149</v>
      </c>
      <c r="F24" s="16"/>
      <c r="G24" s="17" t="n">
        <f aca="false">Inputs!$B$7</f>
        <v>0.025</v>
      </c>
      <c r="H24" s="16"/>
      <c r="I24" s="17" t="n">
        <f aca="false">Inputs!$B$8</f>
        <v>0.025</v>
      </c>
      <c r="J24" s="16" t="str">
        <f aca="false">IF(ISNUMBER(F24),F24*(1-G24),"")</f>
        <v/>
      </c>
      <c r="K24" s="16" t="str">
        <f aca="false">IF(ISNUMBER(H24),H24*(1+I24),"")</f>
        <v/>
      </c>
      <c r="L24" s="16" t="str">
        <f aca="false">IF(AND(ISNUMBER(J24),ISNUMBER(K24),K24&gt;0),J24/K24,"")</f>
        <v/>
      </c>
      <c r="M24" s="14" t="str">
        <f aca="false">IF(AND(ISNUMBER(F24),ISNUMBER(H24),H24&gt;0),(F24/H24-1)/(F24/H24+1),"")</f>
        <v/>
      </c>
      <c r="N24" s="15" t="str">
        <f aca="false">IF(AND(ISNUMBER(F24),ISNUMBER(H24)) ,"BOUNDED","UNBOUNDED")</f>
        <v>UNBOUNDED</v>
      </c>
      <c r="O24" s="15" t="str">
        <f aca="false">IF(N24="UNBOUNDED","HOLD",IF(L24&gt;=Inputs!$B$9,"CLOSE","FAIL"))</f>
        <v>HOLD</v>
      </c>
    </row>
    <row r="25" customFormat="false" ht="15" hidden="false" customHeight="false" outlineLevel="0" collapsed="false">
      <c r="A25" s="11" t="s">
        <v>151</v>
      </c>
      <c r="B25" s="11" t="s">
        <v>6</v>
      </c>
      <c r="C25" s="11" t="s">
        <v>148</v>
      </c>
      <c r="D25" s="11" t="s">
        <v>128</v>
      </c>
      <c r="E25" s="11" t="s">
        <v>149</v>
      </c>
      <c r="F25" s="16"/>
      <c r="G25" s="17" t="n">
        <f aca="false">Inputs!$B$7</f>
        <v>0.025</v>
      </c>
      <c r="H25" s="16"/>
      <c r="I25" s="17" t="n">
        <f aca="false">Inputs!$B$8</f>
        <v>0.025</v>
      </c>
      <c r="J25" s="16" t="str">
        <f aca="false">IF(ISNUMBER(F25),F25*(1-G25),"")</f>
        <v/>
      </c>
      <c r="K25" s="16" t="str">
        <f aca="false">IF(ISNUMBER(H25),H25*(1+I25),"")</f>
        <v/>
      </c>
      <c r="L25" s="16" t="str">
        <f aca="false">IF(AND(ISNUMBER(J25),ISNUMBER(K25),K25&gt;0),J25/K25,"")</f>
        <v/>
      </c>
      <c r="M25" s="14" t="str">
        <f aca="false">IF(AND(ISNUMBER(F25),ISNUMBER(H25),H25&gt;0),(F25/H25-1)/(F25/H25+1),"")</f>
        <v/>
      </c>
      <c r="N25" s="15" t="str">
        <f aca="false">IF(AND(ISNUMBER(F25),ISNUMBER(H25)) ,"BOUNDED","UNBOUNDED")</f>
        <v>UNBOUNDED</v>
      </c>
      <c r="O25" s="15" t="str">
        <f aca="false">IF(N25="UNBOUNDED","HOLD",IF(L25&gt;=Inputs!$B$9,"CLOSE","FAIL"))</f>
        <v>HOLD</v>
      </c>
    </row>
    <row r="26" customFormat="false" ht="15" hidden="false" customHeight="false" outlineLevel="0" collapsed="false">
      <c r="A26" s="11" t="s">
        <v>152</v>
      </c>
      <c r="B26" s="11" t="s">
        <v>6</v>
      </c>
      <c r="C26" s="11" t="s">
        <v>148</v>
      </c>
      <c r="D26" s="11" t="s">
        <v>130</v>
      </c>
      <c r="E26" s="11" t="s">
        <v>149</v>
      </c>
      <c r="F26" s="16"/>
      <c r="G26" s="17" t="n">
        <f aca="false">Inputs!$B$7</f>
        <v>0.025</v>
      </c>
      <c r="H26" s="16"/>
      <c r="I26" s="17" t="n">
        <f aca="false">Inputs!$B$8</f>
        <v>0.025</v>
      </c>
      <c r="J26" s="16" t="str">
        <f aca="false">IF(ISNUMBER(F26),F26*(1-G26),"")</f>
        <v/>
      </c>
      <c r="K26" s="16" t="str">
        <f aca="false">IF(ISNUMBER(H26),H26*(1+I26),"")</f>
        <v/>
      </c>
      <c r="L26" s="16" t="str">
        <f aca="false">IF(AND(ISNUMBER(J26),ISNUMBER(K26),K26&gt;0),J26/K26,"")</f>
        <v/>
      </c>
      <c r="M26" s="14" t="str">
        <f aca="false">IF(AND(ISNUMBER(F26),ISNUMBER(H26),H26&gt;0),(F26/H26-1)/(F26/H26+1),"")</f>
        <v/>
      </c>
      <c r="N26" s="15" t="str">
        <f aca="false">IF(AND(ISNUMBER(F26),ISNUMBER(H26)) ,"BOUNDED","UNBOUNDED")</f>
        <v>UNBOUNDED</v>
      </c>
      <c r="O26" s="15" t="str">
        <f aca="false">IF(N26="UNBOUNDED","HOLD",IF(L26&gt;=Inputs!$B$9,"CLOSE","FAIL"))</f>
        <v>HOLD</v>
      </c>
    </row>
    <row r="27" customFormat="false" ht="15" hidden="false" customHeight="false" outlineLevel="0" collapsed="false">
      <c r="A27" s="11" t="s">
        <v>153</v>
      </c>
      <c r="B27" s="11" t="s">
        <v>10</v>
      </c>
      <c r="C27" s="11" t="s">
        <v>26</v>
      </c>
      <c r="D27" s="11" t="s">
        <v>123</v>
      </c>
      <c r="E27" s="11" t="s">
        <v>154</v>
      </c>
      <c r="F27" s="16" t="n">
        <f aca="false">'Source Inputs'!H11</f>
        <v>1.32</v>
      </c>
      <c r="G27" s="17" t="n">
        <f aca="false">Inputs!$B$7</f>
        <v>0.025</v>
      </c>
      <c r="H27" s="16" t="n">
        <f aca="false">'Source Inputs'!I11</f>
        <v>1</v>
      </c>
      <c r="I27" s="17" t="n">
        <f aca="false">Inputs!$B$8</f>
        <v>0.025</v>
      </c>
      <c r="J27" s="16" t="n">
        <f aca="false">IF(ISNUMBER(F27),F27*(1-G27),"")</f>
        <v>1.287</v>
      </c>
      <c r="K27" s="16" t="n">
        <f aca="false">IF(ISNUMBER(H27),H27*(1+I27),"")</f>
        <v>1.025</v>
      </c>
      <c r="L27" s="16" t="n">
        <f aca="false">IF(AND(ISNUMBER(J27),ISNUMBER(K27),K27&gt;0),J27/K27,"")</f>
        <v>1.25560975609756</v>
      </c>
      <c r="M27" s="14" t="n">
        <f aca="false">IF(AND(ISNUMBER(F27),ISNUMBER(H27),H27&gt;0),(F27/H27-1)/(F27/H27+1),"")</f>
        <v>0.137931034482759</v>
      </c>
      <c r="N27" s="15" t="str">
        <f aca="false">IF(AND(ISNUMBER(F27),ISNUMBER(H27)) ,"BOUNDED","UNBOUNDED")</f>
        <v>BOUNDED</v>
      </c>
      <c r="O27" s="15" t="str">
        <f aca="false">IF(N27="UNBOUNDED","HOLD",IF(L27&gt;=Inputs!$B$9,"CLOSE","FAIL"))</f>
        <v>CLOSE</v>
      </c>
    </row>
    <row r="28" customFormat="false" ht="15" hidden="false" customHeight="false" outlineLevel="0" collapsed="false">
      <c r="A28" s="11" t="s">
        <v>155</v>
      </c>
      <c r="B28" s="11" t="s">
        <v>10</v>
      </c>
      <c r="C28" s="11" t="s">
        <v>26</v>
      </c>
      <c r="D28" s="11" t="s">
        <v>126</v>
      </c>
      <c r="E28" s="11" t="s">
        <v>154</v>
      </c>
      <c r="F28" s="16" t="n">
        <f aca="false">'Source Inputs'!J11</f>
        <v>1.056</v>
      </c>
      <c r="G28" s="17" t="n">
        <f aca="false">Inputs!$B$7</f>
        <v>0.025</v>
      </c>
      <c r="H28" s="16" t="n">
        <f aca="false">'Source Inputs'!K11</f>
        <v>1</v>
      </c>
      <c r="I28" s="17" t="n">
        <f aca="false">Inputs!$B$8</f>
        <v>0.025</v>
      </c>
      <c r="J28" s="16" t="n">
        <f aca="false">IF(ISNUMBER(F28),F28*(1-G28),"")</f>
        <v>1.0296</v>
      </c>
      <c r="K28" s="16" t="n">
        <f aca="false">IF(ISNUMBER(H28),H28*(1+I28),"")</f>
        <v>1.025</v>
      </c>
      <c r="L28" s="16" t="n">
        <f aca="false">IF(AND(ISNUMBER(J28),ISNUMBER(K28),K28&gt;0),J28/K28,"")</f>
        <v>1.00448780487805</v>
      </c>
      <c r="M28" s="14" t="n">
        <f aca="false">IF(AND(ISNUMBER(F28),ISNUMBER(H28),H28&gt;0),(F28/H28-1)/(F28/H28+1),"")</f>
        <v>0.0272373540856031</v>
      </c>
      <c r="N28" s="15" t="str">
        <f aca="false">IF(AND(ISNUMBER(F28),ISNUMBER(H28)) ,"BOUNDED","UNBOUNDED")</f>
        <v>BOUNDED</v>
      </c>
      <c r="O28" s="15" t="str">
        <f aca="false">IF(N28="UNBOUNDED","HOLD",IF(L28&gt;=Inputs!$B$9,"CLOSE","FAIL"))</f>
        <v>CLOSE</v>
      </c>
    </row>
    <row r="29" customFormat="false" ht="15" hidden="false" customHeight="false" outlineLevel="0" collapsed="false">
      <c r="A29" s="11" t="s">
        <v>156</v>
      </c>
      <c r="B29" s="11" t="s">
        <v>10</v>
      </c>
      <c r="C29" s="11" t="s">
        <v>26</v>
      </c>
      <c r="D29" s="11" t="s">
        <v>128</v>
      </c>
      <c r="E29" s="11" t="s">
        <v>154</v>
      </c>
      <c r="F29" s="16"/>
      <c r="G29" s="17" t="n">
        <f aca="false">Inputs!$B$7</f>
        <v>0.025</v>
      </c>
      <c r="H29" s="16" t="n">
        <f aca="false">'Source Inputs'!I11</f>
        <v>1</v>
      </c>
      <c r="I29" s="17" t="n">
        <f aca="false">Inputs!$B$8</f>
        <v>0.025</v>
      </c>
      <c r="J29" s="16" t="str">
        <f aca="false">IF(ISNUMBER(F29),F29*(1-G29),"")</f>
        <v/>
      </c>
      <c r="K29" s="16" t="n">
        <f aca="false">IF(ISNUMBER(H29),H29*(1+I29),"")</f>
        <v>1.025</v>
      </c>
      <c r="L29" s="16" t="str">
        <f aca="false">IF(AND(ISNUMBER(J29),ISNUMBER(K29),K29&gt;0),J29/K29,"")</f>
        <v/>
      </c>
      <c r="M29" s="14" t="str">
        <f aca="false">IF(AND(ISNUMBER(F29),ISNUMBER(H29),H29&gt;0),(F29/H29-1)/(F29/H29+1),"")</f>
        <v/>
      </c>
      <c r="N29" s="15" t="str">
        <f aca="false">IF(AND(ISNUMBER(F29),ISNUMBER(H29)) ,"BOUNDED","UNBOUNDED")</f>
        <v>UNBOUNDED</v>
      </c>
      <c r="O29" s="15" t="str">
        <f aca="false">IF(N29="UNBOUNDED","HOLD",IF(L29&gt;=Inputs!$B$9,"CLOSE","FAIL"))</f>
        <v>HOLD</v>
      </c>
    </row>
    <row r="30" customFormat="false" ht="15" hidden="false" customHeight="false" outlineLevel="0" collapsed="false">
      <c r="A30" s="11" t="s">
        <v>157</v>
      </c>
      <c r="B30" s="11" t="s">
        <v>10</v>
      </c>
      <c r="C30" s="11" t="s">
        <v>26</v>
      </c>
      <c r="D30" s="11" t="s">
        <v>130</v>
      </c>
      <c r="E30" s="11" t="s">
        <v>154</v>
      </c>
      <c r="F30" s="16"/>
      <c r="G30" s="17" t="n">
        <f aca="false">Inputs!$B$7</f>
        <v>0.025</v>
      </c>
      <c r="H30" s="16" t="n">
        <f aca="false">'Source Inputs'!I11</f>
        <v>1</v>
      </c>
      <c r="I30" s="17" t="n">
        <f aca="false">Inputs!$B$8</f>
        <v>0.025</v>
      </c>
      <c r="J30" s="16" t="str">
        <f aca="false">IF(ISNUMBER(F30),F30*(1-G30),"")</f>
        <v/>
      </c>
      <c r="K30" s="16" t="n">
        <f aca="false">IF(ISNUMBER(H30),H30*(1+I30),"")</f>
        <v>1.025</v>
      </c>
      <c r="L30" s="16" t="str">
        <f aca="false">IF(AND(ISNUMBER(J30),ISNUMBER(K30),K30&gt;0),J30/K30,"")</f>
        <v/>
      </c>
      <c r="M30" s="14" t="str">
        <f aca="false">IF(AND(ISNUMBER(F30),ISNUMBER(H30),H30&gt;0),(F30/H30-1)/(F30/H30+1),"")</f>
        <v/>
      </c>
      <c r="N30" s="15" t="str">
        <f aca="false">IF(AND(ISNUMBER(F30),ISNUMBER(H30)) ,"BOUNDED","UNBOUNDED")</f>
        <v>UNBOUNDED</v>
      </c>
      <c r="O30" s="15" t="str">
        <f aca="false">IF(N30="UNBOUNDED","HOLD",IF(L30&gt;=Inputs!$B$9,"CLOSE","FAIL"))</f>
        <v>HOLD</v>
      </c>
    </row>
    <row r="31" customFormat="false" ht="15" hidden="false" customHeight="false" outlineLevel="0" collapsed="false">
      <c r="A31" s="11" t="s">
        <v>158</v>
      </c>
      <c r="B31" s="11" t="s">
        <v>10</v>
      </c>
      <c r="C31" s="11" t="s">
        <v>34</v>
      </c>
      <c r="D31" s="11" t="s">
        <v>123</v>
      </c>
      <c r="E31" s="11" t="s">
        <v>132</v>
      </c>
      <c r="F31" s="16" t="n">
        <f aca="false">'Source Inputs'!H12</f>
        <v>36000</v>
      </c>
      <c r="G31" s="17" t="n">
        <f aca="false">Inputs!$B$7</f>
        <v>0.025</v>
      </c>
      <c r="H31" s="16" t="n">
        <f aca="false">'Source Inputs'!I12</f>
        <v>31000</v>
      </c>
      <c r="I31" s="17" t="n">
        <f aca="false">Inputs!$B$8</f>
        <v>0.025</v>
      </c>
      <c r="J31" s="16" t="n">
        <f aca="false">IF(ISNUMBER(F31),F31*(1-G31),"")</f>
        <v>35100</v>
      </c>
      <c r="K31" s="16" t="n">
        <f aca="false">IF(ISNUMBER(H31),H31*(1+I31),"")</f>
        <v>31775</v>
      </c>
      <c r="L31" s="16" t="n">
        <f aca="false">IF(AND(ISNUMBER(J31),ISNUMBER(K31),K31&gt;0),J31/K31,"")</f>
        <v>1.10464201416208</v>
      </c>
      <c r="M31" s="14" t="n">
        <f aca="false">IF(AND(ISNUMBER(F31),ISNUMBER(H31),H31&gt;0),(F31/H31-1)/(F31/H31+1),"")</f>
        <v>0.0746268656716418</v>
      </c>
      <c r="N31" s="15" t="str">
        <f aca="false">IF(AND(ISNUMBER(F31),ISNUMBER(H31)) ,"BOUNDED","UNBOUNDED")</f>
        <v>BOUNDED</v>
      </c>
      <c r="O31" s="15" t="str">
        <f aca="false">IF(N31="UNBOUNDED","HOLD",IF(L31&gt;=Inputs!$B$9,"CLOSE","FAIL"))</f>
        <v>CLOSE</v>
      </c>
    </row>
    <row r="32" customFormat="false" ht="15" hidden="false" customHeight="false" outlineLevel="0" collapsed="false">
      <c r="A32" s="11" t="s">
        <v>159</v>
      </c>
      <c r="B32" s="11" t="s">
        <v>10</v>
      </c>
      <c r="C32" s="11" t="s">
        <v>34</v>
      </c>
      <c r="D32" s="11" t="s">
        <v>126</v>
      </c>
      <c r="E32" s="11" t="s">
        <v>132</v>
      </c>
      <c r="F32" s="16" t="n">
        <f aca="false">'Source Inputs'!J12</f>
        <v>32400</v>
      </c>
      <c r="G32" s="17" t="n">
        <f aca="false">Inputs!$B$7</f>
        <v>0.025</v>
      </c>
      <c r="H32" s="16" t="n">
        <f aca="false">'Source Inputs'!K12</f>
        <v>31000</v>
      </c>
      <c r="I32" s="17" t="n">
        <f aca="false">Inputs!$B$8</f>
        <v>0.025</v>
      </c>
      <c r="J32" s="16" t="n">
        <f aca="false">IF(ISNUMBER(F32),F32*(1-G32),"")</f>
        <v>31590</v>
      </c>
      <c r="K32" s="16" t="n">
        <f aca="false">IF(ISNUMBER(H32),H32*(1+I32),"")</f>
        <v>31775</v>
      </c>
      <c r="L32" s="16" t="n">
        <f aca="false">IF(AND(ISNUMBER(J32),ISNUMBER(K32),K32&gt;0),J32/K32,"")</f>
        <v>0.99417781274587</v>
      </c>
      <c r="M32" s="14" t="n">
        <f aca="false">IF(AND(ISNUMBER(F32),ISNUMBER(H32),H32&gt;0),(F32/H32-1)/(F32/H32+1),"")</f>
        <v>0.0220820189274448</v>
      </c>
      <c r="N32" s="15" t="str">
        <f aca="false">IF(AND(ISNUMBER(F32),ISNUMBER(H32)) ,"BOUNDED","UNBOUNDED")</f>
        <v>BOUNDED</v>
      </c>
      <c r="O32" s="15" t="str">
        <f aca="false">IF(N32="UNBOUNDED","HOLD",IF(L32&gt;=Inputs!$B$9,"CLOSE","FAIL"))</f>
        <v>FAIL</v>
      </c>
    </row>
    <row r="33" customFormat="false" ht="15" hidden="false" customHeight="false" outlineLevel="0" collapsed="false">
      <c r="A33" s="11" t="s">
        <v>160</v>
      </c>
      <c r="B33" s="11" t="s">
        <v>10</v>
      </c>
      <c r="C33" s="11" t="s">
        <v>34</v>
      </c>
      <c r="D33" s="11" t="s">
        <v>128</v>
      </c>
      <c r="E33" s="11" t="s">
        <v>132</v>
      </c>
      <c r="F33" s="16"/>
      <c r="G33" s="17" t="n">
        <f aca="false">Inputs!$B$7</f>
        <v>0.025</v>
      </c>
      <c r="H33" s="16" t="n">
        <f aca="false">'Source Inputs'!I12</f>
        <v>31000</v>
      </c>
      <c r="I33" s="17" t="n">
        <f aca="false">Inputs!$B$8</f>
        <v>0.025</v>
      </c>
      <c r="J33" s="16" t="str">
        <f aca="false">IF(ISNUMBER(F33),F33*(1-G33),"")</f>
        <v/>
      </c>
      <c r="K33" s="16" t="n">
        <f aca="false">IF(ISNUMBER(H33),H33*(1+I33),"")</f>
        <v>31775</v>
      </c>
      <c r="L33" s="16" t="str">
        <f aca="false">IF(AND(ISNUMBER(J33),ISNUMBER(K33),K33&gt;0),J33/K33,"")</f>
        <v/>
      </c>
      <c r="M33" s="14" t="str">
        <f aca="false">IF(AND(ISNUMBER(F33),ISNUMBER(H33),H33&gt;0),(F33/H33-1)/(F33/H33+1),"")</f>
        <v/>
      </c>
      <c r="N33" s="15" t="str">
        <f aca="false">IF(AND(ISNUMBER(F33),ISNUMBER(H33)) ,"BOUNDED","UNBOUNDED")</f>
        <v>UNBOUNDED</v>
      </c>
      <c r="O33" s="15" t="str">
        <f aca="false">IF(N33="UNBOUNDED","HOLD",IF(L33&gt;=Inputs!$B$9,"CLOSE","FAIL"))</f>
        <v>HOLD</v>
      </c>
    </row>
    <row r="34" customFormat="false" ht="15" hidden="false" customHeight="false" outlineLevel="0" collapsed="false">
      <c r="A34" s="11" t="s">
        <v>161</v>
      </c>
      <c r="B34" s="11" t="s">
        <v>10</v>
      </c>
      <c r="C34" s="11" t="s">
        <v>34</v>
      </c>
      <c r="D34" s="11" t="s">
        <v>130</v>
      </c>
      <c r="E34" s="11" t="s">
        <v>132</v>
      </c>
      <c r="F34" s="16"/>
      <c r="G34" s="17" t="n">
        <f aca="false">Inputs!$B$7</f>
        <v>0.025</v>
      </c>
      <c r="H34" s="16" t="n">
        <f aca="false">'Source Inputs'!I12</f>
        <v>31000</v>
      </c>
      <c r="I34" s="17" t="n">
        <f aca="false">Inputs!$B$8</f>
        <v>0.025</v>
      </c>
      <c r="J34" s="16" t="str">
        <f aca="false">IF(ISNUMBER(F34),F34*(1-G34),"")</f>
        <v/>
      </c>
      <c r="K34" s="16" t="n">
        <f aca="false">IF(ISNUMBER(H34),H34*(1+I34),"")</f>
        <v>31775</v>
      </c>
      <c r="L34" s="16" t="str">
        <f aca="false">IF(AND(ISNUMBER(J34),ISNUMBER(K34),K34&gt;0),J34/K34,"")</f>
        <v/>
      </c>
      <c r="M34" s="14" t="str">
        <f aca="false">IF(AND(ISNUMBER(F34),ISNUMBER(H34),H34&gt;0),(F34/H34-1)/(F34/H34+1),"")</f>
        <v/>
      </c>
      <c r="N34" s="15" t="str">
        <f aca="false">IF(AND(ISNUMBER(F34),ISNUMBER(H34)) ,"BOUNDED","UNBOUNDED")</f>
        <v>UNBOUNDED</v>
      </c>
      <c r="O34" s="15" t="str">
        <f aca="false">IF(N34="UNBOUNDED","HOLD",IF(L34&gt;=Inputs!$B$9,"CLOSE","FAIL"))</f>
        <v>HOLD</v>
      </c>
    </row>
    <row r="35" customFormat="false" ht="15" hidden="false" customHeight="false" outlineLevel="0" collapsed="false">
      <c r="A35" s="11" t="s">
        <v>162</v>
      </c>
      <c r="B35" s="11" t="s">
        <v>10</v>
      </c>
      <c r="C35" s="11" t="s">
        <v>29</v>
      </c>
      <c r="D35" s="11" t="s">
        <v>123</v>
      </c>
      <c r="E35" s="11" t="s">
        <v>137</v>
      </c>
      <c r="F35" s="16" t="n">
        <f aca="false">'Source Inputs'!H13</f>
        <v>50.4</v>
      </c>
      <c r="G35" s="17" t="n">
        <f aca="false">Inputs!$B$7</f>
        <v>0.025</v>
      </c>
      <c r="H35" s="16" t="n">
        <f aca="false">'Source Inputs'!I13</f>
        <v>42</v>
      </c>
      <c r="I35" s="17" t="n">
        <f aca="false">Inputs!$B$8</f>
        <v>0.025</v>
      </c>
      <c r="J35" s="16" t="n">
        <f aca="false">IF(ISNUMBER(F35),F35*(1-G35),"")</f>
        <v>49.14</v>
      </c>
      <c r="K35" s="16" t="n">
        <f aca="false">IF(ISNUMBER(H35),H35*(1+I35),"")</f>
        <v>43.05</v>
      </c>
      <c r="L35" s="16" t="n">
        <f aca="false">IF(AND(ISNUMBER(J35),ISNUMBER(K35),K35&gt;0),J35/K35,"")</f>
        <v>1.14146341463415</v>
      </c>
      <c r="M35" s="14" t="n">
        <f aca="false">IF(AND(ISNUMBER(F35),ISNUMBER(H35),H35&gt;0),(F35/H35-1)/(F35/H35+1),"")</f>
        <v>0.0909090909090909</v>
      </c>
      <c r="N35" s="15" t="str">
        <f aca="false">IF(AND(ISNUMBER(F35),ISNUMBER(H35)) ,"BOUNDED","UNBOUNDED")</f>
        <v>BOUNDED</v>
      </c>
      <c r="O35" s="15" t="str">
        <f aca="false">IF(N35="UNBOUNDED","HOLD",IF(L35&gt;=Inputs!$B$9,"CLOSE","FAIL"))</f>
        <v>CLOSE</v>
      </c>
    </row>
    <row r="36" customFormat="false" ht="15" hidden="false" customHeight="false" outlineLevel="0" collapsed="false">
      <c r="A36" s="11" t="s">
        <v>163</v>
      </c>
      <c r="B36" s="11" t="s">
        <v>10</v>
      </c>
      <c r="C36" s="11" t="s">
        <v>29</v>
      </c>
      <c r="D36" s="11" t="s">
        <v>126</v>
      </c>
      <c r="E36" s="11" t="s">
        <v>137</v>
      </c>
      <c r="F36" s="16" t="n">
        <f aca="false">'Source Inputs'!J13</f>
        <v>43.2</v>
      </c>
      <c r="G36" s="17" t="n">
        <f aca="false">Inputs!$B$7</f>
        <v>0.025</v>
      </c>
      <c r="H36" s="16" t="n">
        <f aca="false">'Source Inputs'!K13</f>
        <v>42</v>
      </c>
      <c r="I36" s="17" t="n">
        <f aca="false">Inputs!$B$8</f>
        <v>0.025</v>
      </c>
      <c r="J36" s="16" t="n">
        <f aca="false">IF(ISNUMBER(F36),F36*(1-G36),"")</f>
        <v>42.12</v>
      </c>
      <c r="K36" s="16" t="n">
        <f aca="false">IF(ISNUMBER(H36),H36*(1+I36),"")</f>
        <v>43.05</v>
      </c>
      <c r="L36" s="16" t="n">
        <f aca="false">IF(AND(ISNUMBER(J36),ISNUMBER(K36),K36&gt;0),J36/K36,"")</f>
        <v>0.978397212543554</v>
      </c>
      <c r="M36" s="14" t="n">
        <f aca="false">IF(AND(ISNUMBER(F36),ISNUMBER(H36),H36&gt;0),(F36/H36-1)/(F36/H36+1),"")</f>
        <v>0.0140845070422536</v>
      </c>
      <c r="N36" s="15" t="str">
        <f aca="false">IF(AND(ISNUMBER(F36),ISNUMBER(H36)) ,"BOUNDED","UNBOUNDED")</f>
        <v>BOUNDED</v>
      </c>
      <c r="O36" s="15" t="str">
        <f aca="false">IF(N36="UNBOUNDED","HOLD",IF(L36&gt;=Inputs!$B$9,"CLOSE","FAIL"))</f>
        <v>FAIL</v>
      </c>
    </row>
    <row r="37" customFormat="false" ht="15" hidden="false" customHeight="false" outlineLevel="0" collapsed="false">
      <c r="A37" s="11" t="s">
        <v>164</v>
      </c>
      <c r="B37" s="11" t="s">
        <v>10</v>
      </c>
      <c r="C37" s="11" t="s">
        <v>29</v>
      </c>
      <c r="D37" s="11" t="s">
        <v>128</v>
      </c>
      <c r="E37" s="11" t="s">
        <v>137</v>
      </c>
      <c r="F37" s="16"/>
      <c r="G37" s="17" t="n">
        <f aca="false">Inputs!$B$7</f>
        <v>0.025</v>
      </c>
      <c r="H37" s="16" t="n">
        <f aca="false">'Source Inputs'!I13</f>
        <v>42</v>
      </c>
      <c r="I37" s="17" t="n">
        <f aca="false">Inputs!$B$8</f>
        <v>0.025</v>
      </c>
      <c r="J37" s="16" t="str">
        <f aca="false">IF(ISNUMBER(F37),F37*(1-G37),"")</f>
        <v/>
      </c>
      <c r="K37" s="16" t="n">
        <f aca="false">IF(ISNUMBER(H37),H37*(1+I37),"")</f>
        <v>43.05</v>
      </c>
      <c r="L37" s="16" t="str">
        <f aca="false">IF(AND(ISNUMBER(J37),ISNUMBER(K37),K37&gt;0),J37/K37,"")</f>
        <v/>
      </c>
      <c r="M37" s="14" t="str">
        <f aca="false">IF(AND(ISNUMBER(F37),ISNUMBER(H37),H37&gt;0),(F37/H37-1)/(F37/H37+1),"")</f>
        <v/>
      </c>
      <c r="N37" s="15" t="str">
        <f aca="false">IF(AND(ISNUMBER(F37),ISNUMBER(H37)) ,"BOUNDED","UNBOUNDED")</f>
        <v>UNBOUNDED</v>
      </c>
      <c r="O37" s="15" t="str">
        <f aca="false">IF(N37="UNBOUNDED","HOLD",IF(L37&gt;=Inputs!$B$9,"CLOSE","FAIL"))</f>
        <v>HOLD</v>
      </c>
    </row>
    <row r="38" customFormat="false" ht="15" hidden="false" customHeight="false" outlineLevel="0" collapsed="false">
      <c r="A38" s="11" t="s">
        <v>165</v>
      </c>
      <c r="B38" s="11" t="s">
        <v>10</v>
      </c>
      <c r="C38" s="11" t="s">
        <v>29</v>
      </c>
      <c r="D38" s="11" t="s">
        <v>130</v>
      </c>
      <c r="E38" s="11" t="s">
        <v>137</v>
      </c>
      <c r="F38" s="16"/>
      <c r="G38" s="17" t="n">
        <f aca="false">Inputs!$B$7</f>
        <v>0.025</v>
      </c>
      <c r="H38" s="16" t="n">
        <f aca="false">'Source Inputs'!I13</f>
        <v>42</v>
      </c>
      <c r="I38" s="17" t="n">
        <f aca="false">Inputs!$B$8</f>
        <v>0.025</v>
      </c>
      <c r="J38" s="16" t="str">
        <f aca="false">IF(ISNUMBER(F38),F38*(1-G38),"")</f>
        <v/>
      </c>
      <c r="K38" s="16" t="n">
        <f aca="false">IF(ISNUMBER(H38),H38*(1+I38),"")</f>
        <v>43.05</v>
      </c>
      <c r="L38" s="16" t="str">
        <f aca="false">IF(AND(ISNUMBER(J38),ISNUMBER(K38),K38&gt;0),J38/K38,"")</f>
        <v/>
      </c>
      <c r="M38" s="14" t="str">
        <f aca="false">IF(AND(ISNUMBER(F38),ISNUMBER(H38),H38&gt;0),(F38/H38-1)/(F38/H38+1),"")</f>
        <v/>
      </c>
      <c r="N38" s="15" t="str">
        <f aca="false">IF(AND(ISNUMBER(F38),ISNUMBER(H38)) ,"BOUNDED","UNBOUNDED")</f>
        <v>UNBOUNDED</v>
      </c>
      <c r="O38" s="15" t="str">
        <f aca="false">IF(N38="UNBOUNDED","HOLD",IF(L38&gt;=Inputs!$B$9,"CLOSE","FAIL"))</f>
        <v>HOLD</v>
      </c>
    </row>
    <row r="39" customFormat="false" ht="15" hidden="false" customHeight="false" outlineLevel="0" collapsed="false">
      <c r="A39" s="11" t="s">
        <v>166</v>
      </c>
      <c r="B39" s="11" t="s">
        <v>10</v>
      </c>
      <c r="C39" s="11" t="s">
        <v>142</v>
      </c>
      <c r="D39" s="11" t="s">
        <v>123</v>
      </c>
      <c r="E39" s="11" t="s">
        <v>143</v>
      </c>
      <c r="F39" s="16" t="n">
        <f aca="false">'Source Inputs'!H14</f>
        <v>277.2</v>
      </c>
      <c r="G39" s="17" t="n">
        <f aca="false">Inputs!$B$7</f>
        <v>0.025</v>
      </c>
      <c r="H39" s="16" t="n">
        <f aca="false">'Source Inputs'!I14</f>
        <v>220</v>
      </c>
      <c r="I39" s="17" t="n">
        <f aca="false">Inputs!$B$8</f>
        <v>0.025</v>
      </c>
      <c r="J39" s="16" t="n">
        <f aca="false">IF(ISNUMBER(F39),F39*(1-G39),"")</f>
        <v>270.27</v>
      </c>
      <c r="K39" s="16" t="n">
        <f aca="false">IF(ISNUMBER(H39),H39*(1+I39),"")</f>
        <v>225.5</v>
      </c>
      <c r="L39" s="16" t="n">
        <f aca="false">IF(AND(ISNUMBER(J39),ISNUMBER(K39),K39&gt;0),J39/K39,"")</f>
        <v>1.19853658536585</v>
      </c>
      <c r="M39" s="14" t="n">
        <f aca="false">IF(AND(ISNUMBER(F39),ISNUMBER(H39),H39&gt;0),(F39/H39-1)/(F39/H39+1),"")</f>
        <v>0.115044247787611</v>
      </c>
      <c r="N39" s="15" t="str">
        <f aca="false">IF(AND(ISNUMBER(F39),ISNUMBER(H39)) ,"BOUNDED","UNBOUNDED")</f>
        <v>BOUNDED</v>
      </c>
      <c r="O39" s="15" t="str">
        <f aca="false">IF(N39="UNBOUNDED","HOLD",IF(L39&gt;=Inputs!$B$9,"CLOSE","FAIL"))</f>
        <v>CLOSE</v>
      </c>
    </row>
    <row r="40" customFormat="false" ht="15" hidden="false" customHeight="false" outlineLevel="0" collapsed="false">
      <c r="A40" s="11" t="s">
        <v>167</v>
      </c>
      <c r="B40" s="11" t="s">
        <v>10</v>
      </c>
      <c r="C40" s="11" t="s">
        <v>142</v>
      </c>
      <c r="D40" s="11" t="s">
        <v>126</v>
      </c>
      <c r="E40" s="11" t="s">
        <v>143</v>
      </c>
      <c r="F40" s="16" t="n">
        <f aca="false">'Source Inputs'!J14</f>
        <v>231</v>
      </c>
      <c r="G40" s="17" t="n">
        <f aca="false">Inputs!$B$7</f>
        <v>0.025</v>
      </c>
      <c r="H40" s="16" t="n">
        <f aca="false">'Source Inputs'!K14</f>
        <v>220</v>
      </c>
      <c r="I40" s="17" t="n">
        <f aca="false">Inputs!$B$8</f>
        <v>0.025</v>
      </c>
      <c r="J40" s="16" t="n">
        <f aca="false">IF(ISNUMBER(F40),F40*(1-G40),"")</f>
        <v>225.225</v>
      </c>
      <c r="K40" s="16" t="n">
        <f aca="false">IF(ISNUMBER(H40),H40*(1+I40),"")</f>
        <v>225.5</v>
      </c>
      <c r="L40" s="16" t="n">
        <f aca="false">IF(AND(ISNUMBER(J40),ISNUMBER(K40),K40&gt;0),J40/K40,"")</f>
        <v>0.998780487804878</v>
      </c>
      <c r="M40" s="14" t="n">
        <f aca="false">IF(AND(ISNUMBER(F40),ISNUMBER(H40),H40&gt;0),(F40/H40-1)/(F40/H40+1),"")</f>
        <v>0.0243902439024391</v>
      </c>
      <c r="N40" s="15" t="str">
        <f aca="false">IF(AND(ISNUMBER(F40),ISNUMBER(H40)) ,"BOUNDED","UNBOUNDED")</f>
        <v>BOUNDED</v>
      </c>
      <c r="O40" s="15" t="str">
        <f aca="false">IF(N40="UNBOUNDED","HOLD",IF(L40&gt;=Inputs!$B$9,"CLOSE","FAIL"))</f>
        <v>FAIL</v>
      </c>
    </row>
    <row r="41" customFormat="false" ht="15" hidden="false" customHeight="false" outlineLevel="0" collapsed="false">
      <c r="A41" s="11" t="s">
        <v>168</v>
      </c>
      <c r="B41" s="11" t="s">
        <v>10</v>
      </c>
      <c r="C41" s="11" t="s">
        <v>142</v>
      </c>
      <c r="D41" s="11" t="s">
        <v>128</v>
      </c>
      <c r="E41" s="11" t="s">
        <v>143</v>
      </c>
      <c r="F41" s="16"/>
      <c r="G41" s="17" t="n">
        <f aca="false">Inputs!$B$7</f>
        <v>0.025</v>
      </c>
      <c r="H41" s="16" t="n">
        <f aca="false">'Source Inputs'!I14</f>
        <v>220</v>
      </c>
      <c r="I41" s="17" t="n">
        <f aca="false">Inputs!$B$8</f>
        <v>0.025</v>
      </c>
      <c r="J41" s="16" t="str">
        <f aca="false">IF(ISNUMBER(F41),F41*(1-G41),"")</f>
        <v/>
      </c>
      <c r="K41" s="16" t="n">
        <f aca="false">IF(ISNUMBER(H41),H41*(1+I41),"")</f>
        <v>225.5</v>
      </c>
      <c r="L41" s="16" t="str">
        <f aca="false">IF(AND(ISNUMBER(J41),ISNUMBER(K41),K41&gt;0),J41/K41,"")</f>
        <v/>
      </c>
      <c r="M41" s="14" t="str">
        <f aca="false">IF(AND(ISNUMBER(F41),ISNUMBER(H41),H41&gt;0),(F41/H41-1)/(F41/H41+1),"")</f>
        <v/>
      </c>
      <c r="N41" s="15" t="str">
        <f aca="false">IF(AND(ISNUMBER(F41),ISNUMBER(H41)) ,"BOUNDED","UNBOUNDED")</f>
        <v>UNBOUNDED</v>
      </c>
      <c r="O41" s="15" t="str">
        <f aca="false">IF(N41="UNBOUNDED","HOLD",IF(L41&gt;=Inputs!$B$9,"CLOSE","FAIL"))</f>
        <v>HOLD</v>
      </c>
    </row>
    <row r="42" customFormat="false" ht="15" hidden="false" customHeight="false" outlineLevel="0" collapsed="false">
      <c r="A42" s="11" t="s">
        <v>169</v>
      </c>
      <c r="B42" s="11" t="s">
        <v>10</v>
      </c>
      <c r="C42" s="11" t="s">
        <v>142</v>
      </c>
      <c r="D42" s="11" t="s">
        <v>130</v>
      </c>
      <c r="E42" s="11" t="s">
        <v>143</v>
      </c>
      <c r="F42" s="16"/>
      <c r="G42" s="17" t="n">
        <f aca="false">Inputs!$B$7</f>
        <v>0.025</v>
      </c>
      <c r="H42" s="16" t="n">
        <f aca="false">'Source Inputs'!I14</f>
        <v>220</v>
      </c>
      <c r="I42" s="17" t="n">
        <f aca="false">Inputs!$B$8</f>
        <v>0.025</v>
      </c>
      <c r="J42" s="16" t="str">
        <f aca="false">IF(ISNUMBER(F42),F42*(1-G42),"")</f>
        <v/>
      </c>
      <c r="K42" s="16" t="n">
        <f aca="false">IF(ISNUMBER(H42),H42*(1+I42),"")</f>
        <v>225.5</v>
      </c>
      <c r="L42" s="16" t="str">
        <f aca="false">IF(AND(ISNUMBER(J42),ISNUMBER(K42),K42&gt;0),J42/K42,"")</f>
        <v/>
      </c>
      <c r="M42" s="14" t="str">
        <f aca="false">IF(AND(ISNUMBER(F42),ISNUMBER(H42),H42&gt;0),(F42/H42-1)/(F42/H42+1),"")</f>
        <v/>
      </c>
      <c r="N42" s="15" t="str">
        <f aca="false">IF(AND(ISNUMBER(F42),ISNUMBER(H42)) ,"BOUNDED","UNBOUNDED")</f>
        <v>UNBOUNDED</v>
      </c>
      <c r="O42" s="15" t="str">
        <f aca="false">IF(N42="UNBOUNDED","HOLD",IF(L42&gt;=Inputs!$B$9,"CLOSE","FAIL"))</f>
        <v>HOLD</v>
      </c>
    </row>
    <row r="43" customFormat="false" ht="15" hidden="false" customHeight="false" outlineLevel="0" collapsed="false">
      <c r="A43" s="11" t="s">
        <v>170</v>
      </c>
      <c r="B43" s="11" t="s">
        <v>10</v>
      </c>
      <c r="C43" s="11" t="s">
        <v>148</v>
      </c>
      <c r="D43" s="11" t="s">
        <v>123</v>
      </c>
      <c r="E43" s="11" t="s">
        <v>149</v>
      </c>
      <c r="F43" s="16"/>
      <c r="G43" s="17" t="n">
        <f aca="false">Inputs!$B$7</f>
        <v>0.025</v>
      </c>
      <c r="H43" s="16"/>
      <c r="I43" s="17" t="n">
        <f aca="false">Inputs!$B$8</f>
        <v>0.025</v>
      </c>
      <c r="J43" s="16" t="str">
        <f aca="false">IF(ISNUMBER(F43),F43*(1-G43),"")</f>
        <v/>
      </c>
      <c r="K43" s="16" t="str">
        <f aca="false">IF(ISNUMBER(H43),H43*(1+I43),"")</f>
        <v/>
      </c>
      <c r="L43" s="16" t="str">
        <f aca="false">IF(AND(ISNUMBER(J43),ISNUMBER(K43),K43&gt;0),J43/K43,"")</f>
        <v/>
      </c>
      <c r="M43" s="14" t="str">
        <f aca="false">IF(AND(ISNUMBER(F43),ISNUMBER(H43),H43&gt;0),(F43/H43-1)/(F43/H43+1),"")</f>
        <v/>
      </c>
      <c r="N43" s="15" t="str">
        <f aca="false">IF(AND(ISNUMBER(F43),ISNUMBER(H43)) ,"BOUNDED","UNBOUNDED")</f>
        <v>UNBOUNDED</v>
      </c>
      <c r="O43" s="15" t="str">
        <f aca="false">IF(N43="UNBOUNDED","HOLD",IF(L43&gt;=Inputs!$B$9,"CLOSE","FAIL"))</f>
        <v>HOLD</v>
      </c>
    </row>
    <row r="44" customFormat="false" ht="15" hidden="false" customHeight="false" outlineLevel="0" collapsed="false">
      <c r="A44" s="11" t="s">
        <v>171</v>
      </c>
      <c r="B44" s="11" t="s">
        <v>10</v>
      </c>
      <c r="C44" s="11" t="s">
        <v>148</v>
      </c>
      <c r="D44" s="11" t="s">
        <v>126</v>
      </c>
      <c r="E44" s="11" t="s">
        <v>149</v>
      </c>
      <c r="F44" s="16"/>
      <c r="G44" s="17" t="n">
        <f aca="false">Inputs!$B$7</f>
        <v>0.025</v>
      </c>
      <c r="H44" s="16"/>
      <c r="I44" s="17" t="n">
        <f aca="false">Inputs!$B$8</f>
        <v>0.025</v>
      </c>
      <c r="J44" s="16" t="str">
        <f aca="false">IF(ISNUMBER(F44),F44*(1-G44),"")</f>
        <v/>
      </c>
      <c r="K44" s="16" t="str">
        <f aca="false">IF(ISNUMBER(H44),H44*(1+I44),"")</f>
        <v/>
      </c>
      <c r="L44" s="16" t="str">
        <f aca="false">IF(AND(ISNUMBER(J44),ISNUMBER(K44),K44&gt;0),J44/K44,"")</f>
        <v/>
      </c>
      <c r="M44" s="14" t="str">
        <f aca="false">IF(AND(ISNUMBER(F44),ISNUMBER(H44),H44&gt;0),(F44/H44-1)/(F44/H44+1),"")</f>
        <v/>
      </c>
      <c r="N44" s="15" t="str">
        <f aca="false">IF(AND(ISNUMBER(F44),ISNUMBER(H44)) ,"BOUNDED","UNBOUNDED")</f>
        <v>UNBOUNDED</v>
      </c>
      <c r="O44" s="15" t="str">
        <f aca="false">IF(N44="UNBOUNDED","HOLD",IF(L44&gt;=Inputs!$B$9,"CLOSE","FAIL"))</f>
        <v>HOLD</v>
      </c>
    </row>
    <row r="45" customFormat="false" ht="15" hidden="false" customHeight="false" outlineLevel="0" collapsed="false">
      <c r="A45" s="11" t="s">
        <v>172</v>
      </c>
      <c r="B45" s="11" t="s">
        <v>10</v>
      </c>
      <c r="C45" s="11" t="s">
        <v>148</v>
      </c>
      <c r="D45" s="11" t="s">
        <v>128</v>
      </c>
      <c r="E45" s="11" t="s">
        <v>149</v>
      </c>
      <c r="F45" s="16"/>
      <c r="G45" s="17" t="n">
        <f aca="false">Inputs!$B$7</f>
        <v>0.025</v>
      </c>
      <c r="H45" s="16"/>
      <c r="I45" s="17" t="n">
        <f aca="false">Inputs!$B$8</f>
        <v>0.025</v>
      </c>
      <c r="J45" s="16" t="str">
        <f aca="false">IF(ISNUMBER(F45),F45*(1-G45),"")</f>
        <v/>
      </c>
      <c r="K45" s="16" t="str">
        <f aca="false">IF(ISNUMBER(H45),H45*(1+I45),"")</f>
        <v/>
      </c>
      <c r="L45" s="16" t="str">
        <f aca="false">IF(AND(ISNUMBER(J45),ISNUMBER(K45),K45&gt;0),J45/K45,"")</f>
        <v/>
      </c>
      <c r="M45" s="14" t="str">
        <f aca="false">IF(AND(ISNUMBER(F45),ISNUMBER(H45),H45&gt;0),(F45/H45-1)/(F45/H45+1),"")</f>
        <v/>
      </c>
      <c r="N45" s="15" t="str">
        <f aca="false">IF(AND(ISNUMBER(F45),ISNUMBER(H45)) ,"BOUNDED","UNBOUNDED")</f>
        <v>UNBOUNDED</v>
      </c>
      <c r="O45" s="15" t="str">
        <f aca="false">IF(N45="UNBOUNDED","HOLD",IF(L45&gt;=Inputs!$B$9,"CLOSE","FAIL"))</f>
        <v>HOLD</v>
      </c>
    </row>
    <row r="46" customFormat="false" ht="15" hidden="false" customHeight="false" outlineLevel="0" collapsed="false">
      <c r="A46" s="11" t="s">
        <v>173</v>
      </c>
      <c r="B46" s="11" t="s">
        <v>10</v>
      </c>
      <c r="C46" s="11" t="s">
        <v>148</v>
      </c>
      <c r="D46" s="11" t="s">
        <v>130</v>
      </c>
      <c r="E46" s="11" t="s">
        <v>149</v>
      </c>
      <c r="F46" s="16"/>
      <c r="G46" s="17" t="n">
        <f aca="false">Inputs!$B$7</f>
        <v>0.025</v>
      </c>
      <c r="H46" s="16"/>
      <c r="I46" s="17" t="n">
        <f aca="false">Inputs!$B$8</f>
        <v>0.025</v>
      </c>
      <c r="J46" s="16" t="str">
        <f aca="false">IF(ISNUMBER(F46),F46*(1-G46),"")</f>
        <v/>
      </c>
      <c r="K46" s="16" t="str">
        <f aca="false">IF(ISNUMBER(H46),H46*(1+I46),"")</f>
        <v/>
      </c>
      <c r="L46" s="16" t="str">
        <f aca="false">IF(AND(ISNUMBER(J46),ISNUMBER(K46),K46&gt;0),J46/K46,"")</f>
        <v/>
      </c>
      <c r="M46" s="14" t="str">
        <f aca="false">IF(AND(ISNUMBER(F46),ISNUMBER(H46),H46&gt;0),(F46/H46-1)/(F46/H46+1),"")</f>
        <v/>
      </c>
      <c r="N46" s="15" t="str">
        <f aca="false">IF(AND(ISNUMBER(F46),ISNUMBER(H46)) ,"BOUNDED","UNBOUNDED")</f>
        <v>UNBOUNDED</v>
      </c>
      <c r="O46" s="15" t="str">
        <f aca="false">IF(N46="UNBOUNDED","HOLD",IF(L46&gt;=Inputs!$B$9,"CLOSE","FAIL"))</f>
        <v>HOLD</v>
      </c>
    </row>
    <row r="47" customFormat="false" ht="15" hidden="false" customHeight="false" outlineLevel="0" collapsed="false">
      <c r="A47" s="11" t="s">
        <v>174</v>
      </c>
      <c r="B47" s="11" t="s">
        <v>13</v>
      </c>
      <c r="C47" s="11" t="s">
        <v>26</v>
      </c>
      <c r="D47" s="11" t="s">
        <v>123</v>
      </c>
      <c r="E47" s="11" t="s">
        <v>175</v>
      </c>
      <c r="F47" s="16" t="n">
        <f aca="false">'Source Inputs'!H15</f>
        <v>132.5</v>
      </c>
      <c r="G47" s="17" t="n">
        <f aca="false">Inputs!$B$7</f>
        <v>0.025</v>
      </c>
      <c r="H47" s="16" t="n">
        <f aca="false">'Source Inputs'!I15</f>
        <v>103</v>
      </c>
      <c r="I47" s="17" t="n">
        <f aca="false">Inputs!$B$8</f>
        <v>0.025</v>
      </c>
      <c r="J47" s="16" t="n">
        <f aca="false">IF(ISNUMBER(F47),F47*(1-G47),"")</f>
        <v>129.1875</v>
      </c>
      <c r="K47" s="16" t="n">
        <f aca="false">IF(ISNUMBER(H47),H47*(1+I47),"")</f>
        <v>105.575</v>
      </c>
      <c r="L47" s="16" t="n">
        <f aca="false">IF(AND(ISNUMBER(J47),ISNUMBER(K47),K47&gt;0),J47/K47,"")</f>
        <v>1.22365616860052</v>
      </c>
      <c r="M47" s="14" t="n">
        <f aca="false">IF(AND(ISNUMBER(F47),ISNUMBER(H47),H47&gt;0),(F47/H47-1)/(F47/H47+1),"")</f>
        <v>0.125265392781316</v>
      </c>
      <c r="N47" s="15" t="str">
        <f aca="false">IF(AND(ISNUMBER(F47),ISNUMBER(H47)) ,"BOUNDED","UNBOUNDED")</f>
        <v>BOUNDED</v>
      </c>
      <c r="O47" s="15" t="str">
        <f aca="false">IF(N47="UNBOUNDED","HOLD",IF(L47&gt;=Inputs!$B$9,"CLOSE","FAIL"))</f>
        <v>CLOSE</v>
      </c>
    </row>
    <row r="48" customFormat="false" ht="15" hidden="false" customHeight="false" outlineLevel="0" collapsed="false">
      <c r="A48" s="11" t="s">
        <v>176</v>
      </c>
      <c r="B48" s="11" t="s">
        <v>13</v>
      </c>
      <c r="C48" s="11" t="s">
        <v>26</v>
      </c>
      <c r="D48" s="11" t="s">
        <v>126</v>
      </c>
      <c r="E48" s="11" t="s">
        <v>175</v>
      </c>
      <c r="F48" s="16" t="n">
        <f aca="false">'Source Inputs'!J15</f>
        <v>106</v>
      </c>
      <c r="G48" s="17" t="n">
        <f aca="false">Inputs!$B$7</f>
        <v>0.025</v>
      </c>
      <c r="H48" s="16" t="n">
        <f aca="false">'Source Inputs'!K15</f>
        <v>103</v>
      </c>
      <c r="I48" s="17" t="n">
        <f aca="false">Inputs!$B$8</f>
        <v>0.025</v>
      </c>
      <c r="J48" s="16" t="n">
        <f aca="false">IF(ISNUMBER(F48),F48*(1-G48),"")</f>
        <v>103.35</v>
      </c>
      <c r="K48" s="16" t="n">
        <f aca="false">IF(ISNUMBER(H48),H48*(1+I48),"")</f>
        <v>105.575</v>
      </c>
      <c r="L48" s="16" t="n">
        <f aca="false">IF(AND(ISNUMBER(J48),ISNUMBER(K48),K48&gt;0),J48/K48,"")</f>
        <v>0.978924934880417</v>
      </c>
      <c r="M48" s="14" t="n">
        <f aca="false">IF(AND(ISNUMBER(F48),ISNUMBER(H48),H48&gt;0),(F48/H48-1)/(F48/H48+1),"")</f>
        <v>0.0143540669856459</v>
      </c>
      <c r="N48" s="15" t="str">
        <f aca="false">IF(AND(ISNUMBER(F48),ISNUMBER(H48)) ,"BOUNDED","UNBOUNDED")</f>
        <v>BOUNDED</v>
      </c>
      <c r="O48" s="15" t="str">
        <f aca="false">IF(N48="UNBOUNDED","HOLD",IF(L48&gt;=Inputs!$B$9,"CLOSE","FAIL"))</f>
        <v>FAIL</v>
      </c>
    </row>
    <row r="49" customFormat="false" ht="15" hidden="false" customHeight="false" outlineLevel="0" collapsed="false">
      <c r="A49" s="11" t="s">
        <v>177</v>
      </c>
      <c r="B49" s="11" t="s">
        <v>13</v>
      </c>
      <c r="C49" s="11" t="s">
        <v>26</v>
      </c>
      <c r="D49" s="11" t="s">
        <v>128</v>
      </c>
      <c r="E49" s="11" t="s">
        <v>175</v>
      </c>
      <c r="F49" s="16"/>
      <c r="G49" s="17" t="n">
        <f aca="false">Inputs!$B$7</f>
        <v>0.025</v>
      </c>
      <c r="H49" s="16" t="n">
        <f aca="false">'Source Inputs'!I15</f>
        <v>103</v>
      </c>
      <c r="I49" s="17" t="n">
        <f aca="false">Inputs!$B$8</f>
        <v>0.025</v>
      </c>
      <c r="J49" s="16" t="str">
        <f aca="false">IF(ISNUMBER(F49),F49*(1-G49),"")</f>
        <v/>
      </c>
      <c r="K49" s="16" t="n">
        <f aca="false">IF(ISNUMBER(H49),H49*(1+I49),"")</f>
        <v>105.575</v>
      </c>
      <c r="L49" s="16" t="str">
        <f aca="false">IF(AND(ISNUMBER(J49),ISNUMBER(K49),K49&gt;0),J49/K49,"")</f>
        <v/>
      </c>
      <c r="M49" s="14" t="str">
        <f aca="false">IF(AND(ISNUMBER(F49),ISNUMBER(H49),H49&gt;0),(F49/H49-1)/(F49/H49+1),"")</f>
        <v/>
      </c>
      <c r="N49" s="15" t="str">
        <f aca="false">IF(AND(ISNUMBER(F49),ISNUMBER(H49)) ,"BOUNDED","UNBOUNDED")</f>
        <v>UNBOUNDED</v>
      </c>
      <c r="O49" s="15" t="str">
        <f aca="false">IF(N49="UNBOUNDED","HOLD",IF(L49&gt;=Inputs!$B$9,"CLOSE","FAIL"))</f>
        <v>HOLD</v>
      </c>
    </row>
    <row r="50" customFormat="false" ht="15" hidden="false" customHeight="false" outlineLevel="0" collapsed="false">
      <c r="A50" s="11" t="s">
        <v>178</v>
      </c>
      <c r="B50" s="11" t="s">
        <v>13</v>
      </c>
      <c r="C50" s="11" t="s">
        <v>26</v>
      </c>
      <c r="D50" s="11" t="s">
        <v>130</v>
      </c>
      <c r="E50" s="11" t="s">
        <v>175</v>
      </c>
      <c r="F50" s="16"/>
      <c r="G50" s="17" t="n">
        <f aca="false">Inputs!$B$7</f>
        <v>0.025</v>
      </c>
      <c r="H50" s="16" t="n">
        <f aca="false">'Source Inputs'!I15</f>
        <v>103</v>
      </c>
      <c r="I50" s="17" t="n">
        <f aca="false">Inputs!$B$8</f>
        <v>0.025</v>
      </c>
      <c r="J50" s="16" t="str">
        <f aca="false">IF(ISNUMBER(F50),F50*(1-G50),"")</f>
        <v/>
      </c>
      <c r="K50" s="16" t="n">
        <f aca="false">IF(ISNUMBER(H50),H50*(1+I50),"")</f>
        <v>105.575</v>
      </c>
      <c r="L50" s="16" t="str">
        <f aca="false">IF(AND(ISNUMBER(J50),ISNUMBER(K50),K50&gt;0),J50/K50,"")</f>
        <v/>
      </c>
      <c r="M50" s="14" t="str">
        <f aca="false">IF(AND(ISNUMBER(F50),ISNUMBER(H50),H50&gt;0),(F50/H50-1)/(F50/H50+1),"")</f>
        <v/>
      </c>
      <c r="N50" s="15" t="str">
        <f aca="false">IF(AND(ISNUMBER(F50),ISNUMBER(H50)) ,"BOUNDED","UNBOUNDED")</f>
        <v>UNBOUNDED</v>
      </c>
      <c r="O50" s="15" t="str">
        <f aca="false">IF(N50="UNBOUNDED","HOLD",IF(L50&gt;=Inputs!$B$9,"CLOSE","FAIL"))</f>
        <v>HOLD</v>
      </c>
    </row>
    <row r="51" customFormat="false" ht="15" hidden="false" customHeight="false" outlineLevel="0" collapsed="false">
      <c r="A51" s="11" t="s">
        <v>179</v>
      </c>
      <c r="B51" s="11" t="s">
        <v>13</v>
      </c>
      <c r="C51" s="11" t="s">
        <v>34</v>
      </c>
      <c r="D51" s="11" t="s">
        <v>123</v>
      </c>
      <c r="E51" s="11" t="s">
        <v>132</v>
      </c>
      <c r="F51" s="16" t="n">
        <f aca="false">'Source Inputs'!H16</f>
        <v>63000</v>
      </c>
      <c r="G51" s="17" t="n">
        <f aca="false">Inputs!$B$7</f>
        <v>0.025</v>
      </c>
      <c r="H51" s="16" t="n">
        <f aca="false">'Source Inputs'!I16</f>
        <v>54000</v>
      </c>
      <c r="I51" s="17" t="n">
        <f aca="false">Inputs!$B$8</f>
        <v>0.025</v>
      </c>
      <c r="J51" s="16" t="n">
        <f aca="false">IF(ISNUMBER(F51),F51*(1-G51),"")</f>
        <v>61425</v>
      </c>
      <c r="K51" s="16" t="n">
        <f aca="false">IF(ISNUMBER(H51),H51*(1+I51),"")</f>
        <v>55350</v>
      </c>
      <c r="L51" s="16" t="n">
        <f aca="false">IF(AND(ISNUMBER(J51),ISNUMBER(K51),K51&gt;0),J51/K51,"")</f>
        <v>1.10975609756098</v>
      </c>
      <c r="M51" s="14" t="n">
        <f aca="false">IF(AND(ISNUMBER(F51),ISNUMBER(H51),H51&gt;0),(F51/H51-1)/(F51/H51+1),"")</f>
        <v>0.0769230769230769</v>
      </c>
      <c r="N51" s="15" t="str">
        <f aca="false">IF(AND(ISNUMBER(F51),ISNUMBER(H51)) ,"BOUNDED","UNBOUNDED")</f>
        <v>BOUNDED</v>
      </c>
      <c r="O51" s="15" t="str">
        <f aca="false">IF(N51="UNBOUNDED","HOLD",IF(L51&gt;=Inputs!$B$9,"CLOSE","FAIL"))</f>
        <v>CLOSE</v>
      </c>
    </row>
    <row r="52" customFormat="false" ht="15" hidden="false" customHeight="false" outlineLevel="0" collapsed="false">
      <c r="A52" s="11" t="s">
        <v>180</v>
      </c>
      <c r="B52" s="11" t="s">
        <v>13</v>
      </c>
      <c r="C52" s="11" t="s">
        <v>34</v>
      </c>
      <c r="D52" s="11" t="s">
        <v>126</v>
      </c>
      <c r="E52" s="11" t="s">
        <v>132</v>
      </c>
      <c r="F52" s="16" t="n">
        <f aca="false">'Source Inputs'!J16</f>
        <v>56700</v>
      </c>
      <c r="G52" s="17" t="n">
        <f aca="false">Inputs!$B$7</f>
        <v>0.025</v>
      </c>
      <c r="H52" s="16" t="n">
        <f aca="false">'Source Inputs'!K16</f>
        <v>54000</v>
      </c>
      <c r="I52" s="17" t="n">
        <f aca="false">Inputs!$B$8</f>
        <v>0.025</v>
      </c>
      <c r="J52" s="16" t="n">
        <f aca="false">IF(ISNUMBER(F52),F52*(1-G52),"")</f>
        <v>55282.5</v>
      </c>
      <c r="K52" s="16" t="n">
        <f aca="false">IF(ISNUMBER(H52),H52*(1+I52),"")</f>
        <v>55350</v>
      </c>
      <c r="L52" s="16" t="n">
        <f aca="false">IF(AND(ISNUMBER(J52),ISNUMBER(K52),K52&gt;0),J52/K52,"")</f>
        <v>0.998780487804878</v>
      </c>
      <c r="M52" s="14" t="n">
        <f aca="false">IF(AND(ISNUMBER(F52),ISNUMBER(H52),H52&gt;0),(F52/H52-1)/(F52/H52+1),"")</f>
        <v>0.0243902439024391</v>
      </c>
      <c r="N52" s="15" t="str">
        <f aca="false">IF(AND(ISNUMBER(F52),ISNUMBER(H52)) ,"BOUNDED","UNBOUNDED")</f>
        <v>BOUNDED</v>
      </c>
      <c r="O52" s="15" t="str">
        <f aca="false">IF(N52="UNBOUNDED","HOLD",IF(L52&gt;=Inputs!$B$9,"CLOSE","FAIL"))</f>
        <v>FAIL</v>
      </c>
    </row>
    <row r="53" customFormat="false" ht="15" hidden="false" customHeight="false" outlineLevel="0" collapsed="false">
      <c r="A53" s="11" t="s">
        <v>181</v>
      </c>
      <c r="B53" s="11" t="s">
        <v>13</v>
      </c>
      <c r="C53" s="11" t="s">
        <v>34</v>
      </c>
      <c r="D53" s="11" t="s">
        <v>128</v>
      </c>
      <c r="E53" s="11" t="s">
        <v>132</v>
      </c>
      <c r="F53" s="16"/>
      <c r="G53" s="17" t="n">
        <f aca="false">Inputs!$B$7</f>
        <v>0.025</v>
      </c>
      <c r="H53" s="16" t="n">
        <f aca="false">'Source Inputs'!I16</f>
        <v>54000</v>
      </c>
      <c r="I53" s="17" t="n">
        <f aca="false">Inputs!$B$8</f>
        <v>0.025</v>
      </c>
      <c r="J53" s="16" t="str">
        <f aca="false">IF(ISNUMBER(F53),F53*(1-G53),"")</f>
        <v/>
      </c>
      <c r="K53" s="16" t="n">
        <f aca="false">IF(ISNUMBER(H53),H53*(1+I53),"")</f>
        <v>55350</v>
      </c>
      <c r="L53" s="16" t="str">
        <f aca="false">IF(AND(ISNUMBER(J53),ISNUMBER(K53),K53&gt;0),J53/K53,"")</f>
        <v/>
      </c>
      <c r="M53" s="14" t="str">
        <f aca="false">IF(AND(ISNUMBER(F53),ISNUMBER(H53),H53&gt;0),(F53/H53-1)/(F53/H53+1),"")</f>
        <v/>
      </c>
      <c r="N53" s="15" t="str">
        <f aca="false">IF(AND(ISNUMBER(F53),ISNUMBER(H53)) ,"BOUNDED","UNBOUNDED")</f>
        <v>UNBOUNDED</v>
      </c>
      <c r="O53" s="15" t="str">
        <f aca="false">IF(N53="UNBOUNDED","HOLD",IF(L53&gt;=Inputs!$B$9,"CLOSE","FAIL"))</f>
        <v>HOLD</v>
      </c>
    </row>
    <row r="54" customFormat="false" ht="15" hidden="false" customHeight="false" outlineLevel="0" collapsed="false">
      <c r="A54" s="11" t="s">
        <v>182</v>
      </c>
      <c r="B54" s="11" t="s">
        <v>13</v>
      </c>
      <c r="C54" s="11" t="s">
        <v>34</v>
      </c>
      <c r="D54" s="11" t="s">
        <v>130</v>
      </c>
      <c r="E54" s="11" t="s">
        <v>132</v>
      </c>
      <c r="F54" s="16"/>
      <c r="G54" s="17" t="n">
        <f aca="false">Inputs!$B$7</f>
        <v>0.025</v>
      </c>
      <c r="H54" s="16" t="n">
        <f aca="false">'Source Inputs'!I16</f>
        <v>54000</v>
      </c>
      <c r="I54" s="17" t="n">
        <f aca="false">Inputs!$B$8</f>
        <v>0.025</v>
      </c>
      <c r="J54" s="16" t="str">
        <f aca="false">IF(ISNUMBER(F54),F54*(1-G54),"")</f>
        <v/>
      </c>
      <c r="K54" s="16" t="n">
        <f aca="false">IF(ISNUMBER(H54),H54*(1+I54),"")</f>
        <v>55350</v>
      </c>
      <c r="L54" s="16" t="str">
        <f aca="false">IF(AND(ISNUMBER(J54),ISNUMBER(K54),K54&gt;0),J54/K54,"")</f>
        <v/>
      </c>
      <c r="M54" s="14" t="str">
        <f aca="false">IF(AND(ISNUMBER(F54),ISNUMBER(H54),H54&gt;0),(F54/H54-1)/(F54/H54+1),"")</f>
        <v/>
      </c>
      <c r="N54" s="15" t="str">
        <f aca="false">IF(AND(ISNUMBER(F54),ISNUMBER(H54)) ,"BOUNDED","UNBOUNDED")</f>
        <v>UNBOUNDED</v>
      </c>
      <c r="O54" s="15" t="str">
        <f aca="false">IF(N54="UNBOUNDED","HOLD",IF(L54&gt;=Inputs!$B$9,"CLOSE","FAIL"))</f>
        <v>HOLD</v>
      </c>
    </row>
    <row r="55" customFormat="false" ht="15" hidden="false" customHeight="false" outlineLevel="0" collapsed="false">
      <c r="A55" s="11" t="s">
        <v>183</v>
      </c>
      <c r="B55" s="11" t="s">
        <v>13</v>
      </c>
      <c r="C55" s="11" t="s">
        <v>29</v>
      </c>
      <c r="D55" s="11" t="s">
        <v>123</v>
      </c>
      <c r="E55" s="11" t="s">
        <v>137</v>
      </c>
      <c r="F55" s="16" t="n">
        <f aca="false">'Source Inputs'!H17</f>
        <v>164.8</v>
      </c>
      <c r="G55" s="17" t="n">
        <f aca="false">Inputs!$B$7</f>
        <v>0.025</v>
      </c>
      <c r="H55" s="16" t="n">
        <f aca="false">'Source Inputs'!I17</f>
        <v>140</v>
      </c>
      <c r="I55" s="17" t="n">
        <f aca="false">Inputs!$B$8</f>
        <v>0.025</v>
      </c>
      <c r="J55" s="16" t="n">
        <f aca="false">IF(ISNUMBER(F55),F55*(1-G55),"")</f>
        <v>160.68</v>
      </c>
      <c r="K55" s="16" t="n">
        <f aca="false">IF(ISNUMBER(H55),H55*(1+I55),"")</f>
        <v>143.5</v>
      </c>
      <c r="L55" s="16" t="n">
        <f aca="false">IF(AND(ISNUMBER(J55),ISNUMBER(K55),K55&gt;0),J55/K55,"")</f>
        <v>1.1197212543554</v>
      </c>
      <c r="M55" s="14" t="n">
        <f aca="false">IF(AND(ISNUMBER(F55),ISNUMBER(H55),H55&gt;0),(F55/H55-1)/(F55/H55+1),"")</f>
        <v>0.0813648293963255</v>
      </c>
      <c r="N55" s="15" t="str">
        <f aca="false">IF(AND(ISNUMBER(F55),ISNUMBER(H55)) ,"BOUNDED","UNBOUNDED")</f>
        <v>BOUNDED</v>
      </c>
      <c r="O55" s="15" t="str">
        <f aca="false">IF(N55="UNBOUNDED","HOLD",IF(L55&gt;=Inputs!$B$9,"CLOSE","FAIL"))</f>
        <v>CLOSE</v>
      </c>
    </row>
    <row r="56" customFormat="false" ht="15" hidden="false" customHeight="false" outlineLevel="0" collapsed="false">
      <c r="A56" s="11" t="s">
        <v>184</v>
      </c>
      <c r="B56" s="11" t="s">
        <v>13</v>
      </c>
      <c r="C56" s="11" t="s">
        <v>29</v>
      </c>
      <c r="D56" s="11" t="s">
        <v>126</v>
      </c>
      <c r="E56" s="11" t="s">
        <v>137</v>
      </c>
      <c r="F56" s="16" t="n">
        <f aca="false">'Source Inputs'!J17</f>
        <v>144.2</v>
      </c>
      <c r="G56" s="17" t="n">
        <f aca="false">Inputs!$B$7</f>
        <v>0.025</v>
      </c>
      <c r="H56" s="16" t="n">
        <f aca="false">'Source Inputs'!K17</f>
        <v>140</v>
      </c>
      <c r="I56" s="17" t="n">
        <f aca="false">Inputs!$B$8</f>
        <v>0.025</v>
      </c>
      <c r="J56" s="16" t="n">
        <f aca="false">IF(ISNUMBER(F56),F56*(1-G56),"")</f>
        <v>140.595</v>
      </c>
      <c r="K56" s="16" t="n">
        <f aca="false">IF(ISNUMBER(H56),H56*(1+I56),"")</f>
        <v>143.5</v>
      </c>
      <c r="L56" s="16" t="n">
        <f aca="false">IF(AND(ISNUMBER(J56),ISNUMBER(K56),K56&gt;0),J56/K56,"")</f>
        <v>0.979756097560976</v>
      </c>
      <c r="M56" s="14" t="n">
        <f aca="false">IF(AND(ISNUMBER(F56),ISNUMBER(H56),H56&gt;0),(F56/H56-1)/(F56/H56+1),"")</f>
        <v>0.0147783251231527</v>
      </c>
      <c r="N56" s="15" t="str">
        <f aca="false">IF(AND(ISNUMBER(F56),ISNUMBER(H56)) ,"BOUNDED","UNBOUNDED")</f>
        <v>BOUNDED</v>
      </c>
      <c r="O56" s="15" t="str">
        <f aca="false">IF(N56="UNBOUNDED","HOLD",IF(L56&gt;=Inputs!$B$9,"CLOSE","FAIL"))</f>
        <v>FAIL</v>
      </c>
    </row>
    <row r="57" customFormat="false" ht="15" hidden="false" customHeight="false" outlineLevel="0" collapsed="false">
      <c r="A57" s="11" t="s">
        <v>185</v>
      </c>
      <c r="B57" s="11" t="s">
        <v>13</v>
      </c>
      <c r="C57" s="11" t="s">
        <v>29</v>
      </c>
      <c r="D57" s="11" t="s">
        <v>128</v>
      </c>
      <c r="E57" s="11" t="s">
        <v>137</v>
      </c>
      <c r="F57" s="16"/>
      <c r="G57" s="17" t="n">
        <f aca="false">Inputs!$B$7</f>
        <v>0.025</v>
      </c>
      <c r="H57" s="16" t="n">
        <f aca="false">'Source Inputs'!I17</f>
        <v>140</v>
      </c>
      <c r="I57" s="17" t="n">
        <f aca="false">Inputs!$B$8</f>
        <v>0.025</v>
      </c>
      <c r="J57" s="16" t="str">
        <f aca="false">IF(ISNUMBER(F57),F57*(1-G57),"")</f>
        <v/>
      </c>
      <c r="K57" s="16" t="n">
        <f aca="false">IF(ISNUMBER(H57),H57*(1+I57),"")</f>
        <v>143.5</v>
      </c>
      <c r="L57" s="16" t="str">
        <f aca="false">IF(AND(ISNUMBER(J57),ISNUMBER(K57),K57&gt;0),J57/K57,"")</f>
        <v/>
      </c>
      <c r="M57" s="14" t="str">
        <f aca="false">IF(AND(ISNUMBER(F57),ISNUMBER(H57),H57&gt;0),(F57/H57-1)/(F57/H57+1),"")</f>
        <v/>
      </c>
      <c r="N57" s="15" t="str">
        <f aca="false">IF(AND(ISNUMBER(F57),ISNUMBER(H57)) ,"BOUNDED","UNBOUNDED")</f>
        <v>UNBOUNDED</v>
      </c>
      <c r="O57" s="15" t="str">
        <f aca="false">IF(N57="UNBOUNDED","HOLD",IF(L57&gt;=Inputs!$B$9,"CLOSE","FAIL"))</f>
        <v>HOLD</v>
      </c>
    </row>
    <row r="58" customFormat="false" ht="15" hidden="false" customHeight="false" outlineLevel="0" collapsed="false">
      <c r="A58" s="11" t="s">
        <v>186</v>
      </c>
      <c r="B58" s="11" t="s">
        <v>13</v>
      </c>
      <c r="C58" s="11" t="s">
        <v>29</v>
      </c>
      <c r="D58" s="11" t="s">
        <v>130</v>
      </c>
      <c r="E58" s="11" t="s">
        <v>137</v>
      </c>
      <c r="F58" s="16"/>
      <c r="G58" s="17" t="n">
        <f aca="false">Inputs!$B$7</f>
        <v>0.025</v>
      </c>
      <c r="H58" s="16" t="n">
        <f aca="false">'Source Inputs'!I17</f>
        <v>140</v>
      </c>
      <c r="I58" s="17" t="n">
        <f aca="false">Inputs!$B$8</f>
        <v>0.025</v>
      </c>
      <c r="J58" s="16" t="str">
        <f aca="false">IF(ISNUMBER(F58),F58*(1-G58),"")</f>
        <v/>
      </c>
      <c r="K58" s="16" t="n">
        <f aca="false">IF(ISNUMBER(H58),H58*(1+I58),"")</f>
        <v>143.5</v>
      </c>
      <c r="L58" s="16" t="str">
        <f aca="false">IF(AND(ISNUMBER(J58),ISNUMBER(K58),K58&gt;0),J58/K58,"")</f>
        <v/>
      </c>
      <c r="M58" s="14" t="str">
        <f aca="false">IF(AND(ISNUMBER(F58),ISNUMBER(H58),H58&gt;0),(F58/H58-1)/(F58/H58+1),"")</f>
        <v/>
      </c>
      <c r="N58" s="15" t="str">
        <f aca="false">IF(AND(ISNUMBER(F58),ISNUMBER(H58)) ,"BOUNDED","UNBOUNDED")</f>
        <v>UNBOUNDED</v>
      </c>
      <c r="O58" s="15" t="str">
        <f aca="false">IF(N58="UNBOUNDED","HOLD",IF(L58&gt;=Inputs!$B$9,"CLOSE","FAIL"))</f>
        <v>HOLD</v>
      </c>
    </row>
    <row r="59" customFormat="false" ht="15" hidden="false" customHeight="false" outlineLevel="0" collapsed="false">
      <c r="A59" s="11" t="s">
        <v>187</v>
      </c>
      <c r="B59" s="11" t="s">
        <v>13</v>
      </c>
      <c r="C59" s="11" t="s">
        <v>142</v>
      </c>
      <c r="D59" s="11" t="s">
        <v>123</v>
      </c>
      <c r="E59" s="11" t="s">
        <v>143</v>
      </c>
      <c r="F59" s="16" t="n">
        <f aca="false">'Source Inputs'!H18</f>
        <v>1134</v>
      </c>
      <c r="G59" s="17" t="n">
        <f aca="false">Inputs!$B$7</f>
        <v>0.025</v>
      </c>
      <c r="H59" s="16" t="n">
        <f aca="false">'Source Inputs'!I18</f>
        <v>900</v>
      </c>
      <c r="I59" s="17" t="n">
        <f aca="false">Inputs!$B$8</f>
        <v>0.025</v>
      </c>
      <c r="J59" s="16" t="n">
        <f aca="false">IF(ISNUMBER(F59),F59*(1-G59),"")</f>
        <v>1105.65</v>
      </c>
      <c r="K59" s="16" t="n">
        <f aca="false">IF(ISNUMBER(H59),H59*(1+I59),"")</f>
        <v>922.5</v>
      </c>
      <c r="L59" s="16" t="n">
        <f aca="false">IF(AND(ISNUMBER(J59),ISNUMBER(K59),K59&gt;0),J59/K59,"")</f>
        <v>1.19853658536585</v>
      </c>
      <c r="M59" s="14" t="n">
        <f aca="false">IF(AND(ISNUMBER(F59),ISNUMBER(H59),H59&gt;0),(F59/H59-1)/(F59/H59+1),"")</f>
        <v>0.115044247787611</v>
      </c>
      <c r="N59" s="15" t="str">
        <f aca="false">IF(AND(ISNUMBER(F59),ISNUMBER(H59)) ,"BOUNDED","UNBOUNDED")</f>
        <v>BOUNDED</v>
      </c>
      <c r="O59" s="15" t="str">
        <f aca="false">IF(N59="UNBOUNDED","HOLD",IF(L59&gt;=Inputs!$B$9,"CLOSE","FAIL"))</f>
        <v>CLOSE</v>
      </c>
    </row>
    <row r="60" customFormat="false" ht="15" hidden="false" customHeight="false" outlineLevel="0" collapsed="false">
      <c r="A60" s="11" t="s">
        <v>188</v>
      </c>
      <c r="B60" s="11" t="s">
        <v>13</v>
      </c>
      <c r="C60" s="11" t="s">
        <v>142</v>
      </c>
      <c r="D60" s="11" t="s">
        <v>126</v>
      </c>
      <c r="E60" s="11" t="s">
        <v>143</v>
      </c>
      <c r="F60" s="16" t="n">
        <f aca="false">'Source Inputs'!J18</f>
        <v>945</v>
      </c>
      <c r="G60" s="17" t="n">
        <f aca="false">Inputs!$B$7</f>
        <v>0.025</v>
      </c>
      <c r="H60" s="16" t="n">
        <f aca="false">'Source Inputs'!K18</f>
        <v>900</v>
      </c>
      <c r="I60" s="17" t="n">
        <f aca="false">Inputs!$B$8</f>
        <v>0.025</v>
      </c>
      <c r="J60" s="16" t="n">
        <f aca="false">IF(ISNUMBER(F60),F60*(1-G60),"")</f>
        <v>921.375</v>
      </c>
      <c r="K60" s="16" t="n">
        <f aca="false">IF(ISNUMBER(H60),H60*(1+I60),"")</f>
        <v>922.5</v>
      </c>
      <c r="L60" s="16" t="n">
        <f aca="false">IF(AND(ISNUMBER(J60),ISNUMBER(K60),K60&gt;0),J60/K60,"")</f>
        <v>0.998780487804878</v>
      </c>
      <c r="M60" s="14" t="n">
        <f aca="false">IF(AND(ISNUMBER(F60),ISNUMBER(H60),H60&gt;0),(F60/H60-1)/(F60/H60+1),"")</f>
        <v>0.0243902439024391</v>
      </c>
      <c r="N60" s="15" t="str">
        <f aca="false">IF(AND(ISNUMBER(F60),ISNUMBER(H60)) ,"BOUNDED","UNBOUNDED")</f>
        <v>BOUNDED</v>
      </c>
      <c r="O60" s="15" t="str">
        <f aca="false">IF(N60="UNBOUNDED","HOLD",IF(L60&gt;=Inputs!$B$9,"CLOSE","FAIL"))</f>
        <v>FAIL</v>
      </c>
    </row>
    <row r="61" customFormat="false" ht="15" hidden="false" customHeight="false" outlineLevel="0" collapsed="false">
      <c r="A61" s="11" t="s">
        <v>189</v>
      </c>
      <c r="B61" s="11" t="s">
        <v>13</v>
      </c>
      <c r="C61" s="11" t="s">
        <v>142</v>
      </c>
      <c r="D61" s="11" t="s">
        <v>128</v>
      </c>
      <c r="E61" s="11" t="s">
        <v>143</v>
      </c>
      <c r="F61" s="16"/>
      <c r="G61" s="17" t="n">
        <f aca="false">Inputs!$B$7</f>
        <v>0.025</v>
      </c>
      <c r="H61" s="16" t="n">
        <f aca="false">'Source Inputs'!I18</f>
        <v>900</v>
      </c>
      <c r="I61" s="17" t="n">
        <f aca="false">Inputs!$B$8</f>
        <v>0.025</v>
      </c>
      <c r="J61" s="16" t="str">
        <f aca="false">IF(ISNUMBER(F61),F61*(1-G61),"")</f>
        <v/>
      </c>
      <c r="K61" s="16" t="n">
        <f aca="false">IF(ISNUMBER(H61),H61*(1+I61),"")</f>
        <v>922.5</v>
      </c>
      <c r="L61" s="16" t="str">
        <f aca="false">IF(AND(ISNUMBER(J61),ISNUMBER(K61),K61&gt;0),J61/K61,"")</f>
        <v/>
      </c>
      <c r="M61" s="14" t="str">
        <f aca="false">IF(AND(ISNUMBER(F61),ISNUMBER(H61),H61&gt;0),(F61/H61-1)/(F61/H61+1),"")</f>
        <v/>
      </c>
      <c r="N61" s="15" t="str">
        <f aca="false">IF(AND(ISNUMBER(F61),ISNUMBER(H61)) ,"BOUNDED","UNBOUNDED")</f>
        <v>UNBOUNDED</v>
      </c>
      <c r="O61" s="15" t="str">
        <f aca="false">IF(N61="UNBOUNDED","HOLD",IF(L61&gt;=Inputs!$B$9,"CLOSE","FAIL"))</f>
        <v>HOLD</v>
      </c>
    </row>
    <row r="62" customFormat="false" ht="15" hidden="false" customHeight="false" outlineLevel="0" collapsed="false">
      <c r="A62" s="11" t="s">
        <v>190</v>
      </c>
      <c r="B62" s="11" t="s">
        <v>13</v>
      </c>
      <c r="C62" s="11" t="s">
        <v>142</v>
      </c>
      <c r="D62" s="11" t="s">
        <v>130</v>
      </c>
      <c r="E62" s="11" t="s">
        <v>143</v>
      </c>
      <c r="F62" s="16"/>
      <c r="G62" s="17" t="n">
        <f aca="false">Inputs!$B$7</f>
        <v>0.025</v>
      </c>
      <c r="H62" s="16" t="n">
        <f aca="false">'Source Inputs'!I18</f>
        <v>900</v>
      </c>
      <c r="I62" s="17" t="n">
        <f aca="false">Inputs!$B$8</f>
        <v>0.025</v>
      </c>
      <c r="J62" s="16" t="str">
        <f aca="false">IF(ISNUMBER(F62),F62*(1-G62),"")</f>
        <v/>
      </c>
      <c r="K62" s="16" t="n">
        <f aca="false">IF(ISNUMBER(H62),H62*(1+I62),"")</f>
        <v>922.5</v>
      </c>
      <c r="L62" s="16" t="str">
        <f aca="false">IF(AND(ISNUMBER(J62),ISNUMBER(K62),K62&gt;0),J62/K62,"")</f>
        <v/>
      </c>
      <c r="M62" s="14" t="str">
        <f aca="false">IF(AND(ISNUMBER(F62),ISNUMBER(H62),H62&gt;0),(F62/H62-1)/(F62/H62+1),"")</f>
        <v/>
      </c>
      <c r="N62" s="15" t="str">
        <f aca="false">IF(AND(ISNUMBER(F62),ISNUMBER(H62)) ,"BOUNDED","UNBOUNDED")</f>
        <v>UNBOUNDED</v>
      </c>
      <c r="O62" s="15" t="str">
        <f aca="false">IF(N62="UNBOUNDED","HOLD",IF(L62&gt;=Inputs!$B$9,"CLOSE","FAIL"))</f>
        <v>HOLD</v>
      </c>
    </row>
    <row r="63" customFormat="false" ht="15" hidden="false" customHeight="false" outlineLevel="0" collapsed="false">
      <c r="A63" s="11" t="s">
        <v>191</v>
      </c>
      <c r="B63" s="11" t="s">
        <v>13</v>
      </c>
      <c r="C63" s="11" t="s">
        <v>148</v>
      </c>
      <c r="D63" s="11" t="s">
        <v>123</v>
      </c>
      <c r="E63" s="11" t="s">
        <v>149</v>
      </c>
      <c r="F63" s="16"/>
      <c r="G63" s="17" t="n">
        <f aca="false">Inputs!$B$7</f>
        <v>0.025</v>
      </c>
      <c r="H63" s="16"/>
      <c r="I63" s="17" t="n">
        <f aca="false">Inputs!$B$8</f>
        <v>0.025</v>
      </c>
      <c r="J63" s="16" t="str">
        <f aca="false">IF(ISNUMBER(F63),F63*(1-G63),"")</f>
        <v/>
      </c>
      <c r="K63" s="16" t="str">
        <f aca="false">IF(ISNUMBER(H63),H63*(1+I63),"")</f>
        <v/>
      </c>
      <c r="L63" s="16" t="str">
        <f aca="false">IF(AND(ISNUMBER(J63),ISNUMBER(K63),K63&gt;0),J63/K63,"")</f>
        <v/>
      </c>
      <c r="M63" s="14" t="str">
        <f aca="false">IF(AND(ISNUMBER(F63),ISNUMBER(H63),H63&gt;0),(F63/H63-1)/(F63/H63+1),"")</f>
        <v/>
      </c>
      <c r="N63" s="15" t="str">
        <f aca="false">IF(AND(ISNUMBER(F63),ISNUMBER(H63)) ,"BOUNDED","UNBOUNDED")</f>
        <v>UNBOUNDED</v>
      </c>
      <c r="O63" s="15" t="str">
        <f aca="false">IF(N63="UNBOUNDED","HOLD",IF(L63&gt;=Inputs!$B$9,"CLOSE","FAIL"))</f>
        <v>HOLD</v>
      </c>
    </row>
    <row r="64" customFormat="false" ht="15" hidden="false" customHeight="false" outlineLevel="0" collapsed="false">
      <c r="A64" s="11" t="s">
        <v>192</v>
      </c>
      <c r="B64" s="11" t="s">
        <v>13</v>
      </c>
      <c r="C64" s="11" t="s">
        <v>148</v>
      </c>
      <c r="D64" s="11" t="s">
        <v>126</v>
      </c>
      <c r="E64" s="11" t="s">
        <v>149</v>
      </c>
      <c r="F64" s="16"/>
      <c r="G64" s="17" t="n">
        <f aca="false">Inputs!$B$7</f>
        <v>0.025</v>
      </c>
      <c r="H64" s="16"/>
      <c r="I64" s="17" t="n">
        <f aca="false">Inputs!$B$8</f>
        <v>0.025</v>
      </c>
      <c r="J64" s="16" t="str">
        <f aca="false">IF(ISNUMBER(F64),F64*(1-G64),"")</f>
        <v/>
      </c>
      <c r="K64" s="16" t="str">
        <f aca="false">IF(ISNUMBER(H64),H64*(1+I64),"")</f>
        <v/>
      </c>
      <c r="L64" s="16" t="str">
        <f aca="false">IF(AND(ISNUMBER(J64),ISNUMBER(K64),K64&gt;0),J64/K64,"")</f>
        <v/>
      </c>
      <c r="M64" s="14" t="str">
        <f aca="false">IF(AND(ISNUMBER(F64),ISNUMBER(H64),H64&gt;0),(F64/H64-1)/(F64/H64+1),"")</f>
        <v/>
      </c>
      <c r="N64" s="15" t="str">
        <f aca="false">IF(AND(ISNUMBER(F64),ISNUMBER(H64)) ,"BOUNDED","UNBOUNDED")</f>
        <v>UNBOUNDED</v>
      </c>
      <c r="O64" s="15" t="str">
        <f aca="false">IF(N64="UNBOUNDED","HOLD",IF(L64&gt;=Inputs!$B$9,"CLOSE","FAIL"))</f>
        <v>HOLD</v>
      </c>
    </row>
    <row r="65" customFormat="false" ht="15" hidden="false" customHeight="false" outlineLevel="0" collapsed="false">
      <c r="A65" s="11" t="s">
        <v>193</v>
      </c>
      <c r="B65" s="11" t="s">
        <v>13</v>
      </c>
      <c r="C65" s="11" t="s">
        <v>148</v>
      </c>
      <c r="D65" s="11" t="s">
        <v>128</v>
      </c>
      <c r="E65" s="11" t="s">
        <v>149</v>
      </c>
      <c r="F65" s="16"/>
      <c r="G65" s="17" t="n">
        <f aca="false">Inputs!$B$7</f>
        <v>0.025</v>
      </c>
      <c r="H65" s="16"/>
      <c r="I65" s="17" t="n">
        <f aca="false">Inputs!$B$8</f>
        <v>0.025</v>
      </c>
      <c r="J65" s="16" t="str">
        <f aca="false">IF(ISNUMBER(F65),F65*(1-G65),"")</f>
        <v/>
      </c>
      <c r="K65" s="16" t="str">
        <f aca="false">IF(ISNUMBER(H65),H65*(1+I65),"")</f>
        <v/>
      </c>
      <c r="L65" s="16" t="str">
        <f aca="false">IF(AND(ISNUMBER(J65),ISNUMBER(K65),K65&gt;0),J65/K65,"")</f>
        <v/>
      </c>
      <c r="M65" s="14" t="str">
        <f aca="false">IF(AND(ISNUMBER(F65),ISNUMBER(H65),H65&gt;0),(F65/H65-1)/(F65/H65+1),"")</f>
        <v/>
      </c>
      <c r="N65" s="15" t="str">
        <f aca="false">IF(AND(ISNUMBER(F65),ISNUMBER(H65)) ,"BOUNDED","UNBOUNDED")</f>
        <v>UNBOUNDED</v>
      </c>
      <c r="O65" s="15" t="str">
        <f aca="false">IF(N65="UNBOUNDED","HOLD",IF(L65&gt;=Inputs!$B$9,"CLOSE","FAIL"))</f>
        <v>HOLD</v>
      </c>
    </row>
    <row r="66" customFormat="false" ht="15" hidden="false" customHeight="false" outlineLevel="0" collapsed="false">
      <c r="A66" s="11" t="s">
        <v>194</v>
      </c>
      <c r="B66" s="11" t="s">
        <v>13</v>
      </c>
      <c r="C66" s="11" t="s">
        <v>148</v>
      </c>
      <c r="D66" s="11" t="s">
        <v>130</v>
      </c>
      <c r="E66" s="11" t="s">
        <v>149</v>
      </c>
      <c r="F66" s="16"/>
      <c r="G66" s="17" t="n">
        <f aca="false">Inputs!$B$7</f>
        <v>0.025</v>
      </c>
      <c r="H66" s="16"/>
      <c r="I66" s="17" t="n">
        <f aca="false">Inputs!$B$8</f>
        <v>0.025</v>
      </c>
      <c r="J66" s="16" t="str">
        <f aca="false">IF(ISNUMBER(F66),F66*(1-G66),"")</f>
        <v/>
      </c>
      <c r="K66" s="16" t="str">
        <f aca="false">IF(ISNUMBER(H66),H66*(1+I66),"")</f>
        <v/>
      </c>
      <c r="L66" s="16" t="str">
        <f aca="false">IF(AND(ISNUMBER(J66),ISNUMBER(K66),K66&gt;0),J66/K66,"")</f>
        <v/>
      </c>
      <c r="M66" s="14" t="str">
        <f aca="false">IF(AND(ISNUMBER(F66),ISNUMBER(H66),H66&gt;0),(F66/H66-1)/(F66/H66+1),"")</f>
        <v/>
      </c>
      <c r="N66" s="15" t="str">
        <f aca="false">IF(AND(ISNUMBER(F66),ISNUMBER(H66)) ,"BOUNDED","UNBOUNDED")</f>
        <v>UNBOUNDED</v>
      </c>
      <c r="O66" s="15" t="str">
        <f aca="false">IF(N66="UNBOUNDED","HOLD",IF(L66&gt;=Inputs!$B$9,"CLOSE","FAIL"))</f>
        <v>HOLD</v>
      </c>
    </row>
    <row r="67" customFormat="false" ht="15" hidden="false" customHeight="false" outlineLevel="0" collapsed="false">
      <c r="A67" s="11" t="s">
        <v>195</v>
      </c>
      <c r="B67" s="11" t="s">
        <v>16</v>
      </c>
      <c r="C67" s="11" t="s">
        <v>26</v>
      </c>
      <c r="D67" s="11" t="s">
        <v>123</v>
      </c>
      <c r="E67" s="11" t="s">
        <v>196</v>
      </c>
      <c r="F67" s="16" t="n">
        <f aca="false">'Source Inputs'!H19</f>
        <v>39</v>
      </c>
      <c r="G67" s="17" t="n">
        <f aca="false">Inputs!$B$7</f>
        <v>0.025</v>
      </c>
      <c r="H67" s="16" t="n">
        <f aca="false">'Source Inputs'!I19</f>
        <v>25</v>
      </c>
      <c r="I67" s="17" t="n">
        <f aca="false">Inputs!$B$8</f>
        <v>0.025</v>
      </c>
      <c r="J67" s="16" t="n">
        <f aca="false">IF(ISNUMBER(F67),F67*(1-G67),"")</f>
        <v>38.025</v>
      </c>
      <c r="K67" s="16" t="n">
        <f aca="false">IF(ISNUMBER(H67),H67*(1+I67),"")</f>
        <v>25.625</v>
      </c>
      <c r="L67" s="16" t="n">
        <f aca="false">IF(AND(ISNUMBER(J67),ISNUMBER(K67),K67&gt;0),J67/K67,"")</f>
        <v>1.48390243902439</v>
      </c>
      <c r="M67" s="14" t="n">
        <f aca="false">IF(AND(ISNUMBER(F67),ISNUMBER(H67),H67&gt;0),(F67/H67-1)/(F67/H67+1),"")</f>
        <v>0.21875</v>
      </c>
      <c r="N67" s="15" t="str">
        <f aca="false">IF(AND(ISNUMBER(F67),ISNUMBER(H67)) ,"BOUNDED","UNBOUNDED")</f>
        <v>BOUNDED</v>
      </c>
      <c r="O67" s="15" t="str">
        <f aca="false">IF(N67="UNBOUNDED","HOLD",IF(L67&gt;=Inputs!$B$9,"CLOSE","FAIL"))</f>
        <v>CLOSE</v>
      </c>
    </row>
    <row r="68" customFormat="false" ht="15" hidden="false" customHeight="false" outlineLevel="0" collapsed="false">
      <c r="A68" s="11" t="s">
        <v>197</v>
      </c>
      <c r="B68" s="11" t="s">
        <v>16</v>
      </c>
      <c r="C68" s="11" t="s">
        <v>26</v>
      </c>
      <c r="D68" s="11" t="s">
        <v>126</v>
      </c>
      <c r="E68" s="11" t="s">
        <v>196</v>
      </c>
      <c r="F68" s="16" t="n">
        <f aca="false">'Source Inputs'!J19</f>
        <v>26</v>
      </c>
      <c r="G68" s="17" t="n">
        <f aca="false">Inputs!$B$7</f>
        <v>0.025</v>
      </c>
      <c r="H68" s="16" t="n">
        <f aca="false">'Source Inputs'!K19</f>
        <v>25</v>
      </c>
      <c r="I68" s="17" t="n">
        <f aca="false">Inputs!$B$8</f>
        <v>0.025</v>
      </c>
      <c r="J68" s="16" t="n">
        <f aca="false">IF(ISNUMBER(F68),F68*(1-G68),"")</f>
        <v>25.35</v>
      </c>
      <c r="K68" s="16" t="n">
        <f aca="false">IF(ISNUMBER(H68),H68*(1+I68),"")</f>
        <v>25.625</v>
      </c>
      <c r="L68" s="16" t="n">
        <f aca="false">IF(AND(ISNUMBER(J68),ISNUMBER(K68),K68&gt;0),J68/K68,"")</f>
        <v>0.989268292682927</v>
      </c>
      <c r="M68" s="14" t="n">
        <f aca="false">IF(AND(ISNUMBER(F68),ISNUMBER(H68),H68&gt;0),(F68/H68-1)/(F68/H68+1),"")</f>
        <v>0.0196078431372549</v>
      </c>
      <c r="N68" s="15" t="str">
        <f aca="false">IF(AND(ISNUMBER(F68),ISNUMBER(H68)) ,"BOUNDED","UNBOUNDED")</f>
        <v>BOUNDED</v>
      </c>
      <c r="O68" s="15" t="str">
        <f aca="false">IF(N68="UNBOUNDED","HOLD",IF(L68&gt;=Inputs!$B$9,"CLOSE","FAIL"))</f>
        <v>FAIL</v>
      </c>
    </row>
    <row r="69" customFormat="false" ht="15" hidden="false" customHeight="false" outlineLevel="0" collapsed="false">
      <c r="A69" s="11" t="s">
        <v>198</v>
      </c>
      <c r="B69" s="11" t="s">
        <v>16</v>
      </c>
      <c r="C69" s="11" t="s">
        <v>26</v>
      </c>
      <c r="D69" s="11" t="s">
        <v>128</v>
      </c>
      <c r="E69" s="11" t="s">
        <v>196</v>
      </c>
      <c r="F69" s="16"/>
      <c r="G69" s="17" t="n">
        <f aca="false">Inputs!$B$7</f>
        <v>0.025</v>
      </c>
      <c r="H69" s="16" t="n">
        <f aca="false">'Source Inputs'!I19</f>
        <v>25</v>
      </c>
      <c r="I69" s="17" t="n">
        <f aca="false">Inputs!$B$8</f>
        <v>0.025</v>
      </c>
      <c r="J69" s="16" t="str">
        <f aca="false">IF(ISNUMBER(F69),F69*(1-G69),"")</f>
        <v/>
      </c>
      <c r="K69" s="16" t="n">
        <f aca="false">IF(ISNUMBER(H69),H69*(1+I69),"")</f>
        <v>25.625</v>
      </c>
      <c r="L69" s="16" t="str">
        <f aca="false">IF(AND(ISNUMBER(J69),ISNUMBER(K69),K69&gt;0),J69/K69,"")</f>
        <v/>
      </c>
      <c r="M69" s="14" t="str">
        <f aca="false">IF(AND(ISNUMBER(F69),ISNUMBER(H69),H69&gt;0),(F69/H69-1)/(F69/H69+1),"")</f>
        <v/>
      </c>
      <c r="N69" s="15" t="str">
        <f aca="false">IF(AND(ISNUMBER(F69),ISNUMBER(H69)) ,"BOUNDED","UNBOUNDED")</f>
        <v>UNBOUNDED</v>
      </c>
      <c r="O69" s="15" t="str">
        <f aca="false">IF(N69="UNBOUNDED","HOLD",IF(L69&gt;=Inputs!$B$9,"CLOSE","FAIL"))</f>
        <v>HOLD</v>
      </c>
    </row>
    <row r="70" customFormat="false" ht="15" hidden="false" customHeight="false" outlineLevel="0" collapsed="false">
      <c r="A70" s="11" t="s">
        <v>199</v>
      </c>
      <c r="B70" s="11" t="s">
        <v>16</v>
      </c>
      <c r="C70" s="11" t="s">
        <v>26</v>
      </c>
      <c r="D70" s="11" t="s">
        <v>130</v>
      </c>
      <c r="E70" s="11" t="s">
        <v>196</v>
      </c>
      <c r="F70" s="16"/>
      <c r="G70" s="17" t="n">
        <f aca="false">Inputs!$B$7</f>
        <v>0.025</v>
      </c>
      <c r="H70" s="16" t="n">
        <f aca="false">'Source Inputs'!I19</f>
        <v>25</v>
      </c>
      <c r="I70" s="17" t="n">
        <f aca="false">Inputs!$B$8</f>
        <v>0.025</v>
      </c>
      <c r="J70" s="16" t="str">
        <f aca="false">IF(ISNUMBER(F70),F70*(1-G70),"")</f>
        <v/>
      </c>
      <c r="K70" s="16" t="n">
        <f aca="false">IF(ISNUMBER(H70),H70*(1+I70),"")</f>
        <v>25.625</v>
      </c>
      <c r="L70" s="16" t="str">
        <f aca="false">IF(AND(ISNUMBER(J70),ISNUMBER(K70),K70&gt;0),J70/K70,"")</f>
        <v/>
      </c>
      <c r="M70" s="14" t="str">
        <f aca="false">IF(AND(ISNUMBER(F70),ISNUMBER(H70),H70&gt;0),(F70/H70-1)/(F70/H70+1),"")</f>
        <v/>
      </c>
      <c r="N70" s="15" t="str">
        <f aca="false">IF(AND(ISNUMBER(F70),ISNUMBER(H70)) ,"BOUNDED","UNBOUNDED")</f>
        <v>UNBOUNDED</v>
      </c>
      <c r="O70" s="15" t="str">
        <f aca="false">IF(N70="UNBOUNDED","HOLD",IF(L70&gt;=Inputs!$B$9,"CLOSE","FAIL"))</f>
        <v>HOLD</v>
      </c>
    </row>
    <row r="71" customFormat="false" ht="15" hidden="false" customHeight="false" outlineLevel="0" collapsed="false">
      <c r="A71" s="11" t="s">
        <v>200</v>
      </c>
      <c r="B71" s="11" t="s">
        <v>16</v>
      </c>
      <c r="C71" s="11" t="s">
        <v>34</v>
      </c>
      <c r="D71" s="11" t="s">
        <v>123</v>
      </c>
      <c r="E71" s="11" t="s">
        <v>201</v>
      </c>
      <c r="F71" s="16" t="n">
        <f aca="false">'Source Inputs'!H20</f>
        <v>35.91</v>
      </c>
      <c r="G71" s="17" t="n">
        <f aca="false">Inputs!$B$7</f>
        <v>0.025</v>
      </c>
      <c r="H71" s="16" t="n">
        <f aca="false">'Source Inputs'!I20</f>
        <v>31.075</v>
      </c>
      <c r="I71" s="17" t="n">
        <f aca="false">Inputs!$B$8</f>
        <v>0.025</v>
      </c>
      <c r="J71" s="16" t="n">
        <f aca="false">IF(ISNUMBER(F71),F71*(1-G71),"")</f>
        <v>35.01225</v>
      </c>
      <c r="K71" s="16" t="n">
        <f aca="false">IF(ISNUMBER(H71),H71*(1+I71),"")</f>
        <v>31.851875</v>
      </c>
      <c r="L71" s="16" t="n">
        <f aca="false">IF(AND(ISNUMBER(J71),ISNUMBER(K71),K71&gt;0),J71/K71,"")</f>
        <v>1.09922100347311</v>
      </c>
      <c r="M71" s="14" t="n">
        <f aca="false">IF(AND(ISNUMBER(F71),ISNUMBER(H71),H71&gt;0),(F71/H71-1)/(F71/H71+1),"")</f>
        <v>0.0721803388818392</v>
      </c>
      <c r="N71" s="15" t="str">
        <f aca="false">IF(AND(ISNUMBER(F71),ISNUMBER(H71)) ,"BOUNDED","UNBOUNDED")</f>
        <v>BOUNDED</v>
      </c>
      <c r="O71" s="15" t="str">
        <f aca="false">IF(N71="UNBOUNDED","HOLD",IF(L71&gt;=Inputs!$B$9,"CLOSE","FAIL"))</f>
        <v>CLOSE</v>
      </c>
    </row>
    <row r="72" customFormat="false" ht="15" hidden="false" customHeight="false" outlineLevel="0" collapsed="false">
      <c r="A72" s="11" t="s">
        <v>202</v>
      </c>
      <c r="B72" s="11" t="s">
        <v>16</v>
      </c>
      <c r="C72" s="11" t="s">
        <v>34</v>
      </c>
      <c r="D72" s="11" t="s">
        <v>126</v>
      </c>
      <c r="E72" s="11" t="s">
        <v>201</v>
      </c>
      <c r="F72" s="16" t="n">
        <f aca="false">'Source Inputs'!J20</f>
        <v>31.92</v>
      </c>
      <c r="G72" s="17" t="n">
        <f aca="false">Inputs!$B$7</f>
        <v>0.025</v>
      </c>
      <c r="H72" s="16" t="n">
        <f aca="false">'Source Inputs'!K20</f>
        <v>31.075</v>
      </c>
      <c r="I72" s="17" t="n">
        <f aca="false">Inputs!$B$8</f>
        <v>0.025</v>
      </c>
      <c r="J72" s="16" t="n">
        <f aca="false">IF(ISNUMBER(F72),F72*(1-G72),"")</f>
        <v>31.122</v>
      </c>
      <c r="K72" s="16" t="n">
        <f aca="false">IF(ISNUMBER(H72),H72*(1+I72),"")</f>
        <v>31.851875</v>
      </c>
      <c r="L72" s="16" t="n">
        <f aca="false">IF(AND(ISNUMBER(J72),ISNUMBER(K72),K72&gt;0),J72/K72,"")</f>
        <v>0.977085336420541</v>
      </c>
      <c r="M72" s="14" t="n">
        <f aca="false">IF(AND(ISNUMBER(F72),ISNUMBER(H72),H72&gt;0),(F72/H72-1)/(F72/H72+1),"")</f>
        <v>0.0134137629970633</v>
      </c>
      <c r="N72" s="15" t="str">
        <f aca="false">IF(AND(ISNUMBER(F72),ISNUMBER(H72)) ,"BOUNDED","UNBOUNDED")</f>
        <v>BOUNDED</v>
      </c>
      <c r="O72" s="15" t="str">
        <f aca="false">IF(N72="UNBOUNDED","HOLD",IF(L72&gt;=Inputs!$B$9,"CLOSE","FAIL"))</f>
        <v>FAIL</v>
      </c>
    </row>
    <row r="73" customFormat="false" ht="15" hidden="false" customHeight="false" outlineLevel="0" collapsed="false">
      <c r="A73" s="11" t="s">
        <v>203</v>
      </c>
      <c r="B73" s="11" t="s">
        <v>16</v>
      </c>
      <c r="C73" s="11" t="s">
        <v>34</v>
      </c>
      <c r="D73" s="11" t="s">
        <v>128</v>
      </c>
      <c r="E73" s="11" t="s">
        <v>201</v>
      </c>
      <c r="F73" s="16"/>
      <c r="G73" s="17" t="n">
        <f aca="false">Inputs!$B$7</f>
        <v>0.025</v>
      </c>
      <c r="H73" s="16" t="n">
        <f aca="false">'Source Inputs'!I20</f>
        <v>31.075</v>
      </c>
      <c r="I73" s="17" t="n">
        <f aca="false">Inputs!$B$8</f>
        <v>0.025</v>
      </c>
      <c r="J73" s="16" t="str">
        <f aca="false">IF(ISNUMBER(F73),F73*(1-G73),"")</f>
        <v/>
      </c>
      <c r="K73" s="16" t="n">
        <f aca="false">IF(ISNUMBER(H73),H73*(1+I73),"")</f>
        <v>31.851875</v>
      </c>
      <c r="L73" s="16" t="str">
        <f aca="false">IF(AND(ISNUMBER(J73),ISNUMBER(K73),K73&gt;0),J73/K73,"")</f>
        <v/>
      </c>
      <c r="M73" s="14" t="str">
        <f aca="false">IF(AND(ISNUMBER(F73),ISNUMBER(H73),H73&gt;0),(F73/H73-1)/(F73/H73+1),"")</f>
        <v/>
      </c>
      <c r="N73" s="15" t="str">
        <f aca="false">IF(AND(ISNUMBER(F73),ISNUMBER(H73)) ,"BOUNDED","UNBOUNDED")</f>
        <v>UNBOUNDED</v>
      </c>
      <c r="O73" s="15" t="str">
        <f aca="false">IF(N73="UNBOUNDED","HOLD",IF(L73&gt;=Inputs!$B$9,"CLOSE","FAIL"))</f>
        <v>HOLD</v>
      </c>
    </row>
    <row r="74" customFormat="false" ht="15" hidden="false" customHeight="false" outlineLevel="0" collapsed="false">
      <c r="A74" s="11" t="s">
        <v>204</v>
      </c>
      <c r="B74" s="11" t="s">
        <v>16</v>
      </c>
      <c r="C74" s="11" t="s">
        <v>34</v>
      </c>
      <c r="D74" s="11" t="s">
        <v>130</v>
      </c>
      <c r="E74" s="11" t="s">
        <v>201</v>
      </c>
      <c r="F74" s="16"/>
      <c r="G74" s="17" t="n">
        <f aca="false">Inputs!$B$7</f>
        <v>0.025</v>
      </c>
      <c r="H74" s="16" t="n">
        <f aca="false">'Source Inputs'!I20</f>
        <v>31.075</v>
      </c>
      <c r="I74" s="17" t="n">
        <f aca="false">Inputs!$B$8</f>
        <v>0.025</v>
      </c>
      <c r="J74" s="16" t="str">
        <f aca="false">IF(ISNUMBER(F74),F74*(1-G74),"")</f>
        <v/>
      </c>
      <c r="K74" s="16" t="n">
        <f aca="false">IF(ISNUMBER(H74),H74*(1+I74),"")</f>
        <v>31.851875</v>
      </c>
      <c r="L74" s="16" t="str">
        <f aca="false">IF(AND(ISNUMBER(J74),ISNUMBER(K74),K74&gt;0),J74/K74,"")</f>
        <v/>
      </c>
      <c r="M74" s="14" t="str">
        <f aca="false">IF(AND(ISNUMBER(F74),ISNUMBER(H74),H74&gt;0),(F74/H74-1)/(F74/H74+1),"")</f>
        <v/>
      </c>
      <c r="N74" s="15" t="str">
        <f aca="false">IF(AND(ISNUMBER(F74),ISNUMBER(H74)) ,"BOUNDED","UNBOUNDED")</f>
        <v>UNBOUNDED</v>
      </c>
      <c r="O74" s="15" t="str">
        <f aca="false">IF(N74="UNBOUNDED","HOLD",IF(L74&gt;=Inputs!$B$9,"CLOSE","FAIL"))</f>
        <v>HOLD</v>
      </c>
    </row>
    <row r="75" customFormat="false" ht="15" hidden="false" customHeight="false" outlineLevel="0" collapsed="false">
      <c r="A75" s="11" t="s">
        <v>205</v>
      </c>
      <c r="B75" s="11" t="s">
        <v>16</v>
      </c>
      <c r="C75" s="11" t="s">
        <v>29</v>
      </c>
      <c r="D75" s="11" t="s">
        <v>123</v>
      </c>
      <c r="E75" s="11" t="s">
        <v>137</v>
      </c>
      <c r="F75" s="16" t="n">
        <f aca="false">'Source Inputs'!H21</f>
        <v>52</v>
      </c>
      <c r="G75" s="17" t="n">
        <f aca="false">Inputs!$B$7</f>
        <v>0.025</v>
      </c>
      <c r="H75" s="16" t="n">
        <f aca="false">'Source Inputs'!I21</f>
        <v>37.3510416667</v>
      </c>
      <c r="I75" s="17" t="n">
        <f aca="false">Inputs!$B$8</f>
        <v>0.025</v>
      </c>
      <c r="J75" s="16" t="n">
        <f aca="false">IF(ISNUMBER(F75),F75*(1-G75),"")</f>
        <v>50.7</v>
      </c>
      <c r="K75" s="16" t="n">
        <f aca="false">IF(ISNUMBER(H75),H75*(1+I75),"")</f>
        <v>38.2848177083675</v>
      </c>
      <c r="L75" s="16" t="n">
        <f aca="false">IF(AND(ISNUMBER(J75),ISNUMBER(K75),K75&gt;0),J75/K75,"")</f>
        <v>1.32428474352952</v>
      </c>
      <c r="M75" s="14" t="n">
        <f aca="false">IF(AND(ISNUMBER(F75),ISNUMBER(H75),H75&gt;0),(F75/H75-1)/(F75/H75+1),"")</f>
        <v>0.163948377769831</v>
      </c>
      <c r="N75" s="15" t="str">
        <f aca="false">IF(AND(ISNUMBER(F75),ISNUMBER(H75)) ,"BOUNDED","UNBOUNDED")</f>
        <v>BOUNDED</v>
      </c>
      <c r="O75" s="15" t="str">
        <f aca="false">IF(N75="UNBOUNDED","HOLD",IF(L75&gt;=Inputs!$B$9,"CLOSE","FAIL"))</f>
        <v>CLOSE</v>
      </c>
    </row>
    <row r="76" customFormat="false" ht="15" hidden="false" customHeight="false" outlineLevel="0" collapsed="false">
      <c r="A76" s="11" t="s">
        <v>206</v>
      </c>
      <c r="B76" s="11" t="s">
        <v>16</v>
      </c>
      <c r="C76" s="11" t="s">
        <v>29</v>
      </c>
      <c r="D76" s="11" t="s">
        <v>126</v>
      </c>
      <c r="E76" s="11" t="s">
        <v>137</v>
      </c>
      <c r="F76" s="16" t="n">
        <f aca="false">'Source Inputs'!J21</f>
        <v>39</v>
      </c>
      <c r="G76" s="17" t="n">
        <f aca="false">Inputs!$B$7</f>
        <v>0.025</v>
      </c>
      <c r="H76" s="16" t="n">
        <f aca="false">'Source Inputs'!K21</f>
        <v>37.3510416667</v>
      </c>
      <c r="I76" s="17" t="n">
        <f aca="false">Inputs!$B$8</f>
        <v>0.025</v>
      </c>
      <c r="J76" s="16" t="n">
        <f aca="false">IF(ISNUMBER(F76),F76*(1-G76),"")</f>
        <v>38.025</v>
      </c>
      <c r="K76" s="16" t="n">
        <f aca="false">IF(ISNUMBER(H76),H76*(1+I76),"")</f>
        <v>38.2848177083675</v>
      </c>
      <c r="L76" s="16" t="n">
        <f aca="false">IF(AND(ISNUMBER(J76),ISNUMBER(K76),K76&gt;0),J76/K76,"")</f>
        <v>0.993213557647142</v>
      </c>
      <c r="M76" s="14" t="n">
        <f aca="false">IF(AND(ISNUMBER(F76),ISNUMBER(H76),H76&gt;0),(F76/H76-1)/(F76/H76+1),"")</f>
        <v>0.0215970639994449</v>
      </c>
      <c r="N76" s="15" t="str">
        <f aca="false">IF(AND(ISNUMBER(F76),ISNUMBER(H76)) ,"BOUNDED","UNBOUNDED")</f>
        <v>BOUNDED</v>
      </c>
      <c r="O76" s="15" t="str">
        <f aca="false">IF(N76="UNBOUNDED","HOLD",IF(L76&gt;=Inputs!$B$9,"CLOSE","FAIL"))</f>
        <v>FAIL</v>
      </c>
    </row>
    <row r="77" customFormat="false" ht="15" hidden="false" customHeight="false" outlineLevel="0" collapsed="false">
      <c r="A77" s="11" t="s">
        <v>207</v>
      </c>
      <c r="B77" s="11" t="s">
        <v>16</v>
      </c>
      <c r="C77" s="11" t="s">
        <v>29</v>
      </c>
      <c r="D77" s="11" t="s">
        <v>128</v>
      </c>
      <c r="E77" s="11" t="s">
        <v>137</v>
      </c>
      <c r="F77" s="16"/>
      <c r="G77" s="17" t="n">
        <f aca="false">Inputs!$B$7</f>
        <v>0.025</v>
      </c>
      <c r="H77" s="16" t="n">
        <f aca="false">'Source Inputs'!I21</f>
        <v>37.3510416667</v>
      </c>
      <c r="I77" s="17" t="n">
        <f aca="false">Inputs!$B$8</f>
        <v>0.025</v>
      </c>
      <c r="J77" s="16" t="str">
        <f aca="false">IF(ISNUMBER(F77),F77*(1-G77),"")</f>
        <v/>
      </c>
      <c r="K77" s="16" t="n">
        <f aca="false">IF(ISNUMBER(H77),H77*(1+I77),"")</f>
        <v>38.2848177083675</v>
      </c>
      <c r="L77" s="16" t="str">
        <f aca="false">IF(AND(ISNUMBER(J77),ISNUMBER(K77),K77&gt;0),J77/K77,"")</f>
        <v/>
      </c>
      <c r="M77" s="14" t="str">
        <f aca="false">IF(AND(ISNUMBER(F77),ISNUMBER(H77),H77&gt;0),(F77/H77-1)/(F77/H77+1),"")</f>
        <v/>
      </c>
      <c r="N77" s="15" t="str">
        <f aca="false">IF(AND(ISNUMBER(F77),ISNUMBER(H77)) ,"BOUNDED","UNBOUNDED")</f>
        <v>UNBOUNDED</v>
      </c>
      <c r="O77" s="15" t="str">
        <f aca="false">IF(N77="UNBOUNDED","HOLD",IF(L77&gt;=Inputs!$B$9,"CLOSE","FAIL"))</f>
        <v>HOLD</v>
      </c>
    </row>
    <row r="78" customFormat="false" ht="15" hidden="false" customHeight="false" outlineLevel="0" collapsed="false">
      <c r="A78" s="11" t="s">
        <v>208</v>
      </c>
      <c r="B78" s="11" t="s">
        <v>16</v>
      </c>
      <c r="C78" s="11" t="s">
        <v>29</v>
      </c>
      <c r="D78" s="11" t="s">
        <v>130</v>
      </c>
      <c r="E78" s="11" t="s">
        <v>137</v>
      </c>
      <c r="F78" s="16"/>
      <c r="G78" s="17" t="n">
        <f aca="false">Inputs!$B$7</f>
        <v>0.025</v>
      </c>
      <c r="H78" s="16" t="n">
        <f aca="false">'Source Inputs'!I21</f>
        <v>37.3510416667</v>
      </c>
      <c r="I78" s="17" t="n">
        <f aca="false">Inputs!$B$8</f>
        <v>0.025</v>
      </c>
      <c r="J78" s="16" t="str">
        <f aca="false">IF(ISNUMBER(F78),F78*(1-G78),"")</f>
        <v/>
      </c>
      <c r="K78" s="16" t="n">
        <f aca="false">IF(ISNUMBER(H78),H78*(1+I78),"")</f>
        <v>38.2848177083675</v>
      </c>
      <c r="L78" s="16" t="str">
        <f aca="false">IF(AND(ISNUMBER(J78),ISNUMBER(K78),K78&gt;0),J78/K78,"")</f>
        <v/>
      </c>
      <c r="M78" s="14" t="str">
        <f aca="false">IF(AND(ISNUMBER(F78),ISNUMBER(H78),H78&gt;0),(F78/H78-1)/(F78/H78+1),"")</f>
        <v/>
      </c>
      <c r="N78" s="15" t="str">
        <f aca="false">IF(AND(ISNUMBER(F78),ISNUMBER(H78)) ,"BOUNDED","UNBOUNDED")</f>
        <v>UNBOUNDED</v>
      </c>
      <c r="O78" s="15" t="str">
        <f aca="false">IF(N78="UNBOUNDED","HOLD",IF(L78&gt;=Inputs!$B$9,"CLOSE","FAIL"))</f>
        <v>HOLD</v>
      </c>
    </row>
    <row r="79" customFormat="false" ht="15" hidden="false" customHeight="false" outlineLevel="0" collapsed="false">
      <c r="A79" s="11" t="s">
        <v>209</v>
      </c>
      <c r="B79" s="11" t="s">
        <v>16</v>
      </c>
      <c r="C79" s="11" t="s">
        <v>142</v>
      </c>
      <c r="D79" s="11" t="s">
        <v>123</v>
      </c>
      <c r="E79" s="11" t="s">
        <v>196</v>
      </c>
      <c r="F79" s="16" t="n">
        <f aca="false">'Source Inputs'!H22</f>
        <v>30.9</v>
      </c>
      <c r="G79" s="17" t="n">
        <f aca="false">Inputs!$B$7</f>
        <v>0.025</v>
      </c>
      <c r="H79" s="16" t="n">
        <f aca="false">'Source Inputs'!I22</f>
        <v>20</v>
      </c>
      <c r="I79" s="17" t="n">
        <f aca="false">Inputs!$B$8</f>
        <v>0.025</v>
      </c>
      <c r="J79" s="16" t="n">
        <f aca="false">IF(ISNUMBER(F79),F79*(1-G79),"")</f>
        <v>30.1275</v>
      </c>
      <c r="K79" s="16" t="n">
        <f aca="false">IF(ISNUMBER(H79),H79*(1+I79),"")</f>
        <v>20.5</v>
      </c>
      <c r="L79" s="16" t="n">
        <f aca="false">IF(AND(ISNUMBER(J79),ISNUMBER(K79),K79&gt;0),J79/K79,"")</f>
        <v>1.46963414634146</v>
      </c>
      <c r="M79" s="14" t="n">
        <f aca="false">IF(AND(ISNUMBER(F79),ISNUMBER(H79),H79&gt;0),(F79/H79-1)/(F79/H79+1),"")</f>
        <v>0.214145383104126</v>
      </c>
      <c r="N79" s="15" t="str">
        <f aca="false">IF(AND(ISNUMBER(F79),ISNUMBER(H79)) ,"BOUNDED","UNBOUNDED")</f>
        <v>BOUNDED</v>
      </c>
      <c r="O79" s="15" t="str">
        <f aca="false">IF(N79="UNBOUNDED","HOLD",IF(L79&gt;=Inputs!$B$9,"CLOSE","FAIL"))</f>
        <v>CLOSE</v>
      </c>
    </row>
    <row r="80" customFormat="false" ht="15" hidden="false" customHeight="false" outlineLevel="0" collapsed="false">
      <c r="A80" s="11" t="s">
        <v>210</v>
      </c>
      <c r="B80" s="11" t="s">
        <v>16</v>
      </c>
      <c r="C80" s="11" t="s">
        <v>142</v>
      </c>
      <c r="D80" s="11" t="s">
        <v>126</v>
      </c>
      <c r="E80" s="11" t="s">
        <v>196</v>
      </c>
      <c r="F80" s="16" t="n">
        <f aca="false">'Source Inputs'!J22</f>
        <v>20.6</v>
      </c>
      <c r="G80" s="17" t="n">
        <f aca="false">Inputs!$B$7</f>
        <v>0.025</v>
      </c>
      <c r="H80" s="16" t="n">
        <f aca="false">'Source Inputs'!K22</f>
        <v>20</v>
      </c>
      <c r="I80" s="17" t="n">
        <f aca="false">Inputs!$B$8</f>
        <v>0.025</v>
      </c>
      <c r="J80" s="16" t="n">
        <f aca="false">IF(ISNUMBER(F80),F80*(1-G80),"")</f>
        <v>20.085</v>
      </c>
      <c r="K80" s="16" t="n">
        <f aca="false">IF(ISNUMBER(H80),H80*(1+I80),"")</f>
        <v>20.5</v>
      </c>
      <c r="L80" s="16" t="n">
        <f aca="false">IF(AND(ISNUMBER(J80),ISNUMBER(K80),K80&gt;0),J80/K80,"")</f>
        <v>0.979756097560976</v>
      </c>
      <c r="M80" s="14" t="n">
        <f aca="false">IF(AND(ISNUMBER(F80),ISNUMBER(H80),H80&gt;0),(F80/H80-1)/(F80/H80+1),"")</f>
        <v>0.0147783251231527</v>
      </c>
      <c r="N80" s="15" t="str">
        <f aca="false">IF(AND(ISNUMBER(F80),ISNUMBER(H80)) ,"BOUNDED","UNBOUNDED")</f>
        <v>BOUNDED</v>
      </c>
      <c r="O80" s="15" t="str">
        <f aca="false">IF(N80="UNBOUNDED","HOLD",IF(L80&gt;=Inputs!$B$9,"CLOSE","FAIL"))</f>
        <v>FAIL</v>
      </c>
    </row>
    <row r="81" customFormat="false" ht="15" hidden="false" customHeight="false" outlineLevel="0" collapsed="false">
      <c r="A81" s="11" t="s">
        <v>211</v>
      </c>
      <c r="B81" s="11" t="s">
        <v>16</v>
      </c>
      <c r="C81" s="11" t="s">
        <v>142</v>
      </c>
      <c r="D81" s="11" t="s">
        <v>128</v>
      </c>
      <c r="E81" s="11" t="s">
        <v>196</v>
      </c>
      <c r="F81" s="16"/>
      <c r="G81" s="17" t="n">
        <f aca="false">Inputs!$B$7</f>
        <v>0.025</v>
      </c>
      <c r="H81" s="16" t="n">
        <f aca="false">'Source Inputs'!I22</f>
        <v>20</v>
      </c>
      <c r="I81" s="17" t="n">
        <f aca="false">Inputs!$B$8</f>
        <v>0.025</v>
      </c>
      <c r="J81" s="16" t="str">
        <f aca="false">IF(ISNUMBER(F81),F81*(1-G81),"")</f>
        <v/>
      </c>
      <c r="K81" s="16" t="n">
        <f aca="false">IF(ISNUMBER(H81),H81*(1+I81),"")</f>
        <v>20.5</v>
      </c>
      <c r="L81" s="16" t="str">
        <f aca="false">IF(AND(ISNUMBER(J81),ISNUMBER(K81),K81&gt;0),J81/K81,"")</f>
        <v/>
      </c>
      <c r="M81" s="14" t="str">
        <f aca="false">IF(AND(ISNUMBER(F81),ISNUMBER(H81),H81&gt;0),(F81/H81-1)/(F81/H81+1),"")</f>
        <v/>
      </c>
      <c r="N81" s="15" t="str">
        <f aca="false">IF(AND(ISNUMBER(F81),ISNUMBER(H81)) ,"BOUNDED","UNBOUNDED")</f>
        <v>UNBOUNDED</v>
      </c>
      <c r="O81" s="15" t="str">
        <f aca="false">IF(N81="UNBOUNDED","HOLD",IF(L81&gt;=Inputs!$B$9,"CLOSE","FAIL"))</f>
        <v>HOLD</v>
      </c>
    </row>
    <row r="82" customFormat="false" ht="15" hidden="false" customHeight="false" outlineLevel="0" collapsed="false">
      <c r="A82" s="11" t="s">
        <v>212</v>
      </c>
      <c r="B82" s="11" t="s">
        <v>16</v>
      </c>
      <c r="C82" s="11" t="s">
        <v>142</v>
      </c>
      <c r="D82" s="11" t="s">
        <v>130</v>
      </c>
      <c r="E82" s="11" t="s">
        <v>196</v>
      </c>
      <c r="F82" s="16"/>
      <c r="G82" s="17" t="n">
        <f aca="false">Inputs!$B$7</f>
        <v>0.025</v>
      </c>
      <c r="H82" s="16" t="n">
        <f aca="false">'Source Inputs'!I22</f>
        <v>20</v>
      </c>
      <c r="I82" s="17" t="n">
        <f aca="false">Inputs!$B$8</f>
        <v>0.025</v>
      </c>
      <c r="J82" s="16" t="str">
        <f aca="false">IF(ISNUMBER(F82),F82*(1-G82),"")</f>
        <v/>
      </c>
      <c r="K82" s="16" t="n">
        <f aca="false">IF(ISNUMBER(H82),H82*(1+I82),"")</f>
        <v>20.5</v>
      </c>
      <c r="L82" s="16" t="str">
        <f aca="false">IF(AND(ISNUMBER(J82),ISNUMBER(K82),K82&gt;0),J82/K82,"")</f>
        <v/>
      </c>
      <c r="M82" s="14" t="str">
        <f aca="false">IF(AND(ISNUMBER(F82),ISNUMBER(H82),H82&gt;0),(F82/H82-1)/(F82/H82+1),"")</f>
        <v/>
      </c>
      <c r="N82" s="15" t="str">
        <f aca="false">IF(AND(ISNUMBER(F82),ISNUMBER(H82)) ,"BOUNDED","UNBOUNDED")</f>
        <v>UNBOUNDED</v>
      </c>
      <c r="O82" s="15" t="str">
        <f aca="false">IF(N82="UNBOUNDED","HOLD",IF(L82&gt;=Inputs!$B$9,"CLOSE","FAIL"))</f>
        <v>HOLD</v>
      </c>
    </row>
    <row r="83" customFormat="false" ht="15" hidden="false" customHeight="false" outlineLevel="0" collapsed="false">
      <c r="A83" s="11" t="s">
        <v>213</v>
      </c>
      <c r="B83" s="11" t="s">
        <v>16</v>
      </c>
      <c r="C83" s="11" t="s">
        <v>148</v>
      </c>
      <c r="D83" s="11" t="s">
        <v>123</v>
      </c>
      <c r="E83" s="11" t="s">
        <v>149</v>
      </c>
      <c r="F83" s="16"/>
      <c r="G83" s="17" t="n">
        <f aca="false">Inputs!$B$7</f>
        <v>0.025</v>
      </c>
      <c r="H83" s="16"/>
      <c r="I83" s="17" t="n">
        <f aca="false">Inputs!$B$8</f>
        <v>0.025</v>
      </c>
      <c r="J83" s="16" t="str">
        <f aca="false">IF(ISNUMBER(F83),F83*(1-G83),"")</f>
        <v/>
      </c>
      <c r="K83" s="16" t="str">
        <f aca="false">IF(ISNUMBER(H83),H83*(1+I83),"")</f>
        <v/>
      </c>
      <c r="L83" s="16" t="str">
        <f aca="false">IF(AND(ISNUMBER(J83),ISNUMBER(K83),K83&gt;0),J83/K83,"")</f>
        <v/>
      </c>
      <c r="M83" s="14" t="str">
        <f aca="false">IF(AND(ISNUMBER(F83),ISNUMBER(H83),H83&gt;0),(F83/H83-1)/(F83/H83+1),"")</f>
        <v/>
      </c>
      <c r="N83" s="15" t="str">
        <f aca="false">IF(AND(ISNUMBER(F83),ISNUMBER(H83)) ,"BOUNDED","UNBOUNDED")</f>
        <v>UNBOUNDED</v>
      </c>
      <c r="O83" s="15" t="str">
        <f aca="false">IF(N83="UNBOUNDED","HOLD",IF(L83&gt;=Inputs!$B$9,"CLOSE","FAIL"))</f>
        <v>HOLD</v>
      </c>
    </row>
    <row r="84" customFormat="false" ht="15" hidden="false" customHeight="false" outlineLevel="0" collapsed="false">
      <c r="A84" s="11" t="s">
        <v>214</v>
      </c>
      <c r="B84" s="11" t="s">
        <v>16</v>
      </c>
      <c r="C84" s="11" t="s">
        <v>148</v>
      </c>
      <c r="D84" s="11" t="s">
        <v>126</v>
      </c>
      <c r="E84" s="11" t="s">
        <v>149</v>
      </c>
      <c r="F84" s="16"/>
      <c r="G84" s="17" t="n">
        <f aca="false">Inputs!$B$7</f>
        <v>0.025</v>
      </c>
      <c r="H84" s="16"/>
      <c r="I84" s="17" t="n">
        <f aca="false">Inputs!$B$8</f>
        <v>0.025</v>
      </c>
      <c r="J84" s="16" t="str">
        <f aca="false">IF(ISNUMBER(F84),F84*(1-G84),"")</f>
        <v/>
      </c>
      <c r="K84" s="16" t="str">
        <f aca="false">IF(ISNUMBER(H84),H84*(1+I84),"")</f>
        <v/>
      </c>
      <c r="L84" s="16" t="str">
        <f aca="false">IF(AND(ISNUMBER(J84),ISNUMBER(K84),K84&gt;0),J84/K84,"")</f>
        <v/>
      </c>
      <c r="M84" s="14" t="str">
        <f aca="false">IF(AND(ISNUMBER(F84),ISNUMBER(H84),H84&gt;0),(F84/H84-1)/(F84/H84+1),"")</f>
        <v/>
      </c>
      <c r="N84" s="15" t="str">
        <f aca="false">IF(AND(ISNUMBER(F84),ISNUMBER(H84)) ,"BOUNDED","UNBOUNDED")</f>
        <v>UNBOUNDED</v>
      </c>
      <c r="O84" s="15" t="str">
        <f aca="false">IF(N84="UNBOUNDED","HOLD",IF(L84&gt;=Inputs!$B$9,"CLOSE","FAIL"))</f>
        <v>HOLD</v>
      </c>
    </row>
    <row r="85" customFormat="false" ht="15" hidden="false" customHeight="false" outlineLevel="0" collapsed="false">
      <c r="A85" s="11" t="s">
        <v>215</v>
      </c>
      <c r="B85" s="11" t="s">
        <v>16</v>
      </c>
      <c r="C85" s="11" t="s">
        <v>148</v>
      </c>
      <c r="D85" s="11" t="s">
        <v>128</v>
      </c>
      <c r="E85" s="11" t="s">
        <v>149</v>
      </c>
      <c r="F85" s="16"/>
      <c r="G85" s="17" t="n">
        <f aca="false">Inputs!$B$7</f>
        <v>0.025</v>
      </c>
      <c r="H85" s="16"/>
      <c r="I85" s="17" t="n">
        <f aca="false">Inputs!$B$8</f>
        <v>0.025</v>
      </c>
      <c r="J85" s="16" t="str">
        <f aca="false">IF(ISNUMBER(F85),F85*(1-G85),"")</f>
        <v/>
      </c>
      <c r="K85" s="16" t="str">
        <f aca="false">IF(ISNUMBER(H85),H85*(1+I85),"")</f>
        <v/>
      </c>
      <c r="L85" s="16" t="str">
        <f aca="false">IF(AND(ISNUMBER(J85),ISNUMBER(K85),K85&gt;0),J85/K85,"")</f>
        <v/>
      </c>
      <c r="M85" s="14" t="str">
        <f aca="false">IF(AND(ISNUMBER(F85),ISNUMBER(H85),H85&gt;0),(F85/H85-1)/(F85/H85+1),"")</f>
        <v/>
      </c>
      <c r="N85" s="15" t="str">
        <f aca="false">IF(AND(ISNUMBER(F85),ISNUMBER(H85)) ,"BOUNDED","UNBOUNDED")</f>
        <v>UNBOUNDED</v>
      </c>
      <c r="O85" s="15" t="str">
        <f aca="false">IF(N85="UNBOUNDED","HOLD",IF(L85&gt;=Inputs!$B$9,"CLOSE","FAIL"))</f>
        <v>HOLD</v>
      </c>
    </row>
    <row r="86" customFormat="false" ht="15" hidden="false" customHeight="false" outlineLevel="0" collapsed="false">
      <c r="A86" s="11" t="s">
        <v>216</v>
      </c>
      <c r="B86" s="11" t="s">
        <v>16</v>
      </c>
      <c r="C86" s="11" t="s">
        <v>148</v>
      </c>
      <c r="D86" s="11" t="s">
        <v>130</v>
      </c>
      <c r="E86" s="11" t="s">
        <v>149</v>
      </c>
      <c r="F86" s="16"/>
      <c r="G86" s="17" t="n">
        <f aca="false">Inputs!$B$7</f>
        <v>0.025</v>
      </c>
      <c r="H86" s="16"/>
      <c r="I86" s="17" t="n">
        <f aca="false">Inputs!$B$8</f>
        <v>0.025</v>
      </c>
      <c r="J86" s="16" t="str">
        <f aca="false">IF(ISNUMBER(F86),F86*(1-G86),"")</f>
        <v/>
      </c>
      <c r="K86" s="16" t="str">
        <f aca="false">IF(ISNUMBER(H86),H86*(1+I86),"")</f>
        <v/>
      </c>
      <c r="L86" s="16" t="str">
        <f aca="false">IF(AND(ISNUMBER(J86),ISNUMBER(K86),K86&gt;0),J86/K86,"")</f>
        <v/>
      </c>
      <c r="M86" s="14" t="str">
        <f aca="false">IF(AND(ISNUMBER(F86),ISNUMBER(H86),H86&gt;0),(F86/H86-1)/(F86/H86+1),"")</f>
        <v/>
      </c>
      <c r="N86" s="15" t="str">
        <f aca="false">IF(AND(ISNUMBER(F86),ISNUMBER(H86)) ,"BOUNDED","UNBOUNDED")</f>
        <v>UNBOUNDED</v>
      </c>
      <c r="O86" s="15" t="str">
        <f aca="false">IF(N86="UNBOUNDED","HOLD",IF(L86&gt;=Inputs!$B$9,"CLOSE","FAIL"))</f>
        <v>HOLD</v>
      </c>
    </row>
    <row r="87" customFormat="false" ht="15" hidden="false" customHeight="false" outlineLevel="0" collapsed="false">
      <c r="A87" s="11" t="s">
        <v>217</v>
      </c>
      <c r="B87" s="11" t="s">
        <v>19</v>
      </c>
      <c r="C87" s="11" t="s">
        <v>26</v>
      </c>
      <c r="D87" s="11" t="s">
        <v>123</v>
      </c>
      <c r="E87" s="11" t="s">
        <v>154</v>
      </c>
      <c r="F87" s="16" t="n">
        <f aca="false">'Source Inputs'!H23</f>
        <v>1.28</v>
      </c>
      <c r="G87" s="17" t="n">
        <f aca="false">Inputs!$B$7</f>
        <v>0.025</v>
      </c>
      <c r="H87" s="16" t="n">
        <f aca="false">'Source Inputs'!I23</f>
        <v>1</v>
      </c>
      <c r="I87" s="17" t="n">
        <f aca="false">Inputs!$B$8</f>
        <v>0.025</v>
      </c>
      <c r="J87" s="16" t="n">
        <f aca="false">IF(ISNUMBER(F87),F87*(1-G87),"")</f>
        <v>1.248</v>
      </c>
      <c r="K87" s="16" t="n">
        <f aca="false">IF(ISNUMBER(H87),H87*(1+I87),"")</f>
        <v>1.025</v>
      </c>
      <c r="L87" s="16" t="n">
        <f aca="false">IF(AND(ISNUMBER(J87),ISNUMBER(K87),K87&gt;0),J87/K87,"")</f>
        <v>1.21756097560976</v>
      </c>
      <c r="M87" s="14" t="n">
        <f aca="false">IF(AND(ISNUMBER(F87),ISNUMBER(H87),H87&gt;0),(F87/H87-1)/(F87/H87+1),"")</f>
        <v>0.12280701754386</v>
      </c>
      <c r="N87" s="15" t="str">
        <f aca="false">IF(AND(ISNUMBER(F87),ISNUMBER(H87)) ,"BOUNDED","UNBOUNDED")</f>
        <v>BOUNDED</v>
      </c>
      <c r="O87" s="15" t="str">
        <f aca="false">IF(N87="UNBOUNDED","HOLD",IF(L87&gt;=Inputs!$B$9,"CLOSE","FAIL"))</f>
        <v>CLOSE</v>
      </c>
    </row>
    <row r="88" customFormat="false" ht="15" hidden="false" customHeight="false" outlineLevel="0" collapsed="false">
      <c r="A88" s="11" t="s">
        <v>218</v>
      </c>
      <c r="B88" s="11" t="s">
        <v>19</v>
      </c>
      <c r="C88" s="11" t="s">
        <v>26</v>
      </c>
      <c r="D88" s="11" t="s">
        <v>126</v>
      </c>
      <c r="E88" s="11" t="s">
        <v>154</v>
      </c>
      <c r="F88" s="16" t="n">
        <f aca="false">'Source Inputs'!J23</f>
        <v>1.032</v>
      </c>
      <c r="G88" s="17" t="n">
        <f aca="false">Inputs!$B$7</f>
        <v>0.025</v>
      </c>
      <c r="H88" s="16" t="n">
        <f aca="false">'Source Inputs'!K23</f>
        <v>1</v>
      </c>
      <c r="I88" s="17" t="n">
        <f aca="false">Inputs!$B$8</f>
        <v>0.025</v>
      </c>
      <c r="J88" s="16" t="n">
        <f aca="false">IF(ISNUMBER(F88),F88*(1-G88),"")</f>
        <v>1.0062</v>
      </c>
      <c r="K88" s="16" t="n">
        <f aca="false">IF(ISNUMBER(H88),H88*(1+I88),"")</f>
        <v>1.025</v>
      </c>
      <c r="L88" s="16" t="n">
        <f aca="false">IF(AND(ISNUMBER(J88),ISNUMBER(K88),K88&gt;0),J88/K88,"")</f>
        <v>0.981658536585366</v>
      </c>
      <c r="M88" s="14" t="n">
        <f aca="false">IF(AND(ISNUMBER(F88),ISNUMBER(H88),H88&gt;0),(F88/H88-1)/(F88/H88+1),"")</f>
        <v>0.015748031496063</v>
      </c>
      <c r="N88" s="15" t="str">
        <f aca="false">IF(AND(ISNUMBER(F88),ISNUMBER(H88)) ,"BOUNDED","UNBOUNDED")</f>
        <v>BOUNDED</v>
      </c>
      <c r="O88" s="15" t="str">
        <f aca="false">IF(N88="UNBOUNDED","HOLD",IF(L88&gt;=Inputs!$B$9,"CLOSE","FAIL"))</f>
        <v>FAIL</v>
      </c>
    </row>
    <row r="89" customFormat="false" ht="15" hidden="false" customHeight="false" outlineLevel="0" collapsed="false">
      <c r="A89" s="11" t="s">
        <v>219</v>
      </c>
      <c r="B89" s="11" t="s">
        <v>19</v>
      </c>
      <c r="C89" s="11" t="s">
        <v>26</v>
      </c>
      <c r="D89" s="11" t="s">
        <v>128</v>
      </c>
      <c r="E89" s="11" t="s">
        <v>154</v>
      </c>
      <c r="F89" s="16"/>
      <c r="G89" s="17" t="n">
        <f aca="false">Inputs!$B$7</f>
        <v>0.025</v>
      </c>
      <c r="H89" s="16" t="n">
        <f aca="false">'Source Inputs'!I23</f>
        <v>1</v>
      </c>
      <c r="I89" s="17" t="n">
        <f aca="false">Inputs!$B$8</f>
        <v>0.025</v>
      </c>
      <c r="J89" s="16" t="str">
        <f aca="false">IF(ISNUMBER(F89),F89*(1-G89),"")</f>
        <v/>
      </c>
      <c r="K89" s="16" t="n">
        <f aca="false">IF(ISNUMBER(H89),H89*(1+I89),"")</f>
        <v>1.025</v>
      </c>
      <c r="L89" s="16" t="str">
        <f aca="false">IF(AND(ISNUMBER(J89),ISNUMBER(K89),K89&gt;0),J89/K89,"")</f>
        <v/>
      </c>
      <c r="M89" s="14" t="str">
        <f aca="false">IF(AND(ISNUMBER(F89),ISNUMBER(H89),H89&gt;0),(F89/H89-1)/(F89/H89+1),"")</f>
        <v/>
      </c>
      <c r="N89" s="15" t="str">
        <f aca="false">IF(AND(ISNUMBER(F89),ISNUMBER(H89)) ,"BOUNDED","UNBOUNDED")</f>
        <v>UNBOUNDED</v>
      </c>
      <c r="O89" s="15" t="str">
        <f aca="false">IF(N89="UNBOUNDED","HOLD",IF(L89&gt;=Inputs!$B$9,"CLOSE","FAIL"))</f>
        <v>HOLD</v>
      </c>
    </row>
    <row r="90" customFormat="false" ht="15" hidden="false" customHeight="false" outlineLevel="0" collapsed="false">
      <c r="A90" s="11" t="s">
        <v>220</v>
      </c>
      <c r="B90" s="11" t="s">
        <v>19</v>
      </c>
      <c r="C90" s="11" t="s">
        <v>26</v>
      </c>
      <c r="D90" s="11" t="s">
        <v>130</v>
      </c>
      <c r="E90" s="11" t="s">
        <v>154</v>
      </c>
      <c r="F90" s="16"/>
      <c r="G90" s="17" t="n">
        <f aca="false">Inputs!$B$7</f>
        <v>0.025</v>
      </c>
      <c r="H90" s="16" t="n">
        <f aca="false">'Source Inputs'!I23</f>
        <v>1</v>
      </c>
      <c r="I90" s="17" t="n">
        <f aca="false">Inputs!$B$8</f>
        <v>0.025</v>
      </c>
      <c r="J90" s="16" t="str">
        <f aca="false">IF(ISNUMBER(F90),F90*(1-G90),"")</f>
        <v/>
      </c>
      <c r="K90" s="16" t="n">
        <f aca="false">IF(ISNUMBER(H90),H90*(1+I90),"")</f>
        <v>1.025</v>
      </c>
      <c r="L90" s="16" t="str">
        <f aca="false">IF(AND(ISNUMBER(J90),ISNUMBER(K90),K90&gt;0),J90/K90,"")</f>
        <v/>
      </c>
      <c r="M90" s="14" t="str">
        <f aca="false">IF(AND(ISNUMBER(F90),ISNUMBER(H90),H90&gt;0),(F90/H90-1)/(F90/H90+1),"")</f>
        <v/>
      </c>
      <c r="N90" s="15" t="str">
        <f aca="false">IF(AND(ISNUMBER(F90),ISNUMBER(H90)) ,"BOUNDED","UNBOUNDED")</f>
        <v>UNBOUNDED</v>
      </c>
      <c r="O90" s="15" t="str">
        <f aca="false">IF(N90="UNBOUNDED","HOLD",IF(L90&gt;=Inputs!$B$9,"CLOSE","FAIL"))</f>
        <v>HOLD</v>
      </c>
    </row>
    <row r="91" customFormat="false" ht="15" hidden="false" customHeight="false" outlineLevel="0" collapsed="false">
      <c r="A91" s="11" t="s">
        <v>221</v>
      </c>
      <c r="B91" s="11" t="s">
        <v>19</v>
      </c>
      <c r="C91" s="11" t="s">
        <v>34</v>
      </c>
      <c r="D91" s="11" t="s">
        <v>123</v>
      </c>
      <c r="E91" s="11" t="s">
        <v>201</v>
      </c>
      <c r="F91" s="16" t="n">
        <f aca="false">'Source Inputs'!H24</f>
        <v>58.8</v>
      </c>
      <c r="G91" s="17" t="n">
        <f aca="false">Inputs!$B$7</f>
        <v>0.025</v>
      </c>
      <c r="H91" s="16" t="n">
        <f aca="false">'Source Inputs'!I24</f>
        <v>50</v>
      </c>
      <c r="I91" s="17" t="n">
        <f aca="false">Inputs!$B$8</f>
        <v>0.025</v>
      </c>
      <c r="J91" s="16" t="n">
        <f aca="false">IF(ISNUMBER(F91),F91*(1-G91),"")</f>
        <v>57.33</v>
      </c>
      <c r="K91" s="16" t="n">
        <f aca="false">IF(ISNUMBER(H91),H91*(1+I91),"")</f>
        <v>51.25</v>
      </c>
      <c r="L91" s="16" t="n">
        <f aca="false">IF(AND(ISNUMBER(J91),ISNUMBER(K91),K91&gt;0),J91/K91,"")</f>
        <v>1.11863414634146</v>
      </c>
      <c r="M91" s="14" t="n">
        <f aca="false">IF(AND(ISNUMBER(F91),ISNUMBER(H91),H91&gt;0),(F91/H91-1)/(F91/H91+1),"")</f>
        <v>0.0808823529411764</v>
      </c>
      <c r="N91" s="15" t="str">
        <f aca="false">IF(AND(ISNUMBER(F91),ISNUMBER(H91)) ,"BOUNDED","UNBOUNDED")</f>
        <v>BOUNDED</v>
      </c>
      <c r="O91" s="15" t="str">
        <f aca="false">IF(N91="UNBOUNDED","HOLD",IF(L91&gt;=Inputs!$B$9,"CLOSE","FAIL"))</f>
        <v>CLOSE</v>
      </c>
    </row>
    <row r="92" customFormat="false" ht="15" hidden="false" customHeight="false" outlineLevel="0" collapsed="false">
      <c r="A92" s="11" t="s">
        <v>222</v>
      </c>
      <c r="B92" s="11" t="s">
        <v>19</v>
      </c>
      <c r="C92" s="11" t="s">
        <v>34</v>
      </c>
      <c r="D92" s="11" t="s">
        <v>126</v>
      </c>
      <c r="E92" s="11" t="s">
        <v>201</v>
      </c>
      <c r="F92" s="16" t="n">
        <f aca="false">'Source Inputs'!J24</f>
        <v>51.45</v>
      </c>
      <c r="G92" s="17" t="n">
        <f aca="false">Inputs!$B$7</f>
        <v>0.025</v>
      </c>
      <c r="H92" s="16" t="n">
        <f aca="false">'Source Inputs'!K24</f>
        <v>50</v>
      </c>
      <c r="I92" s="17" t="n">
        <f aca="false">Inputs!$B$8</f>
        <v>0.025</v>
      </c>
      <c r="J92" s="16" t="n">
        <f aca="false">IF(ISNUMBER(F92),F92*(1-G92),"")</f>
        <v>50.16375</v>
      </c>
      <c r="K92" s="16" t="n">
        <f aca="false">IF(ISNUMBER(H92),H92*(1+I92),"")</f>
        <v>51.25</v>
      </c>
      <c r="L92" s="16" t="n">
        <f aca="false">IF(AND(ISNUMBER(J92),ISNUMBER(K92),K92&gt;0),J92/K92,"")</f>
        <v>0.978804878048781</v>
      </c>
      <c r="M92" s="14" t="n">
        <f aca="false">IF(AND(ISNUMBER(F92),ISNUMBER(H92),H92&gt;0),(F92/H92-1)/(F92/H92+1),"")</f>
        <v>0.0142927550517497</v>
      </c>
      <c r="N92" s="15" t="str">
        <f aca="false">IF(AND(ISNUMBER(F92),ISNUMBER(H92)) ,"BOUNDED","UNBOUNDED")</f>
        <v>BOUNDED</v>
      </c>
      <c r="O92" s="15" t="str">
        <f aca="false">IF(N92="UNBOUNDED","HOLD",IF(L92&gt;=Inputs!$B$9,"CLOSE","FAIL"))</f>
        <v>FAIL</v>
      </c>
    </row>
    <row r="93" customFormat="false" ht="15" hidden="false" customHeight="false" outlineLevel="0" collapsed="false">
      <c r="A93" s="11" t="s">
        <v>223</v>
      </c>
      <c r="B93" s="11" t="s">
        <v>19</v>
      </c>
      <c r="C93" s="11" t="s">
        <v>34</v>
      </c>
      <c r="D93" s="11" t="s">
        <v>128</v>
      </c>
      <c r="E93" s="11" t="s">
        <v>201</v>
      </c>
      <c r="F93" s="16"/>
      <c r="G93" s="17" t="n">
        <f aca="false">Inputs!$B$7</f>
        <v>0.025</v>
      </c>
      <c r="H93" s="16" t="n">
        <f aca="false">'Source Inputs'!I24</f>
        <v>50</v>
      </c>
      <c r="I93" s="17" t="n">
        <f aca="false">Inputs!$B$8</f>
        <v>0.025</v>
      </c>
      <c r="J93" s="16" t="str">
        <f aca="false">IF(ISNUMBER(F93),F93*(1-G93),"")</f>
        <v/>
      </c>
      <c r="K93" s="16" t="n">
        <f aca="false">IF(ISNUMBER(H93),H93*(1+I93),"")</f>
        <v>51.25</v>
      </c>
      <c r="L93" s="16" t="str">
        <f aca="false">IF(AND(ISNUMBER(J93),ISNUMBER(K93),K93&gt;0),J93/K93,"")</f>
        <v/>
      </c>
      <c r="M93" s="14" t="str">
        <f aca="false">IF(AND(ISNUMBER(F93),ISNUMBER(H93),H93&gt;0),(F93/H93-1)/(F93/H93+1),"")</f>
        <v/>
      </c>
      <c r="N93" s="15" t="str">
        <f aca="false">IF(AND(ISNUMBER(F93),ISNUMBER(H93)) ,"BOUNDED","UNBOUNDED")</f>
        <v>UNBOUNDED</v>
      </c>
      <c r="O93" s="15" t="str">
        <f aca="false">IF(N93="UNBOUNDED","HOLD",IF(L93&gt;=Inputs!$B$9,"CLOSE","FAIL"))</f>
        <v>HOLD</v>
      </c>
    </row>
    <row r="94" customFormat="false" ht="15" hidden="false" customHeight="false" outlineLevel="0" collapsed="false">
      <c r="A94" s="11" t="s">
        <v>224</v>
      </c>
      <c r="B94" s="11" t="s">
        <v>19</v>
      </c>
      <c r="C94" s="11" t="s">
        <v>34</v>
      </c>
      <c r="D94" s="11" t="s">
        <v>130</v>
      </c>
      <c r="E94" s="11" t="s">
        <v>201</v>
      </c>
      <c r="F94" s="16"/>
      <c r="G94" s="17" t="n">
        <f aca="false">Inputs!$B$7</f>
        <v>0.025</v>
      </c>
      <c r="H94" s="16" t="n">
        <f aca="false">'Source Inputs'!I24</f>
        <v>50</v>
      </c>
      <c r="I94" s="17" t="n">
        <f aca="false">Inputs!$B$8</f>
        <v>0.025</v>
      </c>
      <c r="J94" s="16" t="str">
        <f aca="false">IF(ISNUMBER(F94),F94*(1-G94),"")</f>
        <v/>
      </c>
      <c r="K94" s="16" t="n">
        <f aca="false">IF(ISNUMBER(H94),H94*(1+I94),"")</f>
        <v>51.25</v>
      </c>
      <c r="L94" s="16" t="str">
        <f aca="false">IF(AND(ISNUMBER(J94),ISNUMBER(K94),K94&gt;0),J94/K94,"")</f>
        <v/>
      </c>
      <c r="M94" s="14" t="str">
        <f aca="false">IF(AND(ISNUMBER(F94),ISNUMBER(H94),H94&gt;0),(F94/H94-1)/(F94/H94+1),"")</f>
        <v/>
      </c>
      <c r="N94" s="15" t="str">
        <f aca="false">IF(AND(ISNUMBER(F94),ISNUMBER(H94)) ,"BOUNDED","UNBOUNDED")</f>
        <v>UNBOUNDED</v>
      </c>
      <c r="O94" s="15" t="str">
        <f aca="false">IF(N94="UNBOUNDED","HOLD",IF(L94&gt;=Inputs!$B$9,"CLOSE","FAIL"))</f>
        <v>HOLD</v>
      </c>
    </row>
    <row r="95" customFormat="false" ht="15" hidden="false" customHeight="false" outlineLevel="0" collapsed="false">
      <c r="A95" s="11" t="s">
        <v>225</v>
      </c>
      <c r="B95" s="11" t="s">
        <v>19</v>
      </c>
      <c r="C95" s="11" t="s">
        <v>29</v>
      </c>
      <c r="D95" s="11" t="s">
        <v>123</v>
      </c>
      <c r="E95" s="11" t="s">
        <v>137</v>
      </c>
      <c r="F95" s="16" t="n">
        <f aca="false">'Source Inputs'!H25</f>
        <v>66</v>
      </c>
      <c r="G95" s="17" t="n">
        <f aca="false">Inputs!$B$7</f>
        <v>0.025</v>
      </c>
      <c r="H95" s="16" t="n">
        <f aca="false">'Source Inputs'!I25</f>
        <v>52</v>
      </c>
      <c r="I95" s="17" t="n">
        <f aca="false">Inputs!$B$8</f>
        <v>0.025</v>
      </c>
      <c r="J95" s="16" t="n">
        <f aca="false">IF(ISNUMBER(F95),F95*(1-G95),"")</f>
        <v>64.35</v>
      </c>
      <c r="K95" s="16" t="n">
        <f aca="false">IF(ISNUMBER(H95),H95*(1+I95),"")</f>
        <v>53.3</v>
      </c>
      <c r="L95" s="16" t="n">
        <f aca="false">IF(AND(ISNUMBER(J95),ISNUMBER(K95),K95&gt;0),J95/K95,"")</f>
        <v>1.20731707317073</v>
      </c>
      <c r="M95" s="14" t="n">
        <f aca="false">IF(AND(ISNUMBER(F95),ISNUMBER(H95),H95&gt;0),(F95/H95-1)/(F95/H95+1),"")</f>
        <v>0.11864406779661</v>
      </c>
      <c r="N95" s="15" t="str">
        <f aca="false">IF(AND(ISNUMBER(F95),ISNUMBER(H95)) ,"BOUNDED","UNBOUNDED")</f>
        <v>BOUNDED</v>
      </c>
      <c r="O95" s="15" t="str">
        <f aca="false">IF(N95="UNBOUNDED","HOLD",IF(L95&gt;=Inputs!$B$9,"CLOSE","FAIL"))</f>
        <v>CLOSE</v>
      </c>
    </row>
    <row r="96" customFormat="false" ht="15" hidden="false" customHeight="false" outlineLevel="0" collapsed="false">
      <c r="A96" s="11" t="s">
        <v>226</v>
      </c>
      <c r="B96" s="11" t="s">
        <v>19</v>
      </c>
      <c r="C96" s="11" t="s">
        <v>29</v>
      </c>
      <c r="D96" s="11" t="s">
        <v>126</v>
      </c>
      <c r="E96" s="11" t="s">
        <v>137</v>
      </c>
      <c r="F96" s="16" t="n">
        <f aca="false">'Source Inputs'!J25</f>
        <v>55</v>
      </c>
      <c r="G96" s="17" t="n">
        <f aca="false">Inputs!$B$7</f>
        <v>0.025</v>
      </c>
      <c r="H96" s="16" t="n">
        <f aca="false">'Source Inputs'!K25</f>
        <v>52</v>
      </c>
      <c r="I96" s="17" t="n">
        <f aca="false">Inputs!$B$8</f>
        <v>0.025</v>
      </c>
      <c r="J96" s="16" t="n">
        <f aca="false">IF(ISNUMBER(F96),F96*(1-G96),"")</f>
        <v>53.625</v>
      </c>
      <c r="K96" s="16" t="n">
        <f aca="false">IF(ISNUMBER(H96),H96*(1+I96),"")</f>
        <v>53.3</v>
      </c>
      <c r="L96" s="16" t="n">
        <f aca="false">IF(AND(ISNUMBER(J96),ISNUMBER(K96),K96&gt;0),J96/K96,"")</f>
        <v>1.00609756097561</v>
      </c>
      <c r="M96" s="14" t="n">
        <f aca="false">IF(AND(ISNUMBER(F96),ISNUMBER(H96),H96&gt;0),(F96/H96-1)/(F96/H96+1),"")</f>
        <v>0.0280373831775701</v>
      </c>
      <c r="N96" s="15" t="str">
        <f aca="false">IF(AND(ISNUMBER(F96),ISNUMBER(H96)) ,"BOUNDED","UNBOUNDED")</f>
        <v>BOUNDED</v>
      </c>
      <c r="O96" s="15" t="str">
        <f aca="false">IF(N96="UNBOUNDED","HOLD",IF(L96&gt;=Inputs!$B$9,"CLOSE","FAIL"))</f>
        <v>CLOSE</v>
      </c>
    </row>
    <row r="97" customFormat="false" ht="15" hidden="false" customHeight="false" outlineLevel="0" collapsed="false">
      <c r="A97" s="11" t="s">
        <v>227</v>
      </c>
      <c r="B97" s="11" t="s">
        <v>19</v>
      </c>
      <c r="C97" s="11" t="s">
        <v>29</v>
      </c>
      <c r="D97" s="11" t="s">
        <v>128</v>
      </c>
      <c r="E97" s="11" t="s">
        <v>137</v>
      </c>
      <c r="F97" s="16"/>
      <c r="G97" s="17" t="n">
        <f aca="false">Inputs!$B$7</f>
        <v>0.025</v>
      </c>
      <c r="H97" s="16" t="n">
        <f aca="false">'Source Inputs'!I25</f>
        <v>52</v>
      </c>
      <c r="I97" s="17" t="n">
        <f aca="false">Inputs!$B$8</f>
        <v>0.025</v>
      </c>
      <c r="J97" s="16" t="str">
        <f aca="false">IF(ISNUMBER(F97),F97*(1-G97),"")</f>
        <v/>
      </c>
      <c r="K97" s="16" t="n">
        <f aca="false">IF(ISNUMBER(H97),H97*(1+I97),"")</f>
        <v>53.3</v>
      </c>
      <c r="L97" s="16" t="str">
        <f aca="false">IF(AND(ISNUMBER(J97),ISNUMBER(K97),K97&gt;0),J97/K97,"")</f>
        <v/>
      </c>
      <c r="M97" s="14" t="str">
        <f aca="false">IF(AND(ISNUMBER(F97),ISNUMBER(H97),H97&gt;0),(F97/H97-1)/(F97/H97+1),"")</f>
        <v/>
      </c>
      <c r="N97" s="15" t="str">
        <f aca="false">IF(AND(ISNUMBER(F97),ISNUMBER(H97)) ,"BOUNDED","UNBOUNDED")</f>
        <v>UNBOUNDED</v>
      </c>
      <c r="O97" s="15" t="str">
        <f aca="false">IF(N97="UNBOUNDED","HOLD",IF(L97&gt;=Inputs!$B$9,"CLOSE","FAIL"))</f>
        <v>HOLD</v>
      </c>
    </row>
    <row r="98" customFormat="false" ht="15" hidden="false" customHeight="false" outlineLevel="0" collapsed="false">
      <c r="A98" s="11" t="s">
        <v>228</v>
      </c>
      <c r="B98" s="11" t="s">
        <v>19</v>
      </c>
      <c r="C98" s="11" t="s">
        <v>29</v>
      </c>
      <c r="D98" s="11" t="s">
        <v>130</v>
      </c>
      <c r="E98" s="11" t="s">
        <v>137</v>
      </c>
      <c r="F98" s="16"/>
      <c r="G98" s="17" t="n">
        <f aca="false">Inputs!$B$7</f>
        <v>0.025</v>
      </c>
      <c r="H98" s="16" t="n">
        <f aca="false">'Source Inputs'!I25</f>
        <v>52</v>
      </c>
      <c r="I98" s="17" t="n">
        <f aca="false">Inputs!$B$8</f>
        <v>0.025</v>
      </c>
      <c r="J98" s="16" t="str">
        <f aca="false">IF(ISNUMBER(F98),F98*(1-G98),"")</f>
        <v/>
      </c>
      <c r="K98" s="16" t="n">
        <f aca="false">IF(ISNUMBER(H98),H98*(1+I98),"")</f>
        <v>53.3</v>
      </c>
      <c r="L98" s="16" t="str">
        <f aca="false">IF(AND(ISNUMBER(J98),ISNUMBER(K98),K98&gt;0),J98/K98,"")</f>
        <v/>
      </c>
      <c r="M98" s="14" t="str">
        <f aca="false">IF(AND(ISNUMBER(F98),ISNUMBER(H98),H98&gt;0),(F98/H98-1)/(F98/H98+1),"")</f>
        <v/>
      </c>
      <c r="N98" s="15" t="str">
        <f aca="false">IF(AND(ISNUMBER(F98),ISNUMBER(H98)) ,"BOUNDED","UNBOUNDED")</f>
        <v>UNBOUNDED</v>
      </c>
      <c r="O98" s="15" t="str">
        <f aca="false">IF(N98="UNBOUNDED","HOLD",IF(L98&gt;=Inputs!$B$9,"CLOSE","FAIL"))</f>
        <v>HOLD</v>
      </c>
    </row>
    <row r="99" customFormat="false" ht="15" hidden="false" customHeight="false" outlineLevel="0" collapsed="false">
      <c r="A99" s="11" t="s">
        <v>229</v>
      </c>
      <c r="B99" s="11" t="s">
        <v>19</v>
      </c>
      <c r="C99" s="11" t="s">
        <v>142</v>
      </c>
      <c r="D99" s="11" t="s">
        <v>123</v>
      </c>
      <c r="E99" s="11" t="s">
        <v>143</v>
      </c>
      <c r="F99" s="16" t="n">
        <f aca="false">'Source Inputs'!H26</f>
        <v>441</v>
      </c>
      <c r="G99" s="17" t="n">
        <f aca="false">Inputs!$B$7</f>
        <v>0.025</v>
      </c>
      <c r="H99" s="16" t="n">
        <f aca="false">'Source Inputs'!I26</f>
        <v>350</v>
      </c>
      <c r="I99" s="17" t="n">
        <f aca="false">Inputs!$B$8</f>
        <v>0.025</v>
      </c>
      <c r="J99" s="16" t="n">
        <f aca="false">IF(ISNUMBER(F99),F99*(1-G99),"")</f>
        <v>429.975</v>
      </c>
      <c r="K99" s="16" t="n">
        <f aca="false">IF(ISNUMBER(H99),H99*(1+I99),"")</f>
        <v>358.75</v>
      </c>
      <c r="L99" s="16" t="n">
        <f aca="false">IF(AND(ISNUMBER(J99),ISNUMBER(K99),K99&gt;0),J99/K99,"")</f>
        <v>1.19853658536585</v>
      </c>
      <c r="M99" s="14" t="n">
        <f aca="false">IF(AND(ISNUMBER(F99),ISNUMBER(H99),H99&gt;0),(F99/H99-1)/(F99/H99+1),"")</f>
        <v>0.115044247787611</v>
      </c>
      <c r="N99" s="15" t="str">
        <f aca="false">IF(AND(ISNUMBER(F99),ISNUMBER(H99)) ,"BOUNDED","UNBOUNDED")</f>
        <v>BOUNDED</v>
      </c>
      <c r="O99" s="15" t="str">
        <f aca="false">IF(N99="UNBOUNDED","HOLD",IF(L99&gt;=Inputs!$B$9,"CLOSE","FAIL"))</f>
        <v>CLOSE</v>
      </c>
    </row>
    <row r="100" customFormat="false" ht="15" hidden="false" customHeight="false" outlineLevel="0" collapsed="false">
      <c r="A100" s="11" t="s">
        <v>230</v>
      </c>
      <c r="B100" s="11" t="s">
        <v>19</v>
      </c>
      <c r="C100" s="11" t="s">
        <v>142</v>
      </c>
      <c r="D100" s="11" t="s">
        <v>126</v>
      </c>
      <c r="E100" s="11" t="s">
        <v>143</v>
      </c>
      <c r="F100" s="16" t="n">
        <f aca="false">'Source Inputs'!J26</f>
        <v>367.5</v>
      </c>
      <c r="G100" s="17" t="n">
        <f aca="false">Inputs!$B$7</f>
        <v>0.025</v>
      </c>
      <c r="H100" s="16" t="n">
        <f aca="false">'Source Inputs'!K26</f>
        <v>350</v>
      </c>
      <c r="I100" s="17" t="n">
        <f aca="false">Inputs!$B$8</f>
        <v>0.025</v>
      </c>
      <c r="J100" s="16" t="n">
        <f aca="false">IF(ISNUMBER(F100),F100*(1-G100),"")</f>
        <v>358.3125</v>
      </c>
      <c r="K100" s="16" t="n">
        <f aca="false">IF(ISNUMBER(H100),H100*(1+I100),"")</f>
        <v>358.75</v>
      </c>
      <c r="L100" s="16" t="n">
        <f aca="false">IF(AND(ISNUMBER(J100),ISNUMBER(K100),K100&gt;0),J100/K100,"")</f>
        <v>0.998780487804878</v>
      </c>
      <c r="M100" s="14" t="n">
        <f aca="false">IF(AND(ISNUMBER(F100),ISNUMBER(H100),H100&gt;0),(F100/H100-1)/(F100/H100+1),"")</f>
        <v>0.0243902439024391</v>
      </c>
      <c r="N100" s="15" t="str">
        <f aca="false">IF(AND(ISNUMBER(F100),ISNUMBER(H100)) ,"BOUNDED","UNBOUNDED")</f>
        <v>BOUNDED</v>
      </c>
      <c r="O100" s="15" t="str">
        <f aca="false">IF(N100="UNBOUNDED","HOLD",IF(L100&gt;=Inputs!$B$9,"CLOSE","FAIL"))</f>
        <v>FAIL</v>
      </c>
    </row>
    <row r="101" customFormat="false" ht="15" hidden="false" customHeight="false" outlineLevel="0" collapsed="false">
      <c r="A101" s="11" t="s">
        <v>231</v>
      </c>
      <c r="B101" s="11" t="s">
        <v>19</v>
      </c>
      <c r="C101" s="11" t="s">
        <v>142</v>
      </c>
      <c r="D101" s="11" t="s">
        <v>128</v>
      </c>
      <c r="E101" s="11" t="s">
        <v>143</v>
      </c>
      <c r="F101" s="16"/>
      <c r="G101" s="17" t="n">
        <f aca="false">Inputs!$B$7</f>
        <v>0.025</v>
      </c>
      <c r="H101" s="16" t="n">
        <f aca="false">'Source Inputs'!I26</f>
        <v>350</v>
      </c>
      <c r="I101" s="17" t="n">
        <f aca="false">Inputs!$B$8</f>
        <v>0.025</v>
      </c>
      <c r="J101" s="16" t="str">
        <f aca="false">IF(ISNUMBER(F101),F101*(1-G101),"")</f>
        <v/>
      </c>
      <c r="K101" s="16" t="n">
        <f aca="false">IF(ISNUMBER(H101),H101*(1+I101),"")</f>
        <v>358.75</v>
      </c>
      <c r="L101" s="16" t="str">
        <f aca="false">IF(AND(ISNUMBER(J101),ISNUMBER(K101),K101&gt;0),J101/K101,"")</f>
        <v/>
      </c>
      <c r="M101" s="14" t="str">
        <f aca="false">IF(AND(ISNUMBER(F101),ISNUMBER(H101),H101&gt;0),(F101/H101-1)/(F101/H101+1),"")</f>
        <v/>
      </c>
      <c r="N101" s="15" t="str">
        <f aca="false">IF(AND(ISNUMBER(F101),ISNUMBER(H101)) ,"BOUNDED","UNBOUNDED")</f>
        <v>UNBOUNDED</v>
      </c>
      <c r="O101" s="15" t="str">
        <f aca="false">IF(N101="UNBOUNDED","HOLD",IF(L101&gt;=Inputs!$B$9,"CLOSE","FAIL"))</f>
        <v>HOLD</v>
      </c>
    </row>
    <row r="102" customFormat="false" ht="15" hidden="false" customHeight="false" outlineLevel="0" collapsed="false">
      <c r="A102" s="11" t="s">
        <v>232</v>
      </c>
      <c r="B102" s="11" t="s">
        <v>19</v>
      </c>
      <c r="C102" s="11" t="s">
        <v>142</v>
      </c>
      <c r="D102" s="11" t="s">
        <v>130</v>
      </c>
      <c r="E102" s="11" t="s">
        <v>143</v>
      </c>
      <c r="F102" s="16"/>
      <c r="G102" s="17" t="n">
        <f aca="false">Inputs!$B$7</f>
        <v>0.025</v>
      </c>
      <c r="H102" s="16" t="n">
        <f aca="false">'Source Inputs'!I26</f>
        <v>350</v>
      </c>
      <c r="I102" s="17" t="n">
        <f aca="false">Inputs!$B$8</f>
        <v>0.025</v>
      </c>
      <c r="J102" s="16" t="str">
        <f aca="false">IF(ISNUMBER(F102),F102*(1-G102),"")</f>
        <v/>
      </c>
      <c r="K102" s="16" t="n">
        <f aca="false">IF(ISNUMBER(H102),H102*(1+I102),"")</f>
        <v>358.75</v>
      </c>
      <c r="L102" s="16" t="str">
        <f aca="false">IF(AND(ISNUMBER(J102),ISNUMBER(K102),K102&gt;0),J102/K102,"")</f>
        <v/>
      </c>
      <c r="M102" s="14" t="str">
        <f aca="false">IF(AND(ISNUMBER(F102),ISNUMBER(H102),H102&gt;0),(F102/H102-1)/(F102/H102+1),"")</f>
        <v/>
      </c>
      <c r="N102" s="15" t="str">
        <f aca="false">IF(AND(ISNUMBER(F102),ISNUMBER(H102)) ,"BOUNDED","UNBOUNDED")</f>
        <v>UNBOUNDED</v>
      </c>
      <c r="O102" s="15" t="str">
        <f aca="false">IF(N102="UNBOUNDED","HOLD",IF(L102&gt;=Inputs!$B$9,"CLOSE","FAIL"))</f>
        <v>HOLD</v>
      </c>
    </row>
    <row r="103" customFormat="false" ht="15" hidden="false" customHeight="false" outlineLevel="0" collapsed="false">
      <c r="A103" s="11" t="s">
        <v>233</v>
      </c>
      <c r="B103" s="11" t="s">
        <v>19</v>
      </c>
      <c r="C103" s="11" t="s">
        <v>148</v>
      </c>
      <c r="D103" s="11" t="s">
        <v>123</v>
      </c>
      <c r="E103" s="11" t="s">
        <v>149</v>
      </c>
      <c r="F103" s="16"/>
      <c r="G103" s="17" t="n">
        <f aca="false">Inputs!$B$7</f>
        <v>0.025</v>
      </c>
      <c r="H103" s="16"/>
      <c r="I103" s="17" t="n">
        <f aca="false">Inputs!$B$8</f>
        <v>0.025</v>
      </c>
      <c r="J103" s="16" t="str">
        <f aca="false">IF(ISNUMBER(F103),F103*(1-G103),"")</f>
        <v/>
      </c>
      <c r="K103" s="16" t="str">
        <f aca="false">IF(ISNUMBER(H103),H103*(1+I103),"")</f>
        <v/>
      </c>
      <c r="L103" s="16" t="str">
        <f aca="false">IF(AND(ISNUMBER(J103),ISNUMBER(K103),K103&gt;0),J103/K103,"")</f>
        <v/>
      </c>
      <c r="M103" s="14" t="str">
        <f aca="false">IF(AND(ISNUMBER(F103),ISNUMBER(H103),H103&gt;0),(F103/H103-1)/(F103/H103+1),"")</f>
        <v/>
      </c>
      <c r="N103" s="15" t="str">
        <f aca="false">IF(AND(ISNUMBER(F103),ISNUMBER(H103)) ,"BOUNDED","UNBOUNDED")</f>
        <v>UNBOUNDED</v>
      </c>
      <c r="O103" s="15" t="str">
        <f aca="false">IF(N103="UNBOUNDED","HOLD",IF(L103&gt;=Inputs!$B$9,"CLOSE","FAIL"))</f>
        <v>HOLD</v>
      </c>
    </row>
    <row r="104" customFormat="false" ht="15" hidden="false" customHeight="false" outlineLevel="0" collapsed="false">
      <c r="A104" s="11" t="s">
        <v>234</v>
      </c>
      <c r="B104" s="11" t="s">
        <v>19</v>
      </c>
      <c r="C104" s="11" t="s">
        <v>148</v>
      </c>
      <c r="D104" s="11" t="s">
        <v>126</v>
      </c>
      <c r="E104" s="11" t="s">
        <v>149</v>
      </c>
      <c r="F104" s="16"/>
      <c r="G104" s="17" t="n">
        <f aca="false">Inputs!$B$7</f>
        <v>0.025</v>
      </c>
      <c r="H104" s="16"/>
      <c r="I104" s="17" t="n">
        <f aca="false">Inputs!$B$8</f>
        <v>0.025</v>
      </c>
      <c r="J104" s="16" t="str">
        <f aca="false">IF(ISNUMBER(F104),F104*(1-G104),"")</f>
        <v/>
      </c>
      <c r="K104" s="16" t="str">
        <f aca="false">IF(ISNUMBER(H104),H104*(1+I104),"")</f>
        <v/>
      </c>
      <c r="L104" s="16" t="str">
        <f aca="false">IF(AND(ISNUMBER(J104),ISNUMBER(K104),K104&gt;0),J104/K104,"")</f>
        <v/>
      </c>
      <c r="M104" s="14" t="str">
        <f aca="false">IF(AND(ISNUMBER(F104),ISNUMBER(H104),H104&gt;0),(F104/H104-1)/(F104/H104+1),"")</f>
        <v/>
      </c>
      <c r="N104" s="15" t="str">
        <f aca="false">IF(AND(ISNUMBER(F104),ISNUMBER(H104)) ,"BOUNDED","UNBOUNDED")</f>
        <v>UNBOUNDED</v>
      </c>
      <c r="O104" s="15" t="str">
        <f aca="false">IF(N104="UNBOUNDED","HOLD",IF(L104&gt;=Inputs!$B$9,"CLOSE","FAIL"))</f>
        <v>HOLD</v>
      </c>
    </row>
    <row r="105" customFormat="false" ht="15" hidden="false" customHeight="false" outlineLevel="0" collapsed="false">
      <c r="A105" s="11" t="s">
        <v>235</v>
      </c>
      <c r="B105" s="11" t="s">
        <v>19</v>
      </c>
      <c r="C105" s="11" t="s">
        <v>148</v>
      </c>
      <c r="D105" s="11" t="s">
        <v>128</v>
      </c>
      <c r="E105" s="11" t="s">
        <v>149</v>
      </c>
      <c r="F105" s="16"/>
      <c r="G105" s="17" t="n">
        <f aca="false">Inputs!$B$7</f>
        <v>0.025</v>
      </c>
      <c r="H105" s="16"/>
      <c r="I105" s="17" t="n">
        <f aca="false">Inputs!$B$8</f>
        <v>0.025</v>
      </c>
      <c r="J105" s="16" t="str">
        <f aca="false">IF(ISNUMBER(F105),F105*(1-G105),"")</f>
        <v/>
      </c>
      <c r="K105" s="16" t="str">
        <f aca="false">IF(ISNUMBER(H105),H105*(1+I105),"")</f>
        <v/>
      </c>
      <c r="L105" s="16" t="str">
        <f aca="false">IF(AND(ISNUMBER(J105),ISNUMBER(K105),K105&gt;0),J105/K105,"")</f>
        <v/>
      </c>
      <c r="M105" s="14" t="str">
        <f aca="false">IF(AND(ISNUMBER(F105),ISNUMBER(H105),H105&gt;0),(F105/H105-1)/(F105/H105+1),"")</f>
        <v/>
      </c>
      <c r="N105" s="15" t="str">
        <f aca="false">IF(AND(ISNUMBER(F105),ISNUMBER(H105)) ,"BOUNDED","UNBOUNDED")</f>
        <v>UNBOUNDED</v>
      </c>
      <c r="O105" s="15" t="str">
        <f aca="false">IF(N105="UNBOUNDED","HOLD",IF(L105&gt;=Inputs!$B$9,"CLOSE","FAIL"))</f>
        <v>HOLD</v>
      </c>
    </row>
    <row r="106" customFormat="false" ht="15" hidden="false" customHeight="false" outlineLevel="0" collapsed="false">
      <c r="A106" s="11" t="s">
        <v>236</v>
      </c>
      <c r="B106" s="11" t="s">
        <v>19</v>
      </c>
      <c r="C106" s="11" t="s">
        <v>148</v>
      </c>
      <c r="D106" s="11" t="s">
        <v>130</v>
      </c>
      <c r="E106" s="11" t="s">
        <v>149</v>
      </c>
      <c r="F106" s="16"/>
      <c r="G106" s="17" t="n">
        <f aca="false">Inputs!$B$7</f>
        <v>0.025</v>
      </c>
      <c r="H106" s="16"/>
      <c r="I106" s="17" t="n">
        <f aca="false">Inputs!$B$8</f>
        <v>0.025</v>
      </c>
      <c r="J106" s="16" t="str">
        <f aca="false">IF(ISNUMBER(F106),F106*(1-G106),"")</f>
        <v/>
      </c>
      <c r="K106" s="16" t="str">
        <f aca="false">IF(ISNUMBER(H106),H106*(1+I106),"")</f>
        <v/>
      </c>
      <c r="L106" s="16" t="str">
        <f aca="false">IF(AND(ISNUMBER(J106),ISNUMBER(K106),K106&gt;0),J106/K106,"")</f>
        <v/>
      </c>
      <c r="M106" s="14" t="str">
        <f aca="false">IF(AND(ISNUMBER(F106),ISNUMBER(H106),H106&gt;0),(F106/H106-1)/(F106/H106+1),"")</f>
        <v/>
      </c>
      <c r="N106" s="15" t="str">
        <f aca="false">IF(AND(ISNUMBER(F106),ISNUMBER(H106)) ,"BOUNDED","UNBOUNDED")</f>
        <v>UNBOUNDED</v>
      </c>
      <c r="O106" s="15" t="str">
        <f aca="false">IF(N106="UNBOUNDED","HOLD",IF(L106&gt;=Inputs!$B$9,"CLOSE","FAIL"))</f>
        <v>HOLD</v>
      </c>
    </row>
    <row r="107" customFormat="false" ht="15" hidden="false" customHeight="false" outlineLevel="0" collapsed="false">
      <c r="A107" s="11" t="s">
        <v>237</v>
      </c>
      <c r="B107" s="11" t="s">
        <v>22</v>
      </c>
      <c r="C107" s="11" t="s">
        <v>26</v>
      </c>
      <c r="D107" s="11" t="s">
        <v>123</v>
      </c>
      <c r="E107" s="11" t="s">
        <v>154</v>
      </c>
      <c r="F107" s="16" t="n">
        <f aca="false">'Source Inputs'!H27</f>
        <v>1.3</v>
      </c>
      <c r="G107" s="17" t="n">
        <f aca="false">Inputs!$B$7</f>
        <v>0.025</v>
      </c>
      <c r="H107" s="16" t="n">
        <f aca="false">'Source Inputs'!I27</f>
        <v>1</v>
      </c>
      <c r="I107" s="17" t="n">
        <f aca="false">Inputs!$B$8</f>
        <v>0.025</v>
      </c>
      <c r="J107" s="16" t="n">
        <f aca="false">IF(ISNUMBER(F107),F107*(1-G107),"")</f>
        <v>1.2675</v>
      </c>
      <c r="K107" s="16" t="n">
        <f aca="false">IF(ISNUMBER(H107),H107*(1+I107),"")</f>
        <v>1.025</v>
      </c>
      <c r="L107" s="16" t="n">
        <f aca="false">IF(AND(ISNUMBER(J107),ISNUMBER(K107),K107&gt;0),J107/K107,"")</f>
        <v>1.23658536585366</v>
      </c>
      <c r="M107" s="14" t="n">
        <f aca="false">IF(AND(ISNUMBER(F107),ISNUMBER(H107),H107&gt;0),(F107/H107-1)/(F107/H107+1),"")</f>
        <v>0.130434782608696</v>
      </c>
      <c r="N107" s="15" t="str">
        <f aca="false">IF(AND(ISNUMBER(F107),ISNUMBER(H107)) ,"BOUNDED","UNBOUNDED")</f>
        <v>BOUNDED</v>
      </c>
      <c r="O107" s="15" t="str">
        <f aca="false">IF(N107="UNBOUNDED","HOLD",IF(L107&gt;=Inputs!$B$9,"CLOSE","FAIL"))</f>
        <v>CLOSE</v>
      </c>
    </row>
    <row r="108" customFormat="false" ht="15" hidden="false" customHeight="false" outlineLevel="0" collapsed="false">
      <c r="A108" s="11" t="s">
        <v>238</v>
      </c>
      <c r="B108" s="11" t="s">
        <v>22</v>
      </c>
      <c r="C108" s="11" t="s">
        <v>26</v>
      </c>
      <c r="D108" s="11" t="s">
        <v>126</v>
      </c>
      <c r="E108" s="11" t="s">
        <v>154</v>
      </c>
      <c r="F108" s="16" t="n">
        <f aca="false">'Source Inputs'!J27</f>
        <v>1.04</v>
      </c>
      <c r="G108" s="17" t="n">
        <f aca="false">Inputs!$B$7</f>
        <v>0.025</v>
      </c>
      <c r="H108" s="16" t="n">
        <f aca="false">'Source Inputs'!K27</f>
        <v>1</v>
      </c>
      <c r="I108" s="17" t="n">
        <f aca="false">Inputs!$B$8</f>
        <v>0.025</v>
      </c>
      <c r="J108" s="16" t="n">
        <f aca="false">IF(ISNUMBER(F108),F108*(1-G108),"")</f>
        <v>1.014</v>
      </c>
      <c r="K108" s="16" t="n">
        <f aca="false">IF(ISNUMBER(H108),H108*(1+I108),"")</f>
        <v>1.025</v>
      </c>
      <c r="L108" s="16" t="n">
        <f aca="false">IF(AND(ISNUMBER(J108),ISNUMBER(K108),K108&gt;0),J108/K108,"")</f>
        <v>0.989268292682927</v>
      </c>
      <c r="M108" s="14" t="n">
        <f aca="false">IF(AND(ISNUMBER(F108),ISNUMBER(H108),H108&gt;0),(F108/H108-1)/(F108/H108+1),"")</f>
        <v>0.0196078431372549</v>
      </c>
      <c r="N108" s="15" t="str">
        <f aca="false">IF(AND(ISNUMBER(F108),ISNUMBER(H108)) ,"BOUNDED","UNBOUNDED")</f>
        <v>BOUNDED</v>
      </c>
      <c r="O108" s="15" t="str">
        <f aca="false">IF(N108="UNBOUNDED","HOLD",IF(L108&gt;=Inputs!$B$9,"CLOSE","FAIL"))</f>
        <v>FAIL</v>
      </c>
    </row>
    <row r="109" customFormat="false" ht="15" hidden="false" customHeight="false" outlineLevel="0" collapsed="false">
      <c r="A109" s="11" t="s">
        <v>239</v>
      </c>
      <c r="B109" s="11" t="s">
        <v>22</v>
      </c>
      <c r="C109" s="11" t="s">
        <v>26</v>
      </c>
      <c r="D109" s="11" t="s">
        <v>128</v>
      </c>
      <c r="E109" s="11" t="s">
        <v>154</v>
      </c>
      <c r="F109" s="16"/>
      <c r="G109" s="17" t="n">
        <f aca="false">Inputs!$B$7</f>
        <v>0.025</v>
      </c>
      <c r="H109" s="16" t="n">
        <f aca="false">'Source Inputs'!I27</f>
        <v>1</v>
      </c>
      <c r="I109" s="17" t="n">
        <f aca="false">Inputs!$B$8</f>
        <v>0.025</v>
      </c>
      <c r="J109" s="16" t="str">
        <f aca="false">IF(ISNUMBER(F109),F109*(1-G109),"")</f>
        <v/>
      </c>
      <c r="K109" s="16" t="n">
        <f aca="false">IF(ISNUMBER(H109),H109*(1+I109),"")</f>
        <v>1.025</v>
      </c>
      <c r="L109" s="16" t="str">
        <f aca="false">IF(AND(ISNUMBER(J109),ISNUMBER(K109),K109&gt;0),J109/K109,"")</f>
        <v/>
      </c>
      <c r="M109" s="14" t="str">
        <f aca="false">IF(AND(ISNUMBER(F109),ISNUMBER(H109),H109&gt;0),(F109/H109-1)/(F109/H109+1),"")</f>
        <v/>
      </c>
      <c r="N109" s="15" t="str">
        <f aca="false">IF(AND(ISNUMBER(F109),ISNUMBER(H109)) ,"BOUNDED","UNBOUNDED")</f>
        <v>UNBOUNDED</v>
      </c>
      <c r="O109" s="15" t="str">
        <f aca="false">IF(N109="UNBOUNDED","HOLD",IF(L109&gt;=Inputs!$B$9,"CLOSE","FAIL"))</f>
        <v>HOLD</v>
      </c>
    </row>
    <row r="110" customFormat="false" ht="15" hidden="false" customHeight="false" outlineLevel="0" collapsed="false">
      <c r="A110" s="11" t="s">
        <v>240</v>
      </c>
      <c r="B110" s="11" t="s">
        <v>22</v>
      </c>
      <c r="C110" s="11" t="s">
        <v>26</v>
      </c>
      <c r="D110" s="11" t="s">
        <v>130</v>
      </c>
      <c r="E110" s="11" t="s">
        <v>154</v>
      </c>
      <c r="F110" s="16"/>
      <c r="G110" s="17" t="n">
        <f aca="false">Inputs!$B$7</f>
        <v>0.025</v>
      </c>
      <c r="H110" s="16" t="n">
        <f aca="false">'Source Inputs'!I27</f>
        <v>1</v>
      </c>
      <c r="I110" s="17" t="n">
        <f aca="false">Inputs!$B$8</f>
        <v>0.025</v>
      </c>
      <c r="J110" s="16" t="str">
        <f aca="false">IF(ISNUMBER(F110),F110*(1-G110),"")</f>
        <v/>
      </c>
      <c r="K110" s="16" t="n">
        <f aca="false">IF(ISNUMBER(H110),H110*(1+I110),"")</f>
        <v>1.025</v>
      </c>
      <c r="L110" s="16" t="str">
        <f aca="false">IF(AND(ISNUMBER(J110),ISNUMBER(K110),K110&gt;0),J110/K110,"")</f>
        <v/>
      </c>
      <c r="M110" s="14" t="str">
        <f aca="false">IF(AND(ISNUMBER(F110),ISNUMBER(H110),H110&gt;0),(F110/H110-1)/(F110/H110+1),"")</f>
        <v/>
      </c>
      <c r="N110" s="15" t="str">
        <f aca="false">IF(AND(ISNUMBER(F110),ISNUMBER(H110)) ,"BOUNDED","UNBOUNDED")</f>
        <v>UNBOUNDED</v>
      </c>
      <c r="O110" s="15" t="str">
        <f aca="false">IF(N110="UNBOUNDED","HOLD",IF(L110&gt;=Inputs!$B$9,"CLOSE","FAIL"))</f>
        <v>HOLD</v>
      </c>
    </row>
    <row r="111" customFormat="false" ht="15" hidden="false" customHeight="false" outlineLevel="0" collapsed="false">
      <c r="A111" s="11" t="s">
        <v>241</v>
      </c>
      <c r="B111" s="11" t="s">
        <v>22</v>
      </c>
      <c r="C111" s="11" t="s">
        <v>34</v>
      </c>
      <c r="D111" s="11" t="s">
        <v>123</v>
      </c>
      <c r="E111" s="11" t="s">
        <v>132</v>
      </c>
      <c r="F111" s="16" t="n">
        <f aca="false">'Source Inputs'!H28</f>
        <v>84000</v>
      </c>
      <c r="G111" s="17" t="n">
        <f aca="false">Inputs!$B$7</f>
        <v>0.025</v>
      </c>
      <c r="H111" s="16" t="n">
        <f aca="false">'Source Inputs'!I28</f>
        <v>72000</v>
      </c>
      <c r="I111" s="17" t="n">
        <f aca="false">Inputs!$B$8</f>
        <v>0.025</v>
      </c>
      <c r="J111" s="16" t="n">
        <f aca="false">IF(ISNUMBER(F111),F111*(1-G111),"")</f>
        <v>81900</v>
      </c>
      <c r="K111" s="16" t="n">
        <f aca="false">IF(ISNUMBER(H111),H111*(1+I111),"")</f>
        <v>73800</v>
      </c>
      <c r="L111" s="16" t="n">
        <f aca="false">IF(AND(ISNUMBER(J111),ISNUMBER(K111),K111&gt;0),J111/K111,"")</f>
        <v>1.10975609756098</v>
      </c>
      <c r="M111" s="14" t="n">
        <f aca="false">IF(AND(ISNUMBER(F111),ISNUMBER(H111),H111&gt;0),(F111/H111-1)/(F111/H111+1),"")</f>
        <v>0.0769230769230769</v>
      </c>
      <c r="N111" s="15" t="str">
        <f aca="false">IF(AND(ISNUMBER(F111),ISNUMBER(H111)) ,"BOUNDED","UNBOUNDED")</f>
        <v>BOUNDED</v>
      </c>
      <c r="O111" s="15" t="str">
        <f aca="false">IF(N111="UNBOUNDED","HOLD",IF(L111&gt;=Inputs!$B$9,"CLOSE","FAIL"))</f>
        <v>CLOSE</v>
      </c>
    </row>
    <row r="112" customFormat="false" ht="15" hidden="false" customHeight="false" outlineLevel="0" collapsed="false">
      <c r="A112" s="11" t="s">
        <v>242</v>
      </c>
      <c r="B112" s="11" t="s">
        <v>22</v>
      </c>
      <c r="C112" s="11" t="s">
        <v>34</v>
      </c>
      <c r="D112" s="11" t="s">
        <v>126</v>
      </c>
      <c r="E112" s="11" t="s">
        <v>132</v>
      </c>
      <c r="F112" s="16" t="n">
        <f aca="false">'Source Inputs'!J28</f>
        <v>75600</v>
      </c>
      <c r="G112" s="17" t="n">
        <f aca="false">Inputs!$B$7</f>
        <v>0.025</v>
      </c>
      <c r="H112" s="16" t="n">
        <f aca="false">'Source Inputs'!K28</f>
        <v>72000</v>
      </c>
      <c r="I112" s="17" t="n">
        <f aca="false">Inputs!$B$8</f>
        <v>0.025</v>
      </c>
      <c r="J112" s="16" t="n">
        <f aca="false">IF(ISNUMBER(F112),F112*(1-G112),"")</f>
        <v>73710</v>
      </c>
      <c r="K112" s="16" t="n">
        <f aca="false">IF(ISNUMBER(H112),H112*(1+I112),"")</f>
        <v>73800</v>
      </c>
      <c r="L112" s="16" t="n">
        <f aca="false">IF(AND(ISNUMBER(J112),ISNUMBER(K112),K112&gt;0),J112/K112,"")</f>
        <v>0.998780487804878</v>
      </c>
      <c r="M112" s="14" t="n">
        <f aca="false">IF(AND(ISNUMBER(F112),ISNUMBER(H112),H112&gt;0),(F112/H112-1)/(F112/H112+1),"")</f>
        <v>0.0243902439024391</v>
      </c>
      <c r="N112" s="15" t="str">
        <f aca="false">IF(AND(ISNUMBER(F112),ISNUMBER(H112)) ,"BOUNDED","UNBOUNDED")</f>
        <v>BOUNDED</v>
      </c>
      <c r="O112" s="15" t="str">
        <f aca="false">IF(N112="UNBOUNDED","HOLD",IF(L112&gt;=Inputs!$B$9,"CLOSE","FAIL"))</f>
        <v>FAIL</v>
      </c>
    </row>
    <row r="113" customFormat="false" ht="15" hidden="false" customHeight="false" outlineLevel="0" collapsed="false">
      <c r="A113" s="11" t="s">
        <v>243</v>
      </c>
      <c r="B113" s="11" t="s">
        <v>22</v>
      </c>
      <c r="C113" s="11" t="s">
        <v>34</v>
      </c>
      <c r="D113" s="11" t="s">
        <v>128</v>
      </c>
      <c r="E113" s="11" t="s">
        <v>132</v>
      </c>
      <c r="F113" s="16"/>
      <c r="G113" s="17" t="n">
        <f aca="false">Inputs!$B$7</f>
        <v>0.025</v>
      </c>
      <c r="H113" s="16" t="n">
        <f aca="false">'Source Inputs'!I28</f>
        <v>72000</v>
      </c>
      <c r="I113" s="17" t="n">
        <f aca="false">Inputs!$B$8</f>
        <v>0.025</v>
      </c>
      <c r="J113" s="16" t="str">
        <f aca="false">IF(ISNUMBER(F113),F113*(1-G113),"")</f>
        <v/>
      </c>
      <c r="K113" s="16" t="n">
        <f aca="false">IF(ISNUMBER(H113),H113*(1+I113),"")</f>
        <v>73800</v>
      </c>
      <c r="L113" s="16" t="str">
        <f aca="false">IF(AND(ISNUMBER(J113),ISNUMBER(K113),K113&gt;0),J113/K113,"")</f>
        <v/>
      </c>
      <c r="M113" s="14" t="str">
        <f aca="false">IF(AND(ISNUMBER(F113),ISNUMBER(H113),H113&gt;0),(F113/H113-1)/(F113/H113+1),"")</f>
        <v/>
      </c>
      <c r="N113" s="15" t="str">
        <f aca="false">IF(AND(ISNUMBER(F113),ISNUMBER(H113)) ,"BOUNDED","UNBOUNDED")</f>
        <v>UNBOUNDED</v>
      </c>
      <c r="O113" s="15" t="str">
        <f aca="false">IF(N113="UNBOUNDED","HOLD",IF(L113&gt;=Inputs!$B$9,"CLOSE","FAIL"))</f>
        <v>HOLD</v>
      </c>
    </row>
    <row r="114" customFormat="false" ht="15" hidden="false" customHeight="false" outlineLevel="0" collapsed="false">
      <c r="A114" s="11" t="s">
        <v>244</v>
      </c>
      <c r="B114" s="11" t="s">
        <v>22</v>
      </c>
      <c r="C114" s="11" t="s">
        <v>34</v>
      </c>
      <c r="D114" s="11" t="s">
        <v>130</v>
      </c>
      <c r="E114" s="11" t="s">
        <v>132</v>
      </c>
      <c r="F114" s="16"/>
      <c r="G114" s="17" t="n">
        <f aca="false">Inputs!$B$7</f>
        <v>0.025</v>
      </c>
      <c r="H114" s="16" t="n">
        <f aca="false">'Source Inputs'!I28</f>
        <v>72000</v>
      </c>
      <c r="I114" s="17" t="n">
        <f aca="false">Inputs!$B$8</f>
        <v>0.025</v>
      </c>
      <c r="J114" s="16" t="str">
        <f aca="false">IF(ISNUMBER(F114),F114*(1-G114),"")</f>
        <v/>
      </c>
      <c r="K114" s="16" t="n">
        <f aca="false">IF(ISNUMBER(H114),H114*(1+I114),"")</f>
        <v>73800</v>
      </c>
      <c r="L114" s="16" t="str">
        <f aca="false">IF(AND(ISNUMBER(J114),ISNUMBER(K114),K114&gt;0),J114/K114,"")</f>
        <v/>
      </c>
      <c r="M114" s="14" t="str">
        <f aca="false">IF(AND(ISNUMBER(F114),ISNUMBER(H114),H114&gt;0),(F114/H114-1)/(F114/H114+1),"")</f>
        <v/>
      </c>
      <c r="N114" s="15" t="str">
        <f aca="false">IF(AND(ISNUMBER(F114),ISNUMBER(H114)) ,"BOUNDED","UNBOUNDED")</f>
        <v>UNBOUNDED</v>
      </c>
      <c r="O114" s="15" t="str">
        <f aca="false">IF(N114="UNBOUNDED","HOLD",IF(L114&gt;=Inputs!$B$9,"CLOSE","FAIL"))</f>
        <v>HOLD</v>
      </c>
    </row>
    <row r="115" customFormat="false" ht="15" hidden="false" customHeight="false" outlineLevel="0" collapsed="false">
      <c r="A115" s="11" t="s">
        <v>245</v>
      </c>
      <c r="B115" s="11" t="s">
        <v>22</v>
      </c>
      <c r="C115" s="11" t="s">
        <v>29</v>
      </c>
      <c r="D115" s="11" t="s">
        <v>123</v>
      </c>
      <c r="E115" s="11" t="s">
        <v>137</v>
      </c>
      <c r="F115" s="16" t="n">
        <f aca="false">'Source Inputs'!H29</f>
        <v>185.5</v>
      </c>
      <c r="G115" s="17" t="n">
        <f aca="false">Inputs!$B$7</f>
        <v>0.025</v>
      </c>
      <c r="H115" s="16" t="n">
        <f aca="false">'Source Inputs'!I29</f>
        <v>155</v>
      </c>
      <c r="I115" s="17" t="n">
        <f aca="false">Inputs!$B$8</f>
        <v>0.025</v>
      </c>
      <c r="J115" s="16" t="n">
        <f aca="false">IF(ISNUMBER(F115),F115*(1-G115),"")</f>
        <v>180.8625</v>
      </c>
      <c r="K115" s="16" t="n">
        <f aca="false">IF(ISNUMBER(H115),H115*(1+I115),"")</f>
        <v>158.875</v>
      </c>
      <c r="L115" s="16" t="n">
        <f aca="false">IF(AND(ISNUMBER(J115),ISNUMBER(K115),K115&gt;0),J115/K115,"")</f>
        <v>1.13839496459481</v>
      </c>
      <c r="M115" s="14" t="n">
        <f aca="false">IF(AND(ISNUMBER(F115),ISNUMBER(H115),H115&gt;0),(F115/H115-1)/(F115/H115+1),"")</f>
        <v>0.0895741556534508</v>
      </c>
      <c r="N115" s="15" t="str">
        <f aca="false">IF(AND(ISNUMBER(F115),ISNUMBER(H115)) ,"BOUNDED","UNBOUNDED")</f>
        <v>BOUNDED</v>
      </c>
      <c r="O115" s="15" t="str">
        <f aca="false">IF(N115="UNBOUNDED","HOLD",IF(L115&gt;=Inputs!$B$9,"CLOSE","FAIL"))</f>
        <v>CLOSE</v>
      </c>
    </row>
    <row r="116" customFormat="false" ht="15" hidden="false" customHeight="false" outlineLevel="0" collapsed="false">
      <c r="A116" s="11" t="s">
        <v>246</v>
      </c>
      <c r="B116" s="11" t="s">
        <v>22</v>
      </c>
      <c r="C116" s="11" t="s">
        <v>29</v>
      </c>
      <c r="D116" s="11" t="s">
        <v>126</v>
      </c>
      <c r="E116" s="11" t="s">
        <v>137</v>
      </c>
      <c r="F116" s="16" t="n">
        <f aca="false">'Source Inputs'!J29</f>
        <v>159</v>
      </c>
      <c r="G116" s="17" t="n">
        <f aca="false">Inputs!$B$7</f>
        <v>0.025</v>
      </c>
      <c r="H116" s="16" t="n">
        <f aca="false">'Source Inputs'!K29</f>
        <v>155</v>
      </c>
      <c r="I116" s="17" t="n">
        <f aca="false">Inputs!$B$8</f>
        <v>0.025</v>
      </c>
      <c r="J116" s="16" t="n">
        <f aca="false">IF(ISNUMBER(F116),F116*(1-G116),"")</f>
        <v>155.025</v>
      </c>
      <c r="K116" s="16" t="n">
        <f aca="false">IF(ISNUMBER(H116),H116*(1+I116),"")</f>
        <v>158.875</v>
      </c>
      <c r="L116" s="16" t="n">
        <f aca="false">IF(AND(ISNUMBER(J116),ISNUMBER(K116),K116&gt;0),J116/K116,"")</f>
        <v>0.975767112509835</v>
      </c>
      <c r="M116" s="14" t="n">
        <f aca="false">IF(AND(ISNUMBER(F116),ISNUMBER(H116),H116&gt;0),(F116/H116-1)/(F116/H116+1),"")</f>
        <v>0.0127388535031847</v>
      </c>
      <c r="N116" s="15" t="str">
        <f aca="false">IF(AND(ISNUMBER(F116),ISNUMBER(H116)) ,"BOUNDED","UNBOUNDED")</f>
        <v>BOUNDED</v>
      </c>
      <c r="O116" s="15" t="str">
        <f aca="false">IF(N116="UNBOUNDED","HOLD",IF(L116&gt;=Inputs!$B$9,"CLOSE","FAIL"))</f>
        <v>FAIL</v>
      </c>
    </row>
    <row r="117" customFormat="false" ht="15" hidden="false" customHeight="false" outlineLevel="0" collapsed="false">
      <c r="A117" s="11" t="s">
        <v>247</v>
      </c>
      <c r="B117" s="11" t="s">
        <v>22</v>
      </c>
      <c r="C117" s="11" t="s">
        <v>29</v>
      </c>
      <c r="D117" s="11" t="s">
        <v>128</v>
      </c>
      <c r="E117" s="11" t="s">
        <v>137</v>
      </c>
      <c r="F117" s="16"/>
      <c r="G117" s="17" t="n">
        <f aca="false">Inputs!$B$7</f>
        <v>0.025</v>
      </c>
      <c r="H117" s="16" t="n">
        <f aca="false">'Source Inputs'!I29</f>
        <v>155</v>
      </c>
      <c r="I117" s="17" t="n">
        <f aca="false">Inputs!$B$8</f>
        <v>0.025</v>
      </c>
      <c r="J117" s="16" t="str">
        <f aca="false">IF(ISNUMBER(F117),F117*(1-G117),"")</f>
        <v/>
      </c>
      <c r="K117" s="16" t="n">
        <f aca="false">IF(ISNUMBER(H117),H117*(1+I117),"")</f>
        <v>158.875</v>
      </c>
      <c r="L117" s="16" t="str">
        <f aca="false">IF(AND(ISNUMBER(J117),ISNUMBER(K117),K117&gt;0),J117/K117,"")</f>
        <v/>
      </c>
      <c r="M117" s="14" t="str">
        <f aca="false">IF(AND(ISNUMBER(F117),ISNUMBER(H117),H117&gt;0),(F117/H117-1)/(F117/H117+1),"")</f>
        <v/>
      </c>
      <c r="N117" s="15" t="str">
        <f aca="false">IF(AND(ISNUMBER(F117),ISNUMBER(H117)) ,"BOUNDED","UNBOUNDED")</f>
        <v>UNBOUNDED</v>
      </c>
      <c r="O117" s="15" t="str">
        <f aca="false">IF(N117="UNBOUNDED","HOLD",IF(L117&gt;=Inputs!$B$9,"CLOSE","FAIL"))</f>
        <v>HOLD</v>
      </c>
    </row>
    <row r="118" customFormat="false" ht="15" hidden="false" customHeight="false" outlineLevel="0" collapsed="false">
      <c r="A118" s="11" t="s">
        <v>248</v>
      </c>
      <c r="B118" s="11" t="s">
        <v>22</v>
      </c>
      <c r="C118" s="11" t="s">
        <v>29</v>
      </c>
      <c r="D118" s="11" t="s">
        <v>130</v>
      </c>
      <c r="E118" s="11" t="s">
        <v>137</v>
      </c>
      <c r="F118" s="16"/>
      <c r="G118" s="17" t="n">
        <f aca="false">Inputs!$B$7</f>
        <v>0.025</v>
      </c>
      <c r="H118" s="16" t="n">
        <f aca="false">'Source Inputs'!I29</f>
        <v>155</v>
      </c>
      <c r="I118" s="17" t="n">
        <f aca="false">Inputs!$B$8</f>
        <v>0.025</v>
      </c>
      <c r="J118" s="16" t="str">
        <f aca="false">IF(ISNUMBER(F118),F118*(1-G118),"")</f>
        <v/>
      </c>
      <c r="K118" s="16" t="n">
        <f aca="false">IF(ISNUMBER(H118),H118*(1+I118),"")</f>
        <v>158.875</v>
      </c>
      <c r="L118" s="16" t="str">
        <f aca="false">IF(AND(ISNUMBER(J118),ISNUMBER(K118),K118&gt;0),J118/K118,"")</f>
        <v/>
      </c>
      <c r="M118" s="14" t="str">
        <f aca="false">IF(AND(ISNUMBER(F118),ISNUMBER(H118),H118&gt;0),(F118/H118-1)/(F118/H118+1),"")</f>
        <v/>
      </c>
      <c r="N118" s="15" t="str">
        <f aca="false">IF(AND(ISNUMBER(F118),ISNUMBER(H118)) ,"BOUNDED","UNBOUNDED")</f>
        <v>UNBOUNDED</v>
      </c>
      <c r="O118" s="15" t="str">
        <f aca="false">IF(N118="UNBOUNDED","HOLD",IF(L118&gt;=Inputs!$B$9,"CLOSE","FAIL"))</f>
        <v>HOLD</v>
      </c>
    </row>
    <row r="119" customFormat="false" ht="15" hidden="false" customHeight="false" outlineLevel="0" collapsed="false">
      <c r="A119" s="11" t="s">
        <v>249</v>
      </c>
      <c r="B119" s="11" t="s">
        <v>22</v>
      </c>
      <c r="C119" s="11" t="s">
        <v>142</v>
      </c>
      <c r="D119" s="11" t="s">
        <v>123</v>
      </c>
      <c r="E119" s="11" t="s">
        <v>143</v>
      </c>
      <c r="F119" s="16" t="n">
        <f aca="false">'Source Inputs'!H30</f>
        <v>1512</v>
      </c>
      <c r="G119" s="17" t="n">
        <f aca="false">Inputs!$B$7</f>
        <v>0.025</v>
      </c>
      <c r="H119" s="16" t="n">
        <f aca="false">'Source Inputs'!I30</f>
        <v>1200</v>
      </c>
      <c r="I119" s="17" t="n">
        <f aca="false">Inputs!$B$8</f>
        <v>0.025</v>
      </c>
      <c r="J119" s="16" t="n">
        <f aca="false">IF(ISNUMBER(F119),F119*(1-G119),"")</f>
        <v>1474.2</v>
      </c>
      <c r="K119" s="16" t="n">
        <f aca="false">IF(ISNUMBER(H119),H119*(1+I119),"")</f>
        <v>1230</v>
      </c>
      <c r="L119" s="16" t="n">
        <f aca="false">IF(AND(ISNUMBER(J119),ISNUMBER(K119),K119&gt;0),J119/K119,"")</f>
        <v>1.19853658536585</v>
      </c>
      <c r="M119" s="14" t="n">
        <f aca="false">IF(AND(ISNUMBER(F119),ISNUMBER(H119),H119&gt;0),(F119/H119-1)/(F119/H119+1),"")</f>
        <v>0.115044247787611</v>
      </c>
      <c r="N119" s="15" t="str">
        <f aca="false">IF(AND(ISNUMBER(F119),ISNUMBER(H119)) ,"BOUNDED","UNBOUNDED")</f>
        <v>BOUNDED</v>
      </c>
      <c r="O119" s="15" t="str">
        <f aca="false">IF(N119="UNBOUNDED","HOLD",IF(L119&gt;=Inputs!$B$9,"CLOSE","FAIL"))</f>
        <v>CLOSE</v>
      </c>
    </row>
    <row r="120" customFormat="false" ht="15" hidden="false" customHeight="false" outlineLevel="0" collapsed="false">
      <c r="A120" s="11" t="s">
        <v>250</v>
      </c>
      <c r="B120" s="11" t="s">
        <v>22</v>
      </c>
      <c r="C120" s="11" t="s">
        <v>142</v>
      </c>
      <c r="D120" s="11" t="s">
        <v>126</v>
      </c>
      <c r="E120" s="11" t="s">
        <v>143</v>
      </c>
      <c r="F120" s="16" t="n">
        <f aca="false">'Source Inputs'!J30</f>
        <v>1260</v>
      </c>
      <c r="G120" s="17" t="n">
        <f aca="false">Inputs!$B$7</f>
        <v>0.025</v>
      </c>
      <c r="H120" s="16" t="n">
        <f aca="false">'Source Inputs'!K30</f>
        <v>1200</v>
      </c>
      <c r="I120" s="17" t="n">
        <f aca="false">Inputs!$B$8</f>
        <v>0.025</v>
      </c>
      <c r="J120" s="16" t="n">
        <f aca="false">IF(ISNUMBER(F120),F120*(1-G120),"")</f>
        <v>1228.5</v>
      </c>
      <c r="K120" s="16" t="n">
        <f aca="false">IF(ISNUMBER(H120),H120*(1+I120),"")</f>
        <v>1230</v>
      </c>
      <c r="L120" s="16" t="n">
        <f aca="false">IF(AND(ISNUMBER(J120),ISNUMBER(K120),K120&gt;0),J120/K120,"")</f>
        <v>0.998780487804878</v>
      </c>
      <c r="M120" s="14" t="n">
        <f aca="false">IF(AND(ISNUMBER(F120),ISNUMBER(H120),H120&gt;0),(F120/H120-1)/(F120/H120+1),"")</f>
        <v>0.0243902439024391</v>
      </c>
      <c r="N120" s="15" t="str">
        <f aca="false">IF(AND(ISNUMBER(F120),ISNUMBER(H120)) ,"BOUNDED","UNBOUNDED")</f>
        <v>BOUNDED</v>
      </c>
      <c r="O120" s="15" t="str">
        <f aca="false">IF(N120="UNBOUNDED","HOLD",IF(L120&gt;=Inputs!$B$9,"CLOSE","FAIL"))</f>
        <v>FAIL</v>
      </c>
    </row>
    <row r="121" customFormat="false" ht="15" hidden="false" customHeight="false" outlineLevel="0" collapsed="false">
      <c r="A121" s="11" t="s">
        <v>251</v>
      </c>
      <c r="B121" s="11" t="s">
        <v>22</v>
      </c>
      <c r="C121" s="11" t="s">
        <v>142</v>
      </c>
      <c r="D121" s="11" t="s">
        <v>128</v>
      </c>
      <c r="E121" s="11" t="s">
        <v>143</v>
      </c>
      <c r="F121" s="16"/>
      <c r="G121" s="17" t="n">
        <f aca="false">Inputs!$B$7</f>
        <v>0.025</v>
      </c>
      <c r="H121" s="16" t="n">
        <f aca="false">'Source Inputs'!I30</f>
        <v>1200</v>
      </c>
      <c r="I121" s="17" t="n">
        <f aca="false">Inputs!$B$8</f>
        <v>0.025</v>
      </c>
      <c r="J121" s="16" t="str">
        <f aca="false">IF(ISNUMBER(F121),F121*(1-G121),"")</f>
        <v/>
      </c>
      <c r="K121" s="16" t="n">
        <f aca="false">IF(ISNUMBER(H121),H121*(1+I121),"")</f>
        <v>1230</v>
      </c>
      <c r="L121" s="16" t="str">
        <f aca="false">IF(AND(ISNUMBER(J121),ISNUMBER(K121),K121&gt;0),J121/K121,"")</f>
        <v/>
      </c>
      <c r="M121" s="14" t="str">
        <f aca="false">IF(AND(ISNUMBER(F121),ISNUMBER(H121),H121&gt;0),(F121/H121-1)/(F121/H121+1),"")</f>
        <v/>
      </c>
      <c r="N121" s="15" t="str">
        <f aca="false">IF(AND(ISNUMBER(F121),ISNUMBER(H121)) ,"BOUNDED","UNBOUNDED")</f>
        <v>UNBOUNDED</v>
      </c>
      <c r="O121" s="15" t="str">
        <f aca="false">IF(N121="UNBOUNDED","HOLD",IF(L121&gt;=Inputs!$B$9,"CLOSE","FAIL"))</f>
        <v>HOLD</v>
      </c>
    </row>
    <row r="122" customFormat="false" ht="15" hidden="false" customHeight="false" outlineLevel="0" collapsed="false">
      <c r="A122" s="11" t="s">
        <v>252</v>
      </c>
      <c r="B122" s="11" t="s">
        <v>22</v>
      </c>
      <c r="C122" s="11" t="s">
        <v>142</v>
      </c>
      <c r="D122" s="11" t="s">
        <v>130</v>
      </c>
      <c r="E122" s="11" t="s">
        <v>143</v>
      </c>
      <c r="F122" s="16"/>
      <c r="G122" s="17" t="n">
        <f aca="false">Inputs!$B$7</f>
        <v>0.025</v>
      </c>
      <c r="H122" s="16" t="n">
        <f aca="false">'Source Inputs'!I30</f>
        <v>1200</v>
      </c>
      <c r="I122" s="17" t="n">
        <f aca="false">Inputs!$B$8</f>
        <v>0.025</v>
      </c>
      <c r="J122" s="16" t="str">
        <f aca="false">IF(ISNUMBER(F122),F122*(1-G122),"")</f>
        <v/>
      </c>
      <c r="K122" s="16" t="n">
        <f aca="false">IF(ISNUMBER(H122),H122*(1+I122),"")</f>
        <v>1230</v>
      </c>
      <c r="L122" s="16" t="str">
        <f aca="false">IF(AND(ISNUMBER(J122),ISNUMBER(K122),K122&gt;0),J122/K122,"")</f>
        <v/>
      </c>
      <c r="M122" s="14" t="str">
        <f aca="false">IF(AND(ISNUMBER(F122),ISNUMBER(H122),H122&gt;0),(F122/H122-1)/(F122/H122+1),"")</f>
        <v/>
      </c>
      <c r="N122" s="15" t="str">
        <f aca="false">IF(AND(ISNUMBER(F122),ISNUMBER(H122)) ,"BOUNDED","UNBOUNDED")</f>
        <v>UNBOUNDED</v>
      </c>
      <c r="O122" s="15" t="str">
        <f aca="false">IF(N122="UNBOUNDED","HOLD",IF(L122&gt;=Inputs!$B$9,"CLOSE","FAIL"))</f>
        <v>HOLD</v>
      </c>
    </row>
    <row r="123" customFormat="false" ht="15" hidden="false" customHeight="false" outlineLevel="0" collapsed="false">
      <c r="A123" s="11" t="s">
        <v>253</v>
      </c>
      <c r="B123" s="11" t="s">
        <v>22</v>
      </c>
      <c r="C123" s="11" t="s">
        <v>148</v>
      </c>
      <c r="D123" s="11" t="s">
        <v>123</v>
      </c>
      <c r="E123" s="11" t="s">
        <v>149</v>
      </c>
      <c r="F123" s="16"/>
      <c r="G123" s="17" t="n">
        <f aca="false">Inputs!$B$7</f>
        <v>0.025</v>
      </c>
      <c r="H123" s="16"/>
      <c r="I123" s="17" t="n">
        <f aca="false">Inputs!$B$8</f>
        <v>0.025</v>
      </c>
      <c r="J123" s="16" t="str">
        <f aca="false">IF(ISNUMBER(F123),F123*(1-G123),"")</f>
        <v/>
      </c>
      <c r="K123" s="16" t="str">
        <f aca="false">IF(ISNUMBER(H123),H123*(1+I123),"")</f>
        <v/>
      </c>
      <c r="L123" s="16" t="str">
        <f aca="false">IF(AND(ISNUMBER(J123),ISNUMBER(K123),K123&gt;0),J123/K123,"")</f>
        <v/>
      </c>
      <c r="M123" s="14" t="str">
        <f aca="false">IF(AND(ISNUMBER(F123),ISNUMBER(H123),H123&gt;0),(F123/H123-1)/(F123/H123+1),"")</f>
        <v/>
      </c>
      <c r="N123" s="15" t="str">
        <f aca="false">IF(AND(ISNUMBER(F123),ISNUMBER(H123)) ,"BOUNDED","UNBOUNDED")</f>
        <v>UNBOUNDED</v>
      </c>
      <c r="O123" s="15" t="str">
        <f aca="false">IF(N123="UNBOUNDED","HOLD",IF(L123&gt;=Inputs!$B$9,"CLOSE","FAIL"))</f>
        <v>HOLD</v>
      </c>
    </row>
    <row r="124" customFormat="false" ht="15" hidden="false" customHeight="false" outlineLevel="0" collapsed="false">
      <c r="A124" s="11" t="s">
        <v>254</v>
      </c>
      <c r="B124" s="11" t="s">
        <v>22</v>
      </c>
      <c r="C124" s="11" t="s">
        <v>148</v>
      </c>
      <c r="D124" s="11" t="s">
        <v>126</v>
      </c>
      <c r="E124" s="11" t="s">
        <v>149</v>
      </c>
      <c r="F124" s="16"/>
      <c r="G124" s="17" t="n">
        <f aca="false">Inputs!$B$7</f>
        <v>0.025</v>
      </c>
      <c r="H124" s="16"/>
      <c r="I124" s="17" t="n">
        <f aca="false">Inputs!$B$8</f>
        <v>0.025</v>
      </c>
      <c r="J124" s="16" t="str">
        <f aca="false">IF(ISNUMBER(F124),F124*(1-G124),"")</f>
        <v/>
      </c>
      <c r="K124" s="16" t="str">
        <f aca="false">IF(ISNUMBER(H124),H124*(1+I124),"")</f>
        <v/>
      </c>
      <c r="L124" s="16" t="str">
        <f aca="false">IF(AND(ISNUMBER(J124),ISNUMBER(K124),K124&gt;0),J124/K124,"")</f>
        <v/>
      </c>
      <c r="M124" s="14" t="str">
        <f aca="false">IF(AND(ISNUMBER(F124),ISNUMBER(H124),H124&gt;0),(F124/H124-1)/(F124/H124+1),"")</f>
        <v/>
      </c>
      <c r="N124" s="15" t="str">
        <f aca="false">IF(AND(ISNUMBER(F124),ISNUMBER(H124)) ,"BOUNDED","UNBOUNDED")</f>
        <v>UNBOUNDED</v>
      </c>
      <c r="O124" s="15" t="str">
        <f aca="false">IF(N124="UNBOUNDED","HOLD",IF(L124&gt;=Inputs!$B$9,"CLOSE","FAIL"))</f>
        <v>HOLD</v>
      </c>
    </row>
    <row r="125" customFormat="false" ht="15" hidden="false" customHeight="false" outlineLevel="0" collapsed="false">
      <c r="A125" s="11" t="s">
        <v>255</v>
      </c>
      <c r="B125" s="11" t="s">
        <v>22</v>
      </c>
      <c r="C125" s="11" t="s">
        <v>148</v>
      </c>
      <c r="D125" s="11" t="s">
        <v>128</v>
      </c>
      <c r="E125" s="11" t="s">
        <v>149</v>
      </c>
      <c r="F125" s="16"/>
      <c r="G125" s="17" t="n">
        <f aca="false">Inputs!$B$7</f>
        <v>0.025</v>
      </c>
      <c r="H125" s="16"/>
      <c r="I125" s="17" t="n">
        <f aca="false">Inputs!$B$8</f>
        <v>0.025</v>
      </c>
      <c r="J125" s="16" t="str">
        <f aca="false">IF(ISNUMBER(F125),F125*(1-G125),"")</f>
        <v/>
      </c>
      <c r="K125" s="16" t="str">
        <f aca="false">IF(ISNUMBER(H125),H125*(1+I125),"")</f>
        <v/>
      </c>
      <c r="L125" s="16" t="str">
        <f aca="false">IF(AND(ISNUMBER(J125),ISNUMBER(K125),K125&gt;0),J125/K125,"")</f>
        <v/>
      </c>
      <c r="M125" s="14" t="str">
        <f aca="false">IF(AND(ISNUMBER(F125),ISNUMBER(H125),H125&gt;0),(F125/H125-1)/(F125/H125+1),"")</f>
        <v/>
      </c>
      <c r="N125" s="15" t="str">
        <f aca="false">IF(AND(ISNUMBER(F125),ISNUMBER(H125)) ,"BOUNDED","UNBOUNDED")</f>
        <v>UNBOUNDED</v>
      </c>
      <c r="O125" s="15" t="str">
        <f aca="false">IF(N125="UNBOUNDED","HOLD",IF(L125&gt;=Inputs!$B$9,"CLOSE","FAIL"))</f>
        <v>HOLD</v>
      </c>
    </row>
    <row r="126" customFormat="false" ht="15" hidden="false" customHeight="false" outlineLevel="0" collapsed="false">
      <c r="A126" s="11" t="s">
        <v>256</v>
      </c>
      <c r="B126" s="11" t="s">
        <v>22</v>
      </c>
      <c r="C126" s="11" t="s">
        <v>148</v>
      </c>
      <c r="D126" s="11" t="s">
        <v>130</v>
      </c>
      <c r="E126" s="11" t="s">
        <v>149</v>
      </c>
      <c r="F126" s="16"/>
      <c r="G126" s="17" t="n">
        <f aca="false">Inputs!$B$7</f>
        <v>0.025</v>
      </c>
      <c r="H126" s="16"/>
      <c r="I126" s="17" t="n">
        <f aca="false">Inputs!$B$8</f>
        <v>0.025</v>
      </c>
      <c r="J126" s="16" t="str">
        <f aca="false">IF(ISNUMBER(F126),F126*(1-G126),"")</f>
        <v/>
      </c>
      <c r="K126" s="16" t="str">
        <f aca="false">IF(ISNUMBER(H126),H126*(1+I126),"")</f>
        <v/>
      </c>
      <c r="L126" s="16" t="str">
        <f aca="false">IF(AND(ISNUMBER(J126),ISNUMBER(K126),K126&gt;0),J126/K126,"")</f>
        <v/>
      </c>
      <c r="M126" s="14" t="str">
        <f aca="false">IF(AND(ISNUMBER(F126),ISNUMBER(H126),H126&gt;0),(F126/H126-1)/(F126/H126+1),"")</f>
        <v/>
      </c>
      <c r="N126" s="15" t="str">
        <f aca="false">IF(AND(ISNUMBER(F126),ISNUMBER(H126)) ,"BOUNDED","UNBOUNDED")</f>
        <v>UNBOUNDED</v>
      </c>
      <c r="O126" s="15" t="str">
        <f aca="false">IF(N126="UNBOUNDED","HOLD",IF(L126&gt;=Inputs!$B$9,"CLOSE","FAIL"))</f>
        <v>HOLD</v>
      </c>
    </row>
  </sheetData>
  <mergeCells count="2">
    <mergeCell ref="A2:O2"/>
    <mergeCell ref="A4:O4"/>
  </mergeCells>
  <conditionalFormatting sqref="N7:O126">
    <cfRule type="containsText" priority="2" operator="containsText" aboveAverage="0" equalAverage="0" bottom="0" percent="0" rank="0" text="FAIL" dxfId="10">
      <formula>NOT(ISERROR(SEARCH("FAIL",N7)))</formula>
    </cfRule>
    <cfRule type="containsText" priority="3" operator="containsText" aboveAverage="0" equalAverage="0" bottom="0" percent="0" rank="0" text="HOLD" dxfId="11">
      <formula>NOT(ISERROR(SEARCH("HOLD",N7)))</formula>
    </cfRule>
    <cfRule type="containsText" priority="4" operator="containsText" aboveAverage="0" equalAverage="0" bottom="0" percent="0" rank="0" text="OPEN" dxfId="12">
      <formula>NOT(ISERROR(SEARCH("OPEN",N7)))</formula>
    </cfRule>
    <cfRule type="containsText" priority="5" operator="containsText" aboveAverage="0" equalAverage="0" bottom="0" percent="0" rank="0" text="UPRATE" dxfId="13">
      <formula>NOT(ISERROR(SEARCH("UPRATE",N7)))</formula>
    </cfRule>
    <cfRule type="containsText" priority="6" operator="containsText" aboveAverage="0" equalAverage="0" bottom="0" percent="0" rank="0" text="SELECT" dxfId="14">
      <formula>NOT(ISERROR(SEARCH("SELECT",N7)))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3" min="2" style="0" width="1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20"/>
    <col collapsed="false" customWidth="true" hidden="false" outlineLevel="0" max="9" min="9" style="0" width="15"/>
    <col collapsed="false" customWidth="true" hidden="false" outlineLevel="0" max="10" min="10" style="0" width="19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12"/>
    <col collapsed="false" customWidth="true" hidden="false" outlineLevel="0" max="14" min="14" style="0" width="60"/>
  </cols>
  <sheetData>
    <row r="1" customFormat="false" ht="8" hidden="false" customHeight="true" outlineLevel="0" collapsed="false"/>
    <row r="2" customFormat="false" ht="23" hidden="false" customHeight="true" outlineLevel="0" collapsed="false">
      <c r="A2" s="1" t="s">
        <v>257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258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31" hidden="false" customHeight="true" outlineLevel="0" collapsed="false">
      <c r="A6" s="10" t="s">
        <v>259</v>
      </c>
      <c r="B6" s="10" t="s">
        <v>3</v>
      </c>
      <c r="C6" s="10" t="s">
        <v>111</v>
      </c>
      <c r="D6" s="10" t="s">
        <v>113</v>
      </c>
      <c r="E6" s="10" t="s">
        <v>260</v>
      </c>
      <c r="F6" s="10" t="s">
        <v>261</v>
      </c>
      <c r="G6" s="10" t="s">
        <v>262</v>
      </c>
      <c r="H6" s="10" t="s">
        <v>89</v>
      </c>
      <c r="I6" s="10" t="s">
        <v>263</v>
      </c>
      <c r="J6" s="10" t="s">
        <v>264</v>
      </c>
      <c r="K6" s="10" t="s">
        <v>265</v>
      </c>
      <c r="L6" s="10" t="s">
        <v>266</v>
      </c>
      <c r="M6" s="10" t="s">
        <v>267</v>
      </c>
      <c r="N6" s="10" t="s">
        <v>268</v>
      </c>
      <c r="O6" s="2"/>
    </row>
    <row r="7" customFormat="false" ht="15" hidden="false" customHeight="false" outlineLevel="0" collapsed="false">
      <c r="A7" s="11" t="s">
        <v>269</v>
      </c>
      <c r="B7" s="11" t="s">
        <v>6</v>
      </c>
      <c r="C7" s="11" t="s">
        <v>26</v>
      </c>
      <c r="D7" s="11" t="s">
        <v>124</v>
      </c>
      <c r="E7" s="16" t="n">
        <f aca="false">'Source Inputs'!J7</f>
        <v>241</v>
      </c>
      <c r="F7" s="16" t="n">
        <f aca="false">'Source Inputs'!K7</f>
        <v>234.583333333333</v>
      </c>
      <c r="G7" s="16" t="n">
        <f aca="false">E7/F7</f>
        <v>1.02735346358792</v>
      </c>
      <c r="H7" s="14" t="n">
        <f aca="false">(G7-1)/(G7+1)</f>
        <v>0.0134922025582625</v>
      </c>
      <c r="I7" s="16" t="n">
        <f aca="false">Inputs!$B$10</f>
        <v>1.05128205128205</v>
      </c>
      <c r="J7" s="16" t="n">
        <f aca="false">F7*I7</f>
        <v>246.613247863248</v>
      </c>
      <c r="K7" s="16" t="n">
        <f aca="false">MAX(0,J7-E7)</f>
        <v>5.61324786324752</v>
      </c>
      <c r="L7" s="14" t="n">
        <f aca="false">MAX(0,J7/E7-1)</f>
        <v>0.0232914849097408</v>
      </c>
      <c r="M7" s="15" t="str">
        <f aca="false">IF(E7&gt;=J7,"RETAIN","UPRATE")</f>
        <v>UPRATE</v>
      </c>
      <c r="N7" s="11" t="s">
        <v>97</v>
      </c>
      <c r="O7" s="2"/>
    </row>
    <row r="8" customFormat="false" ht="15" hidden="false" customHeight="false" outlineLevel="0" collapsed="false">
      <c r="A8" s="11" t="s">
        <v>270</v>
      </c>
      <c r="B8" s="11" t="s">
        <v>6</v>
      </c>
      <c r="C8" s="11" t="s">
        <v>34</v>
      </c>
      <c r="D8" s="11" t="s">
        <v>132</v>
      </c>
      <c r="E8" s="16" t="n">
        <f aca="false">'Source Inputs'!J8</f>
        <v>112000</v>
      </c>
      <c r="F8" s="16" t="n">
        <f aca="false">'Source Inputs'!K8</f>
        <v>102000</v>
      </c>
      <c r="G8" s="16" t="n">
        <f aca="false">E8/F8</f>
        <v>1.09803921568627</v>
      </c>
      <c r="H8" s="14" t="n">
        <f aca="false">(G8-1)/(G8+1)</f>
        <v>0.0467289719626169</v>
      </c>
      <c r="I8" s="16" t="n">
        <f aca="false">Inputs!$B$10</f>
        <v>1.05128205128205</v>
      </c>
      <c r="J8" s="16" t="n">
        <f aca="false">F8*I8</f>
        <v>107230.769230769</v>
      </c>
      <c r="K8" s="16" t="n">
        <f aca="false">MAX(0,J8-E8)</f>
        <v>0</v>
      </c>
      <c r="L8" s="14" t="n">
        <f aca="false">MAX(0,J8/E8-1)</f>
        <v>0</v>
      </c>
      <c r="M8" s="15" t="str">
        <f aca="false">IF(E8&gt;=J8,"RETAIN","UPRATE")</f>
        <v>RETAIN</v>
      </c>
      <c r="N8" s="11" t="s">
        <v>271</v>
      </c>
      <c r="O8" s="2"/>
    </row>
    <row r="9" customFormat="false" ht="15" hidden="false" customHeight="false" outlineLevel="0" collapsed="false">
      <c r="A9" s="11" t="s">
        <v>272</v>
      </c>
      <c r="B9" s="11" t="s">
        <v>6</v>
      </c>
      <c r="C9" s="11" t="s">
        <v>29</v>
      </c>
      <c r="D9" s="11" t="s">
        <v>137</v>
      </c>
      <c r="E9" s="16" t="n">
        <f aca="false">'Source Inputs'!J9</f>
        <v>100</v>
      </c>
      <c r="F9" s="16" t="n">
        <f aca="false">'Source Inputs'!K9</f>
        <v>96</v>
      </c>
      <c r="G9" s="16" t="n">
        <f aca="false">E9/F9</f>
        <v>1.04166666666667</v>
      </c>
      <c r="H9" s="14" t="n">
        <f aca="false">(G9-1)/(G9+1)</f>
        <v>0.0204081632653062</v>
      </c>
      <c r="I9" s="16" t="n">
        <f aca="false">Inputs!$B$10</f>
        <v>1.05128205128205</v>
      </c>
      <c r="J9" s="16" t="n">
        <f aca="false">F9*I9</f>
        <v>100.923076923077</v>
      </c>
      <c r="K9" s="16" t="n">
        <f aca="false">MAX(0,J9-E9)</f>
        <v>0.923076923076934</v>
      </c>
      <c r="L9" s="14" t="n">
        <f aca="false">MAX(0,J9/E9-1)</f>
        <v>0.00923076923076938</v>
      </c>
      <c r="M9" s="15" t="str">
        <f aca="false">IF(E9&gt;=J9,"RETAIN","UPRATE")</f>
        <v>UPRATE</v>
      </c>
      <c r="N9" s="11" t="s">
        <v>273</v>
      </c>
      <c r="O9" s="2"/>
    </row>
    <row r="10" customFormat="false" ht="15" hidden="false" customHeight="false" outlineLevel="0" collapsed="false">
      <c r="A10" s="11" t="s">
        <v>274</v>
      </c>
      <c r="B10" s="11" t="s">
        <v>6</v>
      </c>
      <c r="C10" s="11" t="s">
        <v>142</v>
      </c>
      <c r="D10" s="11" t="s">
        <v>143</v>
      </c>
      <c r="E10" s="16" t="n">
        <f aca="false">'Source Inputs'!J10</f>
        <v>1260</v>
      </c>
      <c r="F10" s="16" t="n">
        <f aca="false">'Source Inputs'!K10</f>
        <v>1200</v>
      </c>
      <c r="G10" s="16" t="n">
        <f aca="false">E10/F10</f>
        <v>1.05</v>
      </c>
      <c r="H10" s="14" t="n">
        <f aca="false">(G10-1)/(G10+1)</f>
        <v>0.0243902439024391</v>
      </c>
      <c r="I10" s="16" t="n">
        <f aca="false">Inputs!$B$10</f>
        <v>1.05128205128205</v>
      </c>
      <c r="J10" s="16" t="n">
        <f aca="false">F10*I10</f>
        <v>1261.53846153846</v>
      </c>
      <c r="K10" s="16" t="n">
        <f aca="false">MAX(0,J10-E10)</f>
        <v>1.53846153846166</v>
      </c>
      <c r="L10" s="14" t="n">
        <f aca="false">MAX(0,J10/E10-1)</f>
        <v>0.00122100122100122</v>
      </c>
      <c r="M10" s="15" t="str">
        <f aca="false">IF(E10&gt;=J10,"RETAIN","UPRATE")</f>
        <v>UPRATE</v>
      </c>
      <c r="N10" s="11" t="s">
        <v>275</v>
      </c>
      <c r="O10" s="2"/>
    </row>
    <row r="11" customFormat="false" ht="15" hidden="false" customHeight="false" outlineLevel="0" collapsed="false">
      <c r="A11" s="11" t="s">
        <v>276</v>
      </c>
      <c r="B11" s="11" t="s">
        <v>10</v>
      </c>
      <c r="C11" s="11" t="s">
        <v>26</v>
      </c>
      <c r="D11" s="11" t="s">
        <v>154</v>
      </c>
      <c r="E11" s="16" t="n">
        <f aca="false">'Source Inputs'!J11</f>
        <v>1.056</v>
      </c>
      <c r="F11" s="16" t="n">
        <f aca="false">'Source Inputs'!K11</f>
        <v>1</v>
      </c>
      <c r="G11" s="16" t="n">
        <f aca="false">E11/F11</f>
        <v>1.056</v>
      </c>
      <c r="H11" s="14" t="n">
        <f aca="false">(G11-1)/(G11+1)</f>
        <v>0.0272373540856031</v>
      </c>
      <c r="I11" s="16" t="n">
        <f aca="false">Inputs!$B$10</f>
        <v>1.05128205128205</v>
      </c>
      <c r="J11" s="16" t="n">
        <f aca="false">F11*I11</f>
        <v>1.05128205128205</v>
      </c>
      <c r="K11" s="16" t="n">
        <f aca="false">MAX(0,J11-E11)</f>
        <v>0</v>
      </c>
      <c r="L11" s="14" t="n">
        <f aca="false">MAX(0,J11/E11-1)</f>
        <v>0</v>
      </c>
      <c r="M11" s="15" t="str">
        <f aca="false">IF(E11&gt;=J11,"RETAIN","UPRATE")</f>
        <v>RETAIN</v>
      </c>
      <c r="N11" s="11" t="s">
        <v>277</v>
      </c>
      <c r="O11" s="2"/>
    </row>
    <row r="12" customFormat="false" ht="15" hidden="false" customHeight="false" outlineLevel="0" collapsed="false">
      <c r="A12" s="11" t="s">
        <v>278</v>
      </c>
      <c r="B12" s="11" t="s">
        <v>10</v>
      </c>
      <c r="C12" s="11" t="s">
        <v>34</v>
      </c>
      <c r="D12" s="11" t="s">
        <v>132</v>
      </c>
      <c r="E12" s="16" t="n">
        <f aca="false">'Source Inputs'!J12</f>
        <v>32400</v>
      </c>
      <c r="F12" s="16" t="n">
        <f aca="false">'Source Inputs'!K12</f>
        <v>31000</v>
      </c>
      <c r="G12" s="16" t="n">
        <f aca="false">E12/F12</f>
        <v>1.04516129032258</v>
      </c>
      <c r="H12" s="14" t="n">
        <f aca="false">(G12-1)/(G12+1)</f>
        <v>0.0220820189274448</v>
      </c>
      <c r="I12" s="16" t="n">
        <f aca="false">Inputs!$B$10</f>
        <v>1.05128205128205</v>
      </c>
      <c r="J12" s="16" t="n">
        <f aca="false">F12*I12</f>
        <v>32589.7435897436</v>
      </c>
      <c r="K12" s="16" t="n">
        <f aca="false">MAX(0,J12-E12)</f>
        <v>189.74358974359</v>
      </c>
      <c r="L12" s="14" t="n">
        <f aca="false">MAX(0,J12/E12-1)</f>
        <v>0.00585628363406143</v>
      </c>
      <c r="M12" s="15" t="str">
        <f aca="false">IF(E12&gt;=J12,"RETAIN","UPRATE")</f>
        <v>UPRATE</v>
      </c>
      <c r="N12" s="11" t="s">
        <v>271</v>
      </c>
      <c r="O12" s="2"/>
    </row>
    <row r="13" customFormat="false" ht="15" hidden="false" customHeight="false" outlineLevel="0" collapsed="false">
      <c r="A13" s="11" t="s">
        <v>279</v>
      </c>
      <c r="B13" s="11" t="s">
        <v>10</v>
      </c>
      <c r="C13" s="11" t="s">
        <v>29</v>
      </c>
      <c r="D13" s="11" t="s">
        <v>137</v>
      </c>
      <c r="E13" s="16" t="n">
        <f aca="false">'Source Inputs'!J13</f>
        <v>43.2</v>
      </c>
      <c r="F13" s="16" t="n">
        <f aca="false">'Source Inputs'!K13</f>
        <v>42</v>
      </c>
      <c r="G13" s="16" t="n">
        <f aca="false">E13/F13</f>
        <v>1.02857142857143</v>
      </c>
      <c r="H13" s="14" t="n">
        <f aca="false">(G13-1)/(G13+1)</f>
        <v>0.0140845070422536</v>
      </c>
      <c r="I13" s="16" t="n">
        <f aca="false">Inputs!$B$10</f>
        <v>1.05128205128205</v>
      </c>
      <c r="J13" s="16" t="n">
        <f aca="false">F13*I13</f>
        <v>44.1538461538462</v>
      </c>
      <c r="K13" s="16" t="n">
        <f aca="false">MAX(0,J13-E13)</f>
        <v>0.953846153846151</v>
      </c>
      <c r="L13" s="14" t="n">
        <f aca="false">MAX(0,J13/E13-1)</f>
        <v>0.0220797720797721</v>
      </c>
      <c r="M13" s="15" t="str">
        <f aca="false">IF(E13&gt;=J13,"RETAIN","UPRATE")</f>
        <v>UPRATE</v>
      </c>
      <c r="N13" s="11" t="s">
        <v>99</v>
      </c>
      <c r="O13" s="2"/>
    </row>
    <row r="14" customFormat="false" ht="15" hidden="false" customHeight="false" outlineLevel="0" collapsed="false">
      <c r="A14" s="11" t="s">
        <v>280</v>
      </c>
      <c r="B14" s="11" t="s">
        <v>10</v>
      </c>
      <c r="C14" s="11" t="s">
        <v>142</v>
      </c>
      <c r="D14" s="11" t="s">
        <v>143</v>
      </c>
      <c r="E14" s="16" t="n">
        <f aca="false">'Source Inputs'!J14</f>
        <v>231</v>
      </c>
      <c r="F14" s="16" t="n">
        <f aca="false">'Source Inputs'!K14</f>
        <v>220</v>
      </c>
      <c r="G14" s="16" t="n">
        <f aca="false">E14/F14</f>
        <v>1.05</v>
      </c>
      <c r="H14" s="14" t="n">
        <f aca="false">(G14-1)/(G14+1)</f>
        <v>0.0243902439024391</v>
      </c>
      <c r="I14" s="16" t="n">
        <f aca="false">Inputs!$B$10</f>
        <v>1.05128205128205</v>
      </c>
      <c r="J14" s="16" t="n">
        <f aca="false">F14*I14</f>
        <v>231.282051282051</v>
      </c>
      <c r="K14" s="16" t="n">
        <f aca="false">MAX(0,J14-E14)</f>
        <v>0.282051282051299</v>
      </c>
      <c r="L14" s="14" t="n">
        <f aca="false">MAX(0,J14/E14-1)</f>
        <v>0.00122100122100122</v>
      </c>
      <c r="M14" s="15" t="str">
        <f aca="false">IF(E14&gt;=J14,"RETAIN","UPRATE")</f>
        <v>UPRATE</v>
      </c>
      <c r="N14" s="11" t="s">
        <v>275</v>
      </c>
      <c r="O14" s="2"/>
    </row>
    <row r="15" customFormat="false" ht="15" hidden="false" customHeight="false" outlineLevel="0" collapsed="false">
      <c r="A15" s="11" t="s">
        <v>281</v>
      </c>
      <c r="B15" s="11" t="s">
        <v>13</v>
      </c>
      <c r="C15" s="11" t="s">
        <v>26</v>
      </c>
      <c r="D15" s="11" t="s">
        <v>175</v>
      </c>
      <c r="E15" s="16" t="n">
        <f aca="false">'Source Inputs'!J15</f>
        <v>106</v>
      </c>
      <c r="F15" s="16" t="n">
        <f aca="false">'Source Inputs'!K15</f>
        <v>103</v>
      </c>
      <c r="G15" s="16" t="n">
        <f aca="false">E15/F15</f>
        <v>1.02912621359223</v>
      </c>
      <c r="H15" s="14" t="n">
        <f aca="false">(G15-1)/(G15+1)</f>
        <v>0.0143540669856459</v>
      </c>
      <c r="I15" s="16" t="n">
        <f aca="false">Inputs!$B$10</f>
        <v>1.05128205128205</v>
      </c>
      <c r="J15" s="16" t="n">
        <f aca="false">F15*I15</f>
        <v>108.282051282051</v>
      </c>
      <c r="K15" s="16" t="n">
        <f aca="false">MAX(0,J15-E15)</f>
        <v>2.28205128205128</v>
      </c>
      <c r="L15" s="14" t="n">
        <f aca="false">MAX(0,J15/E15-1)</f>
        <v>0.021528785679729</v>
      </c>
      <c r="M15" s="15" t="str">
        <f aca="false">IF(E15&gt;=J15,"RETAIN","UPRATE")</f>
        <v>UPRATE</v>
      </c>
      <c r="N15" s="11" t="s">
        <v>101</v>
      </c>
      <c r="O15" s="2"/>
    </row>
    <row r="16" customFormat="false" ht="15" hidden="false" customHeight="false" outlineLevel="0" collapsed="false">
      <c r="A16" s="11" t="s">
        <v>282</v>
      </c>
      <c r="B16" s="11" t="s">
        <v>13</v>
      </c>
      <c r="C16" s="11" t="s">
        <v>34</v>
      </c>
      <c r="D16" s="11" t="s">
        <v>132</v>
      </c>
      <c r="E16" s="16" t="n">
        <f aca="false">'Source Inputs'!J16</f>
        <v>56700</v>
      </c>
      <c r="F16" s="16" t="n">
        <f aca="false">'Source Inputs'!K16</f>
        <v>54000</v>
      </c>
      <c r="G16" s="16" t="n">
        <f aca="false">E16/F16</f>
        <v>1.05</v>
      </c>
      <c r="H16" s="14" t="n">
        <f aca="false">(G16-1)/(G16+1)</f>
        <v>0.0243902439024391</v>
      </c>
      <c r="I16" s="16" t="n">
        <f aca="false">Inputs!$B$10</f>
        <v>1.05128205128205</v>
      </c>
      <c r="J16" s="16" t="n">
        <f aca="false">F16*I16</f>
        <v>56769.2307692308</v>
      </c>
      <c r="K16" s="16" t="n">
        <f aca="false">MAX(0,J16-E16)</f>
        <v>69.2307692307732</v>
      </c>
      <c r="L16" s="14" t="n">
        <f aca="false">MAX(0,J16/E16-1)</f>
        <v>0.00122100122100122</v>
      </c>
      <c r="M16" s="15" t="str">
        <f aca="false">IF(E16&gt;=J16,"RETAIN","UPRATE")</f>
        <v>UPRATE</v>
      </c>
      <c r="N16" s="11" t="s">
        <v>271</v>
      </c>
      <c r="O16" s="2"/>
    </row>
    <row r="17" customFormat="false" ht="15" hidden="false" customHeight="false" outlineLevel="0" collapsed="false">
      <c r="A17" s="11" t="s">
        <v>283</v>
      </c>
      <c r="B17" s="11" t="s">
        <v>13</v>
      </c>
      <c r="C17" s="11" t="s">
        <v>29</v>
      </c>
      <c r="D17" s="11" t="s">
        <v>137</v>
      </c>
      <c r="E17" s="16" t="n">
        <f aca="false">'Source Inputs'!J17</f>
        <v>144.2</v>
      </c>
      <c r="F17" s="16" t="n">
        <f aca="false">'Source Inputs'!K17</f>
        <v>140</v>
      </c>
      <c r="G17" s="16" t="n">
        <f aca="false">E17/F17</f>
        <v>1.03</v>
      </c>
      <c r="H17" s="14" t="n">
        <f aca="false">(G17-1)/(G17+1)</f>
        <v>0.0147783251231527</v>
      </c>
      <c r="I17" s="16" t="n">
        <f aca="false">Inputs!$B$10</f>
        <v>1.05128205128205</v>
      </c>
      <c r="J17" s="16" t="n">
        <f aca="false">F17*I17</f>
        <v>147.179487179487</v>
      </c>
      <c r="K17" s="16" t="n">
        <f aca="false">MAX(0,J17-E17)</f>
        <v>2.97948717948719</v>
      </c>
      <c r="L17" s="14" t="n">
        <f aca="false">MAX(0,J17/E17-1)</f>
        <v>0.0206621857107294</v>
      </c>
      <c r="M17" s="15" t="str">
        <f aca="false">IF(E17&gt;=J17,"RETAIN","UPRATE")</f>
        <v>UPRATE</v>
      </c>
      <c r="N17" s="11" t="s">
        <v>273</v>
      </c>
      <c r="O17" s="2"/>
    </row>
    <row r="18" customFormat="false" ht="15" hidden="false" customHeight="false" outlineLevel="0" collapsed="false">
      <c r="A18" s="11" t="s">
        <v>284</v>
      </c>
      <c r="B18" s="11" t="s">
        <v>13</v>
      </c>
      <c r="C18" s="11" t="s">
        <v>142</v>
      </c>
      <c r="D18" s="11" t="s">
        <v>143</v>
      </c>
      <c r="E18" s="16" t="n">
        <f aca="false">'Source Inputs'!J18</f>
        <v>945</v>
      </c>
      <c r="F18" s="16" t="n">
        <f aca="false">'Source Inputs'!K18</f>
        <v>900</v>
      </c>
      <c r="G18" s="16" t="n">
        <f aca="false">E18/F18</f>
        <v>1.05</v>
      </c>
      <c r="H18" s="14" t="n">
        <f aca="false">(G18-1)/(G18+1)</f>
        <v>0.0243902439024391</v>
      </c>
      <c r="I18" s="16" t="n">
        <f aca="false">Inputs!$B$10</f>
        <v>1.05128205128205</v>
      </c>
      <c r="J18" s="16" t="n">
        <f aca="false">F18*I18</f>
        <v>946.153846153846</v>
      </c>
      <c r="K18" s="16" t="n">
        <f aca="false">MAX(0,J18-E18)</f>
        <v>1.15384615384619</v>
      </c>
      <c r="L18" s="14" t="n">
        <f aca="false">MAX(0,J18/E18-1)</f>
        <v>0.00122100122100122</v>
      </c>
      <c r="M18" s="15" t="str">
        <f aca="false">IF(E18&gt;=J18,"RETAIN","UPRATE")</f>
        <v>UPRATE</v>
      </c>
      <c r="N18" s="11" t="s">
        <v>275</v>
      </c>
      <c r="O18" s="2"/>
    </row>
    <row r="19" customFormat="false" ht="15" hidden="false" customHeight="false" outlineLevel="0" collapsed="false">
      <c r="A19" s="11" t="s">
        <v>285</v>
      </c>
      <c r="B19" s="11" t="s">
        <v>16</v>
      </c>
      <c r="C19" s="11" t="s">
        <v>26</v>
      </c>
      <c r="D19" s="11" t="s">
        <v>196</v>
      </c>
      <c r="E19" s="16" t="n">
        <f aca="false">'Source Inputs'!J19</f>
        <v>26</v>
      </c>
      <c r="F19" s="16" t="n">
        <f aca="false">'Source Inputs'!K19</f>
        <v>25</v>
      </c>
      <c r="G19" s="16" t="n">
        <f aca="false">E19/F19</f>
        <v>1.04</v>
      </c>
      <c r="H19" s="14" t="n">
        <f aca="false">(G19-1)/(G19+1)</f>
        <v>0.0196078431372549</v>
      </c>
      <c r="I19" s="16" t="n">
        <f aca="false">Inputs!$B$10</f>
        <v>1.05128205128205</v>
      </c>
      <c r="J19" s="16" t="n">
        <f aca="false">F19*I19</f>
        <v>26.2820512820513</v>
      </c>
      <c r="K19" s="16" t="n">
        <f aca="false">MAX(0,J19-E19)</f>
        <v>0.282051282051285</v>
      </c>
      <c r="L19" s="14" t="n">
        <f aca="false">MAX(0,J19/E19-1)</f>
        <v>0.0108481262327418</v>
      </c>
      <c r="M19" s="15" t="str">
        <f aca="false">IF(E19&gt;=J19,"RETAIN","UPRATE")</f>
        <v>UPRATE</v>
      </c>
      <c r="N19" s="11" t="s">
        <v>277</v>
      </c>
      <c r="O19" s="2"/>
    </row>
    <row r="20" customFormat="false" ht="15" hidden="false" customHeight="false" outlineLevel="0" collapsed="false">
      <c r="A20" s="11" t="s">
        <v>286</v>
      </c>
      <c r="B20" s="11" t="s">
        <v>16</v>
      </c>
      <c r="C20" s="11" t="s">
        <v>34</v>
      </c>
      <c r="D20" s="11" t="s">
        <v>201</v>
      </c>
      <c r="E20" s="16" t="n">
        <f aca="false">'Source Inputs'!J20</f>
        <v>31.92</v>
      </c>
      <c r="F20" s="16" t="n">
        <f aca="false">'Source Inputs'!K20</f>
        <v>31.075</v>
      </c>
      <c r="G20" s="16" t="n">
        <f aca="false">E20/F20</f>
        <v>1.0271922767498</v>
      </c>
      <c r="H20" s="14" t="n">
        <f aca="false">(G20-1)/(G20+1)</f>
        <v>0.0134137629970633</v>
      </c>
      <c r="I20" s="16" t="n">
        <f aca="false">Inputs!$B$10</f>
        <v>1.05128205128205</v>
      </c>
      <c r="J20" s="16" t="n">
        <f aca="false">F20*I20</f>
        <v>32.6685897435897</v>
      </c>
      <c r="K20" s="16" t="n">
        <f aca="false">MAX(0,J20-E20)</f>
        <v>0.74858974358974</v>
      </c>
      <c r="L20" s="14" t="n">
        <f aca="false">MAX(0,J20/E20-1)</f>
        <v>0.02345205963627</v>
      </c>
      <c r="M20" s="15" t="str">
        <f aca="false">IF(E20&gt;=J20,"RETAIN","UPRATE")</f>
        <v>UPRATE</v>
      </c>
      <c r="N20" s="11" t="s">
        <v>103</v>
      </c>
      <c r="O20" s="2"/>
    </row>
    <row r="21" customFormat="false" ht="15" hidden="false" customHeight="false" outlineLevel="0" collapsed="false">
      <c r="A21" s="11" t="s">
        <v>287</v>
      </c>
      <c r="B21" s="11" t="s">
        <v>16</v>
      </c>
      <c r="C21" s="11" t="s">
        <v>29</v>
      </c>
      <c r="D21" s="11" t="s">
        <v>137</v>
      </c>
      <c r="E21" s="16" t="n">
        <f aca="false">'Source Inputs'!J21</f>
        <v>39</v>
      </c>
      <c r="F21" s="16" t="n">
        <f aca="false">'Source Inputs'!K21</f>
        <v>37.3510416667</v>
      </c>
      <c r="G21" s="16" t="n">
        <f aca="false">E21/F21</f>
        <v>1.04414758624443</v>
      </c>
      <c r="H21" s="14" t="n">
        <f aca="false">(G21-1)/(G21+1)</f>
        <v>0.0215970639994449</v>
      </c>
      <c r="I21" s="16" t="n">
        <f aca="false">Inputs!$B$10</f>
        <v>1.05128205128205</v>
      </c>
      <c r="J21" s="16" t="n">
        <f aca="false">F21*I21</f>
        <v>39.2664797008898</v>
      </c>
      <c r="K21" s="16" t="n">
        <f aca="false">MAX(0,J21-E21)</f>
        <v>0.266479700889747</v>
      </c>
      <c r="L21" s="14" t="n">
        <f aca="false">MAX(0,J21/E21-1)</f>
        <v>0.00683281284332682</v>
      </c>
      <c r="M21" s="15" t="str">
        <f aca="false">IF(E21&gt;=J21,"RETAIN","UPRATE")</f>
        <v>UPRATE</v>
      </c>
      <c r="N21" s="11" t="s">
        <v>273</v>
      </c>
      <c r="O21" s="2"/>
    </row>
    <row r="22" customFormat="false" ht="15" hidden="false" customHeight="false" outlineLevel="0" collapsed="false">
      <c r="A22" s="11" t="s">
        <v>288</v>
      </c>
      <c r="B22" s="11" t="s">
        <v>16</v>
      </c>
      <c r="C22" s="11" t="s">
        <v>142</v>
      </c>
      <c r="D22" s="11" t="s">
        <v>196</v>
      </c>
      <c r="E22" s="16" t="n">
        <f aca="false">'Source Inputs'!J22</f>
        <v>20.6</v>
      </c>
      <c r="F22" s="16" t="n">
        <f aca="false">'Source Inputs'!K22</f>
        <v>20</v>
      </c>
      <c r="G22" s="16" t="n">
        <f aca="false">E22/F22</f>
        <v>1.03</v>
      </c>
      <c r="H22" s="14" t="n">
        <f aca="false">(G22-1)/(G22+1)</f>
        <v>0.0147783251231527</v>
      </c>
      <c r="I22" s="16" t="n">
        <f aca="false">Inputs!$B$10</f>
        <v>1.05128205128205</v>
      </c>
      <c r="J22" s="16" t="n">
        <f aca="false">F22*I22</f>
        <v>21.025641025641</v>
      </c>
      <c r="K22" s="16" t="n">
        <f aca="false">MAX(0,J22-E22)</f>
        <v>0.425641025641024</v>
      </c>
      <c r="L22" s="14" t="n">
        <f aca="false">MAX(0,J22/E22-1)</f>
        <v>0.0206621857107294</v>
      </c>
      <c r="M22" s="15" t="str">
        <f aca="false">IF(E22&gt;=J22,"RETAIN","UPRATE")</f>
        <v>UPRATE</v>
      </c>
      <c r="N22" s="11" t="s">
        <v>275</v>
      </c>
      <c r="O22" s="2"/>
    </row>
    <row r="23" customFormat="false" ht="15" hidden="false" customHeight="false" outlineLevel="0" collapsed="false">
      <c r="A23" s="11" t="s">
        <v>289</v>
      </c>
      <c r="B23" s="11" t="s">
        <v>19</v>
      </c>
      <c r="C23" s="11" t="s">
        <v>26</v>
      </c>
      <c r="D23" s="11" t="s">
        <v>154</v>
      </c>
      <c r="E23" s="16" t="n">
        <f aca="false">'Source Inputs'!J23</f>
        <v>1.032</v>
      </c>
      <c r="F23" s="16" t="n">
        <f aca="false">'Source Inputs'!K23</f>
        <v>1</v>
      </c>
      <c r="G23" s="16" t="n">
        <f aca="false">E23/F23</f>
        <v>1.032</v>
      </c>
      <c r="H23" s="14" t="n">
        <f aca="false">(G23-1)/(G23+1)</f>
        <v>0.015748031496063</v>
      </c>
      <c r="I23" s="16" t="n">
        <f aca="false">Inputs!$B$10</f>
        <v>1.05128205128205</v>
      </c>
      <c r="J23" s="16" t="n">
        <f aca="false">F23*I23</f>
        <v>1.05128205128205</v>
      </c>
      <c r="K23" s="16" t="n">
        <f aca="false">MAX(0,J23-E23)</f>
        <v>0.0192820512820513</v>
      </c>
      <c r="L23" s="14" t="n">
        <f aca="false">MAX(0,J23/E23-1)</f>
        <v>0.018684158219042</v>
      </c>
      <c r="M23" s="15" t="str">
        <f aca="false">IF(E23&gt;=J23,"RETAIN","UPRATE")</f>
        <v>UPRATE</v>
      </c>
      <c r="N23" s="11" t="s">
        <v>277</v>
      </c>
      <c r="O23" s="2"/>
    </row>
    <row r="24" customFormat="false" ht="15" hidden="false" customHeight="false" outlineLevel="0" collapsed="false">
      <c r="A24" s="11" t="s">
        <v>290</v>
      </c>
      <c r="B24" s="11" t="s">
        <v>19</v>
      </c>
      <c r="C24" s="11" t="s">
        <v>34</v>
      </c>
      <c r="D24" s="11" t="s">
        <v>201</v>
      </c>
      <c r="E24" s="16" t="n">
        <f aca="false">'Source Inputs'!J24</f>
        <v>51.45</v>
      </c>
      <c r="F24" s="16" t="n">
        <f aca="false">'Source Inputs'!K24</f>
        <v>50</v>
      </c>
      <c r="G24" s="16" t="n">
        <f aca="false">E24/F24</f>
        <v>1.029</v>
      </c>
      <c r="H24" s="14" t="n">
        <f aca="false">(G24-1)/(G24+1)</f>
        <v>0.0142927550517497</v>
      </c>
      <c r="I24" s="16" t="n">
        <f aca="false">Inputs!$B$10</f>
        <v>1.05128205128205</v>
      </c>
      <c r="J24" s="16" t="n">
        <f aca="false">F24*I24</f>
        <v>52.5641025641026</v>
      </c>
      <c r="K24" s="16" t="n">
        <f aca="false">MAX(0,J24-E24)</f>
        <v>1.11410256410257</v>
      </c>
      <c r="L24" s="14" t="n">
        <f aca="false">MAX(0,J24/E24-1)</f>
        <v>0.0216540828785727</v>
      </c>
      <c r="M24" s="15" t="str">
        <f aca="false">IF(E24&gt;=J24,"RETAIN","UPRATE")</f>
        <v>UPRATE</v>
      </c>
      <c r="N24" s="11" t="s">
        <v>105</v>
      </c>
      <c r="O24" s="2"/>
    </row>
    <row r="25" customFormat="false" ht="15" hidden="false" customHeight="false" outlineLevel="0" collapsed="false">
      <c r="A25" s="11" t="s">
        <v>291</v>
      </c>
      <c r="B25" s="11" t="s">
        <v>19</v>
      </c>
      <c r="C25" s="11" t="s">
        <v>29</v>
      </c>
      <c r="D25" s="11" t="s">
        <v>137</v>
      </c>
      <c r="E25" s="16" t="n">
        <f aca="false">'Source Inputs'!J25</f>
        <v>55</v>
      </c>
      <c r="F25" s="16" t="n">
        <f aca="false">'Source Inputs'!K25</f>
        <v>52</v>
      </c>
      <c r="G25" s="16" t="n">
        <f aca="false">E25/F25</f>
        <v>1.05769230769231</v>
      </c>
      <c r="H25" s="14" t="n">
        <f aca="false">(G25-1)/(G25+1)</f>
        <v>0.0280373831775701</v>
      </c>
      <c r="I25" s="16" t="n">
        <f aca="false">Inputs!$B$10</f>
        <v>1.05128205128205</v>
      </c>
      <c r="J25" s="16" t="n">
        <f aca="false">F25*I25</f>
        <v>54.6666666666667</v>
      </c>
      <c r="K25" s="16" t="n">
        <f aca="false">MAX(0,J25-E25)</f>
        <v>0</v>
      </c>
      <c r="L25" s="14" t="n">
        <f aca="false">MAX(0,J25/E25-1)</f>
        <v>0</v>
      </c>
      <c r="M25" s="15" t="str">
        <f aca="false">IF(E25&gt;=J25,"RETAIN","UPRATE")</f>
        <v>RETAIN</v>
      </c>
      <c r="N25" s="11" t="s">
        <v>273</v>
      </c>
      <c r="O25" s="2"/>
    </row>
    <row r="26" customFormat="false" ht="15" hidden="false" customHeight="false" outlineLevel="0" collapsed="false">
      <c r="A26" s="11" t="s">
        <v>292</v>
      </c>
      <c r="B26" s="11" t="s">
        <v>19</v>
      </c>
      <c r="C26" s="11" t="s">
        <v>142</v>
      </c>
      <c r="D26" s="11" t="s">
        <v>143</v>
      </c>
      <c r="E26" s="16" t="n">
        <f aca="false">'Source Inputs'!J26</f>
        <v>367.5</v>
      </c>
      <c r="F26" s="16" t="n">
        <f aca="false">'Source Inputs'!K26</f>
        <v>350</v>
      </c>
      <c r="G26" s="16" t="n">
        <f aca="false">E26/F26</f>
        <v>1.05</v>
      </c>
      <c r="H26" s="14" t="n">
        <f aca="false">(G26-1)/(G26+1)</f>
        <v>0.0243902439024391</v>
      </c>
      <c r="I26" s="16" t="n">
        <f aca="false">Inputs!$B$10</f>
        <v>1.05128205128205</v>
      </c>
      <c r="J26" s="16" t="n">
        <f aca="false">F26*I26</f>
        <v>367.948717948718</v>
      </c>
      <c r="K26" s="16" t="n">
        <f aca="false">MAX(0,J26-E26)</f>
        <v>0.448717948717956</v>
      </c>
      <c r="L26" s="14" t="n">
        <f aca="false">MAX(0,J26/E26-1)</f>
        <v>0.00122100122100122</v>
      </c>
      <c r="M26" s="15" t="str">
        <f aca="false">IF(E26&gt;=J26,"RETAIN","UPRATE")</f>
        <v>UPRATE</v>
      </c>
      <c r="N26" s="11" t="s">
        <v>275</v>
      </c>
      <c r="O26" s="2"/>
    </row>
    <row r="27" customFormat="false" ht="15" hidden="false" customHeight="false" outlineLevel="0" collapsed="false">
      <c r="A27" s="11" t="s">
        <v>293</v>
      </c>
      <c r="B27" s="11" t="s">
        <v>22</v>
      </c>
      <c r="C27" s="11" t="s">
        <v>26</v>
      </c>
      <c r="D27" s="11" t="s">
        <v>154</v>
      </c>
      <c r="E27" s="16" t="n">
        <f aca="false">'Source Inputs'!J27</f>
        <v>1.04</v>
      </c>
      <c r="F27" s="16" t="n">
        <f aca="false">'Source Inputs'!K27</f>
        <v>1</v>
      </c>
      <c r="G27" s="16" t="n">
        <f aca="false">E27/F27</f>
        <v>1.04</v>
      </c>
      <c r="H27" s="14" t="n">
        <f aca="false">(G27-1)/(G27+1)</f>
        <v>0.0196078431372549</v>
      </c>
      <c r="I27" s="16" t="n">
        <f aca="false">Inputs!$B$10</f>
        <v>1.05128205128205</v>
      </c>
      <c r="J27" s="16" t="n">
        <f aca="false">F27*I27</f>
        <v>1.05128205128205</v>
      </c>
      <c r="K27" s="16" t="n">
        <f aca="false">MAX(0,J27-E27)</f>
        <v>0.0112820512820513</v>
      </c>
      <c r="L27" s="14" t="n">
        <f aca="false">MAX(0,J27/E27-1)</f>
        <v>0.0108481262327416</v>
      </c>
      <c r="M27" s="15" t="str">
        <f aca="false">IF(E27&gt;=J27,"RETAIN","UPRATE")</f>
        <v>UPRATE</v>
      </c>
      <c r="N27" s="11" t="s">
        <v>277</v>
      </c>
      <c r="O27" s="2"/>
    </row>
    <row r="28" customFormat="false" ht="15" hidden="false" customHeight="false" outlineLevel="0" collapsed="false">
      <c r="A28" s="11" t="s">
        <v>294</v>
      </c>
      <c r="B28" s="11" t="s">
        <v>22</v>
      </c>
      <c r="C28" s="11" t="s">
        <v>34</v>
      </c>
      <c r="D28" s="11" t="s">
        <v>132</v>
      </c>
      <c r="E28" s="16" t="n">
        <f aca="false">'Source Inputs'!J28</f>
        <v>75600</v>
      </c>
      <c r="F28" s="16" t="n">
        <f aca="false">'Source Inputs'!K28</f>
        <v>72000</v>
      </c>
      <c r="G28" s="16" t="n">
        <f aca="false">E28/F28</f>
        <v>1.05</v>
      </c>
      <c r="H28" s="14" t="n">
        <f aca="false">(G28-1)/(G28+1)</f>
        <v>0.0243902439024391</v>
      </c>
      <c r="I28" s="16" t="n">
        <f aca="false">Inputs!$B$10</f>
        <v>1.05128205128205</v>
      </c>
      <c r="J28" s="16" t="n">
        <f aca="false">F28*I28</f>
        <v>75692.3076923077</v>
      </c>
      <c r="K28" s="16" t="n">
        <f aca="false">MAX(0,J28-E28)</f>
        <v>92.3076923077024</v>
      </c>
      <c r="L28" s="14" t="n">
        <f aca="false">MAX(0,J28/E28-1)</f>
        <v>0.00122100122100144</v>
      </c>
      <c r="M28" s="15" t="str">
        <f aca="false">IF(E28&gt;=J28,"RETAIN","UPRATE")</f>
        <v>UPRATE</v>
      </c>
      <c r="N28" s="11" t="s">
        <v>271</v>
      </c>
      <c r="O28" s="2"/>
    </row>
    <row r="29" customFormat="false" ht="15" hidden="false" customHeight="false" outlineLevel="0" collapsed="false">
      <c r="A29" s="11" t="s">
        <v>295</v>
      </c>
      <c r="B29" s="11" t="s">
        <v>22</v>
      </c>
      <c r="C29" s="11" t="s">
        <v>29</v>
      </c>
      <c r="D29" s="11" t="s">
        <v>137</v>
      </c>
      <c r="E29" s="16" t="n">
        <f aca="false">'Source Inputs'!J29</f>
        <v>159</v>
      </c>
      <c r="F29" s="16" t="n">
        <f aca="false">'Source Inputs'!K29</f>
        <v>155</v>
      </c>
      <c r="G29" s="16" t="n">
        <f aca="false">E29/F29</f>
        <v>1.0258064516129</v>
      </c>
      <c r="H29" s="14" t="n">
        <f aca="false">(G29-1)/(G29+1)</f>
        <v>0.0127388535031847</v>
      </c>
      <c r="I29" s="16" t="n">
        <f aca="false">Inputs!$B$10</f>
        <v>1.05128205128205</v>
      </c>
      <c r="J29" s="16" t="n">
        <f aca="false">F29*I29</f>
        <v>162.948717948718</v>
      </c>
      <c r="K29" s="16" t="n">
        <f aca="false">MAX(0,J29-E29)</f>
        <v>3.94871794871796</v>
      </c>
      <c r="L29" s="14" t="n">
        <f aca="false">MAX(0,J29/E29-1)</f>
        <v>0.0248347040799872</v>
      </c>
      <c r="M29" s="15" t="str">
        <f aca="false">IF(E29&gt;=J29,"RETAIN","UPRATE")</f>
        <v>UPRATE</v>
      </c>
      <c r="N29" s="11" t="s">
        <v>107</v>
      </c>
      <c r="O29" s="2"/>
    </row>
    <row r="30" customFormat="false" ht="15" hidden="false" customHeight="false" outlineLevel="0" collapsed="false">
      <c r="A30" s="11" t="s">
        <v>296</v>
      </c>
      <c r="B30" s="11" t="s">
        <v>22</v>
      </c>
      <c r="C30" s="11" t="s">
        <v>142</v>
      </c>
      <c r="D30" s="11" t="s">
        <v>143</v>
      </c>
      <c r="E30" s="16" t="n">
        <f aca="false">'Source Inputs'!J30</f>
        <v>1260</v>
      </c>
      <c r="F30" s="16" t="n">
        <f aca="false">'Source Inputs'!K30</f>
        <v>1200</v>
      </c>
      <c r="G30" s="16" t="n">
        <f aca="false">E30/F30</f>
        <v>1.05</v>
      </c>
      <c r="H30" s="14" t="n">
        <f aca="false">(G30-1)/(G30+1)</f>
        <v>0.0243902439024391</v>
      </c>
      <c r="I30" s="16" t="n">
        <f aca="false">Inputs!$B$10</f>
        <v>1.05128205128205</v>
      </c>
      <c r="J30" s="16" t="n">
        <f aca="false">F30*I30</f>
        <v>1261.53846153846</v>
      </c>
      <c r="K30" s="16" t="n">
        <f aca="false">MAX(0,J30-E30)</f>
        <v>1.53846153846166</v>
      </c>
      <c r="L30" s="14" t="n">
        <f aca="false">MAX(0,J30/E30-1)</f>
        <v>0.00122100122100122</v>
      </c>
      <c r="M30" s="15" t="str">
        <f aca="false">IF(E30&gt;=J30,"RETAIN","UPRATE")</f>
        <v>UPRATE</v>
      </c>
      <c r="N30" s="11" t="s">
        <v>275</v>
      </c>
      <c r="O30" s="2"/>
    </row>
  </sheetData>
  <mergeCells count="2">
    <mergeCell ref="A2:O2"/>
    <mergeCell ref="A4:O4"/>
  </mergeCells>
  <conditionalFormatting sqref="M7:M30">
    <cfRule type="containsText" priority="2" operator="containsText" aboveAverage="0" equalAverage="0" bottom="0" percent="0" rank="0" text="FAIL" dxfId="15">
      <formula>NOT(ISERROR(SEARCH("FAIL",M7)))</formula>
    </cfRule>
    <cfRule type="containsText" priority="3" operator="containsText" aboveAverage="0" equalAverage="0" bottom="0" percent="0" rank="0" text="HOLD" dxfId="16">
      <formula>NOT(ISERROR(SEARCH("HOLD",M7)))</formula>
    </cfRule>
    <cfRule type="containsText" priority="4" operator="containsText" aboveAverage="0" equalAverage="0" bottom="0" percent="0" rank="0" text="OPEN" dxfId="17">
      <formula>NOT(ISERROR(SEARCH("OPEN",M7)))</formula>
    </cfRule>
    <cfRule type="containsText" priority="5" operator="containsText" aboveAverage="0" equalAverage="0" bottom="0" percent="0" rank="0" text="UPRATE" dxfId="18">
      <formula>NOT(ISERROR(SEARCH("UPRATE",M7)))</formula>
    </cfRule>
    <cfRule type="containsText" priority="6" operator="containsText" aboveAverage="0" equalAverage="0" bottom="0" percent="0" rank="0" text="SELECT" dxfId="19">
      <formula>NOT(ISERROR(SEARCH("SELECT",M7)))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7" min="7" style="0" width="42"/>
  </cols>
  <sheetData>
    <row r="1" customFormat="false" ht="8" hidden="false" customHeight="true" outlineLevel="0" collapsed="false"/>
    <row r="2" customFormat="false" ht="23" hidden="false" customHeight="true" outlineLevel="0" collapsed="false">
      <c r="A2" s="1" t="s">
        <v>297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298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31" hidden="false" customHeight="true" outlineLevel="0" collapsed="false">
      <c r="A6" s="10" t="s">
        <v>299</v>
      </c>
      <c r="B6" s="10" t="s">
        <v>300</v>
      </c>
      <c r="C6" s="10" t="s">
        <v>3</v>
      </c>
      <c r="D6" s="10" t="s">
        <v>301</v>
      </c>
      <c r="E6" s="10" t="s">
        <v>302</v>
      </c>
      <c r="F6" s="10" t="s">
        <v>303</v>
      </c>
      <c r="G6" s="10" t="s">
        <v>304</v>
      </c>
      <c r="H6" s="2"/>
      <c r="I6" s="2"/>
      <c r="J6" s="2"/>
      <c r="K6" s="2"/>
      <c r="L6" s="2"/>
      <c r="M6" s="2"/>
      <c r="N6" s="2"/>
      <c r="O6" s="2"/>
    </row>
    <row r="7" customFormat="false" ht="15" hidden="false" customHeight="false" outlineLevel="0" collapsed="false">
      <c r="A7" s="11" t="s">
        <v>305</v>
      </c>
      <c r="B7" s="18" t="n">
        <v>0</v>
      </c>
      <c r="C7" s="11" t="s">
        <v>6</v>
      </c>
      <c r="D7" s="13" t="n">
        <f aca="false">MIN('Loss Rating Orders'!$G$7:$G$10)</f>
        <v>1.02735346358792</v>
      </c>
      <c r="E7" s="13" t="n">
        <f aca="false">D7*(1-B7)/(1+B7)</f>
        <v>1.02735346358792</v>
      </c>
      <c r="F7" s="15" t="str">
        <f aca="false">IF(E7&gt;=1,"CLOSE","FAIL")</f>
        <v>CLOSE</v>
      </c>
      <c r="G7" s="15" t="str">
        <f aca="false">"HOLD: unbounded fatal, cold and thermal cells"</f>
        <v>HOLD: unbounded fatal, cold and thermal cells</v>
      </c>
      <c r="H7" s="2"/>
      <c r="I7" s="2"/>
      <c r="J7" s="2"/>
      <c r="K7" s="2"/>
      <c r="L7" s="2"/>
      <c r="M7" s="2"/>
      <c r="N7" s="2"/>
      <c r="O7" s="2"/>
    </row>
    <row r="8" customFormat="false" ht="15" hidden="false" customHeight="false" outlineLevel="0" collapsed="false">
      <c r="A8" s="11" t="s">
        <v>305</v>
      </c>
      <c r="B8" s="18" t="n">
        <v>0</v>
      </c>
      <c r="C8" s="11" t="s">
        <v>10</v>
      </c>
      <c r="D8" s="13" t="n">
        <f aca="false">MIN('Loss Rating Orders'!$G$11:$G$14)</f>
        <v>1.02857142857143</v>
      </c>
      <c r="E8" s="13" t="n">
        <f aca="false">D8*(1-B8)/(1+B8)</f>
        <v>1.02857142857143</v>
      </c>
      <c r="F8" s="15" t="str">
        <f aca="false">IF(E8&gt;=1,"CLOSE","FAIL")</f>
        <v>CLOSE</v>
      </c>
      <c r="G8" s="15" t="str">
        <f aca="false">"HOLD: unbounded fatal, cold and thermal cells"</f>
        <v>HOLD: unbounded fatal, cold and thermal cells</v>
      </c>
      <c r="H8" s="2"/>
      <c r="I8" s="2"/>
      <c r="J8" s="2"/>
      <c r="K8" s="2"/>
      <c r="L8" s="2"/>
      <c r="M8" s="2"/>
      <c r="N8" s="2"/>
      <c r="O8" s="2"/>
    </row>
    <row r="9" customFormat="false" ht="15" hidden="false" customHeight="false" outlineLevel="0" collapsed="false">
      <c r="A9" s="11" t="s">
        <v>305</v>
      </c>
      <c r="B9" s="18" t="n">
        <v>0</v>
      </c>
      <c r="C9" s="11" t="s">
        <v>13</v>
      </c>
      <c r="D9" s="13" t="n">
        <f aca="false">MIN('Loss Rating Orders'!$G$15:$G$18)</f>
        <v>1.02912621359223</v>
      </c>
      <c r="E9" s="13" t="n">
        <f aca="false">D9*(1-B9)/(1+B9)</f>
        <v>1.02912621359223</v>
      </c>
      <c r="F9" s="15" t="str">
        <f aca="false">IF(E9&gt;=1,"CLOSE","FAIL")</f>
        <v>CLOSE</v>
      </c>
      <c r="G9" s="15" t="str">
        <f aca="false">"HOLD: unbounded fatal, cold and thermal cells"</f>
        <v>HOLD: unbounded fatal, cold and thermal cells</v>
      </c>
      <c r="H9" s="2"/>
      <c r="I9" s="2"/>
      <c r="J9" s="2"/>
      <c r="K9" s="2"/>
      <c r="L9" s="2"/>
      <c r="M9" s="2"/>
      <c r="N9" s="2"/>
      <c r="O9" s="2"/>
    </row>
    <row r="10" customFormat="false" ht="15" hidden="false" customHeight="false" outlineLevel="0" collapsed="false">
      <c r="A10" s="11" t="s">
        <v>305</v>
      </c>
      <c r="B10" s="18" t="n">
        <v>0</v>
      </c>
      <c r="C10" s="11" t="s">
        <v>16</v>
      </c>
      <c r="D10" s="13" t="n">
        <f aca="false">MIN('Loss Rating Orders'!$G$19:$G$22)</f>
        <v>1.0271922767498</v>
      </c>
      <c r="E10" s="13" t="n">
        <f aca="false">D10*(1-B10)/(1+B10)</f>
        <v>1.0271922767498</v>
      </c>
      <c r="F10" s="15" t="str">
        <f aca="false">IF(E10&gt;=1,"CLOSE","FAIL")</f>
        <v>CLOSE</v>
      </c>
      <c r="G10" s="15" t="str">
        <f aca="false">"HOLD: unbounded fatal, cold and thermal cells"</f>
        <v>HOLD: unbounded fatal, cold and thermal cells</v>
      </c>
      <c r="H10" s="2"/>
      <c r="I10" s="2"/>
      <c r="J10" s="2"/>
      <c r="K10" s="2"/>
      <c r="L10" s="2"/>
      <c r="M10" s="2"/>
      <c r="N10" s="2"/>
      <c r="O10" s="2"/>
    </row>
    <row r="11" customFormat="false" ht="15" hidden="false" customHeight="false" outlineLevel="0" collapsed="false">
      <c r="A11" s="11" t="s">
        <v>305</v>
      </c>
      <c r="B11" s="18" t="n">
        <v>0</v>
      </c>
      <c r="C11" s="11" t="s">
        <v>19</v>
      </c>
      <c r="D11" s="13" t="n">
        <f aca="false">MIN('Loss Rating Orders'!$G$23:$G$26)</f>
        <v>1.029</v>
      </c>
      <c r="E11" s="13" t="n">
        <f aca="false">D11*(1-B11)/(1+B11)</f>
        <v>1.029</v>
      </c>
      <c r="F11" s="15" t="str">
        <f aca="false">IF(E11&gt;=1,"CLOSE","FAIL")</f>
        <v>CLOSE</v>
      </c>
      <c r="G11" s="15" t="str">
        <f aca="false">"HOLD: unbounded fatal, cold and thermal cells"</f>
        <v>HOLD: unbounded fatal, cold and thermal cells</v>
      </c>
      <c r="H11" s="2"/>
      <c r="I11" s="2"/>
      <c r="J11" s="2"/>
      <c r="K11" s="2"/>
      <c r="L11" s="2"/>
      <c r="M11" s="2"/>
      <c r="N11" s="2"/>
      <c r="O11" s="2"/>
    </row>
    <row r="12" customFormat="false" ht="15" hidden="false" customHeight="false" outlineLevel="0" collapsed="false">
      <c r="A12" s="11" t="s">
        <v>305</v>
      </c>
      <c r="B12" s="18" t="n">
        <v>0</v>
      </c>
      <c r="C12" s="11" t="s">
        <v>22</v>
      </c>
      <c r="D12" s="13" t="n">
        <f aca="false">MIN('Loss Rating Orders'!$G$27:$G$30)</f>
        <v>1.0258064516129</v>
      </c>
      <c r="E12" s="13" t="n">
        <f aca="false">D12*(1-B12)/(1+B12)</f>
        <v>1.0258064516129</v>
      </c>
      <c r="F12" s="15" t="str">
        <f aca="false">IF(E12&gt;=1,"CLOSE","FAIL")</f>
        <v>CLOSE</v>
      </c>
      <c r="G12" s="15" t="str">
        <f aca="false">"HOLD: unbounded fatal, cold and thermal cells"</f>
        <v>HOLD: unbounded fatal, cold and thermal cells</v>
      </c>
      <c r="H12" s="2"/>
      <c r="I12" s="2"/>
      <c r="J12" s="2"/>
      <c r="K12" s="2"/>
      <c r="L12" s="2"/>
      <c r="M12" s="2"/>
      <c r="N12" s="2"/>
      <c r="O12" s="2"/>
    </row>
    <row r="13" customFormat="false" ht="15" hidden="false" customHeight="false" outlineLevel="0" collapsed="false">
      <c r="A13" s="11" t="s">
        <v>306</v>
      </c>
      <c r="B13" s="18" t="n">
        <v>0.01</v>
      </c>
      <c r="C13" s="11" t="s">
        <v>6</v>
      </c>
      <c r="D13" s="13" t="n">
        <f aca="false">MIN('Loss Rating Orders'!$G$7:$G$10)</f>
        <v>1.02735346358792</v>
      </c>
      <c r="E13" s="13" t="n">
        <f aca="false">D13*(1-B13)/(1+B13)</f>
        <v>1.00700983064559</v>
      </c>
      <c r="F13" s="15" t="str">
        <f aca="false">IF(E13&gt;=1,"CLOSE","FAIL")</f>
        <v>CLOSE</v>
      </c>
      <c r="G13" s="15" t="str">
        <f aca="false">"HOLD: unbounded fatal, cold and thermal cells"</f>
        <v>HOLD: unbounded fatal, cold and thermal cells</v>
      </c>
      <c r="H13" s="2"/>
      <c r="I13" s="2"/>
      <c r="J13" s="2"/>
      <c r="K13" s="2"/>
      <c r="L13" s="2"/>
      <c r="M13" s="2"/>
      <c r="N13" s="2"/>
      <c r="O13" s="2"/>
    </row>
    <row r="14" customFormat="false" ht="15" hidden="false" customHeight="false" outlineLevel="0" collapsed="false">
      <c r="A14" s="11" t="s">
        <v>306</v>
      </c>
      <c r="B14" s="18" t="n">
        <v>0.01</v>
      </c>
      <c r="C14" s="11" t="s">
        <v>10</v>
      </c>
      <c r="D14" s="13" t="n">
        <f aca="false">MIN('Loss Rating Orders'!$G$11:$G$14)</f>
        <v>1.02857142857143</v>
      </c>
      <c r="E14" s="13" t="n">
        <f aca="false">D14*(1-B14)/(1+B14)</f>
        <v>1.00820367751061</v>
      </c>
      <c r="F14" s="15" t="str">
        <f aca="false">IF(E14&gt;=1,"CLOSE","FAIL")</f>
        <v>CLOSE</v>
      </c>
      <c r="G14" s="15" t="str">
        <f aca="false">"HOLD: unbounded fatal, cold and thermal cells"</f>
        <v>HOLD: unbounded fatal, cold and thermal cells</v>
      </c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11" t="s">
        <v>306</v>
      </c>
      <c r="B15" s="18" t="n">
        <v>0.01</v>
      </c>
      <c r="C15" s="11" t="s">
        <v>13</v>
      </c>
      <c r="D15" s="13" t="n">
        <f aca="false">MIN('Loss Rating Orders'!$G$15:$G$18)</f>
        <v>1.02912621359223</v>
      </c>
      <c r="E15" s="13" t="n">
        <f aca="false">D15*(1-B15)/(1+B15)</f>
        <v>1.00874747668942</v>
      </c>
      <c r="F15" s="15" t="str">
        <f aca="false">IF(E15&gt;=1,"CLOSE","FAIL")</f>
        <v>CLOSE</v>
      </c>
      <c r="G15" s="15" t="str">
        <f aca="false">"HOLD: unbounded fatal, cold and thermal cells"</f>
        <v>HOLD: unbounded fatal, cold and thermal cells</v>
      </c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11" t="s">
        <v>306</v>
      </c>
      <c r="B16" s="18" t="n">
        <v>0.01</v>
      </c>
      <c r="C16" s="11" t="s">
        <v>16</v>
      </c>
      <c r="D16" s="13" t="n">
        <f aca="false">MIN('Loss Rating Orders'!$G$19:$G$22)</f>
        <v>1.0271922767498</v>
      </c>
      <c r="E16" s="13" t="n">
        <f aca="false">D16*(1-B16)/(1+B16)</f>
        <v>1.00685183562604</v>
      </c>
      <c r="F16" s="15" t="str">
        <f aca="false">IF(E16&gt;=1,"CLOSE","FAIL")</f>
        <v>CLOSE</v>
      </c>
      <c r="G16" s="15" t="str">
        <f aca="false">"HOLD: unbounded fatal, cold and thermal cells"</f>
        <v>HOLD: unbounded fatal, cold and thermal cells</v>
      </c>
      <c r="H16" s="2"/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11" t="s">
        <v>306</v>
      </c>
      <c r="B17" s="18" t="n">
        <v>0.01</v>
      </c>
      <c r="C17" s="11" t="s">
        <v>19</v>
      </c>
      <c r="D17" s="13" t="n">
        <f aca="false">MIN('Loss Rating Orders'!$G$23:$G$26)</f>
        <v>1.029</v>
      </c>
      <c r="E17" s="13" t="n">
        <f aca="false">D17*(1-B17)/(1+B17)</f>
        <v>1.00862376237624</v>
      </c>
      <c r="F17" s="15" t="str">
        <f aca="false">IF(E17&gt;=1,"CLOSE","FAIL")</f>
        <v>CLOSE</v>
      </c>
      <c r="G17" s="15" t="str">
        <f aca="false">"HOLD: unbounded fatal, cold and thermal cells"</f>
        <v>HOLD: unbounded fatal, cold and thermal cells</v>
      </c>
      <c r="H17" s="2"/>
      <c r="I17" s="2"/>
      <c r="J17" s="2"/>
      <c r="K17" s="2"/>
      <c r="L17" s="2"/>
      <c r="M17" s="2"/>
      <c r="N17" s="2"/>
      <c r="O17" s="2"/>
    </row>
    <row r="18" customFormat="false" ht="15" hidden="false" customHeight="false" outlineLevel="0" collapsed="false">
      <c r="A18" s="11" t="s">
        <v>306</v>
      </c>
      <c r="B18" s="18" t="n">
        <v>0.01</v>
      </c>
      <c r="C18" s="11" t="s">
        <v>22</v>
      </c>
      <c r="D18" s="13" t="n">
        <f aca="false">MIN('Loss Rating Orders'!$G$27:$G$30)</f>
        <v>1.0258064516129</v>
      </c>
      <c r="E18" s="13" t="n">
        <f aca="false">D18*(1-B18)/(1+B18)</f>
        <v>1.00549345257106</v>
      </c>
      <c r="F18" s="15" t="str">
        <f aca="false">IF(E18&gt;=1,"CLOSE","FAIL")</f>
        <v>CLOSE</v>
      </c>
      <c r="G18" s="15" t="str">
        <f aca="false">"HOLD: unbounded fatal, cold and thermal cells"</f>
        <v>HOLD: unbounded fatal, cold and thermal cells</v>
      </c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11" t="s">
        <v>307</v>
      </c>
      <c r="B19" s="18" t="n">
        <v>0.0125</v>
      </c>
      <c r="C19" s="11" t="s">
        <v>6</v>
      </c>
      <c r="D19" s="13" t="n">
        <f aca="false">MIN('Loss Rating Orders'!$G$7:$G$10)</f>
        <v>1.02735346358792</v>
      </c>
      <c r="E19" s="13" t="n">
        <f aca="false">D19*(1-B19)/(1+B19)</f>
        <v>1.00198671140057</v>
      </c>
      <c r="F19" s="15" t="str">
        <f aca="false">IF(E19&gt;=1,"CLOSE","FAIL")</f>
        <v>CLOSE</v>
      </c>
      <c r="G19" s="15" t="str">
        <f aca="false">"HOLD: unbounded fatal, cold and thermal cells"</f>
        <v>HOLD: unbounded fatal, cold and thermal cells</v>
      </c>
      <c r="H19" s="2"/>
      <c r="I19" s="2"/>
      <c r="J19" s="2"/>
      <c r="K19" s="2"/>
      <c r="L19" s="2"/>
      <c r="M19" s="2"/>
      <c r="N19" s="2"/>
      <c r="O19" s="2"/>
    </row>
    <row r="20" customFormat="false" ht="15" hidden="false" customHeight="false" outlineLevel="0" collapsed="false">
      <c r="A20" s="11" t="s">
        <v>307</v>
      </c>
      <c r="B20" s="18" t="n">
        <v>0.0125</v>
      </c>
      <c r="C20" s="11" t="s">
        <v>10</v>
      </c>
      <c r="D20" s="13" t="n">
        <f aca="false">MIN('Loss Rating Orders'!$G$11:$G$14)</f>
        <v>1.02857142857143</v>
      </c>
      <c r="E20" s="13" t="n">
        <f aca="false">D20*(1-B20)/(1+B20)</f>
        <v>1.0031746031746</v>
      </c>
      <c r="F20" s="15" t="str">
        <f aca="false">IF(E20&gt;=1,"CLOSE","FAIL")</f>
        <v>CLOSE</v>
      </c>
      <c r="G20" s="15" t="str">
        <f aca="false">"HOLD: unbounded fatal, cold and thermal cells"</f>
        <v>HOLD: unbounded fatal, cold and thermal cells</v>
      </c>
      <c r="H20" s="2"/>
      <c r="I20" s="2"/>
      <c r="J20" s="2"/>
      <c r="K20" s="2"/>
      <c r="L20" s="2"/>
      <c r="M20" s="2"/>
      <c r="N20" s="2"/>
      <c r="O20" s="2"/>
    </row>
    <row r="21" customFormat="false" ht="15" hidden="false" customHeight="false" outlineLevel="0" collapsed="false">
      <c r="A21" s="11" t="s">
        <v>307</v>
      </c>
      <c r="B21" s="18" t="n">
        <v>0.0125</v>
      </c>
      <c r="C21" s="11" t="s">
        <v>13</v>
      </c>
      <c r="D21" s="13" t="n">
        <f aca="false">MIN('Loss Rating Orders'!$G$15:$G$18)</f>
        <v>1.02912621359223</v>
      </c>
      <c r="E21" s="13" t="n">
        <f aca="false">D21*(1-B21)/(1+B21)</f>
        <v>1.00371568979983</v>
      </c>
      <c r="F21" s="15" t="str">
        <f aca="false">IF(E21&gt;=1,"CLOSE","FAIL")</f>
        <v>CLOSE</v>
      </c>
      <c r="G21" s="15" t="str">
        <f aca="false">"HOLD: unbounded fatal, cold and thermal cells"</f>
        <v>HOLD: unbounded fatal, cold and thermal cells</v>
      </c>
      <c r="H21" s="2"/>
      <c r="I21" s="2"/>
      <c r="J21" s="2"/>
      <c r="K21" s="2"/>
      <c r="L21" s="2"/>
      <c r="M21" s="2"/>
      <c r="N21" s="2"/>
      <c r="O21" s="2"/>
    </row>
    <row r="22" customFormat="false" ht="15" hidden="false" customHeight="false" outlineLevel="0" collapsed="false">
      <c r="A22" s="11" t="s">
        <v>307</v>
      </c>
      <c r="B22" s="18" t="n">
        <v>0.0125</v>
      </c>
      <c r="C22" s="11" t="s">
        <v>16</v>
      </c>
      <c r="D22" s="13" t="n">
        <f aca="false">MIN('Loss Rating Orders'!$G$19:$G$22)</f>
        <v>1.0271922767498</v>
      </c>
      <c r="E22" s="13" t="n">
        <f aca="false">D22*(1-B22)/(1+B22)</f>
        <v>1.00182950448437</v>
      </c>
      <c r="F22" s="15" t="str">
        <f aca="false">IF(E22&gt;=1,"CLOSE","FAIL")</f>
        <v>CLOSE</v>
      </c>
      <c r="G22" s="15" t="str">
        <f aca="false">"HOLD: unbounded fatal, cold and thermal cells"</f>
        <v>HOLD: unbounded fatal, cold and thermal cells</v>
      </c>
      <c r="H22" s="2"/>
      <c r="I22" s="2"/>
      <c r="J22" s="2"/>
      <c r="K22" s="2"/>
      <c r="L22" s="2"/>
      <c r="M22" s="2"/>
      <c r="N22" s="2"/>
      <c r="O22" s="2"/>
    </row>
    <row r="23" customFormat="false" ht="15" hidden="false" customHeight="false" outlineLevel="0" collapsed="false">
      <c r="A23" s="11" t="s">
        <v>307</v>
      </c>
      <c r="B23" s="18" t="n">
        <v>0.0125</v>
      </c>
      <c r="C23" s="11" t="s">
        <v>19</v>
      </c>
      <c r="D23" s="13" t="n">
        <f aca="false">MIN('Loss Rating Orders'!$G$23:$G$26)</f>
        <v>1.029</v>
      </c>
      <c r="E23" s="13" t="n">
        <f aca="false">D23*(1-B23)/(1+B23)</f>
        <v>1.00359259259259</v>
      </c>
      <c r="F23" s="15" t="str">
        <f aca="false">IF(E23&gt;=1,"CLOSE","FAIL")</f>
        <v>CLOSE</v>
      </c>
      <c r="G23" s="15" t="str">
        <f aca="false">"HOLD: unbounded fatal, cold and thermal cells"</f>
        <v>HOLD: unbounded fatal, cold and thermal cells</v>
      </c>
      <c r="H23" s="2"/>
      <c r="I23" s="2"/>
      <c r="J23" s="2"/>
      <c r="K23" s="2"/>
      <c r="L23" s="2"/>
      <c r="M23" s="2"/>
      <c r="N23" s="2"/>
      <c r="O23" s="2"/>
    </row>
    <row r="24" customFormat="false" ht="15" hidden="false" customHeight="false" outlineLevel="0" collapsed="false">
      <c r="A24" s="11" t="s">
        <v>307</v>
      </c>
      <c r="B24" s="18" t="n">
        <v>0.0125</v>
      </c>
      <c r="C24" s="11" t="s">
        <v>22</v>
      </c>
      <c r="D24" s="13" t="n">
        <f aca="false">MIN('Loss Rating Orders'!$G$27:$G$30)</f>
        <v>1.0258064516129</v>
      </c>
      <c r="E24" s="13" t="n">
        <f aca="false">D24*(1-B24)/(1+B24)</f>
        <v>1.00047789725209</v>
      </c>
      <c r="F24" s="15" t="str">
        <f aca="false">IF(E24&gt;=1,"CLOSE","FAIL")</f>
        <v>CLOSE</v>
      </c>
      <c r="G24" s="15" t="str">
        <f aca="false">"HOLD: unbounded fatal, cold and thermal cells"</f>
        <v>HOLD: unbounded fatal, cold and thermal cells</v>
      </c>
      <c r="H24" s="2"/>
      <c r="I24" s="2"/>
      <c r="J24" s="2"/>
      <c r="K24" s="2"/>
      <c r="L24" s="2"/>
      <c r="M24" s="2"/>
      <c r="N24" s="2"/>
      <c r="O24" s="2"/>
    </row>
    <row r="25" customFormat="false" ht="15" hidden="false" customHeight="false" outlineLevel="0" collapsed="false">
      <c r="A25" s="11" t="s">
        <v>308</v>
      </c>
      <c r="B25" s="18" t="n">
        <v>0.015</v>
      </c>
      <c r="C25" s="11" t="s">
        <v>6</v>
      </c>
      <c r="D25" s="13" t="n">
        <f aca="false">MIN('Loss Rating Orders'!$G$7:$G$10)</f>
        <v>1.02735346358792</v>
      </c>
      <c r="E25" s="13" t="n">
        <f aca="false">D25*(1-B25)/(1+B25)</f>
        <v>0.996988336585325</v>
      </c>
      <c r="F25" s="15" t="str">
        <f aca="false">IF(E25&gt;=1,"CLOSE","FAIL")</f>
        <v>FAIL</v>
      </c>
      <c r="G25" s="15" t="str">
        <f aca="false">"HOLD: unbounded fatal, cold and thermal cells"</f>
        <v>HOLD: unbounded fatal, cold and thermal cells</v>
      </c>
      <c r="H25" s="2"/>
      <c r="I25" s="2"/>
      <c r="J25" s="2"/>
      <c r="K25" s="2"/>
      <c r="L25" s="2"/>
      <c r="M25" s="2"/>
      <c r="N25" s="2"/>
      <c r="O25" s="2"/>
    </row>
    <row r="26" customFormat="false" ht="15" hidden="false" customHeight="false" outlineLevel="0" collapsed="false">
      <c r="A26" s="11" t="s">
        <v>308</v>
      </c>
      <c r="B26" s="18" t="n">
        <v>0.015</v>
      </c>
      <c r="C26" s="11" t="s">
        <v>10</v>
      </c>
      <c r="D26" s="13" t="n">
        <f aca="false">MIN('Loss Rating Orders'!$G$11:$G$14)</f>
        <v>1.02857142857143</v>
      </c>
      <c r="E26" s="13" t="n">
        <f aca="false">D26*(1-B26)/(1+B26)</f>
        <v>0.998170302603801</v>
      </c>
      <c r="F26" s="15" t="str">
        <f aca="false">IF(E26&gt;=1,"CLOSE","FAIL")</f>
        <v>FAIL</v>
      </c>
      <c r="G26" s="15" t="str">
        <f aca="false">"HOLD: unbounded fatal, cold and thermal cells"</f>
        <v>HOLD: unbounded fatal, cold and thermal cells</v>
      </c>
      <c r="H26" s="2"/>
      <c r="I26" s="2"/>
      <c r="J26" s="2"/>
      <c r="K26" s="2"/>
      <c r="L26" s="2"/>
      <c r="M26" s="2"/>
      <c r="N26" s="2"/>
      <c r="O26" s="2"/>
    </row>
    <row r="27" customFormat="false" ht="15" hidden="false" customHeight="false" outlineLevel="0" collapsed="false">
      <c r="A27" s="11" t="s">
        <v>308</v>
      </c>
      <c r="B27" s="18" t="n">
        <v>0.015</v>
      </c>
      <c r="C27" s="11" t="s">
        <v>13</v>
      </c>
      <c r="D27" s="13" t="n">
        <f aca="false">MIN('Loss Rating Orders'!$G$15:$G$18)</f>
        <v>1.02912621359223</v>
      </c>
      <c r="E27" s="13" t="n">
        <f aca="false">D27*(1-B27)/(1+B27)</f>
        <v>0.998708690037783</v>
      </c>
      <c r="F27" s="15" t="str">
        <f aca="false">IF(E27&gt;=1,"CLOSE","FAIL")</f>
        <v>FAIL</v>
      </c>
      <c r="G27" s="15" t="str">
        <f aca="false">"HOLD: unbounded fatal, cold and thermal cells"</f>
        <v>HOLD: unbounded fatal, cold and thermal cells</v>
      </c>
      <c r="H27" s="2"/>
      <c r="I27" s="2"/>
      <c r="J27" s="2"/>
      <c r="K27" s="2"/>
      <c r="L27" s="2"/>
      <c r="M27" s="2"/>
      <c r="N27" s="2"/>
      <c r="O27" s="2"/>
    </row>
    <row r="28" customFormat="false" ht="15" hidden="false" customHeight="false" outlineLevel="0" collapsed="false">
      <c r="A28" s="11" t="s">
        <v>308</v>
      </c>
      <c r="B28" s="18" t="n">
        <v>0.015</v>
      </c>
      <c r="C28" s="11" t="s">
        <v>16</v>
      </c>
      <c r="D28" s="13" t="n">
        <f aca="false">MIN('Loss Rating Orders'!$G$19:$G$22)</f>
        <v>1.0271922767498</v>
      </c>
      <c r="E28" s="13" t="n">
        <f aca="false">D28*(1-B28)/(1+B28)</f>
        <v>0.996831913890199</v>
      </c>
      <c r="F28" s="15" t="str">
        <f aca="false">IF(E28&gt;=1,"CLOSE","FAIL")</f>
        <v>FAIL</v>
      </c>
      <c r="G28" s="15" t="str">
        <f aca="false">"HOLD: unbounded fatal, cold and thermal cells"</f>
        <v>HOLD: unbounded fatal, cold and thermal cells</v>
      </c>
      <c r="H28" s="2"/>
      <c r="I28" s="2"/>
      <c r="J28" s="2"/>
      <c r="K28" s="2"/>
      <c r="L28" s="2"/>
      <c r="M28" s="2"/>
      <c r="N28" s="2"/>
      <c r="O28" s="2"/>
    </row>
    <row r="29" customFormat="false" ht="15" hidden="false" customHeight="false" outlineLevel="0" collapsed="false">
      <c r="A29" s="11" t="s">
        <v>308</v>
      </c>
      <c r="B29" s="18" t="n">
        <v>0.015</v>
      </c>
      <c r="C29" s="11" t="s">
        <v>19</v>
      </c>
      <c r="D29" s="13" t="n">
        <f aca="false">MIN('Loss Rating Orders'!$G$23:$G$26)</f>
        <v>1.029</v>
      </c>
      <c r="E29" s="13" t="n">
        <f aca="false">D29*(1-B29)/(1+B29)</f>
        <v>0.998586206896552</v>
      </c>
      <c r="F29" s="15" t="str">
        <f aca="false">IF(E29&gt;=1,"CLOSE","FAIL")</f>
        <v>FAIL</v>
      </c>
      <c r="G29" s="15" t="str">
        <f aca="false">"HOLD: unbounded fatal, cold and thermal cells"</f>
        <v>HOLD: unbounded fatal, cold and thermal cells</v>
      </c>
      <c r="H29" s="2"/>
      <c r="I29" s="2"/>
      <c r="J29" s="2"/>
      <c r="K29" s="2"/>
      <c r="L29" s="2"/>
      <c r="M29" s="2"/>
      <c r="N29" s="2"/>
      <c r="O29" s="2"/>
    </row>
    <row r="30" customFormat="false" ht="15" hidden="false" customHeight="false" outlineLevel="0" collapsed="false">
      <c r="A30" s="11" t="s">
        <v>308</v>
      </c>
      <c r="B30" s="18" t="n">
        <v>0.015</v>
      </c>
      <c r="C30" s="11" t="s">
        <v>22</v>
      </c>
      <c r="D30" s="13" t="n">
        <f aca="false">MIN('Loss Rating Orders'!$G$27:$G$30)</f>
        <v>1.0258064516129</v>
      </c>
      <c r="E30" s="13" t="n">
        <f aca="false">D30*(1-B30)/(1+B30)</f>
        <v>0.995487049102177</v>
      </c>
      <c r="F30" s="15" t="str">
        <f aca="false">IF(E30&gt;=1,"CLOSE","FAIL")</f>
        <v>FAIL</v>
      </c>
      <c r="G30" s="15" t="str">
        <f aca="false">"HOLD: unbounded fatal, cold and thermal cells"</f>
        <v>HOLD: unbounded fatal, cold and thermal cells</v>
      </c>
      <c r="H30" s="2"/>
      <c r="I30" s="2"/>
      <c r="J30" s="2"/>
      <c r="K30" s="2"/>
      <c r="L30" s="2"/>
      <c r="M30" s="2"/>
      <c r="N30" s="2"/>
      <c r="O30" s="2"/>
    </row>
    <row r="31" customFormat="false" ht="15" hidden="false" customHeight="false" outlineLevel="0" collapsed="false">
      <c r="A31" s="11" t="s">
        <v>309</v>
      </c>
      <c r="B31" s="18" t="n">
        <v>0.025</v>
      </c>
      <c r="C31" s="11" t="s">
        <v>6</v>
      </c>
      <c r="D31" s="13" t="n">
        <f aca="false">MIN('Loss Rating Orders'!$G$7:$G$10)</f>
        <v>1.02735346358792</v>
      </c>
      <c r="E31" s="13" t="n">
        <f aca="false">D31*(1-B31)/(1+B31)</f>
        <v>0.977238660486074</v>
      </c>
      <c r="F31" s="15" t="str">
        <f aca="false">IF(E31&gt;=1,"CLOSE","FAIL")</f>
        <v>FAIL</v>
      </c>
      <c r="G31" s="15" t="str">
        <f aca="false">"HOLD: unbounded fatal, cold and thermal cells"</f>
        <v>HOLD: unbounded fatal, cold and thermal cells</v>
      </c>
      <c r="H31" s="2"/>
      <c r="I31" s="2"/>
      <c r="J31" s="2"/>
      <c r="K31" s="2"/>
      <c r="L31" s="2"/>
      <c r="M31" s="2"/>
      <c r="N31" s="2"/>
      <c r="O31" s="2"/>
    </row>
    <row r="32" customFormat="false" ht="15" hidden="false" customHeight="false" outlineLevel="0" collapsed="false">
      <c r="A32" s="11" t="s">
        <v>309</v>
      </c>
      <c r="B32" s="18" t="n">
        <v>0.025</v>
      </c>
      <c r="C32" s="11" t="s">
        <v>10</v>
      </c>
      <c r="D32" s="13" t="n">
        <f aca="false">MIN('Loss Rating Orders'!$G$11:$G$14)</f>
        <v>1.02857142857143</v>
      </c>
      <c r="E32" s="13" t="n">
        <f aca="false">D32*(1-B32)/(1+B32)</f>
        <v>0.978397212543554</v>
      </c>
      <c r="F32" s="15" t="str">
        <f aca="false">IF(E32&gt;=1,"CLOSE","FAIL")</f>
        <v>FAIL</v>
      </c>
      <c r="G32" s="15" t="str">
        <f aca="false">"HOLD: unbounded fatal, cold and thermal cells"</f>
        <v>HOLD: unbounded fatal, cold and thermal cells</v>
      </c>
      <c r="H32" s="2"/>
      <c r="I32" s="2"/>
      <c r="J32" s="2"/>
      <c r="K32" s="2"/>
      <c r="L32" s="2"/>
      <c r="M32" s="2"/>
      <c r="N32" s="2"/>
      <c r="O32" s="2"/>
    </row>
    <row r="33" customFormat="false" ht="15" hidden="false" customHeight="false" outlineLevel="0" collapsed="false">
      <c r="A33" s="11" t="s">
        <v>309</v>
      </c>
      <c r="B33" s="18" t="n">
        <v>0.025</v>
      </c>
      <c r="C33" s="11" t="s">
        <v>13</v>
      </c>
      <c r="D33" s="13" t="n">
        <f aca="false">MIN('Loss Rating Orders'!$G$15:$G$18)</f>
        <v>1.02912621359223</v>
      </c>
      <c r="E33" s="13" t="n">
        <f aca="false">D33*(1-B33)/(1+B33)</f>
        <v>0.978924934880417</v>
      </c>
      <c r="F33" s="15" t="str">
        <f aca="false">IF(E33&gt;=1,"CLOSE","FAIL")</f>
        <v>FAIL</v>
      </c>
      <c r="G33" s="15" t="str">
        <f aca="false">"HOLD: unbounded fatal, cold and thermal cells"</f>
        <v>HOLD: unbounded fatal, cold and thermal cells</v>
      </c>
      <c r="H33" s="2"/>
      <c r="I33" s="2"/>
      <c r="J33" s="2"/>
      <c r="K33" s="2"/>
      <c r="L33" s="2"/>
      <c r="M33" s="2"/>
      <c r="N33" s="2"/>
      <c r="O33" s="2"/>
    </row>
    <row r="34" customFormat="false" ht="15" hidden="false" customHeight="false" outlineLevel="0" collapsed="false">
      <c r="A34" s="11" t="s">
        <v>309</v>
      </c>
      <c r="B34" s="18" t="n">
        <v>0.025</v>
      </c>
      <c r="C34" s="11" t="s">
        <v>16</v>
      </c>
      <c r="D34" s="13" t="n">
        <f aca="false">MIN('Loss Rating Orders'!$G$19:$G$22)</f>
        <v>1.0271922767498</v>
      </c>
      <c r="E34" s="13" t="n">
        <f aca="false">D34*(1-B34)/(1+B34)</f>
        <v>0.977085336420541</v>
      </c>
      <c r="F34" s="15" t="str">
        <f aca="false">IF(E34&gt;=1,"CLOSE","FAIL")</f>
        <v>FAIL</v>
      </c>
      <c r="G34" s="15" t="str">
        <f aca="false">"HOLD: unbounded fatal, cold and thermal cells"</f>
        <v>HOLD: unbounded fatal, cold and thermal cells</v>
      </c>
      <c r="H34" s="2"/>
      <c r="I34" s="2"/>
      <c r="J34" s="2"/>
      <c r="K34" s="2"/>
      <c r="L34" s="2"/>
      <c r="M34" s="2"/>
      <c r="N34" s="2"/>
      <c r="O34" s="2"/>
    </row>
    <row r="35" customFormat="false" ht="15" hidden="false" customHeight="false" outlineLevel="0" collapsed="false">
      <c r="A35" s="11" t="s">
        <v>309</v>
      </c>
      <c r="B35" s="18" t="n">
        <v>0.025</v>
      </c>
      <c r="C35" s="11" t="s">
        <v>19</v>
      </c>
      <c r="D35" s="13" t="n">
        <f aca="false">MIN('Loss Rating Orders'!$G$23:$G$26)</f>
        <v>1.029</v>
      </c>
      <c r="E35" s="13" t="n">
        <f aca="false">D35*(1-B35)/(1+B35)</f>
        <v>0.978804878048781</v>
      </c>
      <c r="F35" s="15" t="str">
        <f aca="false">IF(E35&gt;=1,"CLOSE","FAIL")</f>
        <v>FAIL</v>
      </c>
      <c r="G35" s="15" t="str">
        <f aca="false">"HOLD: unbounded fatal, cold and thermal cells"</f>
        <v>HOLD: unbounded fatal, cold and thermal cells</v>
      </c>
      <c r="H35" s="2"/>
      <c r="I35" s="2"/>
      <c r="J35" s="2"/>
      <c r="K35" s="2"/>
      <c r="L35" s="2"/>
      <c r="M35" s="2"/>
      <c r="N35" s="2"/>
      <c r="O35" s="2"/>
    </row>
    <row r="36" customFormat="false" ht="15" hidden="false" customHeight="false" outlineLevel="0" collapsed="false">
      <c r="A36" s="11" t="s">
        <v>309</v>
      </c>
      <c r="B36" s="18" t="n">
        <v>0.025</v>
      </c>
      <c r="C36" s="11" t="s">
        <v>22</v>
      </c>
      <c r="D36" s="13" t="n">
        <f aca="false">MIN('Loss Rating Orders'!$G$27:$G$30)</f>
        <v>1.0258064516129</v>
      </c>
      <c r="E36" s="13" t="n">
        <f aca="false">D36*(1-B36)/(1+B36)</f>
        <v>0.975767112509835</v>
      </c>
      <c r="F36" s="15" t="str">
        <f aca="false">IF(E36&gt;=1,"CLOSE","FAIL")</f>
        <v>FAIL</v>
      </c>
      <c r="G36" s="15" t="str">
        <f aca="false">"HOLD: unbounded fatal, cold and thermal cells"</f>
        <v>HOLD: unbounded fatal, cold and thermal cells</v>
      </c>
      <c r="H36" s="2"/>
      <c r="I36" s="2"/>
      <c r="J36" s="2"/>
      <c r="K36" s="2"/>
      <c r="L36" s="2"/>
      <c r="M36" s="2"/>
      <c r="N36" s="2"/>
      <c r="O36" s="2"/>
    </row>
    <row r="37" customFormat="false" ht="15" hidden="false" customHeight="false" outlineLevel="0" collapsed="false">
      <c r="A37" s="11" t="s">
        <v>310</v>
      </c>
      <c r="B37" s="18" t="n">
        <v>0.05</v>
      </c>
      <c r="C37" s="11" t="s">
        <v>6</v>
      </c>
      <c r="D37" s="13" t="n">
        <f aca="false">MIN('Loss Rating Orders'!$G$7:$G$10)</f>
        <v>1.02735346358792</v>
      </c>
      <c r="E37" s="13" t="n">
        <f aca="false">D37*(1-B37)/(1+B37)</f>
        <v>0.92951027657955</v>
      </c>
      <c r="F37" s="15" t="str">
        <f aca="false">IF(E37&gt;=1,"CLOSE","FAIL")</f>
        <v>FAIL</v>
      </c>
      <c r="G37" s="15" t="str">
        <f aca="false">"HOLD: unbounded fatal, cold and thermal cells"</f>
        <v>HOLD: unbounded fatal, cold and thermal cells</v>
      </c>
      <c r="H37" s="2"/>
      <c r="I37" s="2"/>
      <c r="J37" s="2"/>
      <c r="K37" s="2"/>
      <c r="L37" s="2"/>
      <c r="M37" s="2"/>
      <c r="N37" s="2"/>
      <c r="O37" s="2"/>
    </row>
    <row r="38" customFormat="false" ht="15" hidden="false" customHeight="false" outlineLevel="0" collapsed="false">
      <c r="A38" s="11" t="s">
        <v>310</v>
      </c>
      <c r="B38" s="18" t="n">
        <v>0.05</v>
      </c>
      <c r="C38" s="11" t="s">
        <v>10</v>
      </c>
      <c r="D38" s="13" t="n">
        <f aca="false">MIN('Loss Rating Orders'!$G$11:$G$14)</f>
        <v>1.02857142857143</v>
      </c>
      <c r="E38" s="13" t="n">
        <f aca="false">D38*(1-B38)/(1+B38)</f>
        <v>0.930612244897959</v>
      </c>
      <c r="F38" s="15" t="str">
        <f aca="false">IF(E38&gt;=1,"CLOSE","FAIL")</f>
        <v>FAIL</v>
      </c>
      <c r="G38" s="15" t="str">
        <f aca="false">"HOLD: unbounded fatal, cold and thermal cells"</f>
        <v>HOLD: unbounded fatal, cold and thermal cells</v>
      </c>
      <c r="H38" s="2"/>
      <c r="I38" s="2"/>
      <c r="J38" s="2"/>
      <c r="K38" s="2"/>
      <c r="L38" s="2"/>
      <c r="M38" s="2"/>
      <c r="N38" s="2"/>
      <c r="O38" s="2"/>
    </row>
    <row r="39" customFormat="false" ht="15" hidden="false" customHeight="false" outlineLevel="0" collapsed="false">
      <c r="A39" s="11" t="s">
        <v>310</v>
      </c>
      <c r="B39" s="18" t="n">
        <v>0.05</v>
      </c>
      <c r="C39" s="11" t="s">
        <v>13</v>
      </c>
      <c r="D39" s="13" t="n">
        <f aca="false">MIN('Loss Rating Orders'!$G$15:$G$18)</f>
        <v>1.02912621359223</v>
      </c>
      <c r="E39" s="13" t="n">
        <f aca="false">D39*(1-B39)/(1+B39)</f>
        <v>0.931114193250116</v>
      </c>
      <c r="F39" s="15" t="str">
        <f aca="false">IF(E39&gt;=1,"CLOSE","FAIL")</f>
        <v>FAIL</v>
      </c>
      <c r="G39" s="15" t="str">
        <f aca="false">"HOLD: unbounded fatal, cold and thermal cells"</f>
        <v>HOLD: unbounded fatal, cold and thermal cells</v>
      </c>
      <c r="H39" s="2"/>
      <c r="I39" s="2"/>
      <c r="J39" s="2"/>
      <c r="K39" s="2"/>
      <c r="L39" s="2"/>
      <c r="M39" s="2"/>
      <c r="N39" s="2"/>
      <c r="O39" s="2"/>
    </row>
    <row r="40" customFormat="false" ht="15" hidden="false" customHeight="false" outlineLevel="0" collapsed="false">
      <c r="A40" s="11" t="s">
        <v>310</v>
      </c>
      <c r="B40" s="18" t="n">
        <v>0.05</v>
      </c>
      <c r="C40" s="11" t="s">
        <v>16</v>
      </c>
      <c r="D40" s="13" t="n">
        <f aca="false">MIN('Loss Rating Orders'!$G$19:$G$22)</f>
        <v>1.0271922767498</v>
      </c>
      <c r="E40" s="13" t="n">
        <f aca="false">D40*(1-B40)/(1+B40)</f>
        <v>0.929364440868866</v>
      </c>
      <c r="F40" s="15" t="str">
        <f aca="false">IF(E40&gt;=1,"CLOSE","FAIL")</f>
        <v>FAIL</v>
      </c>
      <c r="G40" s="15" t="str">
        <f aca="false">"HOLD: unbounded fatal, cold and thermal cells"</f>
        <v>HOLD: unbounded fatal, cold and thermal cells</v>
      </c>
      <c r="H40" s="2"/>
      <c r="I40" s="2"/>
      <c r="J40" s="2"/>
      <c r="K40" s="2"/>
      <c r="L40" s="2"/>
      <c r="M40" s="2"/>
      <c r="N40" s="2"/>
      <c r="O40" s="2"/>
    </row>
    <row r="41" customFormat="false" ht="15" hidden="false" customHeight="false" outlineLevel="0" collapsed="false">
      <c r="A41" s="11" t="s">
        <v>310</v>
      </c>
      <c r="B41" s="18" t="n">
        <v>0.05</v>
      </c>
      <c r="C41" s="11" t="s">
        <v>19</v>
      </c>
      <c r="D41" s="13" t="n">
        <f aca="false">MIN('Loss Rating Orders'!$G$23:$G$26)</f>
        <v>1.029</v>
      </c>
      <c r="E41" s="13" t="n">
        <f aca="false">D41*(1-B41)/(1+B41)</f>
        <v>0.931</v>
      </c>
      <c r="F41" s="15" t="str">
        <f aca="false">IF(E41&gt;=1,"CLOSE","FAIL")</f>
        <v>FAIL</v>
      </c>
      <c r="G41" s="15" t="str">
        <f aca="false">"HOLD: unbounded fatal, cold and thermal cells"</f>
        <v>HOLD: unbounded fatal, cold and thermal cells</v>
      </c>
      <c r="H41" s="2"/>
      <c r="I41" s="2"/>
      <c r="J41" s="2"/>
      <c r="K41" s="2"/>
      <c r="L41" s="2"/>
      <c r="M41" s="2"/>
      <c r="N41" s="2"/>
      <c r="O41" s="2"/>
    </row>
    <row r="42" customFormat="false" ht="15" hidden="false" customHeight="false" outlineLevel="0" collapsed="false">
      <c r="A42" s="11" t="s">
        <v>310</v>
      </c>
      <c r="B42" s="18" t="n">
        <v>0.05</v>
      </c>
      <c r="C42" s="11" t="s">
        <v>22</v>
      </c>
      <c r="D42" s="13" t="n">
        <f aca="false">MIN('Loss Rating Orders'!$G$27:$G$30)</f>
        <v>1.0258064516129</v>
      </c>
      <c r="E42" s="13" t="n">
        <f aca="false">D42*(1-B42)/(1+B42)</f>
        <v>0.928110599078341</v>
      </c>
      <c r="F42" s="15" t="str">
        <f aca="false">IF(E42&gt;=1,"CLOSE","FAIL")</f>
        <v>FAIL</v>
      </c>
      <c r="G42" s="15" t="str">
        <f aca="false">"HOLD: unbounded fatal, cold and thermal cells"</f>
        <v>HOLD: unbounded fatal, cold and thermal cells</v>
      </c>
      <c r="H42" s="2"/>
      <c r="I42" s="2"/>
      <c r="J42" s="2"/>
      <c r="K42" s="2"/>
      <c r="L42" s="2"/>
      <c r="M42" s="2"/>
      <c r="N42" s="2"/>
      <c r="O42" s="2"/>
    </row>
    <row r="43" customFormat="false" ht="15" hidden="false" customHeight="false" outlineLevel="0" collapsed="false">
      <c r="A43" s="11" t="s">
        <v>311</v>
      </c>
      <c r="B43" s="18" t="n">
        <v>0.1</v>
      </c>
      <c r="C43" s="11" t="s">
        <v>6</v>
      </c>
      <c r="D43" s="13" t="n">
        <f aca="false">MIN('Loss Rating Orders'!$G$7:$G$10)</f>
        <v>1.02735346358792</v>
      </c>
      <c r="E43" s="13" t="n">
        <f aca="false">D43*(1-B43)/(1+B43)</f>
        <v>0.840561924753755</v>
      </c>
      <c r="F43" s="15" t="str">
        <f aca="false">IF(E43&gt;=1,"CLOSE","FAIL")</f>
        <v>FAIL</v>
      </c>
      <c r="G43" s="15" t="str">
        <f aca="false">"HOLD: unbounded fatal, cold and thermal cells"</f>
        <v>HOLD: unbounded fatal, cold and thermal cells</v>
      </c>
      <c r="H43" s="2"/>
      <c r="I43" s="2"/>
      <c r="J43" s="2"/>
      <c r="K43" s="2"/>
      <c r="L43" s="2"/>
      <c r="M43" s="2"/>
      <c r="N43" s="2"/>
      <c r="O43" s="2"/>
    </row>
    <row r="44" customFormat="false" ht="15" hidden="false" customHeight="false" outlineLevel="0" collapsed="false">
      <c r="A44" s="11" t="s">
        <v>311</v>
      </c>
      <c r="B44" s="18" t="n">
        <v>0.1</v>
      </c>
      <c r="C44" s="11" t="s">
        <v>10</v>
      </c>
      <c r="D44" s="13" t="n">
        <f aca="false">MIN('Loss Rating Orders'!$G$11:$G$14)</f>
        <v>1.02857142857143</v>
      </c>
      <c r="E44" s="13" t="n">
        <f aca="false">D44*(1-B44)/(1+B44)</f>
        <v>0.841558441558442</v>
      </c>
      <c r="F44" s="15" t="str">
        <f aca="false">IF(E44&gt;=1,"CLOSE","FAIL")</f>
        <v>FAIL</v>
      </c>
      <c r="G44" s="15" t="str">
        <f aca="false">"HOLD: unbounded fatal, cold and thermal cells"</f>
        <v>HOLD: unbounded fatal, cold and thermal cells</v>
      </c>
      <c r="H44" s="2"/>
      <c r="I44" s="2"/>
      <c r="J44" s="2"/>
      <c r="K44" s="2"/>
      <c r="L44" s="2"/>
      <c r="M44" s="2"/>
      <c r="N44" s="2"/>
      <c r="O44" s="2"/>
    </row>
    <row r="45" customFormat="false" ht="15" hidden="false" customHeight="false" outlineLevel="0" collapsed="false">
      <c r="A45" s="11" t="s">
        <v>311</v>
      </c>
      <c r="B45" s="18" t="n">
        <v>0.1</v>
      </c>
      <c r="C45" s="11" t="s">
        <v>13</v>
      </c>
      <c r="D45" s="13" t="n">
        <f aca="false">MIN('Loss Rating Orders'!$G$15:$G$18)</f>
        <v>1.02912621359223</v>
      </c>
      <c r="E45" s="13" t="n">
        <f aca="false">D45*(1-B45)/(1+B45)</f>
        <v>0.842012356575463</v>
      </c>
      <c r="F45" s="15" t="str">
        <f aca="false">IF(E45&gt;=1,"CLOSE","FAIL")</f>
        <v>FAIL</v>
      </c>
      <c r="G45" s="15" t="str">
        <f aca="false">"HOLD: unbounded fatal, cold and thermal cells"</f>
        <v>HOLD: unbounded fatal, cold and thermal cells</v>
      </c>
      <c r="H45" s="2"/>
      <c r="I45" s="2"/>
      <c r="J45" s="2"/>
      <c r="K45" s="2"/>
      <c r="L45" s="2"/>
      <c r="M45" s="2"/>
      <c r="N45" s="2"/>
      <c r="O45" s="2"/>
    </row>
    <row r="46" customFormat="false" ht="15" hidden="false" customHeight="false" outlineLevel="0" collapsed="false">
      <c r="A46" s="11" t="s">
        <v>311</v>
      </c>
      <c r="B46" s="18" t="n">
        <v>0.1</v>
      </c>
      <c r="C46" s="11" t="s">
        <v>16</v>
      </c>
      <c r="D46" s="13" t="n">
        <f aca="false">MIN('Loss Rating Orders'!$G$19:$G$22)</f>
        <v>1.0271922767498</v>
      </c>
      <c r="E46" s="13" t="n">
        <f aca="false">D46*(1-B46)/(1+B46)</f>
        <v>0.840430044613472</v>
      </c>
      <c r="F46" s="15" t="str">
        <f aca="false">IF(E46&gt;=1,"CLOSE","FAIL")</f>
        <v>FAIL</v>
      </c>
      <c r="G46" s="15" t="str">
        <f aca="false">"HOLD: unbounded fatal, cold and thermal cells"</f>
        <v>HOLD: unbounded fatal, cold and thermal cells</v>
      </c>
      <c r="H46" s="2"/>
      <c r="I46" s="2"/>
      <c r="J46" s="2"/>
      <c r="K46" s="2"/>
      <c r="L46" s="2"/>
      <c r="M46" s="2"/>
      <c r="N46" s="2"/>
      <c r="O46" s="2"/>
    </row>
    <row r="47" customFormat="false" ht="15" hidden="false" customHeight="false" outlineLevel="0" collapsed="false">
      <c r="A47" s="11" t="s">
        <v>311</v>
      </c>
      <c r="B47" s="18" t="n">
        <v>0.1</v>
      </c>
      <c r="C47" s="11" t="s">
        <v>19</v>
      </c>
      <c r="D47" s="13" t="n">
        <f aca="false">MIN('Loss Rating Orders'!$G$23:$G$26)</f>
        <v>1.029</v>
      </c>
      <c r="E47" s="13" t="n">
        <f aca="false">D47*(1-B47)/(1+B47)</f>
        <v>0.841909090909091</v>
      </c>
      <c r="F47" s="15" t="str">
        <f aca="false">IF(E47&gt;=1,"CLOSE","FAIL")</f>
        <v>FAIL</v>
      </c>
      <c r="G47" s="15" t="str">
        <f aca="false">"HOLD: unbounded fatal, cold and thermal cells"</f>
        <v>HOLD: unbounded fatal, cold and thermal cells</v>
      </c>
      <c r="H47" s="2"/>
      <c r="I47" s="2"/>
      <c r="J47" s="2"/>
      <c r="K47" s="2"/>
      <c r="L47" s="2"/>
      <c r="M47" s="2"/>
      <c r="N47" s="2"/>
      <c r="O47" s="2"/>
    </row>
    <row r="48" customFormat="false" ht="15" hidden="false" customHeight="false" outlineLevel="0" collapsed="false">
      <c r="A48" s="11" t="s">
        <v>311</v>
      </c>
      <c r="B48" s="18" t="n">
        <v>0.1</v>
      </c>
      <c r="C48" s="11" t="s">
        <v>22</v>
      </c>
      <c r="D48" s="13" t="n">
        <f aca="false">MIN('Loss Rating Orders'!$G$27:$G$30)</f>
        <v>1.0258064516129</v>
      </c>
      <c r="E48" s="13" t="n">
        <f aca="false">D48*(1-B48)/(1+B48)</f>
        <v>0.839296187683285</v>
      </c>
      <c r="F48" s="15" t="str">
        <f aca="false">IF(E48&gt;=1,"CLOSE","FAIL")</f>
        <v>FAIL</v>
      </c>
      <c r="G48" s="15" t="str">
        <f aca="false">"HOLD: unbounded fatal, cold and thermal cells"</f>
        <v>HOLD: unbounded fatal, cold and thermal cells</v>
      </c>
      <c r="H48" s="2"/>
      <c r="I48" s="2"/>
      <c r="J48" s="2"/>
      <c r="K48" s="2"/>
      <c r="L48" s="2"/>
      <c r="M48" s="2"/>
      <c r="N48" s="2"/>
      <c r="O48" s="2"/>
    </row>
  </sheetData>
  <mergeCells count="2">
    <mergeCell ref="A2:O2"/>
    <mergeCell ref="A4:O4"/>
  </mergeCells>
  <conditionalFormatting sqref="F7:G48">
    <cfRule type="containsText" priority="2" operator="containsText" aboveAverage="0" equalAverage="0" bottom="0" percent="0" rank="0" text="FAIL" dxfId="20">
      <formula>NOT(ISERROR(SEARCH("FAIL",F7)))</formula>
    </cfRule>
    <cfRule type="containsText" priority="3" operator="containsText" aboveAverage="0" equalAverage="0" bottom="0" percent="0" rank="0" text="HOLD" dxfId="21">
      <formula>NOT(ISERROR(SEARCH("HOLD",F7)))</formula>
    </cfRule>
    <cfRule type="containsText" priority="4" operator="containsText" aboveAverage="0" equalAverage="0" bottom="0" percent="0" rank="0" text="OPEN" dxfId="22">
      <formula>NOT(ISERROR(SEARCH("OPEN",F7)))</formula>
    </cfRule>
    <cfRule type="containsText" priority="5" operator="containsText" aboveAverage="0" equalAverage="0" bottom="0" percent="0" rank="0" text="UPRATE" dxfId="23">
      <formula>NOT(ISERROR(SEARCH("UPRATE",F7)))</formula>
    </cfRule>
    <cfRule type="containsText" priority="6" operator="containsText" aboveAverage="0" equalAverage="0" bottom="0" percent="0" rank="0" text="SELECT" dxfId="24">
      <formula>NOT(ISERROR(SEARCH("SELECT",F7)))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32"/>
    <col collapsed="false" customWidth="true" hidden="false" outlineLevel="0" max="7" min="5" style="0" width="14"/>
    <col collapsed="false" customWidth="true" hidden="false" outlineLevel="0" max="8" min="8" style="0" width="11"/>
    <col collapsed="false" customWidth="true" hidden="false" outlineLevel="0" max="10" min="9" style="0" width="42"/>
    <col collapsed="false" customWidth="true" hidden="false" outlineLevel="0" max="11" min="11" style="0" width="12"/>
    <col collapsed="false" customWidth="true" hidden="false" outlineLevel="0" max="12" min="12" style="0" width="24"/>
  </cols>
  <sheetData>
    <row r="1" customFormat="false" ht="8" hidden="false" customHeight="true" outlineLevel="0" collapsed="false"/>
    <row r="2" customFormat="false" ht="23" hidden="false" customHeight="true" outlineLevel="0" collapsed="false">
      <c r="A2" s="1" t="s">
        <v>312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313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31" hidden="false" customHeight="true" outlineLevel="0" collapsed="false">
      <c r="A6" s="10" t="s">
        <v>314</v>
      </c>
      <c r="B6" s="10" t="s">
        <v>3</v>
      </c>
      <c r="C6" s="10" t="s">
        <v>315</v>
      </c>
      <c r="D6" s="10" t="s">
        <v>316</v>
      </c>
      <c r="E6" s="10" t="s">
        <v>113</v>
      </c>
      <c r="F6" s="10" t="s">
        <v>317</v>
      </c>
      <c r="G6" s="10" t="s">
        <v>318</v>
      </c>
      <c r="H6" s="10" t="s">
        <v>319</v>
      </c>
      <c r="I6" s="10" t="s">
        <v>320</v>
      </c>
      <c r="J6" s="10" t="s">
        <v>321</v>
      </c>
      <c r="K6" s="10" t="s">
        <v>267</v>
      </c>
      <c r="L6" s="10" t="s">
        <v>322</v>
      </c>
      <c r="M6" s="2"/>
      <c r="N6" s="2"/>
      <c r="O6" s="2"/>
    </row>
    <row r="7" customFormat="false" ht="15" hidden="false" customHeight="false" outlineLevel="0" collapsed="false">
      <c r="A7" s="11" t="s">
        <v>323</v>
      </c>
      <c r="B7" s="11" t="s">
        <v>6</v>
      </c>
      <c r="C7" s="11" t="s">
        <v>324</v>
      </c>
      <c r="D7" s="11" t="s">
        <v>325</v>
      </c>
      <c r="E7" s="11" t="s">
        <v>154</v>
      </c>
      <c r="F7" s="19"/>
      <c r="G7" s="19"/>
      <c r="H7" s="19" t="n">
        <v>0</v>
      </c>
      <c r="I7" s="11" t="s">
        <v>326</v>
      </c>
      <c r="J7" s="11" t="s">
        <v>327</v>
      </c>
      <c r="K7" s="15" t="str">
        <f aca="false">IF(AND(ISNUMBER(F7),ISNUMBER(G7),H7=1),"BOUNDED","OPEN")</f>
        <v>OPEN</v>
      </c>
      <c r="L7" s="11" t="s">
        <v>328</v>
      </c>
      <c r="M7" s="2"/>
      <c r="N7" s="2"/>
      <c r="O7" s="2"/>
    </row>
    <row r="8" customFormat="false" ht="15" hidden="false" customHeight="false" outlineLevel="0" collapsed="false">
      <c r="A8" s="11" t="s">
        <v>329</v>
      </c>
      <c r="B8" s="11" t="s">
        <v>6</v>
      </c>
      <c r="C8" s="11" t="s">
        <v>330</v>
      </c>
      <c r="D8" s="11" t="s">
        <v>331</v>
      </c>
      <c r="E8" s="11" t="s">
        <v>154</v>
      </c>
      <c r="F8" s="19"/>
      <c r="G8" s="19"/>
      <c r="H8" s="19" t="n">
        <v>0</v>
      </c>
      <c r="I8" s="11" t="s">
        <v>332</v>
      </c>
      <c r="J8" s="11" t="s">
        <v>333</v>
      </c>
      <c r="K8" s="15" t="str">
        <f aca="false">IF(AND(ISNUMBER(F8),ISNUMBER(G8),H8=1),"BOUNDED","OPEN")</f>
        <v>OPEN</v>
      </c>
      <c r="L8" s="11" t="s">
        <v>334</v>
      </c>
      <c r="M8" s="2"/>
      <c r="N8" s="2"/>
      <c r="O8" s="2"/>
    </row>
    <row r="9" customFormat="false" ht="15" hidden="false" customHeight="false" outlineLevel="0" collapsed="false">
      <c r="A9" s="11" t="s">
        <v>335</v>
      </c>
      <c r="B9" s="11" t="s">
        <v>6</v>
      </c>
      <c r="C9" s="11" t="s">
        <v>336</v>
      </c>
      <c r="D9" s="11" t="s">
        <v>337</v>
      </c>
      <c r="E9" s="11" t="s">
        <v>338</v>
      </c>
      <c r="F9" s="19"/>
      <c r="G9" s="19"/>
      <c r="H9" s="19" t="n">
        <v>0</v>
      </c>
      <c r="I9" s="11" t="s">
        <v>339</v>
      </c>
      <c r="J9" s="11" t="s">
        <v>340</v>
      </c>
      <c r="K9" s="15" t="str">
        <f aca="false">IF(AND(ISNUMBER(F9),ISNUMBER(G9),H9=1),"BOUNDED","OPEN")</f>
        <v>OPEN</v>
      </c>
      <c r="L9" s="11" t="s">
        <v>341</v>
      </c>
      <c r="M9" s="2"/>
      <c r="N9" s="2"/>
      <c r="O9" s="2"/>
    </row>
    <row r="10" customFormat="false" ht="15" hidden="false" customHeight="false" outlineLevel="0" collapsed="false">
      <c r="A10" s="11" t="s">
        <v>342</v>
      </c>
      <c r="B10" s="11" t="s">
        <v>6</v>
      </c>
      <c r="C10" s="11" t="s">
        <v>343</v>
      </c>
      <c r="D10" s="11" t="s">
        <v>344</v>
      </c>
      <c r="E10" s="11" t="s">
        <v>338</v>
      </c>
      <c r="F10" s="19"/>
      <c r="G10" s="19"/>
      <c r="H10" s="19" t="n">
        <v>0</v>
      </c>
      <c r="I10" s="11" t="s">
        <v>345</v>
      </c>
      <c r="J10" s="11" t="s">
        <v>346</v>
      </c>
      <c r="K10" s="15" t="str">
        <f aca="false">IF(AND(ISNUMBER(F10),ISNUMBER(G10),H10=1),"BOUNDED","OPEN")</f>
        <v>OPEN</v>
      </c>
      <c r="L10" s="11" t="s">
        <v>347</v>
      </c>
      <c r="M10" s="2"/>
      <c r="N10" s="2"/>
      <c r="O10" s="2"/>
    </row>
    <row r="11" customFormat="false" ht="15" hidden="false" customHeight="false" outlineLevel="0" collapsed="false">
      <c r="A11" s="11" t="s">
        <v>348</v>
      </c>
      <c r="B11" s="11" t="s">
        <v>6</v>
      </c>
      <c r="C11" s="11" t="s">
        <v>349</v>
      </c>
      <c r="D11" s="11" t="s">
        <v>350</v>
      </c>
      <c r="E11" s="11" t="s">
        <v>338</v>
      </c>
      <c r="F11" s="19"/>
      <c r="G11" s="19"/>
      <c r="H11" s="19" t="n">
        <v>0</v>
      </c>
      <c r="I11" s="11" t="s">
        <v>351</v>
      </c>
      <c r="J11" s="11" t="s">
        <v>352</v>
      </c>
      <c r="K11" s="15" t="str">
        <f aca="false">IF(AND(ISNUMBER(F11),ISNUMBER(G11),H11=1),"BOUNDED","OPEN")</f>
        <v>OPEN</v>
      </c>
      <c r="L11" s="11" t="s">
        <v>353</v>
      </c>
      <c r="M11" s="2"/>
      <c r="N11" s="2"/>
      <c r="O11" s="2"/>
    </row>
    <row r="12" customFormat="false" ht="15" hidden="false" customHeight="false" outlineLevel="0" collapsed="false">
      <c r="A12" s="11" t="s">
        <v>354</v>
      </c>
      <c r="B12" s="11" t="s">
        <v>6</v>
      </c>
      <c r="C12" s="11" t="s">
        <v>355</v>
      </c>
      <c r="D12" s="11" t="s">
        <v>356</v>
      </c>
      <c r="E12" s="11" t="s">
        <v>149</v>
      </c>
      <c r="F12" s="19"/>
      <c r="G12" s="19"/>
      <c r="H12" s="19" t="n">
        <v>0</v>
      </c>
      <c r="I12" s="11" t="s">
        <v>357</v>
      </c>
      <c r="J12" s="11" t="s">
        <v>358</v>
      </c>
      <c r="K12" s="15" t="str">
        <f aca="false">IF(AND(ISNUMBER(F12),ISNUMBER(G12),H12=1),"BOUNDED","OPEN")</f>
        <v>OPEN</v>
      </c>
      <c r="L12" s="11" t="s">
        <v>359</v>
      </c>
      <c r="M12" s="2"/>
      <c r="N12" s="2"/>
      <c r="O12" s="2"/>
    </row>
    <row r="13" customFormat="false" ht="15" hidden="false" customHeight="false" outlineLevel="0" collapsed="false">
      <c r="A13" s="11" t="s">
        <v>360</v>
      </c>
      <c r="B13" s="11" t="s">
        <v>10</v>
      </c>
      <c r="C13" s="11" t="s">
        <v>324</v>
      </c>
      <c r="D13" s="11" t="s">
        <v>325</v>
      </c>
      <c r="E13" s="11" t="s">
        <v>154</v>
      </c>
      <c r="F13" s="19"/>
      <c r="G13" s="19"/>
      <c r="H13" s="19" t="n">
        <v>0</v>
      </c>
      <c r="I13" s="11" t="s">
        <v>326</v>
      </c>
      <c r="J13" s="11" t="s">
        <v>327</v>
      </c>
      <c r="K13" s="15" t="str">
        <f aca="false">IF(AND(ISNUMBER(F13),ISNUMBER(G13),H13=1),"BOUNDED","OPEN")</f>
        <v>OPEN</v>
      </c>
      <c r="L13" s="11" t="s">
        <v>328</v>
      </c>
      <c r="M13" s="2"/>
      <c r="N13" s="2"/>
      <c r="O13" s="2"/>
    </row>
    <row r="14" customFormat="false" ht="15" hidden="false" customHeight="false" outlineLevel="0" collapsed="false">
      <c r="A14" s="11" t="s">
        <v>361</v>
      </c>
      <c r="B14" s="11" t="s">
        <v>10</v>
      </c>
      <c r="C14" s="11" t="s">
        <v>330</v>
      </c>
      <c r="D14" s="11" t="s">
        <v>331</v>
      </c>
      <c r="E14" s="11" t="s">
        <v>154</v>
      </c>
      <c r="F14" s="19"/>
      <c r="G14" s="19"/>
      <c r="H14" s="19" t="n">
        <v>0</v>
      </c>
      <c r="I14" s="11" t="s">
        <v>332</v>
      </c>
      <c r="J14" s="11" t="s">
        <v>333</v>
      </c>
      <c r="K14" s="15" t="str">
        <f aca="false">IF(AND(ISNUMBER(F14),ISNUMBER(G14),H14=1),"BOUNDED","OPEN")</f>
        <v>OPEN</v>
      </c>
      <c r="L14" s="11" t="s">
        <v>334</v>
      </c>
      <c r="M14" s="2"/>
      <c r="N14" s="2"/>
      <c r="O14" s="2"/>
    </row>
    <row r="15" customFormat="false" ht="15" hidden="false" customHeight="false" outlineLevel="0" collapsed="false">
      <c r="A15" s="11" t="s">
        <v>362</v>
      </c>
      <c r="B15" s="11" t="s">
        <v>10</v>
      </c>
      <c r="C15" s="11" t="s">
        <v>336</v>
      </c>
      <c r="D15" s="11" t="s">
        <v>337</v>
      </c>
      <c r="E15" s="11" t="s">
        <v>338</v>
      </c>
      <c r="F15" s="19"/>
      <c r="G15" s="19"/>
      <c r="H15" s="19" t="n">
        <v>0</v>
      </c>
      <c r="I15" s="11" t="s">
        <v>339</v>
      </c>
      <c r="J15" s="11" t="s">
        <v>340</v>
      </c>
      <c r="K15" s="15" t="str">
        <f aca="false">IF(AND(ISNUMBER(F15),ISNUMBER(G15),H15=1),"BOUNDED","OPEN")</f>
        <v>OPEN</v>
      </c>
      <c r="L15" s="11" t="s">
        <v>341</v>
      </c>
      <c r="M15" s="2"/>
      <c r="N15" s="2"/>
      <c r="O15" s="2"/>
    </row>
    <row r="16" customFormat="false" ht="15" hidden="false" customHeight="false" outlineLevel="0" collapsed="false">
      <c r="A16" s="11" t="s">
        <v>363</v>
      </c>
      <c r="B16" s="11" t="s">
        <v>10</v>
      </c>
      <c r="C16" s="11" t="s">
        <v>343</v>
      </c>
      <c r="D16" s="11" t="s">
        <v>344</v>
      </c>
      <c r="E16" s="11" t="s">
        <v>338</v>
      </c>
      <c r="F16" s="19"/>
      <c r="G16" s="19"/>
      <c r="H16" s="19" t="n">
        <v>0</v>
      </c>
      <c r="I16" s="11" t="s">
        <v>345</v>
      </c>
      <c r="J16" s="11" t="s">
        <v>346</v>
      </c>
      <c r="K16" s="15" t="str">
        <f aca="false">IF(AND(ISNUMBER(F16),ISNUMBER(G16),H16=1),"BOUNDED","OPEN")</f>
        <v>OPEN</v>
      </c>
      <c r="L16" s="11" t="s">
        <v>347</v>
      </c>
      <c r="M16" s="2"/>
      <c r="N16" s="2"/>
      <c r="O16" s="2"/>
    </row>
    <row r="17" customFormat="false" ht="15" hidden="false" customHeight="false" outlineLevel="0" collapsed="false">
      <c r="A17" s="11" t="s">
        <v>364</v>
      </c>
      <c r="B17" s="11" t="s">
        <v>10</v>
      </c>
      <c r="C17" s="11" t="s">
        <v>349</v>
      </c>
      <c r="D17" s="11" t="s">
        <v>350</v>
      </c>
      <c r="E17" s="11" t="s">
        <v>338</v>
      </c>
      <c r="F17" s="19"/>
      <c r="G17" s="19"/>
      <c r="H17" s="19" t="n">
        <v>0</v>
      </c>
      <c r="I17" s="11" t="s">
        <v>351</v>
      </c>
      <c r="J17" s="11" t="s">
        <v>352</v>
      </c>
      <c r="K17" s="15" t="str">
        <f aca="false">IF(AND(ISNUMBER(F17),ISNUMBER(G17),H17=1),"BOUNDED","OPEN")</f>
        <v>OPEN</v>
      </c>
      <c r="L17" s="11" t="s">
        <v>353</v>
      </c>
      <c r="M17" s="2"/>
      <c r="N17" s="2"/>
      <c r="O17" s="2"/>
    </row>
    <row r="18" customFormat="false" ht="15" hidden="false" customHeight="false" outlineLevel="0" collapsed="false">
      <c r="A18" s="11" t="s">
        <v>365</v>
      </c>
      <c r="B18" s="11" t="s">
        <v>10</v>
      </c>
      <c r="C18" s="11" t="s">
        <v>355</v>
      </c>
      <c r="D18" s="11" t="s">
        <v>356</v>
      </c>
      <c r="E18" s="11" t="s">
        <v>149</v>
      </c>
      <c r="F18" s="19"/>
      <c r="G18" s="19"/>
      <c r="H18" s="19" t="n">
        <v>0</v>
      </c>
      <c r="I18" s="11" t="s">
        <v>357</v>
      </c>
      <c r="J18" s="11" t="s">
        <v>358</v>
      </c>
      <c r="K18" s="15" t="str">
        <f aca="false">IF(AND(ISNUMBER(F18),ISNUMBER(G18),H18=1),"BOUNDED","OPEN")</f>
        <v>OPEN</v>
      </c>
      <c r="L18" s="11" t="s">
        <v>359</v>
      </c>
      <c r="M18" s="2"/>
      <c r="N18" s="2"/>
      <c r="O18" s="2"/>
    </row>
    <row r="19" customFormat="false" ht="15" hidden="false" customHeight="false" outlineLevel="0" collapsed="false">
      <c r="A19" s="11" t="s">
        <v>366</v>
      </c>
      <c r="B19" s="11" t="s">
        <v>13</v>
      </c>
      <c r="C19" s="11" t="s">
        <v>324</v>
      </c>
      <c r="D19" s="11" t="s">
        <v>325</v>
      </c>
      <c r="E19" s="11" t="s">
        <v>154</v>
      </c>
      <c r="F19" s="19"/>
      <c r="G19" s="19"/>
      <c r="H19" s="19" t="n">
        <v>0</v>
      </c>
      <c r="I19" s="11" t="s">
        <v>326</v>
      </c>
      <c r="J19" s="11" t="s">
        <v>327</v>
      </c>
      <c r="K19" s="15" t="str">
        <f aca="false">IF(AND(ISNUMBER(F19),ISNUMBER(G19),H19=1),"BOUNDED","OPEN")</f>
        <v>OPEN</v>
      </c>
      <c r="L19" s="11" t="s">
        <v>328</v>
      </c>
      <c r="M19" s="2"/>
      <c r="N19" s="2"/>
      <c r="O19" s="2"/>
    </row>
    <row r="20" customFormat="false" ht="15" hidden="false" customHeight="false" outlineLevel="0" collapsed="false">
      <c r="A20" s="11" t="s">
        <v>367</v>
      </c>
      <c r="B20" s="11" t="s">
        <v>13</v>
      </c>
      <c r="C20" s="11" t="s">
        <v>330</v>
      </c>
      <c r="D20" s="11" t="s">
        <v>331</v>
      </c>
      <c r="E20" s="11" t="s">
        <v>154</v>
      </c>
      <c r="F20" s="19"/>
      <c r="G20" s="19"/>
      <c r="H20" s="19" t="n">
        <v>0</v>
      </c>
      <c r="I20" s="11" t="s">
        <v>332</v>
      </c>
      <c r="J20" s="11" t="s">
        <v>333</v>
      </c>
      <c r="K20" s="15" t="str">
        <f aca="false">IF(AND(ISNUMBER(F20),ISNUMBER(G20),H20=1),"BOUNDED","OPEN")</f>
        <v>OPEN</v>
      </c>
      <c r="L20" s="11" t="s">
        <v>334</v>
      </c>
      <c r="M20" s="2"/>
      <c r="N20" s="2"/>
      <c r="O20" s="2"/>
    </row>
    <row r="21" customFormat="false" ht="15" hidden="false" customHeight="false" outlineLevel="0" collapsed="false">
      <c r="A21" s="11" t="s">
        <v>368</v>
      </c>
      <c r="B21" s="11" t="s">
        <v>13</v>
      </c>
      <c r="C21" s="11" t="s">
        <v>336</v>
      </c>
      <c r="D21" s="11" t="s">
        <v>337</v>
      </c>
      <c r="E21" s="11" t="s">
        <v>338</v>
      </c>
      <c r="F21" s="19"/>
      <c r="G21" s="19"/>
      <c r="H21" s="19" t="n">
        <v>0</v>
      </c>
      <c r="I21" s="11" t="s">
        <v>339</v>
      </c>
      <c r="J21" s="11" t="s">
        <v>340</v>
      </c>
      <c r="K21" s="15" t="str">
        <f aca="false">IF(AND(ISNUMBER(F21),ISNUMBER(G21),H21=1),"BOUNDED","OPEN")</f>
        <v>OPEN</v>
      </c>
      <c r="L21" s="11" t="s">
        <v>341</v>
      </c>
      <c r="M21" s="2"/>
      <c r="N21" s="2"/>
      <c r="O21" s="2"/>
    </row>
    <row r="22" customFormat="false" ht="15" hidden="false" customHeight="false" outlineLevel="0" collapsed="false">
      <c r="A22" s="11" t="s">
        <v>369</v>
      </c>
      <c r="B22" s="11" t="s">
        <v>13</v>
      </c>
      <c r="C22" s="11" t="s">
        <v>343</v>
      </c>
      <c r="D22" s="11" t="s">
        <v>344</v>
      </c>
      <c r="E22" s="11" t="s">
        <v>338</v>
      </c>
      <c r="F22" s="19"/>
      <c r="G22" s="19"/>
      <c r="H22" s="19" t="n">
        <v>0</v>
      </c>
      <c r="I22" s="11" t="s">
        <v>345</v>
      </c>
      <c r="J22" s="11" t="s">
        <v>346</v>
      </c>
      <c r="K22" s="15" t="str">
        <f aca="false">IF(AND(ISNUMBER(F22),ISNUMBER(G22),H22=1),"BOUNDED","OPEN")</f>
        <v>OPEN</v>
      </c>
      <c r="L22" s="11" t="s">
        <v>347</v>
      </c>
      <c r="M22" s="2"/>
      <c r="N22" s="2"/>
      <c r="O22" s="2"/>
    </row>
    <row r="23" customFormat="false" ht="15" hidden="false" customHeight="false" outlineLevel="0" collapsed="false">
      <c r="A23" s="11" t="s">
        <v>370</v>
      </c>
      <c r="B23" s="11" t="s">
        <v>13</v>
      </c>
      <c r="C23" s="11" t="s">
        <v>349</v>
      </c>
      <c r="D23" s="11" t="s">
        <v>350</v>
      </c>
      <c r="E23" s="11" t="s">
        <v>338</v>
      </c>
      <c r="F23" s="19"/>
      <c r="G23" s="19"/>
      <c r="H23" s="19" t="n">
        <v>0</v>
      </c>
      <c r="I23" s="11" t="s">
        <v>351</v>
      </c>
      <c r="J23" s="11" t="s">
        <v>352</v>
      </c>
      <c r="K23" s="15" t="str">
        <f aca="false">IF(AND(ISNUMBER(F23),ISNUMBER(G23),H23=1),"BOUNDED","OPEN")</f>
        <v>OPEN</v>
      </c>
      <c r="L23" s="11" t="s">
        <v>353</v>
      </c>
      <c r="M23" s="2"/>
      <c r="N23" s="2"/>
      <c r="O23" s="2"/>
    </row>
    <row r="24" customFormat="false" ht="15" hidden="false" customHeight="false" outlineLevel="0" collapsed="false">
      <c r="A24" s="11" t="s">
        <v>371</v>
      </c>
      <c r="B24" s="11" t="s">
        <v>13</v>
      </c>
      <c r="C24" s="11" t="s">
        <v>355</v>
      </c>
      <c r="D24" s="11" t="s">
        <v>356</v>
      </c>
      <c r="E24" s="11" t="s">
        <v>149</v>
      </c>
      <c r="F24" s="19"/>
      <c r="G24" s="19"/>
      <c r="H24" s="19" t="n">
        <v>0</v>
      </c>
      <c r="I24" s="11" t="s">
        <v>357</v>
      </c>
      <c r="J24" s="11" t="s">
        <v>358</v>
      </c>
      <c r="K24" s="15" t="str">
        <f aca="false">IF(AND(ISNUMBER(F24),ISNUMBER(G24),H24=1),"BOUNDED","OPEN")</f>
        <v>OPEN</v>
      </c>
      <c r="L24" s="11" t="s">
        <v>359</v>
      </c>
      <c r="M24" s="2"/>
      <c r="N24" s="2"/>
      <c r="O24" s="2"/>
    </row>
    <row r="25" customFormat="false" ht="15" hidden="false" customHeight="false" outlineLevel="0" collapsed="false">
      <c r="A25" s="11" t="s">
        <v>372</v>
      </c>
      <c r="B25" s="11" t="s">
        <v>16</v>
      </c>
      <c r="C25" s="11" t="s">
        <v>324</v>
      </c>
      <c r="D25" s="11" t="s">
        <v>325</v>
      </c>
      <c r="E25" s="11" t="s">
        <v>154</v>
      </c>
      <c r="F25" s="19"/>
      <c r="G25" s="19"/>
      <c r="H25" s="19" t="n">
        <v>0</v>
      </c>
      <c r="I25" s="11" t="s">
        <v>326</v>
      </c>
      <c r="J25" s="11" t="s">
        <v>327</v>
      </c>
      <c r="K25" s="15" t="str">
        <f aca="false">IF(AND(ISNUMBER(F25),ISNUMBER(G25),H25=1),"BOUNDED","OPEN")</f>
        <v>OPEN</v>
      </c>
      <c r="L25" s="11" t="s">
        <v>328</v>
      </c>
      <c r="M25" s="2"/>
      <c r="N25" s="2"/>
      <c r="O25" s="2"/>
    </row>
    <row r="26" customFormat="false" ht="15" hidden="false" customHeight="false" outlineLevel="0" collapsed="false">
      <c r="A26" s="11" t="s">
        <v>373</v>
      </c>
      <c r="B26" s="11" t="s">
        <v>16</v>
      </c>
      <c r="C26" s="11" t="s">
        <v>330</v>
      </c>
      <c r="D26" s="11" t="s">
        <v>331</v>
      </c>
      <c r="E26" s="11" t="s">
        <v>154</v>
      </c>
      <c r="F26" s="19"/>
      <c r="G26" s="19"/>
      <c r="H26" s="19" t="n">
        <v>0</v>
      </c>
      <c r="I26" s="11" t="s">
        <v>332</v>
      </c>
      <c r="J26" s="11" t="s">
        <v>333</v>
      </c>
      <c r="K26" s="15" t="str">
        <f aca="false">IF(AND(ISNUMBER(F26),ISNUMBER(G26),H26=1),"BOUNDED","OPEN")</f>
        <v>OPEN</v>
      </c>
      <c r="L26" s="11" t="s">
        <v>334</v>
      </c>
      <c r="M26" s="2"/>
      <c r="N26" s="2"/>
      <c r="O26" s="2"/>
    </row>
    <row r="27" customFormat="false" ht="15" hidden="false" customHeight="false" outlineLevel="0" collapsed="false">
      <c r="A27" s="11" t="s">
        <v>374</v>
      </c>
      <c r="B27" s="11" t="s">
        <v>16</v>
      </c>
      <c r="C27" s="11" t="s">
        <v>336</v>
      </c>
      <c r="D27" s="11" t="s">
        <v>337</v>
      </c>
      <c r="E27" s="11" t="s">
        <v>338</v>
      </c>
      <c r="F27" s="19"/>
      <c r="G27" s="19"/>
      <c r="H27" s="19" t="n">
        <v>0</v>
      </c>
      <c r="I27" s="11" t="s">
        <v>339</v>
      </c>
      <c r="J27" s="11" t="s">
        <v>340</v>
      </c>
      <c r="K27" s="15" t="str">
        <f aca="false">IF(AND(ISNUMBER(F27),ISNUMBER(G27),H27=1),"BOUNDED","OPEN")</f>
        <v>OPEN</v>
      </c>
      <c r="L27" s="11" t="s">
        <v>341</v>
      </c>
      <c r="M27" s="2"/>
      <c r="N27" s="2"/>
      <c r="O27" s="2"/>
    </row>
    <row r="28" customFormat="false" ht="15" hidden="false" customHeight="false" outlineLevel="0" collapsed="false">
      <c r="A28" s="11" t="s">
        <v>375</v>
      </c>
      <c r="B28" s="11" t="s">
        <v>16</v>
      </c>
      <c r="C28" s="11" t="s">
        <v>343</v>
      </c>
      <c r="D28" s="11" t="s">
        <v>344</v>
      </c>
      <c r="E28" s="11" t="s">
        <v>338</v>
      </c>
      <c r="F28" s="19"/>
      <c r="G28" s="19"/>
      <c r="H28" s="19" t="n">
        <v>0</v>
      </c>
      <c r="I28" s="11" t="s">
        <v>345</v>
      </c>
      <c r="J28" s="11" t="s">
        <v>346</v>
      </c>
      <c r="K28" s="15" t="str">
        <f aca="false">IF(AND(ISNUMBER(F28),ISNUMBER(G28),H28=1),"BOUNDED","OPEN")</f>
        <v>OPEN</v>
      </c>
      <c r="L28" s="11" t="s">
        <v>347</v>
      </c>
      <c r="M28" s="2"/>
      <c r="N28" s="2"/>
      <c r="O28" s="2"/>
    </row>
    <row r="29" customFormat="false" ht="15" hidden="false" customHeight="false" outlineLevel="0" collapsed="false">
      <c r="A29" s="11" t="s">
        <v>376</v>
      </c>
      <c r="B29" s="11" t="s">
        <v>16</v>
      </c>
      <c r="C29" s="11" t="s">
        <v>349</v>
      </c>
      <c r="D29" s="11" t="s">
        <v>350</v>
      </c>
      <c r="E29" s="11" t="s">
        <v>338</v>
      </c>
      <c r="F29" s="19"/>
      <c r="G29" s="19"/>
      <c r="H29" s="19" t="n">
        <v>0</v>
      </c>
      <c r="I29" s="11" t="s">
        <v>351</v>
      </c>
      <c r="J29" s="11" t="s">
        <v>352</v>
      </c>
      <c r="K29" s="15" t="str">
        <f aca="false">IF(AND(ISNUMBER(F29),ISNUMBER(G29),H29=1),"BOUNDED","OPEN")</f>
        <v>OPEN</v>
      </c>
      <c r="L29" s="11" t="s">
        <v>353</v>
      </c>
      <c r="M29" s="2"/>
      <c r="N29" s="2"/>
      <c r="O29" s="2"/>
    </row>
    <row r="30" customFormat="false" ht="15" hidden="false" customHeight="false" outlineLevel="0" collapsed="false">
      <c r="A30" s="11" t="s">
        <v>377</v>
      </c>
      <c r="B30" s="11" t="s">
        <v>16</v>
      </c>
      <c r="C30" s="11" t="s">
        <v>355</v>
      </c>
      <c r="D30" s="11" t="s">
        <v>356</v>
      </c>
      <c r="E30" s="11" t="s">
        <v>149</v>
      </c>
      <c r="F30" s="19"/>
      <c r="G30" s="19"/>
      <c r="H30" s="19" t="n">
        <v>0</v>
      </c>
      <c r="I30" s="11" t="s">
        <v>357</v>
      </c>
      <c r="J30" s="11" t="s">
        <v>358</v>
      </c>
      <c r="K30" s="15" t="str">
        <f aca="false">IF(AND(ISNUMBER(F30),ISNUMBER(G30),H30=1),"BOUNDED","OPEN")</f>
        <v>OPEN</v>
      </c>
      <c r="L30" s="11" t="s">
        <v>359</v>
      </c>
      <c r="M30" s="2"/>
      <c r="N30" s="2"/>
      <c r="O30" s="2"/>
    </row>
    <row r="31" customFormat="false" ht="15" hidden="false" customHeight="false" outlineLevel="0" collapsed="false">
      <c r="A31" s="11" t="s">
        <v>378</v>
      </c>
      <c r="B31" s="11" t="s">
        <v>19</v>
      </c>
      <c r="C31" s="11" t="s">
        <v>324</v>
      </c>
      <c r="D31" s="11" t="s">
        <v>325</v>
      </c>
      <c r="E31" s="11" t="s">
        <v>154</v>
      </c>
      <c r="F31" s="19"/>
      <c r="G31" s="19"/>
      <c r="H31" s="19" t="n">
        <v>0</v>
      </c>
      <c r="I31" s="11" t="s">
        <v>326</v>
      </c>
      <c r="J31" s="11" t="s">
        <v>327</v>
      </c>
      <c r="K31" s="15" t="str">
        <f aca="false">IF(AND(ISNUMBER(F31),ISNUMBER(G31),H31=1),"BOUNDED","OPEN")</f>
        <v>OPEN</v>
      </c>
      <c r="L31" s="11" t="s">
        <v>328</v>
      </c>
      <c r="M31" s="2"/>
      <c r="N31" s="2"/>
      <c r="O31" s="2"/>
    </row>
    <row r="32" customFormat="false" ht="15" hidden="false" customHeight="false" outlineLevel="0" collapsed="false">
      <c r="A32" s="11" t="s">
        <v>379</v>
      </c>
      <c r="B32" s="11" t="s">
        <v>19</v>
      </c>
      <c r="C32" s="11" t="s">
        <v>330</v>
      </c>
      <c r="D32" s="11" t="s">
        <v>331</v>
      </c>
      <c r="E32" s="11" t="s">
        <v>154</v>
      </c>
      <c r="F32" s="19"/>
      <c r="G32" s="19"/>
      <c r="H32" s="19" t="n">
        <v>0</v>
      </c>
      <c r="I32" s="11" t="s">
        <v>332</v>
      </c>
      <c r="J32" s="11" t="s">
        <v>333</v>
      </c>
      <c r="K32" s="15" t="str">
        <f aca="false">IF(AND(ISNUMBER(F32),ISNUMBER(G32),H32=1),"BOUNDED","OPEN")</f>
        <v>OPEN</v>
      </c>
      <c r="L32" s="11" t="s">
        <v>334</v>
      </c>
      <c r="M32" s="2"/>
      <c r="N32" s="2"/>
      <c r="O32" s="2"/>
    </row>
    <row r="33" customFormat="false" ht="15" hidden="false" customHeight="false" outlineLevel="0" collapsed="false">
      <c r="A33" s="11" t="s">
        <v>380</v>
      </c>
      <c r="B33" s="11" t="s">
        <v>19</v>
      </c>
      <c r="C33" s="11" t="s">
        <v>336</v>
      </c>
      <c r="D33" s="11" t="s">
        <v>337</v>
      </c>
      <c r="E33" s="11" t="s">
        <v>338</v>
      </c>
      <c r="F33" s="19"/>
      <c r="G33" s="19"/>
      <c r="H33" s="19" t="n">
        <v>0</v>
      </c>
      <c r="I33" s="11" t="s">
        <v>339</v>
      </c>
      <c r="J33" s="11" t="s">
        <v>340</v>
      </c>
      <c r="K33" s="15" t="str">
        <f aca="false">IF(AND(ISNUMBER(F33),ISNUMBER(G33),H33=1),"BOUNDED","OPEN")</f>
        <v>OPEN</v>
      </c>
      <c r="L33" s="11" t="s">
        <v>341</v>
      </c>
      <c r="M33" s="2"/>
      <c r="N33" s="2"/>
      <c r="O33" s="2"/>
    </row>
    <row r="34" customFormat="false" ht="15" hidden="false" customHeight="false" outlineLevel="0" collapsed="false">
      <c r="A34" s="11" t="s">
        <v>381</v>
      </c>
      <c r="B34" s="11" t="s">
        <v>19</v>
      </c>
      <c r="C34" s="11" t="s">
        <v>343</v>
      </c>
      <c r="D34" s="11" t="s">
        <v>344</v>
      </c>
      <c r="E34" s="11" t="s">
        <v>338</v>
      </c>
      <c r="F34" s="19"/>
      <c r="G34" s="19"/>
      <c r="H34" s="19" t="n">
        <v>0</v>
      </c>
      <c r="I34" s="11" t="s">
        <v>345</v>
      </c>
      <c r="J34" s="11" t="s">
        <v>346</v>
      </c>
      <c r="K34" s="15" t="str">
        <f aca="false">IF(AND(ISNUMBER(F34),ISNUMBER(G34),H34=1),"BOUNDED","OPEN")</f>
        <v>OPEN</v>
      </c>
      <c r="L34" s="11" t="s">
        <v>347</v>
      </c>
      <c r="M34" s="2"/>
      <c r="N34" s="2"/>
      <c r="O34" s="2"/>
    </row>
    <row r="35" customFormat="false" ht="15" hidden="false" customHeight="false" outlineLevel="0" collapsed="false">
      <c r="A35" s="11" t="s">
        <v>382</v>
      </c>
      <c r="B35" s="11" t="s">
        <v>19</v>
      </c>
      <c r="C35" s="11" t="s">
        <v>349</v>
      </c>
      <c r="D35" s="11" t="s">
        <v>350</v>
      </c>
      <c r="E35" s="11" t="s">
        <v>338</v>
      </c>
      <c r="F35" s="19"/>
      <c r="G35" s="19"/>
      <c r="H35" s="19" t="n">
        <v>0</v>
      </c>
      <c r="I35" s="11" t="s">
        <v>351</v>
      </c>
      <c r="J35" s="11" t="s">
        <v>352</v>
      </c>
      <c r="K35" s="15" t="str">
        <f aca="false">IF(AND(ISNUMBER(F35),ISNUMBER(G35),H35=1),"BOUNDED","OPEN")</f>
        <v>OPEN</v>
      </c>
      <c r="L35" s="11" t="s">
        <v>353</v>
      </c>
      <c r="M35" s="2"/>
      <c r="N35" s="2"/>
      <c r="O35" s="2"/>
    </row>
    <row r="36" customFormat="false" ht="15" hidden="false" customHeight="false" outlineLevel="0" collapsed="false">
      <c r="A36" s="11" t="s">
        <v>383</v>
      </c>
      <c r="B36" s="11" t="s">
        <v>19</v>
      </c>
      <c r="C36" s="11" t="s">
        <v>355</v>
      </c>
      <c r="D36" s="11" t="s">
        <v>356</v>
      </c>
      <c r="E36" s="11" t="s">
        <v>149</v>
      </c>
      <c r="F36" s="19"/>
      <c r="G36" s="19"/>
      <c r="H36" s="19" t="n">
        <v>0</v>
      </c>
      <c r="I36" s="11" t="s">
        <v>357</v>
      </c>
      <c r="J36" s="11" t="s">
        <v>358</v>
      </c>
      <c r="K36" s="15" t="str">
        <f aca="false">IF(AND(ISNUMBER(F36),ISNUMBER(G36),H36=1),"BOUNDED","OPEN")</f>
        <v>OPEN</v>
      </c>
      <c r="L36" s="11" t="s">
        <v>359</v>
      </c>
      <c r="M36" s="2"/>
      <c r="N36" s="2"/>
      <c r="O36" s="2"/>
    </row>
    <row r="37" customFormat="false" ht="15" hidden="false" customHeight="false" outlineLevel="0" collapsed="false">
      <c r="A37" s="11" t="s">
        <v>384</v>
      </c>
      <c r="B37" s="11" t="s">
        <v>22</v>
      </c>
      <c r="C37" s="11" t="s">
        <v>324</v>
      </c>
      <c r="D37" s="11" t="s">
        <v>325</v>
      </c>
      <c r="E37" s="11" t="s">
        <v>154</v>
      </c>
      <c r="F37" s="19"/>
      <c r="G37" s="19"/>
      <c r="H37" s="19" t="n">
        <v>0</v>
      </c>
      <c r="I37" s="11" t="s">
        <v>326</v>
      </c>
      <c r="J37" s="11" t="s">
        <v>327</v>
      </c>
      <c r="K37" s="15" t="str">
        <f aca="false">IF(AND(ISNUMBER(F37),ISNUMBER(G37),H37=1),"BOUNDED","OPEN")</f>
        <v>OPEN</v>
      </c>
      <c r="L37" s="11" t="s">
        <v>328</v>
      </c>
      <c r="M37" s="2"/>
      <c r="N37" s="2"/>
      <c r="O37" s="2"/>
    </row>
    <row r="38" customFormat="false" ht="15" hidden="false" customHeight="false" outlineLevel="0" collapsed="false">
      <c r="A38" s="11" t="s">
        <v>385</v>
      </c>
      <c r="B38" s="11" t="s">
        <v>22</v>
      </c>
      <c r="C38" s="11" t="s">
        <v>330</v>
      </c>
      <c r="D38" s="11" t="s">
        <v>331</v>
      </c>
      <c r="E38" s="11" t="s">
        <v>154</v>
      </c>
      <c r="F38" s="19"/>
      <c r="G38" s="19"/>
      <c r="H38" s="19" t="n">
        <v>0</v>
      </c>
      <c r="I38" s="11" t="s">
        <v>332</v>
      </c>
      <c r="J38" s="11" t="s">
        <v>333</v>
      </c>
      <c r="K38" s="15" t="str">
        <f aca="false">IF(AND(ISNUMBER(F38),ISNUMBER(G38),H38=1),"BOUNDED","OPEN")</f>
        <v>OPEN</v>
      </c>
      <c r="L38" s="11" t="s">
        <v>334</v>
      </c>
      <c r="M38" s="2"/>
      <c r="N38" s="2"/>
      <c r="O38" s="2"/>
    </row>
    <row r="39" customFormat="false" ht="15" hidden="false" customHeight="false" outlineLevel="0" collapsed="false">
      <c r="A39" s="11" t="s">
        <v>386</v>
      </c>
      <c r="B39" s="11" t="s">
        <v>22</v>
      </c>
      <c r="C39" s="11" t="s">
        <v>336</v>
      </c>
      <c r="D39" s="11" t="s">
        <v>337</v>
      </c>
      <c r="E39" s="11" t="s">
        <v>338</v>
      </c>
      <c r="F39" s="19"/>
      <c r="G39" s="19"/>
      <c r="H39" s="19" t="n">
        <v>0</v>
      </c>
      <c r="I39" s="11" t="s">
        <v>339</v>
      </c>
      <c r="J39" s="11" t="s">
        <v>340</v>
      </c>
      <c r="K39" s="15" t="str">
        <f aca="false">IF(AND(ISNUMBER(F39),ISNUMBER(G39),H39=1),"BOUNDED","OPEN")</f>
        <v>OPEN</v>
      </c>
      <c r="L39" s="11" t="s">
        <v>341</v>
      </c>
      <c r="M39" s="2"/>
      <c r="N39" s="2"/>
      <c r="O39" s="2"/>
    </row>
    <row r="40" customFormat="false" ht="15" hidden="false" customHeight="false" outlineLevel="0" collapsed="false">
      <c r="A40" s="11" t="s">
        <v>387</v>
      </c>
      <c r="B40" s="11" t="s">
        <v>22</v>
      </c>
      <c r="C40" s="11" t="s">
        <v>343</v>
      </c>
      <c r="D40" s="11" t="s">
        <v>344</v>
      </c>
      <c r="E40" s="11" t="s">
        <v>338</v>
      </c>
      <c r="F40" s="19"/>
      <c r="G40" s="19"/>
      <c r="H40" s="19" t="n">
        <v>0</v>
      </c>
      <c r="I40" s="11" t="s">
        <v>345</v>
      </c>
      <c r="J40" s="11" t="s">
        <v>346</v>
      </c>
      <c r="K40" s="15" t="str">
        <f aca="false">IF(AND(ISNUMBER(F40),ISNUMBER(G40),H40=1),"BOUNDED","OPEN")</f>
        <v>OPEN</v>
      </c>
      <c r="L40" s="11" t="s">
        <v>347</v>
      </c>
      <c r="M40" s="2"/>
      <c r="N40" s="2"/>
      <c r="O40" s="2"/>
    </row>
    <row r="41" customFormat="false" ht="15" hidden="false" customHeight="false" outlineLevel="0" collapsed="false">
      <c r="A41" s="11" t="s">
        <v>388</v>
      </c>
      <c r="B41" s="11" t="s">
        <v>22</v>
      </c>
      <c r="C41" s="11" t="s">
        <v>349</v>
      </c>
      <c r="D41" s="11" t="s">
        <v>350</v>
      </c>
      <c r="E41" s="11" t="s">
        <v>338</v>
      </c>
      <c r="F41" s="19"/>
      <c r="G41" s="19"/>
      <c r="H41" s="19" t="n">
        <v>0</v>
      </c>
      <c r="I41" s="11" t="s">
        <v>351</v>
      </c>
      <c r="J41" s="11" t="s">
        <v>352</v>
      </c>
      <c r="K41" s="15" t="str">
        <f aca="false">IF(AND(ISNUMBER(F41),ISNUMBER(G41),H41=1),"BOUNDED","OPEN")</f>
        <v>OPEN</v>
      </c>
      <c r="L41" s="11" t="s">
        <v>353</v>
      </c>
      <c r="M41" s="2"/>
      <c r="N41" s="2"/>
      <c r="O41" s="2"/>
    </row>
    <row r="42" customFormat="false" ht="15" hidden="false" customHeight="false" outlineLevel="0" collapsed="false">
      <c r="A42" s="11" t="s">
        <v>389</v>
      </c>
      <c r="B42" s="11" t="s">
        <v>22</v>
      </c>
      <c r="C42" s="11" t="s">
        <v>355</v>
      </c>
      <c r="D42" s="11" t="s">
        <v>356</v>
      </c>
      <c r="E42" s="11" t="s">
        <v>149</v>
      </c>
      <c r="F42" s="19"/>
      <c r="G42" s="19"/>
      <c r="H42" s="19" t="n">
        <v>0</v>
      </c>
      <c r="I42" s="11" t="s">
        <v>357</v>
      </c>
      <c r="J42" s="11" t="s">
        <v>358</v>
      </c>
      <c r="K42" s="15" t="str">
        <f aca="false">IF(AND(ISNUMBER(F42),ISNUMBER(G42),H42=1),"BOUNDED","OPEN")</f>
        <v>OPEN</v>
      </c>
      <c r="L42" s="11" t="s">
        <v>359</v>
      </c>
      <c r="M42" s="2"/>
      <c r="N42" s="2"/>
      <c r="O42" s="2"/>
    </row>
  </sheetData>
  <mergeCells count="2">
    <mergeCell ref="A2:O2"/>
    <mergeCell ref="A4:O4"/>
  </mergeCells>
  <conditionalFormatting sqref="K7:K42">
    <cfRule type="containsText" priority="2" operator="containsText" aboveAverage="0" equalAverage="0" bottom="0" percent="0" rank="0" text="FAIL" dxfId="25">
      <formula>NOT(ISERROR(SEARCH("FAIL",K7)))</formula>
    </cfRule>
    <cfRule type="containsText" priority="3" operator="containsText" aboveAverage="0" equalAverage="0" bottom="0" percent="0" rank="0" text="HOLD" dxfId="26">
      <formula>NOT(ISERROR(SEARCH("HOLD",K7)))</formula>
    </cfRule>
    <cfRule type="containsText" priority="4" operator="containsText" aboveAverage="0" equalAverage="0" bottom="0" percent="0" rank="0" text="OPEN" dxfId="27">
      <formula>NOT(ISERROR(SEARCH("OPEN",K7)))</formula>
    </cfRule>
    <cfRule type="containsText" priority="5" operator="containsText" aboveAverage="0" equalAverage="0" bottom="0" percent="0" rank="0" text="UPRATE" dxfId="28">
      <formula>NOT(ISERROR(SEARCH("UPRATE",K7)))</formula>
    </cfRule>
    <cfRule type="containsText" priority="6" operator="containsText" aboveAverage="0" equalAverage="0" bottom="0" percent="0" rank="0" text="SELECT" dxfId="29">
      <formula>NOT(ISERROR(SEARCH("SELECT",K7)))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44"/>
    <col collapsed="false" customWidth="true" hidden="false" outlineLevel="0" max="5" min="5" style="0" width="45"/>
    <col collapsed="false" customWidth="true" hidden="false" outlineLevel="0" max="6" min="6" style="0" width="42"/>
    <col collapsed="false" customWidth="true" hidden="false" outlineLevel="0" max="7" min="7" style="0" width="52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8" hidden="false" customHeight="true" outlineLevel="0" collapsed="false"/>
    <row r="2" customFormat="false" ht="23" hidden="false" customHeight="true" outlineLevel="0" collapsed="false">
      <c r="A2" s="1" t="s">
        <v>390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391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31" hidden="false" customHeight="true" outlineLevel="0" collapsed="false">
      <c r="A6" s="10" t="s">
        <v>3</v>
      </c>
      <c r="B6" s="10" t="s">
        <v>392</v>
      </c>
      <c r="C6" s="10" t="s">
        <v>393</v>
      </c>
      <c r="D6" s="10" t="s">
        <v>394</v>
      </c>
      <c r="E6" s="10" t="s">
        <v>395</v>
      </c>
      <c r="F6" s="10" t="s">
        <v>396</v>
      </c>
      <c r="G6" s="10" t="s">
        <v>397</v>
      </c>
      <c r="H6" s="10" t="s">
        <v>398</v>
      </c>
      <c r="I6" s="10" t="s">
        <v>267</v>
      </c>
      <c r="J6" s="10" t="s">
        <v>399</v>
      </c>
      <c r="K6" s="2"/>
      <c r="L6" s="2"/>
      <c r="M6" s="2"/>
      <c r="N6" s="2"/>
      <c r="O6" s="2"/>
    </row>
    <row r="7" customFormat="false" ht="15" hidden="false" customHeight="false" outlineLevel="0" collapsed="false">
      <c r="A7" s="11" t="s">
        <v>6</v>
      </c>
      <c r="B7" s="11" t="s">
        <v>400</v>
      </c>
      <c r="C7" s="11" t="s">
        <v>401</v>
      </c>
      <c r="D7" s="11" t="s">
        <v>402</v>
      </c>
      <c r="E7" s="11" t="s">
        <v>403</v>
      </c>
      <c r="F7" s="11" t="s">
        <v>404</v>
      </c>
      <c r="G7" s="11" t="s">
        <v>405</v>
      </c>
      <c r="H7" s="19"/>
      <c r="I7" s="11" t="s">
        <v>406</v>
      </c>
      <c r="J7" s="11" t="s">
        <v>407</v>
      </c>
      <c r="K7" s="2"/>
      <c r="L7" s="2"/>
      <c r="M7" s="2"/>
      <c r="N7" s="2"/>
      <c r="O7" s="2"/>
    </row>
    <row r="8" customFormat="false" ht="15" hidden="false" customHeight="false" outlineLevel="0" collapsed="false">
      <c r="A8" s="11" t="s">
        <v>10</v>
      </c>
      <c r="B8" s="11" t="s">
        <v>408</v>
      </c>
      <c r="C8" s="11" t="s">
        <v>409</v>
      </c>
      <c r="D8" s="11" t="s">
        <v>410</v>
      </c>
      <c r="E8" s="11" t="s">
        <v>411</v>
      </c>
      <c r="F8" s="11" t="s">
        <v>412</v>
      </c>
      <c r="G8" s="11" t="s">
        <v>413</v>
      </c>
      <c r="H8" s="19"/>
      <c r="I8" s="11" t="s">
        <v>406</v>
      </c>
      <c r="J8" s="11" t="s">
        <v>414</v>
      </c>
      <c r="K8" s="2"/>
      <c r="L8" s="2"/>
      <c r="M8" s="2"/>
      <c r="N8" s="2"/>
      <c r="O8" s="2"/>
    </row>
    <row r="9" customFormat="false" ht="15" hidden="false" customHeight="false" outlineLevel="0" collapsed="false">
      <c r="A9" s="11" t="s">
        <v>13</v>
      </c>
      <c r="B9" s="11" t="s">
        <v>415</v>
      </c>
      <c r="C9" s="11" t="s">
        <v>416</v>
      </c>
      <c r="D9" s="11" t="s">
        <v>417</v>
      </c>
      <c r="E9" s="11" t="s">
        <v>418</v>
      </c>
      <c r="F9" s="11" t="s">
        <v>419</v>
      </c>
      <c r="G9" s="11" t="s">
        <v>420</v>
      </c>
      <c r="H9" s="19"/>
      <c r="I9" s="11" t="s">
        <v>406</v>
      </c>
      <c r="J9" s="11" t="s">
        <v>421</v>
      </c>
      <c r="K9" s="2"/>
      <c r="L9" s="2"/>
      <c r="M9" s="2"/>
      <c r="N9" s="2"/>
      <c r="O9" s="2"/>
    </row>
    <row r="10" customFormat="false" ht="15" hidden="false" customHeight="false" outlineLevel="0" collapsed="false">
      <c r="A10" s="11" t="s">
        <v>16</v>
      </c>
      <c r="B10" s="11" t="s">
        <v>422</v>
      </c>
      <c r="C10" s="11" t="s">
        <v>423</v>
      </c>
      <c r="D10" s="11" t="s">
        <v>424</v>
      </c>
      <c r="E10" s="11" t="s">
        <v>425</v>
      </c>
      <c r="F10" s="11" t="s">
        <v>426</v>
      </c>
      <c r="G10" s="11" t="s">
        <v>427</v>
      </c>
      <c r="H10" s="19"/>
      <c r="I10" s="11" t="s">
        <v>406</v>
      </c>
      <c r="J10" s="11" t="s">
        <v>428</v>
      </c>
      <c r="K10" s="2"/>
      <c r="L10" s="2"/>
      <c r="M10" s="2"/>
      <c r="N10" s="2"/>
      <c r="O10" s="2"/>
    </row>
    <row r="11" customFormat="false" ht="15" hidden="false" customHeight="false" outlineLevel="0" collapsed="false">
      <c r="A11" s="11" t="s">
        <v>19</v>
      </c>
      <c r="B11" s="11" t="s">
        <v>429</v>
      </c>
      <c r="C11" s="11" t="s">
        <v>430</v>
      </c>
      <c r="D11" s="11" t="s">
        <v>431</v>
      </c>
      <c r="E11" s="11" t="s">
        <v>432</v>
      </c>
      <c r="F11" s="11" t="s">
        <v>433</v>
      </c>
      <c r="G11" s="11" t="s">
        <v>434</v>
      </c>
      <c r="H11" s="19"/>
      <c r="I11" s="11" t="s">
        <v>406</v>
      </c>
      <c r="J11" s="11" t="s">
        <v>435</v>
      </c>
      <c r="K11" s="2"/>
      <c r="L11" s="2"/>
      <c r="M11" s="2"/>
      <c r="N11" s="2"/>
      <c r="O11" s="2"/>
    </row>
    <row r="12" customFormat="false" ht="15" hidden="false" customHeight="false" outlineLevel="0" collapsed="false">
      <c r="A12" s="11" t="s">
        <v>22</v>
      </c>
      <c r="B12" s="11" t="s">
        <v>436</v>
      </c>
      <c r="C12" s="11" t="s">
        <v>437</v>
      </c>
      <c r="D12" s="11" t="s">
        <v>438</v>
      </c>
      <c r="E12" s="11" t="s">
        <v>439</v>
      </c>
      <c r="F12" s="11" t="s">
        <v>440</v>
      </c>
      <c r="G12" s="11" t="s">
        <v>441</v>
      </c>
      <c r="H12" s="19"/>
      <c r="I12" s="11" t="s">
        <v>406</v>
      </c>
      <c r="J12" s="11" t="s">
        <v>442</v>
      </c>
      <c r="K12" s="2"/>
      <c r="L12" s="2"/>
      <c r="M12" s="2"/>
      <c r="N12" s="2"/>
      <c r="O12" s="2"/>
    </row>
  </sheetData>
  <mergeCells count="2">
    <mergeCell ref="A2:O2"/>
    <mergeCell ref="A4:O4"/>
  </mergeCells>
  <conditionalFormatting sqref="I7:I12">
    <cfRule type="containsText" priority="2" operator="containsText" aboveAverage="0" equalAverage="0" bottom="0" percent="0" rank="0" text="FAIL" dxfId="30">
      <formula>NOT(ISERROR(SEARCH("FAIL",I7)))</formula>
    </cfRule>
    <cfRule type="containsText" priority="3" operator="containsText" aboveAverage="0" equalAverage="0" bottom="0" percent="0" rank="0" text="HOLD" dxfId="31">
      <formula>NOT(ISERROR(SEARCH("HOLD",I7)))</formula>
    </cfRule>
    <cfRule type="containsText" priority="4" operator="containsText" aboveAverage="0" equalAverage="0" bottom="0" percent="0" rank="0" text="OPEN" dxfId="32">
      <formula>NOT(ISERROR(SEARCH("OPEN",I7)))</formula>
    </cfRule>
    <cfRule type="containsText" priority="5" operator="containsText" aboveAverage="0" equalAverage="0" bottom="0" percent="0" rank="0" text="UPRATE" dxfId="33">
      <formula>NOT(ISERROR(SEARCH("UPRATE",I7)))</formula>
    </cfRule>
    <cfRule type="containsText" priority="6" operator="containsText" aboveAverage="0" equalAverage="0" bottom="0" percent="0" rank="0" text="SELECT" dxfId="34">
      <formula>NOT(ISERROR(SEARCH("SELECT",I7)))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35"/>
    <col collapsed="false" customWidth="true" hidden="false" outlineLevel="0" max="5" min="5" style="0" width="32"/>
    <col collapsed="false" customWidth="true" hidden="false" outlineLevel="0" max="6" min="6" style="0" width="25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58"/>
  </cols>
  <sheetData>
    <row r="1" customFormat="false" ht="8" hidden="false" customHeight="true" outlineLevel="0" collapsed="false"/>
    <row r="2" customFormat="false" ht="23" hidden="false" customHeight="true" outlineLevel="0" collapsed="false">
      <c r="A2" s="1" t="s">
        <v>443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444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31" hidden="false" customHeight="true" outlineLevel="0" collapsed="false">
      <c r="A6" s="10" t="s">
        <v>112</v>
      </c>
      <c r="B6" s="10" t="s">
        <v>445</v>
      </c>
      <c r="C6" s="10" t="s">
        <v>446</v>
      </c>
      <c r="D6" s="10" t="s">
        <v>447</v>
      </c>
      <c r="E6" s="10" t="s">
        <v>448</v>
      </c>
      <c r="F6" s="10" t="s">
        <v>449</v>
      </c>
      <c r="G6" s="10" t="s">
        <v>450</v>
      </c>
      <c r="H6" s="10" t="s">
        <v>451</v>
      </c>
      <c r="I6" s="10" t="s">
        <v>452</v>
      </c>
      <c r="J6" s="2"/>
      <c r="K6" s="2"/>
      <c r="L6" s="2"/>
      <c r="M6" s="2"/>
      <c r="N6" s="2"/>
      <c r="O6" s="2"/>
    </row>
    <row r="7" customFormat="false" ht="15" hidden="false" customHeight="false" outlineLevel="0" collapsed="false">
      <c r="A7" s="11" t="s">
        <v>123</v>
      </c>
      <c r="B7" s="11" t="s">
        <v>453</v>
      </c>
      <c r="C7" s="11" t="s">
        <v>453</v>
      </c>
      <c r="D7" s="11" t="s">
        <v>454</v>
      </c>
      <c r="E7" s="11" t="s">
        <v>455</v>
      </c>
      <c r="F7" s="11" t="s">
        <v>456</v>
      </c>
      <c r="G7" s="15" t="n">
        <f aca="false">COUNTIFS('Closure Cells'!$D$7:$D$126,A7,'Closure Cells'!$N$7:$N$126,"BOUNDED")</f>
        <v>24</v>
      </c>
      <c r="H7" s="15" t="str">
        <f aca="false">IF(COUNTIFS('Closure Cells'!$D$7:$D$126,A7,'Closure Cells'!$O$7:$O$126,"HOLD")&gt;0,"HOLD",IF(COUNTIFS('Closure Cells'!$D$7:$D$126,A7,'Closure Cells'!$O$7:$O$126,"FAIL")&gt;0,"FAIL","CLOSE"))</f>
        <v>HOLD</v>
      </c>
      <c r="I7" s="11" t="s">
        <v>457</v>
      </c>
      <c r="J7" s="2"/>
      <c r="K7" s="2"/>
      <c r="L7" s="2"/>
      <c r="M7" s="2"/>
      <c r="N7" s="2"/>
      <c r="O7" s="2"/>
    </row>
    <row r="8" customFormat="false" ht="15" hidden="false" customHeight="false" outlineLevel="0" collapsed="false">
      <c r="A8" s="11" t="s">
        <v>126</v>
      </c>
      <c r="B8" s="11" t="s">
        <v>458</v>
      </c>
      <c r="C8" s="11" t="s">
        <v>458</v>
      </c>
      <c r="D8" s="11" t="s">
        <v>454</v>
      </c>
      <c r="E8" s="11" t="s">
        <v>455</v>
      </c>
      <c r="F8" s="11" t="s">
        <v>456</v>
      </c>
      <c r="G8" s="15" t="n">
        <f aca="false">COUNTIFS('Closure Cells'!$D$7:$D$126,A8,'Closure Cells'!$N$7:$N$126,"BOUNDED")</f>
        <v>24</v>
      </c>
      <c r="H8" s="15" t="str">
        <f aca="false">IF(COUNTIFS('Closure Cells'!$D$7:$D$126,A8,'Closure Cells'!$O$7:$O$126,"HOLD")&gt;0,"HOLD",IF(COUNTIFS('Closure Cells'!$D$7:$D$126,A8,'Closure Cells'!$O$7:$O$126,"FAIL")&gt;0,"FAIL","CLOSE"))</f>
        <v>HOLD</v>
      </c>
      <c r="I8" s="11" t="s">
        <v>459</v>
      </c>
      <c r="J8" s="2"/>
      <c r="K8" s="2"/>
      <c r="L8" s="2"/>
      <c r="M8" s="2"/>
      <c r="N8" s="2"/>
      <c r="O8" s="2"/>
    </row>
    <row r="9" customFormat="false" ht="15" hidden="false" customHeight="false" outlineLevel="0" collapsed="false">
      <c r="A9" s="11" t="s">
        <v>128</v>
      </c>
      <c r="B9" s="11" t="s">
        <v>460</v>
      </c>
      <c r="C9" s="11" t="s">
        <v>453</v>
      </c>
      <c r="D9" s="11" t="s">
        <v>454</v>
      </c>
      <c r="E9" s="11" t="s">
        <v>455</v>
      </c>
      <c r="F9" s="11" t="s">
        <v>456</v>
      </c>
      <c r="G9" s="15" t="n">
        <f aca="false">COUNTIFS('Closure Cells'!$D$7:$D$126,A9,'Closure Cells'!$N$7:$N$126,"BOUNDED")</f>
        <v>0</v>
      </c>
      <c r="H9" s="15" t="str">
        <f aca="false">IF(COUNTIFS('Closure Cells'!$D$7:$D$126,A9,'Closure Cells'!$O$7:$O$126,"HOLD")&gt;0,"HOLD",IF(COUNTIFS('Closure Cells'!$D$7:$D$126,A9,'Closure Cells'!$O$7:$O$126,"FAIL")&gt;0,"FAIL","CLOSE"))</f>
        <v>HOLD</v>
      </c>
      <c r="I9" s="11" t="s">
        <v>461</v>
      </c>
      <c r="J9" s="2"/>
      <c r="K9" s="2"/>
      <c r="L9" s="2"/>
      <c r="M9" s="2"/>
      <c r="N9" s="2"/>
      <c r="O9" s="2"/>
    </row>
    <row r="10" customFormat="false" ht="15" hidden="false" customHeight="false" outlineLevel="0" collapsed="false">
      <c r="A10" s="11" t="s">
        <v>130</v>
      </c>
      <c r="B10" s="11" t="s">
        <v>460</v>
      </c>
      <c r="C10" s="11" t="s">
        <v>453</v>
      </c>
      <c r="D10" s="11" t="s">
        <v>454</v>
      </c>
      <c r="E10" s="11" t="s">
        <v>455</v>
      </c>
      <c r="F10" s="11" t="s">
        <v>456</v>
      </c>
      <c r="G10" s="15" t="n">
        <f aca="false">COUNTIFS('Closure Cells'!$D$7:$D$126,A10,'Closure Cells'!$N$7:$N$126,"BOUNDED")</f>
        <v>0</v>
      </c>
      <c r="H10" s="15" t="str">
        <f aca="false">IF(COUNTIFS('Closure Cells'!$D$7:$D$126,A10,'Closure Cells'!$O$7:$O$126,"HOLD")&gt;0,"HOLD",IF(COUNTIFS('Closure Cells'!$D$7:$D$126,A10,'Closure Cells'!$O$7:$O$126,"FAIL")&gt;0,"FAIL","CLOSE"))</f>
        <v>HOLD</v>
      </c>
      <c r="I10" s="11" t="s">
        <v>462</v>
      </c>
      <c r="J10" s="2"/>
      <c r="K10" s="2"/>
      <c r="L10" s="2"/>
      <c r="M10" s="2"/>
      <c r="N10" s="2"/>
      <c r="O10" s="2"/>
    </row>
  </sheetData>
  <mergeCells count="2">
    <mergeCell ref="A2:O2"/>
    <mergeCell ref="A4:O4"/>
  </mergeCells>
  <conditionalFormatting sqref="H7:H10">
    <cfRule type="containsText" priority="2" operator="containsText" aboveAverage="0" equalAverage="0" bottom="0" percent="0" rank="0" text="FAIL" dxfId="35">
      <formula>NOT(ISERROR(SEARCH("FAIL",H7)))</formula>
    </cfRule>
    <cfRule type="containsText" priority="3" operator="containsText" aboveAverage="0" equalAverage="0" bottom="0" percent="0" rank="0" text="HOLD" dxfId="36">
      <formula>NOT(ISERROR(SEARCH("HOLD",H7)))</formula>
    </cfRule>
    <cfRule type="containsText" priority="4" operator="containsText" aboveAverage="0" equalAverage="0" bottom="0" percent="0" rank="0" text="OPEN" dxfId="37">
      <formula>NOT(ISERROR(SEARCH("OPEN",H7)))</formula>
    </cfRule>
    <cfRule type="containsText" priority="5" operator="containsText" aboveAverage="0" equalAverage="0" bottom="0" percent="0" rank="0" text="UPRATE" dxfId="38">
      <formula>NOT(ISERROR(SEARCH("UPRATE",H7)))</formula>
    </cfRule>
    <cfRule type="containsText" priority="6" operator="containsText" aboveAverage="0" equalAverage="0" bottom="0" percent="0" rank="0" text="SELECT" dxfId="39">
      <formula>NOT(ISERROR(SEARCH("SELECT",H7)))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8" hidden="false" customHeight="true" outlineLevel="0" collapsed="false"/>
    <row r="2" customFormat="false" ht="23" hidden="false" customHeight="true" outlineLevel="0" collapsed="false">
      <c r="A2" s="1" t="s">
        <v>463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464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31" hidden="false" customHeight="true" outlineLevel="0" collapsed="false">
      <c r="A6" s="10" t="s">
        <v>3</v>
      </c>
      <c r="B6" s="10" t="s">
        <v>465</v>
      </c>
      <c r="C6" s="10" t="s">
        <v>466</v>
      </c>
      <c r="D6" s="10" t="s">
        <v>467</v>
      </c>
      <c r="E6" s="10" t="s">
        <v>468</v>
      </c>
      <c r="F6" s="10" t="s">
        <v>469</v>
      </c>
      <c r="G6" s="10" t="s">
        <v>470</v>
      </c>
      <c r="H6" s="10" t="s">
        <v>471</v>
      </c>
      <c r="I6" s="2"/>
      <c r="J6" s="2"/>
      <c r="K6" s="2"/>
      <c r="L6" s="2"/>
      <c r="M6" s="2"/>
      <c r="N6" s="2"/>
      <c r="O6" s="2"/>
    </row>
    <row r="7" customFormat="false" ht="15" hidden="false" customHeight="false" outlineLevel="0" collapsed="false">
      <c r="A7" s="11" t="s">
        <v>6</v>
      </c>
      <c r="B7" s="20" t="n">
        <v>25.0237309040925</v>
      </c>
      <c r="C7" s="21" t="n">
        <f aca="false">B7*20%</f>
        <v>5.0047461808185</v>
      </c>
      <c r="D7" s="21" t="n">
        <f aca="false">B7*25%</f>
        <v>6.25593272602313</v>
      </c>
      <c r="E7" s="21" t="n">
        <f aca="false">B7*15%</f>
        <v>3.75355963561388</v>
      </c>
      <c r="F7" s="21" t="n">
        <f aca="false">B7*25%</f>
        <v>6.25593272602313</v>
      </c>
      <c r="G7" s="21" t="n">
        <f aca="false">B7*15%</f>
        <v>3.75355963561388</v>
      </c>
      <c r="H7" s="21" t="n">
        <f aca="false">SUM(C7:G7)</f>
        <v>25.0237309040925</v>
      </c>
      <c r="I7" s="2"/>
      <c r="J7" s="2"/>
      <c r="K7" s="2"/>
      <c r="L7" s="2"/>
      <c r="M7" s="2"/>
      <c r="N7" s="2"/>
      <c r="O7" s="2"/>
    </row>
    <row r="8" customFormat="false" ht="15" hidden="false" customHeight="false" outlineLevel="0" collapsed="false">
      <c r="A8" s="11" t="s">
        <v>10</v>
      </c>
      <c r="B8" s="20" t="n">
        <v>25.824674088698</v>
      </c>
      <c r="C8" s="21" t="n">
        <f aca="false">B8*20%</f>
        <v>5.1649348177396</v>
      </c>
      <c r="D8" s="21" t="n">
        <f aca="false">B8*25%</f>
        <v>6.4561685221745</v>
      </c>
      <c r="E8" s="21" t="n">
        <f aca="false">B8*15%</f>
        <v>3.8737011133047</v>
      </c>
      <c r="F8" s="21" t="n">
        <f aca="false">B8*25%</f>
        <v>6.4561685221745</v>
      </c>
      <c r="G8" s="21" t="n">
        <f aca="false">B8*15%</f>
        <v>3.8737011133047</v>
      </c>
      <c r="H8" s="21" t="n">
        <f aca="false">SUM(C8:G8)</f>
        <v>25.824674088698</v>
      </c>
      <c r="I8" s="2"/>
      <c r="J8" s="2"/>
      <c r="K8" s="2"/>
      <c r="L8" s="2"/>
      <c r="M8" s="2"/>
      <c r="N8" s="2"/>
      <c r="O8" s="2"/>
    </row>
    <row r="9" customFormat="false" ht="15" hidden="false" customHeight="false" outlineLevel="0" collapsed="false">
      <c r="A9" s="11" t="s">
        <v>13</v>
      </c>
      <c r="B9" s="20" t="n">
        <v>15.3610827033567</v>
      </c>
      <c r="C9" s="21" t="n">
        <f aca="false">B9*20%</f>
        <v>3.07221654067133</v>
      </c>
      <c r="D9" s="21" t="n">
        <f aca="false">B9*25%</f>
        <v>3.84027067583916</v>
      </c>
      <c r="E9" s="21" t="n">
        <f aca="false">B9*15%</f>
        <v>2.3041624055035</v>
      </c>
      <c r="F9" s="21" t="n">
        <f aca="false">B9*25%</f>
        <v>3.84027067583916</v>
      </c>
      <c r="G9" s="21" t="n">
        <f aca="false">B9*15%</f>
        <v>2.3041624055035</v>
      </c>
      <c r="H9" s="21" t="n">
        <f aca="false">SUM(C9:G9)</f>
        <v>15.3610827033567</v>
      </c>
      <c r="I9" s="2"/>
      <c r="J9" s="2"/>
      <c r="K9" s="2"/>
      <c r="L9" s="2"/>
      <c r="M9" s="2"/>
      <c r="N9" s="2"/>
      <c r="O9" s="2"/>
    </row>
    <row r="10" customFormat="false" ht="15" hidden="false" customHeight="false" outlineLevel="0" collapsed="false">
      <c r="A10" s="11" t="s">
        <v>16</v>
      </c>
      <c r="B10" s="20" t="n">
        <v>44.9706409660283</v>
      </c>
      <c r="C10" s="21" t="n">
        <f aca="false">B10*20%</f>
        <v>8.99412819320567</v>
      </c>
      <c r="D10" s="21" t="n">
        <f aca="false">B10*25%</f>
        <v>11.2426602415071</v>
      </c>
      <c r="E10" s="21" t="n">
        <f aca="false">B10*15%</f>
        <v>6.74559614490425</v>
      </c>
      <c r="F10" s="21" t="n">
        <f aca="false">B10*25%</f>
        <v>11.2426602415071</v>
      </c>
      <c r="G10" s="21" t="n">
        <f aca="false">B10*15%</f>
        <v>6.74559614490425</v>
      </c>
      <c r="H10" s="21" t="n">
        <f aca="false">SUM(C10:G10)</f>
        <v>44.9706409660283</v>
      </c>
      <c r="I10" s="2"/>
      <c r="J10" s="2"/>
      <c r="K10" s="2"/>
      <c r="L10" s="2"/>
      <c r="M10" s="2"/>
      <c r="N10" s="2"/>
      <c r="O10" s="2"/>
    </row>
    <row r="11" customFormat="false" ht="15" hidden="false" customHeight="false" outlineLevel="0" collapsed="false">
      <c r="A11" s="11" t="s">
        <v>19</v>
      </c>
      <c r="B11" s="20" t="n">
        <v>43.0356226470548</v>
      </c>
      <c r="C11" s="21" t="n">
        <f aca="false">B11*20%</f>
        <v>8.60712452941096</v>
      </c>
      <c r="D11" s="21" t="n">
        <f aca="false">B11*25%</f>
        <v>10.7589056617637</v>
      </c>
      <c r="E11" s="21" t="n">
        <f aca="false">B11*15%</f>
        <v>6.45534339705822</v>
      </c>
      <c r="F11" s="21" t="n">
        <f aca="false">B11*25%</f>
        <v>10.7589056617637</v>
      </c>
      <c r="G11" s="21" t="n">
        <f aca="false">B11*15%</f>
        <v>6.45534339705822</v>
      </c>
      <c r="H11" s="21" t="n">
        <f aca="false">SUM(C11:G11)</f>
        <v>43.0356226470548</v>
      </c>
      <c r="I11" s="2"/>
      <c r="J11" s="2"/>
      <c r="K11" s="2"/>
      <c r="L11" s="2"/>
      <c r="M11" s="2"/>
      <c r="N11" s="2"/>
      <c r="O11" s="2"/>
    </row>
    <row r="12" customFormat="false" ht="15" hidden="false" customHeight="false" outlineLevel="0" collapsed="false">
      <c r="A12" s="11" t="s">
        <v>22</v>
      </c>
      <c r="B12" s="20" t="n">
        <v>25.1298896567982</v>
      </c>
      <c r="C12" s="21" t="n">
        <f aca="false">B12*20%</f>
        <v>5.02597793135963</v>
      </c>
      <c r="D12" s="21" t="n">
        <f aca="false">B12*25%</f>
        <v>6.28247241419954</v>
      </c>
      <c r="E12" s="21" t="n">
        <f aca="false">B12*15%</f>
        <v>3.76948344851972</v>
      </c>
      <c r="F12" s="21" t="n">
        <f aca="false">B12*25%</f>
        <v>6.28247241419954</v>
      </c>
      <c r="G12" s="21" t="n">
        <f aca="false">B12*15%</f>
        <v>3.76948344851972</v>
      </c>
      <c r="H12" s="21" t="n">
        <f aca="false">SUM(C12:G12)</f>
        <v>25.1298896567982</v>
      </c>
      <c r="I12" s="2"/>
      <c r="J12" s="2"/>
      <c r="K12" s="2"/>
      <c r="L12" s="2"/>
      <c r="M12" s="2"/>
      <c r="N12" s="2"/>
      <c r="O12" s="2"/>
    </row>
    <row r="13" customFormat="false" ht="15" hidden="false" customHeight="false" outlineLevel="0" collapsed="false">
      <c r="A13" s="22" t="s">
        <v>472</v>
      </c>
      <c r="B13" s="23" t="n">
        <f aca="false">SUM(B7:B12)</f>
        <v>179.345640966028</v>
      </c>
      <c r="C13" s="24" t="n">
        <f aca="false">SUM(C7:C12)</f>
        <v>35.8691281932057</v>
      </c>
      <c r="D13" s="24" t="n">
        <f aca="false">SUM(D7:D12)</f>
        <v>44.8364102415071</v>
      </c>
      <c r="E13" s="24" t="n">
        <f aca="false">SUM(E7:E12)</f>
        <v>26.9018461449043</v>
      </c>
      <c r="F13" s="24" t="n">
        <f aca="false">SUM(F7:F12)</f>
        <v>44.8364102415071</v>
      </c>
      <c r="G13" s="24" t="n">
        <f aca="false">SUM(G7:G12)</f>
        <v>26.9018461449043</v>
      </c>
      <c r="H13" s="24" t="n">
        <f aca="false">SUM(H7:H12)</f>
        <v>179.345640966028</v>
      </c>
      <c r="I13" s="2"/>
      <c r="J13" s="2"/>
      <c r="K13" s="2"/>
      <c r="L13" s="2"/>
      <c r="M13" s="2"/>
      <c r="N13" s="2"/>
      <c r="O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4" t="s">
        <v>473</v>
      </c>
      <c r="B16" s="4" t="s">
        <v>473</v>
      </c>
      <c r="C16" s="4" t="s">
        <v>473</v>
      </c>
      <c r="D16" s="4" t="s">
        <v>473</v>
      </c>
      <c r="E16" s="4" t="s">
        <v>473</v>
      </c>
      <c r="F16" s="4" t="s">
        <v>473</v>
      </c>
      <c r="G16" s="4" t="s">
        <v>473</v>
      </c>
      <c r="H16" s="4" t="s">
        <v>473</v>
      </c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5" hidden="false" customHeight="false" outlineLevel="0" collapsed="false">
      <c r="A18" s="11" t="s">
        <v>474</v>
      </c>
      <c r="B18" s="20" t="n">
        <v>358.691281932057</v>
      </c>
      <c r="C18" s="11" t="s">
        <v>475</v>
      </c>
      <c r="D18" s="11" t="s">
        <v>476</v>
      </c>
      <c r="E18" s="11"/>
      <c r="F18" s="11"/>
      <c r="G18" s="11"/>
      <c r="H18" s="11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11" t="s">
        <v>477</v>
      </c>
      <c r="B19" s="20" t="n">
        <v>538.036922898085</v>
      </c>
      <c r="C19" s="11" t="s">
        <v>475</v>
      </c>
      <c r="D19" s="11" t="s">
        <v>476</v>
      </c>
      <c r="E19" s="11"/>
      <c r="F19" s="11"/>
      <c r="G19" s="11"/>
      <c r="H19" s="11"/>
      <c r="I19" s="2"/>
      <c r="J19" s="2"/>
      <c r="K19" s="2"/>
      <c r="L19" s="2"/>
      <c r="M19" s="2"/>
      <c r="N19" s="2"/>
      <c r="O19" s="2"/>
    </row>
    <row r="20" customFormat="false" ht="15" hidden="false" customHeight="false" outlineLevel="0" collapsed="false">
      <c r="A20" s="11" t="s">
        <v>478</v>
      </c>
      <c r="B20" s="20"/>
      <c r="C20" s="11" t="s">
        <v>475</v>
      </c>
      <c r="D20" s="11" t="s">
        <v>479</v>
      </c>
      <c r="E20" s="11"/>
      <c r="F20" s="11"/>
      <c r="G20" s="11"/>
      <c r="H20" s="11"/>
      <c r="I20" s="2"/>
      <c r="J20" s="2"/>
      <c r="K20" s="2"/>
      <c r="L20" s="2"/>
      <c r="M20" s="2"/>
      <c r="N20" s="2"/>
      <c r="O20" s="2"/>
    </row>
    <row r="21" customFormat="false" ht="15" hidden="false" customHeight="false" outlineLevel="0" collapsed="false">
      <c r="A21" s="11" t="s">
        <v>480</v>
      </c>
      <c r="B21" s="20" t="n">
        <v>0</v>
      </c>
      <c r="C21" s="11" t="s">
        <v>475</v>
      </c>
      <c r="D21" s="11" t="s">
        <v>18</v>
      </c>
      <c r="E21" s="11"/>
      <c r="F21" s="11"/>
      <c r="G21" s="11"/>
      <c r="H21" s="11"/>
      <c r="I21" s="2"/>
      <c r="J21" s="2"/>
      <c r="K21" s="2"/>
      <c r="L21" s="2"/>
      <c r="M21" s="2"/>
      <c r="N21" s="2"/>
      <c r="O21" s="2"/>
    </row>
  </sheetData>
  <mergeCells count="3">
    <mergeCell ref="A2:O2"/>
    <mergeCell ref="A4:O4"/>
    <mergeCell ref="A16:H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40"/>
  </cols>
  <sheetData>
    <row r="1" customFormat="false" ht="8" hidden="false" customHeight="true" outlineLevel="0" collapsed="false"/>
    <row r="2" customFormat="false" ht="23" hidden="false" customHeight="true" outlineLevel="0" collapsed="false">
      <c r="A2" s="1" t="s">
        <v>481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482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5" hidden="false" customHeight="false" outlineLevel="0" collapsed="false">
      <c r="A6" s="4" t="s">
        <v>483</v>
      </c>
      <c r="B6" s="4" t="s">
        <v>483</v>
      </c>
      <c r="C6" s="4" t="s">
        <v>483</v>
      </c>
      <c r="D6" s="4" t="s">
        <v>483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customFormat="false" ht="15" hidden="false" customHeight="false" outlineLevel="0" collapsed="false">
      <c r="A7" s="11" t="s">
        <v>484</v>
      </c>
      <c r="B7" s="25" t="n">
        <v>0.025</v>
      </c>
      <c r="C7" s="11" t="s">
        <v>338</v>
      </c>
      <c r="D7" s="11" t="s">
        <v>485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customFormat="false" ht="15" hidden="false" customHeight="false" outlineLevel="0" collapsed="false">
      <c r="A8" s="11" t="s">
        <v>486</v>
      </c>
      <c r="B8" s="25" t="n">
        <v>0.025</v>
      </c>
      <c r="C8" s="11" t="s">
        <v>338</v>
      </c>
      <c r="D8" s="11" t="s">
        <v>485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15" hidden="false" customHeight="false" outlineLevel="0" collapsed="false">
      <c r="A9" s="11" t="s">
        <v>487</v>
      </c>
      <c r="B9" s="26" t="n">
        <v>1</v>
      </c>
      <c r="C9" s="11" t="s">
        <v>154</v>
      </c>
      <c r="D9" s="11" t="s">
        <v>488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customFormat="false" ht="15" hidden="false" customHeight="false" outlineLevel="0" collapsed="false">
      <c r="A10" s="11" t="s">
        <v>263</v>
      </c>
      <c r="B10" s="26" t="n">
        <f aca="false">(1+B8)/(1-B7)</f>
        <v>1.05128205128205</v>
      </c>
      <c r="C10" s="11" t="s">
        <v>154</v>
      </c>
      <c r="D10" s="11" t="s">
        <v>489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5" hidden="false" customHeight="false" outlineLevel="0" collapsed="false">
      <c r="A11" s="11" t="s">
        <v>490</v>
      </c>
      <c r="B11" s="27" t="n">
        <v>168</v>
      </c>
      <c r="C11" s="11" t="s">
        <v>491</v>
      </c>
      <c r="D11" s="11" t="s">
        <v>79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5" hidden="false" customHeight="false" outlineLevel="0" collapsed="false">
      <c r="A12" s="11" t="s">
        <v>492</v>
      </c>
      <c r="B12" s="27" t="n">
        <v>1E-006</v>
      </c>
      <c r="C12" s="11" t="s">
        <v>154</v>
      </c>
      <c r="D12" s="11" t="s">
        <v>493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4" t="s">
        <v>494</v>
      </c>
      <c r="B15" s="4" t="s">
        <v>494</v>
      </c>
      <c r="C15" s="4" t="s">
        <v>494</v>
      </c>
      <c r="D15" s="4" t="s">
        <v>494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11" t="s">
        <v>42</v>
      </c>
      <c r="B16" s="27" t="n">
        <v>0</v>
      </c>
      <c r="C16" s="11" t="s">
        <v>495</v>
      </c>
      <c r="D16" s="11" t="s">
        <v>496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11" t="s">
        <v>44</v>
      </c>
      <c r="B17" s="27" t="n">
        <v>0</v>
      </c>
      <c r="C17" s="11" t="s">
        <v>495</v>
      </c>
      <c r="D17" s="11" t="s">
        <v>497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5" hidden="false" customHeight="false" outlineLevel="0" collapsed="false">
      <c r="A18" s="11" t="s">
        <v>498</v>
      </c>
      <c r="B18" s="27" t="n">
        <v>0</v>
      </c>
      <c r="C18" s="11" t="s">
        <v>495</v>
      </c>
      <c r="D18" s="11" t="s">
        <v>497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11" t="s">
        <v>499</v>
      </c>
      <c r="B19" s="27" t="n">
        <v>0</v>
      </c>
      <c r="C19" s="11" t="s">
        <v>495</v>
      </c>
      <c r="D19" s="11" t="s">
        <v>497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5" hidden="false" customHeight="false" outlineLevel="0" collapsed="false">
      <c r="A20" s="11" t="s">
        <v>500</v>
      </c>
      <c r="B20" s="27" t="n">
        <v>0</v>
      </c>
      <c r="C20" s="11" t="s">
        <v>495</v>
      </c>
      <c r="D20" s="11" t="s">
        <v>497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5" hidden="false" customHeight="false" outlineLevel="0" collapsed="false">
      <c r="A21" s="11" t="s">
        <v>501</v>
      </c>
      <c r="B21" s="27" t="n">
        <v>0</v>
      </c>
      <c r="C21" s="11" t="s">
        <v>495</v>
      </c>
      <c r="D21" s="11" t="s">
        <v>497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5" hidden="false" customHeight="false" outlineLevel="0" collapsed="false">
      <c r="A22" s="11" t="s">
        <v>502</v>
      </c>
      <c r="B22" s="27" t="n">
        <v>0</v>
      </c>
      <c r="C22" s="11" t="s">
        <v>495</v>
      </c>
      <c r="D22" s="11" t="s">
        <v>497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5" hidden="false" customHeight="false" outlineLevel="0" collapsed="false">
      <c r="A23" s="11" t="s">
        <v>503</v>
      </c>
      <c r="B23" s="27" t="n">
        <v>0</v>
      </c>
      <c r="C23" s="11" t="s">
        <v>495</v>
      </c>
      <c r="D23" s="11" t="s">
        <v>497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5" hidden="false" customHeight="false" outlineLevel="0" collapsed="false">
      <c r="A24" s="11" t="s">
        <v>504</v>
      </c>
      <c r="B24" s="27" t="n">
        <v>0</v>
      </c>
      <c r="C24" s="11" t="s">
        <v>495</v>
      </c>
      <c r="D24" s="11" t="s">
        <v>497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5" hidden="false" customHeight="false" outlineLevel="0" collapsed="false">
      <c r="A25" s="11" t="s">
        <v>505</v>
      </c>
      <c r="B25" s="27" t="n">
        <v>0</v>
      </c>
      <c r="C25" s="11" t="s">
        <v>495</v>
      </c>
      <c r="D25" s="11" t="s">
        <v>497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5" hidden="false" customHeight="false" outlineLevel="0" collapsed="false">
      <c r="A28" s="4" t="s">
        <v>506</v>
      </c>
      <c r="B28" s="4" t="s">
        <v>506</v>
      </c>
      <c r="C28" s="4" t="s">
        <v>506</v>
      </c>
      <c r="D28" s="4" t="s">
        <v>506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5" hidden="false" customHeight="false" outlineLevel="0" collapsed="false">
      <c r="A29" s="11" t="s">
        <v>507</v>
      </c>
      <c r="B29" s="28" t="n">
        <v>179.345640966028</v>
      </c>
      <c r="C29" s="11" t="s">
        <v>475</v>
      </c>
      <c r="D29" s="11" t="s">
        <v>508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5" hidden="false" customHeight="false" outlineLevel="0" collapsed="false">
      <c r="A30" s="11" t="s">
        <v>474</v>
      </c>
      <c r="B30" s="28" t="n">
        <v>358.691281932057</v>
      </c>
      <c r="C30" s="11" t="s">
        <v>475</v>
      </c>
      <c r="D30" s="11" t="s">
        <v>508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customFormat="false" ht="15" hidden="false" customHeight="false" outlineLevel="0" collapsed="false">
      <c r="A31" s="11" t="s">
        <v>477</v>
      </c>
      <c r="B31" s="28" t="n">
        <v>538.036922898085</v>
      </c>
      <c r="C31" s="11" t="s">
        <v>475</v>
      </c>
      <c r="D31" s="11" t="s">
        <v>509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</sheetData>
  <mergeCells count="5">
    <mergeCell ref="A2:O2"/>
    <mergeCell ref="A4:O4"/>
    <mergeCell ref="A6:D6"/>
    <mergeCell ref="A15:D15"/>
    <mergeCell ref="A28:D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2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23"/>
    <col collapsed="false" customWidth="true" hidden="false" outlineLevel="0" max="14" min="14" style="0" width="12"/>
    <col collapsed="false" customWidth="true" hidden="false" outlineLevel="0" max="15" min="15" style="0" width="40"/>
  </cols>
  <sheetData>
    <row r="1" customFormat="false" ht="8" hidden="false" customHeight="true" outlineLevel="0" collapsed="false"/>
    <row r="2" customFormat="false" ht="23" hidden="false" customHeight="true" outlineLevel="0" collapsed="false">
      <c r="A2" s="1" t="s">
        <v>510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511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31" hidden="false" customHeight="true" outlineLevel="0" collapsed="false">
      <c r="A6" s="10" t="s">
        <v>512</v>
      </c>
      <c r="B6" s="10" t="s">
        <v>3</v>
      </c>
      <c r="C6" s="10" t="s">
        <v>111</v>
      </c>
      <c r="D6" s="10" t="s">
        <v>113</v>
      </c>
      <c r="E6" s="10" t="s">
        <v>513</v>
      </c>
      <c r="F6" s="10" t="s">
        <v>514</v>
      </c>
      <c r="G6" s="10" t="s">
        <v>515</v>
      </c>
      <c r="H6" s="10" t="s">
        <v>516</v>
      </c>
      <c r="I6" s="10" t="s">
        <v>517</v>
      </c>
      <c r="J6" s="10" t="s">
        <v>518</v>
      </c>
      <c r="K6" s="10" t="s">
        <v>261</v>
      </c>
      <c r="L6" s="10" t="s">
        <v>519</v>
      </c>
      <c r="M6" s="10" t="s">
        <v>520</v>
      </c>
      <c r="N6" s="10" t="s">
        <v>319</v>
      </c>
      <c r="O6" s="10" t="s">
        <v>521</v>
      </c>
    </row>
    <row r="7" customFormat="false" ht="15" hidden="false" customHeight="false" outlineLevel="0" collapsed="false">
      <c r="A7" s="11" t="s">
        <v>522</v>
      </c>
      <c r="B7" s="11" t="s">
        <v>6</v>
      </c>
      <c r="C7" s="11" t="s">
        <v>26</v>
      </c>
      <c r="D7" s="11" t="s">
        <v>124</v>
      </c>
      <c r="E7" s="29" t="n">
        <v>2</v>
      </c>
      <c r="F7" s="29" t="n">
        <v>1</v>
      </c>
      <c r="G7" s="29" t="n">
        <v>241</v>
      </c>
      <c r="H7" s="29" t="n">
        <v>482</v>
      </c>
      <c r="I7" s="29" t="n">
        <v>234.583333333333</v>
      </c>
      <c r="J7" s="29" t="n">
        <v>241</v>
      </c>
      <c r="K7" s="29" t="n">
        <v>234.583333333333</v>
      </c>
      <c r="L7" s="11" t="s">
        <v>523</v>
      </c>
      <c r="M7" s="11" t="s">
        <v>524</v>
      </c>
      <c r="N7" s="19" t="n">
        <v>0</v>
      </c>
      <c r="O7" s="11" t="s">
        <v>525</v>
      </c>
    </row>
    <row r="8" customFormat="false" ht="15" hidden="false" customHeight="false" outlineLevel="0" collapsed="false">
      <c r="A8" s="11" t="s">
        <v>526</v>
      </c>
      <c r="B8" s="11" t="s">
        <v>6</v>
      </c>
      <c r="C8" s="11" t="s">
        <v>34</v>
      </c>
      <c r="D8" s="11" t="s">
        <v>132</v>
      </c>
      <c r="E8" s="29" t="n">
        <v>8</v>
      </c>
      <c r="F8" s="29" t="n">
        <v>7</v>
      </c>
      <c r="G8" s="29" t="n">
        <v>16000</v>
      </c>
      <c r="H8" s="29" t="n">
        <v>128000</v>
      </c>
      <c r="I8" s="29" t="n">
        <v>102000</v>
      </c>
      <c r="J8" s="29" t="n">
        <v>112000</v>
      </c>
      <c r="K8" s="29" t="n">
        <v>102000</v>
      </c>
      <c r="L8" s="11" t="s">
        <v>527</v>
      </c>
      <c r="M8" s="11" t="s">
        <v>524</v>
      </c>
      <c r="N8" s="19" t="n">
        <v>0</v>
      </c>
      <c r="O8" s="11" t="s">
        <v>528</v>
      </c>
    </row>
    <row r="9" customFormat="false" ht="15" hidden="false" customHeight="false" outlineLevel="0" collapsed="false">
      <c r="A9" s="11" t="s">
        <v>529</v>
      </c>
      <c r="B9" s="11" t="s">
        <v>6</v>
      </c>
      <c r="C9" s="11" t="s">
        <v>29</v>
      </c>
      <c r="D9" s="11" t="s">
        <v>137</v>
      </c>
      <c r="E9" s="29" t="n">
        <v>6</v>
      </c>
      <c r="F9" s="29" t="n">
        <v>5</v>
      </c>
      <c r="G9" s="29" t="n">
        <v>20</v>
      </c>
      <c r="H9" s="29" t="n">
        <v>120</v>
      </c>
      <c r="I9" s="29" t="n">
        <v>96</v>
      </c>
      <c r="J9" s="29" t="n">
        <v>100</v>
      </c>
      <c r="K9" s="29" t="n">
        <v>96</v>
      </c>
      <c r="L9" s="11" t="s">
        <v>530</v>
      </c>
      <c r="M9" s="11" t="s">
        <v>524</v>
      </c>
      <c r="N9" s="19" t="n">
        <v>0</v>
      </c>
      <c r="O9" s="11" t="s">
        <v>531</v>
      </c>
    </row>
    <row r="10" customFormat="false" ht="15" hidden="false" customHeight="false" outlineLevel="0" collapsed="false">
      <c r="A10" s="11" t="s">
        <v>532</v>
      </c>
      <c r="B10" s="11" t="s">
        <v>6</v>
      </c>
      <c r="C10" s="11" t="s">
        <v>142</v>
      </c>
      <c r="D10" s="11" t="s">
        <v>143</v>
      </c>
      <c r="E10" s="29" t="n">
        <v>6</v>
      </c>
      <c r="F10" s="29" t="n">
        <v>5</v>
      </c>
      <c r="G10" s="29" t="n">
        <v>252</v>
      </c>
      <c r="H10" s="29" t="n">
        <v>1512</v>
      </c>
      <c r="I10" s="29" t="n">
        <v>1200</v>
      </c>
      <c r="J10" s="29" t="n">
        <v>1260</v>
      </c>
      <c r="K10" s="29" t="n">
        <v>1200</v>
      </c>
      <c r="L10" s="11" t="s">
        <v>533</v>
      </c>
      <c r="M10" s="11" t="s">
        <v>524</v>
      </c>
      <c r="N10" s="19" t="n">
        <v>0</v>
      </c>
      <c r="O10" s="11" t="s">
        <v>534</v>
      </c>
    </row>
    <row r="11" customFormat="false" ht="15" hidden="false" customHeight="false" outlineLevel="0" collapsed="false">
      <c r="A11" s="11" t="s">
        <v>535</v>
      </c>
      <c r="B11" s="11" t="s">
        <v>10</v>
      </c>
      <c r="C11" s="11" t="s">
        <v>26</v>
      </c>
      <c r="D11" s="11" t="s">
        <v>154</v>
      </c>
      <c r="E11" s="29" t="n">
        <v>5</v>
      </c>
      <c r="F11" s="29" t="n">
        <v>4</v>
      </c>
      <c r="G11" s="29" t="n">
        <v>0.264</v>
      </c>
      <c r="H11" s="29" t="n">
        <v>1.32</v>
      </c>
      <c r="I11" s="29" t="n">
        <v>1</v>
      </c>
      <c r="J11" s="29" t="n">
        <v>1.056</v>
      </c>
      <c r="K11" s="29" t="n">
        <v>1</v>
      </c>
      <c r="L11" s="11" t="s">
        <v>523</v>
      </c>
      <c r="M11" s="11" t="s">
        <v>524</v>
      </c>
      <c r="N11" s="19" t="n">
        <v>0</v>
      </c>
      <c r="O11" s="11" t="s">
        <v>536</v>
      </c>
    </row>
    <row r="12" customFormat="false" ht="15" hidden="false" customHeight="false" outlineLevel="0" collapsed="false">
      <c r="A12" s="11" t="s">
        <v>537</v>
      </c>
      <c r="B12" s="11" t="s">
        <v>10</v>
      </c>
      <c r="C12" s="11" t="s">
        <v>34</v>
      </c>
      <c r="D12" s="11" t="s">
        <v>132</v>
      </c>
      <c r="E12" s="29" t="n">
        <v>10</v>
      </c>
      <c r="F12" s="29" t="n">
        <v>9</v>
      </c>
      <c r="G12" s="29" t="n">
        <v>3600</v>
      </c>
      <c r="H12" s="29" t="n">
        <v>36000</v>
      </c>
      <c r="I12" s="29" t="n">
        <v>31000</v>
      </c>
      <c r="J12" s="29" t="n">
        <v>32400</v>
      </c>
      <c r="K12" s="29" t="n">
        <v>31000</v>
      </c>
      <c r="L12" s="11" t="s">
        <v>527</v>
      </c>
      <c r="M12" s="11" t="s">
        <v>524</v>
      </c>
      <c r="N12" s="19" t="n">
        <v>0</v>
      </c>
      <c r="O12" s="11" t="s">
        <v>538</v>
      </c>
    </row>
    <row r="13" customFormat="false" ht="15" hidden="false" customHeight="false" outlineLevel="0" collapsed="false">
      <c r="A13" s="11" t="s">
        <v>539</v>
      </c>
      <c r="B13" s="11" t="s">
        <v>10</v>
      </c>
      <c r="C13" s="11" t="s">
        <v>29</v>
      </c>
      <c r="D13" s="11" t="s">
        <v>137</v>
      </c>
      <c r="E13" s="29" t="n">
        <v>7</v>
      </c>
      <c r="F13" s="29" t="n">
        <v>6</v>
      </c>
      <c r="G13" s="29" t="n">
        <v>7.2</v>
      </c>
      <c r="H13" s="29" t="n">
        <v>50.4</v>
      </c>
      <c r="I13" s="29" t="n">
        <v>42</v>
      </c>
      <c r="J13" s="29" t="n">
        <v>43.2</v>
      </c>
      <c r="K13" s="29" t="n">
        <v>42</v>
      </c>
      <c r="L13" s="11" t="s">
        <v>530</v>
      </c>
      <c r="M13" s="11" t="s">
        <v>524</v>
      </c>
      <c r="N13" s="19" t="n">
        <v>0</v>
      </c>
      <c r="O13" s="11" t="s">
        <v>540</v>
      </c>
    </row>
    <row r="14" customFormat="false" ht="15" hidden="false" customHeight="false" outlineLevel="0" collapsed="false">
      <c r="A14" s="11" t="s">
        <v>541</v>
      </c>
      <c r="B14" s="11" t="s">
        <v>10</v>
      </c>
      <c r="C14" s="11" t="s">
        <v>142</v>
      </c>
      <c r="D14" s="11" t="s">
        <v>143</v>
      </c>
      <c r="E14" s="29" t="n">
        <v>6</v>
      </c>
      <c r="F14" s="29" t="n">
        <v>5</v>
      </c>
      <c r="G14" s="29" t="n">
        <v>46.2</v>
      </c>
      <c r="H14" s="29" t="n">
        <v>277.2</v>
      </c>
      <c r="I14" s="29" t="n">
        <v>220</v>
      </c>
      <c r="J14" s="29" t="n">
        <v>231</v>
      </c>
      <c r="K14" s="29" t="n">
        <v>220</v>
      </c>
      <c r="L14" s="11" t="s">
        <v>533</v>
      </c>
      <c r="M14" s="11" t="s">
        <v>524</v>
      </c>
      <c r="N14" s="19" t="n">
        <v>0</v>
      </c>
      <c r="O14" s="11" t="s">
        <v>542</v>
      </c>
    </row>
    <row r="15" customFormat="false" ht="15" hidden="false" customHeight="false" outlineLevel="0" collapsed="false">
      <c r="A15" s="11" t="s">
        <v>543</v>
      </c>
      <c r="B15" s="11" t="s">
        <v>13</v>
      </c>
      <c r="C15" s="11" t="s">
        <v>26</v>
      </c>
      <c r="D15" s="11" t="s">
        <v>175</v>
      </c>
      <c r="E15" s="29" t="n">
        <v>5</v>
      </c>
      <c r="F15" s="29" t="n">
        <v>4</v>
      </c>
      <c r="G15" s="29" t="n">
        <v>26.5</v>
      </c>
      <c r="H15" s="29" t="n">
        <v>132.5</v>
      </c>
      <c r="I15" s="29" t="n">
        <v>103</v>
      </c>
      <c r="J15" s="29" t="n">
        <v>106</v>
      </c>
      <c r="K15" s="29" t="n">
        <v>103</v>
      </c>
      <c r="L15" s="11" t="s">
        <v>523</v>
      </c>
      <c r="M15" s="11" t="s">
        <v>524</v>
      </c>
      <c r="N15" s="19" t="n">
        <v>0</v>
      </c>
      <c r="O15" s="11" t="s">
        <v>544</v>
      </c>
    </row>
    <row r="16" customFormat="false" ht="15" hidden="false" customHeight="false" outlineLevel="0" collapsed="false">
      <c r="A16" s="11" t="s">
        <v>545</v>
      </c>
      <c r="B16" s="11" t="s">
        <v>13</v>
      </c>
      <c r="C16" s="11" t="s">
        <v>34</v>
      </c>
      <c r="D16" s="11" t="s">
        <v>132</v>
      </c>
      <c r="E16" s="29" t="n">
        <v>10</v>
      </c>
      <c r="F16" s="29" t="n">
        <v>9</v>
      </c>
      <c r="G16" s="29" t="n">
        <v>6300</v>
      </c>
      <c r="H16" s="29" t="n">
        <v>63000</v>
      </c>
      <c r="I16" s="29" t="n">
        <v>54000</v>
      </c>
      <c r="J16" s="29" t="n">
        <v>56700</v>
      </c>
      <c r="K16" s="29" t="n">
        <v>54000</v>
      </c>
      <c r="L16" s="11" t="s">
        <v>527</v>
      </c>
      <c r="M16" s="11" t="s">
        <v>524</v>
      </c>
      <c r="N16" s="19" t="n">
        <v>0</v>
      </c>
      <c r="O16" s="11" t="s">
        <v>546</v>
      </c>
    </row>
    <row r="17" customFormat="false" ht="15" hidden="false" customHeight="false" outlineLevel="0" collapsed="false">
      <c r="A17" s="11" t="s">
        <v>547</v>
      </c>
      <c r="B17" s="11" t="s">
        <v>13</v>
      </c>
      <c r="C17" s="11" t="s">
        <v>29</v>
      </c>
      <c r="D17" s="11" t="s">
        <v>137</v>
      </c>
      <c r="E17" s="29" t="n">
        <v>8</v>
      </c>
      <c r="F17" s="29" t="n">
        <v>7</v>
      </c>
      <c r="G17" s="29" t="n">
        <v>20.6</v>
      </c>
      <c r="H17" s="29" t="n">
        <v>164.8</v>
      </c>
      <c r="I17" s="29" t="n">
        <v>140</v>
      </c>
      <c r="J17" s="29" t="n">
        <v>144.2</v>
      </c>
      <c r="K17" s="29" t="n">
        <v>140</v>
      </c>
      <c r="L17" s="11" t="s">
        <v>530</v>
      </c>
      <c r="M17" s="11" t="s">
        <v>524</v>
      </c>
      <c r="N17" s="19" t="n">
        <v>0</v>
      </c>
      <c r="O17" s="11" t="s">
        <v>548</v>
      </c>
    </row>
    <row r="18" customFormat="false" ht="15" hidden="false" customHeight="false" outlineLevel="0" collapsed="false">
      <c r="A18" s="11" t="s">
        <v>549</v>
      </c>
      <c r="B18" s="11" t="s">
        <v>13</v>
      </c>
      <c r="C18" s="11" t="s">
        <v>142</v>
      </c>
      <c r="D18" s="11" t="s">
        <v>143</v>
      </c>
      <c r="E18" s="29" t="n">
        <v>6</v>
      </c>
      <c r="F18" s="29" t="n">
        <v>5</v>
      </c>
      <c r="G18" s="29" t="n">
        <v>189</v>
      </c>
      <c r="H18" s="29" t="n">
        <v>1134</v>
      </c>
      <c r="I18" s="29" t="n">
        <v>900</v>
      </c>
      <c r="J18" s="29" t="n">
        <v>945</v>
      </c>
      <c r="K18" s="29" t="n">
        <v>900</v>
      </c>
      <c r="L18" s="11" t="s">
        <v>533</v>
      </c>
      <c r="M18" s="11" t="s">
        <v>524</v>
      </c>
      <c r="N18" s="19" t="n">
        <v>0</v>
      </c>
      <c r="O18" s="11" t="s">
        <v>550</v>
      </c>
    </row>
    <row r="19" customFormat="false" ht="15" hidden="false" customHeight="false" outlineLevel="0" collapsed="false">
      <c r="A19" s="11" t="s">
        <v>551</v>
      </c>
      <c r="B19" s="11" t="s">
        <v>16</v>
      </c>
      <c r="C19" s="11" t="s">
        <v>26</v>
      </c>
      <c r="D19" s="11" t="s">
        <v>196</v>
      </c>
      <c r="E19" s="29" t="n">
        <v>3</v>
      </c>
      <c r="F19" s="29" t="n">
        <v>2</v>
      </c>
      <c r="G19" s="29" t="n">
        <v>13</v>
      </c>
      <c r="H19" s="29" t="n">
        <v>39</v>
      </c>
      <c r="I19" s="29" t="n">
        <v>25</v>
      </c>
      <c r="J19" s="29" t="n">
        <v>26</v>
      </c>
      <c r="K19" s="29" t="n">
        <v>25</v>
      </c>
      <c r="L19" s="11" t="s">
        <v>552</v>
      </c>
      <c r="M19" s="11" t="s">
        <v>524</v>
      </c>
      <c r="N19" s="19" t="n">
        <v>0</v>
      </c>
      <c r="O19" s="11" t="s">
        <v>553</v>
      </c>
    </row>
    <row r="20" customFormat="false" ht="15" hidden="false" customHeight="false" outlineLevel="0" collapsed="false">
      <c r="A20" s="11" t="s">
        <v>554</v>
      </c>
      <c r="B20" s="11" t="s">
        <v>16</v>
      </c>
      <c r="C20" s="11" t="s">
        <v>34</v>
      </c>
      <c r="D20" s="11" t="s">
        <v>201</v>
      </c>
      <c r="E20" s="29" t="n">
        <v>9</v>
      </c>
      <c r="F20" s="29" t="n">
        <v>8</v>
      </c>
      <c r="G20" s="29" t="n">
        <v>3.99</v>
      </c>
      <c r="H20" s="29" t="n">
        <v>35.91</v>
      </c>
      <c r="I20" s="29" t="n">
        <v>31.075</v>
      </c>
      <c r="J20" s="29" t="n">
        <v>31.92</v>
      </c>
      <c r="K20" s="29" t="n">
        <v>31.075</v>
      </c>
      <c r="L20" s="11" t="s">
        <v>527</v>
      </c>
      <c r="M20" s="11" t="s">
        <v>524</v>
      </c>
      <c r="N20" s="19" t="n">
        <v>0</v>
      </c>
      <c r="O20" s="11" t="s">
        <v>555</v>
      </c>
    </row>
    <row r="21" customFormat="false" ht="15" hidden="false" customHeight="false" outlineLevel="0" collapsed="false">
      <c r="A21" s="11" t="s">
        <v>556</v>
      </c>
      <c r="B21" s="11" t="s">
        <v>16</v>
      </c>
      <c r="C21" s="11" t="s">
        <v>29</v>
      </c>
      <c r="D21" s="11" t="s">
        <v>137</v>
      </c>
      <c r="E21" s="29" t="n">
        <v>4</v>
      </c>
      <c r="F21" s="29" t="n">
        <v>3</v>
      </c>
      <c r="G21" s="29" t="n">
        <v>13</v>
      </c>
      <c r="H21" s="29" t="n">
        <v>52</v>
      </c>
      <c r="I21" s="29" t="n">
        <v>37.3510416667</v>
      </c>
      <c r="J21" s="29" t="n">
        <v>39</v>
      </c>
      <c r="K21" s="29" t="n">
        <v>37.3510416667</v>
      </c>
      <c r="L21" s="11" t="s">
        <v>530</v>
      </c>
      <c r="M21" s="11" t="s">
        <v>524</v>
      </c>
      <c r="N21" s="19" t="n">
        <v>0</v>
      </c>
      <c r="O21" s="11" t="s">
        <v>557</v>
      </c>
    </row>
    <row r="22" customFormat="false" ht="15" hidden="false" customHeight="false" outlineLevel="0" collapsed="false">
      <c r="A22" s="11" t="s">
        <v>558</v>
      </c>
      <c r="B22" s="11" t="s">
        <v>16</v>
      </c>
      <c r="C22" s="11" t="s">
        <v>142</v>
      </c>
      <c r="D22" s="11" t="s">
        <v>196</v>
      </c>
      <c r="E22" s="29" t="n">
        <v>3</v>
      </c>
      <c r="F22" s="29" t="n">
        <v>2</v>
      </c>
      <c r="G22" s="29" t="n">
        <v>10.3</v>
      </c>
      <c r="H22" s="29" t="n">
        <v>30.9</v>
      </c>
      <c r="I22" s="29" t="n">
        <v>20</v>
      </c>
      <c r="J22" s="29" t="n">
        <v>20.6</v>
      </c>
      <c r="K22" s="29" t="n">
        <v>20</v>
      </c>
      <c r="L22" s="11" t="s">
        <v>533</v>
      </c>
      <c r="M22" s="11" t="s">
        <v>524</v>
      </c>
      <c r="N22" s="19" t="n">
        <v>0</v>
      </c>
      <c r="O22" s="11" t="s">
        <v>559</v>
      </c>
    </row>
    <row r="23" customFormat="false" ht="15" hidden="false" customHeight="false" outlineLevel="0" collapsed="false">
      <c r="A23" s="11" t="s">
        <v>560</v>
      </c>
      <c r="B23" s="11" t="s">
        <v>19</v>
      </c>
      <c r="C23" s="11" t="s">
        <v>26</v>
      </c>
      <c r="D23" s="11" t="s">
        <v>154</v>
      </c>
      <c r="E23" s="29" t="n">
        <v>10</v>
      </c>
      <c r="F23" s="29" t="n">
        <v>10</v>
      </c>
      <c r="G23" s="29"/>
      <c r="H23" s="29" t="n">
        <v>1.28</v>
      </c>
      <c r="I23" s="29" t="n">
        <v>1</v>
      </c>
      <c r="J23" s="29" t="n">
        <v>1.032</v>
      </c>
      <c r="K23" s="29" t="n">
        <v>1</v>
      </c>
      <c r="L23" s="11" t="s">
        <v>523</v>
      </c>
      <c r="M23" s="11" t="s">
        <v>524</v>
      </c>
      <c r="N23" s="19" t="n">
        <v>0</v>
      </c>
      <c r="O23" s="11" t="s">
        <v>561</v>
      </c>
    </row>
    <row r="24" customFormat="false" ht="15" hidden="false" customHeight="false" outlineLevel="0" collapsed="false">
      <c r="A24" s="11" t="s">
        <v>562</v>
      </c>
      <c r="B24" s="11" t="s">
        <v>19</v>
      </c>
      <c r="C24" s="11" t="s">
        <v>34</v>
      </c>
      <c r="D24" s="11" t="s">
        <v>201</v>
      </c>
      <c r="E24" s="29" t="n">
        <v>8</v>
      </c>
      <c r="F24" s="29" t="n">
        <v>7</v>
      </c>
      <c r="G24" s="29" t="n">
        <v>7.35</v>
      </c>
      <c r="H24" s="29" t="n">
        <v>58.8</v>
      </c>
      <c r="I24" s="29" t="n">
        <v>50</v>
      </c>
      <c r="J24" s="29" t="n">
        <v>51.45</v>
      </c>
      <c r="K24" s="29" t="n">
        <v>50</v>
      </c>
      <c r="L24" s="11" t="s">
        <v>527</v>
      </c>
      <c r="M24" s="11" t="s">
        <v>524</v>
      </c>
      <c r="N24" s="19" t="n">
        <v>0</v>
      </c>
      <c r="O24" s="11" t="s">
        <v>563</v>
      </c>
    </row>
    <row r="25" customFormat="false" ht="15" hidden="false" customHeight="false" outlineLevel="0" collapsed="false">
      <c r="A25" s="11" t="s">
        <v>564</v>
      </c>
      <c r="B25" s="11" t="s">
        <v>19</v>
      </c>
      <c r="C25" s="11" t="s">
        <v>29</v>
      </c>
      <c r="D25" s="11" t="s">
        <v>137</v>
      </c>
      <c r="E25" s="29" t="n">
        <v>6</v>
      </c>
      <c r="F25" s="29" t="n">
        <v>5</v>
      </c>
      <c r="G25" s="29" t="n">
        <v>11</v>
      </c>
      <c r="H25" s="29" t="n">
        <v>66</v>
      </c>
      <c r="I25" s="29" t="n">
        <v>52</v>
      </c>
      <c r="J25" s="29" t="n">
        <v>55</v>
      </c>
      <c r="K25" s="29" t="n">
        <v>52</v>
      </c>
      <c r="L25" s="11" t="s">
        <v>530</v>
      </c>
      <c r="M25" s="11" t="s">
        <v>524</v>
      </c>
      <c r="N25" s="19" t="n">
        <v>0</v>
      </c>
      <c r="O25" s="11" t="s">
        <v>565</v>
      </c>
    </row>
    <row r="26" customFormat="false" ht="15" hidden="false" customHeight="false" outlineLevel="0" collapsed="false">
      <c r="A26" s="11" t="s">
        <v>566</v>
      </c>
      <c r="B26" s="11" t="s">
        <v>19</v>
      </c>
      <c r="C26" s="11" t="s">
        <v>142</v>
      </c>
      <c r="D26" s="11" t="s">
        <v>143</v>
      </c>
      <c r="E26" s="29" t="n">
        <v>6</v>
      </c>
      <c r="F26" s="29" t="n">
        <v>5</v>
      </c>
      <c r="G26" s="29" t="n">
        <v>73.5</v>
      </c>
      <c r="H26" s="29" t="n">
        <v>441</v>
      </c>
      <c r="I26" s="29" t="n">
        <v>350</v>
      </c>
      <c r="J26" s="29" t="n">
        <v>367.5</v>
      </c>
      <c r="K26" s="29" t="n">
        <v>350</v>
      </c>
      <c r="L26" s="11" t="s">
        <v>533</v>
      </c>
      <c r="M26" s="11" t="s">
        <v>524</v>
      </c>
      <c r="N26" s="19" t="n">
        <v>0</v>
      </c>
      <c r="O26" s="11" t="s">
        <v>567</v>
      </c>
    </row>
    <row r="27" customFormat="false" ht="15" hidden="false" customHeight="false" outlineLevel="0" collapsed="false">
      <c r="A27" s="11" t="s">
        <v>568</v>
      </c>
      <c r="B27" s="11" t="s">
        <v>22</v>
      </c>
      <c r="C27" s="11" t="s">
        <v>26</v>
      </c>
      <c r="D27" s="11" t="s">
        <v>154</v>
      </c>
      <c r="E27" s="29" t="n">
        <v>5</v>
      </c>
      <c r="F27" s="29" t="n">
        <v>4</v>
      </c>
      <c r="G27" s="29" t="n">
        <v>0.26</v>
      </c>
      <c r="H27" s="29" t="n">
        <v>1.3</v>
      </c>
      <c r="I27" s="29" t="n">
        <v>1</v>
      </c>
      <c r="J27" s="29" t="n">
        <v>1.04</v>
      </c>
      <c r="K27" s="29" t="n">
        <v>1</v>
      </c>
      <c r="L27" s="11" t="s">
        <v>523</v>
      </c>
      <c r="M27" s="11" t="s">
        <v>524</v>
      </c>
      <c r="N27" s="19" t="n">
        <v>0</v>
      </c>
      <c r="O27" s="11" t="s">
        <v>569</v>
      </c>
    </row>
    <row r="28" customFormat="false" ht="15" hidden="false" customHeight="false" outlineLevel="0" collapsed="false">
      <c r="A28" s="11" t="s">
        <v>570</v>
      </c>
      <c r="B28" s="11" t="s">
        <v>22</v>
      </c>
      <c r="C28" s="11" t="s">
        <v>34</v>
      </c>
      <c r="D28" s="11" t="s">
        <v>132</v>
      </c>
      <c r="E28" s="29" t="n">
        <v>10</v>
      </c>
      <c r="F28" s="29" t="n">
        <v>9</v>
      </c>
      <c r="G28" s="29" t="n">
        <v>8400</v>
      </c>
      <c r="H28" s="29" t="n">
        <v>84000</v>
      </c>
      <c r="I28" s="29" t="n">
        <v>72000</v>
      </c>
      <c r="J28" s="29" t="n">
        <v>75600</v>
      </c>
      <c r="K28" s="29" t="n">
        <v>72000</v>
      </c>
      <c r="L28" s="11" t="s">
        <v>527</v>
      </c>
      <c r="M28" s="11" t="s">
        <v>524</v>
      </c>
      <c r="N28" s="19" t="n">
        <v>0</v>
      </c>
      <c r="O28" s="11" t="s">
        <v>571</v>
      </c>
    </row>
    <row r="29" customFormat="false" ht="15" hidden="false" customHeight="false" outlineLevel="0" collapsed="false">
      <c r="A29" s="11" t="s">
        <v>572</v>
      </c>
      <c r="B29" s="11" t="s">
        <v>22</v>
      </c>
      <c r="C29" s="11" t="s">
        <v>29</v>
      </c>
      <c r="D29" s="11" t="s">
        <v>137</v>
      </c>
      <c r="E29" s="29" t="n">
        <v>7</v>
      </c>
      <c r="F29" s="29" t="n">
        <v>6</v>
      </c>
      <c r="G29" s="29" t="n">
        <v>26.5</v>
      </c>
      <c r="H29" s="29" t="n">
        <v>185.5</v>
      </c>
      <c r="I29" s="29" t="n">
        <v>155</v>
      </c>
      <c r="J29" s="29" t="n">
        <v>159</v>
      </c>
      <c r="K29" s="29" t="n">
        <v>155</v>
      </c>
      <c r="L29" s="11" t="s">
        <v>530</v>
      </c>
      <c r="M29" s="11" t="s">
        <v>524</v>
      </c>
      <c r="N29" s="19" t="n">
        <v>0</v>
      </c>
      <c r="O29" s="11" t="s">
        <v>573</v>
      </c>
    </row>
    <row r="30" customFormat="false" ht="15" hidden="false" customHeight="false" outlineLevel="0" collapsed="false">
      <c r="A30" s="11" t="s">
        <v>574</v>
      </c>
      <c r="B30" s="11" t="s">
        <v>22</v>
      </c>
      <c r="C30" s="11" t="s">
        <v>142</v>
      </c>
      <c r="D30" s="11" t="s">
        <v>143</v>
      </c>
      <c r="E30" s="29" t="n">
        <v>6</v>
      </c>
      <c r="F30" s="29" t="n">
        <v>5</v>
      </c>
      <c r="G30" s="29" t="n">
        <v>252</v>
      </c>
      <c r="H30" s="29" t="n">
        <v>1512</v>
      </c>
      <c r="I30" s="29" t="n">
        <v>1200</v>
      </c>
      <c r="J30" s="29" t="n">
        <v>1260</v>
      </c>
      <c r="K30" s="29" t="n">
        <v>1200</v>
      </c>
      <c r="L30" s="11" t="s">
        <v>533</v>
      </c>
      <c r="M30" s="11" t="s">
        <v>524</v>
      </c>
      <c r="N30" s="19" t="n">
        <v>0</v>
      </c>
      <c r="O30" s="11" t="s">
        <v>575</v>
      </c>
    </row>
  </sheetData>
  <mergeCells count="2">
    <mergeCell ref="A2:O2"/>
    <mergeCell ref="A4:O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42"/>
    <col collapsed="false" customWidth="true" hidden="false" outlineLevel="0" max="4" min="4" style="0" width="32"/>
    <col collapsed="false" customWidth="true" hidden="false" outlineLevel="0" max="7" min="5" style="0" width="11"/>
  </cols>
  <sheetData>
    <row r="1" customFormat="false" ht="8" hidden="false" customHeight="true" outlineLevel="0" collapsed="false"/>
    <row r="2" customFormat="false" ht="23" hidden="false" customHeight="true" outlineLevel="0" collapsed="false">
      <c r="A2" s="1" t="s">
        <v>576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577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31" hidden="false" customHeight="true" outlineLevel="0" collapsed="false">
      <c r="A6" s="10" t="s">
        <v>578</v>
      </c>
      <c r="B6" s="10" t="s">
        <v>579</v>
      </c>
      <c r="C6" s="10" t="s">
        <v>580</v>
      </c>
      <c r="D6" s="10" t="s">
        <v>581</v>
      </c>
      <c r="E6" s="10" t="s">
        <v>582</v>
      </c>
      <c r="F6" s="10" t="s">
        <v>583</v>
      </c>
      <c r="G6" s="10" t="s">
        <v>584</v>
      </c>
      <c r="H6" s="2"/>
      <c r="I6" s="2"/>
      <c r="J6" s="2"/>
      <c r="K6" s="2"/>
      <c r="L6" s="2"/>
      <c r="M6" s="2"/>
      <c r="N6" s="2"/>
      <c r="O6" s="2"/>
    </row>
    <row r="7" customFormat="false" ht="15" hidden="false" customHeight="false" outlineLevel="0" collapsed="false">
      <c r="A7" s="11" t="s">
        <v>585</v>
      </c>
      <c r="B7" s="11" t="s">
        <v>586</v>
      </c>
      <c r="C7" s="11" t="s">
        <v>587</v>
      </c>
      <c r="D7" s="11" t="s">
        <v>588</v>
      </c>
      <c r="E7" s="30" t="n">
        <v>1</v>
      </c>
      <c r="F7" s="30" t="n">
        <v>1</v>
      </c>
      <c r="G7" s="30" t="n">
        <v>1</v>
      </c>
      <c r="H7" s="2"/>
      <c r="I7" s="2"/>
      <c r="J7" s="2"/>
      <c r="K7" s="2"/>
      <c r="L7" s="2"/>
      <c r="M7" s="2"/>
      <c r="N7" s="2"/>
      <c r="O7" s="2"/>
    </row>
    <row r="8" customFormat="false" ht="15" hidden="false" customHeight="false" outlineLevel="0" collapsed="false">
      <c r="A8" s="11" t="s">
        <v>589</v>
      </c>
      <c r="B8" s="11" t="s">
        <v>590</v>
      </c>
      <c r="C8" s="11" t="s">
        <v>591</v>
      </c>
      <c r="D8" s="11" t="s">
        <v>588</v>
      </c>
      <c r="E8" s="30" t="n">
        <v>1</v>
      </c>
      <c r="F8" s="30" t="n">
        <v>1</v>
      </c>
      <c r="G8" s="30" t="n">
        <v>1</v>
      </c>
      <c r="H8" s="2"/>
      <c r="I8" s="2"/>
      <c r="J8" s="2"/>
      <c r="K8" s="2"/>
      <c r="L8" s="2"/>
      <c r="M8" s="2"/>
      <c r="N8" s="2"/>
      <c r="O8" s="2"/>
    </row>
    <row r="9" customFormat="false" ht="15" hidden="false" customHeight="false" outlineLevel="0" collapsed="false">
      <c r="A9" s="11" t="s">
        <v>592</v>
      </c>
      <c r="B9" s="11" t="s">
        <v>593</v>
      </c>
      <c r="C9" s="11" t="s">
        <v>594</v>
      </c>
      <c r="D9" s="11" t="s">
        <v>595</v>
      </c>
      <c r="E9" s="30" t="n">
        <v>1</v>
      </c>
      <c r="F9" s="30" t="n">
        <v>1</v>
      </c>
      <c r="G9" s="30" t="n">
        <v>1</v>
      </c>
      <c r="H9" s="2"/>
      <c r="I9" s="2"/>
      <c r="J9" s="2"/>
      <c r="K9" s="2"/>
      <c r="L9" s="2"/>
      <c r="M9" s="2"/>
      <c r="N9" s="2"/>
      <c r="O9" s="2"/>
    </row>
    <row r="10" customFormat="false" ht="15" hidden="false" customHeight="false" outlineLevel="0" collapsed="false">
      <c r="A10" s="11" t="s">
        <v>596</v>
      </c>
      <c r="B10" s="11" t="s">
        <v>597</v>
      </c>
      <c r="C10" s="11" t="s">
        <v>598</v>
      </c>
      <c r="D10" s="11" t="s">
        <v>599</v>
      </c>
      <c r="E10" s="30" t="n">
        <v>1</v>
      </c>
      <c r="F10" s="30" t="n">
        <v>1</v>
      </c>
      <c r="G10" s="30" t="n">
        <v>1</v>
      </c>
      <c r="H10" s="2"/>
      <c r="I10" s="2"/>
      <c r="J10" s="2"/>
      <c r="K10" s="2"/>
      <c r="L10" s="2"/>
      <c r="M10" s="2"/>
      <c r="N10" s="2"/>
      <c r="O10" s="2"/>
    </row>
    <row r="11" customFormat="false" ht="15" hidden="false" customHeight="false" outlineLevel="0" collapsed="false">
      <c r="A11" s="11" t="s">
        <v>600</v>
      </c>
      <c r="B11" s="11" t="s">
        <v>601</v>
      </c>
      <c r="C11" s="11" t="s">
        <v>602</v>
      </c>
      <c r="D11" s="11" t="s">
        <v>603</v>
      </c>
      <c r="E11" s="30" t="n">
        <v>1</v>
      </c>
      <c r="F11" s="30" t="n">
        <v>1</v>
      </c>
      <c r="G11" s="30" t="n">
        <v>1</v>
      </c>
      <c r="H11" s="2"/>
      <c r="I11" s="2"/>
      <c r="J11" s="2"/>
      <c r="K11" s="2"/>
      <c r="L11" s="2"/>
      <c r="M11" s="2"/>
      <c r="N11" s="2"/>
      <c r="O11" s="2"/>
    </row>
    <row r="12" customFormat="false" ht="15" hidden="false" customHeight="false" outlineLevel="0" collapsed="false">
      <c r="A12" s="11" t="s">
        <v>604</v>
      </c>
      <c r="B12" s="11" t="s">
        <v>605</v>
      </c>
      <c r="C12" s="11" t="s">
        <v>606</v>
      </c>
      <c r="D12" s="11" t="s">
        <v>603</v>
      </c>
      <c r="E12" s="30" t="n">
        <v>1</v>
      </c>
      <c r="F12" s="30" t="n">
        <v>1</v>
      </c>
      <c r="G12" s="30" t="n">
        <v>1</v>
      </c>
      <c r="H12" s="2"/>
      <c r="I12" s="2"/>
      <c r="J12" s="2"/>
      <c r="K12" s="2"/>
      <c r="L12" s="2"/>
      <c r="M12" s="2"/>
      <c r="N12" s="2"/>
      <c r="O12" s="2"/>
    </row>
    <row r="13" customFormat="false" ht="15" hidden="false" customHeight="false" outlineLevel="0" collapsed="false">
      <c r="A13" s="11" t="s">
        <v>607</v>
      </c>
      <c r="B13" s="11" t="s">
        <v>608</v>
      </c>
      <c r="C13" s="11" t="s">
        <v>609</v>
      </c>
      <c r="D13" s="11" t="s">
        <v>603</v>
      </c>
      <c r="E13" s="30" t="n">
        <v>1</v>
      </c>
      <c r="F13" s="30" t="n">
        <v>1</v>
      </c>
      <c r="G13" s="30" t="n">
        <v>1</v>
      </c>
      <c r="H13" s="2"/>
      <c r="I13" s="2"/>
      <c r="J13" s="2"/>
      <c r="K13" s="2"/>
      <c r="L13" s="2"/>
      <c r="M13" s="2"/>
      <c r="N13" s="2"/>
      <c r="O13" s="2"/>
    </row>
    <row r="14" customFormat="false" ht="15" hidden="false" customHeight="false" outlineLevel="0" collapsed="false">
      <c r="A14" s="11" t="s">
        <v>610</v>
      </c>
      <c r="B14" s="11" t="s">
        <v>611</v>
      </c>
      <c r="C14" s="11" t="s">
        <v>612</v>
      </c>
      <c r="D14" s="11" t="s">
        <v>603</v>
      </c>
      <c r="E14" s="30" t="n">
        <v>1</v>
      </c>
      <c r="F14" s="30" t="n">
        <v>1</v>
      </c>
      <c r="G14" s="30" t="n">
        <v>1</v>
      </c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11" t="s">
        <v>613</v>
      </c>
      <c r="B15" s="11" t="s">
        <v>614</v>
      </c>
      <c r="C15" s="11" t="s">
        <v>615</v>
      </c>
      <c r="D15" s="11" t="s">
        <v>603</v>
      </c>
      <c r="E15" s="30" t="n">
        <v>1</v>
      </c>
      <c r="F15" s="30" t="n">
        <v>1</v>
      </c>
      <c r="G15" s="30" t="n">
        <v>1</v>
      </c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11" t="s">
        <v>616</v>
      </c>
      <c r="B16" s="11" t="s">
        <v>617</v>
      </c>
      <c r="C16" s="11" t="s">
        <v>618</v>
      </c>
      <c r="D16" s="11" t="s">
        <v>603</v>
      </c>
      <c r="E16" s="30" t="n">
        <v>1</v>
      </c>
      <c r="F16" s="30" t="n">
        <v>1</v>
      </c>
      <c r="G16" s="30" t="n">
        <v>1</v>
      </c>
      <c r="H16" s="2"/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11" t="s">
        <v>619</v>
      </c>
      <c r="B17" s="11" t="s">
        <v>620</v>
      </c>
      <c r="C17" s="11" t="s">
        <v>621</v>
      </c>
      <c r="D17" s="11" t="s">
        <v>603</v>
      </c>
      <c r="E17" s="30" t="n">
        <v>1</v>
      </c>
      <c r="F17" s="30" t="n">
        <v>1</v>
      </c>
      <c r="G17" s="30" t="n">
        <v>1</v>
      </c>
      <c r="H17" s="2"/>
      <c r="I17" s="2"/>
      <c r="J17" s="2"/>
      <c r="K17" s="2"/>
      <c r="L17" s="2"/>
      <c r="M17" s="2"/>
      <c r="N17" s="2"/>
      <c r="O17" s="2"/>
    </row>
    <row r="18" customFormat="false" ht="15" hidden="false" customHeight="false" outlineLevel="0" collapsed="false">
      <c r="A18" s="11" t="s">
        <v>622</v>
      </c>
      <c r="B18" s="11" t="s">
        <v>623</v>
      </c>
      <c r="C18" s="11" t="s">
        <v>624</v>
      </c>
      <c r="D18" s="11" t="s">
        <v>603</v>
      </c>
      <c r="E18" s="30" t="n">
        <v>1</v>
      </c>
      <c r="F18" s="30" t="n">
        <v>1</v>
      </c>
      <c r="G18" s="30" t="n">
        <v>1</v>
      </c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11" t="s">
        <v>625</v>
      </c>
      <c r="B19" s="11" t="s">
        <v>626</v>
      </c>
      <c r="C19" s="11" t="s">
        <v>627</v>
      </c>
      <c r="D19" s="11" t="s">
        <v>603</v>
      </c>
      <c r="E19" s="30" t="n">
        <v>1</v>
      </c>
      <c r="F19" s="30" t="n">
        <v>1</v>
      </c>
      <c r="G19" s="30" t="n">
        <v>1</v>
      </c>
      <c r="H19" s="2"/>
      <c r="I19" s="2"/>
      <c r="J19" s="2"/>
      <c r="K19" s="2"/>
      <c r="L19" s="2"/>
      <c r="M19" s="2"/>
      <c r="N19" s="2"/>
      <c r="O19" s="2"/>
    </row>
    <row r="20" customFormat="false" ht="15" hidden="false" customHeight="false" outlineLevel="0" collapsed="false">
      <c r="A20" s="11" t="s">
        <v>628</v>
      </c>
      <c r="B20" s="11" t="s">
        <v>629</v>
      </c>
      <c r="C20" s="11" t="s">
        <v>630</v>
      </c>
      <c r="D20" s="11" t="s">
        <v>603</v>
      </c>
      <c r="E20" s="30" t="n">
        <v>1</v>
      </c>
      <c r="F20" s="30" t="n">
        <v>1</v>
      </c>
      <c r="G20" s="30" t="n">
        <v>1</v>
      </c>
      <c r="H20" s="2"/>
      <c r="I20" s="2"/>
      <c r="J20" s="2"/>
      <c r="K20" s="2"/>
      <c r="L20" s="2"/>
      <c r="M20" s="2"/>
      <c r="N20" s="2"/>
      <c r="O20" s="2"/>
    </row>
    <row r="21" customFormat="false" ht="15" hidden="false" customHeight="false" outlineLevel="0" collapsed="false">
      <c r="A21" s="11" t="s">
        <v>631</v>
      </c>
      <c r="B21" s="11" t="s">
        <v>632</v>
      </c>
      <c r="C21" s="11" t="s">
        <v>633</v>
      </c>
      <c r="D21" s="11" t="s">
        <v>634</v>
      </c>
      <c r="E21" s="30" t="n">
        <v>1</v>
      </c>
      <c r="F21" s="30" t="n">
        <v>1</v>
      </c>
      <c r="G21" s="30" t="n">
        <v>1</v>
      </c>
      <c r="H21" s="2"/>
      <c r="I21" s="2"/>
      <c r="J21" s="2"/>
      <c r="K21" s="2"/>
      <c r="L21" s="2"/>
      <c r="M21" s="2"/>
      <c r="N21" s="2"/>
      <c r="O21" s="2"/>
    </row>
    <row r="22" customFormat="false" ht="15" hidden="false" customHeight="false" outlineLevel="0" collapsed="false">
      <c r="A22" s="11" t="s">
        <v>635</v>
      </c>
      <c r="B22" s="11" t="s">
        <v>636</v>
      </c>
      <c r="C22" s="11" t="s">
        <v>637</v>
      </c>
      <c r="D22" s="11" t="s">
        <v>634</v>
      </c>
      <c r="E22" s="30" t="n">
        <v>1</v>
      </c>
      <c r="F22" s="30" t="n">
        <v>1</v>
      </c>
      <c r="G22" s="30" t="n">
        <v>1</v>
      </c>
      <c r="H22" s="2"/>
      <c r="I22" s="2"/>
      <c r="J22" s="2"/>
      <c r="K22" s="2"/>
      <c r="L22" s="2"/>
      <c r="M22" s="2"/>
      <c r="N22" s="2"/>
      <c r="O22" s="2"/>
    </row>
    <row r="23" customFormat="false" ht="15" hidden="false" customHeight="false" outlineLevel="0" collapsed="false">
      <c r="A23" s="11" t="s">
        <v>638</v>
      </c>
      <c r="B23" s="11" t="s">
        <v>639</v>
      </c>
      <c r="C23" s="11" t="s">
        <v>640</v>
      </c>
      <c r="D23" s="11" t="s">
        <v>634</v>
      </c>
      <c r="E23" s="30" t="n">
        <v>1</v>
      </c>
      <c r="F23" s="30" t="n">
        <v>1</v>
      </c>
      <c r="G23" s="30" t="n">
        <v>1</v>
      </c>
      <c r="H23" s="2"/>
      <c r="I23" s="2"/>
      <c r="J23" s="2"/>
      <c r="K23" s="2"/>
      <c r="L23" s="2"/>
      <c r="M23" s="2"/>
      <c r="N23" s="2"/>
      <c r="O23" s="2"/>
    </row>
    <row r="24" customFormat="false" ht="15" hidden="false" customHeight="false" outlineLevel="0" collapsed="false">
      <c r="A24" s="11" t="s">
        <v>641</v>
      </c>
      <c r="B24" s="11" t="s">
        <v>642</v>
      </c>
      <c r="C24" s="11" t="s">
        <v>643</v>
      </c>
      <c r="D24" s="11" t="s">
        <v>644</v>
      </c>
      <c r="E24" s="30" t="n">
        <v>1</v>
      </c>
      <c r="F24" s="30" t="n">
        <v>1</v>
      </c>
      <c r="G24" s="30" t="n">
        <v>1</v>
      </c>
      <c r="H24" s="2"/>
      <c r="I24" s="2"/>
      <c r="J24" s="2"/>
      <c r="K24" s="2"/>
      <c r="L24" s="2"/>
      <c r="M24" s="2"/>
      <c r="N24" s="2"/>
      <c r="O24" s="2"/>
    </row>
    <row r="25" customFormat="false" ht="15" hidden="false" customHeight="false" outlineLevel="0" collapsed="false">
      <c r="A25" s="11" t="s">
        <v>645</v>
      </c>
      <c r="B25" s="11" t="s">
        <v>646</v>
      </c>
      <c r="C25" s="11" t="s">
        <v>647</v>
      </c>
      <c r="D25" s="11" t="s">
        <v>648</v>
      </c>
      <c r="E25" s="30" t="n">
        <v>1</v>
      </c>
      <c r="F25" s="30" t="n">
        <v>1</v>
      </c>
      <c r="G25" s="30" t="n">
        <v>1</v>
      </c>
      <c r="H25" s="2"/>
      <c r="I25" s="2"/>
      <c r="J25" s="2"/>
      <c r="K25" s="2"/>
      <c r="L25" s="2"/>
      <c r="M25" s="2"/>
      <c r="N25" s="2"/>
      <c r="O25" s="2"/>
    </row>
    <row r="26" customFormat="false" ht="15" hidden="false" customHeight="false" outlineLevel="0" collapsed="false">
      <c r="A26" s="11" t="s">
        <v>649</v>
      </c>
      <c r="B26" s="11" t="s">
        <v>650</v>
      </c>
      <c r="C26" s="11" t="s">
        <v>651</v>
      </c>
      <c r="D26" s="11" t="s">
        <v>652</v>
      </c>
      <c r="E26" s="30" t="n">
        <v>1</v>
      </c>
      <c r="F26" s="30" t="n">
        <v>1</v>
      </c>
      <c r="G26" s="30" t="n">
        <v>1</v>
      </c>
      <c r="H26" s="2"/>
      <c r="I26" s="2"/>
      <c r="J26" s="2"/>
      <c r="K26" s="2"/>
      <c r="L26" s="2"/>
      <c r="M26" s="2"/>
      <c r="N26" s="2"/>
      <c r="O26" s="2"/>
    </row>
    <row r="27" customFormat="false" ht="15" hidden="false" customHeight="false" outlineLevel="0" collapsed="false">
      <c r="A27" s="11" t="s">
        <v>653</v>
      </c>
      <c r="B27" s="11" t="s">
        <v>654</v>
      </c>
      <c r="C27" s="11" t="s">
        <v>655</v>
      </c>
      <c r="D27" s="11" t="s">
        <v>656</v>
      </c>
      <c r="E27" s="30" t="n">
        <v>1</v>
      </c>
      <c r="F27" s="30" t="n">
        <v>1</v>
      </c>
      <c r="G27" s="30" t="n">
        <v>1</v>
      </c>
      <c r="H27" s="2"/>
      <c r="I27" s="2"/>
      <c r="J27" s="2"/>
      <c r="K27" s="2"/>
      <c r="L27" s="2"/>
      <c r="M27" s="2"/>
      <c r="N27" s="2"/>
      <c r="O27" s="2"/>
    </row>
    <row r="28" customFormat="false" ht="15" hidden="false" customHeight="false" outlineLevel="0" collapsed="false">
      <c r="A28" s="11" t="s">
        <v>657</v>
      </c>
      <c r="B28" s="11" t="s">
        <v>658</v>
      </c>
      <c r="C28" s="11" t="s">
        <v>659</v>
      </c>
      <c r="D28" s="11" t="s">
        <v>660</v>
      </c>
      <c r="E28" s="30" t="n">
        <v>1</v>
      </c>
      <c r="F28" s="30" t="n">
        <v>1</v>
      </c>
      <c r="G28" s="30" t="n">
        <v>1</v>
      </c>
      <c r="H28" s="2"/>
      <c r="I28" s="2"/>
      <c r="J28" s="2"/>
      <c r="K28" s="2"/>
      <c r="L28" s="2"/>
      <c r="M28" s="2"/>
      <c r="N28" s="2"/>
      <c r="O28" s="2"/>
    </row>
  </sheetData>
  <mergeCells count="2">
    <mergeCell ref="A2:O2"/>
    <mergeCell ref="A4:O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3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8" hidden="false" customHeight="true" outlineLevel="0" collapsed="false"/>
    <row r="2" customFormat="false" ht="23" hidden="false" customHeight="true" outlineLevel="0" collapsed="false">
      <c r="A2" s="1" t="s">
        <v>661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662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31" hidden="false" customHeight="true" outlineLevel="0" collapsed="false">
      <c r="A6" s="10" t="s">
        <v>663</v>
      </c>
      <c r="B6" s="10" t="s">
        <v>664</v>
      </c>
      <c r="C6" s="10" t="s">
        <v>665</v>
      </c>
      <c r="D6" s="10" t="s">
        <v>666</v>
      </c>
      <c r="E6" s="10" t="s">
        <v>667</v>
      </c>
      <c r="F6" s="10" t="s">
        <v>668</v>
      </c>
      <c r="G6" s="2"/>
      <c r="H6" s="2"/>
      <c r="I6" s="2"/>
      <c r="J6" s="2"/>
      <c r="K6" s="2"/>
      <c r="L6" s="2"/>
      <c r="M6" s="2"/>
      <c r="N6" s="2"/>
      <c r="O6" s="2"/>
    </row>
    <row r="7" customFormat="false" ht="15" hidden="false" customHeight="false" outlineLevel="0" collapsed="false">
      <c r="A7" s="11" t="s">
        <v>669</v>
      </c>
      <c r="B7" s="11" t="s">
        <v>670</v>
      </c>
      <c r="C7" s="31" t="n">
        <f aca="false">COUNTA('Closure Cells'!$A$7:$A$126)</f>
        <v>120</v>
      </c>
      <c r="D7" s="31" t="n">
        <v>120</v>
      </c>
      <c r="E7" s="31" t="n">
        <v>0</v>
      </c>
      <c r="F7" s="15" t="str">
        <f aca="false">IF(ABS(C7-D7)&lt;=E7,"PASS","FAIL")</f>
        <v>PASS</v>
      </c>
      <c r="G7" s="2"/>
      <c r="H7" s="2"/>
      <c r="I7" s="2"/>
      <c r="J7" s="2"/>
      <c r="K7" s="2"/>
      <c r="L7" s="2"/>
      <c r="M7" s="2"/>
      <c r="N7" s="2"/>
      <c r="O7" s="2"/>
    </row>
    <row r="8" customFormat="false" ht="15" hidden="false" customHeight="false" outlineLevel="0" collapsed="false">
      <c r="A8" s="11" t="s">
        <v>671</v>
      </c>
      <c r="B8" s="11" t="s">
        <v>672</v>
      </c>
      <c r="C8" s="31" t="n">
        <f aca="false">COUNTIF('Closure Cells'!$N$7:$N$126,"BOUNDED")</f>
        <v>48</v>
      </c>
      <c r="D8" s="31" t="n">
        <v>48</v>
      </c>
      <c r="E8" s="31" t="n">
        <v>0</v>
      </c>
      <c r="F8" s="15" t="str">
        <f aca="false">IF(ABS(C8-D8)&lt;=E8,"PASS","FAIL")</f>
        <v>PASS</v>
      </c>
      <c r="G8" s="2"/>
      <c r="H8" s="2"/>
      <c r="I8" s="2"/>
      <c r="J8" s="2"/>
      <c r="K8" s="2"/>
      <c r="L8" s="2"/>
      <c r="M8" s="2"/>
      <c r="N8" s="2"/>
      <c r="O8" s="2"/>
    </row>
    <row r="9" customFormat="false" ht="15" hidden="false" customHeight="false" outlineLevel="0" collapsed="false">
      <c r="A9" s="11" t="s">
        <v>673</v>
      </c>
      <c r="B9" s="11" t="s">
        <v>674</v>
      </c>
      <c r="C9" s="31" t="n">
        <f aca="false">COUNTIF('Closure Cells'!$N$7:$N$126,"UNBOUNDED")</f>
        <v>72</v>
      </c>
      <c r="D9" s="31" t="n">
        <v>72</v>
      </c>
      <c r="E9" s="31" t="n">
        <v>0</v>
      </c>
      <c r="F9" s="15" t="str">
        <f aca="false">IF(ABS(C9-D9)&lt;=E9,"PASS","FAIL")</f>
        <v>PASS</v>
      </c>
      <c r="G9" s="2"/>
      <c r="H9" s="2"/>
      <c r="I9" s="2"/>
      <c r="J9" s="2"/>
      <c r="K9" s="2"/>
      <c r="L9" s="2"/>
      <c r="M9" s="2"/>
      <c r="N9" s="2"/>
      <c r="O9" s="2"/>
    </row>
    <row r="10" customFormat="false" ht="15" hidden="false" customHeight="false" outlineLevel="0" collapsed="false">
      <c r="A10" s="11" t="s">
        <v>675</v>
      </c>
      <c r="B10" s="11" t="s">
        <v>676</v>
      </c>
      <c r="C10" s="31" t="n">
        <f aca="false">COUNTIF('Closure Cells'!$O$7:$O$126,"CLOSE")</f>
        <v>27</v>
      </c>
      <c r="D10" s="31" t="n">
        <v>27</v>
      </c>
      <c r="E10" s="31" t="n">
        <v>0</v>
      </c>
      <c r="F10" s="15" t="str">
        <f aca="false">IF(ABS(C10-D10)&lt;=E10,"PASS","FAIL")</f>
        <v>PASS</v>
      </c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5" hidden="false" customHeight="false" outlineLevel="0" collapsed="false">
      <c r="A11" s="11" t="s">
        <v>677</v>
      </c>
      <c r="B11" s="11" t="s">
        <v>678</v>
      </c>
      <c r="C11" s="31" t="n">
        <f aca="false">COUNTIF('Closure Cells'!$O$7:$O$126,"FAIL")</f>
        <v>21</v>
      </c>
      <c r="D11" s="31" t="n">
        <v>21</v>
      </c>
      <c r="E11" s="31" t="n">
        <v>0</v>
      </c>
      <c r="F11" s="15" t="str">
        <f aca="false">IF(ABS(C11-D11)&lt;=E11,"PASS","FAIL")</f>
        <v>PASS</v>
      </c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5" hidden="false" customHeight="false" outlineLevel="0" collapsed="false">
      <c r="A12" s="11" t="s">
        <v>679</v>
      </c>
      <c r="B12" s="11" t="s">
        <v>680</v>
      </c>
      <c r="C12" s="31" t="n">
        <f aca="false">COUNTIF('Closure Cells'!$O$7:$O$126,"HOLD")</f>
        <v>72</v>
      </c>
      <c r="D12" s="31" t="n">
        <v>72</v>
      </c>
      <c r="E12" s="31" t="n">
        <v>0</v>
      </c>
      <c r="F12" s="15" t="str">
        <f aca="false">IF(ABS(C12-D12)&lt;=E12,"PASS","FAIL")</f>
        <v>PASS</v>
      </c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5" hidden="false" customHeight="false" outlineLevel="0" collapsed="false">
      <c r="A13" s="11" t="s">
        <v>681</v>
      </c>
      <c r="B13" s="11" t="s">
        <v>682</v>
      </c>
      <c r="C13" s="31" t="n">
        <f aca="false">COUNTIFS('Closure Cells'!$D$7:$D$126,"NOMINAL",'Closure Cells'!$O$7:$O$126,"CLOSE")</f>
        <v>24</v>
      </c>
      <c r="D13" s="31" t="n">
        <v>24</v>
      </c>
      <c r="E13" s="31" t="n">
        <v>0</v>
      </c>
      <c r="F13" s="15" t="str">
        <f aca="false">IF(ABS(C13-D13)&lt;=E13,"PASS","FAIL")</f>
        <v>PASS</v>
      </c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5" hidden="false" customHeight="false" outlineLevel="0" collapsed="false">
      <c r="A14" s="11" t="s">
        <v>683</v>
      </c>
      <c r="B14" s="11" t="s">
        <v>684</v>
      </c>
      <c r="C14" s="31" t="n">
        <f aca="false">COUNTIFS('Closure Cells'!$D$7:$D$126,"NOMINAL",'Closure Cells'!$O$7:$O$126,"FAIL")</f>
        <v>0</v>
      </c>
      <c r="D14" s="31" t="n">
        <v>0</v>
      </c>
      <c r="E14" s="31" t="n">
        <v>0</v>
      </c>
      <c r="F14" s="15" t="str">
        <f aca="false">IF(ABS(C14-D14)&lt;=E14,"PASS","FAIL")</f>
        <v>PASS</v>
      </c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11" t="s">
        <v>685</v>
      </c>
      <c r="B15" s="11" t="s">
        <v>686</v>
      </c>
      <c r="C15" s="31" t="n">
        <f aca="false">COUNTIFS('Closure Cells'!$D$7:$D$126,"NOMINAL",'Closure Cells'!$O$7:$O$126,"HOLD")</f>
        <v>6</v>
      </c>
      <c r="D15" s="31" t="n">
        <v>6</v>
      </c>
      <c r="E15" s="31" t="n">
        <v>0</v>
      </c>
      <c r="F15" s="15" t="str">
        <f aca="false">IF(ABS(C15-D15)&lt;=E15,"PASS","FAIL")</f>
        <v>PASS</v>
      </c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11" t="s">
        <v>687</v>
      </c>
      <c r="B16" s="11" t="s">
        <v>688</v>
      </c>
      <c r="C16" s="31" t="n">
        <f aca="false">COUNTIFS('Closure Cells'!$D$7:$D$126,"LARGEST_CELL_LOSS",'Closure Cells'!$O$7:$O$126,"CLOSE")</f>
        <v>3</v>
      </c>
      <c r="D16" s="31" t="n">
        <v>3</v>
      </c>
      <c r="E16" s="31" t="n">
        <v>0</v>
      </c>
      <c r="F16" s="15" t="str">
        <f aca="false">IF(ABS(C16-D16)&lt;=E16,"PASS","FAIL")</f>
        <v>PASS</v>
      </c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11" t="s">
        <v>689</v>
      </c>
      <c r="B17" s="11" t="s">
        <v>690</v>
      </c>
      <c r="C17" s="31" t="n">
        <f aca="false">COUNTIFS('Closure Cells'!$D$7:$D$126,"LARGEST_CELL_LOSS",'Closure Cells'!$O$7:$O$126,"FAIL")</f>
        <v>21</v>
      </c>
      <c r="D17" s="31" t="n">
        <v>21</v>
      </c>
      <c r="E17" s="31" t="n">
        <v>0</v>
      </c>
      <c r="F17" s="15" t="str">
        <f aca="false">IF(ABS(C17-D17)&lt;=E17,"PASS","FAIL")</f>
        <v>PASS</v>
      </c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5" hidden="false" customHeight="false" outlineLevel="0" collapsed="false">
      <c r="A18" s="11" t="s">
        <v>691</v>
      </c>
      <c r="B18" s="11" t="s">
        <v>692</v>
      </c>
      <c r="C18" s="31" t="n">
        <f aca="false">COUNTIFS('Closure Cells'!$D$7:$D$126,"LARGEST_CELL_LOSS",'Closure Cells'!$O$7:$O$126,"HOLD")</f>
        <v>6</v>
      </c>
      <c r="D18" s="31" t="n">
        <v>6</v>
      </c>
      <c r="E18" s="31" t="n">
        <v>0</v>
      </c>
      <c r="F18" s="15" t="str">
        <f aca="false">IF(ABS(C18-D18)&lt;=E18,"PASS","FAIL")</f>
        <v>PASS</v>
      </c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11" t="s">
        <v>693</v>
      </c>
      <c r="B19" s="11" t="s">
        <v>694</v>
      </c>
      <c r="C19" s="31" t="n">
        <f aca="false">COUNTIFS('Closure Cells'!$D$7:$D$126,"FATAL_KEYSTONE",'Closure Cells'!$O$7:$O$126,"HOLD")</f>
        <v>30</v>
      </c>
      <c r="D19" s="31" t="n">
        <v>30</v>
      </c>
      <c r="E19" s="31" t="n">
        <v>0</v>
      </c>
      <c r="F19" s="15" t="str">
        <f aca="false">IF(ABS(C19-D19)&lt;=E19,"PASS","FAIL")</f>
        <v>PASS</v>
      </c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5" hidden="false" customHeight="false" outlineLevel="0" collapsed="false">
      <c r="A20" s="11" t="s">
        <v>695</v>
      </c>
      <c r="B20" s="11" t="s">
        <v>696</v>
      </c>
      <c r="C20" s="31" t="n">
        <f aca="false">COUNTIFS('Closure Cells'!$D$7:$D$126,"COLD_START",'Closure Cells'!$O$7:$O$126,"HOLD")</f>
        <v>30</v>
      </c>
      <c r="D20" s="31" t="n">
        <v>30</v>
      </c>
      <c r="E20" s="31" t="n">
        <v>0</v>
      </c>
      <c r="F20" s="15" t="str">
        <f aca="false">IF(ABS(C20-D20)&lt;=E20,"PASS","FAIL")</f>
        <v>PASS</v>
      </c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5" hidden="false" customHeight="false" outlineLevel="0" collapsed="false">
      <c r="A21" s="11" t="s">
        <v>697</v>
      </c>
      <c r="B21" s="11" t="s">
        <v>698</v>
      </c>
      <c r="C21" s="31" t="n">
        <f aca="false">COUNTIFS('Closure Cells'!$C$7:$C$126,"Thermal",'Closure Cells'!$O$7:$O$126,"HOLD")</f>
        <v>24</v>
      </c>
      <c r="D21" s="31" t="n">
        <v>24</v>
      </c>
      <c r="E21" s="31" t="n">
        <v>0</v>
      </c>
      <c r="F21" s="15" t="str">
        <f aca="false">IF(ABS(C21-D21)&lt;=E21,"PASS","FAIL")</f>
        <v>PASS</v>
      </c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5" hidden="false" customHeight="false" outlineLevel="0" collapsed="false">
      <c r="A22" s="11" t="s">
        <v>699</v>
      </c>
      <c r="B22" s="11" t="s">
        <v>700</v>
      </c>
      <c r="C22" s="31" t="n">
        <f aca="false">COUNTA('Source Inputs'!$A$7:$A$30)</f>
        <v>24</v>
      </c>
      <c r="D22" s="31" t="n">
        <v>24</v>
      </c>
      <c r="E22" s="31" t="n">
        <v>0</v>
      </c>
      <c r="F22" s="15" t="str">
        <f aca="false">IF(ABS(C22-D22)&lt;=E22,"PASS","FAIL")</f>
        <v>PASS</v>
      </c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5" hidden="false" customHeight="false" outlineLevel="0" collapsed="false">
      <c r="A23" s="11" t="s">
        <v>701</v>
      </c>
      <c r="B23" s="11" t="s">
        <v>702</v>
      </c>
      <c r="C23" s="31" t="n">
        <f aca="false">SUM('Source Inputs'!$N$7:$N$30)</f>
        <v>0</v>
      </c>
      <c r="D23" s="31" t="n">
        <v>0</v>
      </c>
      <c r="E23" s="31" t="n">
        <v>0</v>
      </c>
      <c r="F23" s="15" t="str">
        <f aca="false">IF(ABS(C23-D23)&lt;=E23,"PASS","FAIL")</f>
        <v>PASS</v>
      </c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5" hidden="false" customHeight="false" outlineLevel="0" collapsed="false">
      <c r="A24" s="11" t="s">
        <v>703</v>
      </c>
      <c r="B24" s="11" t="s">
        <v>704</v>
      </c>
      <c r="C24" s="31" t="n">
        <f aca="false">COUNTA('Coefficient Register'!$A$7:$A$42)</f>
        <v>36</v>
      </c>
      <c r="D24" s="31" t="n">
        <v>36</v>
      </c>
      <c r="E24" s="31" t="n">
        <v>0</v>
      </c>
      <c r="F24" s="15" t="str">
        <f aca="false">IF(ABS(C24-D24)&lt;=E24,"PASS","FAIL")</f>
        <v>PASS</v>
      </c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5" hidden="false" customHeight="false" outlineLevel="0" collapsed="false">
      <c r="A25" s="11" t="s">
        <v>705</v>
      </c>
      <c r="B25" s="11" t="s">
        <v>706</v>
      </c>
      <c r="C25" s="31" t="n">
        <f aca="false">COUNTIF('Coefficient Register'!$K$7:$K$42,"OPEN")</f>
        <v>36</v>
      </c>
      <c r="D25" s="31" t="n">
        <v>36</v>
      </c>
      <c r="E25" s="31" t="n">
        <v>0</v>
      </c>
      <c r="F25" s="15" t="str">
        <f aca="false">IF(ABS(C25-D25)&lt;=E25,"PASS","FAIL")</f>
        <v>PASS</v>
      </c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" hidden="false" customHeight="false" outlineLevel="0" collapsed="false">
      <c r="A26" s="11" t="s">
        <v>707</v>
      </c>
      <c r="B26" s="11" t="s">
        <v>708</v>
      </c>
      <c r="C26" s="31" t="n">
        <f aca="false">SUM('Coefficient Register'!$H$7:$H$42)</f>
        <v>0</v>
      </c>
      <c r="D26" s="31" t="n">
        <v>0</v>
      </c>
      <c r="E26" s="31" t="n">
        <v>0</v>
      </c>
      <c r="F26" s="15" t="str">
        <f aca="false">IF(ABS(C26-D26)&lt;=E26,"PASS","FAIL")</f>
        <v>PASS</v>
      </c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5" hidden="false" customHeight="false" outlineLevel="0" collapsed="false">
      <c r="A27" s="11" t="s">
        <v>709</v>
      </c>
      <c r="B27" s="11" t="s">
        <v>710</v>
      </c>
      <c r="C27" s="31" t="n">
        <f aca="false">COUNTA('Loss Rating Orders'!$A$7:$A$30)</f>
        <v>24</v>
      </c>
      <c r="D27" s="31" t="n">
        <v>24</v>
      </c>
      <c r="E27" s="31" t="n">
        <v>0</v>
      </c>
      <c r="F27" s="15" t="str">
        <f aca="false">IF(ABS(C27-D27)&lt;=E27,"PASS","FAIL")</f>
        <v>PASS</v>
      </c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5" hidden="false" customHeight="false" outlineLevel="0" collapsed="false">
      <c r="A28" s="11" t="s">
        <v>711</v>
      </c>
      <c r="B28" s="11" t="s">
        <v>712</v>
      </c>
      <c r="C28" s="31" t="n">
        <f aca="false">COUNTIF('Loss Rating Orders'!$M$7:$M$30,"UPRATE")</f>
        <v>21</v>
      </c>
      <c r="D28" s="31" t="n">
        <v>21</v>
      </c>
      <c r="E28" s="31" t="n">
        <v>0</v>
      </c>
      <c r="F28" s="15" t="str">
        <f aca="false">IF(ABS(C28-D28)&lt;=E28,"PASS","FAIL")</f>
        <v>PASS</v>
      </c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5" hidden="false" customHeight="false" outlineLevel="0" collapsed="false">
      <c r="A29" s="11" t="s">
        <v>713</v>
      </c>
      <c r="B29" s="11" t="s">
        <v>714</v>
      </c>
      <c r="C29" s="31" t="n">
        <f aca="false">COUNTIF('Loss Rating Orders'!$M$7:$M$30,"RETAIN")</f>
        <v>3</v>
      </c>
      <c r="D29" s="31" t="n">
        <v>3</v>
      </c>
      <c r="E29" s="31" t="n">
        <v>0</v>
      </c>
      <c r="F29" s="15" t="str">
        <f aca="false">IF(ABS(C29-D29)&lt;=E29,"PASS","FAIL")</f>
        <v>PASS</v>
      </c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5" hidden="false" customHeight="false" outlineLevel="0" collapsed="false">
      <c r="A30" s="11" t="s">
        <v>715</v>
      </c>
      <c r="B30" s="11" t="s">
        <v>716</v>
      </c>
      <c r="C30" s="31" t="n">
        <f aca="false">Inputs!$B$10</f>
        <v>1.05128205128205</v>
      </c>
      <c r="D30" s="31" t="n">
        <v>1.05128205128205</v>
      </c>
      <c r="E30" s="31" t="n">
        <v>1E-007</v>
      </c>
      <c r="F30" s="15" t="str">
        <f aca="false">IF(ABS(C30-D30)&lt;=E30,"PASS","FAIL")</f>
        <v>PASS</v>
      </c>
      <c r="G30" s="2"/>
      <c r="H30" s="2"/>
      <c r="I30" s="2"/>
      <c r="J30" s="2"/>
      <c r="K30" s="2"/>
      <c r="L30" s="2"/>
      <c r="M30" s="2"/>
      <c r="N30" s="2"/>
      <c r="O30" s="2"/>
    </row>
    <row r="31" customFormat="false" ht="15" hidden="false" customHeight="false" outlineLevel="0" collapsed="false">
      <c r="A31" s="11" t="s">
        <v>717</v>
      </c>
      <c r="B31" s="11" t="s">
        <v>718</v>
      </c>
      <c r="C31" s="31" t="n">
        <f aca="false">COUNTA('Form Results'!$A$7:$A$12)</f>
        <v>6</v>
      </c>
      <c r="D31" s="31" t="n">
        <v>6</v>
      </c>
      <c r="E31" s="31" t="n">
        <v>0</v>
      </c>
      <c r="F31" s="15" t="str">
        <f aca="false">IF(ABS(C31-D31)&lt;=E31,"PASS","FAIL")</f>
        <v>PASS</v>
      </c>
      <c r="G31" s="2"/>
      <c r="H31" s="2"/>
      <c r="I31" s="2"/>
      <c r="J31" s="2"/>
      <c r="K31" s="2"/>
      <c r="L31" s="2"/>
      <c r="M31" s="2"/>
      <c r="N31" s="2"/>
      <c r="O31" s="2"/>
    </row>
    <row r="32" customFormat="false" ht="15" hidden="false" customHeight="false" outlineLevel="0" collapsed="false">
      <c r="A32" s="11" t="s">
        <v>719</v>
      </c>
      <c r="B32" s="11" t="s">
        <v>720</v>
      </c>
      <c r="C32" s="31" t="n">
        <f aca="false">COUNTIF('Form Results'!$K$7:$K$12,"CLOSE")</f>
        <v>0</v>
      </c>
      <c r="D32" s="31" t="n">
        <v>0</v>
      </c>
      <c r="E32" s="31" t="n">
        <v>0</v>
      </c>
      <c r="F32" s="15" t="str">
        <f aca="false">IF(ABS(C32-D32)&lt;=E32,"PASS","FAIL")</f>
        <v>PASS</v>
      </c>
      <c r="G32" s="2"/>
      <c r="H32" s="2"/>
      <c r="I32" s="2"/>
      <c r="J32" s="2"/>
      <c r="K32" s="2"/>
      <c r="L32" s="2"/>
      <c r="M32" s="2"/>
      <c r="N32" s="2"/>
      <c r="O32" s="2"/>
    </row>
    <row r="33" customFormat="false" ht="15" hidden="false" customHeight="false" outlineLevel="0" collapsed="false">
      <c r="A33" s="11" t="s">
        <v>721</v>
      </c>
      <c r="B33" s="11" t="s">
        <v>722</v>
      </c>
      <c r="C33" s="31" t="n">
        <f aca="false">COUNTIF('Form Results'!$K$7:$K$12,"REDESIGN / HOLD")</f>
        <v>6</v>
      </c>
      <c r="D33" s="31" t="n">
        <v>6</v>
      </c>
      <c r="E33" s="31" t="n">
        <v>0</v>
      </c>
      <c r="F33" s="15" t="str">
        <f aca="false">IF(ABS(C33-D33)&lt;=E33,"PASS","FAIL")</f>
        <v>PASS</v>
      </c>
      <c r="G33" s="2"/>
      <c r="H33" s="2"/>
      <c r="I33" s="2"/>
      <c r="J33" s="2"/>
      <c r="K33" s="2"/>
      <c r="L33" s="2"/>
      <c r="M33" s="2"/>
      <c r="N33" s="2"/>
      <c r="O33" s="2"/>
    </row>
    <row r="34" customFormat="false" ht="15" hidden="false" customHeight="false" outlineLevel="0" collapsed="false">
      <c r="A34" s="11" t="s">
        <v>723</v>
      </c>
      <c r="B34" s="11" t="s">
        <v>724</v>
      </c>
      <c r="C34" s="31" t="n">
        <f aca="false">COUNTA(Sensitivity!$A$7:$A$48)</f>
        <v>42</v>
      </c>
      <c r="D34" s="31" t="n">
        <v>42</v>
      </c>
      <c r="E34" s="31" t="n">
        <v>0</v>
      </c>
      <c r="F34" s="15" t="str">
        <f aca="false">IF(ABS(C34-D34)&lt;=E34,"PASS","FAIL")</f>
        <v>PASS</v>
      </c>
      <c r="G34" s="2"/>
      <c r="H34" s="2"/>
      <c r="I34" s="2"/>
      <c r="J34" s="2"/>
      <c r="K34" s="2"/>
      <c r="L34" s="2"/>
      <c r="M34" s="2"/>
      <c r="N34" s="2"/>
      <c r="O34" s="2"/>
    </row>
    <row r="35" customFormat="false" ht="15" hidden="false" customHeight="false" outlineLevel="0" collapsed="false">
      <c r="A35" s="11" t="s">
        <v>725</v>
      </c>
      <c r="B35" s="11" t="s">
        <v>726</v>
      </c>
      <c r="C35" s="31" t="n">
        <f aca="false">COUNTIFS(Sensitivity!$A$7:$A$48,"1.25%",Sensitivity!$F$7:$F$48,"CLOSE")</f>
        <v>6</v>
      </c>
      <c r="D35" s="31" t="n">
        <v>6</v>
      </c>
      <c r="E35" s="31" t="n">
        <v>0</v>
      </c>
      <c r="F35" s="15" t="str">
        <f aca="false">IF(ABS(C35-D35)&lt;=E35,"PASS","FAIL")</f>
        <v>PASS</v>
      </c>
      <c r="G35" s="2"/>
      <c r="H35" s="2"/>
      <c r="I35" s="2"/>
      <c r="J35" s="2"/>
      <c r="K35" s="2"/>
      <c r="L35" s="2"/>
      <c r="M35" s="2"/>
      <c r="N35" s="2"/>
      <c r="O35" s="2"/>
    </row>
    <row r="36" customFormat="false" ht="15" hidden="false" customHeight="false" outlineLevel="0" collapsed="false">
      <c r="A36" s="11" t="s">
        <v>727</v>
      </c>
      <c r="B36" s="11" t="s">
        <v>728</v>
      </c>
      <c r="C36" s="31" t="n">
        <f aca="false">COUNTIFS(Sensitivity!$A$7:$A$48,"1.50%",Sensitivity!$F$7:$F$48,"CLOSE")</f>
        <v>0</v>
      </c>
      <c r="D36" s="31" t="n">
        <v>0</v>
      </c>
      <c r="E36" s="31" t="n">
        <v>0</v>
      </c>
      <c r="F36" s="15" t="str">
        <f aca="false">IF(ABS(C36-D36)&lt;=E36,"PASS","FAIL")</f>
        <v>PASS</v>
      </c>
      <c r="G36" s="2"/>
      <c r="H36" s="2"/>
      <c r="I36" s="2"/>
      <c r="J36" s="2"/>
      <c r="K36" s="2"/>
      <c r="L36" s="2"/>
      <c r="M36" s="2"/>
      <c r="N36" s="2"/>
      <c r="O36" s="2"/>
    </row>
    <row r="37" customFormat="false" ht="15" hidden="false" customHeight="false" outlineLevel="0" collapsed="false">
      <c r="A37" s="11" t="s">
        <v>729</v>
      </c>
      <c r="B37" s="11" t="s">
        <v>730</v>
      </c>
      <c r="C37" s="31" t="n">
        <f aca="false">COUNTIFS(Sensitivity!$A$7:$A$48,"Selected 2.50%",Sensitivity!$F$7:$F$48,"CLOSE")</f>
        <v>0</v>
      </c>
      <c r="D37" s="31" t="n">
        <v>0</v>
      </c>
      <c r="E37" s="31" t="n">
        <v>0</v>
      </c>
      <c r="F37" s="15" t="str">
        <f aca="false">IF(ABS(C37-D37)&lt;=E37,"PASS","FAIL")</f>
        <v>PASS</v>
      </c>
      <c r="G37" s="2"/>
      <c r="H37" s="2"/>
      <c r="I37" s="2"/>
      <c r="J37" s="2"/>
      <c r="K37" s="2"/>
      <c r="L37" s="2"/>
      <c r="M37" s="2"/>
      <c r="N37" s="2"/>
      <c r="O37" s="2"/>
    </row>
    <row r="38" customFormat="false" ht="15" hidden="false" customHeight="false" outlineLevel="0" collapsed="false">
      <c r="A38" s="11" t="s">
        <v>731</v>
      </c>
      <c r="B38" s="11" t="s">
        <v>732</v>
      </c>
      <c r="C38" s="31" t="n">
        <f aca="false">COUNTA('Thermal Experiments'!$A$7:$A$12)</f>
        <v>6</v>
      </c>
      <c r="D38" s="31" t="n">
        <v>6</v>
      </c>
      <c r="E38" s="31" t="n">
        <v>0</v>
      </c>
      <c r="F38" s="15" t="str">
        <f aca="false">IF(ABS(C38-D38)&lt;=E38,"PASS","FAIL")</f>
        <v>PASS</v>
      </c>
      <c r="G38" s="2"/>
      <c r="H38" s="2"/>
      <c r="I38" s="2"/>
      <c r="J38" s="2"/>
      <c r="K38" s="2"/>
      <c r="L38" s="2"/>
      <c r="M38" s="2"/>
      <c r="N38" s="2"/>
      <c r="O38" s="2"/>
    </row>
    <row r="39" customFormat="false" ht="15" hidden="false" customHeight="false" outlineLevel="0" collapsed="false">
      <c r="A39" s="11" t="s">
        <v>733</v>
      </c>
      <c r="B39" s="11" t="s">
        <v>734</v>
      </c>
      <c r="C39" s="31" t="n">
        <f aca="false">Finance!$H$13</f>
        <v>179.345640966028</v>
      </c>
      <c r="D39" s="31" t="n">
        <v>179.345640966028</v>
      </c>
      <c r="E39" s="31" t="n">
        <v>1E-006</v>
      </c>
      <c r="F39" s="15" t="str">
        <f aca="false">IF(ABS(C39-D39)&lt;=E39,"PASS","FAIL")</f>
        <v>PASS</v>
      </c>
      <c r="G39" s="2"/>
      <c r="H39" s="2"/>
      <c r="I39" s="2"/>
      <c r="J39" s="2"/>
      <c r="K39" s="2"/>
      <c r="L39" s="2"/>
      <c r="M39" s="2"/>
      <c r="N39" s="2"/>
      <c r="O39" s="2"/>
    </row>
    <row r="40" customFormat="false" ht="15" hidden="false" customHeight="false" outlineLevel="0" collapsed="false">
      <c r="A40" s="11" t="s">
        <v>735</v>
      </c>
      <c r="B40" s="11" t="s">
        <v>736</v>
      </c>
      <c r="C40" s="31" t="n">
        <f aca="false">Finance!$B$13</f>
        <v>179.345640966028</v>
      </c>
      <c r="D40" s="31" t="n">
        <v>179.345640966028</v>
      </c>
      <c r="E40" s="31" t="n">
        <v>1E-006</v>
      </c>
      <c r="F40" s="15" t="str">
        <f aca="false">IF(ABS(C40-D40)&lt;=E40,"PASS","FAIL")</f>
        <v>PASS</v>
      </c>
      <c r="G40" s="2"/>
      <c r="H40" s="2"/>
      <c r="I40" s="2"/>
      <c r="J40" s="2"/>
      <c r="K40" s="2"/>
      <c r="L40" s="2"/>
      <c r="M40" s="2"/>
      <c r="N40" s="2"/>
      <c r="O40" s="2"/>
    </row>
    <row r="41" customFormat="false" ht="15" hidden="false" customHeight="false" outlineLevel="0" collapsed="false">
      <c r="A41" s="11" t="s">
        <v>737</v>
      </c>
      <c r="B41" s="11" t="s">
        <v>738</v>
      </c>
      <c r="C41" s="31" t="n">
        <f aca="false">Inputs!$B$29+Inputs!$B$30</f>
        <v>538.036922898085</v>
      </c>
      <c r="D41" s="31" t="n">
        <v>538.036922898085</v>
      </c>
      <c r="E41" s="31" t="n">
        <v>1E-006</v>
      </c>
      <c r="F41" s="15" t="str">
        <f aca="false">IF(ABS(C41-D41)&lt;=E41,"PASS","FAIL")</f>
        <v>PASS</v>
      </c>
      <c r="G41" s="2"/>
      <c r="H41" s="2"/>
      <c r="I41" s="2"/>
      <c r="J41" s="2"/>
      <c r="K41" s="2"/>
      <c r="L41" s="2"/>
      <c r="M41" s="2"/>
      <c r="N41" s="2"/>
      <c r="O41" s="2"/>
    </row>
    <row r="42" customFormat="false" ht="15" hidden="false" customHeight="false" outlineLevel="0" collapsed="false">
      <c r="A42" s="11" t="s">
        <v>739</v>
      </c>
      <c r="B42" s="11" t="s">
        <v>740</v>
      </c>
      <c r="C42" s="31" t="n">
        <f aca="false">SUM(Inputs!$B$16:$B$25)</f>
        <v>0</v>
      </c>
      <c r="D42" s="31" t="n">
        <v>0</v>
      </c>
      <c r="E42" s="31" t="n">
        <v>0</v>
      </c>
      <c r="F42" s="15" t="str">
        <f aca="false">IF(ABS(C42-D42)&lt;=E42,"PASS","FAIL")</f>
        <v>PASS</v>
      </c>
      <c r="G42" s="2"/>
      <c r="H42" s="2"/>
      <c r="I42" s="2"/>
      <c r="J42" s="2"/>
      <c r="K42" s="2"/>
      <c r="L42" s="2"/>
      <c r="M42" s="2"/>
      <c r="N42" s="2"/>
      <c r="O42" s="2"/>
    </row>
    <row r="43" customFormat="false" ht="15" hidden="false" customHeight="false" outlineLevel="0" collapsed="false">
      <c r="A43" s="11" t="s">
        <v>741</v>
      </c>
      <c r="B43" s="11" t="s">
        <v>742</v>
      </c>
      <c r="C43" s="31" t="n">
        <f aca="false">Inputs!$B$25</f>
        <v>0</v>
      </c>
      <c r="D43" s="31" t="n">
        <v>0</v>
      </c>
      <c r="E43" s="31" t="n">
        <v>0</v>
      </c>
      <c r="F43" s="15" t="str">
        <f aca="false">IF(ABS(C43-D43)&lt;=E43,"PASS","FAIL")</f>
        <v>PASS</v>
      </c>
      <c r="G43" s="2"/>
      <c r="H43" s="2"/>
      <c r="I43" s="2"/>
      <c r="J43" s="2"/>
      <c r="K43" s="2"/>
      <c r="L43" s="2"/>
      <c r="M43" s="2"/>
      <c r="N43" s="2"/>
      <c r="O43" s="2"/>
    </row>
    <row r="44" customFormat="false" ht="15" hidden="false" customHeight="false" outlineLevel="0" collapsed="false">
      <c r="A44" s="11" t="s">
        <v>743</v>
      </c>
      <c r="B44" s="11" t="s">
        <v>744</v>
      </c>
      <c r="C44" s="31" t="n">
        <f aca="false">COUNTA(Mutations!$A$7:$A$28)</f>
        <v>22</v>
      </c>
      <c r="D44" s="31" t="n">
        <v>22</v>
      </c>
      <c r="E44" s="31" t="n">
        <v>0</v>
      </c>
      <c r="F44" s="15" t="str">
        <f aca="false">IF(ABS(C44-D44)&lt;=E44,"PASS","FAIL")</f>
        <v>PASS</v>
      </c>
      <c r="G44" s="2"/>
      <c r="H44" s="2"/>
      <c r="I44" s="2"/>
      <c r="J44" s="2"/>
      <c r="K44" s="2"/>
      <c r="L44" s="2"/>
      <c r="M44" s="2"/>
      <c r="N44" s="2"/>
      <c r="O44" s="2"/>
    </row>
    <row r="45" customFormat="false" ht="15" hidden="false" customHeight="false" outlineLevel="0" collapsed="false">
      <c r="A45" s="11" t="s">
        <v>745</v>
      </c>
      <c r="B45" s="11" t="s">
        <v>746</v>
      </c>
      <c r="C45" s="31" t="n">
        <f aca="false">SUM(Mutations!$E$7:$E$28)</f>
        <v>22</v>
      </c>
      <c r="D45" s="31" t="n">
        <v>22</v>
      </c>
      <c r="E45" s="31" t="n">
        <v>0</v>
      </c>
      <c r="F45" s="15" t="str">
        <f aca="false">IF(ABS(C45-D45)&lt;=E45,"PASS","FAIL")</f>
        <v>PASS</v>
      </c>
      <c r="G45" s="2"/>
      <c r="H45" s="2"/>
      <c r="I45" s="2"/>
      <c r="J45" s="2"/>
      <c r="K45" s="2"/>
      <c r="L45" s="2"/>
      <c r="M45" s="2"/>
      <c r="N45" s="2"/>
      <c r="O45" s="2"/>
    </row>
    <row r="46" customFormat="false" ht="15" hidden="false" customHeight="false" outlineLevel="0" collapsed="false">
      <c r="A46" s="11" t="s">
        <v>747</v>
      </c>
      <c r="B46" s="11" t="s">
        <v>748</v>
      </c>
      <c r="C46" s="31" t="n">
        <f aca="false">SUM(Mutations!$F$7:$F$28)</f>
        <v>22</v>
      </c>
      <c r="D46" s="31" t="n">
        <v>22</v>
      </c>
      <c r="E46" s="31" t="n">
        <v>0</v>
      </c>
      <c r="F46" s="15" t="str">
        <f aca="false">IF(ABS(C46-D46)&lt;=E46,"PASS","FAIL")</f>
        <v>PASS</v>
      </c>
      <c r="G46" s="2"/>
      <c r="H46" s="2"/>
      <c r="I46" s="2"/>
      <c r="J46" s="2"/>
      <c r="K46" s="2"/>
      <c r="L46" s="2"/>
      <c r="M46" s="2"/>
      <c r="N46" s="2"/>
      <c r="O46" s="2"/>
    </row>
    <row r="47" customFormat="false" ht="15" hidden="false" customHeight="false" outlineLevel="0" collapsed="false">
      <c r="A47" s="11" t="s">
        <v>749</v>
      </c>
      <c r="B47" s="11" t="s">
        <v>750</v>
      </c>
      <c r="C47" s="31" t="n">
        <f aca="false">SUM(Mutations!$G$7:$G$28)</f>
        <v>22</v>
      </c>
      <c r="D47" s="31" t="n">
        <v>22</v>
      </c>
      <c r="E47" s="31" t="n">
        <v>0</v>
      </c>
      <c r="F47" s="15" t="str">
        <f aca="false">IF(ABS(C47-D47)&lt;=E47,"PASS","FAIL")</f>
        <v>PASS</v>
      </c>
      <c r="G47" s="2"/>
      <c r="H47" s="2"/>
      <c r="I47" s="2"/>
      <c r="J47" s="2"/>
      <c r="K47" s="2"/>
      <c r="L47" s="2"/>
      <c r="M47" s="2"/>
      <c r="N47" s="2"/>
      <c r="O47" s="2"/>
    </row>
    <row r="48" customFormat="false" ht="15" hidden="false" customHeight="false" outlineLevel="0" collapsed="false">
      <c r="A48" s="11" t="s">
        <v>751</v>
      </c>
      <c r="B48" s="11" t="s">
        <v>752</v>
      </c>
      <c r="C48" s="31" t="n">
        <f aca="false">Inputs!$B$7</f>
        <v>0.025</v>
      </c>
      <c r="D48" s="31" t="n">
        <v>0.025</v>
      </c>
      <c r="E48" s="31" t="n">
        <v>1E-007</v>
      </c>
      <c r="F48" s="15" t="str">
        <f aca="false">IF(ABS(C48-D48)&lt;=E48,"PASS","FAIL")</f>
        <v>PASS</v>
      </c>
      <c r="G48" s="2"/>
      <c r="H48" s="2"/>
      <c r="I48" s="2"/>
      <c r="J48" s="2"/>
      <c r="K48" s="2"/>
      <c r="L48" s="2"/>
      <c r="M48" s="2"/>
      <c r="N48" s="2"/>
      <c r="O48" s="2"/>
    </row>
    <row r="49" customFormat="false" ht="15" hidden="false" customHeight="false" outlineLevel="0" collapsed="false">
      <c r="A49" s="11" t="s">
        <v>753</v>
      </c>
      <c r="B49" s="11" t="s">
        <v>754</v>
      </c>
      <c r="C49" s="31" t="n">
        <f aca="false">Inputs!$B$8</f>
        <v>0.025</v>
      </c>
      <c r="D49" s="31" t="n">
        <v>0.025</v>
      </c>
      <c r="E49" s="31" t="n">
        <v>1E-007</v>
      </c>
      <c r="F49" s="15" t="str">
        <f aca="false">IF(ABS(C49-D49)&lt;=E49,"PASS","FAIL")</f>
        <v>PASS</v>
      </c>
      <c r="G49" s="2"/>
      <c r="H49" s="2"/>
      <c r="I49" s="2"/>
      <c r="J49" s="2"/>
      <c r="K49" s="2"/>
      <c r="L49" s="2"/>
      <c r="M49" s="2"/>
      <c r="N49" s="2"/>
      <c r="O49" s="2"/>
    </row>
    <row r="50" customFormat="false" ht="15" hidden="false" customHeight="false" outlineLevel="0" collapsed="false">
      <c r="A50" s="11" t="s">
        <v>755</v>
      </c>
      <c r="B50" s="11" t="s">
        <v>756</v>
      </c>
      <c r="C50" s="31" t="n">
        <f aca="false">Inputs!$B$9</f>
        <v>1</v>
      </c>
      <c r="D50" s="31" t="n">
        <v>1</v>
      </c>
      <c r="E50" s="31" t="n">
        <v>1E-007</v>
      </c>
      <c r="F50" s="15" t="str">
        <f aca="false">IF(ABS(C50-D50)&lt;=E50,"PASS","FAIL")</f>
        <v>PASS</v>
      </c>
      <c r="G50" s="2"/>
      <c r="H50" s="2"/>
      <c r="I50" s="2"/>
      <c r="J50" s="2"/>
      <c r="K50" s="2"/>
      <c r="L50" s="2"/>
      <c r="M50" s="2"/>
      <c r="N50" s="2"/>
      <c r="O50" s="2"/>
    </row>
    <row r="51" customFormat="false" ht="15" hidden="false" customHeight="false" outlineLevel="0" collapsed="false">
      <c r="A51" s="11" t="s">
        <v>757</v>
      </c>
      <c r="B51" s="11" t="s">
        <v>758</v>
      </c>
      <c r="C51" s="31" t="n">
        <f aca="false">COUNT('Coefficient Register'!$F$7:$G$42)</f>
        <v>0</v>
      </c>
      <c r="D51" s="31" t="n">
        <v>0</v>
      </c>
      <c r="E51" s="31" t="n">
        <v>0</v>
      </c>
      <c r="F51" s="15" t="str">
        <f aca="false">IF(ABS(C51-D51)&lt;=E51,"PASS","FAIL")</f>
        <v>PASS</v>
      </c>
      <c r="G51" s="2"/>
      <c r="H51" s="2"/>
      <c r="I51" s="2"/>
      <c r="J51" s="2"/>
      <c r="K51" s="2"/>
      <c r="L51" s="2"/>
      <c r="M51" s="2"/>
      <c r="N51" s="2"/>
      <c r="O51" s="2"/>
    </row>
    <row r="52" customFormat="false" ht="15" hidden="false" customHeight="false" outlineLevel="0" collapsed="false">
      <c r="A52" s="11" t="s">
        <v>759</v>
      </c>
      <c r="B52" s="11" t="s">
        <v>760</v>
      </c>
      <c r="C52" s="31" t="n">
        <f aca="false">COUNTIF('Closure Cells'!$B$7:$B$126,"ET-A-A")</f>
        <v>20</v>
      </c>
      <c r="D52" s="31" t="n">
        <v>20</v>
      </c>
      <c r="E52" s="31" t="n">
        <v>0</v>
      </c>
      <c r="F52" s="15" t="str">
        <f aca="false">IF(ABS(C52-D52)&lt;=E52,"PASS","FAIL")</f>
        <v>PASS</v>
      </c>
      <c r="G52" s="2"/>
      <c r="H52" s="2"/>
      <c r="I52" s="2"/>
      <c r="J52" s="2"/>
      <c r="K52" s="2"/>
      <c r="L52" s="2"/>
      <c r="M52" s="2"/>
      <c r="N52" s="2"/>
      <c r="O52" s="2"/>
    </row>
    <row r="53" customFormat="false" ht="15" hidden="false" customHeight="false" outlineLevel="0" collapsed="false">
      <c r="A53" s="11" t="s">
        <v>761</v>
      </c>
      <c r="B53" s="11" t="s">
        <v>762</v>
      </c>
      <c r="C53" s="31" t="n">
        <f aca="false">COUNTIFS('Closure Cells'!$B$7:$B$126,"ET-A-A",'Closure Cells'!$N$7:$N$126,"BOUNDED")</f>
        <v>8</v>
      </c>
      <c r="D53" s="31" t="n">
        <v>8</v>
      </c>
      <c r="E53" s="31" t="n">
        <v>0</v>
      </c>
      <c r="F53" s="15" t="str">
        <f aca="false">IF(ABS(C53-D53)&lt;=E53,"PASS","FAIL")</f>
        <v>PASS</v>
      </c>
      <c r="G53" s="2"/>
      <c r="H53" s="2"/>
      <c r="I53" s="2"/>
      <c r="J53" s="2"/>
      <c r="K53" s="2"/>
      <c r="L53" s="2"/>
      <c r="M53" s="2"/>
      <c r="N53" s="2"/>
      <c r="O53" s="2"/>
    </row>
    <row r="54" customFormat="false" ht="15" hidden="false" customHeight="false" outlineLevel="0" collapsed="false">
      <c r="A54" s="11" t="s">
        <v>763</v>
      </c>
      <c r="B54" s="11" t="s">
        <v>764</v>
      </c>
      <c r="C54" s="31" t="n">
        <f aca="false">COUNTIFS('Closure Cells'!$B$7:$B$126,"ET-A-A",'Closure Cells'!$O$7:$O$126,"HOLD")</f>
        <v>12</v>
      </c>
      <c r="D54" s="31" t="n">
        <v>12</v>
      </c>
      <c r="E54" s="31" t="n">
        <v>0</v>
      </c>
      <c r="F54" s="15" t="str">
        <f aca="false">IF(ABS(C54-D54)&lt;=E54,"PASS","FAIL")</f>
        <v>PASS</v>
      </c>
      <c r="G54" s="2"/>
      <c r="H54" s="2"/>
      <c r="I54" s="2"/>
      <c r="J54" s="2"/>
      <c r="K54" s="2"/>
      <c r="L54" s="2"/>
      <c r="M54" s="2"/>
      <c r="N54" s="2"/>
      <c r="O54" s="2"/>
    </row>
    <row r="55" customFormat="false" ht="15" hidden="false" customHeight="false" outlineLevel="0" collapsed="false">
      <c r="A55" s="11" t="s">
        <v>765</v>
      </c>
      <c r="B55" s="11" t="s">
        <v>766</v>
      </c>
      <c r="C55" s="31" t="n">
        <f aca="false">'Form Results'!G7</f>
        <v>1</v>
      </c>
      <c r="D55" s="31" t="n">
        <v>1</v>
      </c>
      <c r="E55" s="31" t="n">
        <v>0</v>
      </c>
      <c r="F55" s="15" t="str">
        <f aca="false">IF(ABS(C55-D55)&lt;=E55,"PASS","FAIL")</f>
        <v>PASS</v>
      </c>
      <c r="G55" s="2"/>
      <c r="H55" s="2"/>
      <c r="I55" s="2"/>
      <c r="J55" s="2"/>
      <c r="K55" s="2"/>
      <c r="L55" s="2"/>
      <c r="M55" s="2"/>
      <c r="N55" s="2"/>
      <c r="O55" s="2"/>
    </row>
    <row r="56" customFormat="false" ht="15" hidden="false" customHeight="false" outlineLevel="0" collapsed="false">
      <c r="A56" s="11" t="s">
        <v>767</v>
      </c>
      <c r="B56" s="11" t="s">
        <v>768</v>
      </c>
      <c r="C56" s="31" t="n">
        <f aca="false">'Form Results'!H7</f>
        <v>3</v>
      </c>
      <c r="D56" s="31" t="n">
        <v>3</v>
      </c>
      <c r="E56" s="31" t="n">
        <v>0</v>
      </c>
      <c r="F56" s="15" t="str">
        <f aca="false">IF(ABS(C56-D56)&lt;=E56,"PASS","FAIL")</f>
        <v>PASS</v>
      </c>
      <c r="G56" s="2"/>
      <c r="H56" s="2"/>
      <c r="I56" s="2"/>
      <c r="J56" s="2"/>
      <c r="K56" s="2"/>
      <c r="L56" s="2"/>
      <c r="M56" s="2"/>
      <c r="N56" s="2"/>
      <c r="O56" s="2"/>
    </row>
    <row r="57" customFormat="false" ht="15" hidden="false" customHeight="false" outlineLevel="0" collapsed="false">
      <c r="A57" s="11" t="s">
        <v>769</v>
      </c>
      <c r="B57" s="11" t="s">
        <v>770</v>
      </c>
      <c r="C57" s="31" t="n">
        <f aca="false">'Form Results'!J7</f>
        <v>6</v>
      </c>
      <c r="D57" s="31" t="n">
        <v>6</v>
      </c>
      <c r="E57" s="31" t="n">
        <v>0</v>
      </c>
      <c r="F57" s="15" t="str">
        <f aca="false">IF(ABS(C57-D57)&lt;=E57,"PASS","FAIL")</f>
        <v>PASS</v>
      </c>
      <c r="G57" s="2"/>
      <c r="H57" s="2"/>
      <c r="I57" s="2"/>
      <c r="J57" s="2"/>
      <c r="K57" s="2"/>
      <c r="L57" s="2"/>
      <c r="M57" s="2"/>
      <c r="N57" s="2"/>
      <c r="O57" s="2"/>
    </row>
    <row r="58" customFormat="false" ht="15" hidden="false" customHeight="false" outlineLevel="0" collapsed="false">
      <c r="A58" s="11" t="s">
        <v>771</v>
      </c>
      <c r="B58" s="11" t="s">
        <v>772</v>
      </c>
      <c r="C58" s="31" t="n">
        <f aca="false">IF('Form Results'!E7&lt;Inputs!$B$7,1,0)</f>
        <v>1</v>
      </c>
      <c r="D58" s="31" t="n">
        <v>1</v>
      </c>
      <c r="E58" s="31" t="n">
        <v>0</v>
      </c>
      <c r="F58" s="15" t="str">
        <f aca="false">IF(ABS(C58-D58)&lt;=E58,"PASS","FAIL")</f>
        <v>PASS</v>
      </c>
      <c r="G58" s="2"/>
      <c r="H58" s="2"/>
      <c r="I58" s="2"/>
      <c r="J58" s="2"/>
      <c r="K58" s="2"/>
      <c r="L58" s="2"/>
      <c r="M58" s="2"/>
      <c r="N58" s="2"/>
      <c r="O58" s="2"/>
    </row>
    <row r="59" customFormat="false" ht="15" hidden="false" customHeight="false" outlineLevel="0" collapsed="false">
      <c r="A59" s="11" t="s">
        <v>773</v>
      </c>
      <c r="B59" s="11" t="s">
        <v>774</v>
      </c>
      <c r="C59" s="31" t="n">
        <f aca="false">COUNTIF('Closure Cells'!$B$7:$B$126,"CT-C-B")</f>
        <v>20</v>
      </c>
      <c r="D59" s="31" t="n">
        <v>20</v>
      </c>
      <c r="E59" s="31" t="n">
        <v>0</v>
      </c>
      <c r="F59" s="15" t="str">
        <f aca="false">IF(ABS(C59-D59)&lt;=E59,"PASS","FAIL")</f>
        <v>PASS</v>
      </c>
      <c r="G59" s="2"/>
      <c r="H59" s="2"/>
      <c r="I59" s="2"/>
      <c r="J59" s="2"/>
      <c r="K59" s="2"/>
      <c r="L59" s="2"/>
      <c r="M59" s="2"/>
      <c r="N59" s="2"/>
      <c r="O59" s="2"/>
    </row>
    <row r="60" customFormat="false" ht="15" hidden="false" customHeight="false" outlineLevel="0" collapsed="false">
      <c r="A60" s="11" t="s">
        <v>775</v>
      </c>
      <c r="B60" s="11" t="s">
        <v>776</v>
      </c>
      <c r="C60" s="31" t="n">
        <f aca="false">COUNTIFS('Closure Cells'!$B$7:$B$126,"CT-C-B",'Closure Cells'!$N$7:$N$126,"BOUNDED")</f>
        <v>8</v>
      </c>
      <c r="D60" s="31" t="n">
        <v>8</v>
      </c>
      <c r="E60" s="31" t="n">
        <v>0</v>
      </c>
      <c r="F60" s="15" t="str">
        <f aca="false">IF(ABS(C60-D60)&lt;=E60,"PASS","FAIL")</f>
        <v>PASS</v>
      </c>
      <c r="G60" s="2"/>
      <c r="H60" s="2"/>
      <c r="I60" s="2"/>
      <c r="J60" s="2"/>
      <c r="K60" s="2"/>
      <c r="L60" s="2"/>
      <c r="M60" s="2"/>
      <c r="N60" s="2"/>
      <c r="O60" s="2"/>
    </row>
    <row r="61" customFormat="false" ht="15" hidden="false" customHeight="false" outlineLevel="0" collapsed="false">
      <c r="A61" s="11" t="s">
        <v>777</v>
      </c>
      <c r="B61" s="11" t="s">
        <v>778</v>
      </c>
      <c r="C61" s="31" t="n">
        <f aca="false">COUNTIFS('Closure Cells'!$B$7:$B$126,"CT-C-B",'Closure Cells'!$O$7:$O$126,"HOLD")</f>
        <v>12</v>
      </c>
      <c r="D61" s="31" t="n">
        <v>12</v>
      </c>
      <c r="E61" s="31" t="n">
        <v>0</v>
      </c>
      <c r="F61" s="15" t="str">
        <f aca="false">IF(ABS(C61-D61)&lt;=E61,"PASS","FAIL")</f>
        <v>PASS</v>
      </c>
      <c r="G61" s="2"/>
      <c r="H61" s="2"/>
      <c r="I61" s="2"/>
      <c r="J61" s="2"/>
      <c r="K61" s="2"/>
      <c r="L61" s="2"/>
      <c r="M61" s="2"/>
      <c r="N61" s="2"/>
      <c r="O61" s="2"/>
    </row>
    <row r="62" customFormat="false" ht="15" hidden="false" customHeight="false" outlineLevel="0" collapsed="false">
      <c r="A62" s="11" t="s">
        <v>779</v>
      </c>
      <c r="B62" s="11" t="s">
        <v>780</v>
      </c>
      <c r="C62" s="31" t="n">
        <f aca="false">'Form Results'!G8</f>
        <v>1</v>
      </c>
      <c r="D62" s="31" t="n">
        <v>1</v>
      </c>
      <c r="E62" s="31" t="n">
        <v>0</v>
      </c>
      <c r="F62" s="15" t="str">
        <f aca="false">IF(ABS(C62-D62)&lt;=E62,"PASS","FAIL")</f>
        <v>PASS</v>
      </c>
      <c r="G62" s="2"/>
      <c r="H62" s="2"/>
      <c r="I62" s="2"/>
      <c r="J62" s="2"/>
      <c r="K62" s="2"/>
      <c r="L62" s="2"/>
      <c r="M62" s="2"/>
      <c r="N62" s="2"/>
      <c r="O62" s="2"/>
    </row>
    <row r="63" customFormat="false" ht="15" hidden="false" customHeight="false" outlineLevel="0" collapsed="false">
      <c r="A63" s="11" t="s">
        <v>781</v>
      </c>
      <c r="B63" s="11" t="s">
        <v>782</v>
      </c>
      <c r="C63" s="31" t="n">
        <f aca="false">'Form Results'!H8</f>
        <v>3</v>
      </c>
      <c r="D63" s="31" t="n">
        <v>3</v>
      </c>
      <c r="E63" s="31" t="n">
        <v>0</v>
      </c>
      <c r="F63" s="15" t="str">
        <f aca="false">IF(ABS(C63-D63)&lt;=E63,"PASS","FAIL")</f>
        <v>PASS</v>
      </c>
      <c r="G63" s="2"/>
      <c r="H63" s="2"/>
      <c r="I63" s="2"/>
      <c r="J63" s="2"/>
      <c r="K63" s="2"/>
      <c r="L63" s="2"/>
      <c r="M63" s="2"/>
      <c r="N63" s="2"/>
      <c r="O63" s="2"/>
    </row>
    <row r="64" customFormat="false" ht="15" hidden="false" customHeight="false" outlineLevel="0" collapsed="false">
      <c r="A64" s="11" t="s">
        <v>783</v>
      </c>
      <c r="B64" s="11" t="s">
        <v>784</v>
      </c>
      <c r="C64" s="31" t="n">
        <f aca="false">'Form Results'!J8</f>
        <v>6</v>
      </c>
      <c r="D64" s="31" t="n">
        <v>6</v>
      </c>
      <c r="E64" s="31" t="n">
        <v>0</v>
      </c>
      <c r="F64" s="15" t="str">
        <f aca="false">IF(ABS(C64-D64)&lt;=E64,"PASS","FAIL")</f>
        <v>PASS</v>
      </c>
      <c r="G64" s="2"/>
      <c r="H64" s="2"/>
      <c r="I64" s="2"/>
      <c r="J64" s="2"/>
      <c r="K64" s="2"/>
      <c r="L64" s="2"/>
      <c r="M64" s="2"/>
      <c r="N64" s="2"/>
      <c r="O64" s="2"/>
    </row>
    <row r="65" customFormat="false" ht="15" hidden="false" customHeight="false" outlineLevel="0" collapsed="false">
      <c r="A65" s="11" t="s">
        <v>785</v>
      </c>
      <c r="B65" s="11" t="s">
        <v>786</v>
      </c>
      <c r="C65" s="31" t="n">
        <f aca="false">IF('Form Results'!E8&lt;Inputs!$B$7,1,0)</f>
        <v>1</v>
      </c>
      <c r="D65" s="31" t="n">
        <v>1</v>
      </c>
      <c r="E65" s="31" t="n">
        <v>0</v>
      </c>
      <c r="F65" s="15" t="str">
        <f aca="false">IF(ABS(C65-D65)&lt;=E65,"PASS","FAIL")</f>
        <v>PASS</v>
      </c>
      <c r="G65" s="2"/>
      <c r="H65" s="2"/>
      <c r="I65" s="2"/>
      <c r="J65" s="2"/>
      <c r="K65" s="2"/>
      <c r="L65" s="2"/>
      <c r="M65" s="2"/>
      <c r="N65" s="2"/>
      <c r="O65" s="2"/>
    </row>
    <row r="66" customFormat="false" ht="15" hidden="false" customHeight="false" outlineLevel="0" collapsed="false">
      <c r="A66" s="11" t="s">
        <v>787</v>
      </c>
      <c r="B66" s="11" t="s">
        <v>788</v>
      </c>
      <c r="C66" s="31" t="n">
        <f aca="false">COUNTIF('Closure Cells'!$B$7:$B$126,"HC-A-C")</f>
        <v>20</v>
      </c>
      <c r="D66" s="31" t="n">
        <v>20</v>
      </c>
      <c r="E66" s="31" t="n">
        <v>0</v>
      </c>
      <c r="F66" s="15" t="str">
        <f aca="false">IF(ABS(C66-D66)&lt;=E66,"PASS","FAIL")</f>
        <v>PASS</v>
      </c>
      <c r="G66" s="2"/>
      <c r="H66" s="2"/>
      <c r="I66" s="2"/>
      <c r="J66" s="2"/>
      <c r="K66" s="2"/>
      <c r="L66" s="2"/>
      <c r="M66" s="2"/>
      <c r="N66" s="2"/>
      <c r="O66" s="2"/>
    </row>
    <row r="67" customFormat="false" ht="15" hidden="false" customHeight="false" outlineLevel="0" collapsed="false">
      <c r="A67" s="11" t="s">
        <v>789</v>
      </c>
      <c r="B67" s="11" t="s">
        <v>790</v>
      </c>
      <c r="C67" s="31" t="n">
        <f aca="false">COUNTIFS('Closure Cells'!$B$7:$B$126,"HC-A-C",'Closure Cells'!$N$7:$N$126,"BOUNDED")</f>
        <v>8</v>
      </c>
      <c r="D67" s="31" t="n">
        <v>8</v>
      </c>
      <c r="E67" s="31" t="n">
        <v>0</v>
      </c>
      <c r="F67" s="15" t="str">
        <f aca="false">IF(ABS(C67-D67)&lt;=E67,"PASS","FAIL")</f>
        <v>PASS</v>
      </c>
      <c r="G67" s="2"/>
      <c r="H67" s="2"/>
      <c r="I67" s="2"/>
      <c r="J67" s="2"/>
      <c r="K67" s="2"/>
      <c r="L67" s="2"/>
      <c r="M67" s="2"/>
      <c r="N67" s="2"/>
      <c r="O67" s="2"/>
    </row>
    <row r="68" customFormat="false" ht="15" hidden="false" customHeight="false" outlineLevel="0" collapsed="false">
      <c r="A68" s="11" t="s">
        <v>791</v>
      </c>
      <c r="B68" s="11" t="s">
        <v>792</v>
      </c>
      <c r="C68" s="31" t="n">
        <f aca="false">COUNTIFS('Closure Cells'!$B$7:$B$126,"HC-A-C",'Closure Cells'!$O$7:$O$126,"HOLD")</f>
        <v>12</v>
      </c>
      <c r="D68" s="31" t="n">
        <v>12</v>
      </c>
      <c r="E68" s="31" t="n">
        <v>0</v>
      </c>
      <c r="F68" s="15" t="str">
        <f aca="false">IF(ABS(C68-D68)&lt;=E68,"PASS","FAIL")</f>
        <v>PASS</v>
      </c>
      <c r="G68" s="2"/>
      <c r="H68" s="2"/>
      <c r="I68" s="2"/>
      <c r="J68" s="2"/>
      <c r="K68" s="2"/>
      <c r="L68" s="2"/>
      <c r="M68" s="2"/>
      <c r="N68" s="2"/>
      <c r="O68" s="2"/>
    </row>
    <row r="69" customFormat="false" ht="15" hidden="false" customHeight="false" outlineLevel="0" collapsed="false">
      <c r="A69" s="11" t="s">
        <v>793</v>
      </c>
      <c r="B69" s="11" t="s">
        <v>794</v>
      </c>
      <c r="C69" s="31" t="n">
        <f aca="false">'Form Results'!G9</f>
        <v>0</v>
      </c>
      <c r="D69" s="31" t="n">
        <v>0</v>
      </c>
      <c r="E69" s="31" t="n">
        <v>0</v>
      </c>
      <c r="F69" s="15" t="str">
        <f aca="false">IF(ABS(C69-D69)&lt;=E69,"PASS","FAIL")</f>
        <v>PASS</v>
      </c>
      <c r="G69" s="2"/>
      <c r="H69" s="2"/>
      <c r="I69" s="2"/>
      <c r="J69" s="2"/>
      <c r="K69" s="2"/>
      <c r="L69" s="2"/>
      <c r="M69" s="2"/>
      <c r="N69" s="2"/>
      <c r="O69" s="2"/>
    </row>
    <row r="70" customFormat="false" ht="15" hidden="false" customHeight="false" outlineLevel="0" collapsed="false">
      <c r="A70" s="11" t="s">
        <v>795</v>
      </c>
      <c r="B70" s="11" t="s">
        <v>796</v>
      </c>
      <c r="C70" s="31" t="n">
        <f aca="false">'Form Results'!H9</f>
        <v>4</v>
      </c>
      <c r="D70" s="31" t="n">
        <v>4</v>
      </c>
      <c r="E70" s="31" t="n">
        <v>0</v>
      </c>
      <c r="F70" s="15" t="str">
        <f aca="false">IF(ABS(C70-D70)&lt;=E70,"PASS","FAIL")</f>
        <v>PASS</v>
      </c>
      <c r="G70" s="2"/>
      <c r="H70" s="2"/>
      <c r="I70" s="2"/>
      <c r="J70" s="2"/>
      <c r="K70" s="2"/>
      <c r="L70" s="2"/>
      <c r="M70" s="2"/>
      <c r="N70" s="2"/>
      <c r="O70" s="2"/>
    </row>
    <row r="71" customFormat="false" ht="15" hidden="false" customHeight="false" outlineLevel="0" collapsed="false">
      <c r="A71" s="11" t="s">
        <v>797</v>
      </c>
      <c r="B71" s="11" t="s">
        <v>798</v>
      </c>
      <c r="C71" s="31" t="n">
        <f aca="false">'Form Results'!J9</f>
        <v>6</v>
      </c>
      <c r="D71" s="31" t="n">
        <v>6</v>
      </c>
      <c r="E71" s="31" t="n">
        <v>0</v>
      </c>
      <c r="F71" s="15" t="str">
        <f aca="false">IF(ABS(C71-D71)&lt;=E71,"PASS","FAIL")</f>
        <v>PASS</v>
      </c>
      <c r="G71" s="2"/>
      <c r="H71" s="2"/>
      <c r="I71" s="2"/>
      <c r="J71" s="2"/>
      <c r="K71" s="2"/>
      <c r="L71" s="2"/>
      <c r="M71" s="2"/>
      <c r="N71" s="2"/>
      <c r="O71" s="2"/>
    </row>
    <row r="72" customFormat="false" ht="15" hidden="false" customHeight="false" outlineLevel="0" collapsed="false">
      <c r="A72" s="11" t="s">
        <v>799</v>
      </c>
      <c r="B72" s="11" t="s">
        <v>800</v>
      </c>
      <c r="C72" s="31" t="n">
        <f aca="false">IF('Form Results'!E9&lt;Inputs!$B$7,1,0)</f>
        <v>1</v>
      </c>
      <c r="D72" s="31" t="n">
        <v>1</v>
      </c>
      <c r="E72" s="31" t="n">
        <v>0</v>
      </c>
      <c r="F72" s="15" t="str">
        <f aca="false">IF(ABS(C72-D72)&lt;=E72,"PASS","FAIL")</f>
        <v>PASS</v>
      </c>
      <c r="G72" s="2"/>
      <c r="H72" s="2"/>
      <c r="I72" s="2"/>
      <c r="J72" s="2"/>
      <c r="K72" s="2"/>
      <c r="L72" s="2"/>
      <c r="M72" s="2"/>
      <c r="N72" s="2"/>
      <c r="O72" s="2"/>
    </row>
    <row r="73" customFormat="false" ht="15" hidden="false" customHeight="false" outlineLevel="0" collapsed="false">
      <c r="A73" s="11" t="s">
        <v>801</v>
      </c>
      <c r="B73" s="11" t="s">
        <v>802</v>
      </c>
      <c r="C73" s="31" t="n">
        <f aca="false">COUNTIF('Closure Cells'!$B$7:$B$126,"LF-B-A")</f>
        <v>20</v>
      </c>
      <c r="D73" s="31" t="n">
        <v>20</v>
      </c>
      <c r="E73" s="31" t="n">
        <v>0</v>
      </c>
      <c r="F73" s="15" t="str">
        <f aca="false">IF(ABS(C73-D73)&lt;=E73,"PASS","FAIL")</f>
        <v>PASS</v>
      </c>
      <c r="G73" s="2"/>
      <c r="H73" s="2"/>
      <c r="I73" s="2"/>
      <c r="J73" s="2"/>
      <c r="K73" s="2"/>
      <c r="L73" s="2"/>
      <c r="M73" s="2"/>
      <c r="N73" s="2"/>
      <c r="O73" s="2"/>
    </row>
    <row r="74" customFormat="false" ht="15" hidden="false" customHeight="false" outlineLevel="0" collapsed="false">
      <c r="A74" s="11" t="s">
        <v>803</v>
      </c>
      <c r="B74" s="11" t="s">
        <v>804</v>
      </c>
      <c r="C74" s="31" t="n">
        <f aca="false">COUNTIFS('Closure Cells'!$B$7:$B$126,"LF-B-A",'Closure Cells'!$N$7:$N$126,"BOUNDED")</f>
        <v>8</v>
      </c>
      <c r="D74" s="31" t="n">
        <v>8</v>
      </c>
      <c r="E74" s="31" t="n">
        <v>0</v>
      </c>
      <c r="F74" s="15" t="str">
        <f aca="false">IF(ABS(C74-D74)&lt;=E74,"PASS","FAIL")</f>
        <v>PASS</v>
      </c>
      <c r="G74" s="2"/>
      <c r="H74" s="2"/>
      <c r="I74" s="2"/>
      <c r="J74" s="2"/>
      <c r="K74" s="2"/>
      <c r="L74" s="2"/>
      <c r="M74" s="2"/>
      <c r="N74" s="2"/>
      <c r="O74" s="2"/>
    </row>
    <row r="75" customFormat="false" ht="15" hidden="false" customHeight="false" outlineLevel="0" collapsed="false">
      <c r="A75" s="11" t="s">
        <v>805</v>
      </c>
      <c r="B75" s="11" t="s">
        <v>806</v>
      </c>
      <c r="C75" s="31" t="n">
        <f aca="false">COUNTIFS('Closure Cells'!$B$7:$B$126,"LF-B-A",'Closure Cells'!$O$7:$O$126,"HOLD")</f>
        <v>12</v>
      </c>
      <c r="D75" s="31" t="n">
        <v>12</v>
      </c>
      <c r="E75" s="31" t="n">
        <v>0</v>
      </c>
      <c r="F75" s="15" t="str">
        <f aca="false">IF(ABS(C75-D75)&lt;=E75,"PASS","FAIL")</f>
        <v>PASS</v>
      </c>
      <c r="G75" s="2"/>
      <c r="H75" s="2"/>
      <c r="I75" s="2"/>
      <c r="J75" s="2"/>
      <c r="K75" s="2"/>
      <c r="L75" s="2"/>
      <c r="M75" s="2"/>
      <c r="N75" s="2"/>
      <c r="O75" s="2"/>
    </row>
    <row r="76" customFormat="false" ht="15" hidden="false" customHeight="false" outlineLevel="0" collapsed="false">
      <c r="A76" s="11" t="s">
        <v>807</v>
      </c>
      <c r="B76" s="11" t="s">
        <v>808</v>
      </c>
      <c r="C76" s="31" t="n">
        <f aca="false">'Form Results'!G10</f>
        <v>0</v>
      </c>
      <c r="D76" s="31" t="n">
        <v>0</v>
      </c>
      <c r="E76" s="31" t="n">
        <v>0</v>
      </c>
      <c r="F76" s="15" t="str">
        <f aca="false">IF(ABS(C76-D76)&lt;=E76,"PASS","FAIL")</f>
        <v>PASS</v>
      </c>
      <c r="G76" s="2"/>
      <c r="H76" s="2"/>
      <c r="I76" s="2"/>
      <c r="J76" s="2"/>
      <c r="K76" s="2"/>
      <c r="L76" s="2"/>
      <c r="M76" s="2"/>
      <c r="N76" s="2"/>
      <c r="O76" s="2"/>
    </row>
    <row r="77" customFormat="false" ht="15" hidden="false" customHeight="false" outlineLevel="0" collapsed="false">
      <c r="A77" s="11" t="s">
        <v>809</v>
      </c>
      <c r="B77" s="11" t="s">
        <v>810</v>
      </c>
      <c r="C77" s="31" t="n">
        <f aca="false">'Form Results'!H10</f>
        <v>4</v>
      </c>
      <c r="D77" s="31" t="n">
        <v>4</v>
      </c>
      <c r="E77" s="31" t="n">
        <v>0</v>
      </c>
      <c r="F77" s="15" t="str">
        <f aca="false">IF(ABS(C77-D77)&lt;=E77,"PASS","FAIL")</f>
        <v>PASS</v>
      </c>
      <c r="G77" s="2"/>
      <c r="H77" s="2"/>
      <c r="I77" s="2"/>
      <c r="J77" s="2"/>
      <c r="K77" s="2"/>
      <c r="L77" s="2"/>
      <c r="M77" s="2"/>
      <c r="N77" s="2"/>
      <c r="O77" s="2"/>
    </row>
    <row r="78" customFormat="false" ht="15" hidden="false" customHeight="false" outlineLevel="0" collapsed="false">
      <c r="A78" s="11" t="s">
        <v>811</v>
      </c>
      <c r="B78" s="11" t="s">
        <v>812</v>
      </c>
      <c r="C78" s="31" t="n">
        <f aca="false">'Form Results'!J10</f>
        <v>6</v>
      </c>
      <c r="D78" s="31" t="n">
        <v>6</v>
      </c>
      <c r="E78" s="31" t="n">
        <v>0</v>
      </c>
      <c r="F78" s="15" t="str">
        <f aca="false">IF(ABS(C78-D78)&lt;=E78,"PASS","FAIL")</f>
        <v>PASS</v>
      </c>
      <c r="G78" s="2"/>
      <c r="H78" s="2"/>
      <c r="I78" s="2"/>
      <c r="J78" s="2"/>
      <c r="K78" s="2"/>
      <c r="L78" s="2"/>
      <c r="M78" s="2"/>
      <c r="N78" s="2"/>
      <c r="O78" s="2"/>
    </row>
    <row r="79" customFormat="false" ht="15" hidden="false" customHeight="false" outlineLevel="0" collapsed="false">
      <c r="A79" s="11" t="s">
        <v>813</v>
      </c>
      <c r="B79" s="11" t="s">
        <v>814</v>
      </c>
      <c r="C79" s="31" t="n">
        <f aca="false">IF('Form Results'!E10&lt;Inputs!$B$7,1,0)</f>
        <v>1</v>
      </c>
      <c r="D79" s="31" t="n">
        <v>1</v>
      </c>
      <c r="E79" s="31" t="n">
        <v>0</v>
      </c>
      <c r="F79" s="15" t="str">
        <f aca="false">IF(ABS(C79-D79)&lt;=E79,"PASS","FAIL")</f>
        <v>PASS</v>
      </c>
      <c r="G79" s="2"/>
      <c r="H79" s="2"/>
      <c r="I79" s="2"/>
      <c r="J79" s="2"/>
      <c r="K79" s="2"/>
      <c r="L79" s="2"/>
      <c r="M79" s="2"/>
      <c r="N79" s="2"/>
      <c r="O79" s="2"/>
    </row>
    <row r="80" customFormat="false" ht="15" hidden="false" customHeight="false" outlineLevel="0" collapsed="false">
      <c r="A80" s="11" t="s">
        <v>815</v>
      </c>
      <c r="B80" s="11" t="s">
        <v>816</v>
      </c>
      <c r="C80" s="31" t="n">
        <f aca="false">COUNTIF('Closure Cells'!$B$7:$B$126,"HU-A-B")</f>
        <v>20</v>
      </c>
      <c r="D80" s="31" t="n">
        <v>20</v>
      </c>
      <c r="E80" s="31" t="n">
        <v>0</v>
      </c>
      <c r="F80" s="15" t="str">
        <f aca="false">IF(ABS(C80-D80)&lt;=E80,"PASS","FAIL")</f>
        <v>PASS</v>
      </c>
      <c r="G80" s="2"/>
      <c r="H80" s="2"/>
      <c r="I80" s="2"/>
      <c r="J80" s="2"/>
      <c r="K80" s="2"/>
      <c r="L80" s="2"/>
      <c r="M80" s="2"/>
      <c r="N80" s="2"/>
      <c r="O80" s="2"/>
    </row>
    <row r="81" customFormat="false" ht="15" hidden="false" customHeight="false" outlineLevel="0" collapsed="false">
      <c r="A81" s="11" t="s">
        <v>817</v>
      </c>
      <c r="B81" s="11" t="s">
        <v>818</v>
      </c>
      <c r="C81" s="31" t="n">
        <f aca="false">COUNTIFS('Closure Cells'!$B$7:$B$126,"HU-A-B",'Closure Cells'!$N$7:$N$126,"BOUNDED")</f>
        <v>8</v>
      </c>
      <c r="D81" s="31" t="n">
        <v>8</v>
      </c>
      <c r="E81" s="31" t="n">
        <v>0</v>
      </c>
      <c r="F81" s="15" t="str">
        <f aca="false">IF(ABS(C81-D81)&lt;=E81,"PASS","FAIL")</f>
        <v>PASS</v>
      </c>
      <c r="G81" s="2"/>
      <c r="H81" s="2"/>
      <c r="I81" s="2"/>
      <c r="J81" s="2"/>
      <c r="K81" s="2"/>
      <c r="L81" s="2"/>
      <c r="M81" s="2"/>
      <c r="N81" s="2"/>
      <c r="O81" s="2"/>
    </row>
    <row r="82" customFormat="false" ht="15" hidden="false" customHeight="false" outlineLevel="0" collapsed="false">
      <c r="A82" s="11" t="s">
        <v>819</v>
      </c>
      <c r="B82" s="11" t="s">
        <v>820</v>
      </c>
      <c r="C82" s="31" t="n">
        <f aca="false">COUNTIFS('Closure Cells'!$B$7:$B$126,"HU-A-B",'Closure Cells'!$O$7:$O$126,"HOLD")</f>
        <v>12</v>
      </c>
      <c r="D82" s="31" t="n">
        <v>12</v>
      </c>
      <c r="E82" s="31" t="n">
        <v>0</v>
      </c>
      <c r="F82" s="15" t="str">
        <f aca="false">IF(ABS(C82-D82)&lt;=E82,"PASS","FAIL")</f>
        <v>PASS</v>
      </c>
      <c r="G82" s="2"/>
      <c r="H82" s="2"/>
      <c r="I82" s="2"/>
      <c r="J82" s="2"/>
      <c r="K82" s="2"/>
      <c r="L82" s="2"/>
      <c r="M82" s="2"/>
      <c r="N82" s="2"/>
      <c r="O82" s="2"/>
    </row>
    <row r="83" customFormat="false" ht="15" hidden="false" customHeight="false" outlineLevel="0" collapsed="false">
      <c r="A83" s="11" t="s">
        <v>821</v>
      </c>
      <c r="B83" s="11" t="s">
        <v>822</v>
      </c>
      <c r="C83" s="31" t="n">
        <f aca="false">'Form Results'!G11</f>
        <v>1</v>
      </c>
      <c r="D83" s="31" t="n">
        <v>1</v>
      </c>
      <c r="E83" s="31" t="n">
        <v>0</v>
      </c>
      <c r="F83" s="15" t="str">
        <f aca="false">IF(ABS(C83-D83)&lt;=E83,"PASS","FAIL")</f>
        <v>PASS</v>
      </c>
      <c r="G83" s="2"/>
      <c r="H83" s="2"/>
      <c r="I83" s="2"/>
      <c r="J83" s="2"/>
      <c r="K83" s="2"/>
      <c r="L83" s="2"/>
      <c r="M83" s="2"/>
      <c r="N83" s="2"/>
      <c r="O83" s="2"/>
    </row>
    <row r="84" customFormat="false" ht="15" hidden="false" customHeight="false" outlineLevel="0" collapsed="false">
      <c r="A84" s="11" t="s">
        <v>823</v>
      </c>
      <c r="B84" s="11" t="s">
        <v>824</v>
      </c>
      <c r="C84" s="31" t="n">
        <f aca="false">'Form Results'!H11</f>
        <v>3</v>
      </c>
      <c r="D84" s="31" t="n">
        <v>3</v>
      </c>
      <c r="E84" s="31" t="n">
        <v>0</v>
      </c>
      <c r="F84" s="15" t="str">
        <f aca="false">IF(ABS(C84-D84)&lt;=E84,"PASS","FAIL")</f>
        <v>PASS</v>
      </c>
      <c r="G84" s="2"/>
      <c r="H84" s="2"/>
      <c r="I84" s="2"/>
      <c r="J84" s="2"/>
      <c r="K84" s="2"/>
      <c r="L84" s="2"/>
      <c r="M84" s="2"/>
      <c r="N84" s="2"/>
      <c r="O84" s="2"/>
    </row>
    <row r="85" customFormat="false" ht="15" hidden="false" customHeight="false" outlineLevel="0" collapsed="false">
      <c r="A85" s="11" t="s">
        <v>825</v>
      </c>
      <c r="B85" s="11" t="s">
        <v>826</v>
      </c>
      <c r="C85" s="31" t="n">
        <f aca="false">'Form Results'!J11</f>
        <v>6</v>
      </c>
      <c r="D85" s="31" t="n">
        <v>6</v>
      </c>
      <c r="E85" s="31" t="n">
        <v>0</v>
      </c>
      <c r="F85" s="15" t="str">
        <f aca="false">IF(ABS(C85-D85)&lt;=E85,"PASS","FAIL")</f>
        <v>PASS</v>
      </c>
      <c r="G85" s="2"/>
      <c r="H85" s="2"/>
      <c r="I85" s="2"/>
      <c r="J85" s="2"/>
      <c r="K85" s="2"/>
      <c r="L85" s="2"/>
      <c r="M85" s="2"/>
      <c r="N85" s="2"/>
      <c r="O85" s="2"/>
    </row>
    <row r="86" customFormat="false" ht="15" hidden="false" customHeight="false" outlineLevel="0" collapsed="false">
      <c r="A86" s="11" t="s">
        <v>827</v>
      </c>
      <c r="B86" s="11" t="s">
        <v>828</v>
      </c>
      <c r="C86" s="31" t="n">
        <f aca="false">IF('Form Results'!E11&lt;Inputs!$B$7,1,0)</f>
        <v>1</v>
      </c>
      <c r="D86" s="31" t="n">
        <v>1</v>
      </c>
      <c r="E86" s="31" t="n">
        <v>0</v>
      </c>
      <c r="F86" s="15" t="str">
        <f aca="false">IF(ABS(C86-D86)&lt;=E86,"PASS","FAIL")</f>
        <v>PASS</v>
      </c>
      <c r="G86" s="2"/>
      <c r="H86" s="2"/>
      <c r="I86" s="2"/>
      <c r="J86" s="2"/>
      <c r="K86" s="2"/>
      <c r="L86" s="2"/>
      <c r="M86" s="2"/>
      <c r="N86" s="2"/>
      <c r="O86" s="2"/>
    </row>
    <row r="87" customFormat="false" ht="15" hidden="false" customHeight="false" outlineLevel="0" collapsed="false">
      <c r="A87" s="11" t="s">
        <v>829</v>
      </c>
      <c r="B87" s="11" t="s">
        <v>830</v>
      </c>
      <c r="C87" s="31" t="n">
        <f aca="false">COUNTIF('Closure Cells'!$B$7:$B$126,"RT-B-C")</f>
        <v>20</v>
      </c>
      <c r="D87" s="31" t="n">
        <v>20</v>
      </c>
      <c r="E87" s="31" t="n">
        <v>0</v>
      </c>
      <c r="F87" s="15" t="str">
        <f aca="false">IF(ABS(C87-D87)&lt;=E87,"PASS","FAIL")</f>
        <v>PASS</v>
      </c>
      <c r="G87" s="2"/>
      <c r="H87" s="2"/>
      <c r="I87" s="2"/>
      <c r="J87" s="2"/>
      <c r="K87" s="2"/>
      <c r="L87" s="2"/>
      <c r="M87" s="2"/>
      <c r="N87" s="2"/>
      <c r="O87" s="2"/>
    </row>
    <row r="88" customFormat="false" ht="15" hidden="false" customHeight="false" outlineLevel="0" collapsed="false">
      <c r="A88" s="11" t="s">
        <v>831</v>
      </c>
      <c r="B88" s="11" t="s">
        <v>832</v>
      </c>
      <c r="C88" s="31" t="n">
        <f aca="false">COUNTIFS('Closure Cells'!$B$7:$B$126,"RT-B-C",'Closure Cells'!$N$7:$N$126,"BOUNDED")</f>
        <v>8</v>
      </c>
      <c r="D88" s="31" t="n">
        <v>8</v>
      </c>
      <c r="E88" s="31" t="n">
        <v>0</v>
      </c>
      <c r="F88" s="15" t="str">
        <f aca="false">IF(ABS(C88-D88)&lt;=E88,"PASS","FAIL")</f>
        <v>PASS</v>
      </c>
      <c r="G88" s="2"/>
      <c r="H88" s="2"/>
      <c r="I88" s="2"/>
      <c r="J88" s="2"/>
      <c r="K88" s="2"/>
      <c r="L88" s="2"/>
      <c r="M88" s="2"/>
      <c r="N88" s="2"/>
      <c r="O88" s="2"/>
    </row>
    <row r="89" customFormat="false" ht="15" hidden="false" customHeight="false" outlineLevel="0" collapsed="false">
      <c r="A89" s="11" t="s">
        <v>833</v>
      </c>
      <c r="B89" s="11" t="s">
        <v>834</v>
      </c>
      <c r="C89" s="31" t="n">
        <f aca="false">COUNTIFS('Closure Cells'!$B$7:$B$126,"RT-B-C",'Closure Cells'!$O$7:$O$126,"HOLD")</f>
        <v>12</v>
      </c>
      <c r="D89" s="31" t="n">
        <v>12</v>
      </c>
      <c r="E89" s="31" t="n">
        <v>0</v>
      </c>
      <c r="F89" s="15" t="str">
        <f aca="false">IF(ABS(C89-D89)&lt;=E89,"PASS","FAIL")</f>
        <v>PASS</v>
      </c>
      <c r="G89" s="2"/>
      <c r="H89" s="2"/>
      <c r="I89" s="2"/>
      <c r="J89" s="2"/>
      <c r="K89" s="2"/>
      <c r="L89" s="2"/>
      <c r="M89" s="2"/>
      <c r="N89" s="2"/>
      <c r="O89" s="2"/>
    </row>
    <row r="90" customFormat="false" ht="15" hidden="false" customHeight="false" outlineLevel="0" collapsed="false">
      <c r="A90" s="11" t="s">
        <v>835</v>
      </c>
      <c r="B90" s="11" t="s">
        <v>836</v>
      </c>
      <c r="C90" s="31" t="n">
        <f aca="false">'Form Results'!G12</f>
        <v>0</v>
      </c>
      <c r="D90" s="31" t="n">
        <v>0</v>
      </c>
      <c r="E90" s="31" t="n">
        <v>0</v>
      </c>
      <c r="F90" s="15" t="str">
        <f aca="false">IF(ABS(C90-D90)&lt;=E90,"PASS","FAIL")</f>
        <v>PASS</v>
      </c>
      <c r="G90" s="2"/>
      <c r="H90" s="2"/>
      <c r="I90" s="2"/>
      <c r="J90" s="2"/>
      <c r="K90" s="2"/>
      <c r="L90" s="2"/>
      <c r="M90" s="2"/>
      <c r="N90" s="2"/>
      <c r="O90" s="2"/>
    </row>
    <row r="91" customFormat="false" ht="15" hidden="false" customHeight="false" outlineLevel="0" collapsed="false">
      <c r="A91" s="11" t="s">
        <v>837</v>
      </c>
      <c r="B91" s="11" t="s">
        <v>838</v>
      </c>
      <c r="C91" s="31" t="n">
        <f aca="false">'Form Results'!H12</f>
        <v>4</v>
      </c>
      <c r="D91" s="31" t="n">
        <v>4</v>
      </c>
      <c r="E91" s="31" t="n">
        <v>0</v>
      </c>
      <c r="F91" s="15" t="str">
        <f aca="false">IF(ABS(C91-D91)&lt;=E91,"PASS","FAIL")</f>
        <v>PASS</v>
      </c>
      <c r="G91" s="2"/>
      <c r="H91" s="2"/>
      <c r="I91" s="2"/>
      <c r="J91" s="2"/>
      <c r="K91" s="2"/>
      <c r="L91" s="2"/>
      <c r="M91" s="2"/>
      <c r="N91" s="2"/>
      <c r="O91" s="2"/>
    </row>
    <row r="92" customFormat="false" ht="15" hidden="false" customHeight="false" outlineLevel="0" collapsed="false">
      <c r="A92" s="11" t="s">
        <v>839</v>
      </c>
      <c r="B92" s="11" t="s">
        <v>840</v>
      </c>
      <c r="C92" s="31" t="n">
        <f aca="false">'Form Results'!J12</f>
        <v>6</v>
      </c>
      <c r="D92" s="31" t="n">
        <v>6</v>
      </c>
      <c r="E92" s="31" t="n">
        <v>0</v>
      </c>
      <c r="F92" s="15" t="str">
        <f aca="false">IF(ABS(C92-D92)&lt;=E92,"PASS","FAIL")</f>
        <v>PASS</v>
      </c>
      <c r="G92" s="2"/>
      <c r="H92" s="2"/>
      <c r="I92" s="2"/>
      <c r="J92" s="2"/>
      <c r="K92" s="2"/>
      <c r="L92" s="2"/>
      <c r="M92" s="2"/>
      <c r="N92" s="2"/>
      <c r="O92" s="2"/>
    </row>
    <row r="93" customFormat="false" ht="15" hidden="false" customHeight="false" outlineLevel="0" collapsed="false">
      <c r="A93" s="11" t="s">
        <v>841</v>
      </c>
      <c r="B93" s="11" t="s">
        <v>842</v>
      </c>
      <c r="C93" s="31" t="n">
        <f aca="false">IF('Form Results'!E12&lt;Inputs!$B$7,1,0)</f>
        <v>1</v>
      </c>
      <c r="D93" s="31" t="n">
        <v>1</v>
      </c>
      <c r="E93" s="31" t="n">
        <v>0</v>
      </c>
      <c r="F93" s="15" t="str">
        <f aca="false">IF(ABS(C93-D93)&lt;=E93,"PASS","FAIL")</f>
        <v>PASS</v>
      </c>
      <c r="G93" s="2"/>
      <c r="H93" s="2"/>
      <c r="I93" s="2"/>
      <c r="J93" s="2"/>
      <c r="K93" s="2"/>
      <c r="L93" s="2"/>
      <c r="M93" s="2"/>
      <c r="N93" s="2"/>
      <c r="O93" s="2"/>
    </row>
  </sheetData>
  <mergeCells count="2">
    <mergeCell ref="A2:O2"/>
    <mergeCell ref="A4:O4"/>
  </mergeCells>
  <conditionalFormatting sqref="F7:F93">
    <cfRule type="containsText" priority="2" operator="containsText" aboveAverage="0" equalAverage="0" bottom="0" percent="0" rank="0" text="FAIL" dxfId="40">
      <formula>NOT(ISERROR(SEARCH("FAIL",F7)))</formula>
    </cfRule>
    <cfRule type="containsText" priority="3" operator="containsText" aboveAverage="0" equalAverage="0" bottom="0" percent="0" rank="0" text="HOLD" dxfId="41">
      <formula>NOT(ISERROR(SEARCH("HOLD",F7)))</formula>
    </cfRule>
    <cfRule type="containsText" priority="4" operator="containsText" aboveAverage="0" equalAverage="0" bottom="0" percent="0" rank="0" text="OPEN" dxfId="42">
      <formula>NOT(ISERROR(SEARCH("OPEN",F7)))</formula>
    </cfRule>
    <cfRule type="containsText" priority="5" operator="containsText" aboveAverage="0" equalAverage="0" bottom="0" percent="0" rank="0" text="UPRATE" dxfId="43">
      <formula>NOT(ISERROR(SEARCH("UPRATE",F7)))</formula>
    </cfRule>
    <cfRule type="containsText" priority="6" operator="containsText" aboveAverage="0" equalAverage="0" bottom="0" percent="0" rank="0" text="SELECT" dxfId="44">
      <formula>NOT(ISERROR(SEARCH("SELECT",F7)))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  <col collapsed="false" customWidth="true" hidden="false" outlineLevel="0" max="8" min="3" style="0" width="14"/>
  </cols>
  <sheetData>
    <row r="1" customFormat="false" ht="8" hidden="false" customHeight="true" outlineLevel="0" collapsed="false"/>
    <row r="2" customFormat="false" ht="23" hidden="false" customHeight="true" outlineLevel="0" collapsed="false">
      <c r="A2" s="1" t="s">
        <v>843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3" t="s">
        <v>844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5" hidden="false" customHeight="false" outlineLevel="0" collapsed="false">
      <c r="A6" s="4" t="s">
        <v>845</v>
      </c>
      <c r="B6" s="4" t="s">
        <v>845</v>
      </c>
      <c r="C6" s="4" t="s">
        <v>845</v>
      </c>
      <c r="D6" s="4" t="s">
        <v>845</v>
      </c>
      <c r="E6" s="4" t="s">
        <v>845</v>
      </c>
      <c r="F6" s="4" t="s">
        <v>845</v>
      </c>
      <c r="G6" s="4" t="s">
        <v>845</v>
      </c>
      <c r="H6" s="4" t="s">
        <v>845</v>
      </c>
      <c r="I6" s="2"/>
      <c r="J6" s="2"/>
      <c r="K6" s="2"/>
      <c r="L6" s="2"/>
      <c r="M6" s="2"/>
      <c r="N6" s="2"/>
      <c r="O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customFormat="false" ht="15" hidden="false" customHeight="false" outlineLevel="0" collapsed="false">
      <c r="A8" s="6" t="s">
        <v>846</v>
      </c>
      <c r="B8" s="6" t="s">
        <v>847</v>
      </c>
      <c r="C8" s="6"/>
      <c r="D8" s="6"/>
      <c r="E8" s="6"/>
      <c r="F8" s="6"/>
      <c r="G8" s="6"/>
      <c r="H8" s="6"/>
      <c r="I8" s="2"/>
      <c r="J8" s="2"/>
      <c r="K8" s="2"/>
      <c r="L8" s="2"/>
      <c r="M8" s="2"/>
      <c r="N8" s="2"/>
      <c r="O8" s="2"/>
    </row>
    <row r="9" customFormat="false" ht="15" hidden="false" customHeight="false" outlineLevel="0" collapsed="false">
      <c r="A9" s="6" t="s">
        <v>848</v>
      </c>
      <c r="B9" s="6" t="s">
        <v>849</v>
      </c>
      <c r="C9" s="6"/>
      <c r="D9" s="6"/>
      <c r="E9" s="6"/>
      <c r="F9" s="6"/>
      <c r="G9" s="6"/>
      <c r="H9" s="6"/>
      <c r="I9" s="2"/>
      <c r="J9" s="2"/>
      <c r="K9" s="2"/>
      <c r="L9" s="2"/>
      <c r="M9" s="2"/>
      <c r="N9" s="2"/>
      <c r="O9" s="2"/>
    </row>
    <row r="10" customFormat="false" ht="15" hidden="false" customHeight="false" outlineLevel="0" collapsed="false">
      <c r="A10" s="6" t="s">
        <v>850</v>
      </c>
      <c r="B10" s="6" t="s">
        <v>851</v>
      </c>
      <c r="C10" s="6"/>
      <c r="D10" s="6"/>
      <c r="E10" s="6"/>
      <c r="F10" s="6"/>
      <c r="G10" s="6"/>
      <c r="H10" s="6"/>
      <c r="I10" s="2"/>
      <c r="J10" s="2"/>
      <c r="K10" s="2"/>
      <c r="L10" s="2"/>
      <c r="M10" s="2"/>
      <c r="N10" s="2"/>
      <c r="O10" s="2"/>
    </row>
    <row r="11" customFormat="false" ht="15" hidden="false" customHeight="false" outlineLevel="0" collapsed="false">
      <c r="A11" s="6" t="s">
        <v>852</v>
      </c>
      <c r="B11" s="6" t="s">
        <v>853</v>
      </c>
      <c r="C11" s="6"/>
      <c r="D11" s="6"/>
      <c r="E11" s="6"/>
      <c r="F11" s="6"/>
      <c r="G11" s="6"/>
      <c r="H11" s="6"/>
      <c r="I11" s="2"/>
      <c r="J11" s="2"/>
      <c r="K11" s="2"/>
      <c r="L11" s="2"/>
      <c r="M11" s="2"/>
      <c r="N11" s="2"/>
      <c r="O11" s="2"/>
    </row>
    <row r="12" customFormat="false" ht="15" hidden="false" customHeight="false" outlineLevel="0" collapsed="false">
      <c r="A12" s="6" t="s">
        <v>59</v>
      </c>
      <c r="B12" s="6" t="s">
        <v>854</v>
      </c>
      <c r="C12" s="6"/>
      <c r="D12" s="6"/>
      <c r="E12" s="6"/>
      <c r="F12" s="6"/>
      <c r="G12" s="6"/>
      <c r="H12" s="6"/>
      <c r="I12" s="2"/>
      <c r="J12" s="2"/>
      <c r="K12" s="2"/>
      <c r="L12" s="2"/>
      <c r="M12" s="2"/>
      <c r="N12" s="2"/>
      <c r="O12" s="2"/>
    </row>
    <row r="13" customFormat="false" ht="15" hidden="false" customHeight="false" outlineLevel="0" collapsed="false">
      <c r="A13" s="6" t="s">
        <v>855</v>
      </c>
      <c r="B13" s="6" t="s">
        <v>856</v>
      </c>
      <c r="C13" s="6"/>
      <c r="D13" s="6"/>
      <c r="E13" s="6"/>
      <c r="F13" s="6"/>
      <c r="G13" s="6"/>
      <c r="H13" s="6"/>
      <c r="I13" s="2"/>
      <c r="J13" s="2"/>
      <c r="K13" s="2"/>
      <c r="L13" s="2"/>
      <c r="M13" s="2"/>
      <c r="N13" s="2"/>
      <c r="O13" s="2"/>
    </row>
    <row r="14" customFormat="false" ht="15" hidden="false" customHeight="false" outlineLevel="0" collapsed="false">
      <c r="A14" s="6" t="s">
        <v>857</v>
      </c>
      <c r="B14" s="6" t="s">
        <v>858</v>
      </c>
      <c r="C14" s="6"/>
      <c r="D14" s="6"/>
      <c r="E14" s="6"/>
      <c r="F14" s="6"/>
      <c r="G14" s="6"/>
      <c r="H14" s="6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4" t="s">
        <v>859</v>
      </c>
      <c r="B17" s="4" t="s">
        <v>859</v>
      </c>
      <c r="C17" s="4" t="s">
        <v>859</v>
      </c>
      <c r="D17" s="4" t="s">
        <v>859</v>
      </c>
      <c r="E17" s="4" t="s">
        <v>859</v>
      </c>
      <c r="F17" s="4" t="s">
        <v>859</v>
      </c>
      <c r="G17" s="4" t="s">
        <v>859</v>
      </c>
      <c r="H17" s="4" t="s">
        <v>859</v>
      </c>
      <c r="I17" s="2"/>
      <c r="J17" s="2"/>
      <c r="K17" s="2"/>
      <c r="L17" s="2"/>
      <c r="M17" s="2"/>
      <c r="N17" s="2"/>
      <c r="O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6" t="s">
        <v>860</v>
      </c>
      <c r="B19" s="6" t="s">
        <v>861</v>
      </c>
      <c r="C19" s="6"/>
      <c r="D19" s="6"/>
      <c r="E19" s="6"/>
      <c r="F19" s="6"/>
      <c r="G19" s="6"/>
      <c r="H19" s="6"/>
      <c r="I19" s="2"/>
      <c r="J19" s="2"/>
      <c r="K19" s="2"/>
      <c r="L19" s="2"/>
      <c r="M19" s="2"/>
      <c r="N19" s="2"/>
      <c r="O19" s="2"/>
    </row>
    <row r="20" customFormat="false" ht="15" hidden="false" customHeight="false" outlineLevel="0" collapsed="false">
      <c r="A20" s="6" t="s">
        <v>862</v>
      </c>
      <c r="B20" s="6" t="s">
        <v>863</v>
      </c>
      <c r="C20" s="6"/>
      <c r="D20" s="6"/>
      <c r="E20" s="6"/>
      <c r="F20" s="6"/>
      <c r="G20" s="6"/>
      <c r="H20" s="6"/>
      <c r="I20" s="2"/>
      <c r="J20" s="2"/>
      <c r="K20" s="2"/>
      <c r="L20" s="2"/>
      <c r="M20" s="2"/>
      <c r="N20" s="2"/>
      <c r="O20" s="2"/>
    </row>
    <row r="21" customFormat="false" ht="15" hidden="false" customHeight="false" outlineLevel="0" collapsed="false">
      <c r="A21" s="6" t="s">
        <v>864</v>
      </c>
      <c r="B21" s="6" t="s">
        <v>865</v>
      </c>
      <c r="C21" s="6"/>
      <c r="D21" s="6"/>
      <c r="E21" s="6"/>
      <c r="F21" s="6"/>
      <c r="G21" s="6"/>
      <c r="H21" s="6"/>
      <c r="I21" s="2"/>
      <c r="J21" s="2"/>
      <c r="K21" s="2"/>
      <c r="L21" s="2"/>
      <c r="M21" s="2"/>
      <c r="N21" s="2"/>
      <c r="O21" s="2"/>
    </row>
    <row r="22" customFormat="false" ht="15" hidden="false" customHeight="false" outlineLevel="0" collapsed="false">
      <c r="A22" s="6" t="s">
        <v>866</v>
      </c>
      <c r="B22" s="6" t="s">
        <v>867</v>
      </c>
      <c r="C22" s="6"/>
      <c r="D22" s="6"/>
      <c r="E22" s="6"/>
      <c r="F22" s="6"/>
      <c r="G22" s="6"/>
      <c r="H22" s="6"/>
      <c r="I22" s="2"/>
      <c r="J22" s="2"/>
      <c r="K22" s="2"/>
      <c r="L22" s="2"/>
      <c r="M22" s="2"/>
      <c r="N22" s="2"/>
      <c r="O22" s="2"/>
    </row>
    <row r="23" customFormat="false" ht="15" hidden="false" customHeight="false" outlineLevel="0" collapsed="false">
      <c r="A23" s="6" t="s">
        <v>868</v>
      </c>
      <c r="B23" s="6" t="s">
        <v>869</v>
      </c>
      <c r="C23" s="6"/>
      <c r="D23" s="6"/>
      <c r="E23" s="6"/>
      <c r="F23" s="6"/>
      <c r="G23" s="6"/>
      <c r="H23" s="6"/>
      <c r="I23" s="2"/>
      <c r="J23" s="2"/>
      <c r="K23" s="2"/>
      <c r="L23" s="2"/>
      <c r="M23" s="2"/>
      <c r="N23" s="2"/>
      <c r="O23" s="2"/>
    </row>
    <row r="24" customFormat="false" ht="15" hidden="false" customHeight="false" outlineLevel="0" collapsed="false">
      <c r="A24" s="6" t="s">
        <v>870</v>
      </c>
      <c r="B24" s="6" t="s">
        <v>871</v>
      </c>
      <c r="C24" s="6"/>
      <c r="D24" s="6"/>
      <c r="E24" s="6"/>
      <c r="F24" s="6"/>
      <c r="G24" s="6"/>
      <c r="H24" s="6"/>
      <c r="I24" s="2"/>
      <c r="J24" s="2"/>
      <c r="K24" s="2"/>
      <c r="L24" s="2"/>
      <c r="M24" s="2"/>
      <c r="N24" s="2"/>
      <c r="O24" s="2"/>
    </row>
    <row r="25" customFormat="false" ht="15" hidden="false" customHeight="false" outlineLevel="0" collapsed="false">
      <c r="A25" s="6" t="s">
        <v>872</v>
      </c>
      <c r="B25" s="6" t="s">
        <v>873</v>
      </c>
      <c r="C25" s="6"/>
      <c r="D25" s="6"/>
      <c r="E25" s="6"/>
      <c r="F25" s="6"/>
      <c r="G25" s="6"/>
      <c r="H25" s="6"/>
      <c r="I25" s="2"/>
      <c r="J25" s="2"/>
      <c r="K25" s="2"/>
      <c r="L25" s="2"/>
      <c r="M25" s="2"/>
      <c r="N25" s="2"/>
      <c r="O25" s="2"/>
    </row>
  </sheetData>
  <mergeCells count="4">
    <mergeCell ref="A2:O2"/>
    <mergeCell ref="A4:O4"/>
    <mergeCell ref="A6:H6"/>
    <mergeCell ref="A17:H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