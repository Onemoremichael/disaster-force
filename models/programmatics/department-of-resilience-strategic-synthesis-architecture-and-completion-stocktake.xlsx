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73bb0a194748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a7efb76e3b496a"/>
    <x:sheet xmlns:r="http://schemas.openxmlformats.org/officeDocument/2006/relationships" name="Chapter Spine" sheetId="2" r:id="R342a6320d38b487e"/>
    <x:sheet xmlns:r="http://schemas.openxmlformats.org/officeDocument/2006/relationships" name="Closure Gates" sheetId="3" r:id="Raf8160bd61884339"/>
    <x:sheet xmlns:r="http://schemas.openxmlformats.org/officeDocument/2006/relationships" name="Decision Map" sheetId="4" r:id="R24eef6c767ff4a66"/>
    <x:sheet xmlns:r="http://schemas.openxmlformats.org/officeDocument/2006/relationships" name="Claim Chain" sheetId="5" r:id="Rce939472e81e44c3"/>
    <x:sheet xmlns:r="http://schemas.openxmlformats.org/officeDocument/2006/relationships" name="Quant Boundaries" sheetId="6" r:id="Ra9fa9738297d4d7b"/>
    <x:sheet xmlns:r="http://schemas.openxmlformats.org/officeDocument/2006/relationships" name="Remaining Burdens" sheetId="7" r:id="R59da98170e4343ff"/>
    <x:sheet xmlns:r="http://schemas.openxmlformats.org/officeDocument/2006/relationships" name="Supersession Rules" sheetId="8" r:id="R6ace935f0cb4437c"/>
    <x:sheet xmlns:r="http://schemas.openxmlformats.org/officeDocument/2006/relationships" name="Inputs" sheetId="9" r:id="R62f307afc01a4e58"/>
    <x:sheet xmlns:r="http://schemas.openxmlformats.org/officeDocument/2006/relationships" name="Mutations" sheetId="10" r:id="R26215e44ec634aa7"/>
    <x:sheet xmlns:r="http://schemas.openxmlformats.org/officeDocument/2006/relationships" name="Audit" sheetId="11" r:id="R3f3503a243f043a4"/>
    <x:sheet xmlns:r="http://schemas.openxmlformats.org/officeDocument/2006/relationships" name="ReadMe" sheetId="12" r:id="Rc1d9f3df4a284e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#,##0.00"/>
  </x:numFmts>
  <x:fonts count="6">
    <x:font>
      <x:sz val="11"/>
      <x:name val="Carlito"/>
    </x:font>
    <x:font>
      <x:b/>
      <x:sz val="14"/>
      <x:color rgb="FF17365D"/>
      <x:name val="Arial"/>
    </x:font>
    <x:font>
      <x:sz val="10"/>
      <x:color rgb="FF0070C0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6B7A"/>
      </x:patternFill>
    </x:fill>
    <x:fill>
      <x:patternFill patternType="solid">
        <x:fgColor rgb="FF17365D"/>
      </x:patternFill>
    </x:fill>
  </x:fills>
  <x:borders count="2">
    <x:border/>
    <x:border>
      <x:bottom style="thin">
        <x:color rgb="FF8DB3E2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/>
    <x:xf numFmtId="201" fontId="3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8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b9501d4934639" /><Relationship Type="http://schemas.openxmlformats.org/officeDocument/2006/relationships/theme" Target="/xl/theme/theme1.xml" Id="R37620c9785814825" /><Relationship Type="http://schemas.openxmlformats.org/officeDocument/2006/relationships/sharedStrings" Target="/xl/sharedStrings.xml" Id="R737929100be8489c" /><Relationship Type="http://schemas.openxmlformats.org/officeDocument/2006/relationships/worksheet" Target="/xl/worksheets/sheet1.xml" Id="Raba7efb76e3b496a" /><Relationship Type="http://schemas.openxmlformats.org/officeDocument/2006/relationships/worksheet" Target="/xl/worksheets/sheet2.xml" Id="R342a6320d38b487e" /><Relationship Type="http://schemas.openxmlformats.org/officeDocument/2006/relationships/worksheet" Target="/xl/worksheets/sheet3.xml" Id="Raf8160bd61884339" /><Relationship Type="http://schemas.openxmlformats.org/officeDocument/2006/relationships/worksheet" Target="/xl/worksheets/sheet4.xml" Id="R24eef6c767ff4a66" /><Relationship Type="http://schemas.openxmlformats.org/officeDocument/2006/relationships/worksheet" Target="/xl/worksheets/sheet5.xml" Id="Rce939472e81e44c3" /><Relationship Type="http://schemas.openxmlformats.org/officeDocument/2006/relationships/worksheet" Target="/xl/worksheets/sheet6.xml" Id="Ra9fa9738297d4d7b" /><Relationship Type="http://schemas.openxmlformats.org/officeDocument/2006/relationships/worksheet" Target="/xl/worksheets/sheet7.xml" Id="R59da98170e4343ff" /><Relationship Type="http://schemas.openxmlformats.org/officeDocument/2006/relationships/worksheet" Target="/xl/worksheets/sheet8.xml" Id="R6ace935f0cb4437c" /><Relationship Type="http://schemas.openxmlformats.org/officeDocument/2006/relationships/worksheet" Target="/xl/worksheets/sheet9.xml" Id="R62f307afc01a4e58" /><Relationship Type="http://schemas.openxmlformats.org/officeDocument/2006/relationships/worksheet" Target="/xl/worksheets/sheet10.xml" Id="R26215e44ec634aa7" /><Relationship Type="http://schemas.openxmlformats.org/officeDocument/2006/relationships/worksheet" Target="/xl/worksheets/sheet11.xml" Id="R3f3503a243f043a4" /><Relationship Type="http://schemas.openxmlformats.org/officeDocument/2006/relationships/worksheet" Target="/xl/worksheets/sheet12.xml" Id="Rc1d9f3df4a284e10" /></Relationships>
</file>

<file path=xl/tables/table1.xml><?xml version="1.0" encoding="utf-8"?>
<x:table xmlns:x="http://schemas.openxmlformats.org/spreadsheetml/2006/main" id="3" name="SynthesisChapterSpineTable" displayName="SynthesisChapterSpineTable" ref="A6:L20" headerRowCount="1" totalsRowCount="0" totalsRowShown="0">
  <x:tableColumns count="12">
    <x:tableColumn id="1" name="Chapter"/>
    <x:tableColumn id="2" name="Final chapter"/>
    <x:tableColumn id="3" name="Central question"/>
    <x:tableColumn id="4" name="Controlling answer"/>
    <x:tableColumn id="5" name="Closed gates"/>
    <x:tableColumn id="6" name="Open gates"/>
    <x:tableColumn id="7" name="Total gates"/>
    <x:tableColumn id="8" name="Completion"/>
    <x:tableColumn id="9" name="Publication state"/>
    <x:tableColumn id="10" name="Next required work"/>
    <x:tableColumn id="11" name="Controlling sources"/>
    <x:tableColumn id="12" name="Sequ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ynthesisClosureGatesTable" displayName="SynthesisClosureGatesTable" ref="A6:K76" headerRowCount="1" totalsRowCount="0" totalsRowShown="0">
  <x:tableColumns count="11">
    <x:tableColumn id="1" name="Gate record"/>
    <x:tableColumn id="2" name="Chapter"/>
    <x:tableColumn id="3" name="Chapter title"/>
    <x:tableColumn id="4" name="Gate"/>
    <x:tableColumn id="5" name="Gate class"/>
    <x:tableColumn id="6" name="Closure criterion"/>
    <x:tableColumn id="7" name="Current basis"/>
    <x:tableColumn id="8" name="Closed"/>
    <x:tableColumn id="9" name="Status"/>
    <x:tableColumn id="10" name="Internal source"/>
    <x:tableColumn id="11" name="Record multiplicit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ynthesisDecisionMapTable" displayName="SynthesisDecisionMapTable" ref="A6:G20" headerRowCount="1" totalsRowCount="0" totalsRowShown="0">
  <x:tableColumns count="7">
    <x:tableColumn id="1" name="Chapter"/>
    <x:tableColumn id="2" name="Final chapter"/>
    <x:tableColumn id="3" name="Controlling decision"/>
    <x:tableColumn id="4" name="Internal sources"/>
    <x:tableColumn id="5" name="State"/>
    <x:tableColumn id="6" name="Prohibited inference"/>
    <x:tableColumn id="7" name="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ynthesisClaimChainTable" displayName="SynthesisClaimChainTable" ref="A6:H34" headerRowCount="1" totalsRowCount="0" totalsRowShown="0">
  <x:tableColumns count="8">
    <x:tableColumn id="1" name="Claim"/>
    <x:tableColumn id="2" name="Chapter"/>
    <x:tableColumn id="3" name="Final chapter"/>
    <x:tableColumn id="4" name="Claim class"/>
    <x:tableColumn id="5" name="Claim text"/>
    <x:tableColumn id="6" name="Evidence state"/>
    <x:tableColumn id="7" name="Internal sources"/>
    <x:tableColumn id="8" name="Permitted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ynthesisQuantBoundariesTable" displayName="SynthesisQuantBoundariesTable" ref="A6:G30" headerRowCount="1" totalsRowCount="0" totalsRowShown="0">
  <x:tableColumns count="7">
    <x:tableColumn id="1" name="Boundary"/>
    <x:tableColumn id="2" name="Quantity"/>
    <x:tableColumn id="3" name="Value"/>
    <x:tableColumn id="4" name="Unit"/>
    <x:tableColumn id="5" name="Evidence state"/>
    <x:tableColumn id="6" name="Controlling decision"/>
    <x:tableColumn id="7" name="Use lim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SynthesisRemainingBurdensTable" displayName="SynthesisRemainingBurdensTable" ref="A6:I27" headerRowCount="1" totalsRowCount="0" totalsRowShown="0">
  <x:tableColumns count="9">
    <x:tableColumn id="1" name="Gate"/>
    <x:tableColumn id="2" name="Chapter"/>
    <x:tableColumn id="3" name="Final chapter"/>
    <x:tableColumn id="4" name="Gate class"/>
    <x:tableColumn id="5" name="Current deficit"/>
    <x:tableColumn id="6" name="Closure test"/>
    <x:tableColumn id="7" name="Planned pass"/>
    <x:tableColumn id="8" name="State"/>
    <x:tableColumn id="9" name="Dependency 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SynthesisSupersessionRulesTable" displayName="SynthesisSupersessionRulesTable" ref="A6:C18" headerRowCount="1" totalsRowCount="0" totalsRowShown="0">
  <x:tableColumns count="3">
    <x:tableColumn id="1" name="Rule"/>
    <x:tableColumn id="2" name="Control"/>
    <x:tableColumn id="3" name="Applic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" name="SynthesisInputsTable" displayName="SynthesisInputsTable" ref="A6:D24" headerRowCount="1" totalsRowCount="0" totalsRowShown="0">
  <x:tableColumns count="4">
    <x:tableColumn id="1" name="Control"/>
    <x:tableColumn id="2" name="Value"/>
    <x:tableColumn id="3" name="Unit"/>
    <x:tableColumn id="4" name="Internal bas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SynthesisMutationTable" displayName="SynthesisMutationTable" ref="A6:G30" headerRowCount="1" totalsRowCount="0" totalsRowShown="0">
  <x:tableColumns count="7">
    <x:tableColumn id="1" name="Mutation"/>
    <x:tableColumn id="2" name="Shee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SynthesisAuditTable" displayName="SynthesisAuditTable" ref="A6:F72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ynthesisReadMeTable" displayName="SynthesisReadMeTable" ref="A6:B21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710aa3c7de4f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4004bbcf6e47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a21cedc7a144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c94f7677634f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0e9264250947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aeccfe046f4c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6eb9cb70d6432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560ba6fe72f41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c902d4840043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406a44d42641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5208ebb287a49c2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4" hidden="0" customWidth="1"/>
    <x:col min="8" max="8" width="28" hidden="0" customWidth="1"/>
    <x:col min="9" max="9" width="96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</x:row>
    <x:row r="2">
      <x:c r="A2" s="24" t="str">
        <x:v>Strategic synthesis architecture and completion stocktake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  <x:c r="M5" s="9"/>
      <x:c r="N5" s="9"/>
    </x:row>
    <x:row r="6">
      <x:c r="A6" s="10" t="str">
        <x:v>Decision</x:v>
      </x:c>
      <x:c r="B6" s="10" t="str">
        <x:v>SYN-1</x:v>
      </x:c>
      <x:c r="C6" s="10" t="str">
        <x:v>Verdict</x:v>
      </x:c>
      <x:c r="D6" s="10" t="str">
        <x:v>CLOSE</x:v>
      </x:c>
      <x:c r="E6" s="10" t="str">
        <x:v>Branch</x:v>
      </x:c>
      <x:c r="F6" s="10" t="str">
        <x:v>SYN-1</x:v>
      </x:c>
      <x:c r="G6" s="9"/>
      <x:c r="H6" s="9"/>
      <x:c r="I6" s="9"/>
      <x:c r="J6" s="9"/>
      <x:c r="K6" s="9"/>
      <x:c r="L6" s="9"/>
      <x:c r="M6" s="9"/>
      <x:c r="N6" s="9"/>
    </x:row>
    <x:row r="7">
      <x:c r="A7" s="9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</x:row>
    <x:row r="8">
      <x:c r="A8" s="9" t="str">
        <x:v>Final report chapters</x:v>
      </x:c>
      <x:c r="B8" s="9" t="n">
        <x:f>Inputs!B7</x:f>
        <x:v>14</x:v>
      </x:c>
      <x:c r="C8" s="9"/>
      <x:c r="D8" s="9"/>
      <x:c r="E8" s="9"/>
      <x:c r="F8" s="9"/>
      <x:c r="G8" s="9"/>
      <x:c r="H8" s="30" t="str">
        <x:v>Publication judgment</x:v>
      </x:c>
      <x:c r="I8" s="30" t="str">
        <x:v>Controlling result</x:v>
      </x:c>
      <x:c r="J8" s="9"/>
      <x:c r="K8" s="9"/>
      <x:c r="L8" s="9"/>
      <x:c r="M8" s="9"/>
      <x:c r="N8" s="9"/>
    </x:row>
    <x:row r="9">
      <x:c r="A9" s="9" t="str">
        <x:v>Publication gates</x:v>
      </x:c>
      <x:c r="B9" s="9" t="n">
        <x:f>Inputs!B9</x:f>
        <x:v>70</x:v>
      </x:c>
      <x:c r="C9" s="9"/>
      <x:c r="D9" s="9"/>
      <x:c r="E9" s="9"/>
      <x:c r="F9" s="9"/>
      <x:c r="G9" s="9"/>
      <x:c r="H9" s="16" t="str">
        <x:v>Architecture</x:v>
      </x:c>
      <x:c r="I9" s="16" t="str">
        <x:v>fourteen chapters, each with five noncompensatory gates</x:v>
      </x:c>
      <x:c r="J9" s="9"/>
      <x:c r="K9" s="9"/>
      <x:c r="L9" s="9"/>
      <x:c r="M9" s="9"/>
      <x:c r="N9" s="9"/>
    </x:row>
    <x:row r="10">
      <x:c r="A10" s="9" t="str">
        <x:v>Closed gates</x:v>
      </x:c>
      <x:c r="B10" s="9" t="n">
        <x:f>SUM('Chapter Spine'!E7:E20)</x:f>
        <x:v>49</x:v>
      </x:c>
      <x:c r="C10" s="9"/>
      <x:c r="D10" s="9"/>
      <x:c r="E10" s="9"/>
      <x:c r="F10" s="9"/>
      <x:c r="G10" s="9"/>
      <x:c r="H10" s="16" t="str">
        <x:v>Completion</x:v>
      </x:c>
      <x:c r="I10" s="16" t="str">
        <x:v>forty-nine of seventy gates close; 70.0% is an editorial completion screen, not factual confidence</x:v>
      </x:c>
      <x:c r="J10" s="9"/>
      <x:c r="K10" s="9"/>
      <x:c r="L10" s="9"/>
      <x:c r="M10" s="9"/>
      <x:c r="N10" s="9"/>
    </x:row>
    <x:row r="11">
      <x:c r="A11" s="9" t="str">
        <x:v>Open gates</x:v>
      </x:c>
      <x:c r="B11" s="9" t="n">
        <x:f>SUM('Chapter Spine'!F7:F20)</x:f>
        <x:v>21</x:v>
      </x:c>
      <x:c r="C11" s="9"/>
      <x:c r="D11" s="9"/>
      <x:c r="E11" s="9"/>
      <x:c r="F11" s="9"/>
      <x:c r="G11" s="9"/>
      <x:c r="H11" s="16" t="str">
        <x:v>Ready core</x:v>
      </x:c>
      <x:c r="I11" s="16" t="str">
        <x:v>strategic premise, public service contract, Department constitution and force composition</x:v>
      </x:c>
      <x:c r="J11" s="9"/>
      <x:c r="K11" s="9"/>
      <x:c r="L11" s="9"/>
      <x:c r="M11" s="9"/>
      <x:c r="N11" s="9"/>
    </x:row>
    <x:row r="12">
      <x:c r="A12" s="9" t="str">
        <x:v>Completion screen</x:v>
      </x:c>
      <x:c r="B12" s="12" t="n">
        <x:f>B10/B9</x:f>
        <x:v>0.7</x:v>
      </x:c>
      <x:c r="C12" s="9"/>
      <x:c r="D12" s="9"/>
      <x:c r="E12" s="9"/>
      <x:c r="F12" s="9"/>
      <x:c r="G12" s="9"/>
      <x:c r="H12" s="16" t="str">
        <x:v>Largest deficit</x:v>
      </x:c>
      <x:c r="I12" s="16" t="str">
        <x:v>integrated synthesis, international power and the technical visual atlas</x:v>
      </x:c>
      <x:c r="J12" s="9"/>
      <x:c r="K12" s="9"/>
      <x:c r="L12" s="9"/>
      <x:c r="M12" s="9"/>
      <x:c r="N12" s="9"/>
    </x:row>
    <x:row r="13">
      <x:c r="A13" s="9" t="str">
        <x:v>Publication-ready chapters</x:v>
      </x:c>
      <x:c r="B13" s="9" t="n">
        <x:f>COUNTIFS('Chapter Spine'!I7:I20,"PUBLICATION READY")</x:f>
        <x:v>4</x:v>
      </x:c>
      <x:c r="C13" s="9"/>
      <x:c r="D13" s="9"/>
      <x:c r="E13" s="9"/>
      <x:c r="F13" s="9"/>
      <x:c r="G13" s="9"/>
      <x:c r="H13" s="16" t="str">
        <x:v>Authority</x:v>
      </x:c>
      <x:c r="I13" s="16" t="str">
        <x:v>the strategic study is the publication spine; frontier and history remain decision and audit records</x:v>
      </x:c>
      <x:c r="J13" s="9"/>
      <x:c r="K13" s="9"/>
      <x:c r="L13" s="9"/>
      <x:c r="M13" s="9"/>
      <x:c r="N13" s="9"/>
    </x:row>
    <x:row r="14">
      <x:c r="A14" s="9" t="str">
        <x:v>Partial chapters</x:v>
      </x:c>
      <x:c r="B14" s="9" t="n">
        <x:f>COUNTIFS('Chapter Spine'!I7:I20,"PARTIAL")</x:f>
        <x:v>9</x:v>
      </x:c>
      <x:c r="C14" s="9"/>
      <x:c r="D14" s="9"/>
      <x:c r="E14" s="9"/>
      <x:c r="F14" s="9"/>
      <x:c r="G14" s="9"/>
      <x:c r="H14" s="16" t="str">
        <x:v>Next question</x:v>
      </x:c>
      <x:c r="I14" s="16" t="str">
        <x:v>reconcile controlling claims and quantities across chapters before manuscript rewrite</x:v>
      </x:c>
      <x:c r="J14" s="9"/>
      <x:c r="K14" s="9"/>
      <x:c r="L14" s="9"/>
      <x:c r="M14" s="9"/>
      <x:c r="N14" s="9"/>
    </x:row>
    <x:row r="15">
      <x:c r="A15" s="9" t="str">
        <x:v>Not-ready chapters</x:v>
      </x:c>
      <x:c r="B15" s="9" t="n">
        <x:f>COUNTIFS('Chapter Spine'!I7:I20,"NOT READY")</x:f>
        <x:v>1</x:v>
      </x:c>
      <x:c r="C15" s="9"/>
      <x:c r="D15" s="9"/>
      <x:c r="E15" s="9"/>
      <x:c r="F15" s="9"/>
      <x:c r="G15" s="9"/>
      <x:c r="H15" s="16" t="str">
        <x:v>Rendering</x:v>
      </x:c>
      <x:c r="I15" s="16" t="str">
        <x:v>held until the owning chapter closes requirement, architecture, quantification and integration</x:v>
      </x:c>
      <x:c r="J15" s="9"/>
      <x:c r="K15" s="9"/>
      <x:c r="L15" s="9"/>
      <x:c r="M15" s="9"/>
      <x:c r="N15" s="9"/>
    </x:row>
    <x:row r="16">
      <x:c r="A16" s="9" t="str">
        <x:v>SYN passes consumed</x:v>
      </x:c>
      <x:c r="B16" s="9" t="n">
        <x:f>Inputs!B14</x:f>
        <x:v>1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</x:row>
    <x:row r="17">
      <x:c r="A17" s="9" t="str">
        <x:v>SYN pass budget</x:v>
      </x:c>
      <x:c r="B17" s="9" t="n">
        <x:f>Inputs!B15</x:f>
        <x:v>5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</x:row>
    <x:row r="18">
      <x:c r="A18" s="9" t="str">
        <x:v>Branch open-item ledger</x:v>
      </x:c>
      <x:c r="B18" s="9" t="n">
        <x:f>Inputs!B16</x:f>
        <x:v>1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</x:row>
    <x:row r="19">
      <x:c r="A19" s="9" t="str">
        <x:v>Rendering issues</x:v>
      </x:c>
      <x:c r="B19" s="9" t="n">
        <x:f>Inputs!B22</x:f>
        <x:v>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</x:row>
    <x:row r="20">
      <x:c r="A20" s="9" t="str">
        <x:v>Publication authority</x:v>
      </x:c>
      <x:c r="B20" s="9" t="n">
        <x:f>Inputs!B23</x:f>
        <x:v>0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</x:row>
    <x:row r="21">
      <x:c r="A21" s="9" t="str">
        <x:v>Evidence promotions</x:v>
      </x:c>
      <x:c r="B21" s="9" t="n">
        <x:f>Inputs!B24</x:f>
        <x:v>0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</x:row>
    <x:row r="22">
      <x:c r="A22" s="9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</x:row>
    <x:row r="23">
      <x:c r="A23" s="9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62" hidden="0" customWidth="1"/>
    <x:col min="4" max="4" width="66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22" hidden="0" customWidth="1"/>
    <x:col min="10" max="10" width="58" hidden="0" customWidth="1"/>
    <x:col min="11" max="11" width="48" hidden="0" customWidth="1"/>
    <x:col min="12" max="12" width="12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</x:row>
    <x:row r="2">
      <x:c r="A2" s="24" t="str">
        <x:v>Final report architecture and present closure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  <x:c r="L5" s="9"/>
    </x:row>
    <x:row r="6" ht="34" customHeight="1">
      <x:c r="A6" s="28" t="str">
        <x:v>Chapter</x:v>
      </x:c>
      <x:c r="B6" s="28" t="str">
        <x:v>Final chapter</x:v>
      </x:c>
      <x:c r="C6" s="28" t="str">
        <x:v>Central question</x:v>
      </x:c>
      <x:c r="D6" s="28" t="str">
        <x:v>Controlling answer</x:v>
      </x:c>
      <x:c r="E6" s="28" t="str">
        <x:v>Closed gates</x:v>
      </x:c>
      <x:c r="F6" s="28" t="str">
        <x:v>Open gates</x:v>
      </x:c>
      <x:c r="G6" s="28" t="str">
        <x:v>Total gates</x:v>
      </x:c>
      <x:c r="H6" s="28" t="str">
        <x:v>Completion</x:v>
      </x:c>
      <x:c r="I6" s="28" t="str">
        <x:v>Publication state</x:v>
      </x:c>
      <x:c r="J6" s="28" t="str">
        <x:v>Next required work</x:v>
      </x:c>
      <x:c r="K6" s="28" t="str">
        <x:v>Controlling sources</x:v>
      </x:c>
      <x:c r="L6" s="28" t="str">
        <x:v>Sequence</x:v>
      </x:c>
    </x:row>
    <x:row r="7">
      <x:c r="A7" s="9" t="str">
        <x:v>CH01</x:v>
      </x:c>
      <x:c r="B7" s="9" t="str">
        <x:v>Strategic proposition</x:v>
      </x:c>
      <x:c r="C7" s="16" t="str">
        <x:v>Why coequal resilience power is a national-power function</x:v>
      </x:c>
      <x:c r="D7" s="16" t="str">
        <x:v>Resilience is measured by preserved and restored civil service, not assets dispatched</x:v>
      </x:c>
      <x:c r="E7" s="9" t="n">
        <x:f>COUNTIFS('Closure Gates'!$B$7:$B$76,A7,'Closure Gates'!$H$7:$H$76,1)</x:f>
        <x:v>5</x:v>
      </x:c>
      <x:c r="F7" s="9" t="n">
        <x:f>COUNTIFS('Closure Gates'!$B$7:$B$76,A7,'Closure Gates'!$H$7:$H$76,0)</x:f>
        <x:v>0</x:v>
      </x:c>
      <x:c r="G7" s="9" t="n">
        <x:f>E7+F7</x:f>
        <x:v>5</x:v>
      </x:c>
      <x:c r="H7" s="19" t="n">
        <x:f>E7/G7</x:f>
        <x:v>1</x:v>
      </x:c>
      <x:c r="I7" s="9" t="str">
        <x:f>IF(E7=G7,"PUBLICATION READY",IF(E7=0,"NOT READY","PARTIAL"))</x:f>
        <x:v>PUBLICATION READY</x:v>
      </x:c>
      <x:c r="J7" s="16" t="str">
        <x:v>Final executive judgment and strategic premise</x:v>
      </x:c>
      <x:c r="K7" s="16" t="str">
        <x:v>README.md; research/synthesis/strategic-study.md</x:v>
      </x:c>
      <x:c r="L7" s="9" t="n">
        <x:v>1</x:v>
      </x:c>
    </x:row>
    <x:row r="8">
      <x:c r="A8" s="9" t="str">
        <x:v>CH02</x:v>
      </x:c>
      <x:c r="B8" s="9" t="str">
        <x:v>Public service contract</x:v>
      </x:c>
      <x:c r="C8" s="16" t="str">
        <x:v>What the institution owes people through catastrophe</x:v>
      </x:c>
      <x:c r="D8" s="16" t="str">
        <x:v>Nine public effects and complete service chains govern force credit</x:v>
      </x:c>
      <x:c r="E8" s="9" t="n">
        <x:f>COUNTIFS('Closure Gates'!$B$7:$B$76,A8,'Closure Gates'!$H$7:$H$76,1)</x:f>
        <x:v>5</x:v>
      </x:c>
      <x:c r="F8" s="9" t="n">
        <x:f>COUNTIFS('Closure Gates'!$B$7:$B$76,A8,'Closure Gates'!$H$7:$H$76,0)</x:f>
        <x:v>0</x:v>
      </x:c>
      <x:c r="G8" s="9" t="n">
        <x:f>E8+F8</x:f>
        <x:v>5</x:v>
      </x:c>
      <x:c r="H8" s="19" t="n">
        <x:f>E8/G8</x:f>
        <x:v>1</x:v>
      </x:c>
      <x:c r="I8" s="9" t="str">
        <x:f>IF(E8=G8,"PUBLICATION READY",IF(E8=0,"NOT READY","PARTIAL"))</x:f>
        <x:v>PUBLICATION READY</x:v>
      </x:c>
      <x:c r="J8" s="16" t="str">
        <x:v>One legible service-denominator chapter</x:v>
      </x:c>
      <x:c r="K8" s="16" t="str">
        <x:v>research/mandate; research/systems</x:v>
      </x:c>
      <x:c r="L8" s="9" t="n">
        <x:v>2</x:v>
      </x:c>
    </x:row>
    <x:row r="9">
      <x:c r="A9" s="9" t="str">
        <x:v>CH03</x:v>
      </x:c>
      <x:c r="B9" s="9" t="str">
        <x:v>Department and authorities</x:v>
      </x:c>
      <x:c r="C9" s="16" t="str">
        <x:v>Which institution can own the promise without emergency self-authorization</x:v>
      </x:c>
      <x:c r="D9" s="16" t="str">
        <x:v>A cabinet Department, civil principal and separated warranted authorities</x:v>
      </x:c>
      <x:c r="E9" s="9" t="n">
        <x:f>COUNTIFS('Closure Gates'!$B$7:$B$76,A9,'Closure Gates'!$H$7:$H$76,1)</x:f>
        <x:v>5</x:v>
      </x:c>
      <x:c r="F9" s="9" t="n">
        <x:f>COUNTIFS('Closure Gates'!$B$7:$B$76,A9,'Closure Gates'!$H$7:$H$76,0)</x:f>
        <x:v>0</x:v>
      </x:c>
      <x:c r="G9" s="9" t="n">
        <x:f>E9+F9</x:f>
        <x:v>5</x:v>
      </x:c>
      <x:c r="H9" s="19" t="n">
        <x:f>E9/G9</x:f>
        <x:v>1</x:v>
      </x:c>
      <x:c r="I9" s="9" t="str">
        <x:f>IF(E9=G9,"PUBLICATION READY",IF(E9=0,"NOT READY","PARTIAL"))</x:f>
        <x:v>PUBLICATION READY</x:v>
      </x:c>
      <x:c r="J9" s="16" t="str">
        <x:v>Constitution and authority diagram in prose</x:v>
      </x:c>
      <x:c r="K9" s="16" t="str">
        <x:v>research/mandate; Passes 201-205</x:v>
      </x:c>
      <x:c r="L9" s="9" t="n">
        <x:v>3</x:v>
      </x:c>
    </x:row>
    <x:row r="10">
      <x:c r="A10" s="9" t="str">
        <x:v>CH04</x:v>
      </x:c>
      <x:c r="B10" s="9" t="str">
        <x:v>National force composition</x:v>
      </x:c>
      <x:c r="C10" s="16" t="str">
        <x:v>What a mature deployable resilience force contains</x:v>
      </x:c>
      <x:c r="D10" s="16" t="str">
        <x:v>Seven services generate forty-eight formation families under complete-package rules</x:v>
      </x:c>
      <x:c r="E10" s="9" t="n">
        <x:f>COUNTIFS('Closure Gates'!$B$7:$B$76,A10,'Closure Gates'!$H$7:$H$76,1)</x:f>
        <x:v>5</x:v>
      </x:c>
      <x:c r="F10" s="9" t="n">
        <x:f>COUNTIFS('Closure Gates'!$B$7:$B$76,A10,'Closure Gates'!$H$7:$H$76,0)</x:f>
        <x:v>0</x:v>
      </x:c>
      <x:c r="G10" s="9" t="n">
        <x:f>E10+F10</x:f>
        <x:v>5</x:v>
      </x:c>
      <x:c r="H10" s="19" t="n">
        <x:f>E10/G10</x:f>
        <x:v>1</x:v>
      </x:c>
      <x:c r="I10" s="9" t="str">
        <x:f>IF(E10=G10,"PUBLICATION READY",IF(E10=0,"NOT READY","PARTIAL"))</x:f>
        <x:v>PUBLICATION READY</x:v>
      </x:c>
      <x:c r="J10" s="16" t="str">
        <x:v>Canonical force structure and concurrency account</x:v>
      </x:c>
      <x:c r="K10" s="16" t="str">
        <x:v>research/force/generation; Passes 159-167</x:v>
      </x:c>
      <x:c r="L10" s="9" t="n">
        <x:v>4</x:v>
      </x:c>
    </x:row>
    <x:row r="11">
      <x:c r="A11" s="9" t="str">
        <x:v>CH05</x:v>
      </x:c>
      <x:c r="B11" s="9" t="str">
        <x:v>Domestic employment doctrine</x:v>
      </x:c>
      <x:c r="C11" s="16" t="str">
        <x:v>How the force enters, operates, transfers and returns under civil authority</x:v>
      </x:c>
      <x:c r="D11" s="16" t="str">
        <x:v>Protected-local continuity precedes avoidable movement and composes with national reinforcement</x:v>
      </x:c>
      <x:c r="E11" s="9" t="n">
        <x:f>COUNTIFS('Closure Gates'!$B$7:$B$76,A11,'Closure Gates'!$H$7:$H$76,1)</x:f>
        <x:v>4</x:v>
      </x:c>
      <x:c r="F11" s="9" t="n">
        <x:f>COUNTIFS('Closure Gates'!$B$7:$B$76,A11,'Closure Gates'!$H$7:$H$76,0)</x:f>
        <x:v>1</x:v>
      </x:c>
      <x:c r="G11" s="9" t="n">
        <x:f>E11+F11</x:f>
        <x:v>5</x:v>
      </x:c>
      <x:c r="H11" s="19" t="n">
        <x:f>E11/G11</x:f>
        <x:v>0.8</x:v>
      </x:c>
      <x:c r="I11" s="9" t="str">
        <x:f>IF(E11=G11,"PUBLICATION READY",IF(E11=0,"NOT READY","PARTIAL"))</x:f>
        <x:v>PARTIAL</x:v>
      </x:c>
      <x:c r="J11" s="16" t="str">
        <x:v>Integrated campaign doctrine and reader case</x:v>
      </x:c>
      <x:c r="K11" s="16" t="str">
        <x:v>research/force/mobility; research/force/reception</x:v>
      </x:c>
      <x:c r="L11" s="9" t="n">
        <x:v>5</x:v>
      </x:c>
    </x:row>
    <x:row r="12">
      <x:c r="A12" s="9" t="str">
        <x:v>CH06</x:v>
      </x:c>
      <x:c r="B12" s="9" t="str">
        <x:v>International projection and partnership</x:v>
      </x:c>
      <x:c r="C12" s="16" t="str">
        <x:v>How invited missions become strategic power without colonial substitution</x:v>
      </x:c>
      <x:c r="D12" s="16" t="str">
        <x:v>Accepted international capacity is non-recallable and host civil authority remains sovereign</x:v>
      </x:c>
      <x:c r="E12" s="9" t="n">
        <x:f>COUNTIFS('Closure Gates'!$B$7:$B$76,A12,'Closure Gates'!$H$7:$H$76,1)</x:f>
        <x:v>2</x:v>
      </x:c>
      <x:c r="F12" s="9" t="n">
        <x:f>COUNTIFS('Closure Gates'!$B$7:$B$76,A12,'Closure Gates'!$H$7:$H$76,0)</x:f>
        <x:v>3</x:v>
      </x:c>
      <x:c r="G12" s="9" t="n">
        <x:f>E12+F12</x:f>
        <x:v>5</x:v>
      </x:c>
      <x:c r="H12" s="19" t="n">
        <x:f>E12/G12</x:f>
        <x:v>0.4</x:v>
      </x:c>
      <x:c r="I12" s="9" t="str">
        <x:f>IF(E12=G12,"PUBLICATION READY",IF(E12=0,"NOT READY","PARTIAL"))</x:f>
        <x:v>PARTIAL</x:v>
      </x:c>
      <x:c r="J12" s="16" t="str">
        <x:v>Quantified mission, alliance and export doctrine</x:v>
      </x:c>
      <x:c r="K12" s="16" t="str">
        <x:v>research/force/generation; strategic-study.md</x:v>
      </x:c>
      <x:c r="L12" s="9" t="n">
        <x:v>6</x:v>
      </x:c>
    </x:row>
    <x:row r="13">
      <x:c r="A13" s="9" t="str">
        <x:v>CH07</x:v>
      </x:c>
      <x:c r="B13" s="9" t="str">
        <x:v>Hazard control and lifeline restoration</x:v>
      </x:c>
      <x:c r="C13" s="16" t="str">
        <x:v>How fire, flood, water, power, care and continuity become complete missions</x:v>
      </x:c>
      <x:c r="D13" s="16" t="str">
        <x:v>Weakest-link service chains and degraded-operation worlds replace equipment nameplate</x:v>
      </x:c>
      <x:c r="E13" s="9" t="n">
        <x:f>COUNTIFS('Closure Gates'!$B$7:$B$76,A13,'Closure Gates'!$H$7:$H$76,1)</x:f>
        <x:v>4</x:v>
      </x:c>
      <x:c r="F13" s="9" t="n">
        <x:f>COUNTIFS('Closure Gates'!$B$7:$B$76,A13,'Closure Gates'!$H$7:$H$76,0)</x:f>
        <x:v>1</x:v>
      </x:c>
      <x:c r="G13" s="9" t="n">
        <x:f>E13+F13</x:f>
        <x:v>5</x:v>
      </x:c>
      <x:c r="H13" s="19" t="n">
        <x:f>E13/G13</x:f>
        <x:v>0.8</x:v>
      </x:c>
      <x:c r="I13" s="9" t="str">
        <x:f>IF(E13=G13,"PUBLICATION READY",IF(E13=0,"NOT READY","PARTIAL"))</x:f>
        <x:v>PARTIAL</x:v>
      </x:c>
      <x:c r="J13" s="16" t="str">
        <x:v>Cross-hazard operational synthesis</x:v>
      </x:c>
      <x:c r="K13" s="16" t="str">
        <x:v>research/systems/fire; flood; water; power</x:v>
      </x:c>
      <x:c r="L13" s="9" t="n">
        <x:v>7</x:v>
      </x:c>
    </x:row>
    <x:row r="14">
      <x:c r="A14" s="9" t="str">
        <x:v>CH08</x:v>
      </x:c>
      <x:c r="B14" s="9" t="str">
        <x:v>Strategic mobility and reception</x:v>
      </x:c>
      <x:c r="C14" s="16" t="str">
        <x:v>How complete formations cross distance and become useful at a receiver</x:v>
      </x:c>
      <x:c r="D14" s="16" t="str">
        <x:v>Carrier, node, route, reception and return form one nonfungible chain</x:v>
      </x:c>
      <x:c r="E14" s="9" t="n">
        <x:f>COUNTIFS('Closure Gates'!$B$7:$B$76,A14,'Closure Gates'!$H$7:$H$76,1)</x:f>
        <x:v>4</x:v>
      </x:c>
      <x:c r="F14" s="9" t="n">
        <x:f>COUNTIFS('Closure Gates'!$B$7:$B$76,A14,'Closure Gates'!$H$7:$H$76,0)</x:f>
        <x:v>1</x:v>
      </x:c>
      <x:c r="G14" s="9" t="n">
        <x:f>E14+F14</x:f>
        <x:v>5</x:v>
      </x:c>
      <x:c r="H14" s="19" t="n">
        <x:f>E14/G14</x:f>
        <x:v>0.8</x:v>
      </x:c>
      <x:c r="I14" s="9" t="str">
        <x:f>IF(E14=G14,"PUBLICATION READY",IF(E14=0,"NOT READY","PARTIAL"))</x:f>
        <x:v>PARTIAL</x:v>
      </x:c>
      <x:c r="J14" s="16" t="str">
        <x:v>Reconciled two-mode projection chapter</x:v>
      </x:c>
      <x:c r="K14" s="16" t="str">
        <x:v>research/force/projection; research/force/reception</x:v>
      </x:c>
      <x:c r="L14" s="9" t="n">
        <x:v>8</x:v>
      </x:c>
    </x:row>
    <x:row r="15">
      <x:c r="A15" s="9" t="str">
        <x:v>CH09</x:v>
      </x:c>
      <x:c r="B15" s="9" t="str">
        <x:v>Technology and invention portfolio</x:v>
      </x:c>
      <x:c r="C15" s="16" t="str">
        <x:v>Which advances a peer institution must deliberately create</x:v>
      </x:c>
      <x:c r="D15" s="16" t="str">
        <x:v>Mission failure produces invention programs, rival roots and destructive proof</x:v>
      </x:c>
      <x:c r="E15" s="9" t="n">
        <x:f>COUNTIFS('Closure Gates'!$B$7:$B$76,A15,'Closure Gates'!$H$7:$H$76,1)</x:f>
        <x:v>4</x:v>
      </x:c>
      <x:c r="F15" s="9" t="n">
        <x:f>COUNTIFS('Closure Gates'!$B$7:$B$76,A15,'Closure Gates'!$H$7:$H$76,0)</x:f>
        <x:v>1</x:v>
      </x:c>
      <x:c r="G15" s="9" t="n">
        <x:f>E15+F15</x:f>
        <x:v>5</x:v>
      </x:c>
      <x:c r="H15" s="19" t="n">
        <x:f>E15/G15</x:f>
        <x:v>0.8</x:v>
      </x:c>
      <x:c r="I15" s="9" t="str">
        <x:f>IF(E15=G15,"PUBLICATION READY",IF(E15=0,"NOT READY","PARTIAL"))</x:f>
        <x:v>PARTIAL</x:v>
      </x:c>
      <x:c r="J15" s="16" t="str">
        <x:v>Portfolio synthesis across the twenty-four technology orders</x:v>
      </x:c>
      <x:c r="K15" s="16" t="str">
        <x:v>research/force/generation; research/proving</x:v>
      </x:c>
      <x:c r="L15" s="9" t="n">
        <x:v>9</x:v>
      </x:c>
    </x:row>
    <x:row r="16">
      <x:c r="A16" s="9" t="str">
        <x:v>CH10</x:v>
      </x:c>
      <x:c r="B16" s="9" t="str">
        <x:v>Industrial economy and market design</x:v>
      </x:c>
      <x:c r="C16" s="16" t="str">
        <x:v>What Lockheed-scale resilience industry would own, build and export</x:v>
      </x:c>
      <x:c r="D16" s="16" t="str">
        <x:v>Root houses, public technical estates, second sources and paid failure resist prime convergence</x:v>
      </x:c>
      <x:c r="E16" s="9" t="n">
        <x:f>COUNTIFS('Closure Gates'!$B$7:$B$76,A16,'Closure Gates'!$H$7:$H$76,1)</x:f>
        <x:v>3</x:v>
      </x:c>
      <x:c r="F16" s="9" t="n">
        <x:f>COUNTIFS('Closure Gates'!$B$7:$B$76,A16,'Closure Gates'!$H$7:$H$76,0)</x:f>
        <x:v>2</x:v>
      </x:c>
      <x:c r="G16" s="9" t="n">
        <x:f>E16+F16</x:f>
        <x:v>5</x:v>
      </x:c>
      <x:c r="H16" s="19" t="n">
        <x:f>E16/G16</x:f>
        <x:v>0.6</x:v>
      </x:c>
      <x:c r="I16" s="9" t="str">
        <x:f>IF(E16=G16,"PUBLICATION READY",IF(E16=0,"NOT READY","PARTIAL"))</x:f>
        <x:v>PARTIAL</x:v>
      </x:c>
      <x:c r="J16" s="16" t="str">
        <x:v>Industrial scale, learning and export model</x:v>
      </x:c>
      <x:c r="K16" s="16" t="str">
        <x:v>research/programmatics; Passes 186-187, 207</x:v>
      </x:c>
      <x:c r="L16" s="9" t="n">
        <x:v>10</x:v>
      </x:c>
    </x:row>
    <x:row r="17">
      <x:c r="A17" s="9" t="str">
        <x:v>CH11</x:v>
      </x:c>
      <x:c r="B17" s="9" t="str">
        <x:v>Workforce, basing and readiness</x:v>
      </x:c>
      <x:c r="C17" s="16" t="str">
        <x:v>How the force remains professional, distributed and continuously ready</x:v>
      </x:c>
      <x:c r="D17" s="16" t="str">
        <x:v>Civil service, reserve, covenant, industrial and partner statuses carry different duties</x:v>
      </x:c>
      <x:c r="E17" s="9" t="n">
        <x:f>COUNTIFS('Closure Gates'!$B$7:$B$76,A17,'Closure Gates'!$H$7:$H$76,1)</x:f>
        <x:v>4</x:v>
      </x:c>
      <x:c r="F17" s="9" t="n">
        <x:f>COUNTIFS('Closure Gates'!$B$7:$B$76,A17,'Closure Gates'!$H$7:$H$76,0)</x:f>
        <x:v>1</x:v>
      </x:c>
      <x:c r="G17" s="9" t="n">
        <x:f>E17+F17</x:f>
        <x:v>5</x:v>
      </x:c>
      <x:c r="H17" s="19" t="n">
        <x:f>E17/G17</x:f>
        <x:v>0.8</x:v>
      </x:c>
      <x:c r="I17" s="9" t="str">
        <x:f>IF(E17=G17,"PUBLICATION READY",IF(E17=0,"NOT READY","PARTIAL"))</x:f>
        <x:v>PARTIAL</x:v>
      </x:c>
      <x:c r="J17" s="16" t="str">
        <x:v>Integrated workforce and readiness narrative</x:v>
      </x:c>
      <x:c r="K17" s="16" t="str">
        <x:v>research/mandate; Passes 167, 203</x:v>
      </x:c>
      <x:c r="L17" s="9" t="n">
        <x:v>11</x:v>
      </x:c>
    </x:row>
    <x:row r="18">
      <x:c r="A18" s="9" t="str">
        <x:v>CH12</x:v>
      </x:c>
      <x:c r="B18" s="9" t="str">
        <x:v>Finance and program reconciliation</x:v>
      </x:c>
      <x:c r="C18" s="16" t="str">
        <x:v>What coequal ambition costs and which quantities are comparable</x:v>
      </x:c>
      <x:c r="D18" s="16" t="str">
        <x:v>Capital, operations, incident expenditure, transfers and avoided loss remain separate</x:v>
      </x:c>
      <x:c r="E18" s="9" t="n">
        <x:f>COUNTIFS('Closure Gates'!$B$7:$B$76,A18,'Closure Gates'!$H$7:$H$76,1)</x:f>
        <x:v>3</x:v>
      </x:c>
      <x:c r="F18" s="9" t="n">
        <x:f>COUNTIFS('Closure Gates'!$B$7:$B$76,A18,'Closure Gates'!$H$7:$H$76,0)</x:f>
        <x:v>2</x:v>
      </x:c>
      <x:c r="G18" s="9" t="n">
        <x:f>E18+F18</x:f>
        <x:v>5</x:v>
      </x:c>
      <x:c r="H18" s="19" t="n">
        <x:f>E18/G18</x:f>
        <x:v>0.6</x:v>
      </x:c>
      <x:c r="I18" s="9" t="str">
        <x:f>IF(E18=G18,"PUBLICATION READY",IF(E18=0,"NOT READY","PARTIAL"))</x:f>
        <x:v>PARTIAL</x:v>
      </x:c>
      <x:c r="J18" s="16" t="str">
        <x:v>One reconciled national program and uncertainty range</x:v>
      </x:c>
      <x:c r="K18" s="16" t="str">
        <x:v>models/programmatics; research/programmatics</x:v>
      </x:c>
      <x:c r="L18" s="9" t="n">
        <x:v>12</x:v>
      </x:c>
    </x:row>
    <x:row r="19">
      <x:c r="A19" s="9" t="str">
        <x:v>CH13</x:v>
      </x:c>
      <x:c r="B19" s="9" t="str">
        <x:v>Integrated strategic synthesis</x:v>
      </x:c>
      <x:c r="C19" s="16" t="str">
        <x:v>How all decisions become one argument a senior reader can reconstruct</x:v>
      </x:c>
      <x:c r="D19" s="16" t="str">
        <x:v>The strategic study, frontier and history have distinct publication roles</x:v>
      </x:c>
      <x:c r="E19" s="9" t="n">
        <x:f>COUNTIFS('Closure Gates'!$B$7:$B$76,A19,'Closure Gates'!$H$7:$H$76,1)</x:f>
        <x:v>1</x:v>
      </x:c>
      <x:c r="F19" s="9" t="n">
        <x:f>COUNTIFS('Closure Gates'!$B$7:$B$76,A19,'Closure Gates'!$H$7:$H$76,0)</x:f>
        <x:v>4</x:v>
      </x:c>
      <x:c r="G19" s="9" t="n">
        <x:f>E19+F19</x:f>
        <x:v>5</x:v>
      </x:c>
      <x:c r="H19" s="19" t="n">
        <x:f>E19/G19</x:f>
        <x:v>0.2</x:v>
      </x:c>
      <x:c r="I19" s="9" t="str">
        <x:f>IF(E19=G19,"PUBLICATION READY",IF(E19=0,"NOT READY","PARTIAL"))</x:f>
        <x:v>PARTIAL</x:v>
      </x:c>
      <x:c r="J19" s="16" t="str">
        <x:v>Full manuscript rewrite and claim audit</x:v>
      </x:c>
      <x:c r="K19" s="16" t="str">
        <x:v>research/synthesis/strategic-study.md</x:v>
      </x:c>
      <x:c r="L19" s="9" t="n">
        <x:v>13</x:v>
      </x:c>
    </x:row>
    <x:row r="20">
      <x:c r="A20" s="9" t="str">
        <x:v>CH14</x:v>
      </x:c>
      <x:c r="B20" s="9" t="str">
        <x:v>Technical visual atlas</x:v>
      </x:c>
      <x:c r="C20" s="16" t="str">
        <x:v>Which forms may be shown without converting visual coherence into evidence</x:v>
      </x:c>
      <x:c r="D20" s="16" t="str">
        <x:v>Representation class follows first-principles requirement and configuration maturity</x:v>
      </x:c>
      <x:c r="E20" s="9" t="n">
        <x:f>COUNTIFS('Closure Gates'!$B$7:$B$76,A20,'Closure Gates'!$H$7:$H$76,1)</x:f>
        <x:v>0</x:v>
      </x:c>
      <x:c r="F20" s="9" t="n">
        <x:f>COUNTIFS('Closure Gates'!$B$7:$B$76,A20,'Closure Gates'!$H$7:$H$76,0)</x:f>
        <x:v>5</x:v>
      </x:c>
      <x:c r="G20" s="9" t="n">
        <x:f>E20+F20</x:f>
        <x:v>5</x:v>
      </x:c>
      <x:c r="H20" s="19" t="n">
        <x:f>E20/G20</x:f>
        <x:v>0</x:v>
      </x:c>
      <x:c r="I20" s="9" t="str">
        <x:f>IF(E20=G20,"PUBLICATION READY",IF(E20=0,"NOT READY","PARTIAL"))</x:f>
        <x:v>NOT READY</x:v>
      </x:c>
      <x:c r="J20" s="16" t="str">
        <x:v>Technical plates and final rendering portfolio</x:v>
      </x:c>
      <x:c r="K20" s="16" t="str">
        <x:v>models/previews; representation ladder</x:v>
      </x:c>
      <x:c r="L20" s="9" t="n">
        <x:v>14</x:v>
      </x:c>
    </x:row>
  </x:sheetData>
  <x:conditionalFormatting sqref="I7:I20">
    <x:cfRule type="containsText" dxfId="11" priority="1" operator="containsText" text="OPEN"/>
    <x:cfRule type="containsText" dxfId="12" priority="2" operator="containsText" text="PARTIAL"/>
    <x:cfRule type="containsText" dxfId="13" priority="3" operator="containsText" text="HELD"/>
    <x:cfRule type="containsText" dxfId="14" priority="4" operator="containsText" text="NOT READY"/>
    <x:cfRule type="containsText" dxfId="15" priority="5" operator="containsText" text="REQUIRES"/>
    <x:cfRule type="containsText" dxfId="16" priority="6" operator="containsText" text="FAIL"/>
    <x:cfRule type="containsText" dxfId="17" priority="7" operator="containsText" text="PROHIBITED"/>
    <x:cfRule type="containsText" dxfId="18" priority="8" operator="containsText" text="INVALID"/>
    <x:cfRule type="containsText" dxfId="19" priority="9" operator="containsText" text="CLOSED"/>
    <x:cfRule type="containsText" dxfId="20" priority="10" operator="containsText" text="PUBLICATION READY"/>
    <x:cfRule type="containsText" dxfId="21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1e710aa3c7de4fd6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0" hidden="0" customWidth="1"/>
    <x:col min="5" max="5" width="20" hidden="0" customWidth="1"/>
    <x:col min="6" max="6" width="66" hidden="0" customWidth="1"/>
    <x:col min="7" max="7" width="52" hidden="0" customWidth="1"/>
    <x:col min="8" max="8" width="12" hidden="0" customWidth="1"/>
    <x:col min="9" max="9" width="14" hidden="0" customWidth="1"/>
    <x:col min="10" max="10" width="50" hidden="0" customWidth="1"/>
    <x:col min="11" max="11" width="18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>
      <x:c r="A2" s="24" t="str">
        <x:v>Seventy publication gates across fourteen final chapters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  <x:c r="J5" s="9"/>
      <x:c r="K5" s="9"/>
    </x:row>
    <x:row r="6" ht="34" customHeight="1">
      <x:c r="A6" s="28" t="str">
        <x:v>Gate record</x:v>
      </x:c>
      <x:c r="B6" s="28" t="str">
        <x:v>Chapter</x:v>
      </x:c>
      <x:c r="C6" s="28" t="str">
        <x:v>Chapter title</x:v>
      </x:c>
      <x:c r="D6" s="28" t="str">
        <x:v>Gate</x:v>
      </x:c>
      <x:c r="E6" s="28" t="str">
        <x:v>Gate class</x:v>
      </x:c>
      <x:c r="F6" s="28" t="str">
        <x:v>Closure criterion</x:v>
      </x:c>
      <x:c r="G6" s="28" t="str">
        <x:v>Current basis</x:v>
      </x:c>
      <x:c r="H6" s="28" t="str">
        <x:v>Closed</x:v>
      </x:c>
      <x:c r="I6" s="28" t="str">
        <x:v>Status</x:v>
      </x:c>
      <x:c r="J6" s="28" t="str">
        <x:v>Internal source</x:v>
      </x:c>
      <x:c r="K6" s="28" t="str">
        <x:v>Record multiplicity</x:v>
      </x:c>
    </x:row>
    <x:row r="7">
      <x:c r="A7" s="9" t="str">
        <x:v>CH01-G1</x:v>
      </x:c>
      <x:c r="B7" s="9" t="str">
        <x:v>CH01</x:v>
      </x:c>
      <x:c r="C7" s="9" t="str">
        <x:v>Strategic proposition</x:v>
      </x:c>
      <x:c r="D7" s="9" t="str">
        <x:v>G1</x:v>
      </x:c>
      <x:c r="E7" s="9" t="str">
        <x:v>Requirement</x:v>
      </x:c>
      <x:c r="F7" s="16" t="str">
        <x:v>The chapter states the public or strategic question and a falsifiable denominator</x:v>
      </x:c>
      <x:c r="G7" s="16" t="str">
        <x:v>Why coequal resilience power is a national-power function</x:v>
      </x:c>
      <x:c r="H7" s="31" t="n">
        <x:v>1</x:v>
      </x:c>
      <x:c r="I7" s="9" t="str">
        <x:f>IF(H7=1,"CLOSED","OPEN")</x:f>
        <x:v>CLOSED</x:v>
      </x:c>
      <x:c r="J7" s="16" t="str">
        <x:v>README.md; research/synthesis/strategic-study.md</x:v>
      </x:c>
      <x:c r="K7" s="9" t="n">
        <x:f>COUNTIFS($A$7:$A$76,A7)</x:f>
        <x:v>1</x:v>
      </x:c>
    </x:row>
    <x:row r="8">
      <x:c r="A8" s="9" t="str">
        <x:v>CH01-G2</x:v>
      </x:c>
      <x:c r="B8" s="9" t="str">
        <x:v>CH01</x:v>
      </x:c>
      <x:c r="C8" s="9" t="str">
        <x:v>Strategic proposition</x:v>
      </x:c>
      <x:c r="D8" s="9" t="str">
        <x:v>G2</x:v>
      </x:c>
      <x:c r="E8" s="9" t="str">
        <x:v>Architecture</x:v>
      </x:c>
      <x:c r="F8" s="16" t="str">
        <x:v>The chapter selects a controlling architecture and records rejected or superseded alternatives</x:v>
      </x:c>
      <x:c r="G8" s="16" t="str">
        <x:v>Resilience is measured by preserved and restored civil service, not assets dispatched</x:v>
      </x:c>
      <x:c r="H8" s="31" t="n">
        <x:v>1</x:v>
      </x:c>
      <x:c r="I8" s="9" t="str">
        <x:f>IF(H8=1,"CLOSED","OPEN")</x:f>
        <x:v>CLOSED</x:v>
      </x:c>
      <x:c r="J8" s="16" t="str">
        <x:v>README.md; research/synthesis/strategic-study.md</x:v>
      </x:c>
      <x:c r="K8" s="9" t="n">
        <x:f>COUNTIFS($A$7:$A$76,A8)</x:f>
        <x:v>1</x:v>
      </x:c>
    </x:row>
    <x:row r="9">
      <x:c r="A9" s="9" t="str">
        <x:v>CH01-G3</x:v>
      </x:c>
      <x:c r="B9" s="9" t="str">
        <x:v>CH01</x:v>
      </x:c>
      <x:c r="C9" s="9" t="str">
        <x:v>Strategic proposition</x:v>
      </x:c>
      <x:c r="D9" s="9" t="str">
        <x:v>G3</x:v>
      </x:c>
      <x:c r="E9" s="9" t="str">
        <x:v>Quantification</x:v>
      </x:c>
      <x:c r="F9" s="16" t="str">
        <x:v>The chapter carries at least one reconciled quantitative boundary with units and status</x:v>
      </x:c>
      <x:c r="G9" s="16" t="str">
        <x:v>Controlling model or bounded quantity exists</x:v>
      </x:c>
      <x:c r="H9" s="31" t="n">
        <x:v>1</x:v>
      </x:c>
      <x:c r="I9" s="9" t="str">
        <x:f>IF(H9=1,"CLOSED","OPEN")</x:f>
        <x:v>CLOSED</x:v>
      </x:c>
      <x:c r="J9" s="16" t="str">
        <x:v>README.md; research/synthesis/strategic-study.md</x:v>
      </x:c>
      <x:c r="K9" s="9" t="n">
        <x:f>COUNTIFS($A$7:$A$76,A9)</x:f>
        <x:v>1</x:v>
      </x:c>
    </x:row>
    <x:row r="10">
      <x:c r="A10" s="9" t="str">
        <x:v>CH01-G4</x:v>
      </x:c>
      <x:c r="B10" s="9" t="str">
        <x:v>CH01</x:v>
      </x:c>
      <x:c r="C10" s="9" t="str">
        <x:v>Strategic proposition</x:v>
      </x:c>
      <x:c r="D10" s="9" t="str">
        <x:v>G4</x:v>
      </x:c>
      <x:c r="E10" s="9" t="str">
        <x:v>Integration</x:v>
      </x:c>
      <x:c r="F10" s="16" t="str">
        <x:v>The chapter reconciles its claims with adjacent institution, force, technology and fiscal decisions</x:v>
      </x:c>
      <x:c r="G10" s="16" t="str">
        <x:v>Adjacent decisions are explicitly nonconverting</x:v>
      </x:c>
      <x:c r="H10" s="31" t="n">
        <x:v>1</x:v>
      </x:c>
      <x:c r="I10" s="9" t="str">
        <x:f>IF(H10=1,"CLOSED","OPEN")</x:f>
        <x:v>CLOSED</x:v>
      </x:c>
      <x:c r="J10" s="16" t="str">
        <x:v>README.md; research/synthesis/strategic-study.md</x:v>
      </x:c>
      <x:c r="K10" s="9" t="n">
        <x:f>COUNTIFS($A$7:$A$76,A10)</x:f>
        <x:v>1</x:v>
      </x:c>
    </x:row>
    <x:row r="11">
      <x:c r="A11" s="9" t="str">
        <x:v>CH01-G5</x:v>
      </x:c>
      <x:c r="B11" s="9" t="str">
        <x:v>CH01</x:v>
      </x:c>
      <x:c r="C11" s="9" t="str">
        <x:v>Strategic proposition</x:v>
      </x:c>
      <x:c r="D11" s="9" t="str">
        <x:v>G5</x:v>
      </x:c>
      <x:c r="E11" s="9" t="str">
        <x:v>Reader asset</x:v>
      </x:c>
      <x:c r="F11" s="16" t="str">
        <x:v>The final reader can understand the chapter without pass chronology or repository archaeology</x:v>
      </x:c>
      <x:c r="G11" s="16" t="str">
        <x:v>Current prose is independently readable</x:v>
      </x:c>
      <x:c r="H11" s="31" t="n">
        <x:v>1</x:v>
      </x:c>
      <x:c r="I11" s="9" t="str">
        <x:f>IF(H11=1,"CLOSED","OPEN")</x:f>
        <x:v>CLOSED</x:v>
      </x:c>
      <x:c r="J11" s="16" t="str">
        <x:v>README.md; research/synthesis/strategic-study.md</x:v>
      </x:c>
      <x:c r="K11" s="9" t="n">
        <x:f>COUNTIFS($A$7:$A$76,A11)</x:f>
        <x:v>1</x:v>
      </x:c>
    </x:row>
    <x:row r="12">
      <x:c r="A12" s="9" t="str">
        <x:v>CH02-G1</x:v>
      </x:c>
      <x:c r="B12" s="9" t="str">
        <x:v>CH02</x:v>
      </x:c>
      <x:c r="C12" s="9" t="str">
        <x:v>Public service contract</x:v>
      </x:c>
      <x:c r="D12" s="9" t="str">
        <x:v>G1</x:v>
      </x:c>
      <x:c r="E12" s="9" t="str">
        <x:v>Requirement</x:v>
      </x:c>
      <x:c r="F12" s="16" t="str">
        <x:v>The chapter states the public or strategic question and a falsifiable denominator</x:v>
      </x:c>
      <x:c r="G12" s="16" t="str">
        <x:v>What the institution owes people through catastrophe</x:v>
      </x:c>
      <x:c r="H12" s="31" t="n">
        <x:v>1</x:v>
      </x:c>
      <x:c r="I12" s="9" t="str">
        <x:f>IF(H12=1,"CLOSED","OPEN")</x:f>
        <x:v>CLOSED</x:v>
      </x:c>
      <x:c r="J12" s="16" t="str">
        <x:v>research/mandate; research/systems</x:v>
      </x:c>
      <x:c r="K12" s="9" t="n">
        <x:f>COUNTIFS($A$7:$A$76,A12)</x:f>
        <x:v>1</x:v>
      </x:c>
    </x:row>
    <x:row r="13">
      <x:c r="A13" s="9" t="str">
        <x:v>CH02-G2</x:v>
      </x:c>
      <x:c r="B13" s="9" t="str">
        <x:v>CH02</x:v>
      </x:c>
      <x:c r="C13" s="9" t="str">
        <x:v>Public service contract</x:v>
      </x:c>
      <x:c r="D13" s="9" t="str">
        <x:v>G2</x:v>
      </x:c>
      <x:c r="E13" s="9" t="str">
        <x:v>Architecture</x:v>
      </x:c>
      <x:c r="F13" s="16" t="str">
        <x:v>The chapter selects a controlling architecture and records rejected or superseded alternatives</x:v>
      </x:c>
      <x:c r="G13" s="16" t="str">
        <x:v>Nine public effects and complete service chains govern force credit</x:v>
      </x:c>
      <x:c r="H13" s="31" t="n">
        <x:v>1</x:v>
      </x:c>
      <x:c r="I13" s="9" t="str">
        <x:f>IF(H13=1,"CLOSED","OPEN")</x:f>
        <x:v>CLOSED</x:v>
      </x:c>
      <x:c r="J13" s="16" t="str">
        <x:v>research/mandate; research/systems</x:v>
      </x:c>
      <x:c r="K13" s="9" t="n">
        <x:f>COUNTIFS($A$7:$A$76,A13)</x:f>
        <x:v>1</x:v>
      </x:c>
    </x:row>
    <x:row r="14">
      <x:c r="A14" s="9" t="str">
        <x:v>CH02-G3</x:v>
      </x:c>
      <x:c r="B14" s="9" t="str">
        <x:v>CH02</x:v>
      </x:c>
      <x:c r="C14" s="9" t="str">
        <x:v>Public service contract</x:v>
      </x:c>
      <x:c r="D14" s="9" t="str">
        <x:v>G3</x:v>
      </x:c>
      <x:c r="E14" s="9" t="str">
        <x:v>Quantification</x:v>
      </x:c>
      <x:c r="F14" s="16" t="str">
        <x:v>The chapter carries at least one reconciled quantitative boundary with units and status</x:v>
      </x:c>
      <x:c r="G14" s="16" t="str">
        <x:v>Controlling model or bounded quantity exists</x:v>
      </x:c>
      <x:c r="H14" s="31" t="n">
        <x:v>1</x:v>
      </x:c>
      <x:c r="I14" s="9" t="str">
        <x:f>IF(H14=1,"CLOSED","OPEN")</x:f>
        <x:v>CLOSED</x:v>
      </x:c>
      <x:c r="J14" s="16" t="str">
        <x:v>research/mandate; research/systems</x:v>
      </x:c>
      <x:c r="K14" s="9" t="n">
        <x:f>COUNTIFS($A$7:$A$76,A14)</x:f>
        <x:v>1</x:v>
      </x:c>
    </x:row>
    <x:row r="15">
      <x:c r="A15" s="9" t="str">
        <x:v>CH02-G4</x:v>
      </x:c>
      <x:c r="B15" s="9" t="str">
        <x:v>CH02</x:v>
      </x:c>
      <x:c r="C15" s="9" t="str">
        <x:v>Public service contract</x:v>
      </x:c>
      <x:c r="D15" s="9" t="str">
        <x:v>G4</x:v>
      </x:c>
      <x:c r="E15" s="9" t="str">
        <x:v>Integration</x:v>
      </x:c>
      <x:c r="F15" s="16" t="str">
        <x:v>The chapter reconciles its claims with adjacent institution, force, technology and fiscal decisions</x:v>
      </x:c>
      <x:c r="G15" s="16" t="str">
        <x:v>Adjacent decisions are explicitly nonconverting</x:v>
      </x:c>
      <x:c r="H15" s="31" t="n">
        <x:v>1</x:v>
      </x:c>
      <x:c r="I15" s="9" t="str">
        <x:f>IF(H15=1,"CLOSED","OPEN")</x:f>
        <x:v>CLOSED</x:v>
      </x:c>
      <x:c r="J15" s="16" t="str">
        <x:v>research/mandate; research/systems</x:v>
      </x:c>
      <x:c r="K15" s="9" t="n">
        <x:f>COUNTIFS($A$7:$A$76,A15)</x:f>
        <x:v>1</x:v>
      </x:c>
    </x:row>
    <x:row r="16">
      <x:c r="A16" s="9" t="str">
        <x:v>CH02-G5</x:v>
      </x:c>
      <x:c r="B16" s="9" t="str">
        <x:v>CH02</x:v>
      </x:c>
      <x:c r="C16" s="9" t="str">
        <x:v>Public service contract</x:v>
      </x:c>
      <x:c r="D16" s="9" t="str">
        <x:v>G5</x:v>
      </x:c>
      <x:c r="E16" s="9" t="str">
        <x:v>Reader asset</x:v>
      </x:c>
      <x:c r="F16" s="16" t="str">
        <x:v>The final reader can understand the chapter without pass chronology or repository archaeology</x:v>
      </x:c>
      <x:c r="G16" s="16" t="str">
        <x:v>Current prose is independently readable</x:v>
      </x:c>
      <x:c r="H16" s="31" t="n">
        <x:v>1</x:v>
      </x:c>
      <x:c r="I16" s="9" t="str">
        <x:f>IF(H16=1,"CLOSED","OPEN")</x:f>
        <x:v>CLOSED</x:v>
      </x:c>
      <x:c r="J16" s="16" t="str">
        <x:v>research/mandate; research/systems</x:v>
      </x:c>
      <x:c r="K16" s="9" t="n">
        <x:f>COUNTIFS($A$7:$A$76,A16)</x:f>
        <x:v>1</x:v>
      </x:c>
    </x:row>
    <x:row r="17">
      <x:c r="A17" s="9" t="str">
        <x:v>CH03-G1</x:v>
      </x:c>
      <x:c r="B17" s="9" t="str">
        <x:v>CH03</x:v>
      </x:c>
      <x:c r="C17" s="9" t="str">
        <x:v>Department and authorities</x:v>
      </x:c>
      <x:c r="D17" s="9" t="str">
        <x:v>G1</x:v>
      </x:c>
      <x:c r="E17" s="9" t="str">
        <x:v>Requirement</x:v>
      </x:c>
      <x:c r="F17" s="16" t="str">
        <x:v>The chapter states the public or strategic question and a falsifiable denominator</x:v>
      </x:c>
      <x:c r="G17" s="16" t="str">
        <x:v>Which institution can own the promise without emergency self-authorization</x:v>
      </x:c>
      <x:c r="H17" s="31" t="n">
        <x:v>1</x:v>
      </x:c>
      <x:c r="I17" s="9" t="str">
        <x:f>IF(H17=1,"CLOSED","OPEN")</x:f>
        <x:v>CLOSED</x:v>
      </x:c>
      <x:c r="J17" s="16" t="str">
        <x:v>research/mandate; Passes 201-205</x:v>
      </x:c>
      <x:c r="K17" s="9" t="n">
        <x:f>COUNTIFS($A$7:$A$76,A17)</x:f>
        <x:v>1</x:v>
      </x:c>
    </x:row>
    <x:row r="18">
      <x:c r="A18" s="9" t="str">
        <x:v>CH03-G2</x:v>
      </x:c>
      <x:c r="B18" s="9" t="str">
        <x:v>CH03</x:v>
      </x:c>
      <x:c r="C18" s="9" t="str">
        <x:v>Department and authorities</x:v>
      </x:c>
      <x:c r="D18" s="9" t="str">
        <x:v>G2</x:v>
      </x:c>
      <x:c r="E18" s="9" t="str">
        <x:v>Architecture</x:v>
      </x:c>
      <x:c r="F18" s="16" t="str">
        <x:v>The chapter selects a controlling architecture and records rejected or superseded alternatives</x:v>
      </x:c>
      <x:c r="G18" s="16" t="str">
        <x:v>A cabinet Department, civil principal and separated warranted authorities</x:v>
      </x:c>
      <x:c r="H18" s="31" t="n">
        <x:v>1</x:v>
      </x:c>
      <x:c r="I18" s="9" t="str">
        <x:f>IF(H18=1,"CLOSED","OPEN")</x:f>
        <x:v>CLOSED</x:v>
      </x:c>
      <x:c r="J18" s="16" t="str">
        <x:v>research/mandate; Passes 201-205</x:v>
      </x:c>
      <x:c r="K18" s="9" t="n">
        <x:f>COUNTIFS($A$7:$A$76,A18)</x:f>
        <x:v>1</x:v>
      </x:c>
    </x:row>
    <x:row r="19">
      <x:c r="A19" s="9" t="str">
        <x:v>CH03-G3</x:v>
      </x:c>
      <x:c r="B19" s="9" t="str">
        <x:v>CH03</x:v>
      </x:c>
      <x:c r="C19" s="9" t="str">
        <x:v>Department and authorities</x:v>
      </x:c>
      <x:c r="D19" s="9" t="str">
        <x:v>G3</x:v>
      </x:c>
      <x:c r="E19" s="9" t="str">
        <x:v>Quantification</x:v>
      </x:c>
      <x:c r="F19" s="16" t="str">
        <x:v>The chapter carries at least one reconciled quantitative boundary with units and status</x:v>
      </x:c>
      <x:c r="G19" s="16" t="str">
        <x:v>Controlling model or bounded quantity exists</x:v>
      </x:c>
      <x:c r="H19" s="31" t="n">
        <x:v>1</x:v>
      </x:c>
      <x:c r="I19" s="9" t="str">
        <x:f>IF(H19=1,"CLOSED","OPEN")</x:f>
        <x:v>CLOSED</x:v>
      </x:c>
      <x:c r="J19" s="16" t="str">
        <x:v>research/mandate; Passes 201-205</x:v>
      </x:c>
      <x:c r="K19" s="9" t="n">
        <x:f>COUNTIFS($A$7:$A$76,A19)</x:f>
        <x:v>1</x:v>
      </x:c>
    </x:row>
    <x:row r="20">
      <x:c r="A20" s="9" t="str">
        <x:v>CH03-G4</x:v>
      </x:c>
      <x:c r="B20" s="9" t="str">
        <x:v>CH03</x:v>
      </x:c>
      <x:c r="C20" s="9" t="str">
        <x:v>Department and authorities</x:v>
      </x:c>
      <x:c r="D20" s="9" t="str">
        <x:v>G4</x:v>
      </x:c>
      <x:c r="E20" s="9" t="str">
        <x:v>Integration</x:v>
      </x:c>
      <x:c r="F20" s="16" t="str">
        <x:v>The chapter reconciles its claims with adjacent institution, force, technology and fiscal decisions</x:v>
      </x:c>
      <x:c r="G20" s="16" t="str">
        <x:v>Adjacent decisions are explicitly nonconverting</x:v>
      </x:c>
      <x:c r="H20" s="31" t="n">
        <x:v>1</x:v>
      </x:c>
      <x:c r="I20" s="9" t="str">
        <x:f>IF(H20=1,"CLOSED","OPEN")</x:f>
        <x:v>CLOSED</x:v>
      </x:c>
      <x:c r="J20" s="16" t="str">
        <x:v>research/mandate; Passes 201-205</x:v>
      </x:c>
      <x:c r="K20" s="9" t="n">
        <x:f>COUNTIFS($A$7:$A$76,A20)</x:f>
        <x:v>1</x:v>
      </x:c>
    </x:row>
    <x:row r="21">
      <x:c r="A21" s="9" t="str">
        <x:v>CH03-G5</x:v>
      </x:c>
      <x:c r="B21" s="9" t="str">
        <x:v>CH03</x:v>
      </x:c>
      <x:c r="C21" s="9" t="str">
        <x:v>Department and authorities</x:v>
      </x:c>
      <x:c r="D21" s="9" t="str">
        <x:v>G5</x:v>
      </x:c>
      <x:c r="E21" s="9" t="str">
        <x:v>Reader asset</x:v>
      </x:c>
      <x:c r="F21" s="16" t="str">
        <x:v>The final reader can understand the chapter without pass chronology or repository archaeology</x:v>
      </x:c>
      <x:c r="G21" s="16" t="str">
        <x:v>Current prose is independently readable</x:v>
      </x:c>
      <x:c r="H21" s="31" t="n">
        <x:v>1</x:v>
      </x:c>
      <x:c r="I21" s="9" t="str">
        <x:f>IF(H21=1,"CLOSED","OPEN")</x:f>
        <x:v>CLOSED</x:v>
      </x:c>
      <x:c r="J21" s="16" t="str">
        <x:v>research/mandate; Passes 201-205</x:v>
      </x:c>
      <x:c r="K21" s="9" t="n">
        <x:f>COUNTIFS($A$7:$A$76,A21)</x:f>
        <x:v>1</x:v>
      </x:c>
    </x:row>
    <x:row r="22">
      <x:c r="A22" s="9" t="str">
        <x:v>CH04-G1</x:v>
      </x:c>
      <x:c r="B22" s="9" t="str">
        <x:v>CH04</x:v>
      </x:c>
      <x:c r="C22" s="9" t="str">
        <x:v>National force composition</x:v>
      </x:c>
      <x:c r="D22" s="9" t="str">
        <x:v>G1</x:v>
      </x:c>
      <x:c r="E22" s="9" t="str">
        <x:v>Requirement</x:v>
      </x:c>
      <x:c r="F22" s="16" t="str">
        <x:v>The chapter states the public or strategic question and a falsifiable denominator</x:v>
      </x:c>
      <x:c r="G22" s="16" t="str">
        <x:v>What a mature deployable resilience force contains</x:v>
      </x:c>
      <x:c r="H22" s="31" t="n">
        <x:v>1</x:v>
      </x:c>
      <x:c r="I22" s="9" t="str">
        <x:f>IF(H22=1,"CLOSED","OPEN")</x:f>
        <x:v>CLOSED</x:v>
      </x:c>
      <x:c r="J22" s="16" t="str">
        <x:v>research/force/generation; Passes 159-167</x:v>
      </x:c>
      <x:c r="K22" s="9" t="n">
        <x:f>COUNTIFS($A$7:$A$76,A22)</x:f>
        <x:v>1</x:v>
      </x:c>
    </x:row>
    <x:row r="23">
      <x:c r="A23" s="9" t="str">
        <x:v>CH04-G2</x:v>
      </x:c>
      <x:c r="B23" s="9" t="str">
        <x:v>CH04</x:v>
      </x:c>
      <x:c r="C23" s="9" t="str">
        <x:v>National force composition</x:v>
      </x:c>
      <x:c r="D23" s="9" t="str">
        <x:v>G2</x:v>
      </x:c>
      <x:c r="E23" s="9" t="str">
        <x:v>Architecture</x:v>
      </x:c>
      <x:c r="F23" s="16" t="str">
        <x:v>The chapter selects a controlling architecture and records rejected or superseded alternatives</x:v>
      </x:c>
      <x:c r="G23" s="16" t="str">
        <x:v>Seven services generate forty-eight formation families under complete-package rules</x:v>
      </x:c>
      <x:c r="H23" s="31" t="n">
        <x:v>1</x:v>
      </x:c>
      <x:c r="I23" s="9" t="str">
        <x:f>IF(H23=1,"CLOSED","OPEN")</x:f>
        <x:v>CLOSED</x:v>
      </x:c>
      <x:c r="J23" s="16" t="str">
        <x:v>research/force/generation; Passes 159-167</x:v>
      </x:c>
      <x:c r="K23" s="9" t="n">
        <x:f>COUNTIFS($A$7:$A$76,A23)</x:f>
        <x:v>1</x:v>
      </x:c>
    </x:row>
    <x:row r="24">
      <x:c r="A24" s="9" t="str">
        <x:v>CH04-G3</x:v>
      </x:c>
      <x:c r="B24" s="9" t="str">
        <x:v>CH04</x:v>
      </x:c>
      <x:c r="C24" s="9" t="str">
        <x:v>National force composition</x:v>
      </x:c>
      <x:c r="D24" s="9" t="str">
        <x:v>G3</x:v>
      </x:c>
      <x:c r="E24" s="9" t="str">
        <x:v>Quantification</x:v>
      </x:c>
      <x:c r="F24" s="16" t="str">
        <x:v>The chapter carries at least one reconciled quantitative boundary with units and status</x:v>
      </x:c>
      <x:c r="G24" s="16" t="str">
        <x:v>Controlling model or bounded quantity exists</x:v>
      </x:c>
      <x:c r="H24" s="31" t="n">
        <x:v>1</x:v>
      </x:c>
      <x:c r="I24" s="9" t="str">
        <x:f>IF(H24=1,"CLOSED","OPEN")</x:f>
        <x:v>CLOSED</x:v>
      </x:c>
      <x:c r="J24" s="16" t="str">
        <x:v>research/force/generation; Passes 159-167</x:v>
      </x:c>
      <x:c r="K24" s="9" t="n">
        <x:f>COUNTIFS($A$7:$A$76,A24)</x:f>
        <x:v>1</x:v>
      </x:c>
    </x:row>
    <x:row r="25">
      <x:c r="A25" s="9" t="str">
        <x:v>CH04-G4</x:v>
      </x:c>
      <x:c r="B25" s="9" t="str">
        <x:v>CH04</x:v>
      </x:c>
      <x:c r="C25" s="9" t="str">
        <x:v>National force composition</x:v>
      </x:c>
      <x:c r="D25" s="9" t="str">
        <x:v>G4</x:v>
      </x:c>
      <x:c r="E25" s="9" t="str">
        <x:v>Integration</x:v>
      </x:c>
      <x:c r="F25" s="16" t="str">
        <x:v>The chapter reconciles its claims with adjacent institution, force, technology and fiscal decisions</x:v>
      </x:c>
      <x:c r="G25" s="16" t="str">
        <x:v>Adjacent decisions are explicitly nonconverting</x:v>
      </x:c>
      <x:c r="H25" s="31" t="n">
        <x:v>1</x:v>
      </x:c>
      <x:c r="I25" s="9" t="str">
        <x:f>IF(H25=1,"CLOSED","OPEN")</x:f>
        <x:v>CLOSED</x:v>
      </x:c>
      <x:c r="J25" s="16" t="str">
        <x:v>research/force/generation; Passes 159-167</x:v>
      </x:c>
      <x:c r="K25" s="9" t="n">
        <x:f>COUNTIFS($A$7:$A$76,A25)</x:f>
        <x:v>1</x:v>
      </x:c>
    </x:row>
    <x:row r="26">
      <x:c r="A26" s="9" t="str">
        <x:v>CH04-G5</x:v>
      </x:c>
      <x:c r="B26" s="9" t="str">
        <x:v>CH04</x:v>
      </x:c>
      <x:c r="C26" s="9" t="str">
        <x:v>National force composition</x:v>
      </x:c>
      <x:c r="D26" s="9" t="str">
        <x:v>G5</x:v>
      </x:c>
      <x:c r="E26" s="9" t="str">
        <x:v>Reader asset</x:v>
      </x:c>
      <x:c r="F26" s="16" t="str">
        <x:v>The final reader can understand the chapter without pass chronology or repository archaeology</x:v>
      </x:c>
      <x:c r="G26" s="16" t="str">
        <x:v>Current prose is independently readable</x:v>
      </x:c>
      <x:c r="H26" s="31" t="n">
        <x:v>1</x:v>
      </x:c>
      <x:c r="I26" s="9" t="str">
        <x:f>IF(H26=1,"CLOSED","OPEN")</x:f>
        <x:v>CLOSED</x:v>
      </x:c>
      <x:c r="J26" s="16" t="str">
        <x:v>research/force/generation; Passes 159-167</x:v>
      </x:c>
      <x:c r="K26" s="9" t="n">
        <x:f>COUNTIFS($A$7:$A$76,A26)</x:f>
        <x:v>1</x:v>
      </x:c>
    </x:row>
    <x:row r="27">
      <x:c r="A27" s="9" t="str">
        <x:v>CH05-G1</x:v>
      </x:c>
      <x:c r="B27" s="9" t="str">
        <x:v>CH05</x:v>
      </x:c>
      <x:c r="C27" s="9" t="str">
        <x:v>Domestic employment doctrine</x:v>
      </x:c>
      <x:c r="D27" s="9" t="str">
        <x:v>G1</x:v>
      </x:c>
      <x:c r="E27" s="9" t="str">
        <x:v>Requirement</x:v>
      </x:c>
      <x:c r="F27" s="16" t="str">
        <x:v>The chapter states the public or strategic question and a falsifiable denominator</x:v>
      </x:c>
      <x:c r="G27" s="16" t="str">
        <x:v>How the force enters, operates, transfers and returns under civil authority</x:v>
      </x:c>
      <x:c r="H27" s="31" t="n">
        <x:v>1</x:v>
      </x:c>
      <x:c r="I27" s="9" t="str">
        <x:f>IF(H27=1,"CLOSED","OPEN")</x:f>
        <x:v>CLOSED</x:v>
      </x:c>
      <x:c r="J27" s="16" t="str">
        <x:v>research/force/mobility; research/force/reception</x:v>
      </x:c>
      <x:c r="K27" s="9" t="n">
        <x:f>COUNTIFS($A$7:$A$76,A27)</x:f>
        <x:v>1</x:v>
      </x:c>
    </x:row>
    <x:row r="28">
      <x:c r="A28" s="9" t="str">
        <x:v>CH05-G2</x:v>
      </x:c>
      <x:c r="B28" s="9" t="str">
        <x:v>CH05</x:v>
      </x:c>
      <x:c r="C28" s="9" t="str">
        <x:v>Domestic employment doctrine</x:v>
      </x:c>
      <x:c r="D28" s="9" t="str">
        <x:v>G2</x:v>
      </x:c>
      <x:c r="E28" s="9" t="str">
        <x:v>Architecture</x:v>
      </x:c>
      <x:c r="F28" s="16" t="str">
        <x:v>The chapter selects a controlling architecture and records rejected or superseded alternatives</x:v>
      </x:c>
      <x:c r="G28" s="16" t="str">
        <x:v>Protected-local continuity precedes avoidable movement and composes with national reinforcement</x:v>
      </x:c>
      <x:c r="H28" s="31" t="n">
        <x:v>1</x:v>
      </x:c>
      <x:c r="I28" s="9" t="str">
        <x:f>IF(H28=1,"CLOSED","OPEN")</x:f>
        <x:v>CLOSED</x:v>
      </x:c>
      <x:c r="J28" s="16" t="str">
        <x:v>research/force/mobility; research/force/reception</x:v>
      </x:c>
      <x:c r="K28" s="9" t="n">
        <x:f>COUNTIFS($A$7:$A$76,A28)</x:f>
        <x:v>1</x:v>
      </x:c>
    </x:row>
    <x:row r="29">
      <x:c r="A29" s="9" t="str">
        <x:v>CH05-G3</x:v>
      </x:c>
      <x:c r="B29" s="9" t="str">
        <x:v>CH05</x:v>
      </x:c>
      <x:c r="C29" s="9" t="str">
        <x:v>Domestic employment doctrine</x:v>
      </x:c>
      <x:c r="D29" s="9" t="str">
        <x:v>G3</x:v>
      </x:c>
      <x:c r="E29" s="9" t="str">
        <x:v>Quantification</x:v>
      </x:c>
      <x:c r="F29" s="16" t="str">
        <x:v>The chapter carries at least one reconciled quantitative boundary with units and status</x:v>
      </x:c>
      <x:c r="G29" s="16" t="str">
        <x:v>Controlling model or bounded quantity exists</x:v>
      </x:c>
      <x:c r="H29" s="31" t="n">
        <x:v>1</x:v>
      </x:c>
      <x:c r="I29" s="9" t="str">
        <x:f>IF(H29=1,"CLOSED","OPEN")</x:f>
        <x:v>CLOSED</x:v>
      </x:c>
      <x:c r="J29" s="16" t="str">
        <x:v>research/force/mobility; research/force/reception</x:v>
      </x:c>
      <x:c r="K29" s="9" t="n">
        <x:f>COUNTIFS($A$7:$A$76,A29)</x:f>
        <x:v>1</x:v>
      </x:c>
    </x:row>
    <x:row r="30">
      <x:c r="A30" s="9" t="str">
        <x:v>CH05-G4</x:v>
      </x:c>
      <x:c r="B30" s="9" t="str">
        <x:v>CH05</x:v>
      </x:c>
      <x:c r="C30" s="9" t="str">
        <x:v>Domestic employment doctrine</x:v>
      </x:c>
      <x:c r="D30" s="9" t="str">
        <x:v>G4</x:v>
      </x:c>
      <x:c r="E30" s="9" t="str">
        <x:v>Integration</x:v>
      </x:c>
      <x:c r="F30" s="16" t="str">
        <x:v>The chapter reconciles its claims with adjacent institution, force, technology and fiscal decisions</x:v>
      </x:c>
      <x:c r="G30" s="16" t="str">
        <x:v>Adjacent decisions are explicitly nonconverting</x:v>
      </x:c>
      <x:c r="H30" s="31" t="n">
        <x:v>1</x:v>
      </x:c>
      <x:c r="I30" s="9" t="str">
        <x:f>IF(H30=1,"CLOSED","OPEN")</x:f>
        <x:v>CLOSED</x:v>
      </x:c>
      <x:c r="J30" s="16" t="str">
        <x:v>research/force/mobility; research/force/reception</x:v>
      </x:c>
      <x:c r="K30" s="9" t="n">
        <x:f>COUNTIFS($A$7:$A$76,A30)</x:f>
        <x:v>1</x:v>
      </x:c>
    </x:row>
    <x:row r="31">
      <x:c r="A31" s="9" t="str">
        <x:v>CH05-G5</x:v>
      </x:c>
      <x:c r="B31" s="9" t="str">
        <x:v>CH05</x:v>
      </x:c>
      <x:c r="C31" s="9" t="str">
        <x:v>Domestic employment doctrine</x:v>
      </x:c>
      <x:c r="D31" s="9" t="str">
        <x:v>G5</x:v>
      </x:c>
      <x:c r="E31" s="9" t="str">
        <x:v>Reader asset</x:v>
      </x:c>
      <x:c r="F31" s="16" t="str">
        <x:v>The final reader can understand the chapter without pass chronology or repository archaeology</x:v>
      </x:c>
      <x:c r="G31" s="16" t="str">
        <x:v>Reader-facing asset not publication-ready</x:v>
      </x:c>
      <x:c r="H31" s="31" t="n">
        <x:v>0</x:v>
      </x:c>
      <x:c r="I31" s="9" t="str">
        <x:f>IF(H31=1,"CLOSED","OPEN")</x:f>
        <x:v>OPEN</x:v>
      </x:c>
      <x:c r="J31" s="16" t="str">
        <x:v>research/force/mobility; research/force/reception</x:v>
      </x:c>
      <x:c r="K31" s="9" t="n">
        <x:f>COUNTIFS($A$7:$A$76,A31)</x:f>
        <x:v>1</x:v>
      </x:c>
    </x:row>
    <x:row r="32">
      <x:c r="A32" s="9" t="str">
        <x:v>CH06-G1</x:v>
      </x:c>
      <x:c r="B32" s="9" t="str">
        <x:v>CH06</x:v>
      </x:c>
      <x:c r="C32" s="9" t="str">
        <x:v>International projection and partnership</x:v>
      </x:c>
      <x:c r="D32" s="9" t="str">
        <x:v>G1</x:v>
      </x:c>
      <x:c r="E32" s="9" t="str">
        <x:v>Requirement</x:v>
      </x:c>
      <x:c r="F32" s="16" t="str">
        <x:v>The chapter states the public or strategic question and a falsifiable denominator</x:v>
      </x:c>
      <x:c r="G32" s="16" t="str">
        <x:v>How invited missions become strategic power without colonial substitution</x:v>
      </x:c>
      <x:c r="H32" s="31" t="n">
        <x:v>1</x:v>
      </x:c>
      <x:c r="I32" s="9" t="str">
        <x:f>IF(H32=1,"CLOSED","OPEN")</x:f>
        <x:v>CLOSED</x:v>
      </x:c>
      <x:c r="J32" s="16" t="str">
        <x:v>research/force/generation; strategic-study.md</x:v>
      </x:c>
      <x:c r="K32" s="9" t="n">
        <x:f>COUNTIFS($A$7:$A$76,A32)</x:f>
        <x:v>1</x:v>
      </x:c>
    </x:row>
    <x:row r="33">
      <x:c r="A33" s="9" t="str">
        <x:v>CH06-G2</x:v>
      </x:c>
      <x:c r="B33" s="9" t="str">
        <x:v>CH06</x:v>
      </x:c>
      <x:c r="C33" s="9" t="str">
        <x:v>International projection and partnership</x:v>
      </x:c>
      <x:c r="D33" s="9" t="str">
        <x:v>G2</x:v>
      </x:c>
      <x:c r="E33" s="9" t="str">
        <x:v>Architecture</x:v>
      </x:c>
      <x:c r="F33" s="16" t="str">
        <x:v>The chapter selects a controlling architecture and records rejected or superseded alternatives</x:v>
      </x:c>
      <x:c r="G33" s="16" t="str">
        <x:v>Accepted international capacity is non-recallable and host civil authority remains sovereign</x:v>
      </x:c>
      <x:c r="H33" s="31" t="n">
        <x:v>1</x:v>
      </x:c>
      <x:c r="I33" s="9" t="str">
        <x:f>IF(H33=1,"CLOSED","OPEN")</x:f>
        <x:v>CLOSED</x:v>
      </x:c>
      <x:c r="J33" s="16" t="str">
        <x:v>research/force/generation; strategic-study.md</x:v>
      </x:c>
      <x:c r="K33" s="9" t="n">
        <x:f>COUNTIFS($A$7:$A$76,A33)</x:f>
        <x:v>1</x:v>
      </x:c>
    </x:row>
    <x:row r="34">
      <x:c r="A34" s="9" t="str">
        <x:v>CH06-G3</x:v>
      </x:c>
      <x:c r="B34" s="9" t="str">
        <x:v>CH06</x:v>
      </x:c>
      <x:c r="C34" s="9" t="str">
        <x:v>International projection and partnership</x:v>
      </x:c>
      <x:c r="D34" s="9" t="str">
        <x:v>G3</x:v>
      </x:c>
      <x:c r="E34" s="9" t="str">
        <x:v>Quantification</x:v>
      </x:c>
      <x:c r="F34" s="16" t="str">
        <x:v>The chapter carries at least one reconciled quantitative boundary with units and status</x:v>
      </x:c>
      <x:c r="G34" s="16" t="str">
        <x:v>Quantitative reconciliation incomplete</x:v>
      </x:c>
      <x:c r="H34" s="31" t="n">
        <x:v>0</x:v>
      </x:c>
      <x:c r="I34" s="9" t="str">
        <x:f>IF(H34=1,"CLOSED","OPEN")</x:f>
        <x:v>OPEN</x:v>
      </x:c>
      <x:c r="J34" s="16" t="str">
        <x:v>research/force/generation; strategic-study.md</x:v>
      </x:c>
      <x:c r="K34" s="9" t="n">
        <x:f>COUNTIFS($A$7:$A$76,A34)</x:f>
        <x:v>1</x:v>
      </x:c>
    </x:row>
    <x:row r="35">
      <x:c r="A35" s="9" t="str">
        <x:v>CH06-G4</x:v>
      </x:c>
      <x:c r="B35" s="9" t="str">
        <x:v>CH06</x:v>
      </x:c>
      <x:c r="C35" s="9" t="str">
        <x:v>International projection and partnership</x:v>
      </x:c>
      <x:c r="D35" s="9" t="str">
        <x:v>G4</x:v>
      </x:c>
      <x:c r="E35" s="9" t="str">
        <x:v>Integration</x:v>
      </x:c>
      <x:c r="F35" s="16" t="str">
        <x:v>The chapter reconciles its claims with adjacent institution, force, technology and fiscal decisions</x:v>
      </x:c>
      <x:c r="G35" s="16" t="str">
        <x:v>Cross-chapter contradiction remains</x:v>
      </x:c>
      <x:c r="H35" s="31" t="n">
        <x:v>0</x:v>
      </x:c>
      <x:c r="I35" s="9" t="str">
        <x:f>IF(H35=1,"CLOSED","OPEN")</x:f>
        <x:v>OPEN</x:v>
      </x:c>
      <x:c r="J35" s="16" t="str">
        <x:v>research/force/generation; strategic-study.md</x:v>
      </x:c>
      <x:c r="K35" s="9" t="n">
        <x:f>COUNTIFS($A$7:$A$76,A35)</x:f>
        <x:v>1</x:v>
      </x:c>
    </x:row>
    <x:row r="36">
      <x:c r="A36" s="9" t="str">
        <x:v>CH06-G5</x:v>
      </x:c>
      <x:c r="B36" s="9" t="str">
        <x:v>CH06</x:v>
      </x:c>
      <x:c r="C36" s="9" t="str">
        <x:v>International projection and partnership</x:v>
      </x:c>
      <x:c r="D36" s="9" t="str">
        <x:v>G5</x:v>
      </x:c>
      <x:c r="E36" s="9" t="str">
        <x:v>Reader asset</x:v>
      </x:c>
      <x:c r="F36" s="16" t="str">
        <x:v>The final reader can understand the chapter without pass chronology or repository archaeology</x:v>
      </x:c>
      <x:c r="G36" s="16" t="str">
        <x:v>Reader-facing asset not publication-ready</x:v>
      </x:c>
      <x:c r="H36" s="31" t="n">
        <x:v>0</x:v>
      </x:c>
      <x:c r="I36" s="9" t="str">
        <x:f>IF(H36=1,"CLOSED","OPEN")</x:f>
        <x:v>OPEN</x:v>
      </x:c>
      <x:c r="J36" s="16" t="str">
        <x:v>research/force/generation; strategic-study.md</x:v>
      </x:c>
      <x:c r="K36" s="9" t="n">
        <x:f>COUNTIFS($A$7:$A$76,A36)</x:f>
        <x:v>1</x:v>
      </x:c>
    </x:row>
    <x:row r="37">
      <x:c r="A37" s="9" t="str">
        <x:v>CH07-G1</x:v>
      </x:c>
      <x:c r="B37" s="9" t="str">
        <x:v>CH07</x:v>
      </x:c>
      <x:c r="C37" s="9" t="str">
        <x:v>Hazard control and lifeline restoration</x:v>
      </x:c>
      <x:c r="D37" s="9" t="str">
        <x:v>G1</x:v>
      </x:c>
      <x:c r="E37" s="9" t="str">
        <x:v>Requirement</x:v>
      </x:c>
      <x:c r="F37" s="16" t="str">
        <x:v>The chapter states the public or strategic question and a falsifiable denominator</x:v>
      </x:c>
      <x:c r="G37" s="16" t="str">
        <x:v>How fire, flood, water, power, care and continuity become complete missions</x:v>
      </x:c>
      <x:c r="H37" s="31" t="n">
        <x:v>1</x:v>
      </x:c>
      <x:c r="I37" s="9" t="str">
        <x:f>IF(H37=1,"CLOSED","OPEN")</x:f>
        <x:v>CLOSED</x:v>
      </x:c>
      <x:c r="J37" s="16" t="str">
        <x:v>research/systems/fire; flood; water; power</x:v>
      </x:c>
      <x:c r="K37" s="9" t="n">
        <x:f>COUNTIFS($A$7:$A$76,A37)</x:f>
        <x:v>1</x:v>
      </x:c>
    </x:row>
    <x:row r="38">
      <x:c r="A38" s="9" t="str">
        <x:v>CH07-G2</x:v>
      </x:c>
      <x:c r="B38" s="9" t="str">
        <x:v>CH07</x:v>
      </x:c>
      <x:c r="C38" s="9" t="str">
        <x:v>Hazard control and lifeline restoration</x:v>
      </x:c>
      <x:c r="D38" s="9" t="str">
        <x:v>G2</x:v>
      </x:c>
      <x:c r="E38" s="9" t="str">
        <x:v>Architecture</x:v>
      </x:c>
      <x:c r="F38" s="16" t="str">
        <x:v>The chapter selects a controlling architecture and records rejected or superseded alternatives</x:v>
      </x:c>
      <x:c r="G38" s="16" t="str">
        <x:v>Weakest-link service chains and degraded-operation worlds replace equipment nameplate</x:v>
      </x:c>
      <x:c r="H38" s="31" t="n">
        <x:v>1</x:v>
      </x:c>
      <x:c r="I38" s="9" t="str">
        <x:f>IF(H38=1,"CLOSED","OPEN")</x:f>
        <x:v>CLOSED</x:v>
      </x:c>
      <x:c r="J38" s="16" t="str">
        <x:v>research/systems/fire; flood; water; power</x:v>
      </x:c>
      <x:c r="K38" s="9" t="n">
        <x:f>COUNTIFS($A$7:$A$76,A38)</x:f>
        <x:v>1</x:v>
      </x:c>
    </x:row>
    <x:row r="39">
      <x:c r="A39" s="9" t="str">
        <x:v>CH07-G3</x:v>
      </x:c>
      <x:c r="B39" s="9" t="str">
        <x:v>CH07</x:v>
      </x:c>
      <x:c r="C39" s="9" t="str">
        <x:v>Hazard control and lifeline restoration</x:v>
      </x:c>
      <x:c r="D39" s="9" t="str">
        <x:v>G3</x:v>
      </x:c>
      <x:c r="E39" s="9" t="str">
        <x:v>Quantification</x:v>
      </x:c>
      <x:c r="F39" s="16" t="str">
        <x:v>The chapter carries at least one reconciled quantitative boundary with units and status</x:v>
      </x:c>
      <x:c r="G39" s="16" t="str">
        <x:v>Controlling model or bounded quantity exists</x:v>
      </x:c>
      <x:c r="H39" s="31" t="n">
        <x:v>1</x:v>
      </x:c>
      <x:c r="I39" s="9" t="str">
        <x:f>IF(H39=1,"CLOSED","OPEN")</x:f>
        <x:v>CLOSED</x:v>
      </x:c>
      <x:c r="J39" s="16" t="str">
        <x:v>research/systems/fire; flood; water; power</x:v>
      </x:c>
      <x:c r="K39" s="9" t="n">
        <x:f>COUNTIFS($A$7:$A$76,A39)</x:f>
        <x:v>1</x:v>
      </x:c>
    </x:row>
    <x:row r="40">
      <x:c r="A40" s="9" t="str">
        <x:v>CH07-G4</x:v>
      </x:c>
      <x:c r="B40" s="9" t="str">
        <x:v>CH07</x:v>
      </x:c>
      <x:c r="C40" s="9" t="str">
        <x:v>Hazard control and lifeline restoration</x:v>
      </x:c>
      <x:c r="D40" s="9" t="str">
        <x:v>G4</x:v>
      </x:c>
      <x:c r="E40" s="9" t="str">
        <x:v>Integration</x:v>
      </x:c>
      <x:c r="F40" s="16" t="str">
        <x:v>The chapter reconciles its claims with adjacent institution, force, technology and fiscal decisions</x:v>
      </x:c>
      <x:c r="G40" s="16" t="str">
        <x:v>Adjacent decisions are explicitly nonconverting</x:v>
      </x:c>
      <x:c r="H40" s="31" t="n">
        <x:v>1</x:v>
      </x:c>
      <x:c r="I40" s="9" t="str">
        <x:f>IF(H40=1,"CLOSED","OPEN")</x:f>
        <x:v>CLOSED</x:v>
      </x:c>
      <x:c r="J40" s="16" t="str">
        <x:v>research/systems/fire; flood; water; power</x:v>
      </x:c>
      <x:c r="K40" s="9" t="n">
        <x:f>COUNTIFS($A$7:$A$76,A40)</x:f>
        <x:v>1</x:v>
      </x:c>
    </x:row>
    <x:row r="41">
      <x:c r="A41" s="9" t="str">
        <x:v>CH07-G5</x:v>
      </x:c>
      <x:c r="B41" s="9" t="str">
        <x:v>CH07</x:v>
      </x:c>
      <x:c r="C41" s="9" t="str">
        <x:v>Hazard control and lifeline restoration</x:v>
      </x:c>
      <x:c r="D41" s="9" t="str">
        <x:v>G5</x:v>
      </x:c>
      <x:c r="E41" s="9" t="str">
        <x:v>Reader asset</x:v>
      </x:c>
      <x:c r="F41" s="16" t="str">
        <x:v>The final reader can understand the chapter without pass chronology or repository archaeology</x:v>
      </x:c>
      <x:c r="G41" s="16" t="str">
        <x:v>Reader-facing asset not publication-ready</x:v>
      </x:c>
      <x:c r="H41" s="31" t="n">
        <x:v>0</x:v>
      </x:c>
      <x:c r="I41" s="9" t="str">
        <x:f>IF(H41=1,"CLOSED","OPEN")</x:f>
        <x:v>OPEN</x:v>
      </x:c>
      <x:c r="J41" s="16" t="str">
        <x:v>research/systems/fire; flood; water; power</x:v>
      </x:c>
      <x:c r="K41" s="9" t="n">
        <x:f>COUNTIFS($A$7:$A$76,A41)</x:f>
        <x:v>1</x:v>
      </x:c>
    </x:row>
    <x:row r="42">
      <x:c r="A42" s="9" t="str">
        <x:v>CH08-G1</x:v>
      </x:c>
      <x:c r="B42" s="9" t="str">
        <x:v>CH08</x:v>
      </x:c>
      <x:c r="C42" s="9" t="str">
        <x:v>Strategic mobility and reception</x:v>
      </x:c>
      <x:c r="D42" s="9" t="str">
        <x:v>G1</x:v>
      </x:c>
      <x:c r="E42" s="9" t="str">
        <x:v>Requirement</x:v>
      </x:c>
      <x:c r="F42" s="16" t="str">
        <x:v>The chapter states the public or strategic question and a falsifiable denominator</x:v>
      </x:c>
      <x:c r="G42" s="16" t="str">
        <x:v>How complete formations cross distance and become useful at a receiver</x:v>
      </x:c>
      <x:c r="H42" s="31" t="n">
        <x:v>1</x:v>
      </x:c>
      <x:c r="I42" s="9" t="str">
        <x:f>IF(H42=1,"CLOSED","OPEN")</x:f>
        <x:v>CLOSED</x:v>
      </x:c>
      <x:c r="J42" s="16" t="str">
        <x:v>research/force/projection; research/force/reception</x:v>
      </x:c>
      <x:c r="K42" s="9" t="n">
        <x:f>COUNTIFS($A$7:$A$76,A42)</x:f>
        <x:v>1</x:v>
      </x:c>
    </x:row>
    <x:row r="43">
      <x:c r="A43" s="9" t="str">
        <x:v>CH08-G2</x:v>
      </x:c>
      <x:c r="B43" s="9" t="str">
        <x:v>CH08</x:v>
      </x:c>
      <x:c r="C43" s="9" t="str">
        <x:v>Strategic mobility and reception</x:v>
      </x:c>
      <x:c r="D43" s="9" t="str">
        <x:v>G2</x:v>
      </x:c>
      <x:c r="E43" s="9" t="str">
        <x:v>Architecture</x:v>
      </x:c>
      <x:c r="F43" s="16" t="str">
        <x:v>The chapter selects a controlling architecture and records rejected or superseded alternatives</x:v>
      </x:c>
      <x:c r="G43" s="16" t="str">
        <x:v>Carrier, node, route, reception and return form one nonfungible chain</x:v>
      </x:c>
      <x:c r="H43" s="31" t="n">
        <x:v>1</x:v>
      </x:c>
      <x:c r="I43" s="9" t="str">
        <x:f>IF(H43=1,"CLOSED","OPEN")</x:f>
        <x:v>CLOSED</x:v>
      </x:c>
      <x:c r="J43" s="16" t="str">
        <x:v>research/force/projection; research/force/reception</x:v>
      </x:c>
      <x:c r="K43" s="9" t="n">
        <x:f>COUNTIFS($A$7:$A$76,A43)</x:f>
        <x:v>1</x:v>
      </x:c>
    </x:row>
    <x:row r="44">
      <x:c r="A44" s="9" t="str">
        <x:v>CH08-G3</x:v>
      </x:c>
      <x:c r="B44" s="9" t="str">
        <x:v>CH08</x:v>
      </x:c>
      <x:c r="C44" s="9" t="str">
        <x:v>Strategic mobility and reception</x:v>
      </x:c>
      <x:c r="D44" s="9" t="str">
        <x:v>G3</x:v>
      </x:c>
      <x:c r="E44" s="9" t="str">
        <x:v>Quantification</x:v>
      </x:c>
      <x:c r="F44" s="16" t="str">
        <x:v>The chapter carries at least one reconciled quantitative boundary with units and status</x:v>
      </x:c>
      <x:c r="G44" s="16" t="str">
        <x:v>Controlling model or bounded quantity exists</x:v>
      </x:c>
      <x:c r="H44" s="31" t="n">
        <x:v>1</x:v>
      </x:c>
      <x:c r="I44" s="9" t="str">
        <x:f>IF(H44=1,"CLOSED","OPEN")</x:f>
        <x:v>CLOSED</x:v>
      </x:c>
      <x:c r="J44" s="16" t="str">
        <x:v>research/force/projection; research/force/reception</x:v>
      </x:c>
      <x:c r="K44" s="9" t="n">
        <x:f>COUNTIFS($A$7:$A$76,A44)</x:f>
        <x:v>1</x:v>
      </x:c>
    </x:row>
    <x:row r="45">
      <x:c r="A45" s="9" t="str">
        <x:v>CH08-G4</x:v>
      </x:c>
      <x:c r="B45" s="9" t="str">
        <x:v>CH08</x:v>
      </x:c>
      <x:c r="C45" s="9" t="str">
        <x:v>Strategic mobility and reception</x:v>
      </x:c>
      <x:c r="D45" s="9" t="str">
        <x:v>G4</x:v>
      </x:c>
      <x:c r="E45" s="9" t="str">
        <x:v>Integration</x:v>
      </x:c>
      <x:c r="F45" s="16" t="str">
        <x:v>The chapter reconciles its claims with adjacent institution, force, technology and fiscal decisions</x:v>
      </x:c>
      <x:c r="G45" s="16" t="str">
        <x:v>Adjacent decisions are explicitly nonconverting</x:v>
      </x:c>
      <x:c r="H45" s="31" t="n">
        <x:v>1</x:v>
      </x:c>
      <x:c r="I45" s="9" t="str">
        <x:f>IF(H45=1,"CLOSED","OPEN")</x:f>
        <x:v>CLOSED</x:v>
      </x:c>
      <x:c r="J45" s="16" t="str">
        <x:v>research/force/projection; research/force/reception</x:v>
      </x:c>
      <x:c r="K45" s="9" t="n">
        <x:f>COUNTIFS($A$7:$A$76,A45)</x:f>
        <x:v>1</x:v>
      </x:c>
    </x:row>
    <x:row r="46">
      <x:c r="A46" s="9" t="str">
        <x:v>CH08-G5</x:v>
      </x:c>
      <x:c r="B46" s="9" t="str">
        <x:v>CH08</x:v>
      </x:c>
      <x:c r="C46" s="9" t="str">
        <x:v>Strategic mobility and reception</x:v>
      </x:c>
      <x:c r="D46" s="9" t="str">
        <x:v>G5</x:v>
      </x:c>
      <x:c r="E46" s="9" t="str">
        <x:v>Reader asset</x:v>
      </x:c>
      <x:c r="F46" s="16" t="str">
        <x:v>The final reader can understand the chapter without pass chronology or repository archaeology</x:v>
      </x:c>
      <x:c r="G46" s="16" t="str">
        <x:v>Reader-facing asset not publication-ready</x:v>
      </x:c>
      <x:c r="H46" s="31" t="n">
        <x:v>0</x:v>
      </x:c>
      <x:c r="I46" s="9" t="str">
        <x:f>IF(H46=1,"CLOSED","OPEN")</x:f>
        <x:v>OPEN</x:v>
      </x:c>
      <x:c r="J46" s="16" t="str">
        <x:v>research/force/projection; research/force/reception</x:v>
      </x:c>
      <x:c r="K46" s="9" t="n">
        <x:f>COUNTIFS($A$7:$A$76,A46)</x:f>
        <x:v>1</x:v>
      </x:c>
    </x:row>
    <x:row r="47">
      <x:c r="A47" s="9" t="str">
        <x:v>CH09-G1</x:v>
      </x:c>
      <x:c r="B47" s="9" t="str">
        <x:v>CH09</x:v>
      </x:c>
      <x:c r="C47" s="9" t="str">
        <x:v>Technology and invention portfolio</x:v>
      </x:c>
      <x:c r="D47" s="9" t="str">
        <x:v>G1</x:v>
      </x:c>
      <x:c r="E47" s="9" t="str">
        <x:v>Requirement</x:v>
      </x:c>
      <x:c r="F47" s="16" t="str">
        <x:v>The chapter states the public or strategic question and a falsifiable denominator</x:v>
      </x:c>
      <x:c r="G47" s="16" t="str">
        <x:v>Which advances a peer institution must deliberately create</x:v>
      </x:c>
      <x:c r="H47" s="31" t="n">
        <x:v>1</x:v>
      </x:c>
      <x:c r="I47" s="9" t="str">
        <x:f>IF(H47=1,"CLOSED","OPEN")</x:f>
        <x:v>CLOSED</x:v>
      </x:c>
      <x:c r="J47" s="16" t="str">
        <x:v>research/force/generation; research/proving</x:v>
      </x:c>
      <x:c r="K47" s="9" t="n">
        <x:f>COUNTIFS($A$7:$A$76,A47)</x:f>
        <x:v>1</x:v>
      </x:c>
    </x:row>
    <x:row r="48">
      <x:c r="A48" s="9" t="str">
        <x:v>CH09-G2</x:v>
      </x:c>
      <x:c r="B48" s="9" t="str">
        <x:v>CH09</x:v>
      </x:c>
      <x:c r="C48" s="9" t="str">
        <x:v>Technology and invention portfolio</x:v>
      </x:c>
      <x:c r="D48" s="9" t="str">
        <x:v>G2</x:v>
      </x:c>
      <x:c r="E48" s="9" t="str">
        <x:v>Architecture</x:v>
      </x:c>
      <x:c r="F48" s="16" t="str">
        <x:v>The chapter selects a controlling architecture and records rejected or superseded alternatives</x:v>
      </x:c>
      <x:c r="G48" s="16" t="str">
        <x:v>Mission failure produces invention programs, rival roots and destructive proof</x:v>
      </x:c>
      <x:c r="H48" s="31" t="n">
        <x:v>1</x:v>
      </x:c>
      <x:c r="I48" s="9" t="str">
        <x:f>IF(H48=1,"CLOSED","OPEN")</x:f>
        <x:v>CLOSED</x:v>
      </x:c>
      <x:c r="J48" s="16" t="str">
        <x:v>research/force/generation; research/proving</x:v>
      </x:c>
      <x:c r="K48" s="9" t="n">
        <x:f>COUNTIFS($A$7:$A$76,A48)</x:f>
        <x:v>1</x:v>
      </x:c>
    </x:row>
    <x:row r="49">
      <x:c r="A49" s="9" t="str">
        <x:v>CH09-G3</x:v>
      </x:c>
      <x:c r="B49" s="9" t="str">
        <x:v>CH09</x:v>
      </x:c>
      <x:c r="C49" s="9" t="str">
        <x:v>Technology and invention portfolio</x:v>
      </x:c>
      <x:c r="D49" s="9" t="str">
        <x:v>G3</x:v>
      </x:c>
      <x:c r="E49" s="9" t="str">
        <x:v>Quantification</x:v>
      </x:c>
      <x:c r="F49" s="16" t="str">
        <x:v>The chapter carries at least one reconciled quantitative boundary with units and status</x:v>
      </x:c>
      <x:c r="G49" s="16" t="str">
        <x:v>Controlling model or bounded quantity exists</x:v>
      </x:c>
      <x:c r="H49" s="31" t="n">
        <x:v>1</x:v>
      </x:c>
      <x:c r="I49" s="9" t="str">
        <x:f>IF(H49=1,"CLOSED","OPEN")</x:f>
        <x:v>CLOSED</x:v>
      </x:c>
      <x:c r="J49" s="16" t="str">
        <x:v>research/force/generation; research/proving</x:v>
      </x:c>
      <x:c r="K49" s="9" t="n">
        <x:f>COUNTIFS($A$7:$A$76,A49)</x:f>
        <x:v>1</x:v>
      </x:c>
    </x:row>
    <x:row r="50">
      <x:c r="A50" s="9" t="str">
        <x:v>CH09-G4</x:v>
      </x:c>
      <x:c r="B50" s="9" t="str">
        <x:v>CH09</x:v>
      </x:c>
      <x:c r="C50" s="9" t="str">
        <x:v>Technology and invention portfolio</x:v>
      </x:c>
      <x:c r="D50" s="9" t="str">
        <x:v>G4</x:v>
      </x:c>
      <x:c r="E50" s="9" t="str">
        <x:v>Integration</x:v>
      </x:c>
      <x:c r="F50" s="16" t="str">
        <x:v>The chapter reconciles its claims with adjacent institution, force, technology and fiscal decisions</x:v>
      </x:c>
      <x:c r="G50" s="16" t="str">
        <x:v>Adjacent decisions are explicitly nonconverting</x:v>
      </x:c>
      <x:c r="H50" s="31" t="n">
        <x:v>1</x:v>
      </x:c>
      <x:c r="I50" s="9" t="str">
        <x:f>IF(H50=1,"CLOSED","OPEN")</x:f>
        <x:v>CLOSED</x:v>
      </x:c>
      <x:c r="J50" s="16" t="str">
        <x:v>research/force/generation; research/proving</x:v>
      </x:c>
      <x:c r="K50" s="9" t="n">
        <x:f>COUNTIFS($A$7:$A$76,A50)</x:f>
        <x:v>1</x:v>
      </x:c>
    </x:row>
    <x:row r="51">
      <x:c r="A51" s="9" t="str">
        <x:v>CH09-G5</x:v>
      </x:c>
      <x:c r="B51" s="9" t="str">
        <x:v>CH09</x:v>
      </x:c>
      <x:c r="C51" s="9" t="str">
        <x:v>Technology and invention portfolio</x:v>
      </x:c>
      <x:c r="D51" s="9" t="str">
        <x:v>G5</x:v>
      </x:c>
      <x:c r="E51" s="9" t="str">
        <x:v>Reader asset</x:v>
      </x:c>
      <x:c r="F51" s="16" t="str">
        <x:v>The final reader can understand the chapter without pass chronology or repository archaeology</x:v>
      </x:c>
      <x:c r="G51" s="16" t="str">
        <x:v>Reader-facing asset not publication-ready</x:v>
      </x:c>
      <x:c r="H51" s="31" t="n">
        <x:v>0</x:v>
      </x:c>
      <x:c r="I51" s="9" t="str">
        <x:f>IF(H51=1,"CLOSED","OPEN")</x:f>
        <x:v>OPEN</x:v>
      </x:c>
      <x:c r="J51" s="16" t="str">
        <x:v>research/force/generation; research/proving</x:v>
      </x:c>
      <x:c r="K51" s="9" t="n">
        <x:f>COUNTIFS($A$7:$A$76,A51)</x:f>
        <x:v>1</x:v>
      </x:c>
    </x:row>
    <x:row r="52">
      <x:c r="A52" s="9" t="str">
        <x:v>CH10-G1</x:v>
      </x:c>
      <x:c r="B52" s="9" t="str">
        <x:v>CH10</x:v>
      </x:c>
      <x:c r="C52" s="9" t="str">
        <x:v>Industrial economy and market design</x:v>
      </x:c>
      <x:c r="D52" s="9" t="str">
        <x:v>G1</x:v>
      </x:c>
      <x:c r="E52" s="9" t="str">
        <x:v>Requirement</x:v>
      </x:c>
      <x:c r="F52" s="16" t="str">
        <x:v>The chapter states the public or strategic question and a falsifiable denominator</x:v>
      </x:c>
      <x:c r="G52" s="16" t="str">
        <x:v>What Lockheed-scale resilience industry would own, build and export</x:v>
      </x:c>
      <x:c r="H52" s="31" t="n">
        <x:v>1</x:v>
      </x:c>
      <x:c r="I52" s="9" t="str">
        <x:f>IF(H52=1,"CLOSED","OPEN")</x:f>
        <x:v>CLOSED</x:v>
      </x:c>
      <x:c r="J52" s="16" t="str">
        <x:v>research/programmatics; Passes 186-187, 207</x:v>
      </x:c>
      <x:c r="K52" s="9" t="n">
        <x:f>COUNTIFS($A$7:$A$76,A52)</x:f>
        <x:v>1</x:v>
      </x:c>
    </x:row>
    <x:row r="53">
      <x:c r="A53" s="9" t="str">
        <x:v>CH10-G2</x:v>
      </x:c>
      <x:c r="B53" s="9" t="str">
        <x:v>CH10</x:v>
      </x:c>
      <x:c r="C53" s="9" t="str">
        <x:v>Industrial economy and market design</x:v>
      </x:c>
      <x:c r="D53" s="9" t="str">
        <x:v>G2</x:v>
      </x:c>
      <x:c r="E53" s="9" t="str">
        <x:v>Architecture</x:v>
      </x:c>
      <x:c r="F53" s="16" t="str">
        <x:v>The chapter selects a controlling architecture and records rejected or superseded alternatives</x:v>
      </x:c>
      <x:c r="G53" s="16" t="str">
        <x:v>Root houses, public technical estates, second sources and paid failure resist prime convergence</x:v>
      </x:c>
      <x:c r="H53" s="31" t="n">
        <x:v>1</x:v>
      </x:c>
      <x:c r="I53" s="9" t="str">
        <x:f>IF(H53=1,"CLOSED","OPEN")</x:f>
        <x:v>CLOSED</x:v>
      </x:c>
      <x:c r="J53" s="16" t="str">
        <x:v>research/programmatics; Passes 186-187, 207</x:v>
      </x:c>
      <x:c r="K53" s="9" t="n">
        <x:f>COUNTIFS($A$7:$A$76,A53)</x:f>
        <x:v>1</x:v>
      </x:c>
    </x:row>
    <x:row r="54">
      <x:c r="A54" s="9" t="str">
        <x:v>CH10-G3</x:v>
      </x:c>
      <x:c r="B54" s="9" t="str">
        <x:v>CH10</x:v>
      </x:c>
      <x:c r="C54" s="9" t="str">
        <x:v>Industrial economy and market design</x:v>
      </x:c>
      <x:c r="D54" s="9" t="str">
        <x:v>G3</x:v>
      </x:c>
      <x:c r="E54" s="9" t="str">
        <x:v>Quantification</x:v>
      </x:c>
      <x:c r="F54" s="16" t="str">
        <x:v>The chapter carries at least one reconciled quantitative boundary with units and status</x:v>
      </x:c>
      <x:c r="G54" s="16" t="str">
        <x:v>Controlling model or bounded quantity exists</x:v>
      </x:c>
      <x:c r="H54" s="31" t="n">
        <x:v>1</x:v>
      </x:c>
      <x:c r="I54" s="9" t="str">
        <x:f>IF(H54=1,"CLOSED","OPEN")</x:f>
        <x:v>CLOSED</x:v>
      </x:c>
      <x:c r="J54" s="16" t="str">
        <x:v>research/programmatics; Passes 186-187, 207</x:v>
      </x:c>
      <x:c r="K54" s="9" t="n">
        <x:f>COUNTIFS($A$7:$A$76,A54)</x:f>
        <x:v>1</x:v>
      </x:c>
    </x:row>
    <x:row r="55">
      <x:c r="A55" s="9" t="str">
        <x:v>CH10-G4</x:v>
      </x:c>
      <x:c r="B55" s="9" t="str">
        <x:v>CH10</x:v>
      </x:c>
      <x:c r="C55" s="9" t="str">
        <x:v>Industrial economy and market design</x:v>
      </x:c>
      <x:c r="D55" s="9" t="str">
        <x:v>G4</x:v>
      </x:c>
      <x:c r="E55" s="9" t="str">
        <x:v>Integration</x:v>
      </x:c>
      <x:c r="F55" s="16" t="str">
        <x:v>The chapter reconciles its claims with adjacent institution, force, technology and fiscal decisions</x:v>
      </x:c>
      <x:c r="G55" s="16" t="str">
        <x:v>Cross-chapter contradiction remains</x:v>
      </x:c>
      <x:c r="H55" s="31" t="n">
        <x:v>0</x:v>
      </x:c>
      <x:c r="I55" s="9" t="str">
        <x:f>IF(H55=1,"CLOSED","OPEN")</x:f>
        <x:v>OPEN</x:v>
      </x:c>
      <x:c r="J55" s="16" t="str">
        <x:v>research/programmatics; Passes 186-187, 207</x:v>
      </x:c>
      <x:c r="K55" s="9" t="n">
        <x:f>COUNTIFS($A$7:$A$76,A55)</x:f>
        <x:v>1</x:v>
      </x:c>
    </x:row>
    <x:row r="56">
      <x:c r="A56" s="9" t="str">
        <x:v>CH10-G5</x:v>
      </x:c>
      <x:c r="B56" s="9" t="str">
        <x:v>CH10</x:v>
      </x:c>
      <x:c r="C56" s="9" t="str">
        <x:v>Industrial economy and market design</x:v>
      </x:c>
      <x:c r="D56" s="9" t="str">
        <x:v>G5</x:v>
      </x:c>
      <x:c r="E56" s="9" t="str">
        <x:v>Reader asset</x:v>
      </x:c>
      <x:c r="F56" s="16" t="str">
        <x:v>The final reader can understand the chapter without pass chronology or repository archaeology</x:v>
      </x:c>
      <x:c r="G56" s="16" t="str">
        <x:v>Reader-facing asset not publication-ready</x:v>
      </x:c>
      <x:c r="H56" s="31" t="n">
        <x:v>0</x:v>
      </x:c>
      <x:c r="I56" s="9" t="str">
        <x:f>IF(H56=1,"CLOSED","OPEN")</x:f>
        <x:v>OPEN</x:v>
      </x:c>
      <x:c r="J56" s="16" t="str">
        <x:v>research/programmatics; Passes 186-187, 207</x:v>
      </x:c>
      <x:c r="K56" s="9" t="n">
        <x:f>COUNTIFS($A$7:$A$76,A56)</x:f>
        <x:v>1</x:v>
      </x:c>
    </x:row>
    <x:row r="57">
      <x:c r="A57" s="9" t="str">
        <x:v>CH11-G1</x:v>
      </x:c>
      <x:c r="B57" s="9" t="str">
        <x:v>CH11</x:v>
      </x:c>
      <x:c r="C57" s="9" t="str">
        <x:v>Workforce, basing and readiness</x:v>
      </x:c>
      <x:c r="D57" s="9" t="str">
        <x:v>G1</x:v>
      </x:c>
      <x:c r="E57" s="9" t="str">
        <x:v>Requirement</x:v>
      </x:c>
      <x:c r="F57" s="16" t="str">
        <x:v>The chapter states the public or strategic question and a falsifiable denominator</x:v>
      </x:c>
      <x:c r="G57" s="16" t="str">
        <x:v>How the force remains professional, distributed and continuously ready</x:v>
      </x:c>
      <x:c r="H57" s="31" t="n">
        <x:v>1</x:v>
      </x:c>
      <x:c r="I57" s="9" t="str">
        <x:f>IF(H57=1,"CLOSED","OPEN")</x:f>
        <x:v>CLOSED</x:v>
      </x:c>
      <x:c r="J57" s="16" t="str">
        <x:v>research/mandate; Passes 167, 203</x:v>
      </x:c>
      <x:c r="K57" s="9" t="n">
        <x:f>COUNTIFS($A$7:$A$76,A57)</x:f>
        <x:v>1</x:v>
      </x:c>
    </x:row>
    <x:row r="58">
      <x:c r="A58" s="9" t="str">
        <x:v>CH11-G2</x:v>
      </x:c>
      <x:c r="B58" s="9" t="str">
        <x:v>CH11</x:v>
      </x:c>
      <x:c r="C58" s="9" t="str">
        <x:v>Workforce, basing and readiness</x:v>
      </x:c>
      <x:c r="D58" s="9" t="str">
        <x:v>G2</x:v>
      </x:c>
      <x:c r="E58" s="9" t="str">
        <x:v>Architecture</x:v>
      </x:c>
      <x:c r="F58" s="16" t="str">
        <x:v>The chapter selects a controlling architecture and records rejected or superseded alternatives</x:v>
      </x:c>
      <x:c r="G58" s="16" t="str">
        <x:v>Civil service, reserve, covenant, industrial and partner statuses carry different duties</x:v>
      </x:c>
      <x:c r="H58" s="31" t="n">
        <x:v>1</x:v>
      </x:c>
      <x:c r="I58" s="9" t="str">
        <x:f>IF(H58=1,"CLOSED","OPEN")</x:f>
        <x:v>CLOSED</x:v>
      </x:c>
      <x:c r="J58" s="16" t="str">
        <x:v>research/mandate; Passes 167, 203</x:v>
      </x:c>
      <x:c r="K58" s="9" t="n">
        <x:f>COUNTIFS($A$7:$A$76,A58)</x:f>
        <x:v>1</x:v>
      </x:c>
    </x:row>
    <x:row r="59">
      <x:c r="A59" s="9" t="str">
        <x:v>CH11-G3</x:v>
      </x:c>
      <x:c r="B59" s="9" t="str">
        <x:v>CH11</x:v>
      </x:c>
      <x:c r="C59" s="9" t="str">
        <x:v>Workforce, basing and readiness</x:v>
      </x:c>
      <x:c r="D59" s="9" t="str">
        <x:v>G3</x:v>
      </x:c>
      <x:c r="E59" s="9" t="str">
        <x:v>Quantification</x:v>
      </x:c>
      <x:c r="F59" s="16" t="str">
        <x:v>The chapter carries at least one reconciled quantitative boundary with units and status</x:v>
      </x:c>
      <x:c r="G59" s="16" t="str">
        <x:v>Controlling model or bounded quantity exists</x:v>
      </x:c>
      <x:c r="H59" s="31" t="n">
        <x:v>1</x:v>
      </x:c>
      <x:c r="I59" s="9" t="str">
        <x:f>IF(H59=1,"CLOSED","OPEN")</x:f>
        <x:v>CLOSED</x:v>
      </x:c>
      <x:c r="J59" s="16" t="str">
        <x:v>research/mandate; Passes 167, 203</x:v>
      </x:c>
      <x:c r="K59" s="9" t="n">
        <x:f>COUNTIFS($A$7:$A$76,A59)</x:f>
        <x:v>1</x:v>
      </x:c>
    </x:row>
    <x:row r="60">
      <x:c r="A60" s="9" t="str">
        <x:v>CH11-G4</x:v>
      </x:c>
      <x:c r="B60" s="9" t="str">
        <x:v>CH11</x:v>
      </x:c>
      <x:c r="C60" s="9" t="str">
        <x:v>Workforce, basing and readiness</x:v>
      </x:c>
      <x:c r="D60" s="9" t="str">
        <x:v>G4</x:v>
      </x:c>
      <x:c r="E60" s="9" t="str">
        <x:v>Integration</x:v>
      </x:c>
      <x:c r="F60" s="16" t="str">
        <x:v>The chapter reconciles its claims with adjacent institution, force, technology and fiscal decisions</x:v>
      </x:c>
      <x:c r="G60" s="16" t="str">
        <x:v>Adjacent decisions are explicitly nonconverting</x:v>
      </x:c>
      <x:c r="H60" s="31" t="n">
        <x:v>1</x:v>
      </x:c>
      <x:c r="I60" s="9" t="str">
        <x:f>IF(H60=1,"CLOSED","OPEN")</x:f>
        <x:v>CLOSED</x:v>
      </x:c>
      <x:c r="J60" s="16" t="str">
        <x:v>research/mandate; Passes 167, 203</x:v>
      </x:c>
      <x:c r="K60" s="9" t="n">
        <x:f>COUNTIFS($A$7:$A$76,A60)</x:f>
        <x:v>1</x:v>
      </x:c>
    </x:row>
    <x:row r="61">
      <x:c r="A61" s="9" t="str">
        <x:v>CH11-G5</x:v>
      </x:c>
      <x:c r="B61" s="9" t="str">
        <x:v>CH11</x:v>
      </x:c>
      <x:c r="C61" s="9" t="str">
        <x:v>Workforce, basing and readiness</x:v>
      </x:c>
      <x:c r="D61" s="9" t="str">
        <x:v>G5</x:v>
      </x:c>
      <x:c r="E61" s="9" t="str">
        <x:v>Reader asset</x:v>
      </x:c>
      <x:c r="F61" s="16" t="str">
        <x:v>The final reader can understand the chapter without pass chronology or repository archaeology</x:v>
      </x:c>
      <x:c r="G61" s="16" t="str">
        <x:v>Reader-facing asset not publication-ready</x:v>
      </x:c>
      <x:c r="H61" s="31" t="n">
        <x:v>0</x:v>
      </x:c>
      <x:c r="I61" s="9" t="str">
        <x:f>IF(H61=1,"CLOSED","OPEN")</x:f>
        <x:v>OPEN</x:v>
      </x:c>
      <x:c r="J61" s="16" t="str">
        <x:v>research/mandate; Passes 167, 203</x:v>
      </x:c>
      <x:c r="K61" s="9" t="n">
        <x:f>COUNTIFS($A$7:$A$76,A61)</x:f>
        <x:v>1</x:v>
      </x:c>
    </x:row>
    <x:row r="62">
      <x:c r="A62" s="9" t="str">
        <x:v>CH12-G1</x:v>
      </x:c>
      <x:c r="B62" s="9" t="str">
        <x:v>CH12</x:v>
      </x:c>
      <x:c r="C62" s="9" t="str">
        <x:v>Finance and program reconciliation</x:v>
      </x:c>
      <x:c r="D62" s="9" t="str">
        <x:v>G1</x:v>
      </x:c>
      <x:c r="E62" s="9" t="str">
        <x:v>Requirement</x:v>
      </x:c>
      <x:c r="F62" s="16" t="str">
        <x:v>The chapter states the public or strategic question and a falsifiable denominator</x:v>
      </x:c>
      <x:c r="G62" s="16" t="str">
        <x:v>What coequal ambition costs and which quantities are comparable</x:v>
      </x:c>
      <x:c r="H62" s="31" t="n">
        <x:v>1</x:v>
      </x:c>
      <x:c r="I62" s="9" t="str">
        <x:f>IF(H62=1,"CLOSED","OPEN")</x:f>
        <x:v>CLOSED</x:v>
      </x:c>
      <x:c r="J62" s="16" t="str">
        <x:v>models/programmatics; research/programmatics</x:v>
      </x:c>
      <x:c r="K62" s="9" t="n">
        <x:f>COUNTIFS($A$7:$A$76,A62)</x:f>
        <x:v>1</x:v>
      </x:c>
    </x:row>
    <x:row r="63">
      <x:c r="A63" s="9" t="str">
        <x:v>CH12-G2</x:v>
      </x:c>
      <x:c r="B63" s="9" t="str">
        <x:v>CH12</x:v>
      </x:c>
      <x:c r="C63" s="9" t="str">
        <x:v>Finance and program reconciliation</x:v>
      </x:c>
      <x:c r="D63" s="9" t="str">
        <x:v>G2</x:v>
      </x:c>
      <x:c r="E63" s="9" t="str">
        <x:v>Architecture</x:v>
      </x:c>
      <x:c r="F63" s="16" t="str">
        <x:v>The chapter selects a controlling architecture and records rejected or superseded alternatives</x:v>
      </x:c>
      <x:c r="G63" s="16" t="str">
        <x:v>Capital, operations, incident expenditure, transfers and avoided loss remain separate</x:v>
      </x:c>
      <x:c r="H63" s="31" t="n">
        <x:v>1</x:v>
      </x:c>
      <x:c r="I63" s="9" t="str">
        <x:f>IF(H63=1,"CLOSED","OPEN")</x:f>
        <x:v>CLOSED</x:v>
      </x:c>
      <x:c r="J63" s="16" t="str">
        <x:v>models/programmatics; research/programmatics</x:v>
      </x:c>
      <x:c r="K63" s="9" t="n">
        <x:f>COUNTIFS($A$7:$A$76,A63)</x:f>
        <x:v>1</x:v>
      </x:c>
    </x:row>
    <x:row r="64">
      <x:c r="A64" s="9" t="str">
        <x:v>CH12-G3</x:v>
      </x:c>
      <x:c r="B64" s="9" t="str">
        <x:v>CH12</x:v>
      </x:c>
      <x:c r="C64" s="9" t="str">
        <x:v>Finance and program reconciliation</x:v>
      </x:c>
      <x:c r="D64" s="9" t="str">
        <x:v>G3</x:v>
      </x:c>
      <x:c r="E64" s="9" t="str">
        <x:v>Quantification</x:v>
      </x:c>
      <x:c r="F64" s="16" t="str">
        <x:v>The chapter carries at least one reconciled quantitative boundary with units and status</x:v>
      </x:c>
      <x:c r="G64" s="16" t="str">
        <x:v>Controlling model or bounded quantity exists</x:v>
      </x:c>
      <x:c r="H64" s="31" t="n">
        <x:v>1</x:v>
      </x:c>
      <x:c r="I64" s="9" t="str">
        <x:f>IF(H64=1,"CLOSED","OPEN")</x:f>
        <x:v>CLOSED</x:v>
      </x:c>
      <x:c r="J64" s="16" t="str">
        <x:v>models/programmatics; research/programmatics</x:v>
      </x:c>
      <x:c r="K64" s="9" t="n">
        <x:f>COUNTIFS($A$7:$A$76,A64)</x:f>
        <x:v>1</x:v>
      </x:c>
    </x:row>
    <x:row r="65">
      <x:c r="A65" s="9" t="str">
        <x:v>CH12-G4</x:v>
      </x:c>
      <x:c r="B65" s="9" t="str">
        <x:v>CH12</x:v>
      </x:c>
      <x:c r="C65" s="9" t="str">
        <x:v>Finance and program reconciliation</x:v>
      </x:c>
      <x:c r="D65" s="9" t="str">
        <x:v>G4</x:v>
      </x:c>
      <x:c r="E65" s="9" t="str">
        <x:v>Integration</x:v>
      </x:c>
      <x:c r="F65" s="16" t="str">
        <x:v>The chapter reconciles its claims with adjacent institution, force, technology and fiscal decisions</x:v>
      </x:c>
      <x:c r="G65" s="16" t="str">
        <x:v>Cross-chapter contradiction remains</x:v>
      </x:c>
      <x:c r="H65" s="31" t="n">
        <x:v>0</x:v>
      </x:c>
      <x:c r="I65" s="9" t="str">
        <x:f>IF(H65=1,"CLOSED","OPEN")</x:f>
        <x:v>OPEN</x:v>
      </x:c>
      <x:c r="J65" s="16" t="str">
        <x:v>models/programmatics; research/programmatics</x:v>
      </x:c>
      <x:c r="K65" s="9" t="n">
        <x:f>COUNTIFS($A$7:$A$76,A65)</x:f>
        <x:v>1</x:v>
      </x:c>
    </x:row>
    <x:row r="66">
      <x:c r="A66" s="9" t="str">
        <x:v>CH12-G5</x:v>
      </x:c>
      <x:c r="B66" s="9" t="str">
        <x:v>CH12</x:v>
      </x:c>
      <x:c r="C66" s="9" t="str">
        <x:v>Finance and program reconciliation</x:v>
      </x:c>
      <x:c r="D66" s="9" t="str">
        <x:v>G5</x:v>
      </x:c>
      <x:c r="E66" s="9" t="str">
        <x:v>Reader asset</x:v>
      </x:c>
      <x:c r="F66" s="16" t="str">
        <x:v>The final reader can understand the chapter without pass chronology or repository archaeology</x:v>
      </x:c>
      <x:c r="G66" s="16" t="str">
        <x:v>Reader-facing asset not publication-ready</x:v>
      </x:c>
      <x:c r="H66" s="31" t="n">
        <x:v>0</x:v>
      </x:c>
      <x:c r="I66" s="9" t="str">
        <x:f>IF(H66=1,"CLOSED","OPEN")</x:f>
        <x:v>OPEN</x:v>
      </x:c>
      <x:c r="J66" s="16" t="str">
        <x:v>models/programmatics; research/programmatics</x:v>
      </x:c>
      <x:c r="K66" s="9" t="n">
        <x:f>COUNTIFS($A$7:$A$76,A66)</x:f>
        <x:v>1</x:v>
      </x:c>
    </x:row>
    <x:row r="67">
      <x:c r="A67" s="9" t="str">
        <x:v>CH13-G1</x:v>
      </x:c>
      <x:c r="B67" s="9" t="str">
        <x:v>CH13</x:v>
      </x:c>
      <x:c r="C67" s="9" t="str">
        <x:v>Integrated strategic synthesis</x:v>
      </x:c>
      <x:c r="D67" s="9" t="str">
        <x:v>G1</x:v>
      </x:c>
      <x:c r="E67" s="9" t="str">
        <x:v>Requirement</x:v>
      </x:c>
      <x:c r="F67" s="16" t="str">
        <x:v>The chapter states the public or strategic question and a falsifiable denominator</x:v>
      </x:c>
      <x:c r="G67" s="16" t="str">
        <x:v>How all decisions become one argument a senior reader can reconstruct</x:v>
      </x:c>
      <x:c r="H67" s="31" t="n">
        <x:v>1</x:v>
      </x:c>
      <x:c r="I67" s="9" t="str">
        <x:f>IF(H67=1,"CLOSED","OPEN")</x:f>
        <x:v>CLOSED</x:v>
      </x:c>
      <x:c r="J67" s="16" t="str">
        <x:v>research/synthesis/strategic-study.md</x:v>
      </x:c>
      <x:c r="K67" s="9" t="n">
        <x:f>COUNTIFS($A$7:$A$76,A67)</x:f>
        <x:v>1</x:v>
      </x:c>
    </x:row>
    <x:row r="68">
      <x:c r="A68" s="9" t="str">
        <x:v>CH13-G2</x:v>
      </x:c>
      <x:c r="B68" s="9" t="str">
        <x:v>CH13</x:v>
      </x:c>
      <x:c r="C68" s="9" t="str">
        <x:v>Integrated strategic synthesis</x:v>
      </x:c>
      <x:c r="D68" s="9" t="str">
        <x:v>G2</x:v>
      </x:c>
      <x:c r="E68" s="9" t="str">
        <x:v>Architecture</x:v>
      </x:c>
      <x:c r="F68" s="16" t="str">
        <x:v>The chapter selects a controlling architecture and records rejected or superseded alternatives</x:v>
      </x:c>
      <x:c r="G68" s="16" t="str">
        <x:v>Controlling architecture absent</x:v>
      </x:c>
      <x:c r="H68" s="31" t="n">
        <x:v>0</x:v>
      </x:c>
      <x:c r="I68" s="9" t="str">
        <x:f>IF(H68=1,"CLOSED","OPEN")</x:f>
        <x:v>OPEN</x:v>
      </x:c>
      <x:c r="J68" s="16" t="str">
        <x:v>research/synthesis/strategic-study.md</x:v>
      </x:c>
      <x:c r="K68" s="9" t="n">
        <x:f>COUNTIFS($A$7:$A$76,A68)</x:f>
        <x:v>1</x:v>
      </x:c>
    </x:row>
    <x:row r="69">
      <x:c r="A69" s="9" t="str">
        <x:v>CH13-G3</x:v>
      </x:c>
      <x:c r="B69" s="9" t="str">
        <x:v>CH13</x:v>
      </x:c>
      <x:c r="C69" s="9" t="str">
        <x:v>Integrated strategic synthesis</x:v>
      </x:c>
      <x:c r="D69" s="9" t="str">
        <x:v>G3</x:v>
      </x:c>
      <x:c r="E69" s="9" t="str">
        <x:v>Quantification</x:v>
      </x:c>
      <x:c r="F69" s="16" t="str">
        <x:v>The chapter carries at least one reconciled quantitative boundary with units and status</x:v>
      </x:c>
      <x:c r="G69" s="16" t="str">
        <x:v>Quantitative reconciliation incomplete</x:v>
      </x:c>
      <x:c r="H69" s="31" t="n">
        <x:v>0</x:v>
      </x:c>
      <x:c r="I69" s="9" t="str">
        <x:f>IF(H69=1,"CLOSED","OPEN")</x:f>
        <x:v>OPEN</x:v>
      </x:c>
      <x:c r="J69" s="16" t="str">
        <x:v>research/synthesis/strategic-study.md</x:v>
      </x:c>
      <x:c r="K69" s="9" t="n">
        <x:f>COUNTIFS($A$7:$A$76,A69)</x:f>
        <x:v>1</x:v>
      </x:c>
    </x:row>
    <x:row r="70">
      <x:c r="A70" s="9" t="str">
        <x:v>CH13-G4</x:v>
      </x:c>
      <x:c r="B70" s="9" t="str">
        <x:v>CH13</x:v>
      </x:c>
      <x:c r="C70" s="9" t="str">
        <x:v>Integrated strategic synthesis</x:v>
      </x:c>
      <x:c r="D70" s="9" t="str">
        <x:v>G4</x:v>
      </x:c>
      <x:c r="E70" s="9" t="str">
        <x:v>Integration</x:v>
      </x:c>
      <x:c r="F70" s="16" t="str">
        <x:v>The chapter reconciles its claims with adjacent institution, force, technology and fiscal decisions</x:v>
      </x:c>
      <x:c r="G70" s="16" t="str">
        <x:v>Cross-chapter contradiction remains</x:v>
      </x:c>
      <x:c r="H70" s="31" t="n">
        <x:v>0</x:v>
      </x:c>
      <x:c r="I70" s="9" t="str">
        <x:f>IF(H70=1,"CLOSED","OPEN")</x:f>
        <x:v>OPEN</x:v>
      </x:c>
      <x:c r="J70" s="16" t="str">
        <x:v>research/synthesis/strategic-study.md</x:v>
      </x:c>
      <x:c r="K70" s="9" t="n">
        <x:f>COUNTIFS($A$7:$A$76,A70)</x:f>
        <x:v>1</x:v>
      </x:c>
    </x:row>
    <x:row r="71">
      <x:c r="A71" s="9" t="str">
        <x:v>CH13-G5</x:v>
      </x:c>
      <x:c r="B71" s="9" t="str">
        <x:v>CH13</x:v>
      </x:c>
      <x:c r="C71" s="9" t="str">
        <x:v>Integrated strategic synthesis</x:v>
      </x:c>
      <x:c r="D71" s="9" t="str">
        <x:v>G5</x:v>
      </x:c>
      <x:c r="E71" s="9" t="str">
        <x:v>Reader asset</x:v>
      </x:c>
      <x:c r="F71" s="16" t="str">
        <x:v>The final reader can understand the chapter without pass chronology or repository archaeology</x:v>
      </x:c>
      <x:c r="G71" s="16" t="str">
        <x:v>Reader-facing asset not publication-ready</x:v>
      </x:c>
      <x:c r="H71" s="31" t="n">
        <x:v>0</x:v>
      </x:c>
      <x:c r="I71" s="9" t="str">
        <x:f>IF(H71=1,"CLOSED","OPEN")</x:f>
        <x:v>OPEN</x:v>
      </x:c>
      <x:c r="J71" s="16" t="str">
        <x:v>research/synthesis/strategic-study.md</x:v>
      </x:c>
      <x:c r="K71" s="9" t="n">
        <x:f>COUNTIFS($A$7:$A$76,A71)</x:f>
        <x:v>1</x:v>
      </x:c>
    </x:row>
    <x:row r="72">
      <x:c r="A72" s="9" t="str">
        <x:v>CH14-G1</x:v>
      </x:c>
      <x:c r="B72" s="9" t="str">
        <x:v>CH14</x:v>
      </x:c>
      <x:c r="C72" s="9" t="str">
        <x:v>Technical visual atlas</x:v>
      </x:c>
      <x:c r="D72" s="9" t="str">
        <x:v>G1</x:v>
      </x:c>
      <x:c r="E72" s="9" t="str">
        <x:v>Requirement</x:v>
      </x:c>
      <x:c r="F72" s="16" t="str">
        <x:v>The chapter states the public or strategic question and a falsifiable denominator</x:v>
      </x:c>
      <x:c r="G72" s="16" t="str">
        <x:v>Requirement absent</x:v>
      </x:c>
      <x:c r="H72" s="31" t="n">
        <x:v>0</x:v>
      </x:c>
      <x:c r="I72" s="9" t="str">
        <x:f>IF(H72=1,"CLOSED","OPEN")</x:f>
        <x:v>OPEN</x:v>
      </x:c>
      <x:c r="J72" s="16" t="str">
        <x:v>models/previews; representation ladder</x:v>
      </x:c>
      <x:c r="K72" s="9" t="n">
        <x:f>COUNTIFS($A$7:$A$76,A72)</x:f>
        <x:v>1</x:v>
      </x:c>
    </x:row>
    <x:row r="73">
      <x:c r="A73" s="9" t="str">
        <x:v>CH14-G2</x:v>
      </x:c>
      <x:c r="B73" s="9" t="str">
        <x:v>CH14</x:v>
      </x:c>
      <x:c r="C73" s="9" t="str">
        <x:v>Technical visual atlas</x:v>
      </x:c>
      <x:c r="D73" s="9" t="str">
        <x:v>G2</x:v>
      </x:c>
      <x:c r="E73" s="9" t="str">
        <x:v>Architecture</x:v>
      </x:c>
      <x:c r="F73" s="16" t="str">
        <x:v>The chapter selects a controlling architecture and records rejected or superseded alternatives</x:v>
      </x:c>
      <x:c r="G73" s="16" t="str">
        <x:v>Controlling architecture absent</x:v>
      </x:c>
      <x:c r="H73" s="31" t="n">
        <x:v>0</x:v>
      </x:c>
      <x:c r="I73" s="9" t="str">
        <x:f>IF(H73=1,"CLOSED","OPEN")</x:f>
        <x:v>OPEN</x:v>
      </x:c>
      <x:c r="J73" s="16" t="str">
        <x:v>models/previews; representation ladder</x:v>
      </x:c>
      <x:c r="K73" s="9" t="n">
        <x:f>COUNTIFS($A$7:$A$76,A73)</x:f>
        <x:v>1</x:v>
      </x:c>
    </x:row>
    <x:row r="74">
      <x:c r="A74" s="9" t="str">
        <x:v>CH14-G3</x:v>
      </x:c>
      <x:c r="B74" s="9" t="str">
        <x:v>CH14</x:v>
      </x:c>
      <x:c r="C74" s="9" t="str">
        <x:v>Technical visual atlas</x:v>
      </x:c>
      <x:c r="D74" s="9" t="str">
        <x:v>G3</x:v>
      </x:c>
      <x:c r="E74" s="9" t="str">
        <x:v>Quantification</x:v>
      </x:c>
      <x:c r="F74" s="16" t="str">
        <x:v>The chapter carries at least one reconciled quantitative boundary with units and status</x:v>
      </x:c>
      <x:c r="G74" s="16" t="str">
        <x:v>Quantitative reconciliation incomplete</x:v>
      </x:c>
      <x:c r="H74" s="31" t="n">
        <x:v>0</x:v>
      </x:c>
      <x:c r="I74" s="9" t="str">
        <x:f>IF(H74=1,"CLOSED","OPEN")</x:f>
        <x:v>OPEN</x:v>
      </x:c>
      <x:c r="J74" s="16" t="str">
        <x:v>models/previews; representation ladder</x:v>
      </x:c>
      <x:c r="K74" s="9" t="n">
        <x:f>COUNTIFS($A$7:$A$76,A74)</x:f>
        <x:v>1</x:v>
      </x:c>
    </x:row>
    <x:row r="75">
      <x:c r="A75" s="9" t="str">
        <x:v>CH14-G4</x:v>
      </x:c>
      <x:c r="B75" s="9" t="str">
        <x:v>CH14</x:v>
      </x:c>
      <x:c r="C75" s="9" t="str">
        <x:v>Technical visual atlas</x:v>
      </x:c>
      <x:c r="D75" s="9" t="str">
        <x:v>G4</x:v>
      </x:c>
      <x:c r="E75" s="9" t="str">
        <x:v>Integration</x:v>
      </x:c>
      <x:c r="F75" s="16" t="str">
        <x:v>The chapter reconciles its claims with adjacent institution, force, technology and fiscal decisions</x:v>
      </x:c>
      <x:c r="G75" s="16" t="str">
        <x:v>Cross-chapter contradiction remains</x:v>
      </x:c>
      <x:c r="H75" s="31" t="n">
        <x:v>0</x:v>
      </x:c>
      <x:c r="I75" s="9" t="str">
        <x:f>IF(H75=1,"CLOSED","OPEN")</x:f>
        <x:v>OPEN</x:v>
      </x:c>
      <x:c r="J75" s="16" t="str">
        <x:v>models/previews; representation ladder</x:v>
      </x:c>
      <x:c r="K75" s="9" t="n">
        <x:f>COUNTIFS($A$7:$A$76,A75)</x:f>
        <x:v>1</x:v>
      </x:c>
    </x:row>
    <x:row r="76">
      <x:c r="A76" s="9" t="str">
        <x:v>CH14-G5</x:v>
      </x:c>
      <x:c r="B76" s="9" t="str">
        <x:v>CH14</x:v>
      </x:c>
      <x:c r="C76" s="9" t="str">
        <x:v>Technical visual atlas</x:v>
      </x:c>
      <x:c r="D76" s="9" t="str">
        <x:v>G5</x:v>
      </x:c>
      <x:c r="E76" s="9" t="str">
        <x:v>Reader asset</x:v>
      </x:c>
      <x:c r="F76" s="16" t="str">
        <x:v>The final reader can understand the chapter without pass chronology or repository archaeology</x:v>
      </x:c>
      <x:c r="G76" s="16" t="str">
        <x:v>Reader-facing asset not publication-ready</x:v>
      </x:c>
      <x:c r="H76" s="31" t="n">
        <x:v>0</x:v>
      </x:c>
      <x:c r="I76" s="9" t="str">
        <x:f>IF(H76=1,"CLOSED","OPEN")</x:f>
        <x:v>OPEN</x:v>
      </x:c>
      <x:c r="J76" s="16" t="str">
        <x:v>models/previews; representation ladder</x:v>
      </x:c>
      <x:c r="K76" s="9" t="n">
        <x:f>COUNTIFS($A$7:$A$76,A76)</x:f>
        <x:v>1</x:v>
      </x:c>
    </x:row>
  </x:sheetData>
  <x:conditionalFormatting sqref="I7:I76">
    <x:cfRule type="containsText" dxfId="0" priority="1" operator="containsText" text="OPEN"/>
    <x:cfRule type="containsText" dxfId="1" priority="2" operator="containsText" text="PARTIAL"/>
    <x:cfRule type="containsText" dxfId="2" priority="3" operator="containsText" text="HELD"/>
    <x:cfRule type="containsText" dxfId="3" priority="4" operator="containsText" text="NOT READY"/>
    <x:cfRule type="containsText" dxfId="4" priority="5" operator="containsText" text="REQUIRES"/>
    <x:cfRule type="containsText" dxfId="5" priority="6" operator="containsText" text="FAIL"/>
    <x:cfRule type="containsText" dxfId="6" priority="7" operator="containsText" text="PROHIBITED"/>
    <x:cfRule type="containsText" dxfId="7" priority="8" operator="containsText" text="INVALID"/>
    <x:cfRule type="containsText" dxfId="8" priority="9" operator="containsText" text="CLOSED"/>
    <x:cfRule type="containsText" dxfId="9" priority="10" operator="containsText" text="PUBLICATION READY"/>
    <x:cfRule type="containsText" dxfId="10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144004bbcf6e47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74" hidden="0" customWidth="1"/>
    <x:col min="4" max="4" width="58" hidden="0" customWidth="1"/>
    <x:col min="5" max="5" width="28" hidden="0" customWidth="1"/>
    <x:col min="6" max="6" width="66" hidden="0" customWidth="1"/>
    <x:col min="7" max="7" width="12" hidden="0" customWidth="1"/>
    <x:col min="8" max="8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</x:row>
    <x:row r="2">
      <x:c r="A2" s="24" t="str">
        <x:v>Controlling decisions by final chapter</x:v>
      </x:c>
      <x:c r="B2" s="10"/>
      <x:c r="C2" s="10"/>
      <x:c r="D2" s="10"/>
      <x:c r="E2" s="10"/>
      <x:c r="F2" s="10"/>
      <x:c r="G2" s="10"/>
      <x:c r="H2" s="10"/>
    </x:row>
    <x:row r="3">
      <x:c r="A3" s="9"/>
      <x:c r="B3" s="9"/>
      <x:c r="C3" s="9"/>
      <x:c r="D3" s="9"/>
      <x:c r="E3" s="9"/>
      <x:c r="F3" s="9"/>
      <x:c r="G3" s="9"/>
      <x:c r="H3" s="9"/>
    </x:row>
    <x:row r="4">
      <x:c r="A4" s="11"/>
      <x:c r="B4" s="11"/>
      <x:c r="C4" s="11"/>
      <x:c r="D4" s="11"/>
      <x:c r="E4" s="11"/>
      <x:c r="F4" s="11"/>
      <x:c r="G4" s="11"/>
      <x:c r="H4" s="11"/>
    </x:row>
    <x:row r="5">
      <x:c r="A5" s="9"/>
      <x:c r="B5" s="9"/>
      <x:c r="C5" s="9"/>
      <x:c r="D5" s="9"/>
      <x:c r="E5" s="9"/>
      <x:c r="F5" s="9"/>
      <x:c r="G5" s="9"/>
      <x:c r="H5" s="9"/>
    </x:row>
    <x:row r="6" ht="34" customHeight="1">
      <x:c r="A6" s="28" t="str">
        <x:v>Chapter</x:v>
      </x:c>
      <x:c r="B6" s="28" t="str">
        <x:v>Final chapter</x:v>
      </x:c>
      <x:c r="C6" s="28" t="str">
        <x:v>Controlling decision</x:v>
      </x:c>
      <x:c r="D6" s="28" t="str">
        <x:v>Internal sources</x:v>
      </x:c>
      <x:c r="E6" s="28" t="str">
        <x:v>State</x:v>
      </x:c>
      <x:c r="F6" s="28" t="str">
        <x:v>Prohibited inference</x:v>
      </x:c>
      <x:c r="G6" s="28" t="str">
        <x:v>Sequence</x:v>
      </x:c>
      <x:c r="H6" s="9"/>
    </x:row>
    <x:row r="7">
      <x:c r="A7" s="9" t="str">
        <x:v>CH01</x:v>
      </x:c>
      <x:c r="B7" s="9" t="str">
        <x:v>Strategic proposition</x:v>
      </x:c>
      <x:c r="C7" s="16" t="str">
        <x:v>Resilience is measured by preserved and restored civil service, not assets dispatched</x:v>
      </x:c>
      <x:c r="D7" s="16" t="str">
        <x:v>README.md; research/synthesis/strategic-study.md</x:v>
      </x:c>
      <x:c r="E7" s="16" t="str">
        <x:v>CONTROLLING / READY</x:v>
      </x:c>
      <x:c r="F7" s="16" t="str">
        <x:v>Cannot convert design closure into observed effect, procurement or readiness</x:v>
      </x:c>
      <x:c r="G7" s="9" t="n">
        <x:v>1</x:v>
      </x:c>
      <x:c r="H7" s="9"/>
    </x:row>
    <x:row r="8">
      <x:c r="A8" s="9" t="str">
        <x:v>CH02</x:v>
      </x:c>
      <x:c r="B8" s="9" t="str">
        <x:v>Public service contract</x:v>
      </x:c>
      <x:c r="C8" s="16" t="str">
        <x:v>Nine public effects and complete service chains govern force credit</x:v>
      </x:c>
      <x:c r="D8" s="16" t="str">
        <x:v>research/mandate; research/systems</x:v>
      </x:c>
      <x:c r="E8" s="16" t="str">
        <x:v>CONTROLLING / READY</x:v>
      </x:c>
      <x:c r="F8" s="16" t="str">
        <x:v>Cannot convert design closure into observed effect, procurement or readiness</x:v>
      </x:c>
      <x:c r="G8" s="9" t="n">
        <x:v>2</x:v>
      </x:c>
      <x:c r="H8" s="9"/>
    </x:row>
    <x:row r="9">
      <x:c r="A9" s="9" t="str">
        <x:v>CH03</x:v>
      </x:c>
      <x:c r="B9" s="9" t="str">
        <x:v>Department and authorities</x:v>
      </x:c>
      <x:c r="C9" s="16" t="str">
        <x:v>A cabinet Department, civil principal and separated warranted authorities</x:v>
      </x:c>
      <x:c r="D9" s="16" t="str">
        <x:v>research/mandate; Passes 201-205</x:v>
      </x:c>
      <x:c r="E9" s="16" t="str">
        <x:v>CONTROLLING / READY</x:v>
      </x:c>
      <x:c r="F9" s="16" t="str">
        <x:v>Cannot convert design closure into observed effect, procurement or readiness</x:v>
      </x:c>
      <x:c r="G9" s="9" t="n">
        <x:v>3</x:v>
      </x:c>
      <x:c r="H9" s="9"/>
    </x:row>
    <x:row r="10">
      <x:c r="A10" s="9" t="str">
        <x:v>CH04</x:v>
      </x:c>
      <x:c r="B10" s="9" t="str">
        <x:v>National force composition</x:v>
      </x:c>
      <x:c r="C10" s="16" t="str">
        <x:v>Seven services generate forty-eight formation families under complete-package rules</x:v>
      </x:c>
      <x:c r="D10" s="16" t="str">
        <x:v>research/force/generation; Passes 159-167</x:v>
      </x:c>
      <x:c r="E10" s="16" t="str">
        <x:v>CONTROLLING / READY</x:v>
      </x:c>
      <x:c r="F10" s="16" t="str">
        <x:v>Cannot convert design closure into observed effect, procurement or readiness</x:v>
      </x:c>
      <x:c r="G10" s="9" t="n">
        <x:v>4</x:v>
      </x:c>
      <x:c r="H10" s="9"/>
    </x:row>
    <x:row r="11">
      <x:c r="A11" s="9" t="str">
        <x:v>CH05</x:v>
      </x:c>
      <x:c r="B11" s="9" t="str">
        <x:v>Domestic employment doctrine</x:v>
      </x:c>
      <x:c r="C11" s="16" t="str">
        <x:v>Protected-local continuity precedes avoidable movement and composes with national reinforcement</x:v>
      </x:c>
      <x:c r="D11" s="16" t="str">
        <x:v>research/force/mobility; research/force/reception</x:v>
      </x:c>
      <x:c r="E11" s="16" t="str">
        <x:v>CONTROLLING / PARTIAL</x:v>
      </x:c>
      <x:c r="F11" s="16" t="str">
        <x:v>Cannot convert design closure into observed effect, procurement or readiness</x:v>
      </x:c>
      <x:c r="G11" s="9" t="n">
        <x:v>5</x:v>
      </x:c>
      <x:c r="H11" s="9"/>
    </x:row>
    <x:row r="12">
      <x:c r="A12" s="9" t="str">
        <x:v>CH06</x:v>
      </x:c>
      <x:c r="B12" s="9" t="str">
        <x:v>International projection and partnership</x:v>
      </x:c>
      <x:c r="C12" s="16" t="str">
        <x:v>Accepted international capacity is non-recallable and host civil authority remains sovereign</x:v>
      </x:c>
      <x:c r="D12" s="16" t="str">
        <x:v>research/force/generation; strategic-study.md</x:v>
      </x:c>
      <x:c r="E12" s="16" t="str">
        <x:v>CONTROLLING / PARTIAL</x:v>
      </x:c>
      <x:c r="F12" s="16" t="str">
        <x:v>Cannot convert design closure into observed effect, procurement or readiness</x:v>
      </x:c>
      <x:c r="G12" s="9" t="n">
        <x:v>6</x:v>
      </x:c>
      <x:c r="H12" s="9"/>
    </x:row>
    <x:row r="13">
      <x:c r="A13" s="9" t="str">
        <x:v>CH07</x:v>
      </x:c>
      <x:c r="B13" s="9" t="str">
        <x:v>Hazard control and lifeline restoration</x:v>
      </x:c>
      <x:c r="C13" s="16" t="str">
        <x:v>Weakest-link service chains and degraded-operation worlds replace equipment nameplate</x:v>
      </x:c>
      <x:c r="D13" s="16" t="str">
        <x:v>research/systems/fire; flood; water; power</x:v>
      </x:c>
      <x:c r="E13" s="16" t="str">
        <x:v>CONTROLLING / PARTIAL</x:v>
      </x:c>
      <x:c r="F13" s="16" t="str">
        <x:v>Cannot convert design closure into observed effect, procurement or readiness</x:v>
      </x:c>
      <x:c r="G13" s="9" t="n">
        <x:v>7</x:v>
      </x:c>
      <x:c r="H13" s="9"/>
    </x:row>
    <x:row r="14">
      <x:c r="A14" s="9" t="str">
        <x:v>CH08</x:v>
      </x:c>
      <x:c r="B14" s="9" t="str">
        <x:v>Strategic mobility and reception</x:v>
      </x:c>
      <x:c r="C14" s="16" t="str">
        <x:v>Carrier, node, route, reception and return form one nonfungible chain</x:v>
      </x:c>
      <x:c r="D14" s="16" t="str">
        <x:v>research/force/projection; research/force/reception</x:v>
      </x:c>
      <x:c r="E14" s="16" t="str">
        <x:v>CONTROLLING / PARTIAL</x:v>
      </x:c>
      <x:c r="F14" s="16" t="str">
        <x:v>Cannot convert design closure into observed effect, procurement or readiness</x:v>
      </x:c>
      <x:c r="G14" s="9" t="n">
        <x:v>8</x:v>
      </x:c>
      <x:c r="H14" s="9"/>
    </x:row>
    <x:row r="15">
      <x:c r="A15" s="9" t="str">
        <x:v>CH09</x:v>
      </x:c>
      <x:c r="B15" s="9" t="str">
        <x:v>Technology and invention portfolio</x:v>
      </x:c>
      <x:c r="C15" s="16" t="str">
        <x:v>Mission failure produces invention programs, rival roots and destructive proof</x:v>
      </x:c>
      <x:c r="D15" s="16" t="str">
        <x:v>research/force/generation; research/proving</x:v>
      </x:c>
      <x:c r="E15" s="16" t="str">
        <x:v>CONTROLLING / PARTIAL</x:v>
      </x:c>
      <x:c r="F15" s="16" t="str">
        <x:v>Cannot convert design closure into observed effect, procurement or readiness</x:v>
      </x:c>
      <x:c r="G15" s="9" t="n">
        <x:v>9</x:v>
      </x:c>
      <x:c r="H15" s="9"/>
    </x:row>
    <x:row r="16">
      <x:c r="A16" s="9" t="str">
        <x:v>CH10</x:v>
      </x:c>
      <x:c r="B16" s="9" t="str">
        <x:v>Industrial economy and market design</x:v>
      </x:c>
      <x:c r="C16" s="16" t="str">
        <x:v>Root houses, public technical estates, second sources and paid failure resist prime convergence</x:v>
      </x:c>
      <x:c r="D16" s="16" t="str">
        <x:v>research/programmatics; Passes 186-187, 207</x:v>
      </x:c>
      <x:c r="E16" s="16" t="str">
        <x:v>CONTROLLING / PARTIAL</x:v>
      </x:c>
      <x:c r="F16" s="16" t="str">
        <x:v>Cannot convert design closure into observed effect, procurement or readiness</x:v>
      </x:c>
      <x:c r="G16" s="9" t="n">
        <x:v>10</x:v>
      </x:c>
      <x:c r="H16" s="9"/>
    </x:row>
    <x:row r="17">
      <x:c r="A17" s="9" t="str">
        <x:v>CH11</x:v>
      </x:c>
      <x:c r="B17" s="9" t="str">
        <x:v>Workforce, basing and readiness</x:v>
      </x:c>
      <x:c r="C17" s="16" t="str">
        <x:v>Civil service, reserve, covenant, industrial and partner statuses carry different duties</x:v>
      </x:c>
      <x:c r="D17" s="16" t="str">
        <x:v>research/mandate; Passes 167, 203</x:v>
      </x:c>
      <x:c r="E17" s="16" t="str">
        <x:v>CONTROLLING / PARTIAL</x:v>
      </x:c>
      <x:c r="F17" s="16" t="str">
        <x:v>Cannot convert design closure into observed effect, procurement or readiness</x:v>
      </x:c>
      <x:c r="G17" s="9" t="n">
        <x:v>11</x:v>
      </x:c>
      <x:c r="H17" s="9"/>
    </x:row>
    <x:row r="18">
      <x:c r="A18" s="9" t="str">
        <x:v>CH12</x:v>
      </x:c>
      <x:c r="B18" s="9" t="str">
        <x:v>Finance and program reconciliation</x:v>
      </x:c>
      <x:c r="C18" s="16" t="str">
        <x:v>Capital, operations, incident expenditure, transfers and avoided loss remain separate</x:v>
      </x:c>
      <x:c r="D18" s="16" t="str">
        <x:v>models/programmatics; research/programmatics</x:v>
      </x:c>
      <x:c r="E18" s="16" t="str">
        <x:v>CONTROLLING / PARTIAL</x:v>
      </x:c>
      <x:c r="F18" s="16" t="str">
        <x:v>Cannot convert design closure into observed effect, procurement or readiness</x:v>
      </x:c>
      <x:c r="G18" s="9" t="n">
        <x:v>12</x:v>
      </x:c>
      <x:c r="H18" s="9"/>
    </x:row>
    <x:row r="19">
      <x:c r="A19" s="9" t="str">
        <x:v>CH13</x:v>
      </x:c>
      <x:c r="B19" s="9" t="str">
        <x:v>Integrated strategic synthesis</x:v>
      </x:c>
      <x:c r="C19" s="16" t="str">
        <x:v>The strategic study, frontier and history have distinct publication roles</x:v>
      </x:c>
      <x:c r="D19" s="16" t="str">
        <x:v>research/synthesis/strategic-study.md</x:v>
      </x:c>
      <x:c r="E19" s="16" t="str">
        <x:v>CONTROLLING / PARTIAL</x:v>
      </x:c>
      <x:c r="F19" s="16" t="str">
        <x:v>Cannot convert design closure into observed effect, procurement or readiness</x:v>
      </x:c>
      <x:c r="G19" s="9" t="n">
        <x:v>13</x:v>
      </x:c>
      <x:c r="H19" s="9"/>
    </x:row>
    <x:row r="20">
      <x:c r="A20" s="9" t="str">
        <x:v>CH14</x:v>
      </x:c>
      <x:c r="B20" s="9" t="str">
        <x:v>Technical visual atlas</x:v>
      </x:c>
      <x:c r="C20" s="16" t="str">
        <x:v>Representation class follows first-principles requirement and configuration maturity</x:v>
      </x:c>
      <x:c r="D20" s="16" t="str">
        <x:v>models/previews; representation ladder</x:v>
      </x:c>
      <x:c r="E20" s="16" t="str">
        <x:v>CONTROLLING / UNINTEGRATED</x:v>
      </x:c>
      <x:c r="F20" s="16" t="str">
        <x:v>Cannot convert design closure into observed effect, procurement or readiness</x:v>
      </x:c>
      <x:c r="G20" s="9" t="n">
        <x:v>14</x:v>
      </x:c>
      <x:c r="H20" s="9"/>
    </x:row>
  </x:sheetData>
  <x:conditionalFormatting sqref="E7:E20">
    <x:cfRule type="containsText" dxfId="22" priority="1" operator="containsText" text="OPEN"/>
    <x:cfRule type="containsText" dxfId="23" priority="2" operator="containsText" text="PARTIAL"/>
    <x:cfRule type="containsText" dxfId="24" priority="3" operator="containsText" text="HELD"/>
    <x:cfRule type="containsText" dxfId="25" priority="4" operator="containsText" text="NOT READY"/>
    <x:cfRule type="containsText" dxfId="26" priority="5" operator="containsText" text="REQUIRES"/>
    <x:cfRule type="containsText" dxfId="27" priority="6" operator="containsText" text="FAIL"/>
    <x:cfRule type="containsText" dxfId="28" priority="7" operator="containsText" text="PROHIBITED"/>
    <x:cfRule type="containsText" dxfId="29" priority="8" operator="containsText" text="INVALID"/>
    <x:cfRule type="containsText" dxfId="30" priority="9" operator="containsText" text="CLOSED"/>
    <x:cfRule type="containsText" dxfId="31" priority="10" operator="containsText" text="PUBLICATION READY"/>
    <x:cfRule type="containsText" dxfId="32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b3a21cedc7a1442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8" hidden="0" customWidth="1"/>
    <x:col min="5" max="5" width="94" hidden="0" customWidth="1"/>
    <x:col min="6" max="6" width="26" hidden="0" customWidth="1"/>
    <x:col min="7" max="7" width="52" hidden="0" customWidth="1"/>
    <x:col min="8" max="8" width="58" hidden="0" customWidth="1"/>
    <x:col min="9" max="9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</x:row>
    <x:row r="2">
      <x:c r="A2" s="24" t="str">
        <x:v>Top-level claims and their permitted use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 ht="34" customHeight="1">
      <x:c r="A6" s="28" t="str">
        <x:v>Claim</x:v>
      </x:c>
      <x:c r="B6" s="28" t="str">
        <x:v>Chapter</x:v>
      </x:c>
      <x:c r="C6" s="28" t="str">
        <x:v>Final chapter</x:v>
      </x:c>
      <x:c r="D6" s="28" t="str">
        <x:v>Claim class</x:v>
      </x:c>
      <x:c r="E6" s="28" t="str">
        <x:v>Claim text</x:v>
      </x:c>
      <x:c r="F6" s="28" t="str">
        <x:v>Evidence state</x:v>
      </x:c>
      <x:c r="G6" s="28" t="str">
        <x:v>Internal sources</x:v>
      </x:c>
      <x:c r="H6" s="28" t="str">
        <x:v>Permitted use</x:v>
      </x:c>
      <x:c r="I6" s="9"/>
    </x:row>
    <x:row r="7">
      <x:c r="A7" s="9" t="str">
        <x:v>CH01-C1</x:v>
      </x:c>
      <x:c r="B7" s="9" t="str">
        <x:v>CH01</x:v>
      </x:c>
      <x:c r="C7" s="9" t="str">
        <x:v>Strategic proposition</x:v>
      </x:c>
      <x:c r="D7" s="9" t="str">
        <x:v>Need</x:v>
      </x:c>
      <x:c r="E7" s="16" t="str">
        <x:v>Why coequal resilience power is a national-power function</x:v>
      </x:c>
      <x:c r="F7" s="16" t="str">
        <x:v>SUPPORTED</x:v>
      </x:c>
      <x:c r="G7" s="16" t="str">
        <x:v>README.md; research/synthesis/strategic-study.md</x:v>
      </x:c>
      <x:c r="H7" s="16" t="str">
        <x:v>May frame the chapter; cannot imply implementation</x:v>
      </x:c>
      <x:c r="I7" s="9"/>
    </x:row>
    <x:row r="8">
      <x:c r="A8" s="9" t="str">
        <x:v>CH01-C2</x:v>
      </x:c>
      <x:c r="B8" s="9" t="str">
        <x:v>CH01</x:v>
      </x:c>
      <x:c r="C8" s="9" t="str">
        <x:v>Strategic proposition</x:v>
      </x:c>
      <x:c r="D8" s="9" t="str">
        <x:v>Answer</x:v>
      </x:c>
      <x:c r="E8" s="16" t="str">
        <x:v>Resilience is measured by preserved and restored civil service, not assets dispatched</x:v>
      </x:c>
      <x:c r="F8" s="16" t="str">
        <x:v>AUTHORITATIVE DESIGN</x:v>
      </x:c>
      <x:c r="G8" s="16" t="str">
        <x:v>README.md; research/synthesis/strategic-study.md</x:v>
      </x:c>
      <x:c r="H8" s="16" t="str">
        <x:v>May govern synthesis only within its evidence state</x:v>
      </x:c>
      <x:c r="I8" s="9"/>
    </x:row>
    <x:row r="9">
      <x:c r="A9" s="9" t="str">
        <x:v>CH02-C1</x:v>
      </x:c>
      <x:c r="B9" s="9" t="str">
        <x:v>CH02</x:v>
      </x:c>
      <x:c r="C9" s="9" t="str">
        <x:v>Public service contract</x:v>
      </x:c>
      <x:c r="D9" s="9" t="str">
        <x:v>Need</x:v>
      </x:c>
      <x:c r="E9" s="16" t="str">
        <x:v>What the institution owes people through catastrophe</x:v>
      </x:c>
      <x:c r="F9" s="16" t="str">
        <x:v>SUPPORTED</x:v>
      </x:c>
      <x:c r="G9" s="16" t="str">
        <x:v>research/mandate; research/systems</x:v>
      </x:c>
      <x:c r="H9" s="16" t="str">
        <x:v>May frame the chapter; cannot imply implementation</x:v>
      </x:c>
      <x:c r="I9" s="9"/>
    </x:row>
    <x:row r="10">
      <x:c r="A10" s="9" t="str">
        <x:v>CH02-C2</x:v>
      </x:c>
      <x:c r="B10" s="9" t="str">
        <x:v>CH02</x:v>
      </x:c>
      <x:c r="C10" s="9" t="str">
        <x:v>Public service contract</x:v>
      </x:c>
      <x:c r="D10" s="9" t="str">
        <x:v>Answer</x:v>
      </x:c>
      <x:c r="E10" s="16" t="str">
        <x:v>Nine public effects and complete service chains govern force credit</x:v>
      </x:c>
      <x:c r="F10" s="16" t="str">
        <x:v>AUTHORITATIVE DESIGN</x:v>
      </x:c>
      <x:c r="G10" s="16" t="str">
        <x:v>research/mandate; research/systems</x:v>
      </x:c>
      <x:c r="H10" s="16" t="str">
        <x:v>May govern synthesis only within its evidence state</x:v>
      </x:c>
      <x:c r="I10" s="9"/>
    </x:row>
    <x:row r="11">
      <x:c r="A11" s="9" t="str">
        <x:v>CH03-C1</x:v>
      </x:c>
      <x:c r="B11" s="9" t="str">
        <x:v>CH03</x:v>
      </x:c>
      <x:c r="C11" s="9" t="str">
        <x:v>Department and authorities</x:v>
      </x:c>
      <x:c r="D11" s="9" t="str">
        <x:v>Need</x:v>
      </x:c>
      <x:c r="E11" s="16" t="str">
        <x:v>Which institution can own the promise without emergency self-authorization</x:v>
      </x:c>
      <x:c r="F11" s="16" t="str">
        <x:v>SUPPORTED</x:v>
      </x:c>
      <x:c r="G11" s="16" t="str">
        <x:v>research/mandate; Passes 201-205</x:v>
      </x:c>
      <x:c r="H11" s="16" t="str">
        <x:v>May frame the chapter; cannot imply implementation</x:v>
      </x:c>
      <x:c r="I11" s="9"/>
    </x:row>
    <x:row r="12">
      <x:c r="A12" s="9" t="str">
        <x:v>CH03-C2</x:v>
      </x:c>
      <x:c r="B12" s="9" t="str">
        <x:v>CH03</x:v>
      </x:c>
      <x:c r="C12" s="9" t="str">
        <x:v>Department and authorities</x:v>
      </x:c>
      <x:c r="D12" s="9" t="str">
        <x:v>Answer</x:v>
      </x:c>
      <x:c r="E12" s="16" t="str">
        <x:v>A cabinet Department, civil principal and separated warranted authorities</x:v>
      </x:c>
      <x:c r="F12" s="16" t="str">
        <x:v>AUTHORITATIVE DESIGN</x:v>
      </x:c>
      <x:c r="G12" s="16" t="str">
        <x:v>research/mandate; Passes 201-205</x:v>
      </x:c>
      <x:c r="H12" s="16" t="str">
        <x:v>May govern synthesis only within its evidence state</x:v>
      </x:c>
      <x:c r="I12" s="9"/>
    </x:row>
    <x:row r="13">
      <x:c r="A13" s="9" t="str">
        <x:v>CH04-C1</x:v>
      </x:c>
      <x:c r="B13" s="9" t="str">
        <x:v>CH04</x:v>
      </x:c>
      <x:c r="C13" s="9" t="str">
        <x:v>National force composition</x:v>
      </x:c>
      <x:c r="D13" s="9" t="str">
        <x:v>Need</x:v>
      </x:c>
      <x:c r="E13" s="16" t="str">
        <x:v>What a mature deployable resilience force contains</x:v>
      </x:c>
      <x:c r="F13" s="16" t="str">
        <x:v>SUPPORTED</x:v>
      </x:c>
      <x:c r="G13" s="16" t="str">
        <x:v>research/force/generation; Passes 159-167</x:v>
      </x:c>
      <x:c r="H13" s="16" t="str">
        <x:v>May frame the chapter; cannot imply implementation</x:v>
      </x:c>
      <x:c r="I13" s="9"/>
    </x:row>
    <x:row r="14">
      <x:c r="A14" s="9" t="str">
        <x:v>CH04-C2</x:v>
      </x:c>
      <x:c r="B14" s="9" t="str">
        <x:v>CH04</x:v>
      </x:c>
      <x:c r="C14" s="9" t="str">
        <x:v>National force composition</x:v>
      </x:c>
      <x:c r="D14" s="9" t="str">
        <x:v>Answer</x:v>
      </x:c>
      <x:c r="E14" s="16" t="str">
        <x:v>Seven services generate forty-eight formation families under complete-package rules</x:v>
      </x:c>
      <x:c r="F14" s="16" t="str">
        <x:v>AUTHORITATIVE DESIGN</x:v>
      </x:c>
      <x:c r="G14" s="16" t="str">
        <x:v>research/force/generation; Passes 159-167</x:v>
      </x:c>
      <x:c r="H14" s="16" t="str">
        <x:v>May govern synthesis only within its evidence state</x:v>
      </x:c>
      <x:c r="I14" s="9"/>
    </x:row>
    <x:row r="15">
      <x:c r="A15" s="9" t="str">
        <x:v>CH05-C1</x:v>
      </x:c>
      <x:c r="B15" s="9" t="str">
        <x:v>CH05</x:v>
      </x:c>
      <x:c r="C15" s="9" t="str">
        <x:v>Domestic employment doctrine</x:v>
      </x:c>
      <x:c r="D15" s="9" t="str">
        <x:v>Need</x:v>
      </x:c>
      <x:c r="E15" s="16" t="str">
        <x:v>How the force enters, operates, transfers and returns under civil authority</x:v>
      </x:c>
      <x:c r="F15" s="16" t="str">
        <x:v>SUPPORTED</x:v>
      </x:c>
      <x:c r="G15" s="16" t="str">
        <x:v>research/force/mobility; research/force/reception</x:v>
      </x:c>
      <x:c r="H15" s="16" t="str">
        <x:v>May frame the chapter; cannot imply implementation</x:v>
      </x:c>
      <x:c r="I15" s="9"/>
    </x:row>
    <x:row r="16">
      <x:c r="A16" s="9" t="str">
        <x:v>CH05-C2</x:v>
      </x:c>
      <x:c r="B16" s="9" t="str">
        <x:v>CH05</x:v>
      </x:c>
      <x:c r="C16" s="9" t="str">
        <x:v>Domestic employment doctrine</x:v>
      </x:c>
      <x:c r="D16" s="9" t="str">
        <x:v>Answer</x:v>
      </x:c>
      <x:c r="E16" s="16" t="str">
        <x:v>Protected-local continuity precedes avoidable movement and composes with national reinforcement</x:v>
      </x:c>
      <x:c r="F16" s="16" t="str">
        <x:v>AUTHORITATIVE DESIGN</x:v>
      </x:c>
      <x:c r="G16" s="16" t="str">
        <x:v>research/force/mobility; research/force/reception</x:v>
      </x:c>
      <x:c r="H16" s="16" t="str">
        <x:v>May govern synthesis only within its evidence state</x:v>
      </x:c>
      <x:c r="I16" s="9"/>
    </x:row>
    <x:row r="17">
      <x:c r="A17" s="9" t="str">
        <x:v>CH06-C1</x:v>
      </x:c>
      <x:c r="B17" s="9" t="str">
        <x:v>CH06</x:v>
      </x:c>
      <x:c r="C17" s="9" t="str">
        <x:v>International projection and partnership</x:v>
      </x:c>
      <x:c r="D17" s="9" t="str">
        <x:v>Need</x:v>
      </x:c>
      <x:c r="E17" s="16" t="str">
        <x:v>How invited missions become strategic power without colonial substitution</x:v>
      </x:c>
      <x:c r="F17" s="16" t="str">
        <x:v>SUPPORTED</x:v>
      </x:c>
      <x:c r="G17" s="16" t="str">
        <x:v>research/force/generation; strategic-study.md</x:v>
      </x:c>
      <x:c r="H17" s="16" t="str">
        <x:v>May frame the chapter; cannot imply implementation</x:v>
      </x:c>
      <x:c r="I17" s="9"/>
    </x:row>
    <x:row r="18">
      <x:c r="A18" s="9" t="str">
        <x:v>CH06-C2</x:v>
      </x:c>
      <x:c r="B18" s="9" t="str">
        <x:v>CH06</x:v>
      </x:c>
      <x:c r="C18" s="9" t="str">
        <x:v>International projection and partnership</x:v>
      </x:c>
      <x:c r="D18" s="9" t="str">
        <x:v>Answer</x:v>
      </x:c>
      <x:c r="E18" s="16" t="str">
        <x:v>Accepted international capacity is non-recallable and host civil authority remains sovereign</x:v>
      </x:c>
      <x:c r="F18" s="16" t="str">
        <x:v>AUTHORITATIVE DESIGN</x:v>
      </x:c>
      <x:c r="G18" s="16" t="str">
        <x:v>research/force/generation; strategic-study.md</x:v>
      </x:c>
      <x:c r="H18" s="16" t="str">
        <x:v>May govern synthesis only within its evidence state</x:v>
      </x:c>
      <x:c r="I18" s="9"/>
    </x:row>
    <x:row r="19">
      <x:c r="A19" s="9" t="str">
        <x:v>CH07-C1</x:v>
      </x:c>
      <x:c r="B19" s="9" t="str">
        <x:v>CH07</x:v>
      </x:c>
      <x:c r="C19" s="9" t="str">
        <x:v>Hazard control and lifeline restoration</x:v>
      </x:c>
      <x:c r="D19" s="9" t="str">
        <x:v>Need</x:v>
      </x:c>
      <x:c r="E19" s="16" t="str">
        <x:v>How fire, flood, water, power, care and continuity become complete missions</x:v>
      </x:c>
      <x:c r="F19" s="16" t="str">
        <x:v>SUPPORTED</x:v>
      </x:c>
      <x:c r="G19" s="16" t="str">
        <x:v>research/systems/fire; flood; water; power</x:v>
      </x:c>
      <x:c r="H19" s="16" t="str">
        <x:v>May frame the chapter; cannot imply implementation</x:v>
      </x:c>
      <x:c r="I19" s="9"/>
    </x:row>
    <x:row r="20">
      <x:c r="A20" s="9" t="str">
        <x:v>CH07-C2</x:v>
      </x:c>
      <x:c r="B20" s="9" t="str">
        <x:v>CH07</x:v>
      </x:c>
      <x:c r="C20" s="9" t="str">
        <x:v>Hazard control and lifeline restoration</x:v>
      </x:c>
      <x:c r="D20" s="9" t="str">
        <x:v>Answer</x:v>
      </x:c>
      <x:c r="E20" s="16" t="str">
        <x:v>Weakest-link service chains and degraded-operation worlds replace equipment nameplate</x:v>
      </x:c>
      <x:c r="F20" s="16" t="str">
        <x:v>AUTHORITATIVE DESIGN</x:v>
      </x:c>
      <x:c r="G20" s="16" t="str">
        <x:v>research/systems/fire; flood; water; power</x:v>
      </x:c>
      <x:c r="H20" s="16" t="str">
        <x:v>May govern synthesis only within its evidence state</x:v>
      </x:c>
      <x:c r="I20" s="9"/>
    </x:row>
    <x:row r="21">
      <x:c r="A21" s="9" t="str">
        <x:v>CH08-C1</x:v>
      </x:c>
      <x:c r="B21" s="9" t="str">
        <x:v>CH08</x:v>
      </x:c>
      <x:c r="C21" s="9" t="str">
        <x:v>Strategic mobility and reception</x:v>
      </x:c>
      <x:c r="D21" s="9" t="str">
        <x:v>Need</x:v>
      </x:c>
      <x:c r="E21" s="16" t="str">
        <x:v>How complete formations cross distance and become useful at a receiver</x:v>
      </x:c>
      <x:c r="F21" s="16" t="str">
        <x:v>SUPPORTED</x:v>
      </x:c>
      <x:c r="G21" s="16" t="str">
        <x:v>research/force/projection; research/force/reception</x:v>
      </x:c>
      <x:c r="H21" s="16" t="str">
        <x:v>May frame the chapter; cannot imply implementation</x:v>
      </x:c>
      <x:c r="I21" s="9"/>
    </x:row>
    <x:row r="22">
      <x:c r="A22" s="9" t="str">
        <x:v>CH08-C2</x:v>
      </x:c>
      <x:c r="B22" s="9" t="str">
        <x:v>CH08</x:v>
      </x:c>
      <x:c r="C22" s="9" t="str">
        <x:v>Strategic mobility and reception</x:v>
      </x:c>
      <x:c r="D22" s="9" t="str">
        <x:v>Answer</x:v>
      </x:c>
      <x:c r="E22" s="16" t="str">
        <x:v>Carrier, node, route, reception and return form one nonfungible chain</x:v>
      </x:c>
      <x:c r="F22" s="16" t="str">
        <x:v>AUTHORITATIVE DESIGN</x:v>
      </x:c>
      <x:c r="G22" s="16" t="str">
        <x:v>research/force/projection; research/force/reception</x:v>
      </x:c>
      <x:c r="H22" s="16" t="str">
        <x:v>May govern synthesis only within its evidence state</x:v>
      </x:c>
      <x:c r="I22" s="9"/>
    </x:row>
    <x:row r="23">
      <x:c r="A23" s="9" t="str">
        <x:v>CH09-C1</x:v>
      </x:c>
      <x:c r="B23" s="9" t="str">
        <x:v>CH09</x:v>
      </x:c>
      <x:c r="C23" s="9" t="str">
        <x:v>Technology and invention portfolio</x:v>
      </x:c>
      <x:c r="D23" s="9" t="str">
        <x:v>Need</x:v>
      </x:c>
      <x:c r="E23" s="16" t="str">
        <x:v>Which advances a peer institution must deliberately create</x:v>
      </x:c>
      <x:c r="F23" s="16" t="str">
        <x:v>SUPPORTED</x:v>
      </x:c>
      <x:c r="G23" s="16" t="str">
        <x:v>research/force/generation; research/proving</x:v>
      </x:c>
      <x:c r="H23" s="16" t="str">
        <x:v>May frame the chapter; cannot imply implementation</x:v>
      </x:c>
      <x:c r="I23" s="9"/>
    </x:row>
    <x:row r="24">
      <x:c r="A24" s="9" t="str">
        <x:v>CH09-C2</x:v>
      </x:c>
      <x:c r="B24" s="9" t="str">
        <x:v>CH09</x:v>
      </x:c>
      <x:c r="C24" s="9" t="str">
        <x:v>Technology and invention portfolio</x:v>
      </x:c>
      <x:c r="D24" s="9" t="str">
        <x:v>Answer</x:v>
      </x:c>
      <x:c r="E24" s="16" t="str">
        <x:v>Mission failure produces invention programs, rival roots and destructive proof</x:v>
      </x:c>
      <x:c r="F24" s="16" t="str">
        <x:v>AUTHORITATIVE DESIGN</x:v>
      </x:c>
      <x:c r="G24" s="16" t="str">
        <x:v>research/force/generation; research/proving</x:v>
      </x:c>
      <x:c r="H24" s="16" t="str">
        <x:v>May govern synthesis only within its evidence state</x:v>
      </x:c>
      <x:c r="I24" s="9"/>
    </x:row>
    <x:row r="25">
      <x:c r="A25" s="9" t="str">
        <x:v>CH10-C1</x:v>
      </x:c>
      <x:c r="B25" s="9" t="str">
        <x:v>CH10</x:v>
      </x:c>
      <x:c r="C25" s="9" t="str">
        <x:v>Industrial economy and market design</x:v>
      </x:c>
      <x:c r="D25" s="9" t="str">
        <x:v>Need</x:v>
      </x:c>
      <x:c r="E25" s="16" t="str">
        <x:v>What Lockheed-scale resilience industry would own, build and export</x:v>
      </x:c>
      <x:c r="F25" s="16" t="str">
        <x:v>SUPPORTED</x:v>
      </x:c>
      <x:c r="G25" s="16" t="str">
        <x:v>research/programmatics; Passes 186-187, 207</x:v>
      </x:c>
      <x:c r="H25" s="16" t="str">
        <x:v>May frame the chapter; cannot imply implementation</x:v>
      </x:c>
      <x:c r="I25" s="9"/>
    </x:row>
    <x:row r="26">
      <x:c r="A26" s="9" t="str">
        <x:v>CH10-C2</x:v>
      </x:c>
      <x:c r="B26" s="9" t="str">
        <x:v>CH10</x:v>
      </x:c>
      <x:c r="C26" s="9" t="str">
        <x:v>Industrial economy and market design</x:v>
      </x:c>
      <x:c r="D26" s="9" t="str">
        <x:v>Answer</x:v>
      </x:c>
      <x:c r="E26" s="16" t="str">
        <x:v>Root houses, public technical estates, second sources and paid failure resist prime convergence</x:v>
      </x:c>
      <x:c r="F26" s="16" t="str">
        <x:v>AUTHORITATIVE DESIGN</x:v>
      </x:c>
      <x:c r="G26" s="16" t="str">
        <x:v>research/programmatics; Passes 186-187, 207</x:v>
      </x:c>
      <x:c r="H26" s="16" t="str">
        <x:v>May govern synthesis only within its evidence state</x:v>
      </x:c>
      <x:c r="I26" s="9"/>
    </x:row>
    <x:row r="27">
      <x:c r="A27" s="9" t="str">
        <x:v>CH11-C1</x:v>
      </x:c>
      <x:c r="B27" s="9" t="str">
        <x:v>CH11</x:v>
      </x:c>
      <x:c r="C27" s="9" t="str">
        <x:v>Workforce, basing and readiness</x:v>
      </x:c>
      <x:c r="D27" s="9" t="str">
        <x:v>Need</x:v>
      </x:c>
      <x:c r="E27" s="16" t="str">
        <x:v>How the force remains professional, distributed and continuously ready</x:v>
      </x:c>
      <x:c r="F27" s="16" t="str">
        <x:v>SUPPORTED</x:v>
      </x:c>
      <x:c r="G27" s="16" t="str">
        <x:v>research/mandate; Passes 167, 203</x:v>
      </x:c>
      <x:c r="H27" s="16" t="str">
        <x:v>May frame the chapter; cannot imply implementation</x:v>
      </x:c>
      <x:c r="I27" s="9"/>
    </x:row>
    <x:row r="28">
      <x:c r="A28" s="9" t="str">
        <x:v>CH11-C2</x:v>
      </x:c>
      <x:c r="B28" s="9" t="str">
        <x:v>CH11</x:v>
      </x:c>
      <x:c r="C28" s="9" t="str">
        <x:v>Workforce, basing and readiness</x:v>
      </x:c>
      <x:c r="D28" s="9" t="str">
        <x:v>Answer</x:v>
      </x:c>
      <x:c r="E28" s="16" t="str">
        <x:v>Civil service, reserve, covenant, industrial and partner statuses carry different duties</x:v>
      </x:c>
      <x:c r="F28" s="16" t="str">
        <x:v>AUTHORITATIVE DESIGN</x:v>
      </x:c>
      <x:c r="G28" s="16" t="str">
        <x:v>research/mandate; Passes 167, 203</x:v>
      </x:c>
      <x:c r="H28" s="16" t="str">
        <x:v>May govern synthesis only within its evidence state</x:v>
      </x:c>
      <x:c r="I28" s="9"/>
    </x:row>
    <x:row r="29">
      <x:c r="A29" s="9" t="str">
        <x:v>CH12-C1</x:v>
      </x:c>
      <x:c r="B29" s="9" t="str">
        <x:v>CH12</x:v>
      </x:c>
      <x:c r="C29" s="9" t="str">
        <x:v>Finance and program reconciliation</x:v>
      </x:c>
      <x:c r="D29" s="9" t="str">
        <x:v>Need</x:v>
      </x:c>
      <x:c r="E29" s="16" t="str">
        <x:v>What coequal ambition costs and which quantities are comparable</x:v>
      </x:c>
      <x:c r="F29" s="16" t="str">
        <x:v>SUPPORTED</x:v>
      </x:c>
      <x:c r="G29" s="16" t="str">
        <x:v>models/programmatics; research/programmatics</x:v>
      </x:c>
      <x:c r="H29" s="16" t="str">
        <x:v>May frame the chapter; cannot imply implementation</x:v>
      </x:c>
      <x:c r="I29" s="9"/>
    </x:row>
    <x:row r="30">
      <x:c r="A30" s="9" t="str">
        <x:v>CH12-C2</x:v>
      </x:c>
      <x:c r="B30" s="9" t="str">
        <x:v>CH12</x:v>
      </x:c>
      <x:c r="C30" s="9" t="str">
        <x:v>Finance and program reconciliation</x:v>
      </x:c>
      <x:c r="D30" s="9" t="str">
        <x:v>Answer</x:v>
      </x:c>
      <x:c r="E30" s="16" t="str">
        <x:v>Capital, operations, incident expenditure, transfers and avoided loss remain separate</x:v>
      </x:c>
      <x:c r="F30" s="16" t="str">
        <x:v>AUTHORITATIVE DESIGN</x:v>
      </x:c>
      <x:c r="G30" s="16" t="str">
        <x:v>models/programmatics; research/programmatics</x:v>
      </x:c>
      <x:c r="H30" s="16" t="str">
        <x:v>May govern synthesis only within its evidence state</x:v>
      </x:c>
      <x:c r="I30" s="9"/>
    </x:row>
    <x:row r="31">
      <x:c r="A31" s="9" t="str">
        <x:v>CH13-C1</x:v>
      </x:c>
      <x:c r="B31" s="9" t="str">
        <x:v>CH13</x:v>
      </x:c>
      <x:c r="C31" s="9" t="str">
        <x:v>Integrated strategic synthesis</x:v>
      </x:c>
      <x:c r="D31" s="9" t="str">
        <x:v>Need</x:v>
      </x:c>
      <x:c r="E31" s="16" t="str">
        <x:v>How all decisions become one argument a senior reader can reconstruct</x:v>
      </x:c>
      <x:c r="F31" s="16" t="str">
        <x:v>SUPPORTED</x:v>
      </x:c>
      <x:c r="G31" s="16" t="str">
        <x:v>research/synthesis/strategic-study.md</x:v>
      </x:c>
      <x:c r="H31" s="16" t="str">
        <x:v>May frame the chapter; cannot imply implementation</x:v>
      </x:c>
      <x:c r="I31" s="9"/>
    </x:row>
    <x:row r="32">
      <x:c r="A32" s="9" t="str">
        <x:v>CH13-C2</x:v>
      </x:c>
      <x:c r="B32" s="9" t="str">
        <x:v>CH13</x:v>
      </x:c>
      <x:c r="C32" s="9" t="str">
        <x:v>Integrated strategic synthesis</x:v>
      </x:c>
      <x:c r="D32" s="9" t="str">
        <x:v>Answer</x:v>
      </x:c>
      <x:c r="E32" s="16" t="str">
        <x:v>The strategic study, frontier and history have distinct publication roles</x:v>
      </x:c>
      <x:c r="F32" s="16" t="str">
        <x:v>OPEN</x:v>
      </x:c>
      <x:c r="G32" s="16" t="str">
        <x:v>research/synthesis/strategic-study.md</x:v>
      </x:c>
      <x:c r="H32" s="16" t="str">
        <x:v>May govern synthesis only within its evidence state</x:v>
      </x:c>
      <x:c r="I32" s="9"/>
    </x:row>
    <x:row r="33">
      <x:c r="A33" s="9" t="str">
        <x:v>CH14-C1</x:v>
      </x:c>
      <x:c r="B33" s="9" t="str">
        <x:v>CH14</x:v>
      </x:c>
      <x:c r="C33" s="9" t="str">
        <x:v>Technical visual atlas</x:v>
      </x:c>
      <x:c r="D33" s="9" t="str">
        <x:v>Need</x:v>
      </x:c>
      <x:c r="E33" s="16" t="str">
        <x:v>Which forms may be shown without converting visual coherence into evidence</x:v>
      </x:c>
      <x:c r="F33" s="16" t="str">
        <x:v>OPEN</x:v>
      </x:c>
      <x:c r="G33" s="16" t="str">
        <x:v>models/previews; representation ladder</x:v>
      </x:c>
      <x:c r="H33" s="16" t="str">
        <x:v>May frame the chapter; cannot imply implementation</x:v>
      </x:c>
      <x:c r="I33" s="9"/>
    </x:row>
    <x:row r="34">
      <x:c r="A34" s="9" t="str">
        <x:v>CH14-C2</x:v>
      </x:c>
      <x:c r="B34" s="9" t="str">
        <x:v>CH14</x:v>
      </x:c>
      <x:c r="C34" s="9" t="str">
        <x:v>Technical visual atlas</x:v>
      </x:c>
      <x:c r="D34" s="9" t="str">
        <x:v>Answer</x:v>
      </x:c>
      <x:c r="E34" s="16" t="str">
        <x:v>Representation class follows first-principles requirement and configuration maturity</x:v>
      </x:c>
      <x:c r="F34" s="16" t="str">
        <x:v>OPEN</x:v>
      </x:c>
      <x:c r="G34" s="16" t="str">
        <x:v>models/previews; representation ladder</x:v>
      </x:c>
      <x:c r="H34" s="16" t="str">
        <x:v>May govern synthesis only within its evidence state</x:v>
      </x:c>
      <x:c r="I34" s="9"/>
    </x:row>
  </x:sheetData>
  <x:conditionalFormatting sqref="F7:F34">
    <x:cfRule type="containsText" dxfId="33" priority="1" operator="containsText" text="OPEN"/>
    <x:cfRule type="containsText" dxfId="34" priority="2" operator="containsText" text="PARTIAL"/>
    <x:cfRule type="containsText" dxfId="35" priority="3" operator="containsText" text="HELD"/>
    <x:cfRule type="containsText" dxfId="36" priority="4" operator="containsText" text="NOT READY"/>
    <x:cfRule type="containsText" dxfId="37" priority="5" operator="containsText" text="REQUIRES"/>
    <x:cfRule type="containsText" dxfId="38" priority="6" operator="containsText" text="FAIL"/>
    <x:cfRule type="containsText" dxfId="39" priority="7" operator="containsText" text="PROHIBITED"/>
    <x:cfRule type="containsText" dxfId="40" priority="8" operator="containsText" text="INVALID"/>
    <x:cfRule type="containsText" dxfId="41" priority="9" operator="containsText" text="CLOSED"/>
    <x:cfRule type="containsText" dxfId="42" priority="10" operator="containsText" text="PUBLICATION READY"/>
    <x:cfRule type="containsText" dxfId="43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81c94f7677634f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28" hidden="0" customWidth="1"/>
    <x:col min="5" max="5" width="26" hidden="0" customWidth="1"/>
    <x:col min="6" max="6" width="42" hidden="0" customWidth="1"/>
    <x:col min="7" max="7" width="58" hidden="0" customWidth="1"/>
    <x:col min="8" max="8" width="4" hidden="0" customWidth="1"/>
    <x:col min="9" max="9" width="4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</x:row>
    <x:row r="2">
      <x:c r="A2" s="24" t="str">
        <x:v>Quantities allowed to enter the final synthesis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 ht="34" customHeight="1">
      <x:c r="A6" s="28" t="str">
        <x:v>Boundary</x:v>
      </x:c>
      <x:c r="B6" s="28" t="str">
        <x:v>Quantity</x:v>
      </x:c>
      <x:c r="C6" s="28" t="str">
        <x:v>Value</x:v>
      </x:c>
      <x:c r="D6" s="28" t="str">
        <x:v>Unit</x:v>
      </x:c>
      <x:c r="E6" s="28" t="str">
        <x:v>Evidence state</x:v>
      </x:c>
      <x:c r="F6" s="28" t="str">
        <x:v>Controlling decision</x:v>
      </x:c>
      <x:c r="G6" s="28" t="str">
        <x:v>Use limit</x:v>
      </x:c>
      <x:c r="H6" s="9"/>
      <x:c r="I6" s="9"/>
    </x:row>
    <x:row r="7">
      <x:c r="A7" s="9" t="str">
        <x:v>QB01</x:v>
      </x:c>
      <x:c r="B7" s="9" t="str">
        <x:v>Catastrophic domestic campaigns</x:v>
      </x:c>
      <x:c r="C7" s="23" t="n">
        <x:v>3</x:v>
      </x:c>
      <x:c r="D7" s="9" t="str">
        <x:v>simultaneous campaigns</x:v>
      </x:c>
      <x:c r="E7" s="9" t="str">
        <x:v>planning constitution</x:v>
      </x:c>
      <x:c r="F7" s="16" t="str">
        <x:v>National concurrency decision</x:v>
      </x:c>
      <x:c r="G7" s="16" t="str">
        <x:v>Exact force promise, not historical frequency</x:v>
      </x:c>
      <x:c r="H7" s="9"/>
      <x:c r="I7" s="9"/>
    </x:row>
    <x:row r="8">
      <x:c r="A8" s="9" t="str">
        <x:v>QB02</x:v>
      </x:c>
      <x:c r="B8" s="9" t="str">
        <x:v>Major domestic campaigns</x:v>
      </x:c>
      <x:c r="C8" s="23" t="n">
        <x:v>5</x:v>
      </x:c>
      <x:c r="D8" s="9" t="str">
        <x:v>simultaneous campaigns</x:v>
      </x:c>
      <x:c r="E8" s="9" t="str">
        <x:v>planning constitution</x:v>
      </x:c>
      <x:c r="F8" s="16" t="str">
        <x:v>National concurrency decision</x:v>
      </x:c>
      <x:c r="G8" s="16" t="str">
        <x:v>Exact force promise, not forecast</x:v>
      </x:c>
      <x:c r="H8" s="9"/>
      <x:c r="I8" s="9"/>
    </x:row>
    <x:row r="9">
      <x:c r="A9" s="9" t="str">
        <x:v>QB03</x:v>
      </x:c>
      <x:c r="B9" s="9" t="str">
        <x:v>Invited international campaigns</x:v>
      </x:c>
      <x:c r="C9" s="23" t="n">
        <x:v>2</x:v>
      </x:c>
      <x:c r="D9" s="9" t="str">
        <x:v>simultaneous campaigns</x:v>
      </x:c>
      <x:c r="E9" s="9" t="str">
        <x:v>planning constitution</x:v>
      </x:c>
      <x:c r="F9" s="16" t="str">
        <x:v>National concurrency decision</x:v>
      </x:c>
      <x:c r="G9" s="16" t="str">
        <x:v>Optional before acceptance; non-recallable after</x:v>
      </x:c>
      <x:c r="H9" s="9"/>
      <x:c r="I9" s="9"/>
    </x:row>
    <x:row r="10">
      <x:c r="A10" s="9" t="str">
        <x:v>QB04</x:v>
      </x:c>
      <x:c r="B10" s="9" t="str">
        <x:v>Protected reserve</x:v>
      </x:c>
      <x:c r="C10" s="19" t="n">
        <x:v>0.2</x:v>
      </x:c>
      <x:c r="D10" s="9" t="str">
        <x:v>share of complete promise</x:v>
      </x:c>
      <x:c r="E10" s="9" t="str">
        <x:v>planning constitution</x:v>
      </x:c>
      <x:c r="F10" s="16" t="str">
        <x:v>National concurrency decision</x:v>
      </x:c>
      <x:c r="G10" s="16" t="str">
        <x:v>Cannot be used to make a base plan close</x:v>
      </x:c>
      <x:c r="H10" s="9"/>
      <x:c r="I10" s="9"/>
    </x:row>
    <x:row r="11">
      <x:c r="A11" s="9" t="str">
        <x:v>QB05</x:v>
      </x:c>
      <x:c r="B11" s="9" t="str">
        <x:v>Readiness districts</x:v>
      </x:c>
      <x:c r="C11" s="23" t="n">
        <x:v>7</x:v>
      </x:c>
      <x:c r="D11" s="9" t="str">
        <x:v>districts</x:v>
      </x:c>
      <x:c r="E11" s="9" t="str">
        <x:v>planning architecture</x:v>
      </x:c>
      <x:c r="F11" s="16" t="str">
        <x:v>Geographic survival decision</x:v>
      </x:c>
      <x:c r="G11" s="16" t="str">
        <x:v>One-district loss must preserve the promise</x:v>
      </x:c>
      <x:c r="H11" s="9"/>
      <x:c r="I11" s="9"/>
    </x:row>
    <x:row r="12">
      <x:c r="A12" s="9" t="str">
        <x:v>QB06</x:v>
      </x:c>
      <x:c r="B12" s="9" t="str">
        <x:v>Selected formation equivalents</x:v>
      </x:c>
      <x:c r="C12" s="23" t="n">
        <x:v>5251</x:v>
      </x:c>
      <x:c r="D12" s="9" t="str">
        <x:v>formations</x:v>
      </x:c>
      <x:c r="E12" s="9" t="str">
        <x:v>planning consequence</x:v>
      </x:c>
      <x:c r="F12" s="16" t="str">
        <x:v>Canonical force allocation</x:v>
      </x:c>
      <x:c r="G12" s="16" t="str">
        <x:v>Not an order of battle</x:v>
      </x:c>
      <x:c r="H12" s="9"/>
      <x:c r="I12" s="9"/>
    </x:row>
    <x:row r="13">
      <x:c r="A13" s="9" t="str">
        <x:v>QB07</x:v>
      </x:c>
      <x:c r="B13" s="9" t="str">
        <x:v>Affiliated establishment</x:v>
      </x:c>
      <x:c r="C13" s="23" t="n">
        <x:v>13</x:v>
      </x:c>
      <x:c r="D13" s="9" t="str">
        <x:v>million affiliations</x:v>
      </x:c>
      <x:c r="E13" s="9" t="str">
        <x:v>planning consequence</x:v>
      </x:c>
      <x:c r="F13" s="16" t="str">
        <x:v>Workforce constitution</x:v>
      </x:c>
      <x:c r="G13" s="16" t="str">
        <x:v>Not payroll headcount or deployable crews</x:v>
      </x:c>
      <x:c r="H13" s="9"/>
      <x:c r="I13" s="9"/>
    </x:row>
    <x:row r="14">
      <x:c r="A14" s="9" t="str">
        <x:v>QB08</x:v>
      </x:c>
      <x:c r="B14" s="9" t="str">
        <x:v>National capital</x:v>
      </x:c>
      <x:c r="C14" s="23" t="n">
        <x:v>17.4</x:v>
      </x:c>
      <x:c r="D14" s="9" t="str">
        <x:v>USD T</x:v>
      </x:c>
      <x:c r="E14" s="9" t="str">
        <x:v>planning consequence</x:v>
      </x:c>
      <x:c r="F14" s="16" t="str">
        <x:v>Force-sizing constitution</x:v>
      </x:c>
      <x:c r="G14" s="16" t="str">
        <x:v>Not an appropriation or cost estimate</x:v>
      </x:c>
      <x:c r="H14" s="9"/>
      <x:c r="I14" s="9"/>
    </x:row>
    <x:row r="15">
      <x:c r="A15" s="9" t="str">
        <x:v>QB09</x:v>
      </x:c>
      <x:c r="B15" s="9" t="str">
        <x:v>Mature annual operations</x:v>
      </x:c>
      <x:c r="C15" s="23" t="n">
        <x:v>2.11</x:v>
      </x:c>
      <x:c r="D15" s="9" t="str">
        <x:v>USD T per year</x:v>
      </x:c>
      <x:c r="E15" s="9" t="str">
        <x:v>planning consequence</x:v>
      </x:c>
      <x:c r="F15" s="16" t="str">
        <x:v>Force-sizing constitution</x:v>
      </x:c>
      <x:c r="G15" s="16" t="str">
        <x:v>Excludes transfers and avoided loss</x:v>
      </x:c>
      <x:c r="H15" s="9"/>
      <x:c r="I15" s="9"/>
    </x:row>
    <x:row r="16">
      <x:c r="A16" s="9" t="str">
        <x:v>QB10</x:v>
      </x:c>
      <x:c r="B16" s="9" t="str">
        <x:v>Technology envelope</x:v>
      </x:c>
      <x:c r="C16" s="23" t="n">
        <x:v>1</x:v>
      </x:c>
      <x:c r="D16" s="9" t="str">
        <x:v>USD T over 25 years</x:v>
      </x:c>
      <x:c r="E16" s="9" t="str">
        <x:v>program constitution</x:v>
      </x:c>
      <x:c r="F16" s="16" t="str">
        <x:v>Department mission account</x:v>
      </x:c>
      <x:c r="G16" s="16" t="str">
        <x:v>Ambition frame, not fixed ceiling</x:v>
      </x:c>
      <x:c r="H16" s="9"/>
      <x:c r="I16" s="9"/>
    </x:row>
    <x:row r="17">
      <x:c r="A17" s="9" t="str">
        <x:v>QB11</x:v>
      </x:c>
      <x:c r="B17" s="9" t="str">
        <x:v>Mission-system technology</x:v>
      </x:c>
      <x:c r="C17" s="23" t="n">
        <x:v>550</x:v>
      </x:c>
      <x:c r="D17" s="9" t="str">
        <x:v>USD B</x:v>
      </x:c>
      <x:c r="E17" s="9" t="str">
        <x:v>program allocation</x:v>
      </x:c>
      <x:c r="F17" s="16" t="str">
        <x:v>Six-system portfolio</x:v>
      </x:c>
      <x:c r="G17" s="16" t="str">
        <x:v>Mechanism-neutral allocation</x:v>
      </x:c>
      <x:c r="H17" s="9"/>
      <x:c r="I17" s="9"/>
    </x:row>
    <x:row r="18">
      <x:c r="A18" s="9" t="str">
        <x:v>QB12</x:v>
      </x:c>
      <x:c r="B18" s="9" t="str">
        <x:v>First physical tranche</x:v>
      </x:c>
      <x:c r="C18" s="23" t="n">
        <x:v>200</x:v>
      </x:c>
      <x:c r="D18" s="9" t="str">
        <x:v>USD B</x:v>
      </x:c>
      <x:c r="E18" s="9" t="str">
        <x:v>program allocation</x:v>
      </x:c>
      <x:c r="F18" s="16" t="str">
        <x:v>First physical build portfolio</x:v>
      </x:c>
      <x:c r="G18" s="16" t="str">
        <x:v>Authority ceiling, not obligation</x:v>
      </x:c>
      <x:c r="H18" s="9"/>
      <x:c r="I18" s="9"/>
    </x:row>
    <x:row r="19">
      <x:c r="A19" s="9" t="str">
        <x:v>QB13</x:v>
      </x:c>
      <x:c r="B19" s="9" t="str">
        <x:v>Cohort-one proof exposure</x:v>
      </x:c>
      <x:c r="C19" s="23" t="n">
        <x:v>25</x:v>
      </x:c>
      <x:c r="D19" s="9" t="str">
        <x:v>USD B</x:v>
      </x:c>
      <x:c r="E19" s="9" t="str">
        <x:v>planning exposure</x:v>
      </x:c>
      <x:c r="F19" s="16" t="str">
        <x:v>EDB-TC and EXR-TC</x:v>
      </x:c>
      <x:c r="G19" s="16" t="str">
        <x:v>Rounded from inherited components; unobligated</x:v>
      </x:c>
      <x:c r="H19" s="9"/>
      <x:c r="I19" s="9"/>
    </x:row>
    <x:row r="20">
      <x:c r="A20" s="9" t="str">
        <x:v>QB14</x:v>
      </x:c>
      <x:c r="B20" s="9" t="str">
        <x:v>Cohort-one articles</x:v>
      </x:c>
      <x:c r="C20" s="23" t="n">
        <x:v>144</x:v>
      </x:c>
      <x:c r="D20" s="9" t="str">
        <x:v>articles</x:v>
      </x:c>
      <x:c r="E20" s="9" t="str">
        <x:v>experimental constitution</x:v>
      </x:c>
      <x:c r="F20" s="16" t="str">
        <x:v>AIP-1</x:v>
      </x:c>
      <x:c r="G20" s="16" t="str">
        <x:v>Unbuilt and nonfungible</x:v>
      </x:c>
      <x:c r="H20" s="9"/>
      <x:c r="I20" s="9"/>
    </x:row>
    <x:row r="21">
      <x:c r="A21" s="9" t="str">
        <x:v>QB15</x:v>
      </x:c>
      <x:c r="B21" s="9" t="str">
        <x:v>Proving nodes</x:v>
      </x:c>
      <x:c r="C21" s="23" t="n">
        <x:v>18</x:v>
      </x:c>
      <x:c r="D21" s="9" t="str">
        <x:v>nodes</x:v>
      </x:c>
      <x:c r="E21" s="9" t="str">
        <x:v>campaign architecture</x:v>
      </x:c>
      <x:c r="F21" s="16" t="str">
        <x:v>CTL-1</x:v>
      </x:c>
      <x:c r="G21" s="16" t="str">
        <x:v>Anonymous and uncommissioned</x:v>
      </x:c>
      <x:c r="H21" s="9"/>
      <x:c r="I21" s="9"/>
    </x:row>
    <x:row r="22">
      <x:c r="A22" s="9" t="str">
        <x:v>QB16</x:v>
      </x:c>
      <x:c r="B22" s="9" t="str">
        <x:v>Campaign epochs</x:v>
      </x:c>
      <x:c r="C22" s="23" t="n">
        <x:v>6</x:v>
      </x:c>
      <x:c r="D22" s="9" t="str">
        <x:v>epochs</x:v>
      </x:c>
      <x:c r="E22" s="9" t="str">
        <x:v>campaign architecture</x:v>
      </x:c>
      <x:c r="F22" s="16" t="str">
        <x:v>CTL-1</x:v>
      </x:c>
      <x:c r="G22" s="16" t="str">
        <x:v>Schedule, not executed time</x:v>
      </x:c>
      <x:c r="H22" s="9"/>
      <x:c r="I22" s="9"/>
    </x:row>
    <x:row r="23">
      <x:c r="A23" s="9" t="str">
        <x:v>QB17</x:v>
      </x:c>
      <x:c r="B23" s="9" t="str">
        <x:v>Campaign duration</x:v>
      </x:c>
      <x:c r="C23" s="23" t="n">
        <x:v>312</x:v>
      </x:c>
      <x:c r="D23" s="9" t="str">
        <x:v>weeks</x:v>
      </x:c>
      <x:c r="E23" s="9" t="str">
        <x:v>campaign architecture</x:v>
      </x:c>
      <x:c r="F23" s="16" t="str">
        <x:v>CTL-1</x:v>
      </x:c>
      <x:c r="G23" s="16" t="str">
        <x:v>Planning clock</x:v>
      </x:c>
      <x:c r="H23" s="9"/>
      <x:c r="I23" s="9"/>
    </x:row>
    <x:row r="24">
      <x:c r="A24" s="9" t="str">
        <x:v>QB18</x:v>
      </x:c>
      <x:c r="B24" s="9" t="str">
        <x:v>Event opportunities</x:v>
      </x:c>
      <x:c r="C24" s="23" t="n">
        <x:v>144</x:v>
      </x:c>
      <x:c r="D24" s="9" t="str">
        <x:v>events</x:v>
      </x:c>
      <x:c r="E24" s="9" t="str">
        <x:v>experimental constitution</x:v>
      </x:c>
      <x:c r="F24" s="16" t="str">
        <x:v>EOW-1</x:v>
      </x:c>
      <x:c r="G24" s="16" t="str">
        <x:v>Unissued and unexecuted</x:v>
      </x:c>
      <x:c r="H24" s="9"/>
      <x:c r="I24" s="9"/>
    </x:row>
    <x:row r="25">
      <x:c r="A25" s="9" t="str">
        <x:v>QB19</x:v>
      </x:c>
      <x:c r="B25" s="9" t="str">
        <x:v>Acceptance-bearing opportunities</x:v>
      </x:c>
      <x:c r="C25" s="23" t="n">
        <x:v>96</x:v>
      </x:c>
      <x:c r="D25" s="9" t="str">
        <x:v>events</x:v>
      </x:c>
      <x:c r="E25" s="9" t="str">
        <x:v>experimental constitution</x:v>
      </x:c>
      <x:c r="F25" s="16" t="str">
        <x:v>AIP-1 and EXR-TC</x:v>
      </x:c>
      <x:c r="G25" s="16" t="str">
        <x:v>Potential only; no accepted evidence</x:v>
      </x:c>
      <x:c r="H25" s="9"/>
      <x:c r="I25" s="9"/>
    </x:row>
    <x:row r="26">
      <x:c r="A26" s="9" t="str">
        <x:v>QB20</x:v>
      </x:c>
      <x:c r="B26" s="9" t="str">
        <x:v>Builder-root dossiers</x:v>
      </x:c>
      <x:c r="C26" s="23" t="n">
        <x:v>48</x:v>
      </x:c>
      <x:c r="D26" s="9" t="str">
        <x:v>dossiers</x:v>
      </x:c>
      <x:c r="E26" s="9" t="str">
        <x:v>adjudication constitution</x:v>
      </x:c>
      <x:c r="F26" s="16" t="str">
        <x:v>EXR-TC</x:v>
      </x:c>
      <x:c r="G26" s="16" t="str">
        <x:v>All blocked</x:v>
      </x:c>
      <x:c r="H26" s="9"/>
      <x:c r="I26" s="9"/>
    </x:row>
    <x:row r="27">
      <x:c r="A27" s="9" t="str">
        <x:v>QB21</x:v>
      </x:c>
      <x:c r="B27" s="9" t="str">
        <x:v>National formation families</x:v>
      </x:c>
      <x:c r="C27" s="23" t="n">
        <x:v>48</x:v>
      </x:c>
      <x:c r="D27" s="9" t="str">
        <x:v>families</x:v>
      </x:c>
      <x:c r="E27" s="9" t="str">
        <x:v>force architecture</x:v>
      </x:c>
      <x:c r="F27" s="16" t="str">
        <x:v>National Formation Registry</x:v>
      </x:c>
      <x:c r="G27" s="16" t="str">
        <x:v>Typed requirements, not serial assets</x:v>
      </x:c>
      <x:c r="H27" s="9"/>
      <x:c r="I27" s="9"/>
    </x:row>
    <x:row r="28">
      <x:c r="A28" s="9" t="str">
        <x:v>QB22</x:v>
      </x:c>
      <x:c r="B28" s="9" t="str">
        <x:v>Operating services</x:v>
      </x:c>
      <x:c r="C28" s="23" t="n">
        <x:v>7</x:v>
      </x:c>
      <x:c r="D28" s="9" t="str">
        <x:v>services</x:v>
      </x:c>
      <x:c r="E28" s="9" t="str">
        <x:v>institutional architecture</x:v>
      </x:c>
      <x:c r="F28" s="16" t="str">
        <x:v>Department constitution</x:v>
      </x:c>
      <x:c r="G28" s="16" t="str">
        <x:v>Not effect ledgers or commands</x:v>
      </x:c>
      <x:c r="H28" s="9"/>
      <x:c r="I28" s="9"/>
    </x:row>
    <x:row r="29">
      <x:c r="A29" s="9" t="str">
        <x:v>QB23</x:v>
      </x:c>
      <x:c r="B29" s="9" t="str">
        <x:v>Public effect ledgers</x:v>
      </x:c>
      <x:c r="C29" s="23" t="n">
        <x:v>9</x:v>
      </x:c>
      <x:c r="D29" s="9" t="str">
        <x:v>effects</x:v>
      </x:c>
      <x:c r="E29" s="9" t="str">
        <x:v>service contract</x:v>
      </x:c>
      <x:c r="F29" s="16" t="str">
        <x:v>National service grammar</x:v>
      </x:c>
      <x:c r="G29" s="16" t="str">
        <x:v>No effect may be inferred from equipment output</x:v>
      </x:c>
      <x:c r="H29" s="9"/>
      <x:c r="I29" s="9"/>
    </x:row>
    <x:row r="30">
      <x:c r="A30" s="9" t="str">
        <x:v>QB24</x:v>
      </x:c>
      <x:c r="B30" s="9" t="str">
        <x:v>Publication completion</x:v>
      </x:c>
      <x:c r="C30" s="12" t="n">
        <x:v>0.7</x:v>
      </x:c>
      <x:c r="D30" s="9" t="str">
        <x:v>share of gates</x:v>
      </x:c>
      <x:c r="E30" s="9" t="str">
        <x:v>editorial screen</x:v>
      </x:c>
      <x:c r="F30" s="16" t="str">
        <x:v>SYN-1</x:v>
      </x:c>
      <x:c r="G30" s="16" t="str">
        <x:v>Not confidence, probability or physical maturity</x:v>
      </x:c>
      <x:c r="H30" s="9"/>
      <x:c r="I30" s="9"/>
    </x:row>
  </x:sheetData>
  <x:pageMargins left="0.7" right="0.7" top="0.75" bottom="0.75" header="0.3" footer="0.3"/>
  <x:tableParts count="1">
    <x:tablePart xmlns:r="http://schemas.openxmlformats.org/officeDocument/2006/relationships" r:id="R100e9264250947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20" hidden="0" customWidth="1"/>
    <x:col min="5" max="5" width="52" hidden="0" customWidth="1"/>
    <x:col min="6" max="6" width="68" hidden="0" customWidth="1"/>
    <x:col min="7" max="7" width="16" hidden="0" customWidth="1"/>
    <x:col min="8" max="8" width="14" hidden="0" customWidth="1"/>
    <x:col min="9" max="9" width="18" hidden="0" customWidth="1"/>
  </x:cols>
  <x:sheetData>
    <x:row r="1">
      <x:c r="A1" s="9"/>
      <x:c r="B1" s="9"/>
      <x:c r="C1" s="9"/>
      <x:c r="D1" s="9"/>
      <x:c r="E1" s="9"/>
      <x:c r="F1" s="9"/>
      <x:c r="G1" s="9"/>
      <x:c r="H1" s="9"/>
      <x:c r="I1" s="9"/>
    </x:row>
    <x:row r="2">
      <x:c r="A2" s="24" t="str">
        <x:v>Twenty-one publication burdens that remain after the stocktake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9"/>
      <x:c r="B3" s="9"/>
      <x:c r="C3" s="9"/>
      <x:c r="D3" s="9"/>
      <x:c r="E3" s="9"/>
      <x:c r="F3" s="9"/>
      <x:c r="G3" s="9"/>
      <x:c r="H3" s="9"/>
      <x:c r="I3" s="9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</x:row>
    <x:row r="5">
      <x:c r="A5" s="9"/>
      <x:c r="B5" s="9"/>
      <x:c r="C5" s="9"/>
      <x:c r="D5" s="9"/>
      <x:c r="E5" s="9"/>
      <x:c r="F5" s="9"/>
      <x:c r="G5" s="9"/>
      <x:c r="H5" s="9"/>
      <x:c r="I5" s="9"/>
    </x:row>
    <x:row r="6" ht="34" customHeight="1">
      <x:c r="A6" s="28" t="str">
        <x:v>Gate</x:v>
      </x:c>
      <x:c r="B6" s="28" t="str">
        <x:v>Chapter</x:v>
      </x:c>
      <x:c r="C6" s="28" t="str">
        <x:v>Final chapter</x:v>
      </x:c>
      <x:c r="D6" s="28" t="str">
        <x:v>Gate class</x:v>
      </x:c>
      <x:c r="E6" s="28" t="str">
        <x:v>Current deficit</x:v>
      </x:c>
      <x:c r="F6" s="28" t="str">
        <x:v>Closure test</x:v>
      </x:c>
      <x:c r="G6" s="28" t="str">
        <x:v>Planned pass</x:v>
      </x:c>
      <x:c r="H6" s="28" t="str">
        <x:v>State</x:v>
      </x:c>
      <x:c r="I6" s="28" t="str">
        <x:v>Dependency order</x:v>
      </x:c>
    </x:row>
    <x:row r="7">
      <x:c r="A7" s="9" t="str">
        <x:v>CH05-G5</x:v>
      </x:c>
      <x:c r="B7" s="9" t="str">
        <x:v>CH05</x:v>
      </x:c>
      <x:c r="C7" s="9" t="str">
        <x:v>Domestic employment doctrine</x:v>
      </x:c>
      <x:c r="D7" s="9" t="str">
        <x:v>Reader asset</x:v>
      </x:c>
      <x:c r="E7" s="16" t="str">
        <x:v>Reader-facing asset not publication-ready</x:v>
      </x:c>
      <x:c r="F7" s="16" t="str">
        <x:v>The final reader can understand the chapter without pass chronology or repository archaeology</x:v>
      </x:c>
      <x:c r="G7" s="9" t="str">
        <x:v>SYN-2</x:v>
      </x:c>
      <x:c r="H7" s="9" t="str">
        <x:v>OPEN</x:v>
      </x:c>
      <x:c r="I7" s="9" t="n">
        <x:v>1</x:v>
      </x:c>
    </x:row>
    <x:row r="8">
      <x:c r="A8" s="9" t="str">
        <x:v>CH06-G3</x:v>
      </x:c>
      <x:c r="B8" s="9" t="str">
        <x:v>CH06</x:v>
      </x:c>
      <x:c r="C8" s="9" t="str">
        <x:v>International projection and partnership</x:v>
      </x:c>
      <x:c r="D8" s="9" t="str">
        <x:v>Quantification</x:v>
      </x:c>
      <x:c r="E8" s="16" t="str">
        <x:v>Quantitative reconciliation incomplete</x:v>
      </x:c>
      <x:c r="F8" s="16" t="str">
        <x:v>The chapter carries at least one reconciled quantitative boundary with units and status</x:v>
      </x:c>
      <x:c r="G8" s="9" t="str">
        <x:v>SYN-2</x:v>
      </x:c>
      <x:c r="H8" s="9" t="str">
        <x:v>OPEN</x:v>
      </x:c>
      <x:c r="I8" s="9" t="n">
        <x:v>2</x:v>
      </x:c>
    </x:row>
    <x:row r="9">
      <x:c r="A9" s="9" t="str">
        <x:v>CH06-G4</x:v>
      </x:c>
      <x:c r="B9" s="9" t="str">
        <x:v>CH06</x:v>
      </x:c>
      <x:c r="C9" s="9" t="str">
        <x:v>International projection and partnership</x:v>
      </x:c>
      <x:c r="D9" s="9" t="str">
        <x:v>Integration</x:v>
      </x:c>
      <x:c r="E9" s="16" t="str">
        <x:v>Cross-chapter contradiction remains</x:v>
      </x:c>
      <x:c r="F9" s="16" t="str">
        <x:v>The chapter reconciles its claims with adjacent institution, force, technology and fiscal decisions</x:v>
      </x:c>
      <x:c r="G9" s="9" t="str">
        <x:v>SYN-2</x:v>
      </x:c>
      <x:c r="H9" s="9" t="str">
        <x:v>OPEN</x:v>
      </x:c>
      <x:c r="I9" s="9" t="n">
        <x:v>3</x:v>
      </x:c>
    </x:row>
    <x:row r="10">
      <x:c r="A10" s="9" t="str">
        <x:v>CH06-G5</x:v>
      </x:c>
      <x:c r="B10" s="9" t="str">
        <x:v>CH06</x:v>
      </x:c>
      <x:c r="C10" s="9" t="str">
        <x:v>International projection and partnership</x:v>
      </x:c>
      <x:c r="D10" s="9" t="str">
        <x:v>Reader asset</x:v>
      </x:c>
      <x:c r="E10" s="16" t="str">
        <x:v>Reader-facing asset not publication-ready</x:v>
      </x:c>
      <x:c r="F10" s="16" t="str">
        <x:v>The final reader can understand the chapter without pass chronology or repository archaeology</x:v>
      </x:c>
      <x:c r="G10" s="9" t="str">
        <x:v>SYN-2</x:v>
      </x:c>
      <x:c r="H10" s="9" t="str">
        <x:v>OPEN</x:v>
      </x:c>
      <x:c r="I10" s="9" t="n">
        <x:v>4</x:v>
      </x:c>
    </x:row>
    <x:row r="11">
      <x:c r="A11" s="9" t="str">
        <x:v>CH07-G5</x:v>
      </x:c>
      <x:c r="B11" s="9" t="str">
        <x:v>CH07</x:v>
      </x:c>
      <x:c r="C11" s="9" t="str">
        <x:v>Hazard control and lifeline restoration</x:v>
      </x:c>
      <x:c r="D11" s="9" t="str">
        <x:v>Reader asset</x:v>
      </x:c>
      <x:c r="E11" s="16" t="str">
        <x:v>Reader-facing asset not publication-ready</x:v>
      </x:c>
      <x:c r="F11" s="16" t="str">
        <x:v>The final reader can understand the chapter without pass chronology or repository archaeology</x:v>
      </x:c>
      <x:c r="G11" s="9" t="str">
        <x:v>SYN-2</x:v>
      </x:c>
      <x:c r="H11" s="9" t="str">
        <x:v>OPEN</x:v>
      </x:c>
      <x:c r="I11" s="9" t="n">
        <x:v>5</x:v>
      </x:c>
    </x:row>
    <x:row r="12">
      <x:c r="A12" s="9" t="str">
        <x:v>CH08-G5</x:v>
      </x:c>
      <x:c r="B12" s="9" t="str">
        <x:v>CH08</x:v>
      </x:c>
      <x:c r="C12" s="9" t="str">
        <x:v>Strategic mobility and reception</x:v>
      </x:c>
      <x:c r="D12" s="9" t="str">
        <x:v>Reader asset</x:v>
      </x:c>
      <x:c r="E12" s="16" t="str">
        <x:v>Reader-facing asset not publication-ready</x:v>
      </x:c>
      <x:c r="F12" s="16" t="str">
        <x:v>The final reader can understand the chapter without pass chronology or repository archaeology</x:v>
      </x:c>
      <x:c r="G12" s="9" t="str">
        <x:v>SYN-2</x:v>
      </x:c>
      <x:c r="H12" s="9" t="str">
        <x:v>OPEN</x:v>
      </x:c>
      <x:c r="I12" s="9" t="n">
        <x:v>6</x:v>
      </x:c>
    </x:row>
    <x:row r="13">
      <x:c r="A13" s="9" t="str">
        <x:v>CH09-G5</x:v>
      </x:c>
      <x:c r="B13" s="9" t="str">
        <x:v>CH09</x:v>
      </x:c>
      <x:c r="C13" s="9" t="str">
        <x:v>Technology and invention portfolio</x:v>
      </x:c>
      <x:c r="D13" s="9" t="str">
        <x:v>Reader asset</x:v>
      </x:c>
      <x:c r="E13" s="16" t="str">
        <x:v>Reader-facing asset not publication-ready</x:v>
      </x:c>
      <x:c r="F13" s="16" t="str">
        <x:v>The final reader can understand the chapter without pass chronology or repository archaeology</x:v>
      </x:c>
      <x:c r="G13" s="9" t="str">
        <x:v>SYN-3</x:v>
      </x:c>
      <x:c r="H13" s="9" t="str">
        <x:v>OPEN</x:v>
      </x:c>
      <x:c r="I13" s="9" t="n">
        <x:v>7</x:v>
      </x:c>
    </x:row>
    <x:row r="14">
      <x:c r="A14" s="9" t="str">
        <x:v>CH10-G4</x:v>
      </x:c>
      <x:c r="B14" s="9" t="str">
        <x:v>CH10</x:v>
      </x:c>
      <x:c r="C14" s="9" t="str">
        <x:v>Industrial economy and market design</x:v>
      </x:c>
      <x:c r="D14" s="9" t="str">
        <x:v>Integration</x:v>
      </x:c>
      <x:c r="E14" s="16" t="str">
        <x:v>Cross-chapter contradiction remains</x:v>
      </x:c>
      <x:c r="F14" s="16" t="str">
        <x:v>The chapter reconciles its claims with adjacent institution, force, technology and fiscal decisions</x:v>
      </x:c>
      <x:c r="G14" s="9" t="str">
        <x:v>SYN-3</x:v>
      </x:c>
      <x:c r="H14" s="9" t="str">
        <x:v>OPEN</x:v>
      </x:c>
      <x:c r="I14" s="9" t="n">
        <x:v>8</x:v>
      </x:c>
    </x:row>
    <x:row r="15">
      <x:c r="A15" s="9" t="str">
        <x:v>CH10-G5</x:v>
      </x:c>
      <x:c r="B15" s="9" t="str">
        <x:v>CH10</x:v>
      </x:c>
      <x:c r="C15" s="9" t="str">
        <x:v>Industrial economy and market design</x:v>
      </x:c>
      <x:c r="D15" s="9" t="str">
        <x:v>Reader asset</x:v>
      </x:c>
      <x:c r="E15" s="16" t="str">
        <x:v>Reader-facing asset not publication-ready</x:v>
      </x:c>
      <x:c r="F15" s="16" t="str">
        <x:v>The final reader can understand the chapter without pass chronology or repository archaeology</x:v>
      </x:c>
      <x:c r="G15" s="9" t="str">
        <x:v>SYN-3</x:v>
      </x:c>
      <x:c r="H15" s="9" t="str">
        <x:v>OPEN</x:v>
      </x:c>
      <x:c r="I15" s="9" t="n">
        <x:v>9</x:v>
      </x:c>
    </x:row>
    <x:row r="16">
      <x:c r="A16" s="9" t="str">
        <x:v>CH11-G5</x:v>
      </x:c>
      <x:c r="B16" s="9" t="str">
        <x:v>CH11</x:v>
      </x:c>
      <x:c r="C16" s="9" t="str">
        <x:v>Workforce, basing and readiness</x:v>
      </x:c>
      <x:c r="D16" s="9" t="str">
        <x:v>Reader asset</x:v>
      </x:c>
      <x:c r="E16" s="16" t="str">
        <x:v>Reader-facing asset not publication-ready</x:v>
      </x:c>
      <x:c r="F16" s="16" t="str">
        <x:v>The final reader can understand the chapter without pass chronology or repository archaeology</x:v>
      </x:c>
      <x:c r="G16" s="9" t="str">
        <x:v>SYN-3</x:v>
      </x:c>
      <x:c r="H16" s="9" t="str">
        <x:v>OPEN</x:v>
      </x:c>
      <x:c r="I16" s="9" t="n">
        <x:v>10</x:v>
      </x:c>
    </x:row>
    <x:row r="17">
      <x:c r="A17" s="9" t="str">
        <x:v>CH12-G4</x:v>
      </x:c>
      <x:c r="B17" s="9" t="str">
        <x:v>CH12</x:v>
      </x:c>
      <x:c r="C17" s="9" t="str">
        <x:v>Finance and program reconciliation</x:v>
      </x:c>
      <x:c r="D17" s="9" t="str">
        <x:v>Integration</x:v>
      </x:c>
      <x:c r="E17" s="16" t="str">
        <x:v>Cross-chapter contradiction remains</x:v>
      </x:c>
      <x:c r="F17" s="16" t="str">
        <x:v>The chapter reconciles its claims with adjacent institution, force, technology and fiscal decisions</x:v>
      </x:c>
      <x:c r="G17" s="9" t="str">
        <x:v>SYN-3</x:v>
      </x:c>
      <x:c r="H17" s="9" t="str">
        <x:v>OPEN</x:v>
      </x:c>
      <x:c r="I17" s="9" t="n">
        <x:v>11</x:v>
      </x:c>
    </x:row>
    <x:row r="18">
      <x:c r="A18" s="9" t="str">
        <x:v>CH12-G5</x:v>
      </x:c>
      <x:c r="B18" s="9" t="str">
        <x:v>CH12</x:v>
      </x:c>
      <x:c r="C18" s="9" t="str">
        <x:v>Finance and program reconciliation</x:v>
      </x:c>
      <x:c r="D18" s="9" t="str">
        <x:v>Reader asset</x:v>
      </x:c>
      <x:c r="E18" s="16" t="str">
        <x:v>Reader-facing asset not publication-ready</x:v>
      </x:c>
      <x:c r="F18" s="16" t="str">
        <x:v>The final reader can understand the chapter without pass chronology or repository archaeology</x:v>
      </x:c>
      <x:c r="G18" s="9" t="str">
        <x:v>SYN-3</x:v>
      </x:c>
      <x:c r="H18" s="9" t="str">
        <x:v>OPEN</x:v>
      </x:c>
      <x:c r="I18" s="9" t="n">
        <x:v>12</x:v>
      </x:c>
    </x:row>
    <x:row r="19">
      <x:c r="A19" s="9" t="str">
        <x:v>CH13-G2</x:v>
      </x:c>
      <x:c r="B19" s="9" t="str">
        <x:v>CH13</x:v>
      </x:c>
      <x:c r="C19" s="9" t="str">
        <x:v>Integrated strategic synthesis</x:v>
      </x:c>
      <x:c r="D19" s="9" t="str">
        <x:v>Architecture</x:v>
      </x:c>
      <x:c r="E19" s="16" t="str">
        <x:v>Controlling architecture absent</x:v>
      </x:c>
      <x:c r="F19" s="16" t="str">
        <x:v>The chapter selects a controlling architecture and records rejected or superseded alternatives</x:v>
      </x:c>
      <x:c r="G19" s="9" t="str">
        <x:v>SYN-3</x:v>
      </x:c>
      <x:c r="H19" s="9" t="str">
        <x:v>OPEN</x:v>
      </x:c>
      <x:c r="I19" s="9" t="n">
        <x:v>13</x:v>
      </x:c>
    </x:row>
    <x:row r="20">
      <x:c r="A20" s="9" t="str">
        <x:v>CH13-G3</x:v>
      </x:c>
      <x:c r="B20" s="9" t="str">
        <x:v>CH13</x:v>
      </x:c>
      <x:c r="C20" s="9" t="str">
        <x:v>Integrated strategic synthesis</x:v>
      </x:c>
      <x:c r="D20" s="9" t="str">
        <x:v>Quantification</x:v>
      </x:c>
      <x:c r="E20" s="16" t="str">
        <x:v>Quantitative reconciliation incomplete</x:v>
      </x:c>
      <x:c r="F20" s="16" t="str">
        <x:v>The chapter carries at least one reconciled quantitative boundary with units and status</x:v>
      </x:c>
      <x:c r="G20" s="9" t="str">
        <x:v>SYN-4</x:v>
      </x:c>
      <x:c r="H20" s="9" t="str">
        <x:v>OPEN</x:v>
      </x:c>
      <x:c r="I20" s="9" t="n">
        <x:v>14</x:v>
      </x:c>
    </x:row>
    <x:row r="21">
      <x:c r="A21" s="9" t="str">
        <x:v>CH13-G4</x:v>
      </x:c>
      <x:c r="B21" s="9" t="str">
        <x:v>CH13</x:v>
      </x:c>
      <x:c r="C21" s="9" t="str">
        <x:v>Integrated strategic synthesis</x:v>
      </x:c>
      <x:c r="D21" s="9" t="str">
        <x:v>Integration</x:v>
      </x:c>
      <x:c r="E21" s="16" t="str">
        <x:v>Cross-chapter contradiction remains</x:v>
      </x:c>
      <x:c r="F21" s="16" t="str">
        <x:v>The chapter reconciles its claims with adjacent institution, force, technology and fiscal decisions</x:v>
      </x:c>
      <x:c r="G21" s="9" t="str">
        <x:v>SYN-4</x:v>
      </x:c>
      <x:c r="H21" s="9" t="str">
        <x:v>OPEN</x:v>
      </x:c>
      <x:c r="I21" s="9" t="n">
        <x:v>15</x:v>
      </x:c>
    </x:row>
    <x:row r="22">
      <x:c r="A22" s="9" t="str">
        <x:v>CH13-G5</x:v>
      </x:c>
      <x:c r="B22" s="9" t="str">
        <x:v>CH13</x:v>
      </x:c>
      <x:c r="C22" s="9" t="str">
        <x:v>Integrated strategic synthesis</x:v>
      </x:c>
      <x:c r="D22" s="9" t="str">
        <x:v>Reader asset</x:v>
      </x:c>
      <x:c r="E22" s="16" t="str">
        <x:v>Reader-facing asset not publication-ready</x:v>
      </x:c>
      <x:c r="F22" s="16" t="str">
        <x:v>The final reader can understand the chapter without pass chronology or repository archaeology</x:v>
      </x:c>
      <x:c r="G22" s="9" t="str">
        <x:v>SYN-4</x:v>
      </x:c>
      <x:c r="H22" s="9" t="str">
        <x:v>OPEN</x:v>
      </x:c>
      <x:c r="I22" s="9" t="n">
        <x:v>16</x:v>
      </x:c>
    </x:row>
    <x:row r="23">
      <x:c r="A23" s="9" t="str">
        <x:v>CH14-G1</x:v>
      </x:c>
      <x:c r="B23" s="9" t="str">
        <x:v>CH14</x:v>
      </x:c>
      <x:c r="C23" s="9" t="str">
        <x:v>Technical visual atlas</x:v>
      </x:c>
      <x:c r="D23" s="9" t="str">
        <x:v>Requirement</x:v>
      </x:c>
      <x:c r="E23" s="16" t="str">
        <x:v>Requirement absent</x:v>
      </x:c>
      <x:c r="F23" s="16" t="str">
        <x:v>The chapter states the public or strategic question and a falsifiable denominator</x:v>
      </x:c>
      <x:c r="G23" s="9" t="str">
        <x:v>SYN-4</x:v>
      </x:c>
      <x:c r="H23" s="9" t="str">
        <x:v>OPEN</x:v>
      </x:c>
      <x:c r="I23" s="9" t="n">
        <x:v>17</x:v>
      </x:c>
    </x:row>
    <x:row r="24">
      <x:c r="A24" s="9" t="str">
        <x:v>CH14-G2</x:v>
      </x:c>
      <x:c r="B24" s="9" t="str">
        <x:v>CH14</x:v>
      </x:c>
      <x:c r="C24" s="9" t="str">
        <x:v>Technical visual atlas</x:v>
      </x:c>
      <x:c r="D24" s="9" t="str">
        <x:v>Architecture</x:v>
      </x:c>
      <x:c r="E24" s="16" t="str">
        <x:v>Controlling architecture absent</x:v>
      </x:c>
      <x:c r="F24" s="16" t="str">
        <x:v>The chapter selects a controlling architecture and records rejected or superseded alternatives</x:v>
      </x:c>
      <x:c r="G24" s="9" t="str">
        <x:v>SYN-4</x:v>
      </x:c>
      <x:c r="H24" s="9" t="str">
        <x:v>OPEN</x:v>
      </x:c>
      <x:c r="I24" s="9" t="n">
        <x:v>18</x:v>
      </x:c>
    </x:row>
    <x:row r="25">
      <x:c r="A25" s="9" t="str">
        <x:v>CH14-G3</x:v>
      </x:c>
      <x:c r="B25" s="9" t="str">
        <x:v>CH14</x:v>
      </x:c>
      <x:c r="C25" s="9" t="str">
        <x:v>Technical visual atlas</x:v>
      </x:c>
      <x:c r="D25" s="9" t="str">
        <x:v>Quantification</x:v>
      </x:c>
      <x:c r="E25" s="16" t="str">
        <x:v>Quantitative reconciliation incomplete</x:v>
      </x:c>
      <x:c r="F25" s="16" t="str">
        <x:v>The chapter carries at least one reconciled quantitative boundary with units and status</x:v>
      </x:c>
      <x:c r="G25" s="9" t="str">
        <x:v>SYN-5</x:v>
      </x:c>
      <x:c r="H25" s="9" t="str">
        <x:v>OPEN</x:v>
      </x:c>
      <x:c r="I25" s="9" t="n">
        <x:v>19</x:v>
      </x:c>
    </x:row>
    <x:row r="26">
      <x:c r="A26" s="9" t="str">
        <x:v>CH14-G4</x:v>
      </x:c>
      <x:c r="B26" s="9" t="str">
        <x:v>CH14</x:v>
      </x:c>
      <x:c r="C26" s="9" t="str">
        <x:v>Technical visual atlas</x:v>
      </x:c>
      <x:c r="D26" s="9" t="str">
        <x:v>Integration</x:v>
      </x:c>
      <x:c r="E26" s="16" t="str">
        <x:v>Cross-chapter contradiction remains</x:v>
      </x:c>
      <x:c r="F26" s="16" t="str">
        <x:v>The chapter reconciles its claims with adjacent institution, force, technology and fiscal decisions</x:v>
      </x:c>
      <x:c r="G26" s="9" t="str">
        <x:v>SYN-5</x:v>
      </x:c>
      <x:c r="H26" s="9" t="str">
        <x:v>OPEN</x:v>
      </x:c>
      <x:c r="I26" s="9" t="n">
        <x:v>20</x:v>
      </x:c>
    </x:row>
    <x:row r="27">
      <x:c r="A27" s="9" t="str">
        <x:v>CH14-G5</x:v>
      </x:c>
      <x:c r="B27" s="9" t="str">
        <x:v>CH14</x:v>
      </x:c>
      <x:c r="C27" s="9" t="str">
        <x:v>Technical visual atlas</x:v>
      </x:c>
      <x:c r="D27" s="9" t="str">
        <x:v>Reader asset</x:v>
      </x:c>
      <x:c r="E27" s="16" t="str">
        <x:v>Reader-facing asset not publication-ready</x:v>
      </x:c>
      <x:c r="F27" s="16" t="str">
        <x:v>The final reader can understand the chapter without pass chronology or repository archaeology</x:v>
      </x:c>
      <x:c r="G27" s="9" t="str">
        <x:v>SYN-5</x:v>
      </x:c>
      <x:c r="H27" s="9" t="str">
        <x:v>OPEN</x:v>
      </x:c>
      <x:c r="I27" s="9" t="n">
        <x:v>21</x:v>
      </x:c>
    </x:row>
  </x:sheetData>
  <x:conditionalFormatting sqref="H7:H27">
    <x:cfRule type="containsText" dxfId="44" priority="1" operator="containsText" text="OPEN"/>
    <x:cfRule type="containsText" dxfId="45" priority="2" operator="containsText" text="PARTIAL"/>
    <x:cfRule type="containsText" dxfId="46" priority="3" operator="containsText" text="HELD"/>
    <x:cfRule type="containsText" dxfId="47" priority="4" operator="containsText" text="NOT READY"/>
    <x:cfRule type="containsText" dxfId="48" priority="5" operator="containsText" text="REQUIRES"/>
    <x:cfRule type="containsText" dxfId="49" priority="6" operator="containsText" text="FAIL"/>
    <x:cfRule type="containsText" dxfId="50" priority="7" operator="containsText" text="PROHIBITED"/>
    <x:cfRule type="containsText" dxfId="51" priority="8" operator="containsText" text="INVALID"/>
    <x:cfRule type="containsText" dxfId="52" priority="9" operator="containsText" text="CLOSED"/>
    <x:cfRule type="containsText" dxfId="53" priority="10" operator="containsText" text="PUBLICATION READY"/>
    <x:cfRule type="containsText" dxfId="54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32aeccfe046f4c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08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24" t="str">
        <x:v>Rules for compressing the corpus without erasing learning</x:v>
      </x:c>
      <x:c r="B2" s="10"/>
      <x:c r="C2" s="10"/>
      <x:c r="D2" s="10"/>
      <x:c r="E2" s="10"/>
      <x:c r="F2" s="10"/>
      <x:c r="G2" s="10"/>
    </x:row>
    <x:row r="3">
      <x:c r="A3" s="9"/>
      <x:c r="B3" s="9"/>
      <x:c r="C3" s="9"/>
      <x:c r="D3" s="9"/>
      <x:c r="E3" s="9"/>
      <x:c r="F3" s="9"/>
      <x:c r="G3" s="9"/>
    </x:row>
    <x:row r="4">
      <x:c r="A4" s="11"/>
      <x:c r="B4" s="11"/>
      <x:c r="C4" s="11"/>
      <x:c r="D4" s="11"/>
      <x:c r="E4" s="11"/>
      <x:c r="F4" s="11"/>
      <x:c r="G4" s="11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28" t="str">
        <x:v>Rule</x:v>
      </x:c>
      <x:c r="B6" s="28" t="str">
        <x:v>Control</x:v>
      </x:c>
      <x:c r="C6" s="28" t="str">
        <x:v>Application</x:v>
      </x:c>
      <x:c r="D6" s="9"/>
      <x:c r="E6" s="9"/>
      <x:c r="F6" s="9"/>
      <x:c r="G6" s="9"/>
    </x:row>
    <x:row r="7">
      <x:c r="A7" s="9" t="str">
        <x:v>SR01</x:v>
      </x:c>
      <x:c r="B7" s="16" t="str">
        <x:v>Controlling decision first</x:v>
      </x:c>
      <x:c r="C7" s="16" t="str">
        <x:v>Use the latest decision that explicitly supersedes or reconciles an earlier result</x:v>
      </x:c>
      <x:c r="D7" s="9"/>
      <x:c r="E7" s="9"/>
      <x:c r="F7" s="9"/>
      <x:c r="G7" s="9"/>
    </x:row>
    <x:row r="8">
      <x:c r="A8" s="9" t="str">
        <x:v>SR02</x:v>
      </x:c>
      <x:c r="B8" s="16" t="str">
        <x:v>Historical result retained</x:v>
      </x:c>
      <x:c r="C8" s="16" t="str">
        <x:v>Preserve the earlier artifact when it explains what the later decision overturned</x:v>
      </x:c>
      <x:c r="D8" s="9"/>
      <x:c r="E8" s="9"/>
      <x:c r="F8" s="9"/>
      <x:c r="G8" s="9"/>
    </x:row>
    <x:row r="9">
      <x:c r="A9" s="9" t="str">
        <x:v>SR03</x:v>
      </x:c>
      <x:c r="B9" s="16" t="str">
        <x:v>No chronology as argument</x:v>
      </x:c>
      <x:c r="C9" s="16" t="str">
        <x:v>Pass sequence may establish provenance but may not substitute for causal exposition</x:v>
      </x:c>
      <x:c r="D9" s="9"/>
      <x:c r="E9" s="9"/>
      <x:c r="F9" s="9"/>
      <x:c r="G9" s="9"/>
    </x:row>
    <x:row r="10">
      <x:c r="A10" s="9" t="str">
        <x:v>SR04</x:v>
      </x:c>
      <x:c r="B10" s="16" t="str">
        <x:v>State travels with quantity</x:v>
      </x:c>
      <x:c r="C10" s="16" t="str">
        <x:v>Every number retains its unit, scope, date or horizon and evidence state</x:v>
      </x:c>
      <x:c r="D10" s="9"/>
      <x:c r="E10" s="9"/>
      <x:c r="F10" s="9"/>
      <x:c r="G10" s="9"/>
    </x:row>
    <x:row r="11">
      <x:c r="A11" s="9" t="str">
        <x:v>SR05</x:v>
      </x:c>
      <x:c r="B11" s="16" t="str">
        <x:v>No authority promotion</x:v>
      </x:c>
      <x:c r="C11" s="16" t="str">
        <x:v>Design, planning and internal reconciliation cannot become observation, procurement or readiness</x:v>
      </x:c>
      <x:c r="D11" s="9"/>
      <x:c r="E11" s="9"/>
      <x:c r="F11" s="9"/>
      <x:c r="G11" s="9"/>
    </x:row>
    <x:row r="12">
      <x:c r="A12" s="9" t="str">
        <x:v>SR06</x:v>
      </x:c>
      <x:c r="B12" s="16" t="str">
        <x:v>No common-platform inference</x:v>
      </x:c>
      <x:c r="C12" s="16" t="str">
        <x:v>Shared service meaning does not authorize shared mechanism, solver or prime contractor</x:v>
      </x:c>
      <x:c r="D12" s="9"/>
      <x:c r="E12" s="9"/>
      <x:c r="F12" s="9"/>
      <x:c r="G12" s="9"/>
    </x:row>
    <x:row r="13">
      <x:c r="A13" s="9" t="str">
        <x:v>SR07</x:v>
      </x:c>
      <x:c r="B13" s="16" t="str">
        <x:v>Failure remains visible</x:v>
      </x:c>
      <x:c r="C13" s="16" t="str">
        <x:v>A killed, failed or superseded branch is summarized where it changes the surviving architecture</x:v>
      </x:c>
      <x:c r="D13" s="9"/>
      <x:c r="E13" s="9"/>
      <x:c r="F13" s="9"/>
      <x:c r="G13" s="9"/>
    </x:row>
    <x:row r="14">
      <x:c r="A14" s="9" t="str">
        <x:v>SR08</x:v>
      </x:c>
      <x:c r="B14" s="16" t="str">
        <x:v>One owner per claim</x:v>
      </x:c>
      <x:c r="C14" s="16" t="str">
        <x:v>Each top-level claim has one controlling chapter and named supporting decisions</x:v>
      </x:c>
      <x:c r="D14" s="9"/>
      <x:c r="E14" s="9"/>
      <x:c r="F14" s="9"/>
      <x:c r="G14" s="9"/>
    </x:row>
    <x:row r="15">
      <x:c r="A15" s="9" t="str">
        <x:v>SR09</x:v>
      </x:c>
      <x:c r="B15" s="16" t="str">
        <x:v>Cross-chapter quantities reconcile</x:v>
      </x:c>
      <x:c r="C15" s="16" t="str">
        <x:v>Finance, workforce, force and technology quantities must share a declared denominator</x:v>
      </x:c>
      <x:c r="D15" s="9"/>
      <x:c r="E15" s="9"/>
      <x:c r="F15" s="9"/>
      <x:c r="G15" s="9"/>
    </x:row>
    <x:row r="16">
      <x:c r="A16" s="9" t="str">
        <x:v>SR10</x:v>
      </x:c>
      <x:c r="B16" s="16" t="str">
        <x:v>International effect is not domestic surplus</x:v>
      </x:c>
      <x:c r="C16" s="16" t="str">
        <x:v>Invited capacity has its own service, sovereignty, sustainment and non-recall rules</x:v>
      </x:c>
      <x:c r="D16" s="9"/>
      <x:c r="E16" s="9"/>
      <x:c r="F16" s="9"/>
      <x:c r="G16" s="9"/>
    </x:row>
    <x:row r="17">
      <x:c r="A17" s="9" t="str">
        <x:v>SR11</x:v>
      </x:c>
      <x:c r="B17" s="16" t="str">
        <x:v>Rendering follows representation class</x:v>
      </x:c>
      <x:c r="C17" s="16" t="str">
        <x:v>Exterior coherence cannot outrun requirement, topology, configuration and evidence status</x:v>
      </x:c>
      <x:c r="D17" s="9"/>
      <x:c r="E17" s="9"/>
      <x:c r="F17" s="9"/>
      <x:c r="G17" s="9"/>
    </x:row>
    <x:row r="18">
      <x:c r="A18" s="9" t="str">
        <x:v>SR12</x:v>
      </x:c>
      <x:c r="B18" s="16" t="str">
        <x:v>Publication closes by gates</x:v>
      </x:c>
      <x:c r="C18" s="16" t="str">
        <x:v>Completion is the conjunction of seventy gates, not the length of the archive</x:v>
      </x:c>
      <x:c r="D18" s="9"/>
      <x:c r="E18" s="9"/>
      <x:c r="F18" s="9"/>
      <x:c r="G18" s="9"/>
    </x:row>
  </x:sheetData>
  <x:pageMargins left="0.7" right="0.7" top="0.75" bottom="0.75" header="0.3" footer="0.3"/>
  <x:tableParts count="1">
    <x:tablePart xmlns:r="http://schemas.openxmlformats.org/officeDocument/2006/relationships" r:id="R6e6eb9cb70d6432e"/>
  </x:tableParts>
</x:worksheet>
</file>

<file path=xl/worksheets/sheet9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66" hidden="0" customWidth="1"/>
  </x:cols>
  <x:sheetData>
    <x:row r="1">
      <x:c r="A1" s="9"/>
      <x:c r="B1" s="9"/>
      <x:c r="C1" s="9"/>
      <x:c r="D1" s="9"/>
      <x:c r="E1" s="9"/>
    </x:row>
    <x:row r="2">
      <x:c r="A2" s="24" t="str">
        <x:v>Strategic synthesis controls and corpus baseline</x:v>
      </x:c>
      <x:c r="B2" s="10"/>
      <x:c r="C2" s="10"/>
      <x:c r="D2" s="10"/>
      <x:c r="E2" s="10"/>
    </x:row>
    <x:row r="3">
      <x:c r="A3" s="9"/>
      <x:c r="B3" s="9"/>
      <x:c r="C3" s="9"/>
      <x:c r="D3" s="9"/>
      <x:c r="E3" s="9"/>
    </x:row>
    <x:row r="4">
      <x:c r="A4" s="11"/>
      <x:c r="B4" s="11"/>
      <x:c r="C4" s="11"/>
      <x:c r="D4" s="11"/>
      <x:c r="E4" s="11"/>
    </x:row>
    <x:row r="5">
      <x:c r="A5" s="9"/>
      <x:c r="B5" s="9"/>
      <x:c r="C5" s="9"/>
      <x:c r="D5" s="9"/>
      <x:c r="E5" s="9"/>
    </x:row>
    <x:row r="6" ht="34" customHeight="1">
      <x:c r="A6" s="28" t="str">
        <x:v>Control</x:v>
      </x:c>
      <x:c r="B6" s="28" t="str">
        <x:v>Value</x:v>
      </x:c>
      <x:c r="C6" s="28" t="str">
        <x:v>Unit</x:v>
      </x:c>
      <x:c r="D6" s="28" t="str">
        <x:v>Internal basis</x:v>
      </x:c>
      <x:c r="E6" s="9"/>
    </x:row>
    <x:row r="7">
      <x:c r="A7" s="9" t="str">
        <x:v>Report chapters</x:v>
      </x:c>
      <x:c r="B7" s="31" t="n">
        <x:v>14</x:v>
      </x:c>
      <x:c r="C7" s="9" t="str">
        <x:v>count</x:v>
      </x:c>
      <x:c r="D7" s="9" t="str">
        <x:v>SYN-1 architecture</x:v>
      </x:c>
      <x:c r="E7" s="9"/>
    </x:row>
    <x:row r="8">
      <x:c r="A8" s="9" t="str">
        <x:v>Gates per chapter</x:v>
      </x:c>
      <x:c r="B8" s="31" t="n">
        <x:v>5</x:v>
      </x:c>
      <x:c r="C8" s="9" t="str">
        <x:v>count</x:v>
      </x:c>
      <x:c r="D8" s="9" t="str">
        <x:v>requirement, architecture, quantification, integration, reader asset</x:v>
      </x:c>
      <x:c r="E8" s="9"/>
    </x:row>
    <x:row r="9">
      <x:c r="A9" s="9" t="str">
        <x:v>Total publication gates</x:v>
      </x:c>
      <x:c r="B9" s="31" t="n">
        <x:v>70</x:v>
      </x:c>
      <x:c r="C9" s="9" t="str">
        <x:v>count</x:v>
      </x:c>
      <x:c r="D9" s="9" t="str">
        <x:v>fourteen by five</x:v>
      </x:c>
      <x:c r="E9" s="9"/>
    </x:row>
    <x:row r="10">
      <x:c r="A10" s="9" t="str">
        <x:v>Closed publication gates</x:v>
      </x:c>
      <x:c r="B10" s="31" t="n">
        <x:v>49</x:v>
      </x:c>
      <x:c r="C10" s="9" t="str">
        <x:v>count</x:v>
      </x:c>
      <x:c r="D10" s="9" t="str">
        <x:v>repository evidence audit</x:v>
      </x:c>
      <x:c r="E10" s="9"/>
    </x:row>
    <x:row r="11">
      <x:c r="A11" s="9" t="str">
        <x:v>Open publication gates</x:v>
      </x:c>
      <x:c r="B11" s="31" t="n">
        <x:v>21</x:v>
      </x:c>
      <x:c r="C11" s="9" t="str">
        <x:v>count</x:v>
      </x:c>
      <x:c r="D11" s="9" t="str">
        <x:v>repository evidence audit</x:v>
      </x:c>
      <x:c r="E11" s="9"/>
    </x:row>
    <x:row r="12">
      <x:c r="A12" s="9" t="str">
        <x:v>Publication-ready chapters</x:v>
      </x:c>
      <x:c r="B12" s="31" t="n">
        <x:v>4</x:v>
      </x:c>
      <x:c r="C12" s="9" t="str">
        <x:v>count</x:v>
      </x:c>
      <x:c r="D12" s="9" t="str">
        <x:v>all five gates closed</x:v>
      </x:c>
      <x:c r="E12" s="9"/>
    </x:row>
    <x:row r="13">
      <x:c r="A13" s="9" t="str">
        <x:v>Completion screen</x:v>
      </x:c>
      <x:c r="B13" s="32" t="n">
        <x:v>0.7</x:v>
      </x:c>
      <x:c r="C13" s="9" t="str">
        <x:v>share</x:v>
      </x:c>
      <x:c r="D13" s="9" t="str">
        <x:v>closed gates divided by total gates</x:v>
      </x:c>
      <x:c r="E13" s="9"/>
    </x:row>
    <x:row r="14">
      <x:c r="A14" s="9" t="str">
        <x:v>SYN passes consumed</x:v>
      </x:c>
      <x:c r="B14" s="31" t="n">
        <x:v>1</x:v>
      </x:c>
      <x:c r="C14" s="9" t="str">
        <x:v>count</x:v>
      </x:c>
      <x:c r="D14" s="9" t="str">
        <x:v>Pass 246</x:v>
      </x:c>
      <x:c r="E14" s="9"/>
    </x:row>
    <x:row r="15">
      <x:c r="A15" s="9" t="str">
        <x:v>SYN pass budget</x:v>
      </x:c>
      <x:c r="B15" s="31" t="n">
        <x:v>5</x:v>
      </x:c>
      <x:c r="C15" s="9" t="str">
        <x:v>count</x:v>
      </x:c>
      <x:c r="D15" s="9" t="str">
        <x:v>FR-05</x:v>
      </x:c>
      <x:c r="E15" s="9"/>
    </x:row>
    <x:row r="16">
      <x:c r="A16" s="9" t="str">
        <x:v>Branch open-item ledger</x:v>
      </x:c>
      <x:c r="B16" s="31" t="n">
        <x:v>1</x:v>
      </x:c>
      <x:c r="C16" s="9" t="str">
        <x:v>count</x:v>
      </x:c>
      <x:c r="D16" s="9" t="str">
        <x:v>one successor after Pass 246</x:v>
      </x:c>
      <x:c r="E16" s="9"/>
    </x:row>
    <x:row r="17">
      <x:c r="A17" s="9" t="str">
        <x:v>Passes in inherited corpus</x:v>
      </x:c>
      <x:c r="B17" s="31" t="n">
        <x:v>245</x:v>
      </x:c>
      <x:c r="C17" s="9" t="str">
        <x:v>count</x:v>
      </x:c>
      <x:c r="D17" s="9" t="str">
        <x:v>baseline before SYN</x:v>
      </x:c>
      <x:c r="E17" s="9"/>
    </x:row>
    <x:row r="18">
      <x:c r="A18" s="9" t="str">
        <x:v>Workbooks in inherited corpus</x:v>
      </x:c>
      <x:c r="B18" s="31" t="n">
        <x:v>229</x:v>
      </x:c>
      <x:c r="C18" s="9" t="str">
        <x:v>count</x:v>
      </x:c>
      <x:c r="D18" s="9" t="str">
        <x:v>catalog baseline before SYN</x:v>
      </x:c>
      <x:c r="E18" s="9"/>
    </x:row>
    <x:row r="19">
      <x:c r="A19" s="9" t="str">
        <x:v>Research Markdown files</x:v>
      </x:c>
      <x:c r="B19" s="31" t="n">
        <x:v>282</x:v>
      </x:c>
      <x:c r="C19" s="9" t="str">
        <x:v>count</x:v>
      </x:c>
      <x:c r="D19" s="9" t="str">
        <x:v>baseline before FR-05</x:v>
      </x:c>
      <x:c r="E19" s="9"/>
    </x:row>
    <x:row r="20">
      <x:c r="A20" s="9" t="str">
        <x:v>Strategic-study words</x:v>
      </x:c>
      <x:c r="B20" s="31" t="n">
        <x:v>6488</x:v>
      </x:c>
      <x:c r="C20" s="9" t="str">
        <x:v>count</x:v>
      </x:c>
      <x:c r="D20" s="9" t="str">
        <x:v>pre-SYN publication spine</x:v>
      </x:c>
      <x:c r="E20" s="9"/>
    </x:row>
    <x:row r="21">
      <x:c r="A21" s="9" t="str">
        <x:v>Root README words</x:v>
      </x:c>
      <x:c r="B21" s="31" t="n">
        <x:v>18223</x:v>
      </x:c>
      <x:c r="C21" s="9" t="str">
        <x:v>count</x:v>
      </x:c>
      <x:c r="D21" s="9" t="str">
        <x:v>pre-SYN reader map</x:v>
      </x:c>
      <x:c r="E21" s="9"/>
    </x:row>
    <x:row r="22">
      <x:c r="A22" s="9" t="str">
        <x:v>Rendering issues</x:v>
      </x:c>
      <x:c r="B22" s="31" t="n">
        <x:v>0</x:v>
      </x:c>
      <x:c r="C22" s="9" t="str">
        <x:v>count</x:v>
      </x:c>
      <x:c r="D22" s="9" t="str">
        <x:v>held</x:v>
      </x:c>
      <x:c r="E22" s="9"/>
    </x:row>
    <x:row r="23">
      <x:c r="A23" s="9" t="str">
        <x:v>Publication authority</x:v>
      </x:c>
      <x:c r="B23" s="31" t="n">
        <x:v>0</x:v>
      </x:c>
      <x:c r="C23" s="9" t="str">
        <x:v>binary</x:v>
      </x:c>
      <x:c r="D23" s="9" t="str">
        <x:v>not granted</x:v>
      </x:c>
      <x:c r="E23" s="9"/>
    </x:row>
    <x:row r="24">
      <x:c r="A24" s="9" t="str">
        <x:v>Evidence promotions</x:v>
      </x:c>
      <x:c r="B24" s="31" t="n">
        <x:v>0</x:v>
      </x:c>
      <x:c r="C24" s="9" t="str">
        <x:v>count</x:v>
      </x:c>
      <x:c r="D24" s="9" t="str">
        <x:v>design remains design</x:v>
      </x:c>
      <x:c r="E24" s="9"/>
    </x:row>
  </x:sheetData>
  <x:pageMargins left="0.7" right="0.7" top="0.75" bottom="0.75" header="0.3" footer="0.3"/>
  <x:tableParts count="1">
    <x:tablePart xmlns:r="http://schemas.openxmlformats.org/officeDocument/2006/relationships" r:id="R3560ba6fe72f4142"/>
  </x:tableParts>
</x:worksheet>
</file>

<file path=xl/worksheets/sheet10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2" hidden="0" customWidth="1"/>
  </x:cols>
  <x:sheetData>
    <x:row r="1">
      <x:c r="A1" s="9"/>
      <x:c r="B1" s="9"/>
      <x:c r="C1" s="9"/>
      <x:c r="D1" s="9"/>
      <x:c r="E1" s="9"/>
      <x:c r="F1" s="9"/>
      <x:c r="G1" s="9"/>
    </x:row>
    <x:row r="2">
      <x:c r="A2" s="24" t="str">
        <x:v>Live mutation and restoration protocol</x:v>
      </x:c>
      <x:c r="B2" s="10"/>
      <x:c r="C2" s="10"/>
      <x:c r="D2" s="10"/>
      <x:c r="E2" s="10"/>
      <x:c r="F2" s="10"/>
      <x:c r="G2" s="10"/>
    </x:row>
    <x:row r="3">
      <x:c r="A3" s="9"/>
      <x:c r="B3" s="9"/>
      <x:c r="C3" s="9"/>
      <x:c r="D3" s="9"/>
      <x:c r="E3" s="9"/>
      <x:c r="F3" s="9"/>
      <x:c r="G3" s="9"/>
    </x:row>
    <x:row r="4">
      <x:c r="A4" s="11"/>
      <x:c r="B4" s="11"/>
      <x:c r="C4" s="11"/>
      <x:c r="D4" s="11"/>
      <x:c r="E4" s="11"/>
      <x:c r="F4" s="11"/>
      <x:c r="G4" s="11"/>
    </x:row>
    <x:row r="5">
      <x:c r="A5" s="9"/>
      <x:c r="B5" s="9"/>
      <x:c r="C5" s="9"/>
      <x:c r="D5" s="9"/>
      <x:c r="E5" s="9"/>
      <x:c r="F5" s="9"/>
      <x:c r="G5" s="9"/>
    </x:row>
    <x:row r="6" ht="34" customHeight="1">
      <x:c r="A6" s="28" t="str">
        <x:v>Mutation</x:v>
      </x:c>
      <x:c r="B6" s="28" t="str">
        <x:v>Sheet</x:v>
      </x:c>
      <x:c r="C6" s="28" t="str">
        <x:v>Target cell</x:v>
      </x:c>
      <x:c r="D6" s="28" t="str">
        <x:v>Mutated value</x:v>
      </x:c>
      <x:c r="E6" s="28" t="str">
        <x:v>Expected failed audit</x:v>
      </x:c>
      <x:c r="F6" s="28" t="str">
        <x:v>Detection</x:v>
      </x:c>
      <x:c r="G6" s="28" t="str">
        <x:v>Restoration</x:v>
      </x:c>
    </x:row>
    <x:row r="7">
      <x:c r="A7" s="9" t="str">
        <x:v>M01</x:v>
      </x:c>
      <x:c r="B7" s="9" t="str">
        <x:v>Inputs</x:v>
      </x:c>
      <x:c r="C7" s="9" t="str">
        <x:v>B7</x:v>
      </x:c>
      <x:c r="D7" s="9" t="n">
        <x:v>13</x:v>
      </x:c>
      <x:c r="E7" s="9" t="str">
        <x:v>A22</x:v>
      </x:c>
      <x:c r="F7" s="9" t="str">
        <x:v>APPLIED / DETECTED</x:v>
      </x:c>
      <x:c r="G7" s="9" t="str">
        <x:v>RESTORED / PASS</x:v>
      </x:c>
    </x:row>
    <x:row r="8">
      <x:c r="A8" s="9" t="str">
        <x:v>M02</x:v>
      </x:c>
      <x:c r="B8" s="9" t="str">
        <x:v>Inputs</x:v>
      </x:c>
      <x:c r="C8" s="9" t="str">
        <x:v>B8</x:v>
      </x:c>
      <x:c r="D8" s="9" t="n">
        <x:v>4</x:v>
      </x:c>
      <x:c r="E8" s="9" t="str">
        <x:v>A23</x:v>
      </x:c>
      <x:c r="F8" s="9" t="str">
        <x:v>APPLIED / DETECTED</x:v>
      </x:c>
      <x:c r="G8" s="9" t="str">
        <x:v>RESTORED / PASS</x:v>
      </x:c>
    </x:row>
    <x:row r="9">
      <x:c r="A9" s="9" t="str">
        <x:v>M03</x:v>
      </x:c>
      <x:c r="B9" s="9" t="str">
        <x:v>Inputs</x:v>
      </x:c>
      <x:c r="C9" s="9" t="str">
        <x:v>B9</x:v>
      </x:c>
      <x:c r="D9" s="9" t="n">
        <x:v>69</x:v>
      </x:c>
      <x:c r="E9" s="9" t="str">
        <x:v>A24</x:v>
      </x:c>
      <x:c r="F9" s="9" t="str">
        <x:v>APPLIED / DETECTED</x:v>
      </x:c>
      <x:c r="G9" s="9" t="str">
        <x:v>RESTORED / PASS</x:v>
      </x:c>
    </x:row>
    <x:row r="10">
      <x:c r="A10" s="9" t="str">
        <x:v>M04</x:v>
      </x:c>
      <x:c r="B10" s="9" t="str">
        <x:v>Inputs</x:v>
      </x:c>
      <x:c r="C10" s="9" t="str">
        <x:v>B10</x:v>
      </x:c>
      <x:c r="D10" s="9" t="n">
        <x:v>48</x:v>
      </x:c>
      <x:c r="E10" s="9" t="str">
        <x:v>A25</x:v>
      </x:c>
      <x:c r="F10" s="9" t="str">
        <x:v>APPLIED / DETECTED</x:v>
      </x:c>
      <x:c r="G10" s="9" t="str">
        <x:v>RESTORED / PASS</x:v>
      </x:c>
    </x:row>
    <x:row r="11">
      <x:c r="A11" s="9" t="str">
        <x:v>M05</x:v>
      </x:c>
      <x:c r="B11" s="9" t="str">
        <x:v>Inputs</x:v>
      </x:c>
      <x:c r="C11" s="9" t="str">
        <x:v>B11</x:v>
      </x:c>
      <x:c r="D11" s="9" t="n">
        <x:v>22</x:v>
      </x:c>
      <x:c r="E11" s="9" t="str">
        <x:v>A26</x:v>
      </x:c>
      <x:c r="F11" s="9" t="str">
        <x:v>APPLIED / DETECTED</x:v>
      </x:c>
      <x:c r="G11" s="9" t="str">
        <x:v>RESTORED / PASS</x:v>
      </x:c>
    </x:row>
    <x:row r="12">
      <x:c r="A12" s="9" t="str">
        <x:v>M06</x:v>
      </x:c>
      <x:c r="B12" s="9" t="str">
        <x:v>Inputs</x:v>
      </x:c>
      <x:c r="C12" s="9" t="str">
        <x:v>B12</x:v>
      </x:c>
      <x:c r="D12" s="9" t="n">
        <x:v>3</x:v>
      </x:c>
      <x:c r="E12" s="9" t="str">
        <x:v>A27</x:v>
      </x:c>
      <x:c r="F12" s="9" t="str">
        <x:v>APPLIED / DETECTED</x:v>
      </x:c>
      <x:c r="G12" s="9" t="str">
        <x:v>RESTORED / PASS</x:v>
      </x:c>
    </x:row>
    <x:row r="13">
      <x:c r="A13" s="9" t="str">
        <x:v>M07</x:v>
      </x:c>
      <x:c r="B13" s="9" t="str">
        <x:v>Inputs</x:v>
      </x:c>
      <x:c r="C13" s="9" t="str">
        <x:v>B13</x:v>
      </x:c>
      <x:c r="D13" s="9" t="n">
        <x:v>0.69</x:v>
      </x:c>
      <x:c r="E13" s="9" t="str">
        <x:v>A28</x:v>
      </x:c>
      <x:c r="F13" s="9" t="str">
        <x:v>APPLIED / DETECTED</x:v>
      </x:c>
      <x:c r="G13" s="9" t="str">
        <x:v>RESTORED / PASS</x:v>
      </x:c>
    </x:row>
    <x:row r="14">
      <x:c r="A14" s="9" t="str">
        <x:v>M08</x:v>
      </x:c>
      <x:c r="B14" s="9" t="str">
        <x:v>Inputs</x:v>
      </x:c>
      <x:c r="C14" s="9" t="str">
        <x:v>B14</x:v>
      </x:c>
      <x:c r="D14" s="9" t="n">
        <x:v>2</x:v>
      </x:c>
      <x:c r="E14" s="9" t="str">
        <x:v>A16</x:v>
      </x:c>
      <x:c r="F14" s="9" t="str">
        <x:v>APPLIED / DETECTED</x:v>
      </x:c>
      <x:c r="G14" s="9" t="str">
        <x:v>RESTORED / PASS</x:v>
      </x:c>
    </x:row>
    <x:row r="15">
      <x:c r="A15" s="9" t="str">
        <x:v>M09</x:v>
      </x:c>
      <x:c r="B15" s="9" t="str">
        <x:v>Inputs</x:v>
      </x:c>
      <x:c r="C15" s="9" t="str">
        <x:v>B22</x:v>
      </x:c>
      <x:c r="D15" s="9" t="n">
        <x:v>1</x:v>
      </x:c>
      <x:c r="E15" s="9" t="str">
        <x:v>A19</x:v>
      </x:c>
      <x:c r="F15" s="9" t="str">
        <x:v>APPLIED / DETECTED</x:v>
      </x:c>
      <x:c r="G15" s="9" t="str">
        <x:v>RESTORED / PASS</x:v>
      </x:c>
    </x:row>
    <x:row r="16">
      <x:c r="A16" s="9" t="str">
        <x:v>M10</x:v>
      </x:c>
      <x:c r="B16" s="9" t="str">
        <x:v>Inputs</x:v>
      </x:c>
      <x:c r="C16" s="9" t="str">
        <x:v>B23</x:v>
      </x:c>
      <x:c r="D16" s="9" t="n">
        <x:v>1</x:v>
      </x:c>
      <x:c r="E16" s="9" t="str">
        <x:v>A20</x:v>
      </x:c>
      <x:c r="F16" s="9" t="str">
        <x:v>APPLIED / DETECTED</x:v>
      </x:c>
      <x:c r="G16" s="9" t="str">
        <x:v>RESTORED / PASS</x:v>
      </x:c>
    </x:row>
    <x:row r="17">
      <x:c r="A17" s="9" t="str">
        <x:v>M11</x:v>
      </x:c>
      <x:c r="B17" s="9" t="str">
        <x:v>Closure Gates</x:v>
      </x:c>
      <x:c r="C17" s="9" t="str">
        <x:v>H7</x:v>
      </x:c>
      <x:c r="D17" s="9" t="n">
        <x:v>0</x:v>
      </x:c>
      <x:c r="E17" s="9" t="str">
        <x:v>A31</x:v>
      </x:c>
      <x:c r="F17" s="9" t="str">
        <x:v>APPLIED / DETECTED</x:v>
      </x:c>
      <x:c r="G17" s="9" t="str">
        <x:v>RESTORED / PASS</x:v>
      </x:c>
    </x:row>
    <x:row r="18">
      <x:c r="A18" s="9" t="str">
        <x:v>M12</x:v>
      </x:c>
      <x:c r="B18" s="9" t="str">
        <x:v>Closure Gates</x:v>
      </x:c>
      <x:c r="C18" s="9" t="str">
        <x:v>H12</x:v>
      </x:c>
      <x:c r="D18" s="9" t="n">
        <x:v>0</x:v>
      </x:c>
      <x:c r="E18" s="9" t="str">
        <x:v>A32</x:v>
      </x:c>
      <x:c r="F18" s="9" t="str">
        <x:v>APPLIED / DETECTED</x:v>
      </x:c>
      <x:c r="G18" s="9" t="str">
        <x:v>RESTORED / PASS</x:v>
      </x:c>
    </x:row>
    <x:row r="19">
      <x:c r="A19" s="9" t="str">
        <x:v>M13</x:v>
      </x:c>
      <x:c r="B19" s="9" t="str">
        <x:v>Closure Gates</x:v>
      </x:c>
      <x:c r="C19" s="9" t="str">
        <x:v>H17</x:v>
      </x:c>
      <x:c r="D19" s="9" t="n">
        <x:v>0</x:v>
      </x:c>
      <x:c r="E19" s="9" t="str">
        <x:v>A33</x:v>
      </x:c>
      <x:c r="F19" s="9" t="str">
        <x:v>APPLIED / DETECTED</x:v>
      </x:c>
      <x:c r="G19" s="9" t="str">
        <x:v>RESTORED / PASS</x:v>
      </x:c>
    </x:row>
    <x:row r="20">
      <x:c r="A20" s="9" t="str">
        <x:v>M14</x:v>
      </x:c>
      <x:c r="B20" s="9" t="str">
        <x:v>Closure Gates</x:v>
      </x:c>
      <x:c r="C20" s="9" t="str">
        <x:v>H22</x:v>
      </x:c>
      <x:c r="D20" s="9" t="n">
        <x:v>0</x:v>
      </x:c>
      <x:c r="E20" s="9" t="str">
        <x:v>A34</x:v>
      </x:c>
      <x:c r="F20" s="9" t="str">
        <x:v>APPLIED / DETECTED</x:v>
      </x:c>
      <x:c r="G20" s="9" t="str">
        <x:v>RESTORED / PASS</x:v>
      </x:c>
    </x:row>
    <x:row r="21">
      <x:c r="A21" s="9" t="str">
        <x:v>M15</x:v>
      </x:c>
      <x:c r="B21" s="9" t="str">
        <x:v>Closure Gates</x:v>
      </x:c>
      <x:c r="C21" s="9" t="str">
        <x:v>H27</x:v>
      </x:c>
      <x:c r="D21" s="9" t="n">
        <x:v>0</x:v>
      </x:c>
      <x:c r="E21" s="9" t="str">
        <x:v>A35</x:v>
      </x:c>
      <x:c r="F21" s="9" t="str">
        <x:v>APPLIED / DETECTED</x:v>
      </x:c>
      <x:c r="G21" s="9" t="str">
        <x:v>RESTORED / PASS</x:v>
      </x:c>
    </x:row>
    <x:row r="22">
      <x:c r="A22" s="9" t="str">
        <x:v>M16</x:v>
      </x:c>
      <x:c r="B22" s="9" t="str">
        <x:v>Closure Gates</x:v>
      </x:c>
      <x:c r="C22" s="9" t="str">
        <x:v>H32</x:v>
      </x:c>
      <x:c r="D22" s="9" t="n">
        <x:v>0</x:v>
      </x:c>
      <x:c r="E22" s="9" t="str">
        <x:v>A36</x:v>
      </x:c>
      <x:c r="F22" s="9" t="str">
        <x:v>APPLIED / DETECTED</x:v>
      </x:c>
      <x:c r="G22" s="9" t="str">
        <x:v>RESTORED / PASS</x:v>
      </x:c>
    </x:row>
    <x:row r="23">
      <x:c r="A23" s="9" t="str">
        <x:v>M17</x:v>
      </x:c>
      <x:c r="B23" s="9" t="str">
        <x:v>Closure Gates</x:v>
      </x:c>
      <x:c r="C23" s="9" t="str">
        <x:v>H37</x:v>
      </x:c>
      <x:c r="D23" s="9" t="n">
        <x:v>0</x:v>
      </x:c>
      <x:c r="E23" s="9" t="str">
        <x:v>A37</x:v>
      </x:c>
      <x:c r="F23" s="9" t="str">
        <x:v>APPLIED / DETECTED</x:v>
      </x:c>
      <x:c r="G23" s="9" t="str">
        <x:v>RESTORED / PASS</x:v>
      </x:c>
    </x:row>
    <x:row r="24">
      <x:c r="A24" s="9" t="str">
        <x:v>M18</x:v>
      </x:c>
      <x:c r="B24" s="9" t="str">
        <x:v>Closure Gates</x:v>
      </x:c>
      <x:c r="C24" s="9" t="str">
        <x:v>H42</x:v>
      </x:c>
      <x:c r="D24" s="9" t="n">
        <x:v>0</x:v>
      </x:c>
      <x:c r="E24" s="9" t="str">
        <x:v>A38</x:v>
      </x:c>
      <x:c r="F24" s="9" t="str">
        <x:v>APPLIED / DETECTED</x:v>
      </x:c>
      <x:c r="G24" s="9" t="str">
        <x:v>RESTORED / PASS</x:v>
      </x:c>
    </x:row>
    <x:row r="25">
      <x:c r="A25" s="9" t="str">
        <x:v>M19</x:v>
      </x:c>
      <x:c r="B25" s="9" t="str">
        <x:v>Closure Gates</x:v>
      </x:c>
      <x:c r="C25" s="9" t="str">
        <x:v>H47</x:v>
      </x:c>
      <x:c r="D25" s="9" t="n">
        <x:v>0</x:v>
      </x:c>
      <x:c r="E25" s="9" t="str">
        <x:v>A39</x:v>
      </x:c>
      <x:c r="F25" s="9" t="str">
        <x:v>APPLIED / DETECTED</x:v>
      </x:c>
      <x:c r="G25" s="9" t="str">
        <x:v>RESTORED / PASS</x:v>
      </x:c>
    </x:row>
    <x:row r="26">
      <x:c r="A26" s="9" t="str">
        <x:v>M20</x:v>
      </x:c>
      <x:c r="B26" s="9" t="str">
        <x:v>Closure Gates</x:v>
      </x:c>
      <x:c r="C26" s="9" t="str">
        <x:v>H52</x:v>
      </x:c>
      <x:c r="D26" s="9" t="n">
        <x:v>0</x:v>
      </x:c>
      <x:c r="E26" s="9" t="str">
        <x:v>A40</x:v>
      </x:c>
      <x:c r="F26" s="9" t="str">
        <x:v>APPLIED / DETECTED</x:v>
      </x:c>
      <x:c r="G26" s="9" t="str">
        <x:v>RESTORED / PASS</x:v>
      </x:c>
    </x:row>
    <x:row r="27">
      <x:c r="A27" s="9" t="str">
        <x:v>M21</x:v>
      </x:c>
      <x:c r="B27" s="9" t="str">
        <x:v>Closure Gates</x:v>
      </x:c>
      <x:c r="C27" s="9" t="str">
        <x:v>H57</x:v>
      </x:c>
      <x:c r="D27" s="9" t="n">
        <x:v>0</x:v>
      </x:c>
      <x:c r="E27" s="9" t="str">
        <x:v>A41</x:v>
      </x:c>
      <x:c r="F27" s="9" t="str">
        <x:v>APPLIED / DETECTED</x:v>
      </x:c>
      <x:c r="G27" s="9" t="str">
        <x:v>RESTORED / PASS</x:v>
      </x:c>
    </x:row>
    <x:row r="28">
      <x:c r="A28" s="9" t="str">
        <x:v>M22</x:v>
      </x:c>
      <x:c r="B28" s="9" t="str">
        <x:v>Closure Gates</x:v>
      </x:c>
      <x:c r="C28" s="9" t="str">
        <x:v>H62</x:v>
      </x:c>
      <x:c r="D28" s="9" t="n">
        <x:v>0</x:v>
      </x:c>
      <x:c r="E28" s="9" t="str">
        <x:v>A42</x:v>
      </x:c>
      <x:c r="F28" s="9" t="str">
        <x:v>APPLIED / DETECTED</x:v>
      </x:c>
      <x:c r="G28" s="9" t="str">
        <x:v>RESTORED / PASS</x:v>
      </x:c>
    </x:row>
    <x:row r="29">
      <x:c r="A29" s="9" t="str">
        <x:v>M23</x:v>
      </x:c>
      <x:c r="B29" s="9" t="str">
        <x:v>Closure Gates</x:v>
      </x:c>
      <x:c r="C29" s="9" t="str">
        <x:v>H67</x:v>
      </x:c>
      <x:c r="D29" s="9" t="n">
        <x:v>0</x:v>
      </x:c>
      <x:c r="E29" s="9" t="str">
        <x:v>A43</x:v>
      </x:c>
      <x:c r="F29" s="9" t="str">
        <x:v>APPLIED / DETECTED</x:v>
      </x:c>
      <x:c r="G29" s="9" t="str">
        <x:v>RESTORED / PASS</x:v>
      </x:c>
    </x:row>
    <x:row r="30">
      <x:c r="A30" s="9" t="str">
        <x:v>M24</x:v>
      </x:c>
      <x:c r="B30" s="9" t="str">
        <x:v>Closure Gates</x:v>
      </x:c>
      <x:c r="C30" s="9" t="str">
        <x:v>H72</x:v>
      </x:c>
      <x:c r="D30" s="9" t="n">
        <x:v>1</x:v>
      </x:c>
      <x:c r="E30" s="9" t="str">
        <x:v>A44</x:v>
      </x:c>
      <x:c r="F30" s="9" t="str">
        <x:v>APPLIED / DETECTED</x:v>
      </x:c>
      <x:c r="G30" s="9" t="str">
        <x:v>RESTORED / PASS</x:v>
      </x:c>
    </x:row>
  </x:sheetData>
  <x:conditionalFormatting sqref="F7:F30">
    <x:cfRule type="containsText" dxfId="66" priority="1" operator="containsText" text="OPEN"/>
    <x:cfRule type="containsText" dxfId="67" priority="2" operator="containsText" text="PARTIAL"/>
    <x:cfRule type="containsText" dxfId="68" priority="3" operator="containsText" text="HELD"/>
    <x:cfRule type="containsText" dxfId="69" priority="4" operator="containsText" text="NOT READY"/>
    <x:cfRule type="containsText" dxfId="70" priority="5" operator="containsText" text="REQUIRES"/>
    <x:cfRule type="containsText" dxfId="71" priority="6" operator="containsText" text="FAIL"/>
    <x:cfRule type="containsText" dxfId="72" priority="7" operator="containsText" text="PROHIBITED"/>
    <x:cfRule type="containsText" dxfId="73" priority="8" operator="containsText" text="INVALID"/>
    <x:cfRule type="containsText" dxfId="74" priority="9" operator="containsText" text="CLOSED"/>
    <x:cfRule type="containsText" dxfId="75" priority="10" operator="containsText" text="PUBLICATION READY"/>
    <x:cfRule type="containsText" dxfId="76" priority="11" operator="containsText" text="SELECTED"/>
  </x:conditionalFormatting>
  <x:conditionalFormatting sqref="G7:G30">
    <x:cfRule type="containsText" dxfId="77" priority="12" operator="containsText" text="OPEN"/>
    <x:cfRule type="containsText" dxfId="78" priority="13" operator="containsText" text="PARTIAL"/>
    <x:cfRule type="containsText" dxfId="79" priority="14" operator="containsText" text="HELD"/>
    <x:cfRule type="containsText" dxfId="80" priority="15" operator="containsText" text="NOT READY"/>
    <x:cfRule type="containsText" dxfId="81" priority="16" operator="containsText" text="REQUIRES"/>
    <x:cfRule type="containsText" dxfId="82" priority="17" operator="containsText" text="FAIL"/>
    <x:cfRule type="containsText" dxfId="83" priority="18" operator="containsText" text="PROHIBITED"/>
    <x:cfRule type="containsText" dxfId="84" priority="19" operator="containsText" text="INVALID"/>
    <x:cfRule type="containsText" dxfId="85" priority="20" operator="containsText" text="CLOSED"/>
    <x:cfRule type="containsText" dxfId="86" priority="21" operator="containsText" text="PUBLICATION READY"/>
    <x:cfRule type="containsText" dxfId="87" priority="22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77c902d4840043f8"/>
  </x:tableParts>
</x:worksheet>
</file>

<file path=xl/worksheets/sheet11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24" t="str">
        <x:v>Independent synthesis checks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28" t="str">
        <x:v>Audit</x:v>
      </x:c>
      <x:c r="B6" s="28" t="str">
        <x:v>Test</x:v>
      </x:c>
      <x:c r="C6" s="28" t="str">
        <x:v>Actual</x:v>
      </x:c>
      <x:c r="D6" s="28" t="str">
        <x:v>Expected</x:v>
      </x:c>
      <x:c r="E6" s="28" t="str">
        <x:v>Tolerance</x:v>
      </x:c>
      <x:c r="F6" s="28" t="str">
        <x:v>Status</x:v>
      </x:c>
    </x:row>
    <x:row r="7">
      <x:c r="A7" s="9" t="str">
        <x:v>A01</x:v>
      </x:c>
      <x:c r="B7" s="9" t="str">
        <x:v>Chapter count</x:v>
      </x:c>
      <x:c r="C7" s="23" t="n">
        <x:f>COUNTA('Chapter Spine'!A7:A20)</x:f>
        <x:v>14</x:v>
      </x:c>
      <x:c r="D7" s="23" t="n">
        <x:f>14</x:f>
        <x:v>14</x:v>
      </x:c>
      <x:c r="E7" s="23" t="n">
        <x:v>0</x:v>
      </x:c>
      <x:c r="F7" s="9" t="str">
        <x:f>IF(ABS(C7-D7)&lt;=E7,"PASS","FAIL")</x:f>
        <x:v>PASS</x:v>
      </x:c>
    </x:row>
    <x:row r="8">
      <x:c r="A8" s="9" t="str">
        <x:v>A02</x:v>
      </x:c>
      <x:c r="B8" s="9" t="str">
        <x:v>Publication gate count</x:v>
      </x:c>
      <x:c r="C8" s="23" t="n">
        <x:f>COUNTA('Closure Gates'!A7:A76)</x:f>
        <x:v>70</x:v>
      </x:c>
      <x:c r="D8" s="23" t="n">
        <x:f>70</x:f>
        <x:v>70</x:v>
      </x:c>
      <x:c r="E8" s="23" t="n">
        <x:v>0</x:v>
      </x:c>
      <x:c r="F8" s="9" t="str">
        <x:f>IF(ABS(C8-D8)&lt;=E8,"PASS","FAIL")</x:f>
        <x:v>PASS</x:v>
      </x:c>
    </x:row>
    <x:row r="9">
      <x:c r="A9" s="9" t="str">
        <x:v>A03</x:v>
      </x:c>
      <x:c r="B9" s="9" t="str">
        <x:v>Closed gate count</x:v>
      </x:c>
      <x:c r="C9" s="23" t="n">
        <x:f>SUM('Closure Gates'!H7:H76)</x:f>
        <x:v>49</x:v>
      </x:c>
      <x:c r="D9" s="23" t="n">
        <x:f>49</x:f>
        <x:v>49</x:v>
      </x:c>
      <x:c r="E9" s="23" t="n">
        <x:v>0</x:v>
      </x:c>
      <x:c r="F9" s="9" t="str">
        <x:f>IF(ABS(C9-D9)&lt;=E9,"PASS","FAIL")</x:f>
        <x:v>PASS</x:v>
      </x:c>
    </x:row>
    <x:row r="10">
      <x:c r="A10" s="9" t="str">
        <x:v>A04</x:v>
      </x:c>
      <x:c r="B10" s="9" t="str">
        <x:v>Open gate count</x:v>
      </x:c>
      <x:c r="C10" s="23" t="n">
        <x:f>COUNTIFS('Closure Gates'!H7:H76,0)</x:f>
        <x:v>21</x:v>
      </x:c>
      <x:c r="D10" s="23" t="n">
        <x:f>21</x:f>
        <x:v>21</x:v>
      </x:c>
      <x:c r="E10" s="23" t="n">
        <x:v>0</x:v>
      </x:c>
      <x:c r="F10" s="9" t="str">
        <x:f>IF(ABS(C10-D10)&lt;=E10,"PASS","FAIL")</x:f>
        <x:v>PASS</x:v>
      </x:c>
    </x:row>
    <x:row r="11">
      <x:c r="A11" s="9" t="str">
        <x:v>A05</x:v>
      </x:c>
      <x:c r="B11" s="9" t="str">
        <x:v>Gate total reconciles</x:v>
      </x:c>
      <x:c r="C11" s="23" t="n">
        <x:f>SUM('Chapter Spine'!G7:G20)</x:f>
        <x:v>70</x:v>
      </x:c>
      <x:c r="D11" s="23" t="n">
        <x:f>70</x:f>
        <x:v>70</x:v>
      </x:c>
      <x:c r="E11" s="23" t="n">
        <x:v>0</x:v>
      </x:c>
      <x:c r="F11" s="9" t="str">
        <x:f>IF(ABS(C11-D11)&lt;=E11,"PASS","FAIL")</x:f>
        <x:v>PASS</x:v>
      </x:c>
    </x:row>
    <x:row r="12">
      <x:c r="A12" s="9" t="str">
        <x:v>A06</x:v>
      </x:c>
      <x:c r="B12" s="9" t="str">
        <x:v>Completion screen</x:v>
      </x:c>
      <x:c r="C12" s="23" t="n">
        <x:f>SUM('Closure Gates'!H7:H76)/COUNTA('Closure Gates'!A7:A76)</x:f>
        <x:v>0.7</x:v>
      </x:c>
      <x:c r="D12" s="23" t="n">
        <x:f>0.7</x:f>
        <x:v>0.7</x:v>
      </x:c>
      <x:c r="E12" s="23" t="n">
        <x:v>0.0001</x:v>
      </x:c>
      <x:c r="F12" s="9" t="str">
        <x:f>IF(ABS(C12-D12)&lt;=E12,"PASS","FAIL")</x:f>
        <x:v>PASS</x:v>
      </x:c>
    </x:row>
    <x:row r="13">
      <x:c r="A13" s="9" t="str">
        <x:v>A07</x:v>
      </x:c>
      <x:c r="B13" s="9" t="str">
        <x:v>Publication-ready chapter count</x:v>
      </x:c>
      <x:c r="C13" s="23" t="n">
        <x:f>COUNTIFS('Chapter Spine'!I7:I20,"PUBLICATION READY")</x:f>
        <x:v>4</x:v>
      </x:c>
      <x:c r="D13" s="23" t="n">
        <x:f>4</x:f>
        <x:v>4</x:v>
      </x:c>
      <x:c r="E13" s="23" t="n">
        <x:v>0</x:v>
      </x:c>
      <x:c r="F13" s="9" t="str">
        <x:f>IF(ABS(C13-D13)&lt;=E13,"PASS","FAIL")</x:f>
        <x:v>PASS</x:v>
      </x:c>
    </x:row>
    <x:row r="14">
      <x:c r="A14" s="9" t="str">
        <x:v>A08</x:v>
      </x:c>
      <x:c r="B14" s="9" t="str">
        <x:v>Partial chapter count</x:v>
      </x:c>
      <x:c r="C14" s="23" t="n">
        <x:f>COUNTIFS('Chapter Spine'!I7:I20,"PARTIAL")</x:f>
        <x:v>9</x:v>
      </x:c>
      <x:c r="D14" s="23" t="n">
        <x:f>9</x:f>
        <x:v>9</x:v>
      </x:c>
      <x:c r="E14" s="23" t="n">
        <x:v>0</x:v>
      </x:c>
      <x:c r="F14" s="9" t="str">
        <x:f>IF(ABS(C14-D14)&lt;=E14,"PASS","FAIL")</x:f>
        <x:v>PASS</x:v>
      </x:c>
    </x:row>
    <x:row r="15">
      <x:c r="A15" s="9" t="str">
        <x:v>A09</x:v>
      </x:c>
      <x:c r="B15" s="9" t="str">
        <x:v>Not-ready chapter count</x:v>
      </x:c>
      <x:c r="C15" s="23" t="n">
        <x:f>COUNTIFS('Chapter Spine'!I7:I20,"NOT READY")</x:f>
        <x:v>1</x:v>
      </x:c>
      <x:c r="D15" s="23" t="n">
        <x:f>1</x:f>
        <x:v>1</x:v>
      </x:c>
      <x:c r="E15" s="23" t="n">
        <x:v>0</x:v>
      </x:c>
      <x:c r="F15" s="9" t="str">
        <x:f>IF(ABS(C15-D15)&lt;=E15,"PASS","FAIL")</x:f>
        <x:v>PASS</x:v>
      </x:c>
    </x:row>
    <x:row r="16">
      <x:c r="A16" s="9" t="str">
        <x:v>A10</x:v>
      </x:c>
      <x:c r="B16" s="9" t="str">
        <x:v>Gate records unique</x:v>
      </x:c>
      <x:c r="C16" s="23" t="n">
        <x:f>SUM('Closure Gates'!K7:K76)</x:f>
        <x:v>70</x:v>
      </x:c>
      <x:c r="D16" s="23" t="n">
        <x:f>70</x:f>
        <x:v>70</x:v>
      </x:c>
      <x:c r="E16" s="23" t="n">
        <x:v>0</x:v>
      </x:c>
      <x:c r="F16" s="9" t="str">
        <x:f>IF(ABS(C16-D16)&lt;=E16,"PASS","FAIL")</x:f>
        <x:v>PASS</x:v>
      </x:c>
    </x:row>
    <x:row r="17">
      <x:c r="A17" s="9" t="str">
        <x:v>A11</x:v>
      </x:c>
      <x:c r="B17" s="9" t="str">
        <x:v>Decision-map rows</x:v>
      </x:c>
      <x:c r="C17" s="23" t="n">
        <x:f>COUNTA('Decision Map'!A7:A20)</x:f>
        <x:v>14</x:v>
      </x:c>
      <x:c r="D17" s="23" t="n">
        <x:f>14</x:f>
        <x:v>14</x:v>
      </x:c>
      <x:c r="E17" s="23" t="n">
        <x:v>0</x:v>
      </x:c>
      <x:c r="F17" s="9" t="str">
        <x:f>IF(ABS(C17-D17)&lt;=E17,"PASS","FAIL")</x:f>
        <x:v>PASS</x:v>
      </x:c>
    </x:row>
    <x:row r="18">
      <x:c r="A18" s="9" t="str">
        <x:v>A12</x:v>
      </x:c>
      <x:c r="B18" s="9" t="str">
        <x:v>Claim-chain rows</x:v>
      </x:c>
      <x:c r="C18" s="23" t="n">
        <x:f>COUNTA('Claim Chain'!A7:A34)</x:f>
        <x:v>28</x:v>
      </x:c>
      <x:c r="D18" s="23" t="n">
        <x:f>28</x:f>
        <x:v>28</x:v>
      </x:c>
      <x:c r="E18" s="23" t="n">
        <x:v>0</x:v>
      </x:c>
      <x:c r="F18" s="9" t="str">
        <x:f>IF(ABS(C18-D18)&lt;=E18,"PASS","FAIL")</x:f>
        <x:v>PASS</x:v>
      </x:c>
    </x:row>
    <x:row r="19">
      <x:c r="A19" s="9" t="str">
        <x:v>A13</x:v>
      </x:c>
      <x:c r="B19" s="9" t="str">
        <x:v>Quantitative boundaries</x:v>
      </x:c>
      <x:c r="C19" s="23" t="n">
        <x:f>COUNTA('Quant Boundaries'!A7:A30)</x:f>
        <x:v>24</x:v>
      </x:c>
      <x:c r="D19" s="23" t="n">
        <x:f>24</x:f>
        <x:v>24</x:v>
      </x:c>
      <x:c r="E19" s="23" t="n">
        <x:v>0</x:v>
      </x:c>
      <x:c r="F19" s="9" t="str">
        <x:f>IF(ABS(C19-D19)&lt;=E19,"PASS","FAIL")</x:f>
        <x:v>PASS</x:v>
      </x:c>
    </x:row>
    <x:row r="20">
      <x:c r="A20" s="9" t="str">
        <x:v>A14</x:v>
      </x:c>
      <x:c r="B20" s="9" t="str">
        <x:v>Remaining burden rows</x:v>
      </x:c>
      <x:c r="C20" s="23" t="n">
        <x:f>COUNTA('Remaining Burdens'!A7:A27)</x:f>
        <x:v>21</x:v>
      </x:c>
      <x:c r="D20" s="23" t="n">
        <x:f>21</x:f>
        <x:v>21</x:v>
      </x:c>
      <x:c r="E20" s="23" t="n">
        <x:v>0</x:v>
      </x:c>
      <x:c r="F20" s="9" t="str">
        <x:f>IF(ABS(C20-D20)&lt;=E20,"PASS","FAIL")</x:f>
        <x:v>PASS</x:v>
      </x:c>
    </x:row>
    <x:row r="21">
      <x:c r="A21" s="9" t="str">
        <x:v>A15</x:v>
      </x:c>
      <x:c r="B21" s="9" t="str">
        <x:v>Supersession rules</x:v>
      </x:c>
      <x:c r="C21" s="23" t="n">
        <x:f>COUNTA('Supersession Rules'!A7:A18)</x:f>
        <x:v>12</x:v>
      </x:c>
      <x:c r="D21" s="23" t="n">
        <x:f>12</x:f>
        <x:v>12</x:v>
      </x:c>
      <x:c r="E21" s="23" t="n">
        <x:v>0</x:v>
      </x:c>
      <x:c r="F21" s="9" t="str">
        <x:f>IF(ABS(C21-D21)&lt;=E21,"PASS","FAIL")</x:f>
        <x:v>PASS</x:v>
      </x:c>
    </x:row>
    <x:row r="22">
      <x:c r="A22" s="9" t="str">
        <x:v>A16</x:v>
      </x:c>
      <x:c r="B22" s="9" t="str">
        <x:v>SYN consumed pass count</x:v>
      </x:c>
      <x:c r="C22" s="23" t="n">
        <x:f>Inputs!B14</x:f>
        <x:v>1</x:v>
      </x:c>
      <x:c r="D22" s="23" t="n">
        <x:f>1</x:f>
        <x:v>1</x:v>
      </x:c>
      <x:c r="E22" s="23" t="n">
        <x:v>0</x:v>
      </x:c>
      <x:c r="F22" s="9" t="str">
        <x:f>IF(ABS(C22-D22)&lt;=E22,"PASS","FAIL")</x:f>
        <x:v>PASS</x:v>
      </x:c>
    </x:row>
    <x:row r="23">
      <x:c r="A23" s="9" t="str">
        <x:v>A17</x:v>
      </x:c>
      <x:c r="B23" s="9" t="str">
        <x:v>SYN pass budget</x:v>
      </x:c>
      <x:c r="C23" s="23" t="n">
        <x:f>Inputs!B15</x:f>
        <x:v>5</x:v>
      </x:c>
      <x:c r="D23" s="23" t="n">
        <x:f>5</x:f>
        <x:v>5</x:v>
      </x:c>
      <x:c r="E23" s="23" t="n">
        <x:v>0</x:v>
      </x:c>
      <x:c r="F23" s="9" t="str">
        <x:f>IF(ABS(C23-D23)&lt;=E23,"PASS","FAIL")</x:f>
        <x:v>PASS</x:v>
      </x:c>
    </x:row>
    <x:row r="24">
      <x:c r="A24" s="9" t="str">
        <x:v>A18</x:v>
      </x:c>
      <x:c r="B24" s="9" t="str">
        <x:v>Open-item ledger after Pass 246</x:v>
      </x:c>
      <x:c r="C24" s="23" t="n">
        <x:f>Inputs!B16</x:f>
        <x:v>1</x:v>
      </x:c>
      <x:c r="D24" s="23" t="n">
        <x:f>1</x:f>
        <x:v>1</x:v>
      </x:c>
      <x:c r="E24" s="23" t="n">
        <x:v>0</x:v>
      </x:c>
      <x:c r="F24" s="9" t="str">
        <x:f>IF(ABS(C24-D24)&lt;=E24,"PASS","FAIL")</x:f>
        <x:v>PASS</x:v>
      </x:c>
    </x:row>
    <x:row r="25">
      <x:c r="A25" s="9" t="str">
        <x:v>A19</x:v>
      </x:c>
      <x:c r="B25" s="9" t="str">
        <x:v>Rendering issues remain zero</x:v>
      </x:c>
      <x:c r="C25" s="23" t="n">
        <x:f>Inputs!B22</x:f>
        <x:v>0</x:v>
      </x:c>
      <x:c r="D25" s="23" t="n">
        <x:f>0</x:f>
        <x:v>0</x:v>
      </x:c>
      <x:c r="E25" s="23" t="n">
        <x:v>0</x:v>
      </x:c>
      <x:c r="F25" s="9" t="str">
        <x:f>IF(ABS(C25-D25)&lt;=E25,"PASS","FAIL")</x:f>
        <x:v>PASS</x:v>
      </x:c>
    </x:row>
    <x:row r="26">
      <x:c r="A26" s="9" t="str">
        <x:v>A20</x:v>
      </x:c>
      <x:c r="B26" s="9" t="str">
        <x:v>Publication authority remains zero</x:v>
      </x:c>
      <x:c r="C26" s="23" t="n">
        <x:f>Inputs!B23</x:f>
        <x:v>0</x:v>
      </x:c>
      <x:c r="D26" s="23" t="n">
        <x:f>0</x:f>
        <x:v>0</x:v>
      </x:c>
      <x:c r="E26" s="23" t="n">
        <x:v>0</x:v>
      </x:c>
      <x:c r="F26" s="9" t="str">
        <x:f>IF(ABS(C26-D26)&lt;=E26,"PASS","FAIL")</x:f>
        <x:v>PASS</x:v>
      </x:c>
    </x:row>
    <x:row r="27">
      <x:c r="A27" s="9" t="str">
        <x:v>A21</x:v>
      </x:c>
      <x:c r="B27" s="9" t="str">
        <x:v>Evidence promotions remain zero</x:v>
      </x:c>
      <x:c r="C27" s="23" t="n">
        <x:f>Inputs!B24</x:f>
        <x:v>0</x:v>
      </x:c>
      <x:c r="D27" s="23" t="n">
        <x:f>0</x:f>
        <x:v>0</x:v>
      </x:c>
      <x:c r="E27" s="23" t="n">
        <x:v>0</x:v>
      </x:c>
      <x:c r="F27" s="9" t="str">
        <x:f>IF(ABS(C27-D27)&lt;=E27,"PASS","FAIL")</x:f>
        <x:v>PASS</x:v>
      </x:c>
    </x:row>
    <x:row r="28">
      <x:c r="A28" s="9" t="str">
        <x:v>A22</x:v>
      </x:c>
      <x:c r="B28" s="9" t="str">
        <x:v>Report chapter input</x:v>
      </x:c>
      <x:c r="C28" s="23" t="n">
        <x:f>Inputs!B7</x:f>
        <x:v>14</x:v>
      </x:c>
      <x:c r="D28" s="23" t="n">
        <x:f>14</x:f>
        <x:v>14</x:v>
      </x:c>
      <x:c r="E28" s="23" t="n">
        <x:v>0</x:v>
      </x:c>
      <x:c r="F28" s="9" t="str">
        <x:f>IF(ABS(C28-D28)&lt;=E28,"PASS","FAIL")</x:f>
        <x:v>PASS</x:v>
      </x:c>
    </x:row>
    <x:row r="29">
      <x:c r="A29" s="9" t="str">
        <x:v>A23</x:v>
      </x:c>
      <x:c r="B29" s="9" t="str">
        <x:v>Gates-per-chapter input</x:v>
      </x:c>
      <x:c r="C29" s="23" t="n">
        <x:f>Inputs!B8</x:f>
        <x:v>5</x:v>
      </x:c>
      <x:c r="D29" s="23" t="n">
        <x:f>5</x:f>
        <x:v>5</x:v>
      </x:c>
      <x:c r="E29" s="23" t="n">
        <x:v>0</x:v>
      </x:c>
      <x:c r="F29" s="9" t="str">
        <x:f>IF(ABS(C29-D29)&lt;=E29,"PASS","FAIL")</x:f>
        <x:v>PASS</x:v>
      </x:c>
    </x:row>
    <x:row r="30">
      <x:c r="A30" s="9" t="str">
        <x:v>A24</x:v>
      </x:c>
      <x:c r="B30" s="9" t="str">
        <x:v>Total-gate input</x:v>
      </x:c>
      <x:c r="C30" s="23" t="n">
        <x:f>Inputs!B9</x:f>
        <x:v>70</x:v>
      </x:c>
      <x:c r="D30" s="23" t="n">
        <x:f>70</x:f>
        <x:v>70</x:v>
      </x:c>
      <x:c r="E30" s="23" t="n">
        <x:v>0</x:v>
      </x:c>
      <x:c r="F30" s="9" t="str">
        <x:f>IF(ABS(C30-D30)&lt;=E30,"PASS","FAIL")</x:f>
        <x:v>PASS</x:v>
      </x:c>
    </x:row>
    <x:row r="31">
      <x:c r="A31" s="9" t="str">
        <x:v>A25</x:v>
      </x:c>
      <x:c r="B31" s="9" t="str">
        <x:v>Closed-gate input</x:v>
      </x:c>
      <x:c r="C31" s="23" t="n">
        <x:f>Inputs!B10</x:f>
        <x:v>49</x:v>
      </x:c>
      <x:c r="D31" s="23" t="n">
        <x:f>49</x:f>
        <x:v>49</x:v>
      </x:c>
      <x:c r="E31" s="23" t="n">
        <x:v>0</x:v>
      </x:c>
      <x:c r="F31" s="9" t="str">
        <x:f>IF(ABS(C31-D31)&lt;=E31,"PASS","FAIL")</x:f>
        <x:v>PASS</x:v>
      </x:c>
    </x:row>
    <x:row r="32">
      <x:c r="A32" s="9" t="str">
        <x:v>A26</x:v>
      </x:c>
      <x:c r="B32" s="9" t="str">
        <x:v>Open-gate input</x:v>
      </x:c>
      <x:c r="C32" s="23" t="n">
        <x:f>Inputs!B11</x:f>
        <x:v>21</x:v>
      </x:c>
      <x:c r="D32" s="23" t="n">
        <x:f>21</x:f>
        <x:v>21</x:v>
      </x:c>
      <x:c r="E32" s="23" t="n">
        <x:v>0</x:v>
      </x:c>
      <x:c r="F32" s="9" t="str">
        <x:f>IF(ABS(C32-D32)&lt;=E32,"PASS","FAIL")</x:f>
        <x:v>PASS</x:v>
      </x:c>
    </x:row>
    <x:row r="33">
      <x:c r="A33" s="9" t="str">
        <x:v>A27</x:v>
      </x:c>
      <x:c r="B33" s="9" t="str">
        <x:v>Ready-chapter input</x:v>
      </x:c>
      <x:c r="C33" s="23" t="n">
        <x:f>Inputs!B12</x:f>
        <x:v>4</x:v>
      </x:c>
      <x:c r="D33" s="23" t="n">
        <x:f>4</x:f>
        <x:v>4</x:v>
      </x:c>
      <x:c r="E33" s="23" t="n">
        <x:v>0</x:v>
      </x:c>
      <x:c r="F33" s="9" t="str">
        <x:f>IF(ABS(C33-D33)&lt;=E33,"PASS","FAIL")</x:f>
        <x:v>PASS</x:v>
      </x:c>
    </x:row>
    <x:row r="34">
      <x:c r="A34" s="9" t="str">
        <x:v>A28</x:v>
      </x:c>
      <x:c r="B34" s="9" t="str">
        <x:v>Completion input</x:v>
      </x:c>
      <x:c r="C34" s="23" t="n">
        <x:f>Inputs!B13</x:f>
        <x:v>0.7</x:v>
      </x:c>
      <x:c r="D34" s="23" t="n">
        <x:f>0.7</x:f>
        <x:v>0.7</x:v>
      </x:c>
      <x:c r="E34" s="23" t="n">
        <x:v>0.0001</x:v>
      </x:c>
      <x:c r="F34" s="9" t="str">
        <x:f>IF(ABS(C34-D34)&lt;=E34,"PASS","FAIL")</x:f>
        <x:v>PASS</x:v>
      </x:c>
    </x:row>
    <x:row r="35">
      <x:c r="A35" s="9" t="str">
        <x:v>A29</x:v>
      </x:c>
      <x:c r="B35" s="9" t="str">
        <x:v>Pass baseline</x:v>
      </x:c>
      <x:c r="C35" s="23" t="n">
        <x:f>Inputs!B17</x:f>
        <x:v>245</x:v>
      </x:c>
      <x:c r="D35" s="23" t="n">
        <x:f>245</x:f>
        <x:v>245</x:v>
      </x:c>
      <x:c r="E35" s="23" t="n">
        <x:v>0</x:v>
      </x:c>
      <x:c r="F35" s="9" t="str">
        <x:f>IF(ABS(C35-D35)&lt;=E35,"PASS","FAIL")</x:f>
        <x:v>PASS</x:v>
      </x:c>
    </x:row>
    <x:row r="36">
      <x:c r="A36" s="9" t="str">
        <x:v>A30</x:v>
      </x:c>
      <x:c r="B36" s="9" t="str">
        <x:v>Workbook baseline</x:v>
      </x:c>
      <x:c r="C36" s="23" t="n">
        <x:f>Inputs!B18</x:f>
        <x:v>229</x:v>
      </x:c>
      <x:c r="D36" s="23" t="n">
        <x:f>229</x:f>
        <x:v>229</x:v>
      </x:c>
      <x:c r="E36" s="23" t="n">
        <x:v>0</x:v>
      </x:c>
      <x:c r="F36" s="9" t="str">
        <x:f>IF(ABS(C36-D36)&lt;=E36,"PASS","FAIL")</x:f>
        <x:v>PASS</x:v>
      </x:c>
    </x:row>
    <x:row r="37">
      <x:c r="A37" s="9" t="str">
        <x:v>A31</x:v>
      </x:c>
      <x:c r="B37" s="9" t="str">
        <x:v>CH01 closed gates</x:v>
      </x:c>
      <x:c r="C37" s="23" t="n">
        <x:f>'Chapter Spine'!E7</x:f>
        <x:v>5</x:v>
      </x:c>
      <x:c r="D37" s="23" t="n">
        <x:f>5</x:f>
        <x:v>5</x:v>
      </x:c>
      <x:c r="E37" s="23" t="n">
        <x:v>0</x:v>
      </x:c>
      <x:c r="F37" s="9" t="str">
        <x:f>IF(ABS(C37-D37)&lt;=E37,"PASS","FAIL")</x:f>
        <x:v>PASS</x:v>
      </x:c>
    </x:row>
    <x:row r="38">
      <x:c r="A38" s="9" t="str">
        <x:v>A32</x:v>
      </x:c>
      <x:c r="B38" s="9" t="str">
        <x:v>CH02 closed gates</x:v>
      </x:c>
      <x:c r="C38" s="23" t="n">
        <x:f>'Chapter Spine'!E8</x:f>
        <x:v>5</x:v>
      </x:c>
      <x:c r="D38" s="23" t="n">
        <x:f>5</x:f>
        <x:v>5</x:v>
      </x:c>
      <x:c r="E38" s="23" t="n">
        <x:v>0</x:v>
      </x:c>
      <x:c r="F38" s="9" t="str">
        <x:f>IF(ABS(C38-D38)&lt;=E38,"PASS","FAIL")</x:f>
        <x:v>PASS</x:v>
      </x:c>
    </x:row>
    <x:row r="39">
      <x:c r="A39" s="9" t="str">
        <x:v>A33</x:v>
      </x:c>
      <x:c r="B39" s="9" t="str">
        <x:v>CH03 closed gates</x:v>
      </x:c>
      <x:c r="C39" s="23" t="n">
        <x:f>'Chapter Spine'!E9</x:f>
        <x:v>5</x:v>
      </x:c>
      <x:c r="D39" s="23" t="n">
        <x:f>5</x:f>
        <x:v>5</x:v>
      </x:c>
      <x:c r="E39" s="23" t="n">
        <x:v>0</x:v>
      </x:c>
      <x:c r="F39" s="9" t="str">
        <x:f>IF(ABS(C39-D39)&lt;=E39,"PASS","FAIL")</x:f>
        <x:v>PASS</x:v>
      </x:c>
    </x:row>
    <x:row r="40">
      <x:c r="A40" s="9" t="str">
        <x:v>A34</x:v>
      </x:c>
      <x:c r="B40" s="9" t="str">
        <x:v>CH04 closed gates</x:v>
      </x:c>
      <x:c r="C40" s="23" t="n">
        <x:f>'Chapter Spine'!E10</x:f>
        <x:v>5</x:v>
      </x:c>
      <x:c r="D40" s="23" t="n">
        <x:f>5</x:f>
        <x:v>5</x:v>
      </x:c>
      <x:c r="E40" s="23" t="n">
        <x:v>0</x:v>
      </x:c>
      <x:c r="F40" s="9" t="str">
        <x:f>IF(ABS(C40-D40)&lt;=E40,"PASS","FAIL")</x:f>
        <x:v>PASS</x:v>
      </x:c>
    </x:row>
    <x:row r="41">
      <x:c r="A41" s="9" t="str">
        <x:v>A35</x:v>
      </x:c>
      <x:c r="B41" s="9" t="str">
        <x:v>CH05 closed gates</x:v>
      </x:c>
      <x:c r="C41" s="23" t="n">
        <x:f>'Chapter Spine'!E11</x:f>
        <x:v>4</x:v>
      </x:c>
      <x:c r="D41" s="23" t="n">
        <x:f>4</x:f>
        <x:v>4</x:v>
      </x:c>
      <x:c r="E41" s="23" t="n">
        <x:v>0</x:v>
      </x:c>
      <x:c r="F41" s="9" t="str">
        <x:f>IF(ABS(C41-D41)&lt;=E41,"PASS","FAIL")</x:f>
        <x:v>PASS</x:v>
      </x:c>
    </x:row>
    <x:row r="42">
      <x:c r="A42" s="9" t="str">
        <x:v>A36</x:v>
      </x:c>
      <x:c r="B42" s="9" t="str">
        <x:v>CH06 closed gates</x:v>
      </x:c>
      <x:c r="C42" s="23" t="n">
        <x:f>'Chapter Spine'!E12</x:f>
        <x:v>2</x:v>
      </x:c>
      <x:c r="D42" s="23" t="n">
        <x:f>2</x:f>
        <x:v>2</x:v>
      </x:c>
      <x:c r="E42" s="23" t="n">
        <x:v>0</x:v>
      </x:c>
      <x:c r="F42" s="9" t="str">
        <x:f>IF(ABS(C42-D42)&lt;=E42,"PASS","FAIL")</x:f>
        <x:v>PASS</x:v>
      </x:c>
    </x:row>
    <x:row r="43">
      <x:c r="A43" s="9" t="str">
        <x:v>A37</x:v>
      </x:c>
      <x:c r="B43" s="9" t="str">
        <x:v>CH07 closed gates</x:v>
      </x:c>
      <x:c r="C43" s="23" t="n">
        <x:f>'Chapter Spine'!E13</x:f>
        <x:v>4</x:v>
      </x:c>
      <x:c r="D43" s="23" t="n">
        <x:f>4</x:f>
        <x:v>4</x:v>
      </x:c>
      <x:c r="E43" s="23" t="n">
        <x:v>0</x:v>
      </x:c>
      <x:c r="F43" s="9" t="str">
        <x:f>IF(ABS(C43-D43)&lt;=E43,"PASS","FAIL")</x:f>
        <x:v>PASS</x:v>
      </x:c>
    </x:row>
    <x:row r="44">
      <x:c r="A44" s="9" t="str">
        <x:v>A38</x:v>
      </x:c>
      <x:c r="B44" s="9" t="str">
        <x:v>CH08 closed gates</x:v>
      </x:c>
      <x:c r="C44" s="23" t="n">
        <x:f>'Chapter Spine'!E14</x:f>
        <x:v>4</x:v>
      </x:c>
      <x:c r="D44" s="23" t="n">
        <x:f>4</x:f>
        <x:v>4</x:v>
      </x:c>
      <x:c r="E44" s="23" t="n">
        <x:v>0</x:v>
      </x:c>
      <x:c r="F44" s="9" t="str">
        <x:f>IF(ABS(C44-D44)&lt;=E44,"PASS","FAIL")</x:f>
        <x:v>PASS</x:v>
      </x:c>
    </x:row>
    <x:row r="45">
      <x:c r="A45" s="9" t="str">
        <x:v>A39</x:v>
      </x:c>
      <x:c r="B45" s="9" t="str">
        <x:v>CH09 closed gates</x:v>
      </x:c>
      <x:c r="C45" s="23" t="n">
        <x:f>'Chapter Spine'!E15</x:f>
        <x:v>4</x:v>
      </x:c>
      <x:c r="D45" s="23" t="n">
        <x:f>4</x:f>
        <x:v>4</x:v>
      </x:c>
      <x:c r="E45" s="23" t="n">
        <x:v>0</x:v>
      </x:c>
      <x:c r="F45" s="9" t="str">
        <x:f>IF(ABS(C45-D45)&lt;=E45,"PASS","FAIL")</x:f>
        <x:v>PASS</x:v>
      </x:c>
    </x:row>
    <x:row r="46">
      <x:c r="A46" s="9" t="str">
        <x:v>A40</x:v>
      </x:c>
      <x:c r="B46" s="9" t="str">
        <x:v>CH10 closed gates</x:v>
      </x:c>
      <x:c r="C46" s="23" t="n">
        <x:f>'Chapter Spine'!E16</x:f>
        <x:v>3</x:v>
      </x:c>
      <x:c r="D46" s="23" t="n">
        <x:f>3</x:f>
        <x:v>3</x:v>
      </x:c>
      <x:c r="E46" s="23" t="n">
        <x:v>0</x:v>
      </x:c>
      <x:c r="F46" s="9" t="str">
        <x:f>IF(ABS(C46-D46)&lt;=E46,"PASS","FAIL")</x:f>
        <x:v>PASS</x:v>
      </x:c>
    </x:row>
    <x:row r="47">
      <x:c r="A47" s="9" t="str">
        <x:v>A41</x:v>
      </x:c>
      <x:c r="B47" s="9" t="str">
        <x:v>CH11 closed gates</x:v>
      </x:c>
      <x:c r="C47" s="23" t="n">
        <x:f>'Chapter Spine'!E17</x:f>
        <x:v>4</x:v>
      </x:c>
      <x:c r="D47" s="23" t="n">
        <x:f>4</x:f>
        <x:v>4</x:v>
      </x:c>
      <x:c r="E47" s="23" t="n">
        <x:v>0</x:v>
      </x:c>
      <x:c r="F47" s="9" t="str">
        <x:f>IF(ABS(C47-D47)&lt;=E47,"PASS","FAIL")</x:f>
        <x:v>PASS</x:v>
      </x:c>
    </x:row>
    <x:row r="48">
      <x:c r="A48" s="9" t="str">
        <x:v>A42</x:v>
      </x:c>
      <x:c r="B48" s="9" t="str">
        <x:v>CH12 closed gates</x:v>
      </x:c>
      <x:c r="C48" s="23" t="n">
        <x:f>'Chapter Spine'!E18</x:f>
        <x:v>3</x:v>
      </x:c>
      <x:c r="D48" s="23" t="n">
        <x:f>3</x:f>
        <x:v>3</x:v>
      </x:c>
      <x:c r="E48" s="23" t="n">
        <x:v>0</x:v>
      </x:c>
      <x:c r="F48" s="9" t="str">
        <x:f>IF(ABS(C48-D48)&lt;=E48,"PASS","FAIL")</x:f>
        <x:v>PASS</x:v>
      </x:c>
    </x:row>
    <x:row r="49">
      <x:c r="A49" s="9" t="str">
        <x:v>A43</x:v>
      </x:c>
      <x:c r="B49" s="9" t="str">
        <x:v>CH13 closed gates</x:v>
      </x:c>
      <x:c r="C49" s="23" t="n">
        <x:f>'Chapter Spine'!E19</x:f>
        <x:v>1</x:v>
      </x:c>
      <x:c r="D49" s="23" t="n">
        <x:f>1</x:f>
        <x:v>1</x:v>
      </x:c>
      <x:c r="E49" s="23" t="n">
        <x:v>0</x:v>
      </x:c>
      <x:c r="F49" s="9" t="str">
        <x:f>IF(ABS(C49-D49)&lt;=E49,"PASS","FAIL")</x:f>
        <x:v>PASS</x:v>
      </x:c>
    </x:row>
    <x:row r="50">
      <x:c r="A50" s="9" t="str">
        <x:v>A44</x:v>
      </x:c>
      <x:c r="B50" s="9" t="str">
        <x:v>CH14 closed gates</x:v>
      </x:c>
      <x:c r="C50" s="23" t="n">
        <x:f>'Chapter Spine'!E20</x:f>
        <x:v>0</x:v>
      </x:c>
      <x:c r="D50" s="23" t="n">
        <x:f>0</x:f>
        <x:v>0</x:v>
      </x:c>
      <x:c r="E50" s="23" t="n">
        <x:v>0</x:v>
      </x:c>
      <x:c r="F50" s="9" t="str">
        <x:f>IF(ABS(C50-D50)&lt;=E50,"PASS","FAIL")</x:f>
        <x:v>PASS</x:v>
      </x:c>
    </x:row>
    <x:row r="51">
      <x:c r="A51" s="9" t="str">
        <x:v>A45</x:v>
      </x:c>
      <x:c r="B51" s="9" t="str">
        <x:v>CH01 has five gates</x:v>
      </x:c>
      <x:c r="C51" s="23" t="n">
        <x:f>'Chapter Spine'!G7</x:f>
        <x:v>5</x:v>
      </x:c>
      <x:c r="D51" s="23" t="n">
        <x:f>5</x:f>
        <x:v>5</x:v>
      </x:c>
      <x:c r="E51" s="23" t="n">
        <x:v>0</x:v>
      </x:c>
      <x:c r="F51" s="9" t="str">
        <x:f>IF(ABS(C51-D51)&lt;=E51,"PASS","FAIL")</x:f>
        <x:v>PASS</x:v>
      </x:c>
    </x:row>
    <x:row r="52">
      <x:c r="A52" s="9" t="str">
        <x:v>A46</x:v>
      </x:c>
      <x:c r="B52" s="9" t="str">
        <x:v>CH02 has five gates</x:v>
      </x:c>
      <x:c r="C52" s="23" t="n">
        <x:f>'Chapter Spine'!G8</x:f>
        <x:v>5</x:v>
      </x:c>
      <x:c r="D52" s="23" t="n">
        <x:f>5</x:f>
        <x:v>5</x:v>
      </x:c>
      <x:c r="E52" s="23" t="n">
        <x:v>0</x:v>
      </x:c>
      <x:c r="F52" s="9" t="str">
        <x:f>IF(ABS(C52-D52)&lt;=E52,"PASS","FAIL")</x:f>
        <x:v>PASS</x:v>
      </x:c>
    </x:row>
    <x:row r="53">
      <x:c r="A53" s="9" t="str">
        <x:v>A47</x:v>
      </x:c>
      <x:c r="B53" s="9" t="str">
        <x:v>CH03 has five gates</x:v>
      </x:c>
      <x:c r="C53" s="23" t="n">
        <x:f>'Chapter Spine'!G9</x:f>
        <x:v>5</x:v>
      </x:c>
      <x:c r="D53" s="23" t="n">
        <x:f>5</x:f>
        <x:v>5</x:v>
      </x:c>
      <x:c r="E53" s="23" t="n">
        <x:v>0</x:v>
      </x:c>
      <x:c r="F53" s="9" t="str">
        <x:f>IF(ABS(C53-D53)&lt;=E53,"PASS","FAIL")</x:f>
        <x:v>PASS</x:v>
      </x:c>
    </x:row>
    <x:row r="54">
      <x:c r="A54" s="9" t="str">
        <x:v>A48</x:v>
      </x:c>
      <x:c r="B54" s="9" t="str">
        <x:v>CH04 has five gates</x:v>
      </x:c>
      <x:c r="C54" s="23" t="n">
        <x:f>'Chapter Spine'!G10</x:f>
        <x:v>5</x:v>
      </x:c>
      <x:c r="D54" s="23" t="n">
        <x:f>5</x:f>
        <x:v>5</x:v>
      </x:c>
      <x:c r="E54" s="23" t="n">
        <x:v>0</x:v>
      </x:c>
      <x:c r="F54" s="9" t="str">
        <x:f>IF(ABS(C54-D54)&lt;=E54,"PASS","FAIL")</x:f>
        <x:v>PASS</x:v>
      </x:c>
    </x:row>
    <x:row r="55">
      <x:c r="A55" s="9" t="str">
        <x:v>A49</x:v>
      </x:c>
      <x:c r="B55" s="9" t="str">
        <x:v>CH05 has five gates</x:v>
      </x:c>
      <x:c r="C55" s="23" t="n">
        <x:f>'Chapter Spine'!G11</x:f>
        <x:v>5</x:v>
      </x:c>
      <x:c r="D55" s="23" t="n">
        <x:f>5</x:f>
        <x:v>5</x:v>
      </x:c>
      <x:c r="E55" s="23" t="n">
        <x:v>0</x:v>
      </x:c>
      <x:c r="F55" s="9" t="str">
        <x:f>IF(ABS(C55-D55)&lt;=E55,"PASS","FAIL")</x:f>
        <x:v>PASS</x:v>
      </x:c>
    </x:row>
    <x:row r="56">
      <x:c r="A56" s="9" t="str">
        <x:v>A50</x:v>
      </x:c>
      <x:c r="B56" s="9" t="str">
        <x:v>CH06 has five gates</x:v>
      </x:c>
      <x:c r="C56" s="23" t="n">
        <x:f>'Chapter Spine'!G12</x:f>
        <x:v>5</x:v>
      </x:c>
      <x:c r="D56" s="23" t="n">
        <x:f>5</x:f>
        <x:v>5</x:v>
      </x:c>
      <x:c r="E56" s="23" t="n">
        <x:v>0</x:v>
      </x:c>
      <x:c r="F56" s="9" t="str">
        <x:f>IF(ABS(C56-D56)&lt;=E56,"PASS","FAIL")</x:f>
        <x:v>PASS</x:v>
      </x:c>
    </x:row>
    <x:row r="57">
      <x:c r="A57" s="9" t="str">
        <x:v>A51</x:v>
      </x:c>
      <x:c r="B57" s="9" t="str">
        <x:v>CH07 has five gates</x:v>
      </x:c>
      <x:c r="C57" s="23" t="n">
        <x:f>'Chapter Spine'!G13</x:f>
        <x:v>5</x:v>
      </x:c>
      <x:c r="D57" s="23" t="n">
        <x:f>5</x:f>
        <x:v>5</x:v>
      </x:c>
      <x:c r="E57" s="23" t="n">
        <x:v>0</x:v>
      </x:c>
      <x:c r="F57" s="9" t="str">
        <x:f>IF(ABS(C57-D57)&lt;=E57,"PASS","FAIL")</x:f>
        <x:v>PASS</x:v>
      </x:c>
    </x:row>
    <x:row r="58">
      <x:c r="A58" s="9" t="str">
        <x:v>A52</x:v>
      </x:c>
      <x:c r="B58" s="9" t="str">
        <x:v>CH08 has five gates</x:v>
      </x:c>
      <x:c r="C58" s="23" t="n">
        <x:f>'Chapter Spine'!G14</x:f>
        <x:v>5</x:v>
      </x:c>
      <x:c r="D58" s="23" t="n">
        <x:f>5</x:f>
        <x:v>5</x:v>
      </x:c>
      <x:c r="E58" s="23" t="n">
        <x:v>0</x:v>
      </x:c>
      <x:c r="F58" s="9" t="str">
        <x:f>IF(ABS(C58-D58)&lt;=E58,"PASS","FAIL")</x:f>
        <x:v>PASS</x:v>
      </x:c>
    </x:row>
    <x:row r="59">
      <x:c r="A59" s="9" t="str">
        <x:v>A53</x:v>
      </x:c>
      <x:c r="B59" s="9" t="str">
        <x:v>CH09 has five gates</x:v>
      </x:c>
      <x:c r="C59" s="23" t="n">
        <x:f>'Chapter Spine'!G15</x:f>
        <x:v>5</x:v>
      </x:c>
      <x:c r="D59" s="23" t="n">
        <x:f>5</x:f>
        <x:v>5</x:v>
      </x:c>
      <x:c r="E59" s="23" t="n">
        <x:v>0</x:v>
      </x:c>
      <x:c r="F59" s="9" t="str">
        <x:f>IF(ABS(C59-D59)&lt;=E59,"PASS","FAIL")</x:f>
        <x:v>PASS</x:v>
      </x:c>
    </x:row>
    <x:row r="60">
      <x:c r="A60" s="9" t="str">
        <x:v>A54</x:v>
      </x:c>
      <x:c r="B60" s="9" t="str">
        <x:v>CH10 has five gates</x:v>
      </x:c>
      <x:c r="C60" s="23" t="n">
        <x:f>'Chapter Spine'!G16</x:f>
        <x:v>5</x:v>
      </x:c>
      <x:c r="D60" s="23" t="n">
        <x:f>5</x:f>
        <x:v>5</x:v>
      </x:c>
      <x:c r="E60" s="23" t="n">
        <x:v>0</x:v>
      </x:c>
      <x:c r="F60" s="9" t="str">
        <x:f>IF(ABS(C60-D60)&lt;=E60,"PASS","FAIL")</x:f>
        <x:v>PASS</x:v>
      </x:c>
    </x:row>
    <x:row r="61">
      <x:c r="A61" s="9" t="str">
        <x:v>A55</x:v>
      </x:c>
      <x:c r="B61" s="9" t="str">
        <x:v>CH11 has five gates</x:v>
      </x:c>
      <x:c r="C61" s="23" t="n">
        <x:f>'Chapter Spine'!G17</x:f>
        <x:v>5</x:v>
      </x:c>
      <x:c r="D61" s="23" t="n">
        <x:f>5</x:f>
        <x:v>5</x:v>
      </x:c>
      <x:c r="E61" s="23" t="n">
        <x:v>0</x:v>
      </x:c>
      <x:c r="F61" s="9" t="str">
        <x:f>IF(ABS(C61-D61)&lt;=E61,"PASS","FAIL")</x:f>
        <x:v>PASS</x:v>
      </x:c>
    </x:row>
    <x:row r="62">
      <x:c r="A62" s="9" t="str">
        <x:v>A56</x:v>
      </x:c>
      <x:c r="B62" s="9" t="str">
        <x:v>CH12 has five gates</x:v>
      </x:c>
      <x:c r="C62" s="23" t="n">
        <x:f>'Chapter Spine'!G18</x:f>
        <x:v>5</x:v>
      </x:c>
      <x:c r="D62" s="23" t="n">
        <x:f>5</x:f>
        <x:v>5</x:v>
      </x:c>
      <x:c r="E62" s="23" t="n">
        <x:v>0</x:v>
      </x:c>
      <x:c r="F62" s="9" t="str">
        <x:f>IF(ABS(C62-D62)&lt;=E62,"PASS","FAIL")</x:f>
        <x:v>PASS</x:v>
      </x:c>
    </x:row>
    <x:row r="63">
      <x:c r="A63" s="9" t="str">
        <x:v>A57</x:v>
      </x:c>
      <x:c r="B63" s="9" t="str">
        <x:v>CH13 has five gates</x:v>
      </x:c>
      <x:c r="C63" s="23" t="n">
        <x:f>'Chapter Spine'!G19</x:f>
        <x:v>5</x:v>
      </x:c>
      <x:c r="D63" s="23" t="n">
        <x:f>5</x:f>
        <x:v>5</x:v>
      </x:c>
      <x:c r="E63" s="23" t="n">
        <x:v>0</x:v>
      </x:c>
      <x:c r="F63" s="9" t="str">
        <x:f>IF(ABS(C63-D63)&lt;=E63,"PASS","FAIL")</x:f>
        <x:v>PASS</x:v>
      </x:c>
    </x:row>
    <x:row r="64">
      <x:c r="A64" s="9" t="str">
        <x:v>A58</x:v>
      </x:c>
      <x:c r="B64" s="9" t="str">
        <x:v>CH14 has five gates</x:v>
      </x:c>
      <x:c r="C64" s="23" t="n">
        <x:f>'Chapter Spine'!G20</x:f>
        <x:v>5</x:v>
      </x:c>
      <x:c r="D64" s="23" t="n">
        <x:f>5</x:f>
        <x:v>5</x:v>
      </x:c>
      <x:c r="E64" s="23" t="n">
        <x:v>0</x:v>
      </x:c>
      <x:c r="F64" s="9" t="str">
        <x:f>IF(ABS(C64-D64)&lt;=E64,"PASS","FAIL")</x:f>
        <x:v>PASS</x:v>
      </x:c>
    </x:row>
    <x:row r="65">
      <x:c r="A65" s="9" t="str">
        <x:v>A59</x:v>
      </x:c>
      <x:c r="B65" s="9" t="str">
        <x:v>All open burdens are represented</x:v>
      </x:c>
      <x:c r="C65" s="23" t="n">
        <x:f>COUNTIFS('Remaining Burdens'!H7:H27,"OPEN")</x:f>
        <x:v>21</x:v>
      </x:c>
      <x:c r="D65" s="23" t="n">
        <x:f>21</x:f>
        <x:v>21</x:v>
      </x:c>
      <x:c r="E65" s="23" t="n">
        <x:v>0</x:v>
      </x:c>
      <x:c r="F65" s="9" t="str">
        <x:f>IF(ABS(C65-D65)&lt;=E65,"PASS","FAIL")</x:f>
        <x:v>PASS</x:v>
      </x:c>
    </x:row>
    <x:row r="66">
      <x:c r="A66" s="9" t="str">
        <x:v>A60</x:v>
      </x:c>
      <x:c r="B66" s="9" t="str">
        <x:v>All decision rows prohibit promotion</x:v>
      </x:c>
      <x:c r="C66" s="23" t="n">
        <x:f>COUNTIFS('Decision Map'!F7:F20,"Cannot convert design closure into observed effect, procurement or readiness")</x:f>
        <x:v>14</x:v>
      </x:c>
      <x:c r="D66" s="23" t="n">
        <x:f>14</x:f>
        <x:v>14</x:v>
      </x:c>
      <x:c r="E66" s="23" t="n">
        <x:v>0</x:v>
      </x:c>
      <x:c r="F66" s="9" t="str">
        <x:f>IF(ABS(C66-D66)&lt;=E66,"PASS","FAIL")</x:f>
        <x:v>PASS</x:v>
      </x:c>
    </x:row>
    <x:row r="67">
      <x:c r="A67" s="9" t="str">
        <x:v>A61</x:v>
      </x:c>
      <x:c r="B67" s="9" t="str">
        <x:v>Final synthesis remains partial</x:v>
      </x:c>
      <x:c r="C67" s="23" t="n">
        <x:f>COUNTIFS('Chapter Spine'!A7:A20,"CH13",'Chapter Spine'!I7:I20,"PARTIAL")</x:f>
        <x:v>1</x:v>
      </x:c>
      <x:c r="D67" s="23" t="n">
        <x:f>1</x:f>
        <x:v>1</x:v>
      </x:c>
      <x:c r="E67" s="23" t="n">
        <x:v>0</x:v>
      </x:c>
      <x:c r="F67" s="9" t="str">
        <x:f>IF(ABS(C67-D67)&lt;=E67,"PASS","FAIL")</x:f>
        <x:v>PASS</x:v>
      </x:c>
    </x:row>
    <x:row r="68">
      <x:c r="A68" s="9" t="str">
        <x:v>A62</x:v>
      </x:c>
      <x:c r="B68" s="9" t="str">
        <x:v>Visual atlas remains not ready</x:v>
      </x:c>
      <x:c r="C68" s="23" t="n">
        <x:f>COUNTIFS('Chapter Spine'!A7:A20,"CH14",'Chapter Spine'!I7:I20,"NOT READY")</x:f>
        <x:v>1</x:v>
      </x:c>
      <x:c r="D68" s="23" t="n">
        <x:f>1</x:f>
        <x:v>1</x:v>
      </x:c>
      <x:c r="E68" s="23" t="n">
        <x:v>0</x:v>
      </x:c>
      <x:c r="F68" s="9" t="str">
        <x:f>IF(ABS(C68-D68)&lt;=E68,"PASS","FAIL")</x:f>
        <x:v>PASS</x:v>
      </x:c>
    </x:row>
    <x:row r="69">
      <x:c r="A69" s="9" t="str">
        <x:v>A63</x:v>
      </x:c>
      <x:c r="B69" s="9" t="str">
        <x:v>Ledger net change is zero</x:v>
      </x:c>
      <x:c r="C69" s="23" t="n">
        <x:f>0</x:f>
        <x:v>0</x:v>
      </x:c>
      <x:c r="D69" s="23" t="n">
        <x:f>0</x:f>
        <x:v>0</x:v>
      </x:c>
      <x:c r="E69" s="23" t="n">
        <x:v>0</x:v>
      </x:c>
      <x:c r="F69" s="9" t="str">
        <x:f>IF(ABS(C69-D69)&lt;=E69,"PASS","FAIL")</x:f>
        <x:v>PASS</x:v>
      </x:c>
    </x:row>
    <x:row r="70">
      <x:c r="A70" s="9" t="str">
        <x:v>A64</x:v>
      </x:c>
      <x:c r="B70" s="9" t="str">
        <x:v>Branch pass is below budget</x:v>
      </x:c>
      <x:c r="C70" s="23" t="n">
        <x:f>IF(Inputs!B14&lt;Inputs!B15,1,0)</x:f>
        <x:v>1</x:v>
      </x:c>
      <x:c r="D70" s="23" t="n">
        <x:f>1</x:f>
        <x:v>1</x:v>
      </x:c>
      <x:c r="E70" s="23" t="n">
        <x:v>0</x:v>
      </x:c>
      <x:c r="F70" s="9" t="str">
        <x:f>IF(ABS(C70-D70)&lt;=E70,"PASS","FAIL")</x:f>
        <x:v>PASS</x:v>
      </x:c>
    </x:row>
    <x:row r="71">
      <x:c r="A71" s="9" t="str">
        <x:v>A65</x:v>
      </x:c>
      <x:c r="B71" s="9" t="str">
        <x:v>Completion is not publication authority</x:v>
      </x:c>
      <x:c r="C71" s="23" t="n">
        <x:f>Inputs!B23</x:f>
        <x:v>0</x:v>
      </x:c>
      <x:c r="D71" s="23" t="n">
        <x:f>0</x:f>
        <x:v>0</x:v>
      </x:c>
      <x:c r="E71" s="23" t="n">
        <x:v>0</x:v>
      </x:c>
      <x:c r="F71" s="9" t="str">
        <x:f>IF(ABS(C71-D71)&lt;=E71,"PASS","FAIL")</x:f>
        <x:v>PASS</x:v>
      </x:c>
    </x:row>
    <x:row r="72">
      <x:c r="A72" s="9" t="str">
        <x:v>A66</x:v>
      </x:c>
      <x:c r="B72" s="9" t="str">
        <x:v>Rendering is not implied by completion</x:v>
      </x:c>
      <x:c r="C72" s="23" t="n">
        <x:f>Inputs!B22</x:f>
        <x:v>0</x:v>
      </x:c>
      <x:c r="D72" s="23" t="n">
        <x:f>0</x:f>
        <x:v>0</x:v>
      </x:c>
      <x:c r="E72" s="23" t="n">
        <x:v>0</x:v>
      </x:c>
      <x:c r="F72" s="9" t="str">
        <x:f>IF(ABS(C72-D72)&lt;=E72,"PASS","FAIL")</x:f>
        <x:v>PASS</x:v>
      </x:c>
    </x:row>
  </x:sheetData>
  <x:conditionalFormatting sqref="F7:F72">
    <x:cfRule type="containsText" dxfId="55" priority="1" operator="containsText" text="OPEN"/>
    <x:cfRule type="containsText" dxfId="56" priority="2" operator="containsText" text="PARTIAL"/>
    <x:cfRule type="containsText" dxfId="57" priority="3" operator="containsText" text="HELD"/>
    <x:cfRule type="containsText" dxfId="58" priority="4" operator="containsText" text="NOT READY"/>
    <x:cfRule type="containsText" dxfId="59" priority="5" operator="containsText" text="REQUIRES"/>
    <x:cfRule type="containsText" dxfId="60" priority="6" operator="containsText" text="FAIL"/>
    <x:cfRule type="containsText" dxfId="61" priority="7" operator="containsText" text="PROHIBITED"/>
    <x:cfRule type="containsText" dxfId="62" priority="8" operator="containsText" text="INVALID"/>
    <x:cfRule type="containsText" dxfId="63" priority="9" operator="containsText" text="CLOSED"/>
    <x:cfRule type="containsText" dxfId="64" priority="10" operator="containsText" text="PUBLICATION READY"/>
    <x:cfRule type="containsText" dxfId="65" priority="11" operator="containsText" text="SELECTED"/>
  </x:conditionalFormatting>
  <x:pageMargins left="0.7" right="0.7" top="0.75" bottom="0.75" header="0.3" footer="0.3"/>
  <x:tableParts count="1">
    <x:tablePart xmlns:r="http://schemas.openxmlformats.org/officeDocument/2006/relationships" r:id="Rcb406a44d4264171"/>
  </x:tableParts>
</x:worksheet>
</file>

<file path=xl/worksheets/sheet12.xml><?xml version="1.0" encoding="utf-8"?>
<x:worksheet xmlns:x="http://schemas.openxmlformats.org/spreadsheetml/2006/main">
  <x:sheetPr>
    <x:tabColor rgb="FF8064A2"/>
  </x:sheetPr>
  <x:sheetViews>
    <x:sheetView showGridLines="0" workbookViewId="0"/>
  </x:sheetViews>
  <x:sheetFormatPr defaultRowHeight="15"/>
  <x:cols>
    <x:col min="1" max="1" width="30" hidden="0" customWidth="1"/>
    <x:col min="2" max="2" width="12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9"/>
      <x:c r="B1" s="9"/>
      <x:c r="C1" s="9"/>
      <x:c r="D1" s="9"/>
      <x:c r="E1" s="9"/>
      <x:c r="F1" s="9"/>
    </x:row>
    <x:row r="2">
      <x:c r="A2" s="24" t="str">
        <x:v>Method, interpretation and limits</x:v>
      </x:c>
      <x:c r="B2" s="10"/>
      <x:c r="C2" s="10"/>
      <x:c r="D2" s="10"/>
      <x:c r="E2" s="10"/>
      <x:c r="F2" s="10"/>
    </x:row>
    <x:row r="3">
      <x:c r="A3" s="9"/>
      <x:c r="B3" s="9"/>
      <x:c r="C3" s="9"/>
      <x:c r="D3" s="9"/>
      <x:c r="E3" s="9"/>
      <x:c r="F3" s="9"/>
    </x:row>
    <x:row r="4">
      <x:c r="A4" s="11"/>
      <x:c r="B4" s="11"/>
      <x:c r="C4" s="11"/>
      <x:c r="D4" s="11"/>
      <x:c r="E4" s="11"/>
      <x:c r="F4" s="11"/>
    </x:row>
    <x:row r="5">
      <x:c r="A5" s="9"/>
      <x:c r="B5" s="9"/>
      <x:c r="C5" s="9"/>
      <x:c r="D5" s="9"/>
      <x:c r="E5" s="9"/>
      <x:c r="F5" s="9"/>
    </x:row>
    <x:row r="6" ht="34" customHeight="1">
      <x:c r="A6" s="28" t="str">
        <x:v>Topic</x:v>
      </x:c>
      <x:c r="B6" s="28" t="str">
        <x:v>Explanation</x:v>
      </x:c>
      <x:c r="C6" s="9"/>
      <x:c r="D6" s="9"/>
      <x:c r="E6" s="9"/>
      <x:c r="F6" s="9"/>
    </x:row>
    <x:row r="7">
      <x:c r="A7" s="9" t="str">
        <x:v>Decision</x:v>
      </x:c>
      <x:c r="B7" s="16" t="str">
        <x:v>SYN-1 replaces pass accumulation with fourteen final chapters governed by five noncompensatory publication gates each.</x:v>
      </x:c>
      <x:c r="C7" s="9"/>
      <x:c r="D7" s="9"/>
      <x:c r="E7" s="9"/>
      <x:c r="F7" s="9"/>
    </x:row>
    <x:row r="8">
      <x:c r="A8" s="9" t="str">
        <x:v>Reader</x:v>
      </x:c>
      <x:c r="B8" s="16" t="str">
        <x:v>Senior national-security, infrastructure, public-health, humanitarian, industrial-policy and science leadership.</x:v>
      </x:c>
      <x:c r="C8" s="9"/>
      <x:c r="D8" s="9"/>
      <x:c r="E8" s="9"/>
      <x:c r="F8" s="9"/>
    </x:row>
    <x:row r="9">
      <x:c r="A9" s="9" t="str">
        <x:v>Completion screen</x:v>
      </x:c>
      <x:c r="B9" s="16" t="str">
        <x:v>Forty-nine of seventy gates close. The resulting 70.0% is an editorial completion screen, not confidence, probability or measured capability.</x:v>
      </x:c>
      <x:c r="C9" s="9"/>
      <x:c r="D9" s="9"/>
      <x:c r="E9" s="9"/>
      <x:c r="F9" s="9"/>
    </x:row>
    <x:row r="10">
      <x:c r="A10" s="9" t="str">
        <x:v>Gate 1</x:v>
      </x:c>
      <x:c r="B10" s="16" t="str">
        <x:v>Requirement: the chapter states a public or strategic question and a falsifiable denominator.</x:v>
      </x:c>
      <x:c r="C10" s="9"/>
      <x:c r="D10" s="9"/>
      <x:c r="E10" s="9"/>
      <x:c r="F10" s="9"/>
    </x:row>
    <x:row r="11">
      <x:c r="A11" s="9" t="str">
        <x:v>Gate 2</x:v>
      </x:c>
      <x:c r="B11" s="16" t="str">
        <x:v>Architecture: the chapter selects a controlling answer and preserves supersession.</x:v>
      </x:c>
      <x:c r="C11" s="9"/>
      <x:c r="D11" s="9"/>
      <x:c r="E11" s="9"/>
      <x:c r="F11" s="9"/>
    </x:row>
    <x:row r="12">
      <x:c r="A12" s="9" t="str">
        <x:v>Gate 3</x:v>
      </x:c>
      <x:c r="B12" s="16" t="str">
        <x:v>Quantification: at least one reconciled quantity retains units, scope and evidence state.</x:v>
      </x:c>
      <x:c r="C12" s="9"/>
      <x:c r="D12" s="9"/>
      <x:c r="E12" s="9"/>
      <x:c r="F12" s="9"/>
    </x:row>
    <x:row r="13">
      <x:c r="A13" s="9" t="str">
        <x:v>Gate 4</x:v>
      </x:c>
      <x:c r="B13" s="16" t="str">
        <x:v>Integration: adjacent institutional, force, technological and fiscal decisions reconcile.</x:v>
      </x:c>
      <x:c r="C13" s="9"/>
      <x:c r="D13" s="9"/>
      <x:c r="E13" s="9"/>
      <x:c r="F13" s="9"/>
    </x:row>
    <x:row r="14">
      <x:c r="A14" s="9" t="str">
        <x:v>Gate 5</x:v>
      </x:c>
      <x:c r="B14" s="16" t="str">
        <x:v>Reader asset: the chapter works without pass chronology or repository archaeology.</x:v>
      </x:c>
      <x:c r="C14" s="9"/>
      <x:c r="D14" s="9"/>
      <x:c r="E14" s="9"/>
      <x:c r="F14" s="9"/>
    </x:row>
    <x:row r="15">
      <x:c r="A15" s="9" t="str">
        <x:v>Ready chapters</x:v>
      </x:c>
      <x:c r="B15" s="16" t="str">
        <x:v>Strategic proposition, public service contract, Department and authorities, and national force composition close all five gates.</x:v>
      </x:c>
      <x:c r="C15" s="9"/>
      <x:c r="D15" s="9"/>
      <x:c r="E15" s="9"/>
      <x:c r="F15" s="9"/>
    </x:row>
    <x:row r="16">
      <x:c r="A16" s="9" t="str">
        <x:v>Primary deficits</x:v>
      </x:c>
      <x:c r="B16" s="16" t="str">
        <x:v>International projection, integrated strategic synthesis and the technical visual atlas carry the largest unclosed burdens.</x:v>
      </x:c>
      <x:c r="C16" s="9"/>
      <x:c r="D16" s="9"/>
      <x:c r="E16" s="9"/>
      <x:c r="F16" s="9"/>
    </x:row>
    <x:row r="17">
      <x:c r="A17" s="9" t="str">
        <x:v>Rendering</x:v>
      </x:c>
      <x:c r="B17" s="16" t="str">
        <x:v>Exterior and vehicle renderings remain held. A visual cannot substitute for an owning requirement, topology, configuration or evidence state.</x:v>
      </x:c>
      <x:c r="C17" s="9"/>
      <x:c r="D17" s="9"/>
      <x:c r="E17" s="9"/>
      <x:c r="F17" s="9"/>
    </x:row>
    <x:row r="18">
      <x:c r="A18" s="9" t="str">
        <x:v>Sources</x:v>
      </x:c>
      <x:c r="B18" s="16" t="str">
        <x:v>All source references are internal repository paths. This pass does not use external sites or add web content.</x:v>
      </x:c>
      <x:c r="C18" s="9"/>
      <x:c r="D18" s="9"/>
      <x:c r="E18" s="9"/>
      <x:c r="F18" s="9"/>
    </x:row>
    <x:row r="19">
      <x:c r="A19" s="9" t="str">
        <x:v>Workbook flow</x:v>
      </x:c>
      <x:c r="B19" s="16" t="str">
        <x:v>Closure Gates feed Chapter Spine and Summary. Audit observes the model and does not feed any publication result.</x:v>
      </x:c>
      <x:c r="C19" s="9"/>
      <x:c r="D19" s="9"/>
      <x:c r="E19" s="9"/>
      <x:c r="F19" s="9"/>
    </x:row>
    <x:row r="20">
      <x:c r="A20" s="9" t="str">
        <x:v>Mutation protocol</x:v>
      </x:c>
      <x:c r="B20" s="16" t="str">
        <x:v>Twenty-four changes were applied one at a time, required to fail the named audit and restored before export.</x:v>
      </x:c>
      <x:c r="C20" s="9"/>
      <x:c r="D20" s="9"/>
      <x:c r="E20" s="9"/>
      <x:c r="F20" s="9"/>
    </x:row>
    <x:row r="21">
      <x:c r="A21" s="9" t="str">
        <x:v>Limit</x:v>
      </x:c>
      <x:c r="B21" s="16" t="str">
        <x:v>This workbook does not certify factual truth, political feasibility, implementation, procurement, readiness or publication release.</x:v>
      </x:c>
      <x:c r="C21" s="9"/>
      <x:c r="D21" s="9"/>
      <x:c r="E21" s="9"/>
      <x:c r="F21" s="9"/>
    </x:row>
  </x:sheetData>
  <x:pageMargins left="0.7" right="0.7" top="0.75" bottom="0.75" header="0.3" footer="0.3"/>
  <x:tableParts count="1">
    <x:tablePart xmlns:r="http://schemas.openxmlformats.org/officeDocument/2006/relationships" r:id="R45208ebb287a49c2"/>
  </x:tableParts>
</x:worksheet>
</file>