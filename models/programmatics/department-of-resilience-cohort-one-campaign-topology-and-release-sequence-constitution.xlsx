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9.xml" ContentType="application/vnd.openxmlformats-officedocument.spreadsheetml.worksheet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worksheets/sheet11.xml" ContentType="application/vnd.openxmlformats-officedocument.spreadsheetml.worksheet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worksheets/sheet15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fe1eced9f47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27de6e4da14ef5"/>
    <x:sheet xmlns:r="http://schemas.openxmlformats.org/officeDocument/2006/relationships" name="Campaign Constitution" sheetId="2" r:id="Rc609c70b83a74117"/>
    <x:sheet xmlns:r="http://schemas.openxmlformats.org/officeDocument/2006/relationships" name="Site Lattice" sheetId="3" r:id="Radf36d5f26a54daf"/>
    <x:sheet xmlns:r="http://schemas.openxmlformats.org/officeDocument/2006/relationships" name="Fixture Lattice" sheetId="4" r:id="R2872057208dc410f"/>
    <x:sheet xmlns:r="http://schemas.openxmlformats.org/officeDocument/2006/relationships" name="Serial Schedule" sheetId="5" r:id="R04e78f36e1df4c40"/>
    <x:sheet xmlns:r="http://schemas.openxmlformats.org/officeDocument/2006/relationships" name="Wave and Window" sheetId="6" r:id="R7fc99adf4db44fd4"/>
    <x:sheet xmlns:r="http://schemas.openxmlformats.org/officeDocument/2006/relationships" name="Capacity and Loss" sheetId="7" r:id="R3a3b6f4a527e472c"/>
    <x:sheet xmlns:r="http://schemas.openxmlformats.org/officeDocument/2006/relationships" name="Workforce" sheetId="8" r:id="R7f0e59101a7a4841"/>
    <x:sheet xmlns:r="http://schemas.openxmlformats.org/officeDocument/2006/relationships" name="Fiscal Draw" sheetId="9" r:id="R50700f38f9cf429b"/>
    <x:sheet xmlns:r="http://schemas.openxmlformats.org/officeDocument/2006/relationships" name="Control Graph" sheetId="10" r:id="R68c4a77207e746d5"/>
    <x:sheet xmlns:r="http://schemas.openxmlformats.org/officeDocument/2006/relationships" name="Nonconversions" sheetId="11" r:id="Rb38f7617e2584c28"/>
    <x:sheet xmlns:r="http://schemas.openxmlformats.org/officeDocument/2006/relationships" name="Inputs" sheetId="12" r:id="R42793d35420c4d06"/>
    <x:sheet xmlns:r="http://schemas.openxmlformats.org/officeDocument/2006/relationships" name="Mutations" sheetId="13" r:id="R295a6df8d5d44b5b"/>
    <x:sheet xmlns:r="http://schemas.openxmlformats.org/officeDocument/2006/relationships" name="Audit" sheetId="14" r:id="R65a725d475874fb2"/>
    <x:sheet xmlns:r="http://schemas.openxmlformats.org/officeDocument/2006/relationships" name="ReadMe" sheetId="15" r:id="Rfbcf1208e92e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0.00"/>
    <x:numFmt numFmtId="201" formatCode="0.00"/>
    <x:numFmt numFmtId="202" formatCode="$#,##0.00"/>
    <x:numFmt numFmtId="203" formatCode="#,##0"/>
    <x:numFmt numFmtId="204" formatCode="0.0%"/>
    <x:numFmt numFmtId="205" formatCode="#,##0.00"/>
  </x:numFmts>
  <x:fonts count="9">
    <x:font>
      <x:sz val="11"/>
      <x:name val="Carlito"/>
    </x:font>
    <x:font>
      <x:b/>
      <x:sz val="15"/>
      <x:color rgb="FF17365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sz val="10"/>
      <x:name val="Arial"/>
    </x:font>
    <x:font>
      <x:b/>
      <x:sz val="10"/>
      <x:color rgb="FF17365D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</x:fills>
  <x:borders count="2">
    <x:border/>
    <x:border>
      <x:bottom style="thin">
        <x:color rgb="FF2F75B5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0" xfId="0" applyNumberFormat="1" applyFont="1" applyFill="1" applyBorder="1"/>
    <x:xf numFmtId="203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4" fontId="4" fillId="0" borderId="0" xfId="0" applyNumberFormat="1" applyFont="1" applyFill="1" applyBorder="1"/>
    <x:xf numFmtId="204" fontId="4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5" fontId="4" fillId="0" borderId="0" xfId="0" applyNumberFormat="1" applyFont="1" applyFill="1" applyBorder="1"/>
    <x:xf numFmtId="205" fontId="4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0" fontId="7" fillId="0" borderId="0" xfId="0" applyNumberFormat="1" applyFont="1" applyFill="1" applyBorder="1" applyAlignment="1">
      <x:alignment vertical="center"/>
    </x:xf>
    <x:xf numFmtId="205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17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d580bc8e849a3" /><Relationship Type="http://schemas.openxmlformats.org/officeDocument/2006/relationships/theme" Target="/xl/theme/theme1.xml" Id="Re40f015c181b4217" /><Relationship Type="http://schemas.openxmlformats.org/officeDocument/2006/relationships/sharedStrings" Target="/xl/sharedStrings.xml" Id="R8510b4a51e094c0c" /><Relationship Type="http://schemas.openxmlformats.org/officeDocument/2006/relationships/worksheet" Target="/xl/worksheets/sheet1.xml" Id="Rc127de6e4da14ef5" /><Relationship Type="http://schemas.openxmlformats.org/officeDocument/2006/relationships/worksheet" Target="/xl/worksheets/sheet2.xml" Id="Rc609c70b83a74117" /><Relationship Type="http://schemas.openxmlformats.org/officeDocument/2006/relationships/worksheet" Target="/xl/worksheets/sheet3.xml" Id="Radf36d5f26a54daf" /><Relationship Type="http://schemas.openxmlformats.org/officeDocument/2006/relationships/worksheet" Target="/xl/worksheets/sheet4.xml" Id="R2872057208dc410f" /><Relationship Type="http://schemas.openxmlformats.org/officeDocument/2006/relationships/worksheet" Target="/xl/worksheets/sheet5.xml" Id="R04e78f36e1df4c40" /><Relationship Type="http://schemas.openxmlformats.org/officeDocument/2006/relationships/worksheet" Target="/xl/worksheets/sheet6.xml" Id="R7fc99adf4db44fd4" /><Relationship Type="http://schemas.openxmlformats.org/officeDocument/2006/relationships/worksheet" Target="/xl/worksheets/sheet7.xml" Id="R3a3b6f4a527e472c" /><Relationship Type="http://schemas.openxmlformats.org/officeDocument/2006/relationships/worksheet" Target="/xl/worksheets/sheet8.xml" Id="R7f0e59101a7a4841" /><Relationship Type="http://schemas.openxmlformats.org/officeDocument/2006/relationships/worksheet" Target="/xl/worksheets/sheet9.xml" Id="R50700f38f9cf429b" /><Relationship Type="http://schemas.openxmlformats.org/officeDocument/2006/relationships/worksheet" Target="/xl/worksheets/sheet10.xml" Id="R68c4a77207e746d5" /><Relationship Type="http://schemas.openxmlformats.org/officeDocument/2006/relationships/worksheet" Target="/xl/worksheets/sheet11.xml" Id="Rb38f7617e2584c28" /><Relationship Type="http://schemas.openxmlformats.org/officeDocument/2006/relationships/worksheet" Target="/xl/worksheets/sheet12.xml" Id="R42793d35420c4d06" /><Relationship Type="http://schemas.openxmlformats.org/officeDocument/2006/relationships/worksheet" Target="/xl/worksheets/sheet13.xml" Id="R295a6df8d5d44b5b" /><Relationship Type="http://schemas.openxmlformats.org/officeDocument/2006/relationships/worksheet" Target="/xl/worksheets/sheet14.xml" Id="R65a725d475874fb2" /><Relationship Type="http://schemas.openxmlformats.org/officeDocument/2006/relationships/worksheet" Target="/xl/worksheets/sheet15.xml" Id="Rfbcf1208e92e4002" /></Relationships>
</file>

<file path=xl/tables/table1.xml><?xml version="1.0" encoding="utf-8"?>
<x:table xmlns:x="http://schemas.openxmlformats.org/spreadsheetml/2006/main" id="2" name="ArchitectureTable" displayName="ArchitectureTable" ref="A6:D11" headerRowCount="1" totalsRowCount="0" totalsRowShown="0">
  <x:tableColumns count="4">
    <x:tableColumn id="1" name="Option"/>
    <x:tableColumn id="2" name="Architecture"/>
    <x:tableColumn id="3" name="Disposition"/>
    <x:tableColumn id="4" name="Controlling reas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ControlArticleTable" displayName="ControlArticleTable" ref="A17:C27" headerRowCount="1" totalsRowCount="0" totalsRowShown="0">
  <x:tableColumns count="3">
    <x:tableColumn id="1" name="Article"/>
    <x:tableColumn id="2" name="Control"/>
    <x:tableColumn id="3" name="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SiteLatticeTable" displayName="SiteLatticeTable" ref="A6:I24" headerRowCount="1" totalsRowCount="0" totalsRowShown="0">
  <x:tableColumns count="9">
    <x:tableColumn id="1" name="Site slot"/>
    <x:tableColumn id="2" name="Form"/>
    <x:tableColumn id="3" name="Triad position"/>
    <x:tableColumn id="4" name="Failure-domain slot"/>
    <x:tableColumn id="5" name="Primary fixtures"/>
    <x:tableColumn id="6" name="Windows per epoch"/>
    <x:tableColumn id="7" name="Dormant transfer bay"/>
    <x:tableColumn id="8" name="Identity state"/>
    <x:tableColumn id="9" name="Control 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FixtureLatticeTable" displayName="FixtureLatticeTable" ref="A6:N54" headerRowCount="1" totalsRowCount="0" totalsRowShown="0">
  <x:tableColumns count="14">
    <x:tableColumn id="1" name="Fixture"/>
    <x:tableColumn id="2" name="Order"/>
    <x:tableColumn id="3" name="Form"/>
    <x:tableColumn id="4" name="Technology"/>
    <x:tableColumn id="5" name="Primary site"/>
    <x:tableColumn id="6" name="Paired fixture"/>
    <x:tableColumn id="7" name="Paired site"/>
    <x:tableColumn id="8" name="Third-site relocation"/>
    <x:tableColumn id="9" name="Title"/>
    <x:tableColumn id="10" name="Scheduled events"/>
    <x:tableColumn id="11" name="Paired sites distinct"/>
    <x:tableColumn id="12" name="Relocation preserves separation"/>
    <x:tableColumn id="13" name="State"/>
    <x:tableColumn id="14" name="Fixture clas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SerialScheduleTable" displayName="SerialScheduleTable" ref="A6:W150" headerRowCount="1" totalsRowCount="0" totalsRowShown="0">
  <x:tableColumns count="23">
    <x:tableColumn id="1" name="Serial"/>
    <x:tableColumn id="2" name="Order"/>
    <x:tableColumn id="3" name="Form"/>
    <x:tableColumn id="4" name="Serial class"/>
    <x:tableColumn id="5" name="Builder root"/>
    <x:tableColumn id="6" name="Role"/>
    <x:tableColumn id="7" name="Acceptance-bearing"/>
    <x:tableColumn id="8" name="Epoch"/>
    <x:tableColumn id="9" name="Build release week"/>
    <x:tableColumn id="10" name="Fixture"/>
    <x:tableColumn id="11" name="Primary site"/>
    <x:tableColumn id="12" name="Paired site"/>
    <x:tableColumn id="13" name="Migration site"/>
    <x:tableColumn id="14" name="Window"/>
    <x:tableColumn id="15" name="Event start week"/>
    <x:tableColumn id="16" name="Event end week"/>
    <x:tableColumn id="17" name="Result visibility"/>
    <x:tableColumn id="18" name="Material title"/>
    <x:tableColumn id="19" name="Event state"/>
    <x:tableColumn id="20" name="Order-epoch key"/>
    <x:tableColumn id="21" name="Order-epoch multiplicity"/>
    <x:tableColumn id="22" name="Site-window multiplicity"/>
    <x:tableColumn id="23" name="Migration-pair viol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WaveBalanceTable" displayName="WaveBalanceTable" ref="A6:U12" headerRowCount="1" totalsRowCount="0" totalsRowShown="0">
  <x:tableColumns count="21">
    <x:tableColumn id="1" name="Epoch"/>
    <x:tableColumn id="2" name="Events"/>
    <x:tableColumn id="3" name="B1"/>
    <x:tableColumn id="4" name="B2"/>
    <x:tableColumn id="5" name="INT"/>
    <x:tableColumn id="6" name="BRK"/>
    <x:tableColumn id="7" name="RCN"/>
    <x:tableColumn id="8" name="B1-INT"/>
    <x:tableColumn id="9" name="B2-INT"/>
    <x:tableColumn id="10" name="B1-BRK"/>
    <x:tableColumn id="11" name="B2-BRK"/>
    <x:tableColumn id="12" name="B1-RCN"/>
    <x:tableColumn id="13" name="B2-RCN"/>
    <x:tableColumn id="14" name="ET"/>
    <x:tableColumn id="15" name="CT"/>
    <x:tableColumn id="16" name="HC"/>
    <x:tableColumn id="17" name="LF"/>
    <x:tableColumn id="18" name="HU"/>
    <x:tableColumn id="19" name="RT"/>
    <x:tableColumn id="20" name="Start week"/>
    <x:tableColumn id="21" name="Next epoch week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WindowLoadTable" displayName="WindowLoadTable" ref="A18:G42" headerRowCount="1" totalsRowCount="0" totalsRowShown="0">
  <x:tableColumns count="7">
    <x:tableColumn id="1" name="Epoch"/>
    <x:tableColumn id="2" name="Window"/>
    <x:tableColumn id="3" name="Events"/>
    <x:tableColumn id="4" name="Concurrent capacity"/>
    <x:tableColumn id="5" name="Spare concurrent slots"/>
    <x:tableColumn id="6" name="Site-collision excess"/>
    <x:tableColumn id="7" name="Start week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NodeLoadTable" displayName="NodeLoadTable" ref="A6:H114" headerRowCount="1" totalsRowCount="0" totalsRowShown="0">
  <x:tableColumns count="8">
    <x:tableColumn id="1" name="Site"/>
    <x:tableColumn id="2" name="Form"/>
    <x:tableColumn id="3" name="Epoch"/>
    <x:tableColumn id="4" name="Scheduled events"/>
    <x:tableColumn id="5" name="Window capacity"/>
    <x:tableColumn id="6" name="Dormant windows"/>
    <x:tableColumn id="7" name="Collision rows"/>
    <x:tableColumn id="8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SiteLossTable" displayName="SiteLossTable" ref="A119:K227" headerRowCount="1" totalsRowCount="0" totalsRowShown="0">
  <x:tableColumns count="11">
    <x:tableColumn id="1" name="Scenario"/>
    <x:tableColumn id="2" name="Form"/>
    <x:tableColumn id="3" name="Epoch"/>
    <x:tableColumn id="4" name="Lost site"/>
    <x:tableColumn id="5" name="Events migrated"/>
    <x:tableColumn id="6" name="Pair violations"/>
    <x:tableColumn id="7" name="N1 post-load"/>
    <x:tableColumn id="8" name="N2 post-load"/>
    <x:tableColumn id="9" name="N3 post-load"/>
    <x:tableColumn id="10" name="Maximum destination load"/>
    <x:tableColumn id="11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WorkforceExposureTable" displayName="WorkforceExposureTable" ref="A6:F11" headerRowCount="1" totalsRowCount="0" totalsRowShown="0">
  <x:tableColumns count="6">
    <x:tableColumn id="1" name="Jurisdiction"/>
    <x:tableColumn id="2" name="Exposure (USD M)"/>
    <x:tableColumn id="3" name="Campaign years"/>
    <x:tableColumn id="4" name="Average direct-position equivalents"/>
    <x:tableColumn id="5" name="Peak direct-position equivalents"/>
    <x:tableColumn id="6" name="Interpreta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DutyCellTable" displayName="DutyCellTable" ref="A17:D23" headerRowCount="1" totalsRowCount="0" totalsRowShown="0">
  <x:tableColumns count="4">
    <x:tableColumn id="1" name="Duty class"/>
    <x:tableColumn id="2" name="Control cells"/>
    <x:tableColumn id="3" name="Separation requirement"/>
    <x:tableColumn id="4" name="Identity st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3" name="FiscalDrawTable" displayName="FiscalDrawTable" ref="A6:O14" headerRowCount="1" totalsRowCount="0" totalsRowShown="0">
  <x:tableColumns count="15">
    <x:tableColumn id="1" name="Phase"/>
    <x:tableColumn id="2" name="Name"/>
    <x:tableColumn id="3" name="Start week"/>
    <x:tableColumn id="4" name="End week"/>
    <x:tableColumn id="5" name="Candidate share"/>
    <x:tableColumn id="6" name="Candidate draw (USD M)"/>
    <x:tableColumn id="7" name="Proving share"/>
    <x:tableColumn id="8" name="Proving draw (USD M)"/>
    <x:tableColumn id="9" name="Metrology share"/>
    <x:tableColumn id="10" name="Metrology draw (USD M)"/>
    <x:tableColumn id="11" name="Regeneration share"/>
    <x:tableColumn id="12" name="Regeneration draw (USD M)"/>
    <x:tableColumn id="13" name="Total draw (USD M)"/>
    <x:tableColumn id="14" name="Cumulative draw (USD M)"/>
    <x:tableColumn id="15" name="Outcome-contingent draw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4" name="ControlGraphTable" displayName="ControlGraphTable" ref="A6:F30" headerRowCount="1" totalsRowCount="0" totalsRowShown="0">
  <x:tableColumns count="6">
    <x:tableColumn id="1" name="Rule"/>
    <x:tableColumn id="2" name="Actor or object"/>
    <x:tableColumn id="3" name="Prohibited common control"/>
    <x:tableColumn id="4" name="Failure mechanism"/>
    <x:tableColumn id="5" name="Disposition"/>
    <x:tableColumn id="6" name="Sta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5" name="NonconversionTable" displayName="NonconversionTable" ref="A6:D24" headerRowCount="1" totalsRowCount="0" totalsRowShown="0">
  <x:tableColumns count="4">
    <x:tableColumn id="1" name="Rule"/>
    <x:tableColumn id="2" name="From state"/>
    <x:tableColumn id="3" name="Cannot become"/>
    <x:tableColumn id="4" name="Reas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" name="InputsTable" displayName="InputsTable" ref="A6:D43" headerRowCount="1" totalsRowCount="0" totalsRowShown="0">
  <x:tableColumns count="4">
    <x:tableColumn id="1" name="Control"/>
    <x:tableColumn id="2" name="Value"/>
    <x:tableColumn id="3" name="Unit"/>
    <x:tableColumn id="4" name="Basi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7" name="MutationTable" displayName="MutationTable" ref="A6:G32" headerRowCount="1" totalsRowCount="0" totalsRowShown="0">
  <x:tableColumns count="7">
    <x:tableColumn id="1" name="Mutation"/>
    <x:tableColumn id="2" name="Input"/>
    <x:tableColumn id="3" name="Target cell"/>
    <x:tableColumn id="4" name="Mutated value"/>
    <x:tableColumn id="5" name="Expected failed audit"/>
    <x:tableColumn id="6" name="Detection"/>
    <x:tableColumn id="7" name="Restora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AuditTable" displayName="AuditTable" ref="A6:F81" headerRowCount="1" totalsRowCount="0" totalsRowShown="0">
  <x:tableColumns count="6">
    <x:tableColumn id="1" name="Audit"/>
    <x:tableColumn id="2" name="Test"/>
    <x:tableColumn id="3" name="Actual"/>
    <x:tableColumn id="4" name="Expected"/>
    <x:tableColumn id="5" name="Tolerance"/>
    <x:tableColumn id="6" name="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ReadMeTable" displayName="ReadMeTable" ref="A6:B27" headerRowCount="1" totalsRowCount="0" totalsRowShown="0">
  <x:tableColumns count="2">
    <x:tableColumn id="1" name="Topic"/>
    <x:tableColumn id="2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c239dce49d4bcc" /><Relationship Type="http://schemas.openxmlformats.org/officeDocument/2006/relationships/table" Target="/xl/tables/table2.xml" Id="R60cf2f884acb46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391c504b5054a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bcfc89387204a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8851345b4af47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5c39cb90e9140ad" /><Relationship Type="http://schemas.openxmlformats.org/officeDocument/2006/relationships/table" Target="/xl/tables/table7.xml" Id="Rba29fed7449544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9bde491a56914450" /><Relationship Type="http://schemas.openxmlformats.org/officeDocument/2006/relationships/table" Target="/xl/tables/table9.xml" Id="R66e065bb09284c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bcbbc2f946364789" /><Relationship Type="http://schemas.openxmlformats.org/officeDocument/2006/relationships/table" Target="/xl/tables/table11.xml" Id="Ra019bcf8980841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2.xml" Id="R1ef033384c6847e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3.xml" Id="Rc907e4201ad740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4.xml" Id="R8bb9e510be5c46d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a09f77952f0046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6.xml" Id="R0f372ebdfa50456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1c7967a6518c45e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8.xml" Id="Rfb28cb0fba66413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22" hidden="0" customWidth="1"/>
    <x:col min="9" max="9" width="82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</x:cols>
  <x:sheetData>
    <x:row r="1">
      <x:c r="A1" s="47"/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</x:row>
    <x:row r="2">
      <x:c r="A2" s="55" t="str">
        <x:v>Cohort-one campaign topology and release sequence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>
      <x:c r="A5" s="48" t="str">
        <x:v>Decision</x:v>
      </x:c>
      <x:c r="B5" s="48" t="str">
        <x:v>CTL-1</x:v>
      </x:c>
      <x:c r="C5" s="48" t="str">
        <x:v>Verdict</x:v>
      </x:c>
      <x:c r="D5" s="48" t="str">
        <x:v>CLOSE</x:v>
      </x:c>
      <x:c r="E5" s="47"/>
      <x:c r="F5" s="47"/>
      <x:c r="G5" s="47"/>
      <x:c r="H5" s="47"/>
      <x:c r="I5" s="47"/>
      <x:c r="J5" s="47"/>
      <x:c r="K5" s="47"/>
      <x:c r="L5" s="47"/>
      <x:c r="M5" s="47"/>
      <x:c r="N5" s="47"/>
    </x:row>
    <x:row r="6">
      <x:c r="A6" s="47"/>
      <x:c r="B6" s="47"/>
      <x:c r="C6" s="47"/>
      <x:c r="D6" s="47"/>
      <x:c r="E6" s="47"/>
      <x:c r="F6" s="47"/>
      <x:c r="G6" s="47"/>
      <x:c r="H6" s="47"/>
      <x:c r="I6" s="47"/>
      <x:c r="J6" s="47"/>
      <x:c r="K6" s="47"/>
      <x:c r="L6" s="47"/>
      <x:c r="M6" s="47"/>
      <x:c r="N6" s="47"/>
    </x:row>
    <x:row r="7">
      <x:c r="A7" s="47"/>
      <x:c r="B7" s="47"/>
      <x:c r="C7" s="47"/>
      <x:c r="D7" s="47"/>
      <x:c r="E7" s="47"/>
      <x:c r="F7" s="47"/>
      <x:c r="G7" s="47"/>
      <x:c r="H7" s="47"/>
      <x:c r="I7" s="47"/>
      <x:c r="J7" s="47"/>
      <x:c r="K7" s="47"/>
      <x:c r="L7" s="47"/>
      <x:c r="M7" s="47"/>
      <x:c r="N7" s="47"/>
    </x:row>
    <x:row r="8">
      <x:c r="A8" s="47" t="str">
        <x:v>Anonymous site slots</x:v>
      </x:c>
      <x:c r="B8" s="47" t="n">
        <x:f>COUNTA('Site Lattice'!A7:A24)</x:f>
        <x:v>18</x:v>
      </x:c>
      <x:c r="C8" s="47"/>
      <x:c r="D8" s="47"/>
      <x:c r="E8" s="47"/>
      <x:c r="F8" s="47"/>
      <x:c r="G8" s="47"/>
      <x:c r="H8" s="50" t="str">
        <x:v>Control judgment</x:v>
      </x:c>
      <x:c r="I8" s="50" t="str"/>
      <x:c r="J8" s="47"/>
      <x:c r="K8" s="47"/>
      <x:c r="L8" s="47"/>
      <x:c r="M8" s="47"/>
      <x:c r="N8" s="47"/>
    </x:row>
    <x:row r="9">
      <x:c r="A9" s="47" t="str">
        <x:v>Public fixture cores</x:v>
      </x:c>
      <x:c r="B9" s="47" t="n">
        <x:f>COUNTA('Fixture Lattice'!A7:A54)</x:f>
        <x:v>48</x:v>
      </x:c>
      <x:c r="C9" s="47"/>
      <x:c r="D9" s="47"/>
      <x:c r="E9" s="47"/>
      <x:c r="F9" s="47"/>
      <x:c r="G9" s="47"/>
      <x:c r="H9" s="47" t="str">
        <x:v>Topology</x:v>
      </x:c>
      <x:c r="I9" s="51" t="str">
        <x:v>six form-native triads; actual sites and operators remain source-empty</x:v>
      </x:c>
      <x:c r="J9" s="47"/>
      <x:c r="K9" s="47"/>
      <x:c r="L9" s="47"/>
      <x:c r="M9" s="47"/>
      <x:c r="N9" s="47"/>
    </x:row>
    <x:row r="10">
      <x:c r="A10" s="47" t="str">
        <x:v>Scheduled serial events</x:v>
      </x:c>
      <x:c r="B10" s="47" t="n">
        <x:f>COUNTA('Serial Schedule'!A7:A150)</x:f>
        <x:v>144</x:v>
      </x:c>
      <x:c r="C10" s="47"/>
      <x:c r="D10" s="47"/>
      <x:c r="E10" s="47"/>
      <x:c r="F10" s="47"/>
      <x:c r="G10" s="47"/>
      <x:c r="H10" s="47" t="str">
        <x:v>Order law</x:v>
      </x:c>
      <x:c r="I10" s="51" t="str">
        <x:v>one event from every order in every epoch</x:v>
      </x:c>
      <x:c r="J10" s="47"/>
      <x:c r="K10" s="47"/>
      <x:c r="L10" s="47"/>
      <x:c r="M10" s="47"/>
      <x:c r="N10" s="47"/>
    </x:row>
    <x:row r="11">
      <x:c r="A11" s="47" t="str">
        <x:v>Event epochs</x:v>
      </x:c>
      <x:c r="B11" s="47" t="n">
        <x:f>COUNTA('Wave and Window'!A7:A12)</x:f>
        <x:v>6</x:v>
      </x:c>
      <x:c r="C11" s="47"/>
      <x:c r="D11" s="47"/>
      <x:c r="E11" s="47"/>
      <x:c r="F11" s="47"/>
      <x:c r="G11" s="47"/>
      <x:c r="H11" s="47" t="str">
        <x:v>Balance</x:v>
      </x:c>
      <x:c r="I11" s="51" t="str">
        <x:v>four of each serial class, twelve per builder, eight per role and four per form in every epoch</x:v>
      </x:c>
      <x:c r="J11" s="47"/>
      <x:c r="K11" s="47"/>
      <x:c r="L11" s="47"/>
      <x:c r="M11" s="47"/>
      <x:c r="N11" s="47"/>
    </x:row>
    <x:row r="12">
      <x:c r="A12" s="47" t="str">
        <x:v>Events per epoch</x:v>
      </x:c>
      <x:c r="B12" s="47" t="n">
        <x:f>MIN('Wave and Window'!B7:B12)</x:f>
        <x:v>24</x:v>
      </x:c>
      <x:c r="C12" s="47"/>
      <x:c r="D12" s="47"/>
      <x:c r="E12" s="47"/>
      <x:c r="F12" s="47"/>
      <x:c r="G12" s="47"/>
      <x:c r="H12" s="47" t="str">
        <x:v>Fixture law</x:v>
      </x:c>
      <x:c r="I12" s="51" t="str">
        <x:v>two public cores per order cross builders and roles; the third node is the migration destination</x:v>
      </x:c>
      <x:c r="J12" s="47"/>
      <x:c r="K12" s="47"/>
      <x:c r="L12" s="47"/>
      <x:c r="M12" s="47"/>
      <x:c r="N12" s="47"/>
    </x:row>
    <x:row r="13">
      <x:c r="A13" s="47" t="str">
        <x:v>Live windows</x:v>
      </x:c>
      <x:c r="B13" s="47" t="n">
        <x:f>COUNTA('Wave and Window'!A19:A42)</x:f>
        <x:v>24</x:v>
      </x:c>
      <x:c r="C13" s="47"/>
      <x:c r="D13" s="47"/>
      <x:c r="E13" s="47"/>
      <x:c r="F13" s="47"/>
      <x:c r="G13" s="47"/>
      <x:c r="H13" s="47" t="str">
        <x:v>Clock</x:v>
      </x:c>
      <x:c r="I13" s="51" t="str">
        <x:v>104-week preactivation, six 32-week epochs and sixteen-week closeout</x:v>
      </x:c>
      <x:c r="J13" s="47"/>
      <x:c r="K13" s="47"/>
      <x:c r="L13" s="47"/>
      <x:c r="M13" s="47"/>
      <x:c r="N13" s="47"/>
    </x:row>
    <x:row r="14">
      <x:c r="A14" s="47" t="str">
        <x:v>Events per live window</x:v>
      </x:c>
      <x:c r="B14" s="47" t="n">
        <x:f>MAX('Wave and Window'!C19:C42)</x:f>
        <x:v>6</x:v>
      </x:c>
      <x:c r="C14" s="47"/>
      <x:c r="D14" s="47"/>
      <x:c r="E14" s="47"/>
      <x:c r="F14" s="47"/>
      <x:c r="G14" s="47"/>
      <x:c r="H14" s="47" t="str">
        <x:v>Reserve</x:v>
      </x:c>
      <x:c r="I14" s="51" t="str">
        <x:v>288 dormant node-windows support holds and migration, never automatic retry</x:v>
      </x:c>
      <x:c r="J14" s="47"/>
      <x:c r="K14" s="47"/>
      <x:c r="L14" s="47"/>
      <x:c r="M14" s="47"/>
      <x:c r="N14" s="47"/>
    </x:row>
    <x:row r="15">
      <x:c r="A15" s="47" t="str">
        <x:v>Dormant node-windows</x:v>
      </x:c>
      <x:c r="B15" s="47" t="n">
        <x:f>SUM('Capacity and Loss'!F7:F114)</x:f>
        <x:v>288</x:v>
      </x:c>
      <x:c r="C15" s="47"/>
      <x:c r="D15" s="47"/>
      <x:c r="E15" s="47"/>
      <x:c r="F15" s="47"/>
      <x:c r="G15" s="47"/>
      <x:c r="H15" s="47" t="str">
        <x:v>Disclosure</x:v>
      </x:c>
      <x:c r="I15" s="51" t="str">
        <x:v>performance remains sealed to campaign close except source-blind safety burdens</x:v>
      </x:c>
      <x:c r="J15" s="47"/>
      <x:c r="K15" s="47"/>
      <x:c r="L15" s="47"/>
      <x:c r="M15" s="47"/>
      <x:c r="N15" s="47"/>
    </x:row>
    <x:row r="16">
      <x:c r="A16" s="47" t="str">
        <x:v>Single-site-loss cases</x:v>
      </x:c>
      <x:c r="B16" s="47" t="n">
        <x:f>COUNTA('Capacity and Loss'!A120:A227)</x:f>
        <x:v>108</x:v>
      </x:c>
      <x:c r="C16" s="47"/>
      <x:c r="D16" s="47"/>
      <x:c r="E16" s="47"/>
      <x:c r="F16" s="47"/>
      <x:c r="G16" s="47"/>
      <x:c r="H16" s="47" t="str">
        <x:v>Finance</x:v>
      </x:c>
      <x:c r="I16" s="51" t="str">
        <x:v>all draw shares freeze before the first event; outcome-contingent draw is zero</x:v>
      </x:c>
      <x:c r="J16" s="47"/>
      <x:c r="K16" s="47"/>
      <x:c r="L16" s="47"/>
      <x:c r="M16" s="47"/>
      <x:c r="N16" s="47"/>
    </x:row>
    <x:row r="17">
      <x:c r="A17" s="47" t="str">
        <x:v>Passing loss cases</x:v>
      </x:c>
      <x:c r="B17" s="47" t="n">
        <x:f>COUNTIFS('Capacity and Loss'!K120:K227,"PASS")</x:f>
        <x:v>108</x:v>
      </x:c>
      <x:c r="C17" s="47"/>
      <x:c r="D17" s="47"/>
      <x:c r="E17" s="47"/>
      <x:c r="F17" s="47"/>
      <x:c r="G17" s="47"/>
      <x:c r="H17" s="47" t="str">
        <x:v>Authority</x:v>
      </x:c>
      <x:c r="I17" s="51" t="str">
        <x:v>no site, title, MAKE, build, event, evidence, result release or rendering is created</x:v>
      </x:c>
      <x:c r="J17" s="47"/>
      <x:c r="K17" s="47"/>
      <x:c r="L17" s="47"/>
      <x:c r="M17" s="47"/>
      <x:c r="N17" s="47"/>
    </x:row>
    <x:row r="18">
      <x:c r="A18" s="47" t="str">
        <x:v>Campaign duration (weeks)</x:v>
      </x:c>
      <x:c r="B18" s="47" t="n">
        <x:f>Inputs!B21+Inputs!B16*(Inputs!B17*Inputs!B19+Inputs!B20)+Inputs!B22</x:f>
        <x:v>312</x:v>
      </x:c>
      <x:c r="C18" s="47"/>
      <x:c r="D18" s="47"/>
      <x:c r="E18" s="47"/>
      <x:c r="F18" s="47"/>
      <x:c r="G18" s="47"/>
      <x:c r="H18" s="47" t="str">
        <x:v>Next burden</x:v>
      </x:c>
      <x:c r="I18" s="51" t="str">
        <x:v>MAKE slate, material title, contracting, payment and build acceptance</x:v>
      </x:c>
      <x:c r="J18" s="47"/>
      <x:c r="K18" s="47"/>
      <x:c r="L18" s="47"/>
      <x:c r="M18" s="47"/>
      <x:c r="N18" s="47"/>
    </x:row>
    <x:row r="19">
      <x:c r="A19" s="47" t="str">
        <x:v>Peak direct-position equivalents</x:v>
      </x:c>
      <x:c r="B19" s="52" t="n">
        <x:f>Workforce!E11</x:f>
        <x:v>8025.641025641025</x:v>
      </x:c>
      <x:c r="C19" s="47"/>
      <x:c r="D19" s="47"/>
      <x:c r="E19" s="47"/>
      <x:c r="F19" s="47"/>
      <x:c r="G19" s="47"/>
      <x:c r="H19" s="47"/>
      <x:c r="I19" s="47"/>
      <x:c r="J19" s="47"/>
      <x:c r="K19" s="47"/>
      <x:c r="L19" s="47"/>
      <x:c r="M19" s="47"/>
      <x:c r="N19" s="47"/>
    </x:row>
    <x:row r="20">
      <x:c r="A20" s="47" t="str">
        <x:v>Planning exposure (USD M)</x:v>
      </x:c>
      <x:c r="B20" s="53" t="n">
        <x:f>'Fiscal Draw'!C23</x:f>
        <x:v>25040</x:v>
      </x:c>
      <x:c r="C20" s="47"/>
      <x:c r="D20" s="47"/>
      <x:c r="E20" s="47"/>
      <x:c r="F20" s="47"/>
      <x:c r="G20" s="47"/>
      <x:c r="H20" s="47"/>
      <x:c r="I20" s="47"/>
      <x:c r="J20" s="47"/>
      <x:c r="K20" s="47"/>
      <x:c r="L20" s="47"/>
      <x:c r="M20" s="47"/>
      <x:c r="N20" s="47"/>
    </x:row>
    <x:row r="21">
      <x:c r="A21" s="47" t="str">
        <x:v>New obligation (USD M)</x:v>
      </x:c>
      <x:c r="B21" s="53" t="n">
        <x:f>0</x:f>
        <x:v>0</x:v>
      </x:c>
      <x:c r="C21" s="47"/>
      <x:c r="D21" s="47"/>
      <x:c r="E21" s="47"/>
      <x:c r="F21" s="47"/>
      <x:c r="G21" s="47"/>
      <x:c r="H21" s="47"/>
      <x:c r="I21" s="47"/>
      <x:c r="J21" s="47"/>
      <x:c r="K21" s="47"/>
      <x:c r="L21" s="47"/>
      <x:c r="M21" s="47"/>
      <x:c r="N21" s="47"/>
    </x:row>
    <x:row r="22">
      <x:c r="A22" s="47" t="str">
        <x:v>Accepted events</x:v>
      </x:c>
      <x:c r="B22" s="47" t="n">
        <x:f>Inputs!B34</x:f>
        <x:v>0</x:v>
      </x:c>
      <x:c r="C22" s="47"/>
      <x:c r="D22" s="47"/>
      <x:c r="E22" s="47"/>
      <x:c r="F22" s="47"/>
      <x:c r="G22" s="47"/>
      <x:c r="H22" s="47"/>
      <x:c r="I22" s="47"/>
      <x:c r="J22" s="47"/>
      <x:c r="K22" s="47"/>
      <x:c r="L22" s="47"/>
      <x:c r="M22" s="47"/>
      <x:c r="N22" s="47"/>
    </x:row>
    <x:row r="23">
      <x:c r="A23" s="47" t="str">
        <x:v>Result releases</x:v>
      </x:c>
      <x:c r="B23" s="47" t="n">
        <x:f>Inputs!B38</x:f>
        <x:v>0</x:v>
      </x:c>
      <x:c r="C23" s="47"/>
      <x:c r="D23" s="47"/>
      <x:c r="E23" s="47"/>
      <x:c r="F23" s="47"/>
      <x:c r="G23" s="47"/>
      <x:c r="H23" s="47"/>
      <x:c r="I23" s="47"/>
      <x:c r="J23" s="47"/>
      <x:c r="K23" s="47"/>
      <x:c r="L23" s="47"/>
      <x:c r="M23" s="47"/>
      <x:c r="N23" s="47"/>
    </x:row>
    <x:row r="24">
      <x:c r="A24" s="47"/>
      <x:c r="B24" s="47"/>
      <x:c r="C24" s="47"/>
      <x:c r="D24" s="47"/>
      <x:c r="E24" s="47"/>
      <x:c r="F24" s="47"/>
      <x:c r="G24" s="47"/>
      <x:c r="H24" s="47"/>
      <x:c r="I24" s="47"/>
      <x:c r="J24" s="47"/>
      <x:c r="K24" s="47"/>
      <x:c r="L24" s="47"/>
      <x:c r="M24" s="47"/>
      <x:c r="N24" s="47"/>
    </x:row>
    <x:row r="25">
      <x:c r="A25" s="47"/>
      <x:c r="B25" s="47"/>
      <x:c r="C25" s="47"/>
      <x:c r="D25" s="47"/>
      <x:c r="E25" s="47"/>
      <x:c r="F25" s="47"/>
      <x:c r="G25" s="47"/>
      <x:c r="H25" s="47"/>
      <x:c r="I25" s="47"/>
      <x:c r="J25" s="47"/>
      <x:c r="K25" s="47"/>
      <x:c r="L25" s="47"/>
      <x:c r="M25" s="47"/>
      <x:c r="N25" s="47"/>
    </x:row>
    <x:row r="26">
      <x:c r="A26" s="47"/>
      <x:c r="B26" s="47"/>
      <x:c r="C26" s="47"/>
      <x:c r="D26" s="47"/>
      <x:c r="E26" s="47"/>
      <x:c r="F26" s="47"/>
      <x:c r="G26" s="47"/>
      <x:c r="H26" s="47"/>
      <x:c r="I26" s="47"/>
      <x:c r="J26" s="47"/>
      <x:c r="K26" s="47"/>
      <x:c r="L26" s="47"/>
      <x:c r="M26" s="47"/>
      <x:c r="N26" s="47"/>
    </x:row>
    <x:row r="27">
      <x:c r="A27" s="54" t="str">
        <x:v>Epoch</x:v>
      </x:c>
      <x:c r="B27" s="54" t="str">
        <x:v>Events</x:v>
      </x:c>
      <x:c r="C27" s="54" t="str">
        <x:v>B1</x:v>
      </x:c>
      <x:c r="D27" s="54" t="str">
        <x:v>B2</x:v>
      </x:c>
      <x:c r="E27" s="54" t="str">
        <x:v>INT</x:v>
      </x:c>
      <x:c r="F27" s="54" t="str">
        <x:v>BRK</x:v>
      </x:c>
      <x:c r="G27" s="54" t="str">
        <x:v>RCN</x:v>
      </x:c>
      <x:c r="H27" s="47"/>
      <x:c r="I27" s="47"/>
      <x:c r="J27" s="47"/>
      <x:c r="K27" s="47"/>
      <x:c r="L27" s="47"/>
      <x:c r="M27" s="47"/>
      <x:c r="N27" s="47"/>
    </x:row>
    <x:row r="28">
      <x:c r="A28" s="47" t="n">
        <x:f>'Wave and Window'!A7</x:f>
        <x:v>1</x:v>
      </x:c>
      <x:c r="B28" s="47" t="n">
        <x:f>'Wave and Window'!B7</x:f>
        <x:v>24</x:v>
      </x:c>
      <x:c r="C28" s="47" t="n">
        <x:f>'Wave and Window'!C7</x:f>
        <x:v>12</x:v>
      </x:c>
      <x:c r="D28" s="47" t="n">
        <x:f>'Wave and Window'!D7</x:f>
        <x:v>12</x:v>
      </x:c>
      <x:c r="E28" s="47" t="n">
        <x:f>'Wave and Window'!E7</x:f>
        <x:v>8</x:v>
      </x:c>
      <x:c r="F28" s="47" t="n">
        <x:f>'Wave and Window'!F7</x:f>
        <x:v>8</x:v>
      </x:c>
      <x:c r="G28" s="47" t="n">
        <x:f>'Wave and Window'!G7</x:f>
        <x:v>8</x:v>
      </x:c>
      <x:c r="H28" s="47"/>
      <x:c r="I28" s="47"/>
      <x:c r="J28" s="47"/>
      <x:c r="K28" s="47"/>
      <x:c r="L28" s="47"/>
      <x:c r="M28" s="47"/>
      <x:c r="N28" s="47"/>
    </x:row>
    <x:row r="29">
      <x:c r="A29" s="47" t="n">
        <x:f>'Wave and Window'!A8</x:f>
        <x:v>2</x:v>
      </x:c>
      <x:c r="B29" s="47" t="n">
        <x:f>'Wave and Window'!B8</x:f>
        <x:v>24</x:v>
      </x:c>
      <x:c r="C29" s="47" t="n">
        <x:f>'Wave and Window'!C8</x:f>
        <x:v>12</x:v>
      </x:c>
      <x:c r="D29" s="47" t="n">
        <x:f>'Wave and Window'!D8</x:f>
        <x:v>12</x:v>
      </x:c>
      <x:c r="E29" s="47" t="n">
        <x:f>'Wave and Window'!E8</x:f>
        <x:v>8</x:v>
      </x:c>
      <x:c r="F29" s="47" t="n">
        <x:f>'Wave and Window'!F8</x:f>
        <x:v>8</x:v>
      </x:c>
      <x:c r="G29" s="47" t="n">
        <x:f>'Wave and Window'!G8</x:f>
        <x:v>8</x:v>
      </x:c>
      <x:c r="H29" s="47"/>
      <x:c r="I29" s="47"/>
      <x:c r="J29" s="47"/>
      <x:c r="K29" s="47"/>
      <x:c r="L29" s="47"/>
      <x:c r="M29" s="47"/>
      <x:c r="N29" s="47"/>
    </x:row>
    <x:row r="30">
      <x:c r="A30" s="47" t="n">
        <x:f>'Wave and Window'!A9</x:f>
        <x:v>3</x:v>
      </x:c>
      <x:c r="B30" s="47" t="n">
        <x:f>'Wave and Window'!B9</x:f>
        <x:v>24</x:v>
      </x:c>
      <x:c r="C30" s="47" t="n">
        <x:f>'Wave and Window'!C9</x:f>
        <x:v>12</x:v>
      </x:c>
      <x:c r="D30" s="47" t="n">
        <x:f>'Wave and Window'!D9</x:f>
        <x:v>12</x:v>
      </x:c>
      <x:c r="E30" s="47" t="n">
        <x:f>'Wave and Window'!E9</x:f>
        <x:v>8</x:v>
      </x:c>
      <x:c r="F30" s="47" t="n">
        <x:f>'Wave and Window'!F9</x:f>
        <x:v>8</x:v>
      </x:c>
      <x:c r="G30" s="47" t="n">
        <x:f>'Wave and Window'!G9</x:f>
        <x:v>8</x:v>
      </x:c>
      <x:c r="H30" s="47"/>
      <x:c r="I30" s="47"/>
      <x:c r="J30" s="47"/>
      <x:c r="K30" s="47"/>
      <x:c r="L30" s="47"/>
      <x:c r="M30" s="47"/>
      <x:c r="N30" s="47"/>
    </x:row>
    <x:row r="31">
      <x:c r="A31" s="47" t="n">
        <x:f>'Wave and Window'!A10</x:f>
        <x:v>4</x:v>
      </x:c>
      <x:c r="B31" s="47" t="n">
        <x:f>'Wave and Window'!B10</x:f>
        <x:v>24</x:v>
      </x:c>
      <x:c r="C31" s="47" t="n">
        <x:f>'Wave and Window'!C10</x:f>
        <x:v>12</x:v>
      </x:c>
      <x:c r="D31" s="47" t="n">
        <x:f>'Wave and Window'!D10</x:f>
        <x:v>12</x:v>
      </x:c>
      <x:c r="E31" s="47" t="n">
        <x:f>'Wave and Window'!E10</x:f>
        <x:v>8</x:v>
      </x:c>
      <x:c r="F31" s="47" t="n">
        <x:f>'Wave and Window'!F10</x:f>
        <x:v>8</x:v>
      </x:c>
      <x:c r="G31" s="47" t="n">
        <x:f>'Wave and Window'!G10</x:f>
        <x:v>8</x:v>
      </x:c>
      <x:c r="H31" s="47"/>
      <x:c r="I31" s="47"/>
      <x:c r="J31" s="47"/>
      <x:c r="K31" s="47"/>
      <x:c r="L31" s="47"/>
      <x:c r="M31" s="47"/>
      <x:c r="N31" s="47"/>
    </x:row>
    <x:row r="32">
      <x:c r="A32" s="47" t="n">
        <x:f>'Wave and Window'!A11</x:f>
        <x:v>5</x:v>
      </x:c>
      <x:c r="B32" s="47" t="n">
        <x:f>'Wave and Window'!B11</x:f>
        <x:v>24</x:v>
      </x:c>
      <x:c r="C32" s="47" t="n">
        <x:f>'Wave and Window'!C11</x:f>
        <x:v>12</x:v>
      </x:c>
      <x:c r="D32" s="47" t="n">
        <x:f>'Wave and Window'!D11</x:f>
        <x:v>12</x:v>
      </x:c>
      <x:c r="E32" s="47" t="n">
        <x:f>'Wave and Window'!E11</x:f>
        <x:v>8</x:v>
      </x:c>
      <x:c r="F32" s="47" t="n">
        <x:f>'Wave and Window'!F11</x:f>
        <x:v>8</x:v>
      </x:c>
      <x:c r="G32" s="47" t="n">
        <x:f>'Wave and Window'!G11</x:f>
        <x:v>8</x:v>
      </x:c>
      <x:c r="H32" s="47"/>
      <x:c r="I32" s="47"/>
      <x:c r="J32" s="47"/>
      <x:c r="K32" s="47"/>
      <x:c r="L32" s="47"/>
      <x:c r="M32" s="47"/>
      <x:c r="N32" s="47"/>
    </x:row>
    <x:row r="33">
      <x:c r="A33" s="47" t="n">
        <x:f>'Wave and Window'!A12</x:f>
        <x:v>6</x:v>
      </x:c>
      <x:c r="B33" s="47" t="n">
        <x:f>'Wave and Window'!B12</x:f>
        <x:v>24</x:v>
      </x:c>
      <x:c r="C33" s="47" t="n">
        <x:f>'Wave and Window'!C12</x:f>
        <x:v>12</x:v>
      </x:c>
      <x:c r="D33" s="47" t="n">
        <x:f>'Wave and Window'!D12</x:f>
        <x:v>12</x:v>
      </x:c>
      <x:c r="E33" s="47" t="n">
        <x:f>'Wave and Window'!E12</x:f>
        <x:v>8</x:v>
      </x:c>
      <x:c r="F33" s="47" t="n">
        <x:f>'Wave and Window'!F12</x:f>
        <x:v>8</x:v>
      </x:c>
      <x:c r="G33" s="47" t="n">
        <x:f>'Wave and Window'!G12</x:f>
        <x:v>8</x:v>
      </x:c>
      <x:c r="H33" s="47"/>
      <x:c r="I33" s="47"/>
      <x:c r="J33" s="47"/>
      <x:c r="K33" s="47"/>
      <x:c r="L33" s="47"/>
      <x:c r="M33" s="47"/>
      <x:c r="N33" s="4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0" hidden="0" customWidth="1"/>
    <x:col min="3" max="3" width="26" hidden="0" customWidth="1"/>
    <x:col min="4" max="4" width="78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47"/>
      <x:c r="B1" s="47"/>
      <x:c r="C1" s="47"/>
      <x:c r="D1" s="47"/>
      <x:c r="E1" s="47"/>
      <x:c r="F1" s="47"/>
      <x:c r="G1" s="47"/>
      <x:c r="H1" s="47"/>
    </x:row>
    <x:row r="2">
      <x:c r="A2" s="55" t="str">
        <x:v>Six-by-three campaign topology and release constitution</x:v>
      </x:c>
      <x:c r="B2" s="47"/>
      <x:c r="C2" s="47"/>
      <x:c r="D2" s="47"/>
      <x:c r="E2" s="47"/>
      <x:c r="F2" s="47"/>
      <x:c r="G2" s="47"/>
      <x:c r="H2" s="47"/>
    </x:row>
    <x:row r="3">
      <x:c r="A3" s="49"/>
      <x:c r="B3" s="49"/>
      <x:c r="C3" s="49"/>
      <x:c r="D3" s="49"/>
      <x:c r="E3" s="49"/>
      <x:c r="F3" s="49"/>
      <x:c r="G3" s="49"/>
      <x:c r="H3" s="49"/>
    </x:row>
    <x:row r="4">
      <x:c r="A4" s="47"/>
      <x:c r="B4" s="47"/>
      <x:c r="C4" s="47"/>
      <x:c r="D4" s="47"/>
      <x:c r="E4" s="47"/>
      <x:c r="F4" s="47"/>
      <x:c r="G4" s="47"/>
      <x:c r="H4" s="47"/>
    </x:row>
    <x:row r="5">
      <x:c r="A5" s="47"/>
      <x:c r="B5" s="47"/>
      <x:c r="C5" s="47"/>
      <x:c r="D5" s="47"/>
      <x:c r="E5" s="47"/>
      <x:c r="F5" s="47"/>
      <x:c r="G5" s="47"/>
      <x:c r="H5" s="47"/>
    </x:row>
    <x:row r="6" ht="34" customHeight="1">
      <x:c r="A6" s="15" t="str">
        <x:v>Option</x:v>
      </x:c>
      <x:c r="B6" s="15" t="str">
        <x:v>Architecture</x:v>
      </x:c>
      <x:c r="C6" s="15" t="str">
        <x:v>Disposition</x:v>
      </x:c>
      <x:c r="D6" s="15" t="str">
        <x:v>Controlling reason</x:v>
      </x:c>
      <x:c r="E6" s="47"/>
      <x:c r="F6" s="47"/>
      <x:c r="G6" s="47"/>
      <x:c r="H6" s="47"/>
    </x:row>
    <x:row r="7">
      <x:c r="A7" s="47" t="str">
        <x:v>A</x:v>
      </x:c>
      <x:c r="B7" s="51" t="str">
        <x:v>One national proving campus</x:v>
      </x:c>
      <x:c r="C7" s="51" t="str">
        <x:v>Fails</x:v>
      </x:c>
      <x:c r="D7" s="51" t="str">
        <x:v>site, clock, safety, metrology and schedule become one common cause</x:v>
      </x:c>
      <x:c r="E7" s="47"/>
      <x:c r="F7" s="47"/>
      <x:c r="G7" s="47"/>
      <x:c r="H7" s="47"/>
    </x:row>
    <x:row r="8">
      <x:c r="A8" s="47" t="str">
        <x:v>B</x:v>
      </x:c>
      <x:c r="B8" s="51" t="str">
        <x:v>Six form-owned campuses</x:v>
      </x:c>
      <x:c r="C8" s="51" t="str">
        <x:v>Fails</x:v>
      </x:c>
      <x:c r="D8" s="51" t="str">
        <x:v>one site still controls all four orders and both builders within a form</x:v>
      </x:c>
      <x:c r="E8" s="47"/>
      <x:c r="F8" s="47"/>
      <x:c r="G8" s="47"/>
      <x:c r="H8" s="47"/>
    </x:row>
    <x:row r="9">
      <x:c r="A9" s="47" t="str">
        <x:v>C</x:v>
      </x:c>
      <x:c r="B9" s="51" t="str">
        <x:v>Forty-eight fixture-specific sites</x:v>
      </x:c>
      <x:c r="C9" s="51" t="str">
        <x:v>Fails</x:v>
      </x:c>
      <x:c r="D9" s="51" t="str">
        <x:v>avoids site sharing but destroys migration, workforce and public comparison capacity</x:v>
      </x:c>
      <x:c r="E9" s="47"/>
      <x:c r="F9" s="47"/>
      <x:c r="G9" s="47"/>
      <x:c r="H9" s="47"/>
    </x:row>
    <x:row r="10">
      <x:c r="A10" s="47" t="str">
        <x:v>D</x:v>
      </x:c>
      <x:c r="B10" s="51" t="str">
        <x:v>Eighteen-node federated lattice</x:v>
      </x:c>
      <x:c r="C10" s="51" t="str">
        <x:v>Selected</x:v>
      </x:c>
      <x:c r="D10" s="51" t="str">
        <x:v>three sites per form, two fixtures per order, third-site migration and balanced crossover</x:v>
      </x:c>
      <x:c r="E10" s="47"/>
      <x:c r="F10" s="47"/>
      <x:c r="G10" s="47"/>
      <x:c r="H10" s="47"/>
    </x:row>
    <x:row r="11">
      <x:c r="A11" s="47" t="str">
        <x:v>E</x:v>
      </x:c>
      <x:c r="B11" s="51" t="str">
        <x:v>Contractor-hosted rotating ranges</x:v>
      </x:c>
      <x:c r="C11" s="51" t="str">
        <x:v>Fails</x:v>
      </x:c>
      <x:c r="D11" s="51" t="str">
        <x:v>candidate custody and host availability contaminate fixture and calendar effects</x:v>
      </x:c>
      <x:c r="E11" s="47"/>
      <x:c r="F11" s="47"/>
      <x:c r="G11" s="47"/>
      <x:c r="H11" s="47"/>
    </x:row>
    <x:row r="12">
      <x:c r="A12" s="47"/>
      <x:c r="B12" s="47"/>
      <x:c r="C12" s="47"/>
      <x:c r="D12" s="47"/>
      <x:c r="E12" s="47"/>
      <x:c r="F12" s="47"/>
      <x:c r="G12" s="47"/>
      <x:c r="H12" s="47"/>
    </x:row>
    <x:row r="13">
      <x:c r="A13" s="47"/>
      <x:c r="B13" s="47"/>
      <x:c r="C13" s="47"/>
      <x:c r="D13" s="47"/>
      <x:c r="E13" s="47"/>
      <x:c r="F13" s="47"/>
      <x:c r="G13" s="47"/>
      <x:c r="H13" s="47"/>
    </x:row>
    <x:row r="14">
      <x:c r="A14" s="47"/>
      <x:c r="B14" s="47"/>
      <x:c r="C14" s="47"/>
      <x:c r="D14" s="47"/>
      <x:c r="E14" s="47"/>
      <x:c r="F14" s="47"/>
      <x:c r="G14" s="47"/>
      <x:c r="H14" s="47"/>
    </x:row>
    <x:row r="15">
      <x:c r="A15" s="48" t="str">
        <x:v>Control articles</x:v>
      </x:c>
      <x:c r="B15" s="47"/>
      <x:c r="C15" s="47"/>
      <x:c r="D15" s="47"/>
      <x:c r="E15" s="47"/>
      <x:c r="F15" s="47"/>
      <x:c r="G15" s="47"/>
      <x:c r="H15" s="47"/>
    </x:row>
    <x:row r="16">
      <x:c r="A16" s="47"/>
      <x:c r="B16" s="47"/>
      <x:c r="C16" s="47"/>
      <x:c r="D16" s="47"/>
      <x:c r="E16" s="47"/>
      <x:c r="F16" s="47"/>
      <x:c r="G16" s="47"/>
      <x:c r="H16" s="47"/>
    </x:row>
    <x:row r="17" ht="34" customHeight="1">
      <x:c r="A17" s="15" t="str">
        <x:v>Article</x:v>
      </x:c>
      <x:c r="B17" s="15" t="str">
        <x:v>Control</x:v>
      </x:c>
      <x:c r="C17" s="15" t="str">
        <x:v>Rule</x:v>
      </x:c>
      <x:c r="D17" s="47"/>
      <x:c r="E17" s="47"/>
      <x:c r="F17" s="47"/>
      <x:c r="G17" s="47"/>
      <x:c r="H17" s="47"/>
    </x:row>
    <x:row r="18">
      <x:c r="A18" s="47" t="str">
        <x:v>C01</x:v>
      </x:c>
      <x:c r="B18" s="51" t="str">
        <x:v>Anonymous site lattice</x:v>
      </x:c>
      <x:c r="C18" s="51" t="str">
        <x:v>six form-native triads; actual geography remains source-empty</x:v>
      </x:c>
      <x:c r="D18" s="47"/>
      <x:c r="E18" s="47"/>
      <x:c r="F18" s="47"/>
      <x:c r="G18" s="47"/>
      <x:c r="H18" s="47"/>
    </x:row>
    <x:row r="19">
      <x:c r="A19" s="47" t="str">
        <x:v>C02</x:v>
      </x:c>
      <x:c r="B19" s="51" t="str">
        <x:v>Fixture crossover</x:v>
      </x:c>
      <x:c r="C19" s="51" t="str">
        <x:v>each role splits B1 and B2 across unlike public fixtures; each builder uses both fixtures</x:v>
      </x:c>
      <x:c r="D19" s="47"/>
      <x:c r="E19" s="47"/>
      <x:c r="F19" s="47"/>
      <x:c r="G19" s="47"/>
      <x:c r="H19" s="47"/>
    </x:row>
    <x:row r="20">
      <x:c r="A20" s="47" t="str">
        <x:v>C03</x:v>
      </x:c>
      <x:c r="B20" s="51" t="str">
        <x:v>Latin-square epoch</x:v>
      </x:c>
      <x:c r="C20" s="51" t="str">
        <x:v>each epoch carries four of every serial class, twelve articles per builder and eight per role</x:v>
      </x:c>
      <x:c r="D20" s="47"/>
      <x:c r="E20" s="47"/>
      <x:c r="F20" s="47"/>
      <x:c r="G20" s="47"/>
      <x:c r="H20" s="47"/>
    </x:row>
    <x:row r="21">
      <x:c r="A21" s="47" t="str">
        <x:v>C04</x:v>
      </x:c>
      <x:c r="B21" s="51" t="str">
        <x:v>One order per epoch</x:v>
      </x:c>
      <x:c r="C21" s="51" t="str">
        <x:v>every technology order contributes exactly one event to each of six epochs</x:v>
      </x:c>
      <x:c r="D21" s="47"/>
      <x:c r="E21" s="47"/>
      <x:c r="F21" s="47"/>
      <x:c r="G21" s="47"/>
      <x:c r="H21" s="47"/>
    </x:row>
    <x:row r="22">
      <x:c r="A22" s="47" t="str">
        <x:v>C05</x:v>
      </x:c>
      <x:c r="B22" s="51" t="str">
        <x:v>Window isolation</x:v>
      </x:c>
      <x:c r="C22" s="51" t="str">
        <x:v>six simultaneous events occupy six different sites; no site runs two live events in one window</x:v>
      </x:c>
      <x:c r="D22" s="47"/>
      <x:c r="E22" s="47"/>
      <x:c r="F22" s="47"/>
      <x:c r="G22" s="47"/>
      <x:c r="H22" s="47"/>
    </x:row>
    <x:row r="23">
      <x:c r="A23" s="47" t="str">
        <x:v>C06</x:v>
      </x:c>
      <x:c r="B23" s="51" t="str">
        <x:v>Third-site migration</x:v>
      </x:c>
      <x:c r="C23" s="51" t="str">
        <x:v>a lost fixture moves only to the node not holding its paired fixture</x:v>
      </x:c>
      <x:c r="D23" s="47"/>
      <x:c r="E23" s="47"/>
      <x:c r="F23" s="47"/>
      <x:c r="G23" s="47"/>
      <x:c r="H23" s="47"/>
    </x:row>
    <x:row r="24">
      <x:c r="A24" s="47" t="str">
        <x:v>C07</x:v>
      </x:c>
      <x:c r="B24" s="51" t="str">
        <x:v>Outcome embargo</x:v>
      </x:c>
      <x:c r="C24" s="51" t="str">
        <x:v>performance remains sealed through campaign close; source-blind safety warrants may act</x:v>
      </x:c>
      <x:c r="D24" s="47"/>
      <x:c r="E24" s="47"/>
      <x:c r="F24" s="47"/>
      <x:c r="G24" s="47"/>
      <x:c r="H24" s="47"/>
    </x:row>
    <x:row r="25">
      <x:c r="A25" s="47" t="str">
        <x:v>C08</x:v>
      </x:c>
      <x:c r="B25" s="51" t="str">
        <x:v>Predetermined finance</x:v>
      </x:c>
      <x:c r="C25" s="51" t="str">
        <x:v>all phase shares and serial starts freeze before the first event; outcome-contingent draw is zero</x:v>
      </x:c>
      <x:c r="D25" s="47"/>
      <x:c r="E25" s="47"/>
      <x:c r="F25" s="47"/>
      <x:c r="G25" s="47"/>
      <x:c r="H25" s="47"/>
    </x:row>
    <x:row r="26">
      <x:c r="A26" s="47" t="str">
        <x:v>C09</x:v>
      </x:c>
      <x:c r="B26" s="51" t="str">
        <x:v>Adverse-result finality</x:v>
      </x:c>
      <x:c r="C26" s="51" t="str">
        <x:v>a valid adverse event is not retried; invalidity and replacement retain the original record</x:v>
      </x:c>
      <x:c r="D26" s="47"/>
      <x:c r="E26" s="47"/>
      <x:c r="F26" s="47"/>
      <x:c r="G26" s="47"/>
      <x:c r="H26" s="47"/>
    </x:row>
    <x:row r="27">
      <x:c r="A27" s="47" t="str">
        <x:v>C10</x:v>
      </x:c>
      <x:c r="B27" s="51" t="str">
        <x:v>Authority boundary</x:v>
      </x:c>
      <x:c r="C27" s="51" t="str">
        <x:v>topology creates no site, title, MAKE, build, event, evidence, result release or rendering</x:v>
      </x:c>
      <x:c r="D27" s="47"/>
      <x:c r="E27" s="47"/>
      <x:c r="F27" s="47"/>
      <x:c r="G27" s="47"/>
      <x:c r="H27" s="47"/>
    </x:row>
  </x:sheetData>
  <x:conditionalFormatting sqref="C7:C11">
    <x:cfRule type="containsText" dxfId="0" priority="1" operator="containsText" text="HOLD"/>
    <x:cfRule type="containsText" dxfId="1" priority="2" operator="containsText" text="OPEN"/>
    <x:cfRule type="containsText" dxfId="2" priority="3" operator="containsText" text="UNBUILT"/>
    <x:cfRule type="containsText" dxfId="3" priority="4" operator="containsText" text="UNLOCATED"/>
    <x:cfRule type="containsText" dxfId="4" priority="5" operator="containsText" text="IDENTITY EMPTY"/>
    <x:cfRule type="containsText" dxfId="5" priority="6" operator="containsText" text="UNINSTALLED"/>
    <x:cfRule type="containsText" dxfId="6" priority="7" operator="containsText" text="FAIL"/>
    <x:cfRule type="containsText" dxfId="7" priority="8" operator="containsText" text="TERMINATE"/>
    <x:cfRule type="containsText" dxfId="8" priority="9" operator="containsText" text="VIOLATION"/>
  </x:conditionalFormatting>
  <x:pageMargins left="0.7" right="0.7" top="0.75" bottom="0.75" header="0.3" footer="0.3"/>
  <x:tableParts count="2">
    <x:tablePart xmlns:r="http://schemas.openxmlformats.org/officeDocument/2006/relationships" r:id="R13c239dce49d4bcc"/>
    <x:tablePart xmlns:r="http://schemas.openxmlformats.org/officeDocument/2006/relationships" r:id="R60cf2f884acb460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13" hidden="0" customWidth="1"/>
    <x:col min="3" max="3" width="16" hidden="0" customWidth="1"/>
    <x:col min="4" max="4" width="22" hidden="0" customWidth="1"/>
    <x:col min="5" max="5" width="17" hidden="0" customWidth="1"/>
    <x:col min="6" max="6" width="18" hidden="0" customWidth="1"/>
    <x:col min="7" max="7" width="22" hidden="0" customWidth="1"/>
    <x:col min="8" max="8" width="24" hidden="0" customWidth="1"/>
    <x:col min="9" max="9" width="30" hidden="0" customWidth="1"/>
  </x:cols>
  <x:sheetData>
    <x:row r="1">
      <x:c r="A1" s="47"/>
      <x:c r="B1" s="47"/>
      <x:c r="C1" s="47"/>
      <x:c r="D1" s="47"/>
      <x:c r="E1" s="47"/>
      <x:c r="F1" s="47"/>
      <x:c r="G1" s="47"/>
      <x:c r="H1" s="47"/>
      <x:c r="I1" s="47"/>
    </x:row>
    <x:row r="2">
      <x:c r="A2" s="55" t="str">
        <x:v>Eighteen anonymous proving-site slots</x:v>
      </x:c>
      <x:c r="B2" s="47"/>
      <x:c r="C2" s="47"/>
      <x:c r="D2" s="47"/>
      <x:c r="E2" s="47"/>
      <x:c r="F2" s="47"/>
      <x:c r="G2" s="47"/>
      <x:c r="H2" s="47"/>
      <x:c r="I2" s="47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</x:row>
    <x:row r="6" ht="34" customHeight="1">
      <x:c r="A6" s="15" t="str">
        <x:v>Site slot</x:v>
      </x:c>
      <x:c r="B6" s="15" t="str">
        <x:v>Form</x:v>
      </x:c>
      <x:c r="C6" s="15" t="str">
        <x:v>Triad position</x:v>
      </x:c>
      <x:c r="D6" s="15" t="str">
        <x:v>Failure-domain slot</x:v>
      </x:c>
      <x:c r="E6" s="15" t="str">
        <x:v>Primary fixtures</x:v>
      </x:c>
      <x:c r="F6" s="15" t="str">
        <x:v>Windows per epoch</x:v>
      </x:c>
      <x:c r="G6" s="15" t="str">
        <x:v>Dormant transfer bay</x:v>
      </x:c>
      <x:c r="H6" s="15" t="str">
        <x:v>Identity state</x:v>
      </x:c>
      <x:c r="I6" s="15" t="str">
        <x:v>Control state</x:v>
      </x:c>
    </x:row>
    <x:row r="7">
      <x:c r="A7" s="47" t="str">
        <x:v>ET-A-A-N1</x:v>
      </x:c>
      <x:c r="B7" s="47" t="str">
        <x:v>ET-A-A</x:v>
      </x:c>
      <x:c r="C7" s="47" t="str">
        <x:v>N1</x:v>
      </x:c>
      <x:c r="D7" s="47" t="str">
        <x:v>ET-A-A-FD1</x:v>
      </x:c>
      <x:c r="E7" s="47" t="n">
        <x:f>COUNTIFS('Fixture Lattice'!$E$7:$E$54,A7)</x:f>
        <x:v>3</x:v>
      </x:c>
      <x:c r="F7" s="47" t="n">
        <x:v>4</x:v>
      </x:c>
      <x:c r="G7" s="47" t="n">
        <x:v>1</x:v>
      </x:c>
      <x:c r="H7" s="47" t="str">
        <x:v>SLOT / UNLOCATED</x:v>
      </x:c>
      <x:c r="I7" s="47" t="str">
        <x:v>SEPARATE CONTROL REQUIRED</x:v>
      </x:c>
    </x:row>
    <x:row r="8">
      <x:c r="A8" s="47" t="str">
        <x:v>ET-A-A-N2</x:v>
      </x:c>
      <x:c r="B8" s="47" t="str">
        <x:v>ET-A-A</x:v>
      </x:c>
      <x:c r="C8" s="47" t="str">
        <x:v>N2</x:v>
      </x:c>
      <x:c r="D8" s="47" t="str">
        <x:v>ET-A-A-FD2</x:v>
      </x:c>
      <x:c r="E8" s="47" t="n">
        <x:f>COUNTIFS('Fixture Lattice'!$E$7:$E$54,A8)</x:f>
        <x:v>3</x:v>
      </x:c>
      <x:c r="F8" s="47" t="n">
        <x:v>4</x:v>
      </x:c>
      <x:c r="G8" s="47" t="n">
        <x:v>1</x:v>
      </x:c>
      <x:c r="H8" s="47" t="str">
        <x:v>SLOT / UNLOCATED</x:v>
      </x:c>
      <x:c r="I8" s="47" t="str">
        <x:v>SEPARATE CONTROL REQUIRED</x:v>
      </x:c>
    </x:row>
    <x:row r="9">
      <x:c r="A9" s="47" t="str">
        <x:v>ET-A-A-N3</x:v>
      </x:c>
      <x:c r="B9" s="47" t="str">
        <x:v>ET-A-A</x:v>
      </x:c>
      <x:c r="C9" s="47" t="str">
        <x:v>N3</x:v>
      </x:c>
      <x:c r="D9" s="47" t="str">
        <x:v>ET-A-A-FD3</x:v>
      </x:c>
      <x:c r="E9" s="47" t="n">
        <x:f>COUNTIFS('Fixture Lattice'!$E$7:$E$54,A9)</x:f>
        <x:v>2</x:v>
      </x:c>
      <x:c r="F9" s="47" t="n">
        <x:v>4</x:v>
      </x:c>
      <x:c r="G9" s="47" t="n">
        <x:v>1</x:v>
      </x:c>
      <x:c r="H9" s="47" t="str">
        <x:v>SLOT / UNLOCATED</x:v>
      </x:c>
      <x:c r="I9" s="47" t="str">
        <x:v>SEPARATE CONTROL REQUIRED</x:v>
      </x:c>
    </x:row>
    <x:row r="10">
      <x:c r="A10" s="47" t="str">
        <x:v>CT-C-B-N1</x:v>
      </x:c>
      <x:c r="B10" s="47" t="str">
        <x:v>CT-C-B</x:v>
      </x:c>
      <x:c r="C10" s="47" t="str">
        <x:v>N1</x:v>
      </x:c>
      <x:c r="D10" s="47" t="str">
        <x:v>CT-C-B-FD1</x:v>
      </x:c>
      <x:c r="E10" s="47" t="n">
        <x:f>COUNTIFS('Fixture Lattice'!$E$7:$E$54,A10)</x:f>
        <x:v>3</x:v>
      </x:c>
      <x:c r="F10" s="47" t="n">
        <x:v>4</x:v>
      </x:c>
      <x:c r="G10" s="47" t="n">
        <x:v>1</x:v>
      </x:c>
      <x:c r="H10" s="47" t="str">
        <x:v>SLOT / UNLOCATED</x:v>
      </x:c>
      <x:c r="I10" s="47" t="str">
        <x:v>SEPARATE CONTROL REQUIRED</x:v>
      </x:c>
    </x:row>
    <x:row r="11">
      <x:c r="A11" s="47" t="str">
        <x:v>CT-C-B-N2</x:v>
      </x:c>
      <x:c r="B11" s="47" t="str">
        <x:v>CT-C-B</x:v>
      </x:c>
      <x:c r="C11" s="47" t="str">
        <x:v>N2</x:v>
      </x:c>
      <x:c r="D11" s="47" t="str">
        <x:v>CT-C-B-FD2</x:v>
      </x:c>
      <x:c r="E11" s="47" t="n">
        <x:f>COUNTIFS('Fixture Lattice'!$E$7:$E$54,A11)</x:f>
        <x:v>3</x:v>
      </x:c>
      <x:c r="F11" s="47" t="n">
        <x:v>4</x:v>
      </x:c>
      <x:c r="G11" s="47" t="n">
        <x:v>1</x:v>
      </x:c>
      <x:c r="H11" s="47" t="str">
        <x:v>SLOT / UNLOCATED</x:v>
      </x:c>
      <x:c r="I11" s="47" t="str">
        <x:v>SEPARATE CONTROL REQUIRED</x:v>
      </x:c>
    </x:row>
    <x:row r="12">
      <x:c r="A12" s="47" t="str">
        <x:v>CT-C-B-N3</x:v>
      </x:c>
      <x:c r="B12" s="47" t="str">
        <x:v>CT-C-B</x:v>
      </x:c>
      <x:c r="C12" s="47" t="str">
        <x:v>N3</x:v>
      </x:c>
      <x:c r="D12" s="47" t="str">
        <x:v>CT-C-B-FD3</x:v>
      </x:c>
      <x:c r="E12" s="47" t="n">
        <x:f>COUNTIFS('Fixture Lattice'!$E$7:$E$54,A12)</x:f>
        <x:v>2</x:v>
      </x:c>
      <x:c r="F12" s="47" t="n">
        <x:v>4</x:v>
      </x:c>
      <x:c r="G12" s="47" t="n">
        <x:v>1</x:v>
      </x:c>
      <x:c r="H12" s="47" t="str">
        <x:v>SLOT / UNLOCATED</x:v>
      </x:c>
      <x:c r="I12" s="47" t="str">
        <x:v>SEPARATE CONTROL REQUIRED</x:v>
      </x:c>
    </x:row>
    <x:row r="13">
      <x:c r="A13" s="47" t="str">
        <x:v>HC-A-C-N1</x:v>
      </x:c>
      <x:c r="B13" s="47" t="str">
        <x:v>HC-A-C</x:v>
      </x:c>
      <x:c r="C13" s="47" t="str">
        <x:v>N1</x:v>
      </x:c>
      <x:c r="D13" s="47" t="str">
        <x:v>HC-A-C-FD1</x:v>
      </x:c>
      <x:c r="E13" s="47" t="n">
        <x:f>COUNTIFS('Fixture Lattice'!$E$7:$E$54,A13)</x:f>
        <x:v>3</x:v>
      </x:c>
      <x:c r="F13" s="47" t="n">
        <x:v>4</x:v>
      </x:c>
      <x:c r="G13" s="47" t="n">
        <x:v>1</x:v>
      </x:c>
      <x:c r="H13" s="47" t="str">
        <x:v>SLOT / UNLOCATED</x:v>
      </x:c>
      <x:c r="I13" s="47" t="str">
        <x:v>SEPARATE CONTROL REQUIRED</x:v>
      </x:c>
    </x:row>
    <x:row r="14">
      <x:c r="A14" s="47" t="str">
        <x:v>HC-A-C-N2</x:v>
      </x:c>
      <x:c r="B14" s="47" t="str">
        <x:v>HC-A-C</x:v>
      </x:c>
      <x:c r="C14" s="47" t="str">
        <x:v>N2</x:v>
      </x:c>
      <x:c r="D14" s="47" t="str">
        <x:v>HC-A-C-FD2</x:v>
      </x:c>
      <x:c r="E14" s="47" t="n">
        <x:f>COUNTIFS('Fixture Lattice'!$E$7:$E$54,A14)</x:f>
        <x:v>3</x:v>
      </x:c>
      <x:c r="F14" s="47" t="n">
        <x:v>4</x:v>
      </x:c>
      <x:c r="G14" s="47" t="n">
        <x:v>1</x:v>
      </x:c>
      <x:c r="H14" s="47" t="str">
        <x:v>SLOT / UNLOCATED</x:v>
      </x:c>
      <x:c r="I14" s="47" t="str">
        <x:v>SEPARATE CONTROL REQUIRED</x:v>
      </x:c>
    </x:row>
    <x:row r="15">
      <x:c r="A15" s="47" t="str">
        <x:v>HC-A-C-N3</x:v>
      </x:c>
      <x:c r="B15" s="47" t="str">
        <x:v>HC-A-C</x:v>
      </x:c>
      <x:c r="C15" s="47" t="str">
        <x:v>N3</x:v>
      </x:c>
      <x:c r="D15" s="47" t="str">
        <x:v>HC-A-C-FD3</x:v>
      </x:c>
      <x:c r="E15" s="47" t="n">
        <x:f>COUNTIFS('Fixture Lattice'!$E$7:$E$54,A15)</x:f>
        <x:v>2</x:v>
      </x:c>
      <x:c r="F15" s="47" t="n">
        <x:v>4</x:v>
      </x:c>
      <x:c r="G15" s="47" t="n">
        <x:v>1</x:v>
      </x:c>
      <x:c r="H15" s="47" t="str">
        <x:v>SLOT / UNLOCATED</x:v>
      </x:c>
      <x:c r="I15" s="47" t="str">
        <x:v>SEPARATE CONTROL REQUIRED</x:v>
      </x:c>
    </x:row>
    <x:row r="16">
      <x:c r="A16" s="47" t="str">
        <x:v>LF-B-A-N1</x:v>
      </x:c>
      <x:c r="B16" s="47" t="str">
        <x:v>LF-B-A</x:v>
      </x:c>
      <x:c r="C16" s="47" t="str">
        <x:v>N1</x:v>
      </x:c>
      <x:c r="D16" s="47" t="str">
        <x:v>LF-B-A-FD1</x:v>
      </x:c>
      <x:c r="E16" s="47" t="n">
        <x:f>COUNTIFS('Fixture Lattice'!$E$7:$E$54,A16)</x:f>
        <x:v>3</x:v>
      </x:c>
      <x:c r="F16" s="47" t="n">
        <x:v>4</x:v>
      </x:c>
      <x:c r="G16" s="47" t="n">
        <x:v>1</x:v>
      </x:c>
      <x:c r="H16" s="47" t="str">
        <x:v>SLOT / UNLOCATED</x:v>
      </x:c>
      <x:c r="I16" s="47" t="str">
        <x:v>SEPARATE CONTROL REQUIRED</x:v>
      </x:c>
    </x:row>
    <x:row r="17">
      <x:c r="A17" s="47" t="str">
        <x:v>LF-B-A-N2</x:v>
      </x:c>
      <x:c r="B17" s="47" t="str">
        <x:v>LF-B-A</x:v>
      </x:c>
      <x:c r="C17" s="47" t="str">
        <x:v>N2</x:v>
      </x:c>
      <x:c r="D17" s="47" t="str">
        <x:v>LF-B-A-FD2</x:v>
      </x:c>
      <x:c r="E17" s="47" t="n">
        <x:f>COUNTIFS('Fixture Lattice'!$E$7:$E$54,A17)</x:f>
        <x:v>3</x:v>
      </x:c>
      <x:c r="F17" s="47" t="n">
        <x:v>4</x:v>
      </x:c>
      <x:c r="G17" s="47" t="n">
        <x:v>1</x:v>
      </x:c>
      <x:c r="H17" s="47" t="str">
        <x:v>SLOT / UNLOCATED</x:v>
      </x:c>
      <x:c r="I17" s="47" t="str">
        <x:v>SEPARATE CONTROL REQUIRED</x:v>
      </x:c>
    </x:row>
    <x:row r="18">
      <x:c r="A18" s="47" t="str">
        <x:v>LF-B-A-N3</x:v>
      </x:c>
      <x:c r="B18" s="47" t="str">
        <x:v>LF-B-A</x:v>
      </x:c>
      <x:c r="C18" s="47" t="str">
        <x:v>N3</x:v>
      </x:c>
      <x:c r="D18" s="47" t="str">
        <x:v>LF-B-A-FD3</x:v>
      </x:c>
      <x:c r="E18" s="47" t="n">
        <x:f>COUNTIFS('Fixture Lattice'!$E$7:$E$54,A18)</x:f>
        <x:v>2</x:v>
      </x:c>
      <x:c r="F18" s="47" t="n">
        <x:v>4</x:v>
      </x:c>
      <x:c r="G18" s="47" t="n">
        <x:v>1</x:v>
      </x:c>
      <x:c r="H18" s="47" t="str">
        <x:v>SLOT / UNLOCATED</x:v>
      </x:c>
      <x:c r="I18" s="47" t="str">
        <x:v>SEPARATE CONTROL REQUIRED</x:v>
      </x:c>
    </x:row>
    <x:row r="19">
      <x:c r="A19" s="47" t="str">
        <x:v>HU-A-B-N1</x:v>
      </x:c>
      <x:c r="B19" s="47" t="str">
        <x:v>HU-A-B</x:v>
      </x:c>
      <x:c r="C19" s="47" t="str">
        <x:v>N1</x:v>
      </x:c>
      <x:c r="D19" s="47" t="str">
        <x:v>HU-A-B-FD1</x:v>
      </x:c>
      <x:c r="E19" s="47" t="n">
        <x:f>COUNTIFS('Fixture Lattice'!$E$7:$E$54,A19)</x:f>
        <x:v>3</x:v>
      </x:c>
      <x:c r="F19" s="47" t="n">
        <x:v>4</x:v>
      </x:c>
      <x:c r="G19" s="47" t="n">
        <x:v>1</x:v>
      </x:c>
      <x:c r="H19" s="47" t="str">
        <x:v>SLOT / UNLOCATED</x:v>
      </x:c>
      <x:c r="I19" s="47" t="str">
        <x:v>SEPARATE CONTROL REQUIRED</x:v>
      </x:c>
    </x:row>
    <x:row r="20">
      <x:c r="A20" s="47" t="str">
        <x:v>HU-A-B-N2</x:v>
      </x:c>
      <x:c r="B20" s="47" t="str">
        <x:v>HU-A-B</x:v>
      </x:c>
      <x:c r="C20" s="47" t="str">
        <x:v>N2</x:v>
      </x:c>
      <x:c r="D20" s="47" t="str">
        <x:v>HU-A-B-FD2</x:v>
      </x:c>
      <x:c r="E20" s="47" t="n">
        <x:f>COUNTIFS('Fixture Lattice'!$E$7:$E$54,A20)</x:f>
        <x:v>3</x:v>
      </x:c>
      <x:c r="F20" s="47" t="n">
        <x:v>4</x:v>
      </x:c>
      <x:c r="G20" s="47" t="n">
        <x:v>1</x:v>
      </x:c>
      <x:c r="H20" s="47" t="str">
        <x:v>SLOT / UNLOCATED</x:v>
      </x:c>
      <x:c r="I20" s="47" t="str">
        <x:v>SEPARATE CONTROL REQUIRED</x:v>
      </x:c>
    </x:row>
    <x:row r="21">
      <x:c r="A21" s="47" t="str">
        <x:v>HU-A-B-N3</x:v>
      </x:c>
      <x:c r="B21" s="47" t="str">
        <x:v>HU-A-B</x:v>
      </x:c>
      <x:c r="C21" s="47" t="str">
        <x:v>N3</x:v>
      </x:c>
      <x:c r="D21" s="47" t="str">
        <x:v>HU-A-B-FD3</x:v>
      </x:c>
      <x:c r="E21" s="47" t="n">
        <x:f>COUNTIFS('Fixture Lattice'!$E$7:$E$54,A21)</x:f>
        <x:v>2</x:v>
      </x:c>
      <x:c r="F21" s="47" t="n">
        <x:v>4</x:v>
      </x:c>
      <x:c r="G21" s="47" t="n">
        <x:v>1</x:v>
      </x:c>
      <x:c r="H21" s="47" t="str">
        <x:v>SLOT / UNLOCATED</x:v>
      </x:c>
      <x:c r="I21" s="47" t="str">
        <x:v>SEPARATE CONTROL REQUIRED</x:v>
      </x:c>
    </x:row>
    <x:row r="22">
      <x:c r="A22" s="47" t="str">
        <x:v>RT-B-C-N1</x:v>
      </x:c>
      <x:c r="B22" s="47" t="str">
        <x:v>RT-B-C</x:v>
      </x:c>
      <x:c r="C22" s="47" t="str">
        <x:v>N1</x:v>
      </x:c>
      <x:c r="D22" s="47" t="str">
        <x:v>RT-B-C-FD1</x:v>
      </x:c>
      <x:c r="E22" s="47" t="n">
        <x:f>COUNTIFS('Fixture Lattice'!$E$7:$E$54,A22)</x:f>
        <x:v>3</x:v>
      </x:c>
      <x:c r="F22" s="47" t="n">
        <x:v>4</x:v>
      </x:c>
      <x:c r="G22" s="47" t="n">
        <x:v>1</x:v>
      </x:c>
      <x:c r="H22" s="47" t="str">
        <x:v>SLOT / UNLOCATED</x:v>
      </x:c>
      <x:c r="I22" s="47" t="str">
        <x:v>SEPARATE CONTROL REQUIRED</x:v>
      </x:c>
    </x:row>
    <x:row r="23">
      <x:c r="A23" s="47" t="str">
        <x:v>RT-B-C-N2</x:v>
      </x:c>
      <x:c r="B23" s="47" t="str">
        <x:v>RT-B-C</x:v>
      </x:c>
      <x:c r="C23" s="47" t="str">
        <x:v>N2</x:v>
      </x:c>
      <x:c r="D23" s="47" t="str">
        <x:v>RT-B-C-FD2</x:v>
      </x:c>
      <x:c r="E23" s="47" t="n">
        <x:f>COUNTIFS('Fixture Lattice'!$E$7:$E$54,A23)</x:f>
        <x:v>3</x:v>
      </x:c>
      <x:c r="F23" s="47" t="n">
        <x:v>4</x:v>
      </x:c>
      <x:c r="G23" s="47" t="n">
        <x:v>1</x:v>
      </x:c>
      <x:c r="H23" s="47" t="str">
        <x:v>SLOT / UNLOCATED</x:v>
      </x:c>
      <x:c r="I23" s="47" t="str">
        <x:v>SEPARATE CONTROL REQUIRED</x:v>
      </x:c>
    </x:row>
    <x:row r="24">
      <x:c r="A24" s="47" t="str">
        <x:v>RT-B-C-N3</x:v>
      </x:c>
      <x:c r="B24" s="47" t="str">
        <x:v>RT-B-C</x:v>
      </x:c>
      <x:c r="C24" s="47" t="str">
        <x:v>N3</x:v>
      </x:c>
      <x:c r="D24" s="47" t="str">
        <x:v>RT-B-C-FD3</x:v>
      </x:c>
      <x:c r="E24" s="47" t="n">
        <x:f>COUNTIFS('Fixture Lattice'!$E$7:$E$54,A24)</x:f>
        <x:v>2</x:v>
      </x:c>
      <x:c r="F24" s="47" t="n">
        <x:v>4</x:v>
      </x:c>
      <x:c r="G24" s="47" t="n">
        <x:v>1</x:v>
      </x:c>
      <x:c r="H24" s="47" t="str">
        <x:v>SLOT / UNLOCATED</x:v>
      </x:c>
      <x:c r="I24" s="47" t="str">
        <x:v>SEPARATE CONTROL REQUIRED</x:v>
      </x:c>
    </x:row>
  </x:sheetData>
  <x:conditionalFormatting sqref="H7:H24">
    <x:cfRule type="containsText" dxfId="9" priority="1" operator="containsText" text="HOLD"/>
    <x:cfRule type="containsText" dxfId="10" priority="2" operator="containsText" text="OPEN"/>
    <x:cfRule type="containsText" dxfId="11" priority="3" operator="containsText" text="UNBUILT"/>
    <x:cfRule type="containsText" dxfId="12" priority="4" operator="containsText" text="UNLOCATED"/>
    <x:cfRule type="containsText" dxfId="13" priority="5" operator="containsText" text="IDENTITY EMPTY"/>
    <x:cfRule type="containsText" dxfId="14" priority="6" operator="containsText" text="UNINSTALLED"/>
    <x:cfRule type="containsText" dxfId="15" priority="7" operator="containsText" text="FAIL"/>
    <x:cfRule type="containsText" dxfId="16" priority="8" operator="containsText" text="TERMINATE"/>
    <x:cfRule type="containsText" dxfId="17" priority="9" operator="containsText" text="VIOLATION"/>
  </x:conditionalFormatting>
  <x:conditionalFormatting sqref="I7:I24">
    <x:cfRule type="containsText" dxfId="18" priority="10" operator="containsText" text="HOLD"/>
    <x:cfRule type="containsText" dxfId="19" priority="11" operator="containsText" text="OPEN"/>
    <x:cfRule type="containsText" dxfId="20" priority="12" operator="containsText" text="UNBUILT"/>
    <x:cfRule type="containsText" dxfId="21" priority="13" operator="containsText" text="UNLOCATED"/>
    <x:cfRule type="containsText" dxfId="22" priority="14" operator="containsText" text="IDENTITY EMPTY"/>
    <x:cfRule type="containsText" dxfId="23" priority="15" operator="containsText" text="UNINSTALLED"/>
    <x:cfRule type="containsText" dxfId="24" priority="16" operator="containsText" text="FAIL"/>
    <x:cfRule type="containsText" dxfId="25" priority="17" operator="containsText" text="TERMINATE"/>
    <x:cfRule type="containsText" dxfId="26" priority="18" operator="containsText" text="VIOLATION"/>
  </x:conditionalFormatting>
  <x:pageMargins left="0.7" right="0.7" top="0.75" bottom="0.75" header="0.3" footer="0.3"/>
  <x:tableParts count="1">
    <x:tablePart xmlns:r="http://schemas.openxmlformats.org/officeDocument/2006/relationships" r:id="R0391c504b5054a4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4" hidden="0" customWidth="1"/>
    <x:col min="2" max="2" width="24" hidden="0" customWidth="1"/>
    <x:col min="3" max="3" width="13" hidden="0" customWidth="1"/>
    <x:col min="4" max="4" width="38" hidden="0" customWidth="1"/>
    <x:col min="5" max="5" width="22" hidden="0" customWidth="1"/>
    <x:col min="6" max="6" width="34" hidden="0" customWidth="1"/>
    <x:col min="7" max="7" width="22" hidden="0" customWidth="1"/>
    <x:col min="8" max="8" width="24" hidden="0" customWidth="1"/>
    <x:col min="9" max="9" width="22" hidden="0" customWidth="1"/>
    <x:col min="10" max="10" width="18" hidden="0" customWidth="1"/>
    <x:col min="11" max="11" width="20" hidden="0" customWidth="1"/>
    <x:col min="12" max="12" width="26" hidden="0" customWidth="1"/>
    <x:col min="13" max="13" width="27" hidden="0" customWidth="1"/>
    <x:col min="14" max="14" width="16" hidden="0" customWidth="1"/>
  </x:cols>
  <x:sheetData>
    <x:row r="1">
      <x:c r="A1" s="47"/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</x:row>
    <x:row r="2">
      <x:c r="A2" s="55" t="str">
        <x:v>Forty-eight public fixture cores and migration routes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</x:row>
    <x:row r="6" ht="34" customHeight="1">
      <x:c r="A6" s="15" t="str">
        <x:v>Fixture</x:v>
      </x:c>
      <x:c r="B6" s="15" t="str">
        <x:v>Order</x:v>
      </x:c>
      <x:c r="C6" s="15" t="str">
        <x:v>Form</x:v>
      </x:c>
      <x:c r="D6" s="15" t="str">
        <x:v>Technology</x:v>
      </x:c>
      <x:c r="E6" s="15" t="str">
        <x:v>Primary site</x:v>
      </x:c>
      <x:c r="F6" s="15" t="str">
        <x:v>Paired fixture</x:v>
      </x:c>
      <x:c r="G6" s="15" t="str">
        <x:v>Paired site</x:v>
      </x:c>
      <x:c r="H6" s="15" t="str">
        <x:v>Third-site relocation</x:v>
      </x:c>
      <x:c r="I6" s="15" t="str">
        <x:v>Title</x:v>
      </x:c>
      <x:c r="J6" s="15" t="str">
        <x:v>Scheduled events</x:v>
      </x:c>
      <x:c r="K6" s="15" t="str">
        <x:v>Paired sites distinct</x:v>
      </x:c>
      <x:c r="L6" s="15" t="str">
        <x:v>Relocation preserves separation</x:v>
      </x:c>
      <x:c r="M6" s="15" t="str">
        <x:v>State</x:v>
      </x:c>
      <x:c r="N6" s="15" t="str">
        <x:v>Fixture class</x:v>
      </x:c>
    </x:row>
    <x:row r="7">
      <x:c r="A7" s="47" t="str">
        <x:v>FX-ET-A-A-TECH-1-F1</x:v>
      </x:c>
      <x:c r="B7" s="47" t="str">
        <x:v>ET-A-A-TECH-1</x:v>
      </x:c>
      <x:c r="C7" s="47" t="str">
        <x:v>ET-A-A</x:v>
      </x:c>
      <x:c r="D7" s="51" t="str">
        <x:v>Independent six-axis transfer saddle</x:v>
      </x:c>
      <x:c r="E7" s="47" t="str">
        <x:v>ET-A-A-N1</x:v>
      </x:c>
      <x:c r="F7" s="47" t="str">
        <x:v>FX-ET-A-A-TECH-1-F2</x:v>
      </x:c>
      <x:c r="G7" s="47" t="str">
        <x:v>ET-A-A-N2</x:v>
      </x:c>
      <x:c r="H7" s="47" t="str">
        <x:v>ET-A-A-N3</x:v>
      </x:c>
      <x:c r="I7" s="47" t="str">
        <x:v>PUBLIC / UNVESTED</x:v>
      </x:c>
      <x:c r="J7" s="47" t="n">
        <x:f>COUNTIFS('Serial Schedule'!$J$7:$J$150,A7)</x:f>
        <x:v>3</x:v>
      </x:c>
      <x:c r="K7" s="47" t="n">
        <x:f>IF(E7&lt;&gt;G7,1,0)</x:f>
        <x:v>1</x:v>
      </x:c>
      <x:c r="L7" s="47" t="n">
        <x:f>IF(AND(H7&lt;&gt;E7,H7&lt;&gt;G7),1,0)</x:f>
        <x:v>1</x:v>
      </x:c>
      <x:c r="M7" s="47" t="str">
        <x:v>PROGRAMMED / UNINSTALLED</x:v>
      </x:c>
      <x:c r="N7" s="47" t="str">
        <x:v>F1</x:v>
      </x:c>
    </x:row>
    <x:row r="8">
      <x:c r="A8" s="47" t="str">
        <x:v>FX-ET-A-A-TECH-1-F2</x:v>
      </x:c>
      <x:c r="B8" s="47" t="str">
        <x:v>ET-A-A-TECH-1</x:v>
      </x:c>
      <x:c r="C8" s="47" t="str">
        <x:v>ET-A-A</x:v>
      </x:c>
      <x:c r="D8" s="51" t="str">
        <x:v>Independent six-axis transfer saddle</x:v>
      </x:c>
      <x:c r="E8" s="47" t="str">
        <x:v>ET-A-A-N2</x:v>
      </x:c>
      <x:c r="F8" s="47" t="str">
        <x:v>FX-ET-A-A-TECH-1-F1</x:v>
      </x:c>
      <x:c r="G8" s="47" t="str">
        <x:v>ET-A-A-N1</x:v>
      </x:c>
      <x:c r="H8" s="47" t="str">
        <x:v>ET-A-A-N3</x:v>
      </x:c>
      <x:c r="I8" s="47" t="str">
        <x:v>PUBLIC / UNVESTED</x:v>
      </x:c>
      <x:c r="J8" s="47" t="n">
        <x:f>COUNTIFS('Serial Schedule'!$J$7:$J$150,A8)</x:f>
        <x:v>3</x:v>
      </x:c>
      <x:c r="K8" s="47" t="n">
        <x:f>IF(E8&lt;&gt;G8,1,0)</x:f>
        <x:v>1</x:v>
      </x:c>
      <x:c r="L8" s="47" t="n">
        <x:f>IF(AND(H8&lt;&gt;E8,H8&lt;&gt;G8),1,0)</x:f>
        <x:v>1</x:v>
      </x:c>
      <x:c r="M8" s="47" t="str">
        <x:v>PROGRAMMED / UNINSTALLED</x:v>
      </x:c>
      <x:c r="N8" s="47" t="str">
        <x:v>F2</x:v>
      </x:c>
    </x:row>
    <x:row r="9">
      <x:c r="A9" s="47" t="str">
        <x:v>FX-ET-A-A-TECH-2-F1</x:v>
      </x:c>
      <x:c r="B9" s="47" t="str">
        <x:v>ET-A-A-TECH-2</x:v>
      </x:c>
      <x:c r="C9" s="47" t="str">
        <x:v>ET-A-A</x:v>
      </x:c>
      <x:c r="D9" s="51" t="str">
        <x:v>Self-forming shore path</x:v>
      </x:c>
      <x:c r="E9" s="47" t="str">
        <x:v>ET-A-A-N2</x:v>
      </x:c>
      <x:c r="F9" s="47" t="str">
        <x:v>FX-ET-A-A-TECH-2-F2</x:v>
      </x:c>
      <x:c r="G9" s="47" t="str">
        <x:v>ET-A-A-N3</x:v>
      </x:c>
      <x:c r="H9" s="47" t="str">
        <x:v>ET-A-A-N1</x:v>
      </x:c>
      <x:c r="I9" s="47" t="str">
        <x:v>PUBLIC / UNVESTED</x:v>
      </x:c>
      <x:c r="J9" s="47" t="n">
        <x:f>COUNTIFS('Serial Schedule'!$J$7:$J$150,A9)</x:f>
        <x:v>3</x:v>
      </x:c>
      <x:c r="K9" s="47" t="n">
        <x:f>IF(E9&lt;&gt;G9,1,0)</x:f>
        <x:v>1</x:v>
      </x:c>
      <x:c r="L9" s="47" t="n">
        <x:f>IF(AND(H9&lt;&gt;E9,H9&lt;&gt;G9),1,0)</x:f>
        <x:v>1</x:v>
      </x:c>
      <x:c r="M9" s="47" t="str">
        <x:v>PROGRAMMED / UNINSTALLED</x:v>
      </x:c>
      <x:c r="N9" s="47" t="str">
        <x:v>F1</x:v>
      </x:c>
    </x:row>
    <x:row r="10">
      <x:c r="A10" s="47" t="str">
        <x:v>FX-ET-A-A-TECH-2-F2</x:v>
      </x:c>
      <x:c r="B10" s="47" t="str">
        <x:v>ET-A-A-TECH-2</x:v>
      </x:c>
      <x:c r="C10" s="47" t="str">
        <x:v>ET-A-A</x:v>
      </x:c>
      <x:c r="D10" s="51" t="str">
        <x:v>Self-forming shore path</x:v>
      </x:c>
      <x:c r="E10" s="47" t="str">
        <x:v>ET-A-A-N3</x:v>
      </x:c>
      <x:c r="F10" s="47" t="str">
        <x:v>FX-ET-A-A-TECH-2-F1</x:v>
      </x:c>
      <x:c r="G10" s="47" t="str">
        <x:v>ET-A-A-N2</x:v>
      </x:c>
      <x:c r="H10" s="47" t="str">
        <x:v>ET-A-A-N1</x:v>
      </x:c>
      <x:c r="I10" s="47" t="str">
        <x:v>PUBLIC / UNVESTED</x:v>
      </x:c>
      <x:c r="J10" s="47" t="n">
        <x:f>COUNTIFS('Serial Schedule'!$J$7:$J$150,A10)</x:f>
        <x:v>3</x:v>
      </x:c>
      <x:c r="K10" s="47" t="n">
        <x:f>IF(E10&lt;&gt;G10,1,0)</x:f>
        <x:v>1</x:v>
      </x:c>
      <x:c r="L10" s="47" t="n">
        <x:f>IF(AND(H10&lt;&gt;E10,H10&lt;&gt;G10),1,0)</x:f>
        <x:v>1</x:v>
      </x:c>
      <x:c r="M10" s="47" t="str">
        <x:v>PROGRAMMED / UNINSTALLED</x:v>
      </x:c>
      <x:c r="N10" s="47" t="str">
        <x:v>F2</x:v>
      </x:c>
    </x:row>
    <x:row r="11">
      <x:c r="A11" s="47" t="str">
        <x:v>FX-ET-A-A-TECH-3-F1</x:v>
      </x:c>
      <x:c r="B11" s="47" t="str">
        <x:v>ET-A-A-TECH-3</x:v>
      </x:c>
      <x:c r="C11" s="47" t="str">
        <x:v>ET-A-A</x:v>
      </x:c>
      <x:c r="D11" s="51" t="str">
        <x:v>Distributed custody metrology</x:v>
      </x:c>
      <x:c r="E11" s="47" t="str">
        <x:v>ET-A-A-N3</x:v>
      </x:c>
      <x:c r="F11" s="47" t="str">
        <x:v>FX-ET-A-A-TECH-3-F2</x:v>
      </x:c>
      <x:c r="G11" s="47" t="str">
        <x:v>ET-A-A-N1</x:v>
      </x:c>
      <x:c r="H11" s="47" t="str">
        <x:v>ET-A-A-N2</x:v>
      </x:c>
      <x:c r="I11" s="47" t="str">
        <x:v>PUBLIC / UNVESTED</x:v>
      </x:c>
      <x:c r="J11" s="47" t="n">
        <x:f>COUNTIFS('Serial Schedule'!$J$7:$J$150,A11)</x:f>
        <x:v>3</x:v>
      </x:c>
      <x:c r="K11" s="47" t="n">
        <x:f>IF(E11&lt;&gt;G11,1,0)</x:f>
        <x:v>1</x:v>
      </x:c>
      <x:c r="L11" s="47" t="n">
        <x:f>IF(AND(H11&lt;&gt;E11,H11&lt;&gt;G11),1,0)</x:f>
        <x:v>1</x:v>
      </x:c>
      <x:c r="M11" s="47" t="str">
        <x:v>PROGRAMMED / UNINSTALLED</x:v>
      </x:c>
      <x:c r="N11" s="47" t="str">
        <x:v>F1</x:v>
      </x:c>
    </x:row>
    <x:row r="12">
      <x:c r="A12" s="47" t="str">
        <x:v>FX-ET-A-A-TECH-3-F2</x:v>
      </x:c>
      <x:c r="B12" s="47" t="str">
        <x:v>ET-A-A-TECH-3</x:v>
      </x:c>
      <x:c r="C12" s="47" t="str">
        <x:v>ET-A-A</x:v>
      </x:c>
      <x:c r="D12" s="51" t="str">
        <x:v>Distributed custody metrology</x:v>
      </x:c>
      <x:c r="E12" s="47" t="str">
        <x:v>ET-A-A-N1</x:v>
      </x:c>
      <x:c r="F12" s="47" t="str">
        <x:v>FX-ET-A-A-TECH-3-F1</x:v>
      </x:c>
      <x:c r="G12" s="47" t="str">
        <x:v>ET-A-A-N3</x:v>
      </x:c>
      <x:c r="H12" s="47" t="str">
        <x:v>ET-A-A-N2</x:v>
      </x:c>
      <x:c r="I12" s="47" t="str">
        <x:v>PUBLIC / UNVESTED</x:v>
      </x:c>
      <x:c r="J12" s="47" t="n">
        <x:f>COUNTIFS('Serial Schedule'!$J$7:$J$150,A12)</x:f>
        <x:v>3</x:v>
      </x:c>
      <x:c r="K12" s="47" t="n">
        <x:f>IF(E12&lt;&gt;G12,1,0)</x:f>
        <x:v>1</x:v>
      </x:c>
      <x:c r="L12" s="47" t="n">
        <x:f>IF(AND(H12&lt;&gt;E12,H12&lt;&gt;G12),1,0)</x:f>
        <x:v>1</x:v>
      </x:c>
      <x:c r="M12" s="47" t="str">
        <x:v>PROGRAMMED / UNINSTALLED</x:v>
      </x:c>
      <x:c r="N12" s="47" t="str">
        <x:v>F2</x:v>
      </x:c>
    </x:row>
    <x:row r="13">
      <x:c r="A13" s="47" t="str">
        <x:v>FX-ET-A-A-TECH-4-F1</x:v>
      </x:c>
      <x:c r="B13" s="47" t="str">
        <x:v>ET-A-A-TECH-4</x:v>
      </x:c>
      <x:c r="C13" s="47" t="str">
        <x:v>ET-A-A</x:v>
      </x:c>
      <x:c r="D13" s="51" t="str">
        <x:v>Hull-local thermal metabolism</x:v>
      </x:c>
      <x:c r="E13" s="47" t="str">
        <x:v>ET-A-A-N1</x:v>
      </x:c>
      <x:c r="F13" s="47" t="str">
        <x:v>FX-ET-A-A-TECH-4-F2</x:v>
      </x:c>
      <x:c r="G13" s="47" t="str">
        <x:v>ET-A-A-N2</x:v>
      </x:c>
      <x:c r="H13" s="47" t="str">
        <x:v>ET-A-A-N3</x:v>
      </x:c>
      <x:c r="I13" s="47" t="str">
        <x:v>PUBLIC / UNVESTED</x:v>
      </x:c>
      <x:c r="J13" s="47" t="n">
        <x:f>COUNTIFS('Serial Schedule'!$J$7:$J$150,A13)</x:f>
        <x:v>3</x:v>
      </x:c>
      <x:c r="K13" s="47" t="n">
        <x:f>IF(E13&lt;&gt;G13,1,0)</x:f>
        <x:v>1</x:v>
      </x:c>
      <x:c r="L13" s="47" t="n">
        <x:f>IF(AND(H13&lt;&gt;E13,H13&lt;&gt;G13),1,0)</x:f>
        <x:v>1</x:v>
      </x:c>
      <x:c r="M13" s="47" t="str">
        <x:v>PROGRAMMED / UNINSTALLED</x:v>
      </x:c>
      <x:c r="N13" s="47" t="str">
        <x:v>F1</x:v>
      </x:c>
    </x:row>
    <x:row r="14">
      <x:c r="A14" s="47" t="str">
        <x:v>FX-ET-A-A-TECH-4-F2</x:v>
      </x:c>
      <x:c r="B14" s="47" t="str">
        <x:v>ET-A-A-TECH-4</x:v>
      </x:c>
      <x:c r="C14" s="47" t="str">
        <x:v>ET-A-A</x:v>
      </x:c>
      <x:c r="D14" s="51" t="str">
        <x:v>Hull-local thermal metabolism</x:v>
      </x:c>
      <x:c r="E14" s="47" t="str">
        <x:v>ET-A-A-N2</x:v>
      </x:c>
      <x:c r="F14" s="47" t="str">
        <x:v>FX-ET-A-A-TECH-4-F1</x:v>
      </x:c>
      <x:c r="G14" s="47" t="str">
        <x:v>ET-A-A-N1</x:v>
      </x:c>
      <x:c r="H14" s="47" t="str">
        <x:v>ET-A-A-N3</x:v>
      </x:c>
      <x:c r="I14" s="47" t="str">
        <x:v>PUBLIC / UNVESTED</x:v>
      </x:c>
      <x:c r="J14" s="47" t="n">
        <x:f>COUNTIFS('Serial Schedule'!$J$7:$J$150,A14)</x:f>
        <x:v>3</x:v>
      </x:c>
      <x:c r="K14" s="47" t="n">
        <x:f>IF(E14&lt;&gt;G14,1,0)</x:f>
        <x:v>1</x:v>
      </x:c>
      <x:c r="L14" s="47" t="n">
        <x:f>IF(AND(H14&lt;&gt;E14,H14&lt;&gt;G14),1,0)</x:f>
        <x:v>1</x:v>
      </x:c>
      <x:c r="M14" s="47" t="str">
        <x:v>PROGRAMMED / UNINSTALLED</x:v>
      </x:c>
      <x:c r="N14" s="47" t="str">
        <x:v>F2</x:v>
      </x:c>
    </x:row>
    <x:row r="15">
      <x:c r="A15" s="47" t="str">
        <x:v>FX-CT-C-B-TECH-1-F1</x:v>
      </x:c>
      <x:c r="B15" s="47" t="str">
        <x:v>CT-C-B-TECH-1</x:v>
      </x:c>
      <x:c r="C15" s="47" t="str">
        <x:v>CT-C-B</x:v>
      </x:c>
      <x:c r="D15" s="51" t="str">
        <x:v>Proof-loaded reversible attachment</x:v>
      </x:c>
      <x:c r="E15" s="47" t="str">
        <x:v>CT-C-B-N1</x:v>
      </x:c>
      <x:c r="F15" s="47" t="str">
        <x:v>FX-CT-C-B-TECH-1-F2</x:v>
      </x:c>
      <x:c r="G15" s="47" t="str">
        <x:v>CT-C-B-N2</x:v>
      </x:c>
      <x:c r="H15" s="47" t="str">
        <x:v>CT-C-B-N3</x:v>
      </x:c>
      <x:c r="I15" s="47" t="str">
        <x:v>PUBLIC / UNVESTED</x:v>
      </x:c>
      <x:c r="J15" s="47" t="n">
        <x:f>COUNTIFS('Serial Schedule'!$J$7:$J$150,A15)</x:f>
        <x:v>3</x:v>
      </x:c>
      <x:c r="K15" s="47" t="n">
        <x:f>IF(E15&lt;&gt;G15,1,0)</x:f>
        <x:v>1</x:v>
      </x:c>
      <x:c r="L15" s="47" t="n">
        <x:f>IF(AND(H15&lt;&gt;E15,H15&lt;&gt;G15),1,0)</x:f>
        <x:v>1</x:v>
      </x:c>
      <x:c r="M15" s="47" t="str">
        <x:v>PROGRAMMED / UNINSTALLED</x:v>
      </x:c>
      <x:c r="N15" s="47" t="str">
        <x:v>F1</x:v>
      </x:c>
    </x:row>
    <x:row r="16">
      <x:c r="A16" s="47" t="str">
        <x:v>FX-CT-C-B-TECH-1-F2</x:v>
      </x:c>
      <x:c r="B16" s="47" t="str">
        <x:v>CT-C-B-TECH-1</x:v>
      </x:c>
      <x:c r="C16" s="47" t="str">
        <x:v>CT-C-B</x:v>
      </x:c>
      <x:c r="D16" s="51" t="str">
        <x:v>Proof-loaded reversible attachment</x:v>
      </x:c>
      <x:c r="E16" s="47" t="str">
        <x:v>CT-C-B-N2</x:v>
      </x:c>
      <x:c r="F16" s="47" t="str">
        <x:v>FX-CT-C-B-TECH-1-F1</x:v>
      </x:c>
      <x:c r="G16" s="47" t="str">
        <x:v>CT-C-B-N1</x:v>
      </x:c>
      <x:c r="H16" s="47" t="str">
        <x:v>CT-C-B-N3</x:v>
      </x:c>
      <x:c r="I16" s="47" t="str">
        <x:v>PUBLIC / UNVESTED</x:v>
      </x:c>
      <x:c r="J16" s="47" t="n">
        <x:f>COUNTIFS('Serial Schedule'!$J$7:$J$150,A16)</x:f>
        <x:v>3</x:v>
      </x:c>
      <x:c r="K16" s="47" t="n">
        <x:f>IF(E16&lt;&gt;G16,1,0)</x:f>
        <x:v>1</x:v>
      </x:c>
      <x:c r="L16" s="47" t="n">
        <x:f>IF(AND(H16&lt;&gt;E16,H16&lt;&gt;G16),1,0)</x:f>
        <x:v>1</x:v>
      </x:c>
      <x:c r="M16" s="47" t="str">
        <x:v>PROGRAMMED / UNINSTALLED</x:v>
      </x:c>
      <x:c r="N16" s="47" t="str">
        <x:v>F2</x:v>
      </x:c>
    </x:row>
    <x:row r="17">
      <x:c r="A17" s="47" t="str">
        <x:v>FX-CT-C-B-TECH-2-F1</x:v>
      </x:c>
      <x:c r="B17" s="47" t="str">
        <x:v>CT-C-B-TECH-2</x:v>
      </x:c>
      <x:c r="C17" s="47" t="str">
        <x:v>CT-C-B</x:v>
      </x:c>
      <x:c r="D17" s="51" t="str">
        <x:v>Passive progressive-peel arrest</x:v>
      </x:c>
      <x:c r="E17" s="47" t="str">
        <x:v>CT-C-B-N2</x:v>
      </x:c>
      <x:c r="F17" s="47" t="str">
        <x:v>FX-CT-C-B-TECH-2-F2</x:v>
      </x:c>
      <x:c r="G17" s="47" t="str">
        <x:v>CT-C-B-N3</x:v>
      </x:c>
      <x:c r="H17" s="47" t="str">
        <x:v>CT-C-B-N1</x:v>
      </x:c>
      <x:c r="I17" s="47" t="str">
        <x:v>PUBLIC / UNVESTED</x:v>
      </x:c>
      <x:c r="J17" s="47" t="n">
        <x:f>COUNTIFS('Serial Schedule'!$J$7:$J$150,A17)</x:f>
        <x:v>3</x:v>
      </x:c>
      <x:c r="K17" s="47" t="n">
        <x:f>IF(E17&lt;&gt;G17,1,0)</x:f>
        <x:v>1</x:v>
      </x:c>
      <x:c r="L17" s="47" t="n">
        <x:f>IF(AND(H17&lt;&gt;E17,H17&lt;&gt;G17),1,0)</x:f>
        <x:v>1</x:v>
      </x:c>
      <x:c r="M17" s="47" t="str">
        <x:v>PROGRAMMED / UNINSTALLED</x:v>
      </x:c>
      <x:c r="N17" s="47" t="str">
        <x:v>F1</x:v>
      </x:c>
    </x:row>
    <x:row r="18">
      <x:c r="A18" s="47" t="str">
        <x:v>FX-CT-C-B-TECH-2-F2</x:v>
      </x:c>
      <x:c r="B18" s="47" t="str">
        <x:v>CT-C-B-TECH-2</x:v>
      </x:c>
      <x:c r="C18" s="47" t="str">
        <x:v>CT-C-B</x:v>
      </x:c>
      <x:c r="D18" s="51" t="str">
        <x:v>Passive progressive-peel arrest</x:v>
      </x:c>
      <x:c r="E18" s="47" t="str">
        <x:v>CT-C-B-N3</x:v>
      </x:c>
      <x:c r="F18" s="47" t="str">
        <x:v>FX-CT-C-B-TECH-2-F1</x:v>
      </x:c>
      <x:c r="G18" s="47" t="str">
        <x:v>CT-C-B-N2</x:v>
      </x:c>
      <x:c r="H18" s="47" t="str">
        <x:v>CT-C-B-N1</x:v>
      </x:c>
      <x:c r="I18" s="47" t="str">
        <x:v>PUBLIC / UNVESTED</x:v>
      </x:c>
      <x:c r="J18" s="47" t="n">
        <x:f>COUNTIFS('Serial Schedule'!$J$7:$J$150,A18)</x:f>
        <x:v>3</x:v>
      </x:c>
      <x:c r="K18" s="47" t="n">
        <x:f>IF(E18&lt;&gt;G18,1,0)</x:f>
        <x:v>1</x:v>
      </x:c>
      <x:c r="L18" s="47" t="n">
        <x:f>IF(AND(H18&lt;&gt;E18,H18&lt;&gt;G18),1,0)</x:f>
        <x:v>1</x:v>
      </x:c>
      <x:c r="M18" s="47" t="str">
        <x:v>PROGRAMMED / UNINSTALLED</x:v>
      </x:c>
      <x:c r="N18" s="47" t="str">
        <x:v>F2</x:v>
      </x:c>
    </x:row>
    <x:row r="19">
      <x:c r="A19" s="47" t="str">
        <x:v>FX-CT-C-B-TECH-3-F1</x:v>
      </x:c>
      <x:c r="B19" s="47" t="str">
        <x:v>CT-C-B-TECH-3</x:v>
      </x:c>
      <x:c r="C19" s="47" t="str">
        <x:v>CT-C-B</x:v>
      </x:c>
      <x:c r="D19" s="51" t="str">
        <x:v>Mixed-utility guillotine</x:v>
      </x:c>
      <x:c r="E19" s="47" t="str">
        <x:v>CT-C-B-N3</x:v>
      </x:c>
      <x:c r="F19" s="47" t="str">
        <x:v>FX-CT-C-B-TECH-3-F2</x:v>
      </x:c>
      <x:c r="G19" s="47" t="str">
        <x:v>CT-C-B-N1</x:v>
      </x:c>
      <x:c r="H19" s="47" t="str">
        <x:v>CT-C-B-N2</x:v>
      </x:c>
      <x:c r="I19" s="47" t="str">
        <x:v>PUBLIC / UNVESTED</x:v>
      </x:c>
      <x:c r="J19" s="47" t="n">
        <x:f>COUNTIFS('Serial Schedule'!$J$7:$J$150,A19)</x:f>
        <x:v>3</x:v>
      </x:c>
      <x:c r="K19" s="47" t="n">
        <x:f>IF(E19&lt;&gt;G19,1,0)</x:f>
        <x:v>1</x:v>
      </x:c>
      <x:c r="L19" s="47" t="n">
        <x:f>IF(AND(H19&lt;&gt;E19,H19&lt;&gt;G19),1,0)</x:f>
        <x:v>1</x:v>
      </x:c>
      <x:c r="M19" s="47" t="str">
        <x:v>PROGRAMMED / UNINSTALLED</x:v>
      </x:c>
      <x:c r="N19" s="47" t="str">
        <x:v>F1</x:v>
      </x:c>
    </x:row>
    <x:row r="20">
      <x:c r="A20" s="47" t="str">
        <x:v>FX-CT-C-B-TECH-3-F2</x:v>
      </x:c>
      <x:c r="B20" s="47" t="str">
        <x:v>CT-C-B-TECH-3</x:v>
      </x:c>
      <x:c r="C20" s="47" t="str">
        <x:v>CT-C-B</x:v>
      </x:c>
      <x:c r="D20" s="51" t="str">
        <x:v>Mixed-utility guillotine</x:v>
      </x:c>
      <x:c r="E20" s="47" t="str">
        <x:v>CT-C-B-N1</x:v>
      </x:c>
      <x:c r="F20" s="47" t="str">
        <x:v>FX-CT-C-B-TECH-3-F1</x:v>
      </x:c>
      <x:c r="G20" s="47" t="str">
        <x:v>CT-C-B-N3</x:v>
      </x:c>
      <x:c r="H20" s="47" t="str">
        <x:v>CT-C-B-N2</x:v>
      </x:c>
      <x:c r="I20" s="47" t="str">
        <x:v>PUBLIC / UNVESTED</x:v>
      </x:c>
      <x:c r="J20" s="47" t="n">
        <x:f>COUNTIFS('Serial Schedule'!$J$7:$J$150,A20)</x:f>
        <x:v>3</x:v>
      </x:c>
      <x:c r="K20" s="47" t="n">
        <x:f>IF(E20&lt;&gt;G20,1,0)</x:f>
        <x:v>1</x:v>
      </x:c>
      <x:c r="L20" s="47" t="n">
        <x:f>IF(AND(H20&lt;&gt;E20,H20&lt;&gt;G20),1,0)</x:f>
        <x:v>1</x:v>
      </x:c>
      <x:c r="M20" s="47" t="str">
        <x:v>PROGRAMMED / UNINSTALLED</x:v>
      </x:c>
      <x:c r="N20" s="47" t="str">
        <x:v>F2</x:v>
      </x:c>
    </x:row>
    <x:row r="21">
      <x:c r="A21" s="47" t="str">
        <x:v>FX-CT-C-B-TECH-4-F1</x:v>
      </x:c>
      <x:c r="B21" s="47" t="str">
        <x:v>CT-C-B-TECH-4</x:v>
      </x:c>
      <x:c r="C21" s="47" t="str">
        <x:v>CT-C-B</x:v>
      </x:c>
      <x:c r="D21" s="51" t="str">
        <x:v>Occupied-zone installation robotics</x:v>
      </x:c>
      <x:c r="E21" s="47" t="str">
        <x:v>CT-C-B-N1</x:v>
      </x:c>
      <x:c r="F21" s="47" t="str">
        <x:v>FX-CT-C-B-TECH-4-F2</x:v>
      </x:c>
      <x:c r="G21" s="47" t="str">
        <x:v>CT-C-B-N2</x:v>
      </x:c>
      <x:c r="H21" s="47" t="str">
        <x:v>CT-C-B-N3</x:v>
      </x:c>
      <x:c r="I21" s="47" t="str">
        <x:v>PUBLIC / UNVESTED</x:v>
      </x:c>
      <x:c r="J21" s="47" t="n">
        <x:f>COUNTIFS('Serial Schedule'!$J$7:$J$150,A21)</x:f>
        <x:v>3</x:v>
      </x:c>
      <x:c r="K21" s="47" t="n">
        <x:f>IF(E21&lt;&gt;G21,1,0)</x:f>
        <x:v>1</x:v>
      </x:c>
      <x:c r="L21" s="47" t="n">
        <x:f>IF(AND(H21&lt;&gt;E21,H21&lt;&gt;G21),1,0)</x:f>
        <x:v>1</x:v>
      </x:c>
      <x:c r="M21" s="47" t="str">
        <x:v>PROGRAMMED / UNINSTALLED</x:v>
      </x:c>
      <x:c r="N21" s="47" t="str">
        <x:v>F1</x:v>
      </x:c>
    </x:row>
    <x:row r="22">
      <x:c r="A22" s="47" t="str">
        <x:v>FX-CT-C-B-TECH-4-F2</x:v>
      </x:c>
      <x:c r="B22" s="47" t="str">
        <x:v>CT-C-B-TECH-4</x:v>
      </x:c>
      <x:c r="C22" s="47" t="str">
        <x:v>CT-C-B</x:v>
      </x:c>
      <x:c r="D22" s="51" t="str">
        <x:v>Occupied-zone installation robotics</x:v>
      </x:c>
      <x:c r="E22" s="47" t="str">
        <x:v>CT-C-B-N2</x:v>
      </x:c>
      <x:c r="F22" s="47" t="str">
        <x:v>FX-CT-C-B-TECH-4-F1</x:v>
      </x:c>
      <x:c r="G22" s="47" t="str">
        <x:v>CT-C-B-N1</x:v>
      </x:c>
      <x:c r="H22" s="47" t="str">
        <x:v>CT-C-B-N3</x:v>
      </x:c>
      <x:c r="I22" s="47" t="str">
        <x:v>PUBLIC / UNVESTED</x:v>
      </x:c>
      <x:c r="J22" s="47" t="n">
        <x:f>COUNTIFS('Serial Schedule'!$J$7:$J$150,A22)</x:f>
        <x:v>3</x:v>
      </x:c>
      <x:c r="K22" s="47" t="n">
        <x:f>IF(E22&lt;&gt;G22,1,0)</x:f>
        <x:v>1</x:v>
      </x:c>
      <x:c r="L22" s="47" t="n">
        <x:f>IF(AND(H22&lt;&gt;E22,H22&lt;&gt;G22),1,0)</x:f>
        <x:v>1</x:v>
      </x:c>
      <x:c r="M22" s="47" t="str">
        <x:v>PROGRAMMED / UNINSTALLED</x:v>
      </x:c>
      <x:c r="N22" s="47" t="str">
        <x:v>F2</x:v>
      </x:c>
    </x:row>
    <x:row r="23">
      <x:c r="A23" s="47" t="str">
        <x:v>FX-HC-A-C-TECH-1-F1</x:v>
      </x:c>
      <x:c r="B23" s="47" t="str">
        <x:v>HC-A-C-TECH-1</x:v>
      </x:c>
      <x:c r="C23" s="47" t="str">
        <x:v>HC-A-C</x:v>
      </x:c>
      <x:c r="D23" s="51" t="str">
        <x:v>Mesh-independent heavy rotor cell</x:v>
      </x:c>
      <x:c r="E23" s="47" t="str">
        <x:v>HC-A-C-N1</x:v>
      </x:c>
      <x:c r="F23" s="47" t="str">
        <x:v>FX-HC-A-C-TECH-1-F2</x:v>
      </x:c>
      <x:c r="G23" s="47" t="str">
        <x:v>HC-A-C-N2</x:v>
      </x:c>
      <x:c r="H23" s="47" t="str">
        <x:v>HC-A-C-N3</x:v>
      </x:c>
      <x:c r="I23" s="47" t="str">
        <x:v>PUBLIC / UNVESTED</x:v>
      </x:c>
      <x:c r="J23" s="47" t="n">
        <x:f>COUNTIFS('Serial Schedule'!$J$7:$J$150,A23)</x:f>
        <x:v>3</x:v>
      </x:c>
      <x:c r="K23" s="47" t="n">
        <x:f>IF(E23&lt;&gt;G23,1,0)</x:f>
        <x:v>1</x:v>
      </x:c>
      <x:c r="L23" s="47" t="n">
        <x:f>IF(AND(H23&lt;&gt;E23,H23&lt;&gt;G23),1,0)</x:f>
        <x:v>1</x:v>
      </x:c>
      <x:c r="M23" s="47" t="str">
        <x:v>PROGRAMMED / UNINSTALLED</x:v>
      </x:c>
      <x:c r="N23" s="47" t="str">
        <x:v>F1</x:v>
      </x:c>
    </x:row>
    <x:row r="24">
      <x:c r="A24" s="47" t="str">
        <x:v>FX-HC-A-C-TECH-1-F2</x:v>
      </x:c>
      <x:c r="B24" s="47" t="str">
        <x:v>HC-A-C-TECH-1</x:v>
      </x:c>
      <x:c r="C24" s="47" t="str">
        <x:v>HC-A-C</x:v>
      </x:c>
      <x:c r="D24" s="51" t="str">
        <x:v>Mesh-independent heavy rotor cell</x:v>
      </x:c>
      <x:c r="E24" s="47" t="str">
        <x:v>HC-A-C-N2</x:v>
      </x:c>
      <x:c r="F24" s="47" t="str">
        <x:v>FX-HC-A-C-TECH-1-F1</x:v>
      </x:c>
      <x:c r="G24" s="47" t="str">
        <x:v>HC-A-C-N1</x:v>
      </x:c>
      <x:c r="H24" s="47" t="str">
        <x:v>HC-A-C-N3</x:v>
      </x:c>
      <x:c r="I24" s="47" t="str">
        <x:v>PUBLIC / UNVESTED</x:v>
      </x:c>
      <x:c r="J24" s="47" t="n">
        <x:f>COUNTIFS('Serial Schedule'!$J$7:$J$150,A24)</x:f>
        <x:v>3</x:v>
      </x:c>
      <x:c r="K24" s="47" t="n">
        <x:f>IF(E24&lt;&gt;G24,1,0)</x:f>
        <x:v>1</x:v>
      </x:c>
      <x:c r="L24" s="47" t="n">
        <x:f>IF(AND(H24&lt;&gt;E24,H24&lt;&gt;G24),1,0)</x:f>
        <x:v>1</x:v>
      </x:c>
      <x:c r="M24" s="47" t="str">
        <x:v>PROGRAMMED / UNINSTALLED</x:v>
      </x:c>
      <x:c r="N24" s="47" t="str">
        <x:v>F2</x:v>
      </x:c>
    </x:row>
    <x:row r="25">
      <x:c r="A25" s="47" t="str">
        <x:v>FX-HC-A-C-TECH-2-F1</x:v>
      </x:c>
      <x:c r="B25" s="47" t="str">
        <x:v>HC-A-C-TECH-2</x:v>
      </x:c>
      <x:c r="C25" s="47" t="str">
        <x:v>HC-A-C</x:v>
      </x:c>
      <x:c r="D25" s="51" t="str">
        <x:v>Hot-zone exchange lane</x:v>
      </x:c>
      <x:c r="E25" s="47" t="str">
        <x:v>HC-A-C-N2</x:v>
      </x:c>
      <x:c r="F25" s="47" t="str">
        <x:v>FX-HC-A-C-TECH-2-F2</x:v>
      </x:c>
      <x:c r="G25" s="47" t="str">
        <x:v>HC-A-C-N3</x:v>
      </x:c>
      <x:c r="H25" s="47" t="str">
        <x:v>HC-A-C-N1</x:v>
      </x:c>
      <x:c r="I25" s="47" t="str">
        <x:v>PUBLIC / UNVESTED</x:v>
      </x:c>
      <x:c r="J25" s="47" t="n">
        <x:f>COUNTIFS('Serial Schedule'!$J$7:$J$150,A25)</x:f>
        <x:v>3</x:v>
      </x:c>
      <x:c r="K25" s="47" t="n">
        <x:f>IF(E25&lt;&gt;G25,1,0)</x:f>
        <x:v>1</x:v>
      </x:c>
      <x:c r="L25" s="47" t="n">
        <x:f>IF(AND(H25&lt;&gt;E25,H25&lt;&gt;G25),1,0)</x:f>
        <x:v>1</x:v>
      </x:c>
      <x:c r="M25" s="47" t="str">
        <x:v>PROGRAMMED / UNINSTALLED</x:v>
      </x:c>
      <x:c r="N25" s="47" t="str">
        <x:v>F1</x:v>
      </x:c>
    </x:row>
    <x:row r="26">
      <x:c r="A26" s="47" t="str">
        <x:v>FX-HC-A-C-TECH-2-F2</x:v>
      </x:c>
      <x:c r="B26" s="47" t="str">
        <x:v>HC-A-C-TECH-2</x:v>
      </x:c>
      <x:c r="C26" s="47" t="str">
        <x:v>HC-A-C</x:v>
      </x:c>
      <x:c r="D26" s="51" t="str">
        <x:v>Hot-zone exchange lane</x:v>
      </x:c>
      <x:c r="E26" s="47" t="str">
        <x:v>HC-A-C-N3</x:v>
      </x:c>
      <x:c r="F26" s="47" t="str">
        <x:v>FX-HC-A-C-TECH-2-F1</x:v>
      </x:c>
      <x:c r="G26" s="47" t="str">
        <x:v>HC-A-C-N2</x:v>
      </x:c>
      <x:c r="H26" s="47" t="str">
        <x:v>HC-A-C-N1</x:v>
      </x:c>
      <x:c r="I26" s="47" t="str">
        <x:v>PUBLIC / UNVESTED</x:v>
      </x:c>
      <x:c r="J26" s="47" t="n">
        <x:f>COUNTIFS('Serial Schedule'!$J$7:$J$150,A26)</x:f>
        <x:v>3</x:v>
      </x:c>
      <x:c r="K26" s="47" t="n">
        <x:f>IF(E26&lt;&gt;G26,1,0)</x:f>
        <x:v>1</x:v>
      </x:c>
      <x:c r="L26" s="47" t="n">
        <x:f>IF(AND(H26&lt;&gt;E26,H26&lt;&gt;G26),1,0)</x:f>
        <x:v>1</x:v>
      </x:c>
      <x:c r="M26" s="47" t="str">
        <x:v>PROGRAMMED / UNINSTALLED</x:v>
      </x:c>
      <x:c r="N26" s="47" t="str">
        <x:v>F2</x:v>
      </x:c>
    </x:row>
    <x:row r="27">
      <x:c r="A27" s="47" t="str">
        <x:v>FX-HC-A-C-TECH-3-F1</x:v>
      </x:c>
      <x:c r="B27" s="47" t="str">
        <x:v>HC-A-C-TECH-3</x:v>
      </x:c>
      <x:c r="C27" s="47" t="str">
        <x:v>HC-A-C</x:v>
      </x:c>
      <x:c r="D27" s="51" t="str">
        <x:v>Self-calibrating plume tomography</x:v>
      </x:c>
      <x:c r="E27" s="47" t="str">
        <x:v>HC-A-C-N3</x:v>
      </x:c>
      <x:c r="F27" s="47" t="str">
        <x:v>FX-HC-A-C-TECH-3-F2</x:v>
      </x:c>
      <x:c r="G27" s="47" t="str">
        <x:v>HC-A-C-N1</x:v>
      </x:c>
      <x:c r="H27" s="47" t="str">
        <x:v>HC-A-C-N2</x:v>
      </x:c>
      <x:c r="I27" s="47" t="str">
        <x:v>PUBLIC / UNVESTED</x:v>
      </x:c>
      <x:c r="J27" s="47" t="n">
        <x:f>COUNTIFS('Serial Schedule'!$J$7:$J$150,A27)</x:f>
        <x:v>3</x:v>
      </x:c>
      <x:c r="K27" s="47" t="n">
        <x:f>IF(E27&lt;&gt;G27,1,0)</x:f>
        <x:v>1</x:v>
      </x:c>
      <x:c r="L27" s="47" t="n">
        <x:f>IF(AND(H27&lt;&gt;E27,H27&lt;&gt;G27),1,0)</x:f>
        <x:v>1</x:v>
      </x:c>
      <x:c r="M27" s="47" t="str">
        <x:v>PROGRAMMED / UNINSTALLED</x:v>
      </x:c>
      <x:c r="N27" s="47" t="str">
        <x:v>F1</x:v>
      </x:c>
    </x:row>
    <x:row r="28">
      <x:c r="A28" s="47" t="str">
        <x:v>FX-HC-A-C-TECH-3-F2</x:v>
      </x:c>
      <x:c r="B28" s="47" t="str">
        <x:v>HC-A-C-TECH-3</x:v>
      </x:c>
      <x:c r="C28" s="47" t="str">
        <x:v>HC-A-C</x:v>
      </x:c>
      <x:c r="D28" s="51" t="str">
        <x:v>Self-calibrating plume tomography</x:v>
      </x:c>
      <x:c r="E28" s="47" t="str">
        <x:v>HC-A-C-N1</x:v>
      </x:c>
      <x:c r="F28" s="47" t="str">
        <x:v>FX-HC-A-C-TECH-3-F1</x:v>
      </x:c>
      <x:c r="G28" s="47" t="str">
        <x:v>HC-A-C-N3</x:v>
      </x:c>
      <x:c r="H28" s="47" t="str">
        <x:v>HC-A-C-N2</x:v>
      </x:c>
      <x:c r="I28" s="47" t="str">
        <x:v>PUBLIC / UNVESTED</x:v>
      </x:c>
      <x:c r="J28" s="47" t="n">
        <x:f>COUNTIFS('Serial Schedule'!$J$7:$J$150,A28)</x:f>
        <x:v>3</x:v>
      </x:c>
      <x:c r="K28" s="47" t="n">
        <x:f>IF(E28&lt;&gt;G28,1,0)</x:f>
        <x:v>1</x:v>
      </x:c>
      <x:c r="L28" s="47" t="n">
        <x:f>IF(AND(H28&lt;&gt;E28,H28&lt;&gt;G28),1,0)</x:f>
        <x:v>1</x:v>
      </x:c>
      <x:c r="M28" s="47" t="str">
        <x:v>PROGRAMMED / UNINSTALLED</x:v>
      </x:c>
      <x:c r="N28" s="47" t="str">
        <x:v>F2</x:v>
      </x:c>
    </x:row>
    <x:row r="29">
      <x:c r="A29" s="47" t="str">
        <x:v>FX-HC-A-C-TECH-4-F1</x:v>
      </x:c>
      <x:c r="B29" s="47" t="str">
        <x:v>HC-A-C-TECH-4</x:v>
      </x:c>
      <x:c r="C29" s="47" t="str">
        <x:v>HC-A-C</x:v>
      </x:c>
      <x:c r="D29" s="51" t="str">
        <x:v>Cell-local aero-thermal system</x:v>
      </x:c>
      <x:c r="E29" s="47" t="str">
        <x:v>HC-A-C-N1</x:v>
      </x:c>
      <x:c r="F29" s="47" t="str">
        <x:v>FX-HC-A-C-TECH-4-F2</x:v>
      </x:c>
      <x:c r="G29" s="47" t="str">
        <x:v>HC-A-C-N2</x:v>
      </x:c>
      <x:c r="H29" s="47" t="str">
        <x:v>HC-A-C-N3</x:v>
      </x:c>
      <x:c r="I29" s="47" t="str">
        <x:v>PUBLIC / UNVESTED</x:v>
      </x:c>
      <x:c r="J29" s="47" t="n">
        <x:f>COUNTIFS('Serial Schedule'!$J$7:$J$150,A29)</x:f>
        <x:v>3</x:v>
      </x:c>
      <x:c r="K29" s="47" t="n">
        <x:f>IF(E29&lt;&gt;G29,1,0)</x:f>
        <x:v>1</x:v>
      </x:c>
      <x:c r="L29" s="47" t="n">
        <x:f>IF(AND(H29&lt;&gt;E29,H29&lt;&gt;G29),1,0)</x:f>
        <x:v>1</x:v>
      </x:c>
      <x:c r="M29" s="47" t="str">
        <x:v>PROGRAMMED / UNINSTALLED</x:v>
      </x:c>
      <x:c r="N29" s="47" t="str">
        <x:v>F1</x:v>
      </x:c>
    </x:row>
    <x:row r="30">
      <x:c r="A30" s="47" t="str">
        <x:v>FX-HC-A-C-TECH-4-F2</x:v>
      </x:c>
      <x:c r="B30" s="47" t="str">
        <x:v>HC-A-C-TECH-4</x:v>
      </x:c>
      <x:c r="C30" s="47" t="str">
        <x:v>HC-A-C</x:v>
      </x:c>
      <x:c r="D30" s="51" t="str">
        <x:v>Cell-local aero-thermal system</x:v>
      </x:c>
      <x:c r="E30" s="47" t="str">
        <x:v>HC-A-C-N2</x:v>
      </x:c>
      <x:c r="F30" s="47" t="str">
        <x:v>FX-HC-A-C-TECH-4-F1</x:v>
      </x:c>
      <x:c r="G30" s="47" t="str">
        <x:v>HC-A-C-N1</x:v>
      </x:c>
      <x:c r="H30" s="47" t="str">
        <x:v>HC-A-C-N3</x:v>
      </x:c>
      <x:c r="I30" s="47" t="str">
        <x:v>PUBLIC / UNVESTED</x:v>
      </x:c>
      <x:c r="J30" s="47" t="n">
        <x:f>COUNTIFS('Serial Schedule'!$J$7:$J$150,A30)</x:f>
        <x:v>3</x:v>
      </x:c>
      <x:c r="K30" s="47" t="n">
        <x:f>IF(E30&lt;&gt;G30,1,0)</x:f>
        <x:v>1</x:v>
      </x:c>
      <x:c r="L30" s="47" t="n">
        <x:f>IF(AND(H30&lt;&gt;E30,H30&lt;&gt;G30),1,0)</x:f>
        <x:v>1</x:v>
      </x:c>
      <x:c r="M30" s="47" t="str">
        <x:v>PROGRAMMED / UNINSTALLED</x:v>
      </x:c>
      <x:c r="N30" s="47" t="str">
        <x:v>F2</x:v>
      </x:c>
    </x:row>
    <x:row r="31">
      <x:c r="A31" s="47" t="str">
        <x:v>FX-LF-B-A-TECH-1-F1</x:v>
      </x:c>
      <x:c r="B31" s="47" t="str">
        <x:v>LF-B-A-TECH-1</x:v>
      </x:c>
      <x:c r="C31" s="47" t="str">
        <x:v>LF-B-A</x:v>
      </x:c>
      <x:c r="D31" s="51" t="str">
        <x:v>Rapid multi-bore inference</x:v>
      </x:c>
      <x:c r="E31" s="47" t="str">
        <x:v>LF-B-A-N1</x:v>
      </x:c>
      <x:c r="F31" s="47" t="str">
        <x:v>FX-LF-B-A-TECH-1-F2</x:v>
      </x:c>
      <x:c r="G31" s="47" t="str">
        <x:v>LF-B-A-N2</x:v>
      </x:c>
      <x:c r="H31" s="47" t="str">
        <x:v>LF-B-A-N3</x:v>
      </x:c>
      <x:c r="I31" s="47" t="str">
        <x:v>PUBLIC / UNVESTED</x:v>
      </x:c>
      <x:c r="J31" s="47" t="n">
        <x:f>COUNTIFS('Serial Schedule'!$J$7:$J$150,A31)</x:f>
        <x:v>3</x:v>
      </x:c>
      <x:c r="K31" s="47" t="n">
        <x:f>IF(E31&lt;&gt;G31,1,0)</x:f>
        <x:v>1</x:v>
      </x:c>
      <x:c r="L31" s="47" t="n">
        <x:f>IF(AND(H31&lt;&gt;E31,H31&lt;&gt;G31),1,0)</x:f>
        <x:v>1</x:v>
      </x:c>
      <x:c r="M31" s="47" t="str">
        <x:v>PROGRAMMED / UNINSTALLED</x:v>
      </x:c>
      <x:c r="N31" s="47" t="str">
        <x:v>F1</x:v>
      </x:c>
    </x:row>
    <x:row r="32">
      <x:c r="A32" s="47" t="str">
        <x:v>FX-LF-B-A-TECH-1-F2</x:v>
      </x:c>
      <x:c r="B32" s="47" t="str">
        <x:v>LF-B-A-TECH-1</x:v>
      </x:c>
      <x:c r="C32" s="47" t="str">
        <x:v>LF-B-A</x:v>
      </x:c>
      <x:c r="D32" s="51" t="str">
        <x:v>Rapid multi-bore inference</x:v>
      </x:c>
      <x:c r="E32" s="47" t="str">
        <x:v>LF-B-A-N2</x:v>
      </x:c>
      <x:c r="F32" s="47" t="str">
        <x:v>FX-LF-B-A-TECH-1-F1</x:v>
      </x:c>
      <x:c r="G32" s="47" t="str">
        <x:v>LF-B-A-N1</x:v>
      </x:c>
      <x:c r="H32" s="47" t="str">
        <x:v>LF-B-A-N3</x:v>
      </x:c>
      <x:c r="I32" s="47" t="str">
        <x:v>PUBLIC / UNVESTED</x:v>
      </x:c>
      <x:c r="J32" s="47" t="n">
        <x:f>COUNTIFS('Serial Schedule'!$J$7:$J$150,A32)</x:f>
        <x:v>3</x:v>
      </x:c>
      <x:c r="K32" s="47" t="n">
        <x:f>IF(E32&lt;&gt;G32,1,0)</x:f>
        <x:v>1</x:v>
      </x:c>
      <x:c r="L32" s="47" t="n">
        <x:f>IF(AND(H32&lt;&gt;E32,H32&lt;&gt;G32),1,0)</x:f>
        <x:v>1</x:v>
      </x:c>
      <x:c r="M32" s="47" t="str">
        <x:v>PROGRAMMED / UNINSTALLED</x:v>
      </x:c>
      <x:c r="N32" s="47" t="str">
        <x:v>F2</x:v>
      </x:c>
    </x:row>
    <x:row r="33">
      <x:c r="A33" s="47" t="str">
        <x:v>FX-LF-B-A-TECH-2-F1</x:v>
      </x:c>
      <x:c r="B33" s="47" t="str">
        <x:v>LF-B-A-TECH-2</x:v>
      </x:c>
      <x:c r="C33" s="47" t="str">
        <x:v>LF-B-A</x:v>
      </x:c>
      <x:c r="D33" s="51" t="str">
        <x:v>Headerless high-temperature switching</x:v>
      </x:c>
      <x:c r="E33" s="47" t="str">
        <x:v>LF-B-A-N2</x:v>
      </x:c>
      <x:c r="F33" s="47" t="str">
        <x:v>FX-LF-B-A-TECH-2-F2</x:v>
      </x:c>
      <x:c r="G33" s="47" t="str">
        <x:v>LF-B-A-N3</x:v>
      </x:c>
      <x:c r="H33" s="47" t="str">
        <x:v>LF-B-A-N1</x:v>
      </x:c>
      <x:c r="I33" s="47" t="str">
        <x:v>PUBLIC / UNVESTED</x:v>
      </x:c>
      <x:c r="J33" s="47" t="n">
        <x:f>COUNTIFS('Serial Schedule'!$J$7:$J$150,A33)</x:f>
        <x:v>3</x:v>
      </x:c>
      <x:c r="K33" s="47" t="n">
        <x:f>IF(E33&lt;&gt;G33,1,0)</x:f>
        <x:v>1</x:v>
      </x:c>
      <x:c r="L33" s="47" t="n">
        <x:f>IF(AND(H33&lt;&gt;E33,H33&lt;&gt;G33),1,0)</x:f>
        <x:v>1</x:v>
      </x:c>
      <x:c r="M33" s="47" t="str">
        <x:v>PROGRAMMED / UNINSTALLED</x:v>
      </x:c>
      <x:c r="N33" s="47" t="str">
        <x:v>F1</x:v>
      </x:c>
    </x:row>
    <x:row r="34">
      <x:c r="A34" s="47" t="str">
        <x:v>FX-LF-B-A-TECH-2-F2</x:v>
      </x:c>
      <x:c r="B34" s="47" t="str">
        <x:v>LF-B-A-TECH-2</x:v>
      </x:c>
      <x:c r="C34" s="47" t="str">
        <x:v>LF-B-A</x:v>
      </x:c>
      <x:c r="D34" s="51" t="str">
        <x:v>Headerless high-temperature switching</x:v>
      </x:c>
      <x:c r="E34" s="47" t="str">
        <x:v>LF-B-A-N3</x:v>
      </x:c>
      <x:c r="F34" s="47" t="str">
        <x:v>FX-LF-B-A-TECH-2-F1</x:v>
      </x:c>
      <x:c r="G34" s="47" t="str">
        <x:v>LF-B-A-N2</x:v>
      </x:c>
      <x:c r="H34" s="47" t="str">
        <x:v>LF-B-A-N1</x:v>
      </x:c>
      <x:c r="I34" s="47" t="str">
        <x:v>PUBLIC / UNVESTED</x:v>
      </x:c>
      <x:c r="J34" s="47" t="n">
        <x:f>COUNTIFS('Serial Schedule'!$J$7:$J$150,A34)</x:f>
        <x:v>3</x:v>
      </x:c>
      <x:c r="K34" s="47" t="n">
        <x:f>IF(E34&lt;&gt;G34,1,0)</x:f>
        <x:v>1</x:v>
      </x:c>
      <x:c r="L34" s="47" t="n">
        <x:f>IF(AND(H34&lt;&gt;E34,H34&lt;&gt;G34),1,0)</x:f>
        <x:v>1</x:v>
      </x:c>
      <x:c r="M34" s="47" t="str">
        <x:v>PROGRAMMED / UNINSTALLED</x:v>
      </x:c>
      <x:c r="N34" s="47" t="str">
        <x:v>F2</x:v>
      </x:c>
    </x:row>
    <x:row r="35">
      <x:c r="A35" s="47" t="str">
        <x:v>FX-LF-B-A-TECH-3-F1</x:v>
      </x:c>
      <x:c r="B35" s="47" t="str">
        <x:v>LF-B-A-TECH-3</x:v>
      </x:c>
      <x:c r="C35" s="47" t="str">
        <x:v>LF-B-A</x:v>
      </x:c>
      <x:c r="D35" s="51" t="str">
        <x:v>Closed brine-mineral metabolism</x:v>
      </x:c>
      <x:c r="E35" s="47" t="str">
        <x:v>LF-B-A-N3</x:v>
      </x:c>
      <x:c r="F35" s="47" t="str">
        <x:v>FX-LF-B-A-TECH-3-F2</x:v>
      </x:c>
      <x:c r="G35" s="47" t="str">
        <x:v>LF-B-A-N1</x:v>
      </x:c>
      <x:c r="H35" s="47" t="str">
        <x:v>LF-B-A-N2</x:v>
      </x:c>
      <x:c r="I35" s="47" t="str">
        <x:v>PUBLIC / UNVESTED</x:v>
      </x:c>
      <x:c r="J35" s="47" t="n">
        <x:f>COUNTIFS('Serial Schedule'!$J$7:$J$150,A35)</x:f>
        <x:v>3</x:v>
      </x:c>
      <x:c r="K35" s="47" t="n">
        <x:f>IF(E35&lt;&gt;G35,1,0)</x:f>
        <x:v>1</x:v>
      </x:c>
      <x:c r="L35" s="47" t="n">
        <x:f>IF(AND(H35&lt;&gt;E35,H35&lt;&gt;G35),1,0)</x:f>
        <x:v>1</x:v>
      </x:c>
      <x:c r="M35" s="47" t="str">
        <x:v>PROGRAMMED / UNINSTALLED</x:v>
      </x:c>
      <x:c r="N35" s="47" t="str">
        <x:v>F1</x:v>
      </x:c>
    </x:row>
    <x:row r="36">
      <x:c r="A36" s="47" t="str">
        <x:v>FX-LF-B-A-TECH-3-F2</x:v>
      </x:c>
      <x:c r="B36" s="47" t="str">
        <x:v>LF-B-A-TECH-3</x:v>
      </x:c>
      <x:c r="C36" s="47" t="str">
        <x:v>LF-B-A</x:v>
      </x:c>
      <x:c r="D36" s="51" t="str">
        <x:v>Closed brine-mineral metabolism</x:v>
      </x:c>
      <x:c r="E36" s="47" t="str">
        <x:v>LF-B-A-N1</x:v>
      </x:c>
      <x:c r="F36" s="47" t="str">
        <x:v>FX-LF-B-A-TECH-3-F1</x:v>
      </x:c>
      <x:c r="G36" s="47" t="str">
        <x:v>LF-B-A-N3</x:v>
      </x:c>
      <x:c r="H36" s="47" t="str">
        <x:v>LF-B-A-N2</x:v>
      </x:c>
      <x:c r="I36" s="47" t="str">
        <x:v>PUBLIC / UNVESTED</x:v>
      </x:c>
      <x:c r="J36" s="47" t="n">
        <x:f>COUNTIFS('Serial Schedule'!$J$7:$J$150,A36)</x:f>
        <x:v>3</x:v>
      </x:c>
      <x:c r="K36" s="47" t="n">
        <x:f>IF(E36&lt;&gt;G36,1,0)</x:f>
        <x:v>1</x:v>
      </x:c>
      <x:c r="L36" s="47" t="n">
        <x:f>IF(AND(H36&lt;&gt;E36,H36&lt;&gt;G36),1,0)</x:f>
        <x:v>1</x:v>
      </x:c>
      <x:c r="M36" s="47" t="str">
        <x:v>PROGRAMMED / UNINSTALLED</x:v>
      </x:c>
      <x:c r="N36" s="47" t="str">
        <x:v>F2</x:v>
      </x:c>
    </x:row>
    <x:row r="37">
      <x:c r="A37" s="47" t="str">
        <x:v>FX-LF-B-A-TECH-4-F1</x:v>
      </x:c>
      <x:c r="B37" s="47" t="str">
        <x:v>LF-B-A-TECH-4</x:v>
      </x:c>
      <x:c r="C37" s="47" t="str">
        <x:v>LF-B-A</x:v>
      </x:c>
      <x:c r="D37" s="51" t="str">
        <x:v>Autonomous trenchless lifeline corridor</x:v>
      </x:c>
      <x:c r="E37" s="47" t="str">
        <x:v>LF-B-A-N1</x:v>
      </x:c>
      <x:c r="F37" s="47" t="str">
        <x:v>FX-LF-B-A-TECH-4-F2</x:v>
      </x:c>
      <x:c r="G37" s="47" t="str">
        <x:v>LF-B-A-N2</x:v>
      </x:c>
      <x:c r="H37" s="47" t="str">
        <x:v>LF-B-A-N3</x:v>
      </x:c>
      <x:c r="I37" s="47" t="str">
        <x:v>PUBLIC / UNVESTED</x:v>
      </x:c>
      <x:c r="J37" s="47" t="n">
        <x:f>COUNTIFS('Serial Schedule'!$J$7:$J$150,A37)</x:f>
        <x:v>3</x:v>
      </x:c>
      <x:c r="K37" s="47" t="n">
        <x:f>IF(E37&lt;&gt;G37,1,0)</x:f>
        <x:v>1</x:v>
      </x:c>
      <x:c r="L37" s="47" t="n">
        <x:f>IF(AND(H37&lt;&gt;E37,H37&lt;&gt;G37),1,0)</x:f>
        <x:v>1</x:v>
      </x:c>
      <x:c r="M37" s="47" t="str">
        <x:v>PROGRAMMED / UNINSTALLED</x:v>
      </x:c>
      <x:c r="N37" s="47" t="str">
        <x:v>F1</x:v>
      </x:c>
    </x:row>
    <x:row r="38">
      <x:c r="A38" s="47" t="str">
        <x:v>FX-LF-B-A-TECH-4-F2</x:v>
      </x:c>
      <x:c r="B38" s="47" t="str">
        <x:v>LF-B-A-TECH-4</x:v>
      </x:c>
      <x:c r="C38" s="47" t="str">
        <x:v>LF-B-A</x:v>
      </x:c>
      <x:c r="D38" s="51" t="str">
        <x:v>Autonomous trenchless lifeline corridor</x:v>
      </x:c>
      <x:c r="E38" s="47" t="str">
        <x:v>LF-B-A-N2</x:v>
      </x:c>
      <x:c r="F38" s="47" t="str">
        <x:v>FX-LF-B-A-TECH-4-F1</x:v>
      </x:c>
      <x:c r="G38" s="47" t="str">
        <x:v>LF-B-A-N1</x:v>
      </x:c>
      <x:c r="H38" s="47" t="str">
        <x:v>LF-B-A-N3</x:v>
      </x:c>
      <x:c r="I38" s="47" t="str">
        <x:v>PUBLIC / UNVESTED</x:v>
      </x:c>
      <x:c r="J38" s="47" t="n">
        <x:f>COUNTIFS('Serial Schedule'!$J$7:$J$150,A38)</x:f>
        <x:v>3</x:v>
      </x:c>
      <x:c r="K38" s="47" t="n">
        <x:f>IF(E38&lt;&gt;G38,1,0)</x:f>
        <x:v>1</x:v>
      </x:c>
      <x:c r="L38" s="47" t="n">
        <x:f>IF(AND(H38&lt;&gt;E38,H38&lt;&gt;G38),1,0)</x:f>
        <x:v>1</x:v>
      </x:c>
      <x:c r="M38" s="47" t="str">
        <x:v>PROGRAMMED / UNINSTALLED</x:v>
      </x:c>
      <x:c r="N38" s="47" t="str">
        <x:v>F2</x:v>
      </x:c>
    </x:row>
    <x:row r="39">
      <x:c r="A39" s="47" t="str">
        <x:v>FX-HU-A-B-TECH-1-F1</x:v>
      </x:c>
      <x:c r="B39" s="47" t="str">
        <x:v>HU-A-B-TECH-1</x:v>
      </x:c>
      <x:c r="C39" s="47" t="str">
        <x:v>HU-A-B</x:v>
      </x:c>
      <x:c r="D39" s="51" t="str">
        <x:v>Counter-rotating clinical loops</x:v>
      </x:c>
      <x:c r="E39" s="47" t="str">
        <x:v>HU-A-B-N1</x:v>
      </x:c>
      <x:c r="F39" s="47" t="str">
        <x:v>FX-HU-A-B-TECH-1-F2</x:v>
      </x:c>
      <x:c r="G39" s="47" t="str">
        <x:v>HU-A-B-N2</x:v>
      </x:c>
      <x:c r="H39" s="47" t="str">
        <x:v>HU-A-B-N3</x:v>
      </x:c>
      <x:c r="I39" s="47" t="str">
        <x:v>PUBLIC / UNVESTED</x:v>
      </x:c>
      <x:c r="J39" s="47" t="n">
        <x:f>COUNTIFS('Serial Schedule'!$J$7:$J$150,A39)</x:f>
        <x:v>3</x:v>
      </x:c>
      <x:c r="K39" s="47" t="n">
        <x:f>IF(E39&lt;&gt;G39,1,0)</x:f>
        <x:v>1</x:v>
      </x:c>
      <x:c r="L39" s="47" t="n">
        <x:f>IF(AND(H39&lt;&gt;E39,H39&lt;&gt;G39),1,0)</x:f>
        <x:v>1</x:v>
      </x:c>
      <x:c r="M39" s="47" t="str">
        <x:v>PROGRAMMED / UNINSTALLED</x:v>
      </x:c>
      <x:c r="N39" s="47" t="str">
        <x:v>F1</x:v>
      </x:c>
    </x:row>
    <x:row r="40">
      <x:c r="A40" s="47" t="str">
        <x:v>FX-HU-A-B-TECH-1-F2</x:v>
      </x:c>
      <x:c r="B40" s="47" t="str">
        <x:v>HU-A-B-TECH-1</x:v>
      </x:c>
      <x:c r="C40" s="47" t="str">
        <x:v>HU-A-B</x:v>
      </x:c>
      <x:c r="D40" s="51" t="str">
        <x:v>Counter-rotating clinical loops</x:v>
      </x:c>
      <x:c r="E40" s="47" t="str">
        <x:v>HU-A-B-N2</x:v>
      </x:c>
      <x:c r="F40" s="47" t="str">
        <x:v>FX-HU-A-B-TECH-1-F1</x:v>
      </x:c>
      <x:c r="G40" s="47" t="str">
        <x:v>HU-A-B-N1</x:v>
      </x:c>
      <x:c r="H40" s="47" t="str">
        <x:v>HU-A-B-N3</x:v>
      </x:c>
      <x:c r="I40" s="47" t="str">
        <x:v>PUBLIC / UNVESTED</x:v>
      </x:c>
      <x:c r="J40" s="47" t="n">
        <x:f>COUNTIFS('Serial Schedule'!$J$7:$J$150,A40)</x:f>
        <x:v>3</x:v>
      </x:c>
      <x:c r="K40" s="47" t="n">
        <x:f>IF(E40&lt;&gt;G40,1,0)</x:f>
        <x:v>1</x:v>
      </x:c>
      <x:c r="L40" s="47" t="n">
        <x:f>IF(AND(H40&lt;&gt;E40,H40&lt;&gt;G40),1,0)</x:f>
        <x:v>1</x:v>
      </x:c>
      <x:c r="M40" s="47" t="str">
        <x:v>PROGRAMMED / UNINSTALLED</x:v>
      </x:c>
      <x:c r="N40" s="47" t="str">
        <x:v>F2</x:v>
      </x:c>
    </x:row>
    <x:row r="41">
      <x:c r="A41" s="47" t="str">
        <x:v>FX-HU-A-B-TECH-2-F1</x:v>
      </x:c>
      <x:c r="B41" s="47" t="str">
        <x:v>HU-A-B-TECH-2</x:v>
      </x:c>
      <x:c r="C41" s="47" t="str">
        <x:v>HU-A-B</x:v>
      </x:c>
      <x:c r="D41" s="51" t="str">
        <x:v>Acuity-reconfigurable care district</x:v>
      </x:c>
      <x:c r="E41" s="47" t="str">
        <x:v>HU-A-B-N2</x:v>
      </x:c>
      <x:c r="F41" s="47" t="str">
        <x:v>FX-HU-A-B-TECH-2-F2</x:v>
      </x:c>
      <x:c r="G41" s="47" t="str">
        <x:v>HU-A-B-N3</x:v>
      </x:c>
      <x:c r="H41" s="47" t="str">
        <x:v>HU-A-B-N1</x:v>
      </x:c>
      <x:c r="I41" s="47" t="str">
        <x:v>PUBLIC / UNVESTED</x:v>
      </x:c>
      <x:c r="J41" s="47" t="n">
        <x:f>COUNTIFS('Serial Schedule'!$J$7:$J$150,A41)</x:f>
        <x:v>3</x:v>
      </x:c>
      <x:c r="K41" s="47" t="n">
        <x:f>IF(E41&lt;&gt;G41,1,0)</x:f>
        <x:v>1</x:v>
      </x:c>
      <x:c r="L41" s="47" t="n">
        <x:f>IF(AND(H41&lt;&gt;E41,H41&lt;&gt;G41),1,0)</x:f>
        <x:v>1</x:v>
      </x:c>
      <x:c r="M41" s="47" t="str">
        <x:v>PROGRAMMED / UNINSTALLED</x:v>
      </x:c>
      <x:c r="N41" s="47" t="str">
        <x:v>F1</x:v>
      </x:c>
    </x:row>
    <x:row r="42">
      <x:c r="A42" s="47" t="str">
        <x:v>FX-HU-A-B-TECH-2-F2</x:v>
      </x:c>
      <x:c r="B42" s="47" t="str">
        <x:v>HU-A-B-TECH-2</x:v>
      </x:c>
      <x:c r="C42" s="47" t="str">
        <x:v>HU-A-B</x:v>
      </x:c>
      <x:c r="D42" s="51" t="str">
        <x:v>Acuity-reconfigurable care district</x:v>
      </x:c>
      <x:c r="E42" s="47" t="str">
        <x:v>HU-A-B-N3</x:v>
      </x:c>
      <x:c r="F42" s="47" t="str">
        <x:v>FX-HU-A-B-TECH-2-F1</x:v>
      </x:c>
      <x:c r="G42" s="47" t="str">
        <x:v>HU-A-B-N2</x:v>
      </x:c>
      <x:c r="H42" s="47" t="str">
        <x:v>HU-A-B-N1</x:v>
      </x:c>
      <x:c r="I42" s="47" t="str">
        <x:v>PUBLIC / UNVESTED</x:v>
      </x:c>
      <x:c r="J42" s="47" t="n">
        <x:f>COUNTIFS('Serial Schedule'!$J$7:$J$150,A42)</x:f>
        <x:v>3</x:v>
      </x:c>
      <x:c r="K42" s="47" t="n">
        <x:f>IF(E42&lt;&gt;G42,1,0)</x:f>
        <x:v>1</x:v>
      </x:c>
      <x:c r="L42" s="47" t="n">
        <x:f>IF(AND(H42&lt;&gt;E42,H42&lt;&gt;G42),1,0)</x:f>
        <x:v>1</x:v>
      </x:c>
      <x:c r="M42" s="47" t="str">
        <x:v>PROGRAMMED / UNINSTALLED</x:v>
      </x:c>
      <x:c r="N42" s="47" t="str">
        <x:v>F2</x:v>
      </x:c>
    </x:row>
    <x:row r="43">
      <x:c r="A43" s="47" t="str">
        <x:v>FX-HU-A-B-TECH-3-F1</x:v>
      </x:c>
      <x:c r="B43" s="47" t="str">
        <x:v>HU-A-B-TECH-3</x:v>
      </x:c>
      <x:c r="C43" s="47" t="str">
        <x:v>HU-A-B</x:v>
      </x:c>
      <x:c r="D43" s="51" t="str">
        <x:v>Distributed sterile ancestry</x:v>
      </x:c>
      <x:c r="E43" s="47" t="str">
        <x:v>HU-A-B-N3</x:v>
      </x:c>
      <x:c r="F43" s="47" t="str">
        <x:v>FX-HU-A-B-TECH-3-F2</x:v>
      </x:c>
      <x:c r="G43" s="47" t="str">
        <x:v>HU-A-B-N1</x:v>
      </x:c>
      <x:c r="H43" s="47" t="str">
        <x:v>HU-A-B-N2</x:v>
      </x:c>
      <x:c r="I43" s="47" t="str">
        <x:v>PUBLIC / UNVESTED</x:v>
      </x:c>
      <x:c r="J43" s="47" t="n">
        <x:f>COUNTIFS('Serial Schedule'!$J$7:$J$150,A43)</x:f>
        <x:v>3</x:v>
      </x:c>
      <x:c r="K43" s="47" t="n">
        <x:f>IF(E43&lt;&gt;G43,1,0)</x:f>
        <x:v>1</x:v>
      </x:c>
      <x:c r="L43" s="47" t="n">
        <x:f>IF(AND(H43&lt;&gt;E43,H43&lt;&gt;G43),1,0)</x:f>
        <x:v>1</x:v>
      </x:c>
      <x:c r="M43" s="47" t="str">
        <x:v>PROGRAMMED / UNINSTALLED</x:v>
      </x:c>
      <x:c r="N43" s="47" t="str">
        <x:v>F1</x:v>
      </x:c>
    </x:row>
    <x:row r="44">
      <x:c r="A44" s="47" t="str">
        <x:v>FX-HU-A-B-TECH-3-F2</x:v>
      </x:c>
      <x:c r="B44" s="47" t="str">
        <x:v>HU-A-B-TECH-3</x:v>
      </x:c>
      <x:c r="C44" s="47" t="str">
        <x:v>HU-A-B</x:v>
      </x:c>
      <x:c r="D44" s="51" t="str">
        <x:v>Distributed sterile ancestry</x:v>
      </x:c>
      <x:c r="E44" s="47" t="str">
        <x:v>HU-A-B-N1</x:v>
      </x:c>
      <x:c r="F44" s="47" t="str">
        <x:v>FX-HU-A-B-TECH-3-F1</x:v>
      </x:c>
      <x:c r="G44" s="47" t="str">
        <x:v>HU-A-B-N3</x:v>
      </x:c>
      <x:c r="H44" s="47" t="str">
        <x:v>HU-A-B-N2</x:v>
      </x:c>
      <x:c r="I44" s="47" t="str">
        <x:v>PUBLIC / UNVESTED</x:v>
      </x:c>
      <x:c r="J44" s="47" t="n">
        <x:f>COUNTIFS('Serial Schedule'!$J$7:$J$150,A44)</x:f>
        <x:v>3</x:v>
      </x:c>
      <x:c r="K44" s="47" t="n">
        <x:f>IF(E44&lt;&gt;G44,1,0)</x:f>
        <x:v>1</x:v>
      </x:c>
      <x:c r="L44" s="47" t="n">
        <x:f>IF(AND(H44&lt;&gt;E44,H44&lt;&gt;G44),1,0)</x:f>
        <x:v>1</x:v>
      </x:c>
      <x:c r="M44" s="47" t="str">
        <x:v>PROGRAMMED / UNINSTALLED</x:v>
      </x:c>
      <x:c r="N44" s="47" t="str">
        <x:v>F2</x:v>
      </x:c>
    </x:row>
    <x:row r="45">
      <x:c r="A45" s="47" t="str">
        <x:v>FX-HU-A-B-TECH-4-F1</x:v>
      </x:c>
      <x:c r="B45" s="47" t="str">
        <x:v>HU-A-B-TECH-4</x:v>
      </x:c>
      <x:c r="C45" s="47" t="str">
        <x:v>HU-A-B</x:v>
      </x:c>
      <x:c r="D45" s="51" t="str">
        <x:v>Offline relationship continuity</x:v>
      </x:c>
      <x:c r="E45" s="47" t="str">
        <x:v>HU-A-B-N1</x:v>
      </x:c>
      <x:c r="F45" s="47" t="str">
        <x:v>FX-HU-A-B-TECH-4-F2</x:v>
      </x:c>
      <x:c r="G45" s="47" t="str">
        <x:v>HU-A-B-N2</x:v>
      </x:c>
      <x:c r="H45" s="47" t="str">
        <x:v>HU-A-B-N3</x:v>
      </x:c>
      <x:c r="I45" s="47" t="str">
        <x:v>PUBLIC / UNVESTED</x:v>
      </x:c>
      <x:c r="J45" s="47" t="n">
        <x:f>COUNTIFS('Serial Schedule'!$J$7:$J$150,A45)</x:f>
        <x:v>3</x:v>
      </x:c>
      <x:c r="K45" s="47" t="n">
        <x:f>IF(E45&lt;&gt;G45,1,0)</x:f>
        <x:v>1</x:v>
      </x:c>
      <x:c r="L45" s="47" t="n">
        <x:f>IF(AND(H45&lt;&gt;E45,H45&lt;&gt;G45),1,0)</x:f>
        <x:v>1</x:v>
      </x:c>
      <x:c r="M45" s="47" t="str">
        <x:v>PROGRAMMED / UNINSTALLED</x:v>
      </x:c>
      <x:c r="N45" s="47" t="str">
        <x:v>F1</x:v>
      </x:c>
    </x:row>
    <x:row r="46">
      <x:c r="A46" s="47" t="str">
        <x:v>FX-HU-A-B-TECH-4-F2</x:v>
      </x:c>
      <x:c r="B46" s="47" t="str">
        <x:v>HU-A-B-TECH-4</x:v>
      </x:c>
      <x:c r="C46" s="47" t="str">
        <x:v>HU-A-B</x:v>
      </x:c>
      <x:c r="D46" s="51" t="str">
        <x:v>Offline relationship continuity</x:v>
      </x:c>
      <x:c r="E46" s="47" t="str">
        <x:v>HU-A-B-N2</x:v>
      </x:c>
      <x:c r="F46" s="47" t="str">
        <x:v>FX-HU-A-B-TECH-4-F1</x:v>
      </x:c>
      <x:c r="G46" s="47" t="str">
        <x:v>HU-A-B-N1</x:v>
      </x:c>
      <x:c r="H46" s="47" t="str">
        <x:v>HU-A-B-N3</x:v>
      </x:c>
      <x:c r="I46" s="47" t="str">
        <x:v>PUBLIC / UNVESTED</x:v>
      </x:c>
      <x:c r="J46" s="47" t="n">
        <x:f>COUNTIFS('Serial Schedule'!$J$7:$J$150,A46)</x:f>
        <x:v>3</x:v>
      </x:c>
      <x:c r="K46" s="47" t="n">
        <x:f>IF(E46&lt;&gt;G46,1,0)</x:f>
        <x:v>1</x:v>
      </x:c>
      <x:c r="L46" s="47" t="n">
        <x:f>IF(AND(H46&lt;&gt;E46,H46&lt;&gt;G46),1,0)</x:f>
        <x:v>1</x:v>
      </x:c>
      <x:c r="M46" s="47" t="str">
        <x:v>PROGRAMMED / UNINSTALLED</x:v>
      </x:c>
      <x:c r="N46" s="47" t="str">
        <x:v>F2</x:v>
      </x:c>
    </x:row>
    <x:row r="47">
      <x:c r="A47" s="47" t="str">
        <x:v>FX-RT-B-C-TECH-1-F1</x:v>
      </x:c>
      <x:c r="B47" s="47" t="str">
        <x:v>RT-B-C-TECH-1</x:v>
      </x:c>
      <x:c r="C47" s="47" t="str">
        <x:v>RT-B-C</x:v>
      </x:c>
      <x:c r="D47" s="51" t="str">
        <x:v>Ancestry-complete mobile trainlet</x:v>
      </x:c>
      <x:c r="E47" s="47" t="str">
        <x:v>RT-B-C-N1</x:v>
      </x:c>
      <x:c r="F47" s="47" t="str">
        <x:v>FX-RT-B-C-TECH-1-F2</x:v>
      </x:c>
      <x:c r="G47" s="47" t="str">
        <x:v>RT-B-C-N2</x:v>
      </x:c>
      <x:c r="H47" s="47" t="str">
        <x:v>RT-B-C-N3</x:v>
      </x:c>
      <x:c r="I47" s="47" t="str">
        <x:v>PUBLIC / UNVESTED</x:v>
      </x:c>
      <x:c r="J47" s="47" t="n">
        <x:f>COUNTIFS('Serial Schedule'!$J$7:$J$150,A47)</x:f>
        <x:v>3</x:v>
      </x:c>
      <x:c r="K47" s="47" t="n">
        <x:f>IF(E47&lt;&gt;G47,1,0)</x:f>
        <x:v>1</x:v>
      </x:c>
      <x:c r="L47" s="47" t="n">
        <x:f>IF(AND(H47&lt;&gt;E47,H47&lt;&gt;G47),1,0)</x:f>
        <x:v>1</x:v>
      </x:c>
      <x:c r="M47" s="47" t="str">
        <x:v>PROGRAMMED / UNINSTALLED</x:v>
      </x:c>
      <x:c r="N47" s="47" t="str">
        <x:v>F1</x:v>
      </x:c>
    </x:row>
    <x:row r="48">
      <x:c r="A48" s="47" t="str">
        <x:v>FX-RT-B-C-TECH-1-F2</x:v>
      </x:c>
      <x:c r="B48" s="47" t="str">
        <x:v>RT-B-C-TECH-1</x:v>
      </x:c>
      <x:c r="C48" s="47" t="str">
        <x:v>RT-B-C</x:v>
      </x:c>
      <x:c r="D48" s="51" t="str">
        <x:v>Ancestry-complete mobile trainlet</x:v>
      </x:c>
      <x:c r="E48" s="47" t="str">
        <x:v>RT-B-C-N2</x:v>
      </x:c>
      <x:c r="F48" s="47" t="str">
        <x:v>FX-RT-B-C-TECH-1-F1</x:v>
      </x:c>
      <x:c r="G48" s="47" t="str">
        <x:v>RT-B-C-N1</x:v>
      </x:c>
      <x:c r="H48" s="47" t="str">
        <x:v>RT-B-C-N3</x:v>
      </x:c>
      <x:c r="I48" s="47" t="str">
        <x:v>PUBLIC / UNVESTED</x:v>
      </x:c>
      <x:c r="J48" s="47" t="n">
        <x:f>COUNTIFS('Serial Schedule'!$J$7:$J$150,A48)</x:f>
        <x:v>3</x:v>
      </x:c>
      <x:c r="K48" s="47" t="n">
        <x:f>IF(E48&lt;&gt;G48,1,0)</x:f>
        <x:v>1</x:v>
      </x:c>
      <x:c r="L48" s="47" t="n">
        <x:f>IF(AND(H48&lt;&gt;E48,H48&lt;&gt;G48),1,0)</x:f>
        <x:v>1</x:v>
      </x:c>
      <x:c r="M48" s="47" t="str">
        <x:v>PROGRAMMED / UNINSTALLED</x:v>
      </x:c>
      <x:c r="N48" s="47" t="str">
        <x:v>F2</x:v>
      </x:c>
    </x:row>
    <x:row r="49">
      <x:c r="A49" s="47" t="str">
        <x:v>FX-RT-B-C-TECH-2-F1</x:v>
      </x:c>
      <x:c r="B49" s="47" t="str">
        <x:v>RT-B-C-TECH-2</x:v>
      </x:c>
      <x:c r="C49" s="47" t="str">
        <x:v>RT-B-C</x:v>
      </x:c>
      <x:c r="D49" s="51" t="str">
        <x:v>Pulsed process microgrid</x:v>
      </x:c>
      <x:c r="E49" s="47" t="str">
        <x:v>RT-B-C-N2</x:v>
      </x:c>
      <x:c r="F49" s="47" t="str">
        <x:v>FX-RT-B-C-TECH-2-F2</x:v>
      </x:c>
      <x:c r="G49" s="47" t="str">
        <x:v>RT-B-C-N3</x:v>
      </x:c>
      <x:c r="H49" s="47" t="str">
        <x:v>RT-B-C-N1</x:v>
      </x:c>
      <x:c r="I49" s="47" t="str">
        <x:v>PUBLIC / UNVESTED</x:v>
      </x:c>
      <x:c r="J49" s="47" t="n">
        <x:f>COUNTIFS('Serial Schedule'!$J$7:$J$150,A49)</x:f>
        <x:v>3</x:v>
      </x:c>
      <x:c r="K49" s="47" t="n">
        <x:f>IF(E49&lt;&gt;G49,1,0)</x:f>
        <x:v>1</x:v>
      </x:c>
      <x:c r="L49" s="47" t="n">
        <x:f>IF(AND(H49&lt;&gt;E49,H49&lt;&gt;G49),1,0)</x:f>
        <x:v>1</x:v>
      </x:c>
      <x:c r="M49" s="47" t="str">
        <x:v>PROGRAMMED / UNINSTALLED</x:v>
      </x:c>
      <x:c r="N49" s="47" t="str">
        <x:v>F1</x:v>
      </x:c>
    </x:row>
    <x:row r="50">
      <x:c r="A50" s="47" t="str">
        <x:v>FX-RT-B-C-TECH-2-F2</x:v>
      </x:c>
      <x:c r="B50" s="47" t="str">
        <x:v>RT-B-C-TECH-2</x:v>
      </x:c>
      <x:c r="C50" s="47" t="str">
        <x:v>RT-B-C</x:v>
      </x:c>
      <x:c r="D50" s="51" t="str">
        <x:v>Pulsed process microgrid</x:v>
      </x:c>
      <x:c r="E50" s="47" t="str">
        <x:v>RT-B-C-N3</x:v>
      </x:c>
      <x:c r="F50" s="47" t="str">
        <x:v>FX-RT-B-C-TECH-2-F1</x:v>
      </x:c>
      <x:c r="G50" s="47" t="str">
        <x:v>RT-B-C-N2</x:v>
      </x:c>
      <x:c r="H50" s="47" t="str">
        <x:v>RT-B-C-N1</x:v>
      </x:c>
      <x:c r="I50" s="47" t="str">
        <x:v>PUBLIC / UNVESTED</x:v>
      </x:c>
      <x:c r="J50" s="47" t="n">
        <x:f>COUNTIFS('Serial Schedule'!$J$7:$J$150,A50)</x:f>
        <x:v>3</x:v>
      </x:c>
      <x:c r="K50" s="47" t="n">
        <x:f>IF(E50&lt;&gt;G50,1,0)</x:f>
        <x:v>1</x:v>
      </x:c>
      <x:c r="L50" s="47" t="n">
        <x:f>IF(AND(H50&lt;&gt;E50,H50&lt;&gt;G50),1,0)</x:f>
        <x:v>1</x:v>
      </x:c>
      <x:c r="M50" s="47" t="str">
        <x:v>PROGRAMMED / UNINSTALLED</x:v>
      </x:c>
      <x:c r="N50" s="47" t="str">
        <x:v>F2</x:v>
      </x:c>
    </x:row>
    <x:row r="51">
      <x:c r="A51" s="47" t="str">
        <x:v>FX-RT-B-C-TECH-3-F1</x:v>
      </x:c>
      <x:c r="B51" s="47" t="str">
        <x:v>RT-B-C-TECH-3</x:v>
      </x:c>
      <x:c r="C51" s="47" t="str">
        <x:v>RT-B-C</x:v>
      </x:c>
      <x:c r="D51" s="51" t="str">
        <x:v>Self-describing machines and fixtures</x:v>
      </x:c>
      <x:c r="E51" s="47" t="str">
        <x:v>RT-B-C-N3</x:v>
      </x:c>
      <x:c r="F51" s="47" t="str">
        <x:v>FX-RT-B-C-TECH-3-F2</x:v>
      </x:c>
      <x:c r="G51" s="47" t="str">
        <x:v>RT-B-C-N1</x:v>
      </x:c>
      <x:c r="H51" s="47" t="str">
        <x:v>RT-B-C-N2</x:v>
      </x:c>
      <x:c r="I51" s="47" t="str">
        <x:v>PUBLIC / UNVESTED</x:v>
      </x:c>
      <x:c r="J51" s="47" t="n">
        <x:f>COUNTIFS('Serial Schedule'!$J$7:$J$150,A51)</x:f>
        <x:v>3</x:v>
      </x:c>
      <x:c r="K51" s="47" t="n">
        <x:f>IF(E51&lt;&gt;G51,1,0)</x:f>
        <x:v>1</x:v>
      </x:c>
      <x:c r="L51" s="47" t="n">
        <x:f>IF(AND(H51&lt;&gt;E51,H51&lt;&gt;G51),1,0)</x:f>
        <x:v>1</x:v>
      </x:c>
      <x:c r="M51" s="47" t="str">
        <x:v>PROGRAMMED / UNINSTALLED</x:v>
      </x:c>
      <x:c r="N51" s="47" t="str">
        <x:v>F1</x:v>
      </x:c>
    </x:row>
    <x:row r="52">
      <x:c r="A52" s="47" t="str">
        <x:v>FX-RT-B-C-TECH-3-F2</x:v>
      </x:c>
      <x:c r="B52" s="47" t="str">
        <x:v>RT-B-C-TECH-3</x:v>
      </x:c>
      <x:c r="C52" s="47" t="str">
        <x:v>RT-B-C</x:v>
      </x:c>
      <x:c r="D52" s="51" t="str">
        <x:v>Self-describing machines and fixtures</x:v>
      </x:c>
      <x:c r="E52" s="47" t="str">
        <x:v>RT-B-C-N1</x:v>
      </x:c>
      <x:c r="F52" s="47" t="str">
        <x:v>FX-RT-B-C-TECH-3-F1</x:v>
      </x:c>
      <x:c r="G52" s="47" t="str">
        <x:v>RT-B-C-N3</x:v>
      </x:c>
      <x:c r="H52" s="47" t="str">
        <x:v>RT-B-C-N2</x:v>
      </x:c>
      <x:c r="I52" s="47" t="str">
        <x:v>PUBLIC / UNVESTED</x:v>
      </x:c>
      <x:c r="J52" s="47" t="n">
        <x:f>COUNTIFS('Serial Schedule'!$J$7:$J$150,A52)</x:f>
        <x:v>3</x:v>
      </x:c>
      <x:c r="K52" s="47" t="n">
        <x:f>IF(E52&lt;&gt;G52,1,0)</x:f>
        <x:v>1</x:v>
      </x:c>
      <x:c r="L52" s="47" t="n">
        <x:f>IF(AND(H52&lt;&gt;E52,H52&lt;&gt;G52),1,0)</x:f>
        <x:v>1</x:v>
      </x:c>
      <x:c r="M52" s="47" t="str">
        <x:v>PROGRAMMED / UNINSTALLED</x:v>
      </x:c>
      <x:c r="N52" s="47" t="str">
        <x:v>F2</x:v>
      </x:c>
    </x:row>
    <x:row r="53">
      <x:c r="A53" s="47" t="str">
        <x:v>FX-RT-B-C-TECH-4-F1</x:v>
      </x:c>
      <x:c r="B53" s="47" t="str">
        <x:v>RT-B-C-TECH-4</x:v>
      </x:c>
      <x:c r="C53" s="47" t="str">
        <x:v>RT-B-C</x:v>
      </x:c>
      <x:c r="D53" s="51" t="str">
        <x:v>Portable primary metrology</x:v>
      </x:c>
      <x:c r="E53" s="47" t="str">
        <x:v>RT-B-C-N1</x:v>
      </x:c>
      <x:c r="F53" s="47" t="str">
        <x:v>FX-RT-B-C-TECH-4-F2</x:v>
      </x:c>
      <x:c r="G53" s="47" t="str">
        <x:v>RT-B-C-N2</x:v>
      </x:c>
      <x:c r="H53" s="47" t="str">
        <x:v>RT-B-C-N3</x:v>
      </x:c>
      <x:c r="I53" s="47" t="str">
        <x:v>PUBLIC / UNVESTED</x:v>
      </x:c>
      <x:c r="J53" s="47" t="n">
        <x:f>COUNTIFS('Serial Schedule'!$J$7:$J$150,A53)</x:f>
        <x:v>3</x:v>
      </x:c>
      <x:c r="K53" s="47" t="n">
        <x:f>IF(E53&lt;&gt;G53,1,0)</x:f>
        <x:v>1</x:v>
      </x:c>
      <x:c r="L53" s="47" t="n">
        <x:f>IF(AND(H53&lt;&gt;E53,H53&lt;&gt;G53),1,0)</x:f>
        <x:v>1</x:v>
      </x:c>
      <x:c r="M53" s="47" t="str">
        <x:v>PROGRAMMED / UNINSTALLED</x:v>
      </x:c>
      <x:c r="N53" s="47" t="str">
        <x:v>F1</x:v>
      </x:c>
    </x:row>
    <x:row r="54">
      <x:c r="A54" s="47" t="str">
        <x:v>FX-RT-B-C-TECH-4-F2</x:v>
      </x:c>
      <x:c r="B54" s="47" t="str">
        <x:v>RT-B-C-TECH-4</x:v>
      </x:c>
      <x:c r="C54" s="47" t="str">
        <x:v>RT-B-C</x:v>
      </x:c>
      <x:c r="D54" s="51" t="str">
        <x:v>Portable primary metrology</x:v>
      </x:c>
      <x:c r="E54" s="47" t="str">
        <x:v>RT-B-C-N2</x:v>
      </x:c>
      <x:c r="F54" s="47" t="str">
        <x:v>FX-RT-B-C-TECH-4-F1</x:v>
      </x:c>
      <x:c r="G54" s="47" t="str">
        <x:v>RT-B-C-N1</x:v>
      </x:c>
      <x:c r="H54" s="47" t="str">
        <x:v>RT-B-C-N3</x:v>
      </x:c>
      <x:c r="I54" s="47" t="str">
        <x:v>PUBLIC / UNVESTED</x:v>
      </x:c>
      <x:c r="J54" s="47" t="n">
        <x:f>COUNTIFS('Serial Schedule'!$J$7:$J$150,A54)</x:f>
        <x:v>3</x:v>
      </x:c>
      <x:c r="K54" s="47" t="n">
        <x:f>IF(E54&lt;&gt;G54,1,0)</x:f>
        <x:v>1</x:v>
      </x:c>
      <x:c r="L54" s="47" t="n">
        <x:f>IF(AND(H54&lt;&gt;E54,H54&lt;&gt;G54),1,0)</x:f>
        <x:v>1</x:v>
      </x:c>
      <x:c r="M54" s="47" t="str">
        <x:v>PROGRAMMED / UNINSTALLED</x:v>
      </x:c>
      <x:c r="N54" s="47" t="str">
        <x:v>F2</x:v>
      </x:c>
    </x:row>
  </x:sheetData>
  <x:conditionalFormatting sqref="M7:M54">
    <x:cfRule type="containsText" dxfId="27" priority="1" operator="containsText" text="HOLD"/>
    <x:cfRule type="containsText" dxfId="28" priority="2" operator="containsText" text="OPEN"/>
    <x:cfRule type="containsText" dxfId="29" priority="3" operator="containsText" text="UNBUILT"/>
    <x:cfRule type="containsText" dxfId="30" priority="4" operator="containsText" text="UNLOCATED"/>
    <x:cfRule type="containsText" dxfId="31" priority="5" operator="containsText" text="IDENTITY EMPTY"/>
    <x:cfRule type="containsText" dxfId="32" priority="6" operator="containsText" text="UNINSTALLED"/>
    <x:cfRule type="containsText" dxfId="33" priority="7" operator="containsText" text="FAIL"/>
    <x:cfRule type="containsText" dxfId="34" priority="8" operator="containsText" text="TERMINATE"/>
    <x:cfRule type="containsText" dxfId="35" priority="9" operator="containsText" text="VIOLATION"/>
  </x:conditionalFormatting>
  <x:pageMargins left="0.7" right="0.7" top="0.75" bottom="0.75" header="0.3" footer="0.3"/>
  <x:tableParts count="1">
    <x:tablePart xmlns:r="http://schemas.openxmlformats.org/officeDocument/2006/relationships" r:id="Rdbcfc89387204a4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42" hidden="0" customWidth="1"/>
    <x:col min="2" max="2" width="24" hidden="0" customWidth="1"/>
    <x:col min="3" max="3" width="13" hidden="0" customWidth="1"/>
    <x:col min="4" max="4" width="15" hidden="0" customWidth="1"/>
    <x:col min="5" max="5" width="14" hidden="0" customWidth="1"/>
    <x:col min="6" max="6" width="10" hidden="0" customWidth="1"/>
    <x:col min="7" max="7" width="18" hidden="0" customWidth="1"/>
    <x:col min="8" max="8" width="10" hidden="0" customWidth="1"/>
    <x:col min="9" max="9" width="18" hidden="0" customWidth="1"/>
    <x:col min="10" max="10" width="34" hidden="0" customWidth="1"/>
    <x:col min="11" max="11" width="22" hidden="0" customWidth="1"/>
    <x:col min="12" max="12" width="22" hidden="0" customWidth="1"/>
    <x:col min="13" max="13" width="22" hidden="0" customWidth="1"/>
    <x:col min="14" max="14" width="10" hidden="0" customWidth="1"/>
    <x:col min="15" max="15" width="18" hidden="0" customWidth="1"/>
    <x:col min="16" max="16" width="18" hidden="0" customWidth="1"/>
    <x:col min="17" max="17" width="28" hidden="0" customWidth="1"/>
    <x:col min="18" max="18" width="17" hidden="0" customWidth="1"/>
    <x:col min="19" max="19" width="26" hidden="0" customWidth="1"/>
    <x:col min="20" max="20" width="32" hidden="0" customWidth="1"/>
    <x:col min="21" max="21" width="22" hidden="0" customWidth="1"/>
    <x:col min="22" max="22" width="22" hidden="0" customWidth="1"/>
    <x:col min="23" max="23" width="22" hidden="0" customWidth="1"/>
  </x:cols>
  <x:sheetData>
    <x:row r="1">
      <x:c r="A1" s="47"/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  <x:c r="V1" s="47"/>
      <x:c r="W1" s="47"/>
    </x:row>
    <x:row r="2">
      <x:c r="A2" s="55" t="str">
        <x:v>One hundred forty-four serial-bound campaign positions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  <x:c r="W2" s="47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  <x:c r="V4" s="47"/>
      <x:c r="W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  <x:c r="V5" s="47"/>
      <x:c r="W5" s="47"/>
    </x:row>
    <x:row r="6" ht="34" customHeight="1">
      <x:c r="A6" s="15" t="str">
        <x:v>Serial</x:v>
      </x:c>
      <x:c r="B6" s="15" t="str">
        <x:v>Order</x:v>
      </x:c>
      <x:c r="C6" s="15" t="str">
        <x:v>Form</x:v>
      </x:c>
      <x:c r="D6" s="15" t="str">
        <x:v>Serial class</x:v>
      </x:c>
      <x:c r="E6" s="15" t="str">
        <x:v>Builder root</x:v>
      </x:c>
      <x:c r="F6" s="15" t="str">
        <x:v>Role</x:v>
      </x:c>
      <x:c r="G6" s="15" t="str">
        <x:v>Acceptance-bearing</x:v>
      </x:c>
      <x:c r="H6" s="15" t="str">
        <x:v>Epoch</x:v>
      </x:c>
      <x:c r="I6" s="15" t="str">
        <x:v>Build release week</x:v>
      </x:c>
      <x:c r="J6" s="15" t="str">
        <x:v>Fixture</x:v>
      </x:c>
      <x:c r="K6" s="15" t="str">
        <x:v>Primary site</x:v>
      </x:c>
      <x:c r="L6" s="15" t="str">
        <x:v>Paired site</x:v>
      </x:c>
      <x:c r="M6" s="15" t="str">
        <x:v>Migration site</x:v>
      </x:c>
      <x:c r="N6" s="15" t="str">
        <x:v>Window</x:v>
      </x:c>
      <x:c r="O6" s="15" t="str">
        <x:v>Event start week</x:v>
      </x:c>
      <x:c r="P6" s="15" t="str">
        <x:v>Event end week</x:v>
      </x:c>
      <x:c r="Q6" s="15" t="str">
        <x:v>Result visibility</x:v>
      </x:c>
      <x:c r="R6" s="15" t="str">
        <x:v>Material title</x:v>
      </x:c>
      <x:c r="S6" s="15" t="str">
        <x:v>Event state</x:v>
      </x:c>
      <x:c r="T6" s="15" t="str">
        <x:v>Order-epoch key</x:v>
      </x:c>
      <x:c r="U6" s="15" t="str">
        <x:v>Order-epoch multiplicity</x:v>
      </x:c>
      <x:c r="V6" s="15" t="str">
        <x:v>Site-window multiplicity</x:v>
      </x:c>
      <x:c r="W6" s="15" t="str">
        <x:v>Migration-pair violation</x:v>
      </x:c>
    </x:row>
    <x:row r="7">
      <x:c r="A7" s="47" t="str">
        <x:v>AR-CT-C-B-TECH-1-B2-RCN-G0</x:v>
      </x:c>
      <x:c r="B7" s="47" t="str">
        <x:v>CT-C-B-TECH-1</x:v>
      </x:c>
      <x:c r="C7" s="47" t="str">
        <x:v>CT-C-B</x:v>
      </x:c>
      <x:c r="D7" s="47" t="str">
        <x:v>B2-RCN</x:v>
      </x:c>
      <x:c r="E7" s="47" t="str">
        <x:v>B2</x:v>
      </x:c>
      <x:c r="F7" s="47" t="str">
        <x:v>RCN</x:v>
      </x:c>
      <x:c r="G7" s="47" t="n">
        <x:v>1</x:v>
      </x:c>
      <x:c r="H7" s="47" t="n">
        <x:v>1</x:v>
      </x:c>
      <x:c r="I7" s="47" t="n">
        <x:v>0</x:v>
      </x:c>
      <x:c r="J7" s="47" t="str">
        <x:v>FX-CT-C-B-TECH-1-F2</x:v>
      </x:c>
      <x:c r="K7" s="47" t="str">
        <x:v>CT-C-B-N2</x:v>
      </x:c>
      <x:c r="L7" s="47" t="str">
        <x:v>CT-C-B-N1</x:v>
      </x:c>
      <x:c r="M7" s="47" t="str">
        <x:v>CT-C-B-N3</x:v>
      </x:c>
      <x:c r="N7" s="47" t="n">
        <x:v>1</x:v>
      </x:c>
      <x:c r="O7" s="47" t="n">
        <x:v>104</x:v>
      </x:c>
      <x:c r="P7" s="47" t="n">
        <x:v>110</x:v>
      </x:c>
      <x:c r="Q7" s="47" t="str">
        <x:v>SEALED TO CAMPAIGN CLOSE</x:v>
      </x:c>
      <x:c r="R7" s="47" t="str">
        <x:v>UNVESTED</x:v>
      </x:c>
      <x:c r="S7" s="47" t="str">
        <x:v>PROGRAMMED / UNBUILT</x:v>
      </x:c>
      <x:c r="T7" s="47" t="str">
        <x:v>CT-C-B-TECH-1-E1</x:v>
      </x:c>
      <x:c r="U7" s="47" t="n">
        <x:f>COUNTIFS($T$7:$T$150,T7)</x:f>
        <x:v>1</x:v>
      </x:c>
      <x:c r="V7" s="47" t="n">
        <x:f>COUNTIFS($H$7:$H$150,H7,$K$7:$K$150,K7,$N$7:$N$150,N7)</x:f>
        <x:v>1</x:v>
      </x:c>
      <x:c r="W7" s="47" t="n">
        <x:f>IF(M7=L7,1,0)</x:f>
        <x:v>0</x:v>
      </x:c>
    </x:row>
    <x:row r="8">
      <x:c r="A8" s="47" t="str">
        <x:v>AR-CT-C-B-TECH-3-B2-BRK-G0</x:v>
      </x:c>
      <x:c r="B8" s="47" t="str">
        <x:v>CT-C-B-TECH-3</x:v>
      </x:c>
      <x:c r="C8" s="47" t="str">
        <x:v>CT-C-B</x:v>
      </x:c>
      <x:c r="D8" s="47" t="str">
        <x:v>B2-BRK</x:v>
      </x:c>
      <x:c r="E8" s="47" t="str">
        <x:v>B2</x:v>
      </x:c>
      <x:c r="F8" s="47" t="str">
        <x:v>BRK</x:v>
      </x:c>
      <x:c r="G8" s="47" t="n">
        <x:v>1</x:v>
      </x:c>
      <x:c r="H8" s="47" t="n">
        <x:v>1</x:v>
      </x:c>
      <x:c r="I8" s="47" t="n">
        <x:v>0</x:v>
      </x:c>
      <x:c r="J8" s="47" t="str">
        <x:v>FX-CT-C-B-TECH-3-F1</x:v>
      </x:c>
      <x:c r="K8" s="47" t="str">
        <x:v>CT-C-B-N3</x:v>
      </x:c>
      <x:c r="L8" s="47" t="str">
        <x:v>CT-C-B-N1</x:v>
      </x:c>
      <x:c r="M8" s="47" t="str">
        <x:v>CT-C-B-N2</x:v>
      </x:c>
      <x:c r="N8" s="47" t="n">
        <x:v>1</x:v>
      </x:c>
      <x:c r="O8" s="47" t="n">
        <x:v>104</x:v>
      </x:c>
      <x:c r="P8" s="47" t="n">
        <x:v>110</x:v>
      </x:c>
      <x:c r="Q8" s="47" t="str">
        <x:v>SEALED TO CAMPAIGN CLOSE</x:v>
      </x:c>
      <x:c r="R8" s="47" t="str">
        <x:v>UNVESTED</x:v>
      </x:c>
      <x:c r="S8" s="47" t="str">
        <x:v>PROGRAMMED / UNBUILT</x:v>
      </x:c>
      <x:c r="T8" s="47" t="str">
        <x:v>CT-C-B-TECH-3-E1</x:v>
      </x:c>
      <x:c r="U8" s="47" t="n">
        <x:f>COUNTIFS($T$7:$T$150,T8)</x:f>
        <x:v>1</x:v>
      </x:c>
      <x:c r="V8" s="47" t="n">
        <x:f>COUNTIFS($H$7:$H$150,H8,$K$7:$K$150,K8,$N$7:$N$150,N8)</x:f>
        <x:v>1</x:v>
      </x:c>
      <x:c r="W8" s="47" t="n">
        <x:f>IF(M8=L8,1,0)</x:f>
        <x:v>0</x:v>
      </x:c>
    </x:row>
    <x:row r="9">
      <x:c r="A9" s="47" t="str">
        <x:v>AR-HC-A-C-TECH-1-B1-RCN-G0</x:v>
      </x:c>
      <x:c r="B9" s="47" t="str">
        <x:v>HC-A-C-TECH-1</x:v>
      </x:c>
      <x:c r="C9" s="47" t="str">
        <x:v>HC-A-C</x:v>
      </x:c>
      <x:c r="D9" s="47" t="str">
        <x:v>B1-RCN</x:v>
      </x:c>
      <x:c r="E9" s="47" t="str">
        <x:v>B1</x:v>
      </x:c>
      <x:c r="F9" s="47" t="str">
        <x:v>RCN</x:v>
      </x:c>
      <x:c r="G9" s="47" t="n">
        <x:v>1</x:v>
      </x:c>
      <x:c r="H9" s="47" t="n">
        <x:v>1</x:v>
      </x:c>
      <x:c r="I9" s="47" t="n">
        <x:v>0</x:v>
      </x:c>
      <x:c r="J9" s="47" t="str">
        <x:v>FX-HC-A-C-TECH-1-F1</x:v>
      </x:c>
      <x:c r="K9" s="47" t="str">
        <x:v>HC-A-C-N1</x:v>
      </x:c>
      <x:c r="L9" s="47" t="str">
        <x:v>HC-A-C-N2</x:v>
      </x:c>
      <x:c r="M9" s="47" t="str">
        <x:v>HC-A-C-N3</x:v>
      </x:c>
      <x:c r="N9" s="47" t="n">
        <x:v>1</x:v>
      </x:c>
      <x:c r="O9" s="47" t="n">
        <x:v>104</x:v>
      </x:c>
      <x:c r="P9" s="47" t="n">
        <x:v>110</x:v>
      </x:c>
      <x:c r="Q9" s="47" t="str">
        <x:v>SEALED TO CAMPAIGN CLOSE</x:v>
      </x:c>
      <x:c r="R9" s="47" t="str">
        <x:v>UNVESTED</x:v>
      </x:c>
      <x:c r="S9" s="47" t="str">
        <x:v>PROGRAMMED / UNBUILT</x:v>
      </x:c>
      <x:c r="T9" s="47" t="str">
        <x:v>HC-A-C-TECH-1-E1</x:v>
      </x:c>
      <x:c r="U9" s="47" t="n">
        <x:f>COUNTIFS($T$7:$T$150,T9)</x:f>
        <x:v>1</x:v>
      </x:c>
      <x:c r="V9" s="47" t="n">
        <x:f>COUNTIFS($H$7:$H$150,H9,$K$7:$K$150,K9,$N$7:$N$150,N9)</x:f>
        <x:v>1</x:v>
      </x:c>
      <x:c r="W9" s="47" t="n">
        <x:f>IF(M9=L9,1,0)</x:f>
        <x:v>0</x:v>
      </x:c>
    </x:row>
    <x:row r="10">
      <x:c r="A10" s="47" t="str">
        <x:v>AR-HU-A-B-TECH-4-B2-RCN-G0</x:v>
      </x:c>
      <x:c r="B10" s="47" t="str">
        <x:v>HU-A-B-TECH-4</x:v>
      </x:c>
      <x:c r="C10" s="47" t="str">
        <x:v>HU-A-B</x:v>
      </x:c>
      <x:c r="D10" s="47" t="str">
        <x:v>B2-RCN</x:v>
      </x:c>
      <x:c r="E10" s="47" t="str">
        <x:v>B2</x:v>
      </x:c>
      <x:c r="F10" s="47" t="str">
        <x:v>RCN</x:v>
      </x:c>
      <x:c r="G10" s="47" t="n">
        <x:v>1</x:v>
      </x:c>
      <x:c r="H10" s="47" t="n">
        <x:v>1</x:v>
      </x:c>
      <x:c r="I10" s="47" t="n">
        <x:v>0</x:v>
      </x:c>
      <x:c r="J10" s="47" t="str">
        <x:v>FX-HU-A-B-TECH-4-F1</x:v>
      </x:c>
      <x:c r="K10" s="47" t="str">
        <x:v>HU-A-B-N1</x:v>
      </x:c>
      <x:c r="L10" s="47" t="str">
        <x:v>HU-A-B-N2</x:v>
      </x:c>
      <x:c r="M10" s="47" t="str">
        <x:v>HU-A-B-N3</x:v>
      </x:c>
      <x:c r="N10" s="47" t="n">
        <x:v>1</x:v>
      </x:c>
      <x:c r="O10" s="47" t="n">
        <x:v>104</x:v>
      </x:c>
      <x:c r="P10" s="47" t="n">
        <x:v>110</x:v>
      </x:c>
      <x:c r="Q10" s="47" t="str">
        <x:v>SEALED TO CAMPAIGN CLOSE</x:v>
      </x:c>
      <x:c r="R10" s="47" t="str">
        <x:v>UNVESTED</x:v>
      </x:c>
      <x:c r="S10" s="47" t="str">
        <x:v>PROGRAMMED / UNBUILT</x:v>
      </x:c>
      <x:c r="T10" s="47" t="str">
        <x:v>HU-A-B-TECH-4-E1</x:v>
      </x:c>
      <x:c r="U10" s="47" t="n">
        <x:f>COUNTIFS($T$7:$T$150,T10)</x:f>
        <x:v>1</x:v>
      </x:c>
      <x:c r="V10" s="47" t="n">
        <x:f>COUNTIFS($H$7:$H$150,H10,$K$7:$K$150,K10,$N$7:$N$150,N10)</x:f>
        <x:v>1</x:v>
      </x:c>
      <x:c r="W10" s="47" t="n">
        <x:f>IF(M10=L10,1,0)</x:f>
        <x:v>0</x:v>
      </x:c>
    </x:row>
    <x:row r="11">
      <x:c r="A11" s="47" t="str">
        <x:v>AR-HU-A-B-TECH-2-B2-INT-G0</x:v>
      </x:c>
      <x:c r="B11" s="47" t="str">
        <x:v>HU-A-B-TECH-2</x:v>
      </x:c>
      <x:c r="C11" s="47" t="str">
        <x:v>HU-A-B</x:v>
      </x:c>
      <x:c r="D11" s="47" t="str">
        <x:v>B2-INT</x:v>
      </x:c>
      <x:c r="E11" s="47" t="str">
        <x:v>B2</x:v>
      </x:c>
      <x:c r="F11" s="47" t="str">
        <x:v>INT</x:v>
      </x:c>
      <x:c r="G11" s="47" t="n">
        <x:v>0</x:v>
      </x:c>
      <x:c r="H11" s="47" t="n">
        <x:v>1</x:v>
      </x:c>
      <x:c r="I11" s="47" t="n">
        <x:v>0</x:v>
      </x:c>
      <x:c r="J11" s="47" t="str">
        <x:v>FX-HU-A-B-TECH-2-F1</x:v>
      </x:c>
      <x:c r="K11" s="47" t="str">
        <x:v>HU-A-B-N2</x:v>
      </x:c>
      <x:c r="L11" s="47" t="str">
        <x:v>HU-A-B-N3</x:v>
      </x:c>
      <x:c r="M11" s="47" t="str">
        <x:v>HU-A-B-N1</x:v>
      </x:c>
      <x:c r="N11" s="47" t="n">
        <x:v>1</x:v>
      </x:c>
      <x:c r="O11" s="47" t="n">
        <x:v>104</x:v>
      </x:c>
      <x:c r="P11" s="47" t="n">
        <x:v>110</x:v>
      </x:c>
      <x:c r="Q11" s="47" t="str">
        <x:v>SEALED TO CAMPAIGN CLOSE</x:v>
      </x:c>
      <x:c r="R11" s="47" t="str">
        <x:v>UNVESTED</x:v>
      </x:c>
      <x:c r="S11" s="47" t="str">
        <x:v>PROGRAMMED / UNBUILT</x:v>
      </x:c>
      <x:c r="T11" s="47" t="str">
        <x:v>HU-A-B-TECH-2-E1</x:v>
      </x:c>
      <x:c r="U11" s="47" t="n">
        <x:f>COUNTIFS($T$7:$T$150,T11)</x:f>
        <x:v>1</x:v>
      </x:c>
      <x:c r="V11" s="47" t="n">
        <x:f>COUNTIFS($H$7:$H$150,H11,$K$7:$K$150,K11,$N$7:$N$150,N11)</x:f>
        <x:v>1</x:v>
      </x:c>
      <x:c r="W11" s="47" t="n">
        <x:f>IF(M11=L11,1,0)</x:f>
        <x:v>0</x:v>
      </x:c>
    </x:row>
    <x:row r="12">
      <x:c r="A12" s="47" t="str">
        <x:v>AR-LF-B-A-TECH-4-B1-INT-G0</x:v>
      </x:c>
      <x:c r="B12" s="47" t="str">
        <x:v>LF-B-A-TECH-4</x:v>
      </x:c>
      <x:c r="C12" s="47" t="str">
        <x:v>LF-B-A</x:v>
      </x:c>
      <x:c r="D12" s="47" t="str">
        <x:v>B1-INT</x:v>
      </x:c>
      <x:c r="E12" s="47" t="str">
        <x:v>B1</x:v>
      </x:c>
      <x:c r="F12" s="47" t="str">
        <x:v>INT</x:v>
      </x:c>
      <x:c r="G12" s="47" t="n">
        <x:v>0</x:v>
      </x:c>
      <x:c r="H12" s="47" t="n">
        <x:v>1</x:v>
      </x:c>
      <x:c r="I12" s="47" t="n">
        <x:v>0</x:v>
      </x:c>
      <x:c r="J12" s="47" t="str">
        <x:v>FX-LF-B-A-TECH-4-F2</x:v>
      </x:c>
      <x:c r="K12" s="47" t="str">
        <x:v>LF-B-A-N2</x:v>
      </x:c>
      <x:c r="L12" s="47" t="str">
        <x:v>LF-B-A-N1</x:v>
      </x:c>
      <x:c r="M12" s="47" t="str">
        <x:v>LF-B-A-N3</x:v>
      </x:c>
      <x:c r="N12" s="47" t="n">
        <x:v>1</x:v>
      </x:c>
      <x:c r="O12" s="47" t="n">
        <x:v>104</x:v>
      </x:c>
      <x:c r="P12" s="47" t="n">
        <x:v>110</x:v>
      </x:c>
      <x:c r="Q12" s="47" t="str">
        <x:v>SEALED TO CAMPAIGN CLOSE</x:v>
      </x:c>
      <x:c r="R12" s="47" t="str">
        <x:v>UNVESTED</x:v>
      </x:c>
      <x:c r="S12" s="47" t="str">
        <x:v>PROGRAMMED / UNBUILT</x:v>
      </x:c>
      <x:c r="T12" s="47" t="str">
        <x:v>LF-B-A-TECH-4-E1</x:v>
      </x:c>
      <x:c r="U12" s="47" t="n">
        <x:f>COUNTIFS($T$7:$T$150,T12)</x:f>
        <x:v>1</x:v>
      </x:c>
      <x:c r="V12" s="47" t="n">
        <x:f>COUNTIFS($H$7:$H$150,H12,$K$7:$K$150,K12,$N$7:$N$150,N12)</x:f>
        <x:v>1</x:v>
      </x:c>
      <x:c r="W12" s="47" t="n">
        <x:f>IF(M12=L12,1,0)</x:f>
        <x:v>0</x:v>
      </x:c>
    </x:row>
    <x:row r="13">
      <x:c r="A13" s="47" t="str">
        <x:v>AR-ET-A-A-TECH-1-B1-INT-G0</x:v>
      </x:c>
      <x:c r="B13" s="47" t="str">
        <x:v>ET-A-A-TECH-1</x:v>
      </x:c>
      <x:c r="C13" s="47" t="str">
        <x:v>ET-A-A</x:v>
      </x:c>
      <x:c r="D13" s="47" t="str">
        <x:v>B1-INT</x:v>
      </x:c>
      <x:c r="E13" s="47" t="str">
        <x:v>B1</x:v>
      </x:c>
      <x:c r="F13" s="47" t="str">
        <x:v>INT</x:v>
      </x:c>
      <x:c r="G13" s="47" t="n">
        <x:v>0</x:v>
      </x:c>
      <x:c r="H13" s="47" t="n">
        <x:v>1</x:v>
      </x:c>
      <x:c r="I13" s="47" t="n">
        <x:v>0</x:v>
      </x:c>
      <x:c r="J13" s="47" t="str">
        <x:v>FX-ET-A-A-TECH-1-F1</x:v>
      </x:c>
      <x:c r="K13" s="47" t="str">
        <x:v>ET-A-A-N1</x:v>
      </x:c>
      <x:c r="L13" s="47" t="str">
        <x:v>ET-A-A-N2</x:v>
      </x:c>
      <x:c r="M13" s="47" t="str">
        <x:v>ET-A-A-N3</x:v>
      </x:c>
      <x:c r="N13" s="47" t="n">
        <x:v>2</x:v>
      </x:c>
      <x:c r="O13" s="47" t="n">
        <x:v>110</x:v>
      </x:c>
      <x:c r="P13" s="47" t="n">
        <x:v>116</x:v>
      </x:c>
      <x:c r="Q13" s="47" t="str">
        <x:v>SEALED TO CAMPAIGN CLOSE</x:v>
      </x:c>
      <x:c r="R13" s="47" t="str">
        <x:v>UNVESTED</x:v>
      </x:c>
      <x:c r="S13" s="47" t="str">
        <x:v>PROGRAMMED / UNBUILT</x:v>
      </x:c>
      <x:c r="T13" s="47" t="str">
        <x:v>ET-A-A-TECH-1-E1</x:v>
      </x:c>
      <x:c r="U13" s="47" t="n">
        <x:f>COUNTIFS($T$7:$T$150,T13)</x:f>
        <x:v>1</x:v>
      </x:c>
      <x:c r="V13" s="47" t="n">
        <x:f>COUNTIFS($H$7:$H$150,H13,$K$7:$K$150,K13,$N$7:$N$150,N13)</x:f>
        <x:v>1</x:v>
      </x:c>
      <x:c r="W13" s="47" t="n">
        <x:f>IF(M13=L13,1,0)</x:f>
        <x:v>0</x:v>
      </x:c>
    </x:row>
    <x:row r="14">
      <x:c r="A14" s="47" t="str">
        <x:v>AR-ET-A-A-TECH-2-B2-RCN-G0</x:v>
      </x:c>
      <x:c r="B14" s="47" t="str">
        <x:v>ET-A-A-TECH-2</x:v>
      </x:c>
      <x:c r="C14" s="47" t="str">
        <x:v>ET-A-A</x:v>
      </x:c>
      <x:c r="D14" s="47" t="str">
        <x:v>B2-RCN</x:v>
      </x:c>
      <x:c r="E14" s="47" t="str">
        <x:v>B2</x:v>
      </x:c>
      <x:c r="F14" s="47" t="str">
        <x:v>RCN</x:v>
      </x:c>
      <x:c r="G14" s="47" t="n">
        <x:v>1</x:v>
      </x:c>
      <x:c r="H14" s="47" t="n">
        <x:v>1</x:v>
      </x:c>
      <x:c r="I14" s="47" t="n">
        <x:v>0</x:v>
      </x:c>
      <x:c r="J14" s="47" t="str">
        <x:v>FX-ET-A-A-TECH-2-F1</x:v>
      </x:c>
      <x:c r="K14" s="47" t="str">
        <x:v>ET-A-A-N2</x:v>
      </x:c>
      <x:c r="L14" s="47" t="str">
        <x:v>ET-A-A-N3</x:v>
      </x:c>
      <x:c r="M14" s="47" t="str">
        <x:v>ET-A-A-N1</x:v>
      </x:c>
      <x:c r="N14" s="47" t="n">
        <x:v>2</x:v>
      </x:c>
      <x:c r="O14" s="47" t="n">
        <x:v>110</x:v>
      </x:c>
      <x:c r="P14" s="47" t="n">
        <x:v>116</x:v>
      </x:c>
      <x:c r="Q14" s="47" t="str">
        <x:v>SEALED TO CAMPAIGN CLOSE</x:v>
      </x:c>
      <x:c r="R14" s="47" t="str">
        <x:v>UNVESTED</x:v>
      </x:c>
      <x:c r="S14" s="47" t="str">
        <x:v>PROGRAMMED / UNBUILT</x:v>
      </x:c>
      <x:c r="T14" s="47" t="str">
        <x:v>ET-A-A-TECH-2-E1</x:v>
      </x:c>
      <x:c r="U14" s="47" t="n">
        <x:f>COUNTIFS($T$7:$T$150,T14)</x:f>
        <x:v>1</x:v>
      </x:c>
      <x:c r="V14" s="47" t="n">
        <x:f>COUNTIFS($H$7:$H$150,H14,$K$7:$K$150,K14,$N$7:$N$150,N14)</x:f>
        <x:v>1</x:v>
      </x:c>
      <x:c r="W14" s="47" t="n">
        <x:f>IF(M14=L14,1,0)</x:f>
        <x:v>0</x:v>
      </x:c>
    </x:row>
    <x:row r="15">
      <x:c r="A15" s="47" t="str">
        <x:v>AR-HC-A-C-TECH-3-B1-BRK-G0</x:v>
      </x:c>
      <x:c r="B15" s="47" t="str">
        <x:v>HC-A-C-TECH-3</x:v>
      </x:c>
      <x:c r="C15" s="47" t="str">
        <x:v>HC-A-C</x:v>
      </x:c>
      <x:c r="D15" s="47" t="str">
        <x:v>B1-BRK</x:v>
      </x:c>
      <x:c r="E15" s="47" t="str">
        <x:v>B1</x:v>
      </x:c>
      <x:c r="F15" s="47" t="str">
        <x:v>BRK</x:v>
      </x:c>
      <x:c r="G15" s="47" t="n">
        <x:v>1</x:v>
      </x:c>
      <x:c r="H15" s="47" t="n">
        <x:v>1</x:v>
      </x:c>
      <x:c r="I15" s="47" t="n">
        <x:v>0</x:v>
      </x:c>
      <x:c r="J15" s="47" t="str">
        <x:v>FX-HC-A-C-TECH-3-F2</x:v>
      </x:c>
      <x:c r="K15" s="47" t="str">
        <x:v>HC-A-C-N1</x:v>
      </x:c>
      <x:c r="L15" s="47" t="str">
        <x:v>HC-A-C-N3</x:v>
      </x:c>
      <x:c r="M15" s="47" t="str">
        <x:v>HC-A-C-N2</x:v>
      </x:c>
      <x:c r="N15" s="47" t="n">
        <x:v>2</x:v>
      </x:c>
      <x:c r="O15" s="47" t="n">
        <x:v>110</x:v>
      </x:c>
      <x:c r="P15" s="47" t="n">
        <x:v>116</x:v>
      </x:c>
      <x:c r="Q15" s="47" t="str">
        <x:v>SEALED TO CAMPAIGN CLOSE</x:v>
      </x:c>
      <x:c r="R15" s="47" t="str">
        <x:v>UNVESTED</x:v>
      </x:c>
      <x:c r="S15" s="47" t="str">
        <x:v>PROGRAMMED / UNBUILT</x:v>
      </x:c>
      <x:c r="T15" s="47" t="str">
        <x:v>HC-A-C-TECH-3-E1</x:v>
      </x:c>
      <x:c r="U15" s="47" t="n">
        <x:f>COUNTIFS($T$7:$T$150,T15)</x:f>
        <x:v>1</x:v>
      </x:c>
      <x:c r="V15" s="47" t="n">
        <x:f>COUNTIFS($H$7:$H$150,H15,$K$7:$K$150,K15,$N$7:$N$150,N15)</x:f>
        <x:v>1</x:v>
      </x:c>
      <x:c r="W15" s="47" t="n">
        <x:f>IF(M15=L15,1,0)</x:f>
        <x:v>0</x:v>
      </x:c>
    </x:row>
    <x:row r="16">
      <x:c r="A16" s="47" t="str">
        <x:v>AR-HU-A-B-TECH-3-B1-INT-G0</x:v>
      </x:c>
      <x:c r="B16" s="47" t="str">
        <x:v>HU-A-B-TECH-3</x:v>
      </x:c>
      <x:c r="C16" s="47" t="str">
        <x:v>HU-A-B</x:v>
      </x:c>
      <x:c r="D16" s="47" t="str">
        <x:v>B1-INT</x:v>
      </x:c>
      <x:c r="E16" s="47" t="str">
        <x:v>B1</x:v>
      </x:c>
      <x:c r="F16" s="47" t="str">
        <x:v>INT</x:v>
      </x:c>
      <x:c r="G16" s="47" t="n">
        <x:v>0</x:v>
      </x:c>
      <x:c r="H16" s="47" t="n">
        <x:v>1</x:v>
      </x:c>
      <x:c r="I16" s="47" t="n">
        <x:v>0</x:v>
      </x:c>
      <x:c r="J16" s="47" t="str">
        <x:v>FX-HU-A-B-TECH-3-F1</x:v>
      </x:c>
      <x:c r="K16" s="47" t="str">
        <x:v>HU-A-B-N3</x:v>
      </x:c>
      <x:c r="L16" s="47" t="str">
        <x:v>HU-A-B-N1</x:v>
      </x:c>
      <x:c r="M16" s="47" t="str">
        <x:v>HU-A-B-N2</x:v>
      </x:c>
      <x:c r="N16" s="47" t="n">
        <x:v>2</x:v>
      </x:c>
      <x:c r="O16" s="47" t="n">
        <x:v>110</x:v>
      </x:c>
      <x:c r="P16" s="47" t="n">
        <x:v>116</x:v>
      </x:c>
      <x:c r="Q16" s="47" t="str">
        <x:v>SEALED TO CAMPAIGN CLOSE</x:v>
      </x:c>
      <x:c r="R16" s="47" t="str">
        <x:v>UNVESTED</x:v>
      </x:c>
      <x:c r="S16" s="47" t="str">
        <x:v>PROGRAMMED / UNBUILT</x:v>
      </x:c>
      <x:c r="T16" s="47" t="str">
        <x:v>HU-A-B-TECH-3-E1</x:v>
      </x:c>
      <x:c r="U16" s="47" t="n">
        <x:f>COUNTIFS($T$7:$T$150,T16)</x:f>
        <x:v>1</x:v>
      </x:c>
      <x:c r="V16" s="47" t="n">
        <x:f>COUNTIFS($H$7:$H$150,H16,$K$7:$K$150,K16,$N$7:$N$150,N16)</x:f>
        <x:v>1</x:v>
      </x:c>
      <x:c r="W16" s="47" t="n">
        <x:f>IF(M16=L16,1,0)</x:f>
        <x:v>0</x:v>
      </x:c>
    </x:row>
    <x:row r="17">
      <x:c r="A17" s="47" t="str">
        <x:v>AR-LF-B-A-TECH-1-B2-BRK-G0</x:v>
      </x:c>
      <x:c r="B17" s="47" t="str">
        <x:v>LF-B-A-TECH-1</x:v>
      </x:c>
      <x:c r="C17" s="47" t="str">
        <x:v>LF-B-A</x:v>
      </x:c>
      <x:c r="D17" s="47" t="str">
        <x:v>B2-BRK</x:v>
      </x:c>
      <x:c r="E17" s="47" t="str">
        <x:v>B2</x:v>
      </x:c>
      <x:c r="F17" s="47" t="str">
        <x:v>BRK</x:v>
      </x:c>
      <x:c r="G17" s="47" t="n">
        <x:v>1</x:v>
      </x:c>
      <x:c r="H17" s="47" t="n">
        <x:v>1</x:v>
      </x:c>
      <x:c r="I17" s="47" t="n">
        <x:v>0</x:v>
      </x:c>
      <x:c r="J17" s="47" t="str">
        <x:v>FX-LF-B-A-TECH-1-F1</x:v>
      </x:c>
      <x:c r="K17" s="47" t="str">
        <x:v>LF-B-A-N1</x:v>
      </x:c>
      <x:c r="L17" s="47" t="str">
        <x:v>LF-B-A-N2</x:v>
      </x:c>
      <x:c r="M17" s="47" t="str">
        <x:v>LF-B-A-N3</x:v>
      </x:c>
      <x:c r="N17" s="47" t="n">
        <x:v>2</x:v>
      </x:c>
      <x:c r="O17" s="47" t="n">
        <x:v>110</x:v>
      </x:c>
      <x:c r="P17" s="47" t="n">
        <x:v>116</x:v>
      </x:c>
      <x:c r="Q17" s="47" t="str">
        <x:v>SEALED TO CAMPAIGN CLOSE</x:v>
      </x:c>
      <x:c r="R17" s="47" t="str">
        <x:v>UNVESTED</x:v>
      </x:c>
      <x:c r="S17" s="47" t="str">
        <x:v>PROGRAMMED / UNBUILT</x:v>
      </x:c>
      <x:c r="T17" s="47" t="str">
        <x:v>LF-B-A-TECH-1-E1</x:v>
      </x:c>
      <x:c r="U17" s="47" t="n">
        <x:f>COUNTIFS($T$7:$T$150,T17)</x:f>
        <x:v>1</x:v>
      </x:c>
      <x:c r="V17" s="47" t="n">
        <x:f>COUNTIFS($H$7:$H$150,H17,$K$7:$K$150,K17,$N$7:$N$150,N17)</x:f>
        <x:v>1</x:v>
      </x:c>
      <x:c r="W17" s="47" t="n">
        <x:f>IF(M17=L17,1,0)</x:f>
        <x:v>0</x:v>
      </x:c>
    </x:row>
    <x:row r="18">
      <x:c r="A18" s="47" t="str">
        <x:v>AR-RT-B-C-TECH-1-B2-INT-G0</x:v>
      </x:c>
      <x:c r="B18" s="47" t="str">
        <x:v>RT-B-C-TECH-1</x:v>
      </x:c>
      <x:c r="C18" s="47" t="str">
        <x:v>RT-B-C</x:v>
      </x:c>
      <x:c r="D18" s="47" t="str">
        <x:v>B2-INT</x:v>
      </x:c>
      <x:c r="E18" s="47" t="str">
        <x:v>B2</x:v>
      </x:c>
      <x:c r="F18" s="47" t="str">
        <x:v>INT</x:v>
      </x:c>
      <x:c r="G18" s="47" t="n">
        <x:v>0</x:v>
      </x:c>
      <x:c r="H18" s="47" t="n">
        <x:v>1</x:v>
      </x:c>
      <x:c r="I18" s="47" t="n">
        <x:v>0</x:v>
      </x:c>
      <x:c r="J18" s="47" t="str">
        <x:v>FX-RT-B-C-TECH-1-F2</x:v>
      </x:c>
      <x:c r="K18" s="47" t="str">
        <x:v>RT-B-C-N2</x:v>
      </x:c>
      <x:c r="L18" s="47" t="str">
        <x:v>RT-B-C-N1</x:v>
      </x:c>
      <x:c r="M18" s="47" t="str">
        <x:v>RT-B-C-N3</x:v>
      </x:c>
      <x:c r="N18" s="47" t="n">
        <x:v>2</x:v>
      </x:c>
      <x:c r="O18" s="47" t="n">
        <x:v>110</x:v>
      </x:c>
      <x:c r="P18" s="47" t="n">
        <x:v>116</x:v>
      </x:c>
      <x:c r="Q18" s="47" t="str">
        <x:v>SEALED TO CAMPAIGN CLOSE</x:v>
      </x:c>
      <x:c r="R18" s="47" t="str">
        <x:v>UNVESTED</x:v>
      </x:c>
      <x:c r="S18" s="47" t="str">
        <x:v>PROGRAMMED / UNBUILT</x:v>
      </x:c>
      <x:c r="T18" s="47" t="str">
        <x:v>RT-B-C-TECH-1-E1</x:v>
      </x:c>
      <x:c r="U18" s="47" t="n">
        <x:f>COUNTIFS($T$7:$T$150,T18)</x:f>
        <x:v>1</x:v>
      </x:c>
      <x:c r="V18" s="47" t="n">
        <x:f>COUNTIFS($H$7:$H$150,H18,$K$7:$K$150,K18,$N$7:$N$150,N18)</x:f>
        <x:v>1</x:v>
      </x:c>
      <x:c r="W18" s="47" t="n">
        <x:f>IF(M18=L18,1,0)</x:f>
        <x:v>0</x:v>
      </x:c>
    </x:row>
    <x:row r="19">
      <x:c r="A19" s="47" t="str">
        <x:v>AR-ET-A-A-TECH-4-B2-BRK-G0</x:v>
      </x:c>
      <x:c r="B19" s="47" t="str">
        <x:v>ET-A-A-TECH-4</x:v>
      </x:c>
      <x:c r="C19" s="47" t="str">
        <x:v>ET-A-A</x:v>
      </x:c>
      <x:c r="D19" s="47" t="str">
        <x:v>B2-BRK</x:v>
      </x:c>
      <x:c r="E19" s="47" t="str">
        <x:v>B2</x:v>
      </x:c>
      <x:c r="F19" s="47" t="str">
        <x:v>BRK</x:v>
      </x:c>
      <x:c r="G19" s="47" t="n">
        <x:v>1</x:v>
      </x:c>
      <x:c r="H19" s="47" t="n">
        <x:v>1</x:v>
      </x:c>
      <x:c r="I19" s="47" t="n">
        <x:v>0</x:v>
      </x:c>
      <x:c r="J19" s="47" t="str">
        <x:v>FX-ET-A-A-TECH-4-F2</x:v>
      </x:c>
      <x:c r="K19" s="47" t="str">
        <x:v>ET-A-A-N2</x:v>
      </x:c>
      <x:c r="L19" s="47" t="str">
        <x:v>ET-A-A-N1</x:v>
      </x:c>
      <x:c r="M19" s="47" t="str">
        <x:v>ET-A-A-N3</x:v>
      </x:c>
      <x:c r="N19" s="47" t="n">
        <x:v>3</x:v>
      </x:c>
      <x:c r="O19" s="47" t="n">
        <x:v>116</x:v>
      </x:c>
      <x:c r="P19" s="47" t="n">
        <x:v>122</x:v>
      </x:c>
      <x:c r="Q19" s="47" t="str">
        <x:v>SEALED TO CAMPAIGN CLOSE</x:v>
      </x:c>
      <x:c r="R19" s="47" t="str">
        <x:v>UNVESTED</x:v>
      </x:c>
      <x:c r="S19" s="47" t="str">
        <x:v>PROGRAMMED / UNBUILT</x:v>
      </x:c>
      <x:c r="T19" s="47" t="str">
        <x:v>ET-A-A-TECH-4-E1</x:v>
      </x:c>
      <x:c r="U19" s="47" t="n">
        <x:f>COUNTIFS($T$7:$T$150,T19)</x:f>
        <x:v>1</x:v>
      </x:c>
      <x:c r="V19" s="47" t="n">
        <x:f>COUNTIFS($H$7:$H$150,H19,$K$7:$K$150,K19,$N$7:$N$150,N19)</x:f>
        <x:v>1</x:v>
      </x:c>
      <x:c r="W19" s="47" t="n">
        <x:f>IF(M19=L19,1,0)</x:f>
        <x:v>0</x:v>
      </x:c>
    </x:row>
    <x:row r="20">
      <x:c r="A20" s="47" t="str">
        <x:v>AR-ET-A-A-TECH-3-B1-RCN-G0</x:v>
      </x:c>
      <x:c r="B20" s="47" t="str">
        <x:v>ET-A-A-TECH-3</x:v>
      </x:c>
      <x:c r="C20" s="47" t="str">
        <x:v>ET-A-A</x:v>
      </x:c>
      <x:c r="D20" s="47" t="str">
        <x:v>B1-RCN</x:v>
      </x:c>
      <x:c r="E20" s="47" t="str">
        <x:v>B1</x:v>
      </x:c>
      <x:c r="F20" s="47" t="str">
        <x:v>RCN</x:v>
      </x:c>
      <x:c r="G20" s="47" t="n">
        <x:v>1</x:v>
      </x:c>
      <x:c r="H20" s="47" t="n">
        <x:v>1</x:v>
      </x:c>
      <x:c r="I20" s="47" t="n">
        <x:v>0</x:v>
      </x:c>
      <x:c r="J20" s="47" t="str">
        <x:v>FX-ET-A-A-TECH-3-F1</x:v>
      </x:c>
      <x:c r="K20" s="47" t="str">
        <x:v>ET-A-A-N3</x:v>
      </x:c>
      <x:c r="L20" s="47" t="str">
        <x:v>ET-A-A-N1</x:v>
      </x:c>
      <x:c r="M20" s="47" t="str">
        <x:v>ET-A-A-N2</x:v>
      </x:c>
      <x:c r="N20" s="47" t="n">
        <x:v>3</x:v>
      </x:c>
      <x:c r="O20" s="47" t="n">
        <x:v>116</x:v>
      </x:c>
      <x:c r="P20" s="47" t="n">
        <x:v>122</x:v>
      </x:c>
      <x:c r="Q20" s="47" t="str">
        <x:v>SEALED TO CAMPAIGN CLOSE</x:v>
      </x:c>
      <x:c r="R20" s="47" t="str">
        <x:v>UNVESTED</x:v>
      </x:c>
      <x:c r="S20" s="47" t="str">
        <x:v>PROGRAMMED / UNBUILT</x:v>
      </x:c>
      <x:c r="T20" s="47" t="str">
        <x:v>ET-A-A-TECH-3-E1</x:v>
      </x:c>
      <x:c r="U20" s="47" t="n">
        <x:f>COUNTIFS($T$7:$T$150,T20)</x:f>
        <x:v>1</x:v>
      </x:c>
      <x:c r="V20" s="47" t="n">
        <x:f>COUNTIFS($H$7:$H$150,H20,$K$7:$K$150,K20,$N$7:$N$150,N20)</x:f>
        <x:v>1</x:v>
      </x:c>
      <x:c r="W20" s="47" t="n">
        <x:f>IF(M20=L20,1,0)</x:f>
        <x:v>0</x:v>
      </x:c>
    </x:row>
    <x:row r="21">
      <x:c r="A21" s="47" t="str">
        <x:v>AR-HC-A-C-TECH-4-B2-INT-G0</x:v>
      </x:c>
      <x:c r="B21" s="47" t="str">
        <x:v>HC-A-C-TECH-4</x:v>
      </x:c>
      <x:c r="C21" s="47" t="str">
        <x:v>HC-A-C</x:v>
      </x:c>
      <x:c r="D21" s="47" t="str">
        <x:v>B2-INT</x:v>
      </x:c>
      <x:c r="E21" s="47" t="str">
        <x:v>B2</x:v>
      </x:c>
      <x:c r="F21" s="47" t="str">
        <x:v>INT</x:v>
      </x:c>
      <x:c r="G21" s="47" t="n">
        <x:v>0</x:v>
      </x:c>
      <x:c r="H21" s="47" t="n">
        <x:v>1</x:v>
      </x:c>
      <x:c r="I21" s="47" t="n">
        <x:v>0</x:v>
      </x:c>
      <x:c r="J21" s="47" t="str">
        <x:v>FX-HC-A-C-TECH-4-F1</x:v>
      </x:c>
      <x:c r="K21" s="47" t="str">
        <x:v>HC-A-C-N1</x:v>
      </x:c>
      <x:c r="L21" s="47" t="str">
        <x:v>HC-A-C-N2</x:v>
      </x:c>
      <x:c r="M21" s="47" t="str">
        <x:v>HC-A-C-N3</x:v>
      </x:c>
      <x:c r="N21" s="47" t="n">
        <x:v>3</x:v>
      </x:c>
      <x:c r="O21" s="47" t="n">
        <x:v>116</x:v>
      </x:c>
      <x:c r="P21" s="47" t="n">
        <x:v>122</x:v>
      </x:c>
      <x:c r="Q21" s="47" t="str">
        <x:v>SEALED TO CAMPAIGN CLOSE</x:v>
      </x:c>
      <x:c r="R21" s="47" t="str">
        <x:v>UNVESTED</x:v>
      </x:c>
      <x:c r="S21" s="47" t="str">
        <x:v>PROGRAMMED / UNBUILT</x:v>
      </x:c>
      <x:c r="T21" s="47" t="str">
        <x:v>HC-A-C-TECH-4-E1</x:v>
      </x:c>
      <x:c r="U21" s="47" t="n">
        <x:f>COUNTIFS($T$7:$T$150,T21)</x:f>
        <x:v>1</x:v>
      </x:c>
      <x:c r="V21" s="47" t="n">
        <x:f>COUNTIFS($H$7:$H$150,H21,$K$7:$K$150,K21,$N$7:$N$150,N21)</x:f>
        <x:v>1</x:v>
      </x:c>
      <x:c r="W21" s="47" t="n">
        <x:f>IF(M21=L21,1,0)</x:f>
        <x:v>0</x:v>
      </x:c>
    </x:row>
    <x:row r="22">
      <x:c r="A22" s="47" t="str">
        <x:v>AR-LF-B-A-TECH-3-B2-INT-G0</x:v>
      </x:c>
      <x:c r="B22" s="47" t="str">
        <x:v>LF-B-A-TECH-3</x:v>
      </x:c>
      <x:c r="C22" s="47" t="str">
        <x:v>LF-B-A</x:v>
      </x:c>
      <x:c r="D22" s="47" t="str">
        <x:v>B2-INT</x:v>
      </x:c>
      <x:c r="E22" s="47" t="str">
        <x:v>B2</x:v>
      </x:c>
      <x:c r="F22" s="47" t="str">
        <x:v>INT</x:v>
      </x:c>
      <x:c r="G22" s="47" t="n">
        <x:v>0</x:v>
      </x:c>
      <x:c r="H22" s="47" t="n">
        <x:v>1</x:v>
      </x:c>
      <x:c r="I22" s="47" t="n">
        <x:v>0</x:v>
      </x:c>
      <x:c r="J22" s="47" t="str">
        <x:v>FX-LF-B-A-TECH-3-F2</x:v>
      </x:c>
      <x:c r="K22" s="47" t="str">
        <x:v>LF-B-A-N1</x:v>
      </x:c>
      <x:c r="L22" s="47" t="str">
        <x:v>LF-B-A-N3</x:v>
      </x:c>
      <x:c r="M22" s="47" t="str">
        <x:v>LF-B-A-N2</x:v>
      </x:c>
      <x:c r="N22" s="47" t="n">
        <x:v>3</x:v>
      </x:c>
      <x:c r="O22" s="47" t="n">
        <x:v>116</x:v>
      </x:c>
      <x:c r="P22" s="47" t="n">
        <x:v>122</x:v>
      </x:c>
      <x:c r="Q22" s="47" t="str">
        <x:v>SEALED TO CAMPAIGN CLOSE</x:v>
      </x:c>
      <x:c r="R22" s="47" t="str">
        <x:v>UNVESTED</x:v>
      </x:c>
      <x:c r="S22" s="47" t="str">
        <x:v>PROGRAMMED / UNBUILT</x:v>
      </x:c>
      <x:c r="T22" s="47" t="str">
        <x:v>LF-B-A-TECH-3-E1</x:v>
      </x:c>
      <x:c r="U22" s="47" t="n">
        <x:f>COUNTIFS($T$7:$T$150,T22)</x:f>
        <x:v>1</x:v>
      </x:c>
      <x:c r="V22" s="47" t="n">
        <x:f>COUNTIFS($H$7:$H$150,H22,$K$7:$K$150,K22,$N$7:$N$150,N22)</x:f>
        <x:v>1</x:v>
      </x:c>
      <x:c r="W22" s="47" t="n">
        <x:f>IF(M22=L22,1,0)</x:f>
        <x:v>0</x:v>
      </x:c>
    </x:row>
    <x:row r="23">
      <x:c r="A23" s="47" t="str">
        <x:v>AR-RT-B-C-TECH-3-B2-RCN-G0</x:v>
      </x:c>
      <x:c r="B23" s="47" t="str">
        <x:v>RT-B-C-TECH-3</x:v>
      </x:c>
      <x:c r="C23" s="47" t="str">
        <x:v>RT-B-C</x:v>
      </x:c>
      <x:c r="D23" s="47" t="str">
        <x:v>B2-RCN</x:v>
      </x:c>
      <x:c r="E23" s="47" t="str">
        <x:v>B2</x:v>
      </x:c>
      <x:c r="F23" s="47" t="str">
        <x:v>RCN</x:v>
      </x:c>
      <x:c r="G23" s="47" t="n">
        <x:v>1</x:v>
      </x:c>
      <x:c r="H23" s="47" t="n">
        <x:v>1</x:v>
      </x:c>
      <x:c r="I23" s="47" t="n">
        <x:v>0</x:v>
      </x:c>
      <x:c r="J23" s="47" t="str">
        <x:v>FX-RT-B-C-TECH-3-F2</x:v>
      </x:c>
      <x:c r="K23" s="47" t="str">
        <x:v>RT-B-C-N1</x:v>
      </x:c>
      <x:c r="L23" s="47" t="str">
        <x:v>RT-B-C-N3</x:v>
      </x:c>
      <x:c r="M23" s="47" t="str">
        <x:v>RT-B-C-N2</x:v>
      </x:c>
      <x:c r="N23" s="47" t="n">
        <x:v>3</x:v>
      </x:c>
      <x:c r="O23" s="47" t="n">
        <x:v>116</x:v>
      </x:c>
      <x:c r="P23" s="47" t="n">
        <x:v>122</x:v>
      </x:c>
      <x:c r="Q23" s="47" t="str">
        <x:v>SEALED TO CAMPAIGN CLOSE</x:v>
      </x:c>
      <x:c r="R23" s="47" t="str">
        <x:v>UNVESTED</x:v>
      </x:c>
      <x:c r="S23" s="47" t="str">
        <x:v>PROGRAMMED / UNBUILT</x:v>
      </x:c>
      <x:c r="T23" s="47" t="str">
        <x:v>RT-B-C-TECH-3-E1</x:v>
      </x:c>
      <x:c r="U23" s="47" t="n">
        <x:f>COUNTIFS($T$7:$T$150,T23)</x:f>
        <x:v>1</x:v>
      </x:c>
      <x:c r="V23" s="47" t="n">
        <x:f>COUNTIFS($H$7:$H$150,H23,$K$7:$K$150,K23,$N$7:$N$150,N23)</x:f>
        <x:v>1</x:v>
      </x:c>
      <x:c r="W23" s="47" t="n">
        <x:f>IF(M23=L23,1,0)</x:f>
        <x:v>0</x:v>
      </x:c>
    </x:row>
    <x:row r="24">
      <x:c r="A24" s="47" t="str">
        <x:v>AR-RT-B-C-TECH-4-B1-RCN-G0</x:v>
      </x:c>
      <x:c r="B24" s="47" t="str">
        <x:v>RT-B-C-TECH-4</x:v>
      </x:c>
      <x:c r="C24" s="47" t="str">
        <x:v>RT-B-C</x:v>
      </x:c>
      <x:c r="D24" s="47" t="str">
        <x:v>B1-RCN</x:v>
      </x:c>
      <x:c r="E24" s="47" t="str">
        <x:v>B1</x:v>
      </x:c>
      <x:c r="F24" s="47" t="str">
        <x:v>RCN</x:v>
      </x:c>
      <x:c r="G24" s="47" t="n">
        <x:v>1</x:v>
      </x:c>
      <x:c r="H24" s="47" t="n">
        <x:v>1</x:v>
      </x:c>
      <x:c r="I24" s="47" t="n">
        <x:v>0</x:v>
      </x:c>
      <x:c r="J24" s="47" t="str">
        <x:v>FX-RT-B-C-TECH-4-F2</x:v>
      </x:c>
      <x:c r="K24" s="47" t="str">
        <x:v>RT-B-C-N2</x:v>
      </x:c>
      <x:c r="L24" s="47" t="str">
        <x:v>RT-B-C-N1</x:v>
      </x:c>
      <x:c r="M24" s="47" t="str">
        <x:v>RT-B-C-N3</x:v>
      </x:c>
      <x:c r="N24" s="47" t="n">
        <x:v>3</x:v>
      </x:c>
      <x:c r="O24" s="47" t="n">
        <x:v>116</x:v>
      </x:c>
      <x:c r="P24" s="47" t="n">
        <x:v>122</x:v>
      </x:c>
      <x:c r="Q24" s="47" t="str">
        <x:v>SEALED TO CAMPAIGN CLOSE</x:v>
      </x:c>
      <x:c r="R24" s="47" t="str">
        <x:v>UNVESTED</x:v>
      </x:c>
      <x:c r="S24" s="47" t="str">
        <x:v>PROGRAMMED / UNBUILT</x:v>
      </x:c>
      <x:c r="T24" s="47" t="str">
        <x:v>RT-B-C-TECH-4-E1</x:v>
      </x:c>
      <x:c r="U24" s="47" t="n">
        <x:f>COUNTIFS($T$7:$T$150,T24)</x:f>
        <x:v>1</x:v>
      </x:c>
      <x:c r="V24" s="47" t="n">
        <x:f>COUNTIFS($H$7:$H$150,H24,$K$7:$K$150,K24,$N$7:$N$150,N24)</x:f>
        <x:v>1</x:v>
      </x:c>
      <x:c r="W24" s="47" t="n">
        <x:f>IF(M24=L24,1,0)</x:f>
        <x:v>0</x:v>
      </x:c>
    </x:row>
    <x:row r="25">
      <x:c r="A25" s="47" t="str">
        <x:v>AR-CT-C-B-TECH-4-B1-BRK-G0</x:v>
      </x:c>
      <x:c r="B25" s="47" t="str">
        <x:v>CT-C-B-TECH-4</x:v>
      </x:c>
      <x:c r="C25" s="47" t="str">
        <x:v>CT-C-B</x:v>
      </x:c>
      <x:c r="D25" s="47" t="str">
        <x:v>B1-BRK</x:v>
      </x:c>
      <x:c r="E25" s="47" t="str">
        <x:v>B1</x:v>
      </x:c>
      <x:c r="F25" s="47" t="str">
        <x:v>BRK</x:v>
      </x:c>
      <x:c r="G25" s="47" t="n">
        <x:v>1</x:v>
      </x:c>
      <x:c r="H25" s="47" t="n">
        <x:v>1</x:v>
      </x:c>
      <x:c r="I25" s="47" t="n">
        <x:v>0</x:v>
      </x:c>
      <x:c r="J25" s="47" t="str">
        <x:v>FX-CT-C-B-TECH-4-F1</x:v>
      </x:c>
      <x:c r="K25" s="47" t="str">
        <x:v>CT-C-B-N1</x:v>
      </x:c>
      <x:c r="L25" s="47" t="str">
        <x:v>CT-C-B-N2</x:v>
      </x:c>
      <x:c r="M25" s="47" t="str">
        <x:v>CT-C-B-N3</x:v>
      </x:c>
      <x:c r="N25" s="47" t="n">
        <x:v>4</x:v>
      </x:c>
      <x:c r="O25" s="47" t="n">
        <x:v>122</x:v>
      </x:c>
      <x:c r="P25" s="47" t="n">
        <x:v>128</x:v>
      </x:c>
      <x:c r="Q25" s="47" t="str">
        <x:v>SEALED TO CAMPAIGN CLOSE</x:v>
      </x:c>
      <x:c r="R25" s="47" t="str">
        <x:v>UNVESTED</x:v>
      </x:c>
      <x:c r="S25" s="47" t="str">
        <x:v>PROGRAMMED / UNBUILT</x:v>
      </x:c>
      <x:c r="T25" s="47" t="str">
        <x:v>CT-C-B-TECH-4-E1</x:v>
      </x:c>
      <x:c r="U25" s="47" t="n">
        <x:f>COUNTIFS($T$7:$T$150,T25)</x:f>
        <x:v>1</x:v>
      </x:c>
      <x:c r="V25" s="47" t="n">
        <x:f>COUNTIFS($H$7:$H$150,H25,$K$7:$K$150,K25,$N$7:$N$150,N25)</x:f>
        <x:v>1</x:v>
      </x:c>
      <x:c r="W25" s="47" t="n">
        <x:f>IF(M25=L25,1,0)</x:f>
        <x:v>0</x:v>
      </x:c>
    </x:row>
    <x:row r="26">
      <x:c r="A26" s="47" t="str">
        <x:v>AR-CT-C-B-TECH-2-B1-RCN-G0</x:v>
      </x:c>
      <x:c r="B26" s="47" t="str">
        <x:v>CT-C-B-TECH-2</x:v>
      </x:c>
      <x:c r="C26" s="47" t="str">
        <x:v>CT-C-B</x:v>
      </x:c>
      <x:c r="D26" s="47" t="str">
        <x:v>B1-RCN</x:v>
      </x:c>
      <x:c r="E26" s="47" t="str">
        <x:v>B1</x:v>
      </x:c>
      <x:c r="F26" s="47" t="str">
        <x:v>RCN</x:v>
      </x:c>
      <x:c r="G26" s="47" t="n">
        <x:v>1</x:v>
      </x:c>
      <x:c r="H26" s="47" t="n">
        <x:v>1</x:v>
      </x:c>
      <x:c r="I26" s="47" t="n">
        <x:v>0</x:v>
      </x:c>
      <x:c r="J26" s="47" t="str">
        <x:v>FX-CT-C-B-TECH-2-F2</x:v>
      </x:c>
      <x:c r="K26" s="47" t="str">
        <x:v>CT-C-B-N3</x:v>
      </x:c>
      <x:c r="L26" s="47" t="str">
        <x:v>CT-C-B-N2</x:v>
      </x:c>
      <x:c r="M26" s="47" t="str">
        <x:v>CT-C-B-N1</x:v>
      </x:c>
      <x:c r="N26" s="47" t="n">
        <x:v>4</x:v>
      </x:c>
      <x:c r="O26" s="47" t="n">
        <x:v>122</x:v>
      </x:c>
      <x:c r="P26" s="47" t="n">
        <x:v>128</x:v>
      </x:c>
      <x:c r="Q26" s="47" t="str">
        <x:v>SEALED TO CAMPAIGN CLOSE</x:v>
      </x:c>
      <x:c r="R26" s="47" t="str">
        <x:v>UNVESTED</x:v>
      </x:c>
      <x:c r="S26" s="47" t="str">
        <x:v>PROGRAMMED / UNBUILT</x:v>
      </x:c>
      <x:c r="T26" s="47" t="str">
        <x:v>CT-C-B-TECH-2-E1</x:v>
      </x:c>
      <x:c r="U26" s="47" t="n">
        <x:f>COUNTIFS($T$7:$T$150,T26)</x:f>
        <x:v>1</x:v>
      </x:c>
      <x:c r="V26" s="47" t="n">
        <x:f>COUNTIFS($H$7:$H$150,H26,$K$7:$K$150,K26,$N$7:$N$150,N26)</x:f>
        <x:v>1</x:v>
      </x:c>
      <x:c r="W26" s="47" t="n">
        <x:f>IF(M26=L26,1,0)</x:f>
        <x:v>0</x:v>
      </x:c>
    </x:row>
    <x:row r="27">
      <x:c r="A27" s="47" t="str">
        <x:v>AR-HC-A-C-TECH-2-B2-BRK-G0</x:v>
      </x:c>
      <x:c r="B27" s="47" t="str">
        <x:v>HC-A-C-TECH-2</x:v>
      </x:c>
      <x:c r="C27" s="47" t="str">
        <x:v>HC-A-C</x:v>
      </x:c>
      <x:c r="D27" s="47" t="str">
        <x:v>B2-BRK</x:v>
      </x:c>
      <x:c r="E27" s="47" t="str">
        <x:v>B2</x:v>
      </x:c>
      <x:c r="F27" s="47" t="str">
        <x:v>BRK</x:v>
      </x:c>
      <x:c r="G27" s="47" t="n">
        <x:v>1</x:v>
      </x:c>
      <x:c r="H27" s="47" t="n">
        <x:v>1</x:v>
      </x:c>
      <x:c r="I27" s="47" t="n">
        <x:v>0</x:v>
      </x:c>
      <x:c r="J27" s="47" t="str">
        <x:v>FX-HC-A-C-TECH-2-F2</x:v>
      </x:c>
      <x:c r="K27" s="47" t="str">
        <x:v>HC-A-C-N3</x:v>
      </x:c>
      <x:c r="L27" s="47" t="str">
        <x:v>HC-A-C-N2</x:v>
      </x:c>
      <x:c r="M27" s="47" t="str">
        <x:v>HC-A-C-N1</x:v>
      </x:c>
      <x:c r="N27" s="47" t="n">
        <x:v>4</x:v>
      </x:c>
      <x:c r="O27" s="47" t="n">
        <x:v>122</x:v>
      </x:c>
      <x:c r="P27" s="47" t="n">
        <x:v>128</x:v>
      </x:c>
      <x:c r="Q27" s="47" t="str">
        <x:v>SEALED TO CAMPAIGN CLOSE</x:v>
      </x:c>
      <x:c r="R27" s="47" t="str">
        <x:v>UNVESTED</x:v>
      </x:c>
      <x:c r="S27" s="47" t="str">
        <x:v>PROGRAMMED / UNBUILT</x:v>
      </x:c>
      <x:c r="T27" s="47" t="str">
        <x:v>HC-A-C-TECH-2-E1</x:v>
      </x:c>
      <x:c r="U27" s="47" t="n">
        <x:f>COUNTIFS($T$7:$T$150,T27)</x:f>
        <x:v>1</x:v>
      </x:c>
      <x:c r="V27" s="47" t="n">
        <x:f>COUNTIFS($H$7:$H$150,H27,$K$7:$K$150,K27,$N$7:$N$150,N27)</x:f>
        <x:v>1</x:v>
      </x:c>
      <x:c r="W27" s="47" t="n">
        <x:f>IF(M27=L27,1,0)</x:f>
        <x:v>0</x:v>
      </x:c>
    </x:row>
    <x:row r="28">
      <x:c r="A28" s="47" t="str">
        <x:v>AR-HU-A-B-TECH-1-B1-BRK-G0</x:v>
      </x:c>
      <x:c r="B28" s="47" t="str">
        <x:v>HU-A-B-TECH-1</x:v>
      </x:c>
      <x:c r="C28" s="47" t="str">
        <x:v>HU-A-B</x:v>
      </x:c>
      <x:c r="D28" s="47" t="str">
        <x:v>B1-BRK</x:v>
      </x:c>
      <x:c r="E28" s="47" t="str">
        <x:v>B1</x:v>
      </x:c>
      <x:c r="F28" s="47" t="str">
        <x:v>BRK</x:v>
      </x:c>
      <x:c r="G28" s="47" t="n">
        <x:v>1</x:v>
      </x:c>
      <x:c r="H28" s="47" t="n">
        <x:v>1</x:v>
      </x:c>
      <x:c r="I28" s="47" t="n">
        <x:v>0</x:v>
      </x:c>
      <x:c r="J28" s="47" t="str">
        <x:v>FX-HU-A-B-TECH-1-F2</x:v>
      </x:c>
      <x:c r="K28" s="47" t="str">
        <x:v>HU-A-B-N2</x:v>
      </x:c>
      <x:c r="L28" s="47" t="str">
        <x:v>HU-A-B-N1</x:v>
      </x:c>
      <x:c r="M28" s="47" t="str">
        <x:v>HU-A-B-N3</x:v>
      </x:c>
      <x:c r="N28" s="47" t="n">
        <x:v>4</x:v>
      </x:c>
      <x:c r="O28" s="47" t="n">
        <x:v>122</x:v>
      </x:c>
      <x:c r="P28" s="47" t="n">
        <x:v>128</x:v>
      </x:c>
      <x:c r="Q28" s="47" t="str">
        <x:v>SEALED TO CAMPAIGN CLOSE</x:v>
      </x:c>
      <x:c r="R28" s="47" t="str">
        <x:v>UNVESTED</x:v>
      </x:c>
      <x:c r="S28" s="47" t="str">
        <x:v>PROGRAMMED / UNBUILT</x:v>
      </x:c>
      <x:c r="T28" s="47" t="str">
        <x:v>HU-A-B-TECH-1-E1</x:v>
      </x:c>
      <x:c r="U28" s="47" t="n">
        <x:f>COUNTIFS($T$7:$T$150,T28)</x:f>
        <x:v>1</x:v>
      </x:c>
      <x:c r="V28" s="47" t="n">
        <x:f>COUNTIFS($H$7:$H$150,H28,$K$7:$K$150,K28,$N$7:$N$150,N28)</x:f>
        <x:v>1</x:v>
      </x:c>
      <x:c r="W28" s="47" t="n">
        <x:f>IF(M28=L28,1,0)</x:f>
        <x:v>0</x:v>
      </x:c>
    </x:row>
    <x:row r="29">
      <x:c r="A29" s="47" t="str">
        <x:v>AR-LF-B-A-TECH-2-B1-BRK-G0</x:v>
      </x:c>
      <x:c r="B29" s="47" t="str">
        <x:v>LF-B-A-TECH-2</x:v>
      </x:c>
      <x:c r="C29" s="47" t="str">
        <x:v>LF-B-A</x:v>
      </x:c>
      <x:c r="D29" s="47" t="str">
        <x:v>B1-BRK</x:v>
      </x:c>
      <x:c r="E29" s="47" t="str">
        <x:v>B1</x:v>
      </x:c>
      <x:c r="F29" s="47" t="str">
        <x:v>BRK</x:v>
      </x:c>
      <x:c r="G29" s="47" t="n">
        <x:v>1</x:v>
      </x:c>
      <x:c r="H29" s="47" t="n">
        <x:v>1</x:v>
      </x:c>
      <x:c r="I29" s="47" t="n">
        <x:v>0</x:v>
      </x:c>
      <x:c r="J29" s="47" t="str">
        <x:v>FX-LF-B-A-TECH-2-F1</x:v>
      </x:c>
      <x:c r="K29" s="47" t="str">
        <x:v>LF-B-A-N2</x:v>
      </x:c>
      <x:c r="L29" s="47" t="str">
        <x:v>LF-B-A-N3</x:v>
      </x:c>
      <x:c r="M29" s="47" t="str">
        <x:v>LF-B-A-N1</x:v>
      </x:c>
      <x:c r="N29" s="47" t="n">
        <x:v>4</x:v>
      </x:c>
      <x:c r="O29" s="47" t="n">
        <x:v>122</x:v>
      </x:c>
      <x:c r="P29" s="47" t="n">
        <x:v>128</x:v>
      </x:c>
      <x:c r="Q29" s="47" t="str">
        <x:v>SEALED TO CAMPAIGN CLOSE</x:v>
      </x:c>
      <x:c r="R29" s="47" t="str">
        <x:v>UNVESTED</x:v>
      </x:c>
      <x:c r="S29" s="47" t="str">
        <x:v>PROGRAMMED / UNBUILT</x:v>
      </x:c>
      <x:c r="T29" s="47" t="str">
        <x:v>LF-B-A-TECH-2-E1</x:v>
      </x:c>
      <x:c r="U29" s="47" t="n">
        <x:f>COUNTIFS($T$7:$T$150,T29)</x:f>
        <x:v>1</x:v>
      </x:c>
      <x:c r="V29" s="47" t="n">
        <x:f>COUNTIFS($H$7:$H$150,H29,$K$7:$K$150,K29,$N$7:$N$150,N29)</x:f>
        <x:v>1</x:v>
      </x:c>
      <x:c r="W29" s="47" t="n">
        <x:f>IF(M29=L29,1,0)</x:f>
        <x:v>0</x:v>
      </x:c>
    </x:row>
    <x:row r="30">
      <x:c r="A30" s="47" t="str">
        <x:v>AR-RT-B-C-TECH-2-B1-INT-G0</x:v>
      </x:c>
      <x:c r="B30" s="47" t="str">
        <x:v>RT-B-C-TECH-2</x:v>
      </x:c>
      <x:c r="C30" s="47" t="str">
        <x:v>RT-B-C</x:v>
      </x:c>
      <x:c r="D30" s="47" t="str">
        <x:v>B1-INT</x:v>
      </x:c>
      <x:c r="E30" s="47" t="str">
        <x:v>B1</x:v>
      </x:c>
      <x:c r="F30" s="47" t="str">
        <x:v>INT</x:v>
      </x:c>
      <x:c r="G30" s="47" t="n">
        <x:v>0</x:v>
      </x:c>
      <x:c r="H30" s="47" t="n">
        <x:v>1</x:v>
      </x:c>
      <x:c r="I30" s="47" t="n">
        <x:v>0</x:v>
      </x:c>
      <x:c r="J30" s="47" t="str">
        <x:v>FX-RT-B-C-TECH-2-F2</x:v>
      </x:c>
      <x:c r="K30" s="47" t="str">
        <x:v>RT-B-C-N3</x:v>
      </x:c>
      <x:c r="L30" s="47" t="str">
        <x:v>RT-B-C-N2</x:v>
      </x:c>
      <x:c r="M30" s="47" t="str">
        <x:v>RT-B-C-N1</x:v>
      </x:c>
      <x:c r="N30" s="47" t="n">
        <x:v>4</x:v>
      </x:c>
      <x:c r="O30" s="47" t="n">
        <x:v>122</x:v>
      </x:c>
      <x:c r="P30" s="47" t="n">
        <x:v>128</x:v>
      </x:c>
      <x:c r="Q30" s="47" t="str">
        <x:v>SEALED TO CAMPAIGN CLOSE</x:v>
      </x:c>
      <x:c r="R30" s="47" t="str">
        <x:v>UNVESTED</x:v>
      </x:c>
      <x:c r="S30" s="47" t="str">
        <x:v>PROGRAMMED / UNBUILT</x:v>
      </x:c>
      <x:c r="T30" s="47" t="str">
        <x:v>RT-B-C-TECH-2-E1</x:v>
      </x:c>
      <x:c r="U30" s="47" t="n">
        <x:f>COUNTIFS($T$7:$T$150,T30)</x:f>
        <x:v>1</x:v>
      </x:c>
      <x:c r="V30" s="47" t="n">
        <x:f>COUNTIFS($H$7:$H$150,H30,$K$7:$K$150,K30,$N$7:$N$150,N30)</x:f>
        <x:v>1</x:v>
      </x:c>
      <x:c r="W30" s="47" t="n">
        <x:f>IF(M30=L30,1,0)</x:f>
        <x:v>0</x:v>
      </x:c>
    </x:row>
    <x:row r="31">
      <x:c r="A31" s="47" t="str">
        <x:v>AR-CT-C-B-TECH-4-B2-BRK-G0</x:v>
      </x:c>
      <x:c r="B31" s="47" t="str">
        <x:v>CT-C-B-TECH-4</x:v>
      </x:c>
      <x:c r="C31" s="47" t="str">
        <x:v>CT-C-B</x:v>
      </x:c>
      <x:c r="D31" s="47" t="str">
        <x:v>B2-BRK</x:v>
      </x:c>
      <x:c r="E31" s="47" t="str">
        <x:v>B2</x:v>
      </x:c>
      <x:c r="F31" s="47" t="str">
        <x:v>BRK</x:v>
      </x:c>
      <x:c r="G31" s="47" t="n">
        <x:v>1</x:v>
      </x:c>
      <x:c r="H31" s="47" t="n">
        <x:v>2</x:v>
      </x:c>
      <x:c r="I31" s="47" t="n">
        <x:v>5</x:v>
      </x:c>
      <x:c r="J31" s="47" t="str">
        <x:v>FX-CT-C-B-TECH-4-F2</x:v>
      </x:c>
      <x:c r="K31" s="47" t="str">
        <x:v>CT-C-B-N2</x:v>
      </x:c>
      <x:c r="L31" s="47" t="str">
        <x:v>CT-C-B-N1</x:v>
      </x:c>
      <x:c r="M31" s="47" t="str">
        <x:v>CT-C-B-N3</x:v>
      </x:c>
      <x:c r="N31" s="47" t="n">
        <x:v>1</x:v>
      </x:c>
      <x:c r="O31" s="47" t="n">
        <x:v>136</x:v>
      </x:c>
      <x:c r="P31" s="47" t="n">
        <x:v>142</x:v>
      </x:c>
      <x:c r="Q31" s="47" t="str">
        <x:v>SEALED TO CAMPAIGN CLOSE</x:v>
      </x:c>
      <x:c r="R31" s="47" t="str">
        <x:v>UNVESTED</x:v>
      </x:c>
      <x:c r="S31" s="47" t="str">
        <x:v>PROGRAMMED / UNBUILT</x:v>
      </x:c>
      <x:c r="T31" s="47" t="str">
        <x:v>CT-C-B-TECH-4-E2</x:v>
      </x:c>
      <x:c r="U31" s="47" t="n">
        <x:f>COUNTIFS($T$7:$T$150,T31)</x:f>
        <x:v>1</x:v>
      </x:c>
      <x:c r="V31" s="47" t="n">
        <x:f>COUNTIFS($H$7:$H$150,H31,$K$7:$K$150,K31,$N$7:$N$150,N31)</x:f>
        <x:v>1</x:v>
      </x:c>
      <x:c r="W31" s="47" t="n">
        <x:f>IF(M31=L31,1,0)</x:f>
        <x:v>0</x:v>
      </x:c>
    </x:row>
    <x:row r="32">
      <x:c r="A32" s="47" t="str">
        <x:v>AR-CT-C-B-TECH-3-B1-RCN-G0</x:v>
      </x:c>
      <x:c r="B32" s="47" t="str">
        <x:v>CT-C-B-TECH-3</x:v>
      </x:c>
      <x:c r="C32" s="47" t="str">
        <x:v>CT-C-B</x:v>
      </x:c>
      <x:c r="D32" s="47" t="str">
        <x:v>B1-RCN</x:v>
      </x:c>
      <x:c r="E32" s="47" t="str">
        <x:v>B1</x:v>
      </x:c>
      <x:c r="F32" s="47" t="str">
        <x:v>RCN</x:v>
      </x:c>
      <x:c r="G32" s="47" t="n">
        <x:v>1</x:v>
      </x:c>
      <x:c r="H32" s="47" t="n">
        <x:v>2</x:v>
      </x:c>
      <x:c r="I32" s="47" t="n">
        <x:v>5</x:v>
      </x:c>
      <x:c r="J32" s="47" t="str">
        <x:v>FX-CT-C-B-TECH-3-F1</x:v>
      </x:c>
      <x:c r="K32" s="47" t="str">
        <x:v>CT-C-B-N3</x:v>
      </x:c>
      <x:c r="L32" s="47" t="str">
        <x:v>CT-C-B-N1</x:v>
      </x:c>
      <x:c r="M32" s="47" t="str">
        <x:v>CT-C-B-N2</x:v>
      </x:c>
      <x:c r="N32" s="47" t="n">
        <x:v>1</x:v>
      </x:c>
      <x:c r="O32" s="47" t="n">
        <x:v>136</x:v>
      </x:c>
      <x:c r="P32" s="47" t="n">
        <x:v>142</x:v>
      </x:c>
      <x:c r="Q32" s="47" t="str">
        <x:v>SEALED TO CAMPAIGN CLOSE</x:v>
      </x:c>
      <x:c r="R32" s="47" t="str">
        <x:v>UNVESTED</x:v>
      </x:c>
      <x:c r="S32" s="47" t="str">
        <x:v>PROGRAMMED / UNBUILT</x:v>
      </x:c>
      <x:c r="T32" s="47" t="str">
        <x:v>CT-C-B-TECH-3-E2</x:v>
      </x:c>
      <x:c r="U32" s="47" t="n">
        <x:f>COUNTIFS($T$7:$T$150,T32)</x:f>
        <x:v>1</x:v>
      </x:c>
      <x:c r="V32" s="47" t="n">
        <x:f>COUNTIFS($H$7:$H$150,H32,$K$7:$K$150,K32,$N$7:$N$150,N32)</x:f>
        <x:v>1</x:v>
      </x:c>
      <x:c r="W32" s="47" t="n">
        <x:f>IF(M32=L32,1,0)</x:f>
        <x:v>0</x:v>
      </x:c>
    </x:row>
    <x:row r="33">
      <x:c r="A33" s="47" t="str">
        <x:v>AR-HC-A-C-TECH-1-B2-RCN-G0</x:v>
      </x:c>
      <x:c r="B33" s="47" t="str">
        <x:v>HC-A-C-TECH-1</x:v>
      </x:c>
      <x:c r="C33" s="47" t="str">
        <x:v>HC-A-C</x:v>
      </x:c>
      <x:c r="D33" s="47" t="str">
        <x:v>B2-RCN</x:v>
      </x:c>
      <x:c r="E33" s="47" t="str">
        <x:v>B2</x:v>
      </x:c>
      <x:c r="F33" s="47" t="str">
        <x:v>RCN</x:v>
      </x:c>
      <x:c r="G33" s="47" t="n">
        <x:v>1</x:v>
      </x:c>
      <x:c r="H33" s="47" t="n">
        <x:v>2</x:v>
      </x:c>
      <x:c r="I33" s="47" t="n">
        <x:v>5</x:v>
      </x:c>
      <x:c r="J33" s="47" t="str">
        <x:v>FX-HC-A-C-TECH-1-F2</x:v>
      </x:c>
      <x:c r="K33" s="47" t="str">
        <x:v>HC-A-C-N2</x:v>
      </x:c>
      <x:c r="L33" s="47" t="str">
        <x:v>HC-A-C-N1</x:v>
      </x:c>
      <x:c r="M33" s="47" t="str">
        <x:v>HC-A-C-N3</x:v>
      </x:c>
      <x:c r="N33" s="47" t="n">
        <x:v>1</x:v>
      </x:c>
      <x:c r="O33" s="47" t="n">
        <x:v>136</x:v>
      </x:c>
      <x:c r="P33" s="47" t="n">
        <x:v>142</x:v>
      </x:c>
      <x:c r="Q33" s="47" t="str">
        <x:v>SEALED TO CAMPAIGN CLOSE</x:v>
      </x:c>
      <x:c r="R33" s="47" t="str">
        <x:v>UNVESTED</x:v>
      </x:c>
      <x:c r="S33" s="47" t="str">
        <x:v>PROGRAMMED / UNBUILT</x:v>
      </x:c>
      <x:c r="T33" s="47" t="str">
        <x:v>HC-A-C-TECH-1-E2</x:v>
      </x:c>
      <x:c r="U33" s="47" t="n">
        <x:f>COUNTIFS($T$7:$T$150,T33)</x:f>
        <x:v>1</x:v>
      </x:c>
      <x:c r="V33" s="47" t="n">
        <x:f>COUNTIFS($H$7:$H$150,H33,$K$7:$K$150,K33,$N$7:$N$150,N33)</x:f>
        <x:v>1</x:v>
      </x:c>
      <x:c r="W33" s="47" t="n">
        <x:f>IF(M33=L33,1,0)</x:f>
        <x:v>0</x:v>
      </x:c>
    </x:row>
    <x:row r="34">
      <x:c r="A34" s="47" t="str">
        <x:v>AR-HC-A-C-TECH-3-B2-BRK-G0</x:v>
      </x:c>
      <x:c r="B34" s="47" t="str">
        <x:v>HC-A-C-TECH-3</x:v>
      </x:c>
      <x:c r="C34" s="47" t="str">
        <x:v>HC-A-C</x:v>
      </x:c>
      <x:c r="D34" s="47" t="str">
        <x:v>B2-BRK</x:v>
      </x:c>
      <x:c r="E34" s="47" t="str">
        <x:v>B2</x:v>
      </x:c>
      <x:c r="F34" s="47" t="str">
        <x:v>BRK</x:v>
      </x:c>
      <x:c r="G34" s="47" t="n">
        <x:v>1</x:v>
      </x:c>
      <x:c r="H34" s="47" t="n">
        <x:v>2</x:v>
      </x:c>
      <x:c r="I34" s="47" t="n">
        <x:v>5</x:v>
      </x:c>
      <x:c r="J34" s="47" t="str">
        <x:v>FX-HC-A-C-TECH-3-F1</x:v>
      </x:c>
      <x:c r="K34" s="47" t="str">
        <x:v>HC-A-C-N3</x:v>
      </x:c>
      <x:c r="L34" s="47" t="str">
        <x:v>HC-A-C-N1</x:v>
      </x:c>
      <x:c r="M34" s="47" t="str">
        <x:v>HC-A-C-N2</x:v>
      </x:c>
      <x:c r="N34" s="47" t="n">
        <x:v>1</x:v>
      </x:c>
      <x:c r="O34" s="47" t="n">
        <x:v>136</x:v>
      </x:c>
      <x:c r="P34" s="47" t="n">
        <x:v>142</x:v>
      </x:c>
      <x:c r="Q34" s="47" t="str">
        <x:v>SEALED TO CAMPAIGN CLOSE</x:v>
      </x:c>
      <x:c r="R34" s="47" t="str">
        <x:v>UNVESTED</x:v>
      </x:c>
      <x:c r="S34" s="47" t="str">
        <x:v>PROGRAMMED / UNBUILT</x:v>
      </x:c>
      <x:c r="T34" s="47" t="str">
        <x:v>HC-A-C-TECH-3-E2</x:v>
      </x:c>
      <x:c r="U34" s="47" t="n">
        <x:f>COUNTIFS($T$7:$T$150,T34)</x:f>
        <x:v>1</x:v>
      </x:c>
      <x:c r="V34" s="47" t="n">
        <x:f>COUNTIFS($H$7:$H$150,H34,$K$7:$K$150,K34,$N$7:$N$150,N34)</x:f>
        <x:v>1</x:v>
      </x:c>
      <x:c r="W34" s="47" t="n">
        <x:f>IF(M34=L34,1,0)</x:f>
        <x:v>0</x:v>
      </x:c>
    </x:row>
    <x:row r="35">
      <x:c r="A35" s="47" t="str">
        <x:v>AR-HU-A-B-TECH-4-B1-INT-G0</x:v>
      </x:c>
      <x:c r="B35" s="47" t="str">
        <x:v>HU-A-B-TECH-4</x:v>
      </x:c>
      <x:c r="C35" s="47" t="str">
        <x:v>HU-A-B</x:v>
      </x:c>
      <x:c r="D35" s="47" t="str">
        <x:v>B1-INT</x:v>
      </x:c>
      <x:c r="E35" s="47" t="str">
        <x:v>B1</x:v>
      </x:c>
      <x:c r="F35" s="47" t="str">
        <x:v>INT</x:v>
      </x:c>
      <x:c r="G35" s="47" t="n">
        <x:v>0</x:v>
      </x:c>
      <x:c r="H35" s="47" t="n">
        <x:v>2</x:v>
      </x:c>
      <x:c r="I35" s="47" t="n">
        <x:v>5</x:v>
      </x:c>
      <x:c r="J35" s="47" t="str">
        <x:v>FX-HU-A-B-TECH-4-F2</x:v>
      </x:c>
      <x:c r="K35" s="47" t="str">
        <x:v>HU-A-B-N2</x:v>
      </x:c>
      <x:c r="L35" s="47" t="str">
        <x:v>HU-A-B-N1</x:v>
      </x:c>
      <x:c r="M35" s="47" t="str">
        <x:v>HU-A-B-N3</x:v>
      </x:c>
      <x:c r="N35" s="47" t="n">
        <x:v>1</x:v>
      </x:c>
      <x:c r="O35" s="47" t="n">
        <x:v>136</x:v>
      </x:c>
      <x:c r="P35" s="47" t="n">
        <x:v>142</x:v>
      </x:c>
      <x:c r="Q35" s="47" t="str">
        <x:v>SEALED TO CAMPAIGN CLOSE</x:v>
      </x:c>
      <x:c r="R35" s="47" t="str">
        <x:v>UNVESTED</x:v>
      </x:c>
      <x:c r="S35" s="47" t="str">
        <x:v>PROGRAMMED / UNBUILT</x:v>
      </x:c>
      <x:c r="T35" s="47" t="str">
        <x:v>HU-A-B-TECH-4-E2</x:v>
      </x:c>
      <x:c r="U35" s="47" t="n">
        <x:f>COUNTIFS($T$7:$T$150,T35)</x:f>
        <x:v>1</x:v>
      </x:c>
      <x:c r="V35" s="47" t="n">
        <x:f>COUNTIFS($H$7:$H$150,H35,$K$7:$K$150,K35,$N$7:$N$150,N35)</x:f>
        <x:v>1</x:v>
      </x:c>
      <x:c r="W35" s="47" t="n">
        <x:f>IF(M35=L35,1,0)</x:f>
        <x:v>0</x:v>
      </x:c>
    </x:row>
    <x:row r="36">
      <x:c r="A36" s="47" t="str">
        <x:v>AR-LF-B-A-TECH-1-B1-RCN-G0</x:v>
      </x:c>
      <x:c r="B36" s="47" t="str">
        <x:v>LF-B-A-TECH-1</x:v>
      </x:c>
      <x:c r="C36" s="47" t="str">
        <x:v>LF-B-A</x:v>
      </x:c>
      <x:c r="D36" s="47" t="str">
        <x:v>B1-RCN</x:v>
      </x:c>
      <x:c r="E36" s="47" t="str">
        <x:v>B1</x:v>
      </x:c>
      <x:c r="F36" s="47" t="str">
        <x:v>RCN</x:v>
      </x:c>
      <x:c r="G36" s="47" t="n">
        <x:v>1</x:v>
      </x:c>
      <x:c r="H36" s="47" t="n">
        <x:v>2</x:v>
      </x:c>
      <x:c r="I36" s="47" t="n">
        <x:v>5</x:v>
      </x:c>
      <x:c r="J36" s="47" t="str">
        <x:v>FX-LF-B-A-TECH-1-F1</x:v>
      </x:c>
      <x:c r="K36" s="47" t="str">
        <x:v>LF-B-A-N1</x:v>
      </x:c>
      <x:c r="L36" s="47" t="str">
        <x:v>LF-B-A-N2</x:v>
      </x:c>
      <x:c r="M36" s="47" t="str">
        <x:v>LF-B-A-N3</x:v>
      </x:c>
      <x:c r="N36" s="47" t="n">
        <x:v>1</x:v>
      </x:c>
      <x:c r="O36" s="47" t="n">
        <x:v>136</x:v>
      </x:c>
      <x:c r="P36" s="47" t="n">
        <x:v>142</x:v>
      </x:c>
      <x:c r="Q36" s="47" t="str">
        <x:v>SEALED TO CAMPAIGN CLOSE</x:v>
      </x:c>
      <x:c r="R36" s="47" t="str">
        <x:v>UNVESTED</x:v>
      </x:c>
      <x:c r="S36" s="47" t="str">
        <x:v>PROGRAMMED / UNBUILT</x:v>
      </x:c>
      <x:c r="T36" s="47" t="str">
        <x:v>LF-B-A-TECH-1-E2</x:v>
      </x:c>
      <x:c r="U36" s="47" t="n">
        <x:f>COUNTIFS($T$7:$T$150,T36)</x:f>
        <x:v>1</x:v>
      </x:c>
      <x:c r="V36" s="47" t="n">
        <x:f>COUNTIFS($H$7:$H$150,H36,$K$7:$K$150,K36,$N$7:$N$150,N36)</x:f>
        <x:v>1</x:v>
      </x:c>
      <x:c r="W36" s="47" t="n">
        <x:f>IF(M36=L36,1,0)</x:f>
        <x:v>0</x:v>
      </x:c>
    </x:row>
    <x:row r="37">
      <x:c r="A37" s="47" t="str">
        <x:v>AR-ET-A-A-TECH-3-B2-RCN-G0</x:v>
      </x:c>
      <x:c r="B37" s="47" t="str">
        <x:v>ET-A-A-TECH-3</x:v>
      </x:c>
      <x:c r="C37" s="47" t="str">
        <x:v>ET-A-A</x:v>
      </x:c>
      <x:c r="D37" s="47" t="str">
        <x:v>B2-RCN</x:v>
      </x:c>
      <x:c r="E37" s="47" t="str">
        <x:v>B2</x:v>
      </x:c>
      <x:c r="F37" s="47" t="str">
        <x:v>RCN</x:v>
      </x:c>
      <x:c r="G37" s="47" t="n">
        <x:v>1</x:v>
      </x:c>
      <x:c r="H37" s="47" t="n">
        <x:v>2</x:v>
      </x:c>
      <x:c r="I37" s="47" t="n">
        <x:v>5</x:v>
      </x:c>
      <x:c r="J37" s="47" t="str">
        <x:v>FX-ET-A-A-TECH-3-F2</x:v>
      </x:c>
      <x:c r="K37" s="47" t="str">
        <x:v>ET-A-A-N1</x:v>
      </x:c>
      <x:c r="L37" s="47" t="str">
        <x:v>ET-A-A-N3</x:v>
      </x:c>
      <x:c r="M37" s="47" t="str">
        <x:v>ET-A-A-N2</x:v>
      </x:c>
      <x:c r="N37" s="47" t="n">
        <x:v>2</x:v>
      </x:c>
      <x:c r="O37" s="47" t="n">
        <x:v>142</x:v>
      </x:c>
      <x:c r="P37" s="47" t="n">
        <x:v>148</x:v>
      </x:c>
      <x:c r="Q37" s="47" t="str">
        <x:v>SEALED TO CAMPAIGN CLOSE</x:v>
      </x:c>
      <x:c r="R37" s="47" t="str">
        <x:v>UNVESTED</x:v>
      </x:c>
      <x:c r="S37" s="47" t="str">
        <x:v>PROGRAMMED / UNBUILT</x:v>
      </x:c>
      <x:c r="T37" s="47" t="str">
        <x:v>ET-A-A-TECH-3-E2</x:v>
      </x:c>
      <x:c r="U37" s="47" t="n">
        <x:f>COUNTIFS($T$7:$T$150,T37)</x:f>
        <x:v>1</x:v>
      </x:c>
      <x:c r="V37" s="47" t="n">
        <x:f>COUNTIFS($H$7:$H$150,H37,$K$7:$K$150,K37,$N$7:$N$150,N37)</x:f>
        <x:v>1</x:v>
      </x:c>
      <x:c r="W37" s="47" t="n">
        <x:f>IF(M37=L37,1,0)</x:f>
        <x:v>0</x:v>
      </x:c>
    </x:row>
    <x:row r="38">
      <x:c r="A38" s="47" t="str">
        <x:v>AR-ET-A-A-TECH-1-B2-INT-G0</x:v>
      </x:c>
      <x:c r="B38" s="47" t="str">
        <x:v>ET-A-A-TECH-1</x:v>
      </x:c>
      <x:c r="C38" s="47" t="str">
        <x:v>ET-A-A</x:v>
      </x:c>
      <x:c r="D38" s="47" t="str">
        <x:v>B2-INT</x:v>
      </x:c>
      <x:c r="E38" s="47" t="str">
        <x:v>B2</x:v>
      </x:c>
      <x:c r="F38" s="47" t="str">
        <x:v>INT</x:v>
      </x:c>
      <x:c r="G38" s="47" t="n">
        <x:v>0</x:v>
      </x:c>
      <x:c r="H38" s="47" t="n">
        <x:v>2</x:v>
      </x:c>
      <x:c r="I38" s="47" t="n">
        <x:v>5</x:v>
      </x:c>
      <x:c r="J38" s="47" t="str">
        <x:v>FX-ET-A-A-TECH-1-F2</x:v>
      </x:c>
      <x:c r="K38" s="47" t="str">
        <x:v>ET-A-A-N2</x:v>
      </x:c>
      <x:c r="L38" s="47" t="str">
        <x:v>ET-A-A-N1</x:v>
      </x:c>
      <x:c r="M38" s="47" t="str">
        <x:v>ET-A-A-N3</x:v>
      </x:c>
      <x:c r="N38" s="47" t="n">
        <x:v>2</x:v>
      </x:c>
      <x:c r="O38" s="47" t="n">
        <x:v>142</x:v>
      </x:c>
      <x:c r="P38" s="47" t="n">
        <x:v>148</x:v>
      </x:c>
      <x:c r="Q38" s="47" t="str">
        <x:v>SEALED TO CAMPAIGN CLOSE</x:v>
      </x:c>
      <x:c r="R38" s="47" t="str">
        <x:v>UNVESTED</x:v>
      </x:c>
      <x:c r="S38" s="47" t="str">
        <x:v>PROGRAMMED / UNBUILT</x:v>
      </x:c>
      <x:c r="T38" s="47" t="str">
        <x:v>ET-A-A-TECH-1-E2</x:v>
      </x:c>
      <x:c r="U38" s="47" t="n">
        <x:f>COUNTIFS($T$7:$T$150,T38)</x:f>
        <x:v>1</x:v>
      </x:c>
      <x:c r="V38" s="47" t="n">
        <x:f>COUNTIFS($H$7:$H$150,H38,$K$7:$K$150,K38,$N$7:$N$150,N38)</x:f>
        <x:v>1</x:v>
      </x:c>
      <x:c r="W38" s="47" t="n">
        <x:f>IF(M38=L38,1,0)</x:f>
        <x:v>0</x:v>
      </x:c>
    </x:row>
    <x:row r="39">
      <x:c r="A39" s="47" t="str">
        <x:v>AR-HU-A-B-TECH-1-B2-BRK-G0</x:v>
      </x:c>
      <x:c r="B39" s="47" t="str">
        <x:v>HU-A-B-TECH-1</x:v>
      </x:c>
      <x:c r="C39" s="47" t="str">
        <x:v>HU-A-B</x:v>
      </x:c>
      <x:c r="D39" s="47" t="str">
        <x:v>B2-BRK</x:v>
      </x:c>
      <x:c r="E39" s="47" t="str">
        <x:v>B2</x:v>
      </x:c>
      <x:c r="F39" s="47" t="str">
        <x:v>BRK</x:v>
      </x:c>
      <x:c r="G39" s="47" t="n">
        <x:v>1</x:v>
      </x:c>
      <x:c r="H39" s="47" t="n">
        <x:v>2</x:v>
      </x:c>
      <x:c r="I39" s="47" t="n">
        <x:v>5</x:v>
      </x:c>
      <x:c r="J39" s="47" t="str">
        <x:v>FX-HU-A-B-TECH-1-F1</x:v>
      </x:c>
      <x:c r="K39" s="47" t="str">
        <x:v>HU-A-B-N1</x:v>
      </x:c>
      <x:c r="L39" s="47" t="str">
        <x:v>HU-A-B-N2</x:v>
      </x:c>
      <x:c r="M39" s="47" t="str">
        <x:v>HU-A-B-N3</x:v>
      </x:c>
      <x:c r="N39" s="47" t="n">
        <x:v>2</x:v>
      </x:c>
      <x:c r="O39" s="47" t="n">
        <x:v>142</x:v>
      </x:c>
      <x:c r="P39" s="47" t="n">
        <x:v>148</x:v>
      </x:c>
      <x:c r="Q39" s="47" t="str">
        <x:v>SEALED TO CAMPAIGN CLOSE</x:v>
      </x:c>
      <x:c r="R39" s="47" t="str">
        <x:v>UNVESTED</x:v>
      </x:c>
      <x:c r="S39" s="47" t="str">
        <x:v>PROGRAMMED / UNBUILT</x:v>
      </x:c>
      <x:c r="T39" s="47" t="str">
        <x:v>HU-A-B-TECH-1-E2</x:v>
      </x:c>
      <x:c r="U39" s="47" t="n">
        <x:f>COUNTIFS($T$7:$T$150,T39)</x:f>
        <x:v>1</x:v>
      </x:c>
      <x:c r="V39" s="47" t="n">
        <x:f>COUNTIFS($H$7:$H$150,H39,$K$7:$K$150,K39,$N$7:$N$150,N39)</x:f>
        <x:v>1</x:v>
      </x:c>
      <x:c r="W39" s="47" t="n">
        <x:f>IF(M39=L39,1,0)</x:f>
        <x:v>0</x:v>
      </x:c>
    </x:row>
    <x:row r="40">
      <x:c r="A40" s="47" t="str">
        <x:v>AR-LF-B-A-TECH-3-B1-BRK-G0</x:v>
      </x:c>
      <x:c r="B40" s="47" t="str">
        <x:v>LF-B-A-TECH-3</x:v>
      </x:c>
      <x:c r="C40" s="47" t="str">
        <x:v>LF-B-A</x:v>
      </x:c>
      <x:c r="D40" s="47" t="str">
        <x:v>B1-BRK</x:v>
      </x:c>
      <x:c r="E40" s="47" t="str">
        <x:v>B1</x:v>
      </x:c>
      <x:c r="F40" s="47" t="str">
        <x:v>BRK</x:v>
      </x:c>
      <x:c r="G40" s="47" t="n">
        <x:v>1</x:v>
      </x:c>
      <x:c r="H40" s="47" t="n">
        <x:v>2</x:v>
      </x:c>
      <x:c r="I40" s="47" t="n">
        <x:v>5</x:v>
      </x:c>
      <x:c r="J40" s="47" t="str">
        <x:v>FX-LF-B-A-TECH-3-F2</x:v>
      </x:c>
      <x:c r="K40" s="47" t="str">
        <x:v>LF-B-A-N1</x:v>
      </x:c>
      <x:c r="L40" s="47" t="str">
        <x:v>LF-B-A-N3</x:v>
      </x:c>
      <x:c r="M40" s="47" t="str">
        <x:v>LF-B-A-N2</x:v>
      </x:c>
      <x:c r="N40" s="47" t="n">
        <x:v>2</x:v>
      </x:c>
      <x:c r="O40" s="47" t="n">
        <x:v>142</x:v>
      </x:c>
      <x:c r="P40" s="47" t="n">
        <x:v>148</x:v>
      </x:c>
      <x:c r="Q40" s="47" t="str">
        <x:v>SEALED TO CAMPAIGN CLOSE</x:v>
      </x:c>
      <x:c r="R40" s="47" t="str">
        <x:v>UNVESTED</x:v>
      </x:c>
      <x:c r="S40" s="47" t="str">
        <x:v>PROGRAMMED / UNBUILT</x:v>
      </x:c>
      <x:c r="T40" s="47" t="str">
        <x:v>LF-B-A-TECH-3-E2</x:v>
      </x:c>
      <x:c r="U40" s="47" t="n">
        <x:f>COUNTIFS($T$7:$T$150,T40)</x:f>
        <x:v>1</x:v>
      </x:c>
      <x:c r="V40" s="47" t="n">
        <x:f>COUNTIFS($H$7:$H$150,H40,$K$7:$K$150,K40,$N$7:$N$150,N40)</x:f>
        <x:v>1</x:v>
      </x:c>
      <x:c r="W40" s="47" t="n">
        <x:f>IF(M40=L40,1,0)</x:f>
        <x:v>0</x:v>
      </x:c>
    </x:row>
    <x:row r="41">
      <x:c r="A41" s="47" t="str">
        <x:v>AR-LF-B-A-TECH-2-B2-BRK-G0</x:v>
      </x:c>
      <x:c r="B41" s="47" t="str">
        <x:v>LF-B-A-TECH-2</x:v>
      </x:c>
      <x:c r="C41" s="47" t="str">
        <x:v>LF-B-A</x:v>
      </x:c>
      <x:c r="D41" s="47" t="str">
        <x:v>B2-BRK</x:v>
      </x:c>
      <x:c r="E41" s="47" t="str">
        <x:v>B2</x:v>
      </x:c>
      <x:c r="F41" s="47" t="str">
        <x:v>BRK</x:v>
      </x:c>
      <x:c r="G41" s="47" t="n">
        <x:v>1</x:v>
      </x:c>
      <x:c r="H41" s="47" t="n">
        <x:v>2</x:v>
      </x:c>
      <x:c r="I41" s="47" t="n">
        <x:v>5</x:v>
      </x:c>
      <x:c r="J41" s="47" t="str">
        <x:v>FX-LF-B-A-TECH-2-F2</x:v>
      </x:c>
      <x:c r="K41" s="47" t="str">
        <x:v>LF-B-A-N3</x:v>
      </x:c>
      <x:c r="L41" s="47" t="str">
        <x:v>LF-B-A-N2</x:v>
      </x:c>
      <x:c r="M41" s="47" t="str">
        <x:v>LF-B-A-N1</x:v>
      </x:c>
      <x:c r="N41" s="47" t="n">
        <x:v>2</x:v>
      </x:c>
      <x:c r="O41" s="47" t="n">
        <x:v>142</x:v>
      </x:c>
      <x:c r="P41" s="47" t="n">
        <x:v>148</x:v>
      </x:c>
      <x:c r="Q41" s="47" t="str">
        <x:v>SEALED TO CAMPAIGN CLOSE</x:v>
      </x:c>
      <x:c r="R41" s="47" t="str">
        <x:v>UNVESTED</x:v>
      </x:c>
      <x:c r="S41" s="47" t="str">
        <x:v>PROGRAMMED / UNBUILT</x:v>
      </x:c>
      <x:c r="T41" s="47" t="str">
        <x:v>LF-B-A-TECH-2-E2</x:v>
      </x:c>
      <x:c r="U41" s="47" t="n">
        <x:f>COUNTIFS($T$7:$T$150,T41)</x:f>
        <x:v>1</x:v>
      </x:c>
      <x:c r="V41" s="47" t="n">
        <x:f>COUNTIFS($H$7:$H$150,H41,$K$7:$K$150,K41,$N$7:$N$150,N41)</x:f>
        <x:v>1</x:v>
      </x:c>
      <x:c r="W41" s="47" t="n">
        <x:f>IF(M41=L41,1,0)</x:f>
        <x:v>0</x:v>
      </x:c>
    </x:row>
    <x:row r="42">
      <x:c r="A42" s="47" t="str">
        <x:v>AR-RT-B-C-TECH-1-B1-BRK-G0</x:v>
      </x:c>
      <x:c r="B42" s="47" t="str">
        <x:v>RT-B-C-TECH-1</x:v>
      </x:c>
      <x:c r="C42" s="47" t="str">
        <x:v>RT-B-C</x:v>
      </x:c>
      <x:c r="D42" s="47" t="str">
        <x:v>B1-BRK</x:v>
      </x:c>
      <x:c r="E42" s="47" t="str">
        <x:v>B1</x:v>
      </x:c>
      <x:c r="F42" s="47" t="str">
        <x:v>BRK</x:v>
      </x:c>
      <x:c r="G42" s="47" t="n">
        <x:v>1</x:v>
      </x:c>
      <x:c r="H42" s="47" t="n">
        <x:v>2</x:v>
      </x:c>
      <x:c r="I42" s="47" t="n">
        <x:v>5</x:v>
      </x:c>
      <x:c r="J42" s="47" t="str">
        <x:v>FX-RT-B-C-TECH-1-F2</x:v>
      </x:c>
      <x:c r="K42" s="47" t="str">
        <x:v>RT-B-C-N2</x:v>
      </x:c>
      <x:c r="L42" s="47" t="str">
        <x:v>RT-B-C-N1</x:v>
      </x:c>
      <x:c r="M42" s="47" t="str">
        <x:v>RT-B-C-N3</x:v>
      </x:c>
      <x:c r="N42" s="47" t="n">
        <x:v>2</x:v>
      </x:c>
      <x:c r="O42" s="47" t="n">
        <x:v>142</x:v>
      </x:c>
      <x:c r="P42" s="47" t="n">
        <x:v>148</x:v>
      </x:c>
      <x:c r="Q42" s="47" t="str">
        <x:v>SEALED TO CAMPAIGN CLOSE</x:v>
      </x:c>
      <x:c r="R42" s="47" t="str">
        <x:v>UNVESTED</x:v>
      </x:c>
      <x:c r="S42" s="47" t="str">
        <x:v>PROGRAMMED / UNBUILT</x:v>
      </x:c>
      <x:c r="T42" s="47" t="str">
        <x:v>RT-B-C-TECH-1-E2</x:v>
      </x:c>
      <x:c r="U42" s="47" t="n">
        <x:f>COUNTIFS($T$7:$T$150,T42)</x:f>
        <x:v>1</x:v>
      </x:c>
      <x:c r="V42" s="47" t="n">
        <x:f>COUNTIFS($H$7:$H$150,H42,$K$7:$K$150,K42,$N$7:$N$150,N42)</x:f>
        <x:v>1</x:v>
      </x:c>
      <x:c r="W42" s="47" t="n">
        <x:f>IF(M42=L42,1,0)</x:f>
        <x:v>0</x:v>
      </x:c>
    </x:row>
    <x:row r="43">
      <x:c r="A43" s="47" t="str">
        <x:v>AR-ET-A-A-TECH-4-B1-RCN-G0</x:v>
      </x:c>
      <x:c r="B43" s="47" t="str">
        <x:v>ET-A-A-TECH-4</x:v>
      </x:c>
      <x:c r="C43" s="47" t="str">
        <x:v>ET-A-A</x:v>
      </x:c>
      <x:c r="D43" s="47" t="str">
        <x:v>B1-RCN</x:v>
      </x:c>
      <x:c r="E43" s="47" t="str">
        <x:v>B1</x:v>
      </x:c>
      <x:c r="F43" s="47" t="str">
        <x:v>RCN</x:v>
      </x:c>
      <x:c r="G43" s="47" t="n">
        <x:v>1</x:v>
      </x:c>
      <x:c r="H43" s="47" t="n">
        <x:v>2</x:v>
      </x:c>
      <x:c r="I43" s="47" t="n">
        <x:v>5</x:v>
      </x:c>
      <x:c r="J43" s="47" t="str">
        <x:v>FX-ET-A-A-TECH-4-F2</x:v>
      </x:c>
      <x:c r="K43" s="47" t="str">
        <x:v>ET-A-A-N2</x:v>
      </x:c>
      <x:c r="L43" s="47" t="str">
        <x:v>ET-A-A-N1</x:v>
      </x:c>
      <x:c r="M43" s="47" t="str">
        <x:v>ET-A-A-N3</x:v>
      </x:c>
      <x:c r="N43" s="47" t="n">
        <x:v>3</x:v>
      </x:c>
      <x:c r="O43" s="47" t="n">
        <x:v>148</x:v>
      </x:c>
      <x:c r="P43" s="47" t="n">
        <x:v>154</x:v>
      </x:c>
      <x:c r="Q43" s="47" t="str">
        <x:v>SEALED TO CAMPAIGN CLOSE</x:v>
      </x:c>
      <x:c r="R43" s="47" t="str">
        <x:v>UNVESTED</x:v>
      </x:c>
      <x:c r="S43" s="47" t="str">
        <x:v>PROGRAMMED / UNBUILT</x:v>
      </x:c>
      <x:c r="T43" s="47" t="str">
        <x:v>ET-A-A-TECH-4-E2</x:v>
      </x:c>
      <x:c r="U43" s="47" t="n">
        <x:f>COUNTIFS($T$7:$T$150,T43)</x:f>
        <x:v>1</x:v>
      </x:c>
      <x:c r="V43" s="47" t="n">
        <x:f>COUNTIFS($H$7:$H$150,H43,$K$7:$K$150,K43,$N$7:$N$150,N43)</x:f>
        <x:v>1</x:v>
      </x:c>
      <x:c r="W43" s="47" t="n">
        <x:f>IF(M43=L43,1,0)</x:f>
        <x:v>0</x:v>
      </x:c>
    </x:row>
    <x:row r="44">
      <x:c r="A44" s="47" t="str">
        <x:v>AR-ET-A-A-TECH-2-B1-INT-G0</x:v>
      </x:c>
      <x:c r="B44" s="47" t="str">
        <x:v>ET-A-A-TECH-2</x:v>
      </x:c>
      <x:c r="C44" s="47" t="str">
        <x:v>ET-A-A</x:v>
      </x:c>
      <x:c r="D44" s="47" t="str">
        <x:v>B1-INT</x:v>
      </x:c>
      <x:c r="E44" s="47" t="str">
        <x:v>B1</x:v>
      </x:c>
      <x:c r="F44" s="47" t="str">
        <x:v>INT</x:v>
      </x:c>
      <x:c r="G44" s="47" t="n">
        <x:v>0</x:v>
      </x:c>
      <x:c r="H44" s="47" t="n">
        <x:v>2</x:v>
      </x:c>
      <x:c r="I44" s="47" t="n">
        <x:v>5</x:v>
      </x:c>
      <x:c r="J44" s="47" t="str">
        <x:v>FX-ET-A-A-TECH-2-F2</x:v>
      </x:c>
      <x:c r="K44" s="47" t="str">
        <x:v>ET-A-A-N3</x:v>
      </x:c>
      <x:c r="L44" s="47" t="str">
        <x:v>ET-A-A-N2</x:v>
      </x:c>
      <x:c r="M44" s="47" t="str">
        <x:v>ET-A-A-N1</x:v>
      </x:c>
      <x:c r="N44" s="47" t="n">
        <x:v>3</x:v>
      </x:c>
      <x:c r="O44" s="47" t="n">
        <x:v>148</x:v>
      </x:c>
      <x:c r="P44" s="47" t="n">
        <x:v>154</x:v>
      </x:c>
      <x:c r="Q44" s="47" t="str">
        <x:v>SEALED TO CAMPAIGN CLOSE</x:v>
      </x:c>
      <x:c r="R44" s="47" t="str">
        <x:v>UNVESTED</x:v>
      </x:c>
      <x:c r="S44" s="47" t="str">
        <x:v>PROGRAMMED / UNBUILT</x:v>
      </x:c>
      <x:c r="T44" s="47" t="str">
        <x:v>ET-A-A-TECH-2-E2</x:v>
      </x:c>
      <x:c r="U44" s="47" t="n">
        <x:f>COUNTIFS($T$7:$T$150,T44)</x:f>
        <x:v>1</x:v>
      </x:c>
      <x:c r="V44" s="47" t="n">
        <x:f>COUNTIFS($H$7:$H$150,H44,$K$7:$K$150,K44,$N$7:$N$150,N44)</x:f>
        <x:v>1</x:v>
      </x:c>
      <x:c r="W44" s="47" t="n">
        <x:f>IF(M44=L44,1,0)</x:f>
        <x:v>0</x:v>
      </x:c>
    </x:row>
    <x:row r="45">
      <x:c r="A45" s="47" t="str">
        <x:v>AR-HU-A-B-TECH-3-B2-INT-G0</x:v>
      </x:c>
      <x:c r="B45" s="47" t="str">
        <x:v>HU-A-B-TECH-3</x:v>
      </x:c>
      <x:c r="C45" s="47" t="str">
        <x:v>HU-A-B</x:v>
      </x:c>
      <x:c r="D45" s="47" t="str">
        <x:v>B2-INT</x:v>
      </x:c>
      <x:c r="E45" s="47" t="str">
        <x:v>B2</x:v>
      </x:c>
      <x:c r="F45" s="47" t="str">
        <x:v>INT</x:v>
      </x:c>
      <x:c r="G45" s="47" t="n">
        <x:v>0</x:v>
      </x:c>
      <x:c r="H45" s="47" t="n">
        <x:v>2</x:v>
      </x:c>
      <x:c r="I45" s="47" t="n">
        <x:v>5</x:v>
      </x:c>
      <x:c r="J45" s="47" t="str">
        <x:v>FX-HU-A-B-TECH-3-F2</x:v>
      </x:c>
      <x:c r="K45" s="47" t="str">
        <x:v>HU-A-B-N1</x:v>
      </x:c>
      <x:c r="L45" s="47" t="str">
        <x:v>HU-A-B-N3</x:v>
      </x:c>
      <x:c r="M45" s="47" t="str">
        <x:v>HU-A-B-N2</x:v>
      </x:c>
      <x:c r="N45" s="47" t="n">
        <x:v>3</x:v>
      </x:c>
      <x:c r="O45" s="47" t="n">
        <x:v>148</x:v>
      </x:c>
      <x:c r="P45" s="47" t="n">
        <x:v>154</x:v>
      </x:c>
      <x:c r="Q45" s="47" t="str">
        <x:v>SEALED TO CAMPAIGN CLOSE</x:v>
      </x:c>
      <x:c r="R45" s="47" t="str">
        <x:v>UNVESTED</x:v>
      </x:c>
      <x:c r="S45" s="47" t="str">
        <x:v>PROGRAMMED / UNBUILT</x:v>
      </x:c>
      <x:c r="T45" s="47" t="str">
        <x:v>HU-A-B-TECH-3-E2</x:v>
      </x:c>
      <x:c r="U45" s="47" t="n">
        <x:f>COUNTIFS($T$7:$T$150,T45)</x:f>
        <x:v>1</x:v>
      </x:c>
      <x:c r="V45" s="47" t="n">
        <x:f>COUNTIFS($H$7:$H$150,H45,$K$7:$K$150,K45,$N$7:$N$150,N45)</x:f>
        <x:v>1</x:v>
      </x:c>
      <x:c r="W45" s="47" t="n">
        <x:f>IF(M45=L45,1,0)</x:f>
        <x:v>0</x:v>
      </x:c>
    </x:row>
    <x:row r="46">
      <x:c r="A46" s="47" t="str">
        <x:v>AR-LF-B-A-TECH-4-B2-INT-G0</x:v>
      </x:c>
      <x:c r="B46" s="47" t="str">
        <x:v>LF-B-A-TECH-4</x:v>
      </x:c>
      <x:c r="C46" s="47" t="str">
        <x:v>LF-B-A</x:v>
      </x:c>
      <x:c r="D46" s="47" t="str">
        <x:v>B2-INT</x:v>
      </x:c>
      <x:c r="E46" s="47" t="str">
        <x:v>B2</x:v>
      </x:c>
      <x:c r="F46" s="47" t="str">
        <x:v>INT</x:v>
      </x:c>
      <x:c r="G46" s="47" t="n">
        <x:v>0</x:v>
      </x:c>
      <x:c r="H46" s="47" t="n">
        <x:v>2</x:v>
      </x:c>
      <x:c r="I46" s="47" t="n">
        <x:v>5</x:v>
      </x:c>
      <x:c r="J46" s="47" t="str">
        <x:v>FX-LF-B-A-TECH-4-F1</x:v>
      </x:c>
      <x:c r="K46" s="47" t="str">
        <x:v>LF-B-A-N1</x:v>
      </x:c>
      <x:c r="L46" s="47" t="str">
        <x:v>LF-B-A-N2</x:v>
      </x:c>
      <x:c r="M46" s="47" t="str">
        <x:v>LF-B-A-N3</x:v>
      </x:c>
      <x:c r="N46" s="47" t="n">
        <x:v>3</x:v>
      </x:c>
      <x:c r="O46" s="47" t="n">
        <x:v>148</x:v>
      </x:c>
      <x:c r="P46" s="47" t="n">
        <x:v>154</x:v>
      </x:c>
      <x:c r="Q46" s="47" t="str">
        <x:v>SEALED TO CAMPAIGN CLOSE</x:v>
      </x:c>
      <x:c r="R46" s="47" t="str">
        <x:v>UNVESTED</x:v>
      </x:c>
      <x:c r="S46" s="47" t="str">
        <x:v>PROGRAMMED / UNBUILT</x:v>
      </x:c>
      <x:c r="T46" s="47" t="str">
        <x:v>LF-B-A-TECH-4-E2</x:v>
      </x:c>
      <x:c r="U46" s="47" t="n">
        <x:f>COUNTIFS($T$7:$T$150,T46)</x:f>
        <x:v>1</x:v>
      </x:c>
      <x:c r="V46" s="47" t="n">
        <x:f>COUNTIFS($H$7:$H$150,H46,$K$7:$K$150,K46,$N$7:$N$150,N46)</x:f>
        <x:v>1</x:v>
      </x:c>
      <x:c r="W46" s="47" t="n">
        <x:f>IF(M46=L46,1,0)</x:f>
        <x:v>0</x:v>
      </x:c>
    </x:row>
    <x:row r="47">
      <x:c r="A47" s="47" t="str">
        <x:v>AR-RT-B-C-TECH-4-B2-RCN-G0</x:v>
      </x:c>
      <x:c r="B47" s="47" t="str">
        <x:v>RT-B-C-TECH-4</x:v>
      </x:c>
      <x:c r="C47" s="47" t="str">
        <x:v>RT-B-C</x:v>
      </x:c>
      <x:c r="D47" s="47" t="str">
        <x:v>B2-RCN</x:v>
      </x:c>
      <x:c r="E47" s="47" t="str">
        <x:v>B2</x:v>
      </x:c>
      <x:c r="F47" s="47" t="str">
        <x:v>RCN</x:v>
      </x:c>
      <x:c r="G47" s="47" t="n">
        <x:v>1</x:v>
      </x:c>
      <x:c r="H47" s="47" t="n">
        <x:v>2</x:v>
      </x:c>
      <x:c r="I47" s="47" t="n">
        <x:v>5</x:v>
      </x:c>
      <x:c r="J47" s="47" t="str">
        <x:v>FX-RT-B-C-TECH-4-F1</x:v>
      </x:c>
      <x:c r="K47" s="47" t="str">
        <x:v>RT-B-C-N1</x:v>
      </x:c>
      <x:c r="L47" s="47" t="str">
        <x:v>RT-B-C-N2</x:v>
      </x:c>
      <x:c r="M47" s="47" t="str">
        <x:v>RT-B-C-N3</x:v>
      </x:c>
      <x:c r="N47" s="47" t="n">
        <x:v>3</x:v>
      </x:c>
      <x:c r="O47" s="47" t="n">
        <x:v>148</x:v>
      </x:c>
      <x:c r="P47" s="47" t="n">
        <x:v>154</x:v>
      </x:c>
      <x:c r="Q47" s="47" t="str">
        <x:v>SEALED TO CAMPAIGN CLOSE</x:v>
      </x:c>
      <x:c r="R47" s="47" t="str">
        <x:v>UNVESTED</x:v>
      </x:c>
      <x:c r="S47" s="47" t="str">
        <x:v>PROGRAMMED / UNBUILT</x:v>
      </x:c>
      <x:c r="T47" s="47" t="str">
        <x:v>RT-B-C-TECH-4-E2</x:v>
      </x:c>
      <x:c r="U47" s="47" t="n">
        <x:f>COUNTIFS($T$7:$T$150,T47)</x:f>
        <x:v>1</x:v>
      </x:c>
      <x:c r="V47" s="47" t="n">
        <x:f>COUNTIFS($H$7:$H$150,H47,$K$7:$K$150,K47,$N$7:$N$150,N47)</x:f>
        <x:v>1</x:v>
      </x:c>
      <x:c r="W47" s="47" t="n">
        <x:f>IF(M47=L47,1,0)</x:f>
        <x:v>0</x:v>
      </x:c>
    </x:row>
    <x:row r="48">
      <x:c r="A48" s="47" t="str">
        <x:v>AR-RT-B-C-TECH-2-B2-INT-G0</x:v>
      </x:c>
      <x:c r="B48" s="47" t="str">
        <x:v>RT-B-C-TECH-2</x:v>
      </x:c>
      <x:c r="C48" s="47" t="str">
        <x:v>RT-B-C</x:v>
      </x:c>
      <x:c r="D48" s="47" t="str">
        <x:v>B2-INT</x:v>
      </x:c>
      <x:c r="E48" s="47" t="str">
        <x:v>B2</x:v>
      </x:c>
      <x:c r="F48" s="47" t="str">
        <x:v>INT</x:v>
      </x:c>
      <x:c r="G48" s="47" t="n">
        <x:v>0</x:v>
      </x:c>
      <x:c r="H48" s="47" t="n">
        <x:v>2</x:v>
      </x:c>
      <x:c r="I48" s="47" t="n">
        <x:v>5</x:v>
      </x:c>
      <x:c r="J48" s="47" t="str">
        <x:v>FX-RT-B-C-TECH-2-F1</x:v>
      </x:c>
      <x:c r="K48" s="47" t="str">
        <x:v>RT-B-C-N2</x:v>
      </x:c>
      <x:c r="L48" s="47" t="str">
        <x:v>RT-B-C-N3</x:v>
      </x:c>
      <x:c r="M48" s="47" t="str">
        <x:v>RT-B-C-N1</x:v>
      </x:c>
      <x:c r="N48" s="47" t="n">
        <x:v>3</x:v>
      </x:c>
      <x:c r="O48" s="47" t="n">
        <x:v>148</x:v>
      </x:c>
      <x:c r="P48" s="47" t="n">
        <x:v>154</x:v>
      </x:c>
      <x:c r="Q48" s="47" t="str">
        <x:v>SEALED TO CAMPAIGN CLOSE</x:v>
      </x:c>
      <x:c r="R48" s="47" t="str">
        <x:v>UNVESTED</x:v>
      </x:c>
      <x:c r="S48" s="47" t="str">
        <x:v>PROGRAMMED / UNBUILT</x:v>
      </x:c>
      <x:c r="T48" s="47" t="str">
        <x:v>RT-B-C-TECH-2-E2</x:v>
      </x:c>
      <x:c r="U48" s="47" t="n">
        <x:f>COUNTIFS($T$7:$T$150,T48)</x:f>
        <x:v>1</x:v>
      </x:c>
      <x:c r="V48" s="47" t="n">
        <x:f>COUNTIFS($H$7:$H$150,H48,$K$7:$K$150,K48,$N$7:$N$150,N48)</x:f>
        <x:v>1</x:v>
      </x:c>
      <x:c r="W48" s="47" t="n">
        <x:f>IF(M48=L48,1,0)</x:f>
        <x:v>0</x:v>
      </x:c>
    </x:row>
    <x:row r="49">
      <x:c r="A49" s="47" t="str">
        <x:v>AR-CT-C-B-TECH-1-B1-INT-G0</x:v>
      </x:c>
      <x:c r="B49" s="47" t="str">
        <x:v>CT-C-B-TECH-1</x:v>
      </x:c>
      <x:c r="C49" s="47" t="str">
        <x:v>CT-C-B</x:v>
      </x:c>
      <x:c r="D49" s="47" t="str">
        <x:v>B1-INT</x:v>
      </x:c>
      <x:c r="E49" s="47" t="str">
        <x:v>B1</x:v>
      </x:c>
      <x:c r="F49" s="47" t="str">
        <x:v>INT</x:v>
      </x:c>
      <x:c r="G49" s="47" t="n">
        <x:v>0</x:v>
      </x:c>
      <x:c r="H49" s="47" t="n">
        <x:v>2</x:v>
      </x:c>
      <x:c r="I49" s="47" t="n">
        <x:v>5</x:v>
      </x:c>
      <x:c r="J49" s="47" t="str">
        <x:v>FX-CT-C-B-TECH-1-F1</x:v>
      </x:c>
      <x:c r="K49" s="47" t="str">
        <x:v>CT-C-B-N1</x:v>
      </x:c>
      <x:c r="L49" s="47" t="str">
        <x:v>CT-C-B-N2</x:v>
      </x:c>
      <x:c r="M49" s="47" t="str">
        <x:v>CT-C-B-N3</x:v>
      </x:c>
      <x:c r="N49" s="47" t="n">
        <x:v>4</x:v>
      </x:c>
      <x:c r="O49" s="47" t="n">
        <x:v>154</x:v>
      </x:c>
      <x:c r="P49" s="47" t="n">
        <x:v>160</x:v>
      </x:c>
      <x:c r="Q49" s="47" t="str">
        <x:v>SEALED TO CAMPAIGN CLOSE</x:v>
      </x:c>
      <x:c r="R49" s="47" t="str">
        <x:v>UNVESTED</x:v>
      </x:c>
      <x:c r="S49" s="47" t="str">
        <x:v>PROGRAMMED / UNBUILT</x:v>
      </x:c>
      <x:c r="T49" s="47" t="str">
        <x:v>CT-C-B-TECH-1-E2</x:v>
      </x:c>
      <x:c r="U49" s="47" t="n">
        <x:f>COUNTIFS($T$7:$T$150,T49)</x:f>
        <x:v>1</x:v>
      </x:c>
      <x:c r="V49" s="47" t="n">
        <x:f>COUNTIFS($H$7:$H$150,H49,$K$7:$K$150,K49,$N$7:$N$150,N49)</x:f>
        <x:v>1</x:v>
      </x:c>
      <x:c r="W49" s="47" t="n">
        <x:f>IF(M49=L49,1,0)</x:f>
        <x:v>0</x:v>
      </x:c>
    </x:row>
    <x:row r="50">
      <x:c r="A50" s="47" t="str">
        <x:v>AR-CT-C-B-TECH-2-B2-RCN-G0</x:v>
      </x:c>
      <x:c r="B50" s="47" t="str">
        <x:v>CT-C-B-TECH-2</x:v>
      </x:c>
      <x:c r="C50" s="47" t="str">
        <x:v>CT-C-B</x:v>
      </x:c>
      <x:c r="D50" s="47" t="str">
        <x:v>B2-RCN</x:v>
      </x:c>
      <x:c r="E50" s="47" t="str">
        <x:v>B2</x:v>
      </x:c>
      <x:c r="F50" s="47" t="str">
        <x:v>RCN</x:v>
      </x:c>
      <x:c r="G50" s="47" t="n">
        <x:v>1</x:v>
      </x:c>
      <x:c r="H50" s="47" t="n">
        <x:v>2</x:v>
      </x:c>
      <x:c r="I50" s="47" t="n">
        <x:v>5</x:v>
      </x:c>
      <x:c r="J50" s="47" t="str">
        <x:v>FX-CT-C-B-TECH-2-F1</x:v>
      </x:c>
      <x:c r="K50" s="47" t="str">
        <x:v>CT-C-B-N2</x:v>
      </x:c>
      <x:c r="L50" s="47" t="str">
        <x:v>CT-C-B-N3</x:v>
      </x:c>
      <x:c r="M50" s="47" t="str">
        <x:v>CT-C-B-N1</x:v>
      </x:c>
      <x:c r="N50" s="47" t="n">
        <x:v>4</x:v>
      </x:c>
      <x:c r="O50" s="47" t="n">
        <x:v>154</x:v>
      </x:c>
      <x:c r="P50" s="47" t="n">
        <x:v>160</x:v>
      </x:c>
      <x:c r="Q50" s="47" t="str">
        <x:v>SEALED TO CAMPAIGN CLOSE</x:v>
      </x:c>
      <x:c r="R50" s="47" t="str">
        <x:v>UNVESTED</x:v>
      </x:c>
      <x:c r="S50" s="47" t="str">
        <x:v>PROGRAMMED / UNBUILT</x:v>
      </x:c>
      <x:c r="T50" s="47" t="str">
        <x:v>CT-C-B-TECH-2-E2</x:v>
      </x:c>
      <x:c r="U50" s="47" t="n">
        <x:f>COUNTIFS($T$7:$T$150,T50)</x:f>
        <x:v>1</x:v>
      </x:c>
      <x:c r="V50" s="47" t="n">
        <x:f>COUNTIFS($H$7:$H$150,H50,$K$7:$K$150,K50,$N$7:$N$150,N50)</x:f>
        <x:v>1</x:v>
      </x:c>
      <x:c r="W50" s="47" t="n">
        <x:f>IF(M50=L50,1,0)</x:f>
        <x:v>0</x:v>
      </x:c>
    </x:row>
    <x:row r="51">
      <x:c r="A51" s="47" t="str">
        <x:v>AR-HC-A-C-TECH-4-B1-BRK-G0</x:v>
      </x:c>
      <x:c r="B51" s="47" t="str">
        <x:v>HC-A-C-TECH-4</x:v>
      </x:c>
      <x:c r="C51" s="47" t="str">
        <x:v>HC-A-C</x:v>
      </x:c>
      <x:c r="D51" s="47" t="str">
        <x:v>B1-BRK</x:v>
      </x:c>
      <x:c r="E51" s="47" t="str">
        <x:v>B1</x:v>
      </x:c>
      <x:c r="F51" s="47" t="str">
        <x:v>BRK</x:v>
      </x:c>
      <x:c r="G51" s="47" t="n">
        <x:v>1</x:v>
      </x:c>
      <x:c r="H51" s="47" t="n">
        <x:v>2</x:v>
      </x:c>
      <x:c r="I51" s="47" t="n">
        <x:v>5</x:v>
      </x:c>
      <x:c r="J51" s="47" t="str">
        <x:v>FX-HC-A-C-TECH-4-F1</x:v>
      </x:c>
      <x:c r="K51" s="47" t="str">
        <x:v>HC-A-C-N1</x:v>
      </x:c>
      <x:c r="L51" s="47" t="str">
        <x:v>HC-A-C-N2</x:v>
      </x:c>
      <x:c r="M51" s="47" t="str">
        <x:v>HC-A-C-N3</x:v>
      </x:c>
      <x:c r="N51" s="47" t="n">
        <x:v>4</x:v>
      </x:c>
      <x:c r="O51" s="47" t="n">
        <x:v>154</x:v>
      </x:c>
      <x:c r="P51" s="47" t="n">
        <x:v>160</x:v>
      </x:c>
      <x:c r="Q51" s="47" t="str">
        <x:v>SEALED TO CAMPAIGN CLOSE</x:v>
      </x:c>
      <x:c r="R51" s="47" t="str">
        <x:v>UNVESTED</x:v>
      </x:c>
      <x:c r="S51" s="47" t="str">
        <x:v>PROGRAMMED / UNBUILT</x:v>
      </x:c>
      <x:c r="T51" s="47" t="str">
        <x:v>HC-A-C-TECH-4-E2</x:v>
      </x:c>
      <x:c r="U51" s="47" t="n">
        <x:f>COUNTIFS($T$7:$T$150,T51)</x:f>
        <x:v>1</x:v>
      </x:c>
      <x:c r="V51" s="47" t="n">
        <x:f>COUNTIFS($H$7:$H$150,H51,$K$7:$K$150,K51,$N$7:$N$150,N51)</x:f>
        <x:v>1</x:v>
      </x:c>
      <x:c r="W51" s="47" t="n">
        <x:f>IF(M51=L51,1,0)</x:f>
        <x:v>0</x:v>
      </x:c>
    </x:row>
    <x:row r="52">
      <x:c r="A52" s="47" t="str">
        <x:v>AR-HC-A-C-TECH-2-B1-RCN-G0</x:v>
      </x:c>
      <x:c r="B52" s="47" t="str">
        <x:v>HC-A-C-TECH-2</x:v>
      </x:c>
      <x:c r="C52" s="47" t="str">
        <x:v>HC-A-C</x:v>
      </x:c>
      <x:c r="D52" s="47" t="str">
        <x:v>B1-RCN</x:v>
      </x:c>
      <x:c r="E52" s="47" t="str">
        <x:v>B1</x:v>
      </x:c>
      <x:c r="F52" s="47" t="str">
        <x:v>RCN</x:v>
      </x:c>
      <x:c r="G52" s="47" t="n">
        <x:v>1</x:v>
      </x:c>
      <x:c r="H52" s="47" t="n">
        <x:v>2</x:v>
      </x:c>
      <x:c r="I52" s="47" t="n">
        <x:v>5</x:v>
      </x:c>
      <x:c r="J52" s="47" t="str">
        <x:v>FX-HC-A-C-TECH-2-F2</x:v>
      </x:c>
      <x:c r="K52" s="47" t="str">
        <x:v>HC-A-C-N3</x:v>
      </x:c>
      <x:c r="L52" s="47" t="str">
        <x:v>HC-A-C-N2</x:v>
      </x:c>
      <x:c r="M52" s="47" t="str">
        <x:v>HC-A-C-N1</x:v>
      </x:c>
      <x:c r="N52" s="47" t="n">
        <x:v>4</x:v>
      </x:c>
      <x:c r="O52" s="47" t="n">
        <x:v>154</x:v>
      </x:c>
      <x:c r="P52" s="47" t="n">
        <x:v>160</x:v>
      </x:c>
      <x:c r="Q52" s="47" t="str">
        <x:v>SEALED TO CAMPAIGN CLOSE</x:v>
      </x:c>
      <x:c r="R52" s="47" t="str">
        <x:v>UNVESTED</x:v>
      </x:c>
      <x:c r="S52" s="47" t="str">
        <x:v>PROGRAMMED / UNBUILT</x:v>
      </x:c>
      <x:c r="T52" s="47" t="str">
        <x:v>HC-A-C-TECH-2-E2</x:v>
      </x:c>
      <x:c r="U52" s="47" t="n">
        <x:f>COUNTIFS($T$7:$T$150,T52)</x:f>
        <x:v>1</x:v>
      </x:c>
      <x:c r="V52" s="47" t="n">
        <x:f>COUNTIFS($H$7:$H$150,H52,$K$7:$K$150,K52,$N$7:$N$150,N52)</x:f>
        <x:v>1</x:v>
      </x:c>
      <x:c r="W52" s="47" t="n">
        <x:f>IF(M52=L52,1,0)</x:f>
        <x:v>0</x:v>
      </x:c>
    </x:row>
    <x:row r="53">
      <x:c r="A53" s="47" t="str">
        <x:v>AR-HU-A-B-TECH-2-B1-BRK-G0</x:v>
      </x:c>
      <x:c r="B53" s="47" t="str">
        <x:v>HU-A-B-TECH-2</x:v>
      </x:c>
      <x:c r="C53" s="47" t="str">
        <x:v>HU-A-B</x:v>
      </x:c>
      <x:c r="D53" s="47" t="str">
        <x:v>B1-BRK</x:v>
      </x:c>
      <x:c r="E53" s="47" t="str">
        <x:v>B1</x:v>
      </x:c>
      <x:c r="F53" s="47" t="str">
        <x:v>BRK</x:v>
      </x:c>
      <x:c r="G53" s="47" t="n">
        <x:v>1</x:v>
      </x:c>
      <x:c r="H53" s="47" t="n">
        <x:v>2</x:v>
      </x:c>
      <x:c r="I53" s="47" t="n">
        <x:v>5</x:v>
      </x:c>
      <x:c r="J53" s="47" t="str">
        <x:v>FX-HU-A-B-TECH-2-F1</x:v>
      </x:c>
      <x:c r="K53" s="47" t="str">
        <x:v>HU-A-B-N2</x:v>
      </x:c>
      <x:c r="L53" s="47" t="str">
        <x:v>HU-A-B-N3</x:v>
      </x:c>
      <x:c r="M53" s="47" t="str">
        <x:v>HU-A-B-N1</x:v>
      </x:c>
      <x:c r="N53" s="47" t="n">
        <x:v>4</x:v>
      </x:c>
      <x:c r="O53" s="47" t="n">
        <x:v>154</x:v>
      </x:c>
      <x:c r="P53" s="47" t="n">
        <x:v>160</x:v>
      </x:c>
      <x:c r="Q53" s="47" t="str">
        <x:v>SEALED TO CAMPAIGN CLOSE</x:v>
      </x:c>
      <x:c r="R53" s="47" t="str">
        <x:v>UNVESTED</x:v>
      </x:c>
      <x:c r="S53" s="47" t="str">
        <x:v>PROGRAMMED / UNBUILT</x:v>
      </x:c>
      <x:c r="T53" s="47" t="str">
        <x:v>HU-A-B-TECH-2-E2</x:v>
      </x:c>
      <x:c r="U53" s="47" t="n">
        <x:f>COUNTIFS($T$7:$T$150,T53)</x:f>
        <x:v>1</x:v>
      </x:c>
      <x:c r="V53" s="47" t="n">
        <x:f>COUNTIFS($H$7:$H$150,H53,$K$7:$K$150,K53,$N$7:$N$150,N53)</x:f>
        <x:v>1</x:v>
      </x:c>
      <x:c r="W53" s="47" t="n">
        <x:f>IF(M53=L53,1,0)</x:f>
        <x:v>0</x:v>
      </x:c>
    </x:row>
    <x:row r="54">
      <x:c r="A54" s="47" t="str">
        <x:v>AR-RT-B-C-TECH-3-B1-INT-G0</x:v>
      </x:c>
      <x:c r="B54" s="47" t="str">
        <x:v>RT-B-C-TECH-3</x:v>
      </x:c>
      <x:c r="C54" s="47" t="str">
        <x:v>RT-B-C</x:v>
      </x:c>
      <x:c r="D54" s="47" t="str">
        <x:v>B1-INT</x:v>
      </x:c>
      <x:c r="E54" s="47" t="str">
        <x:v>B1</x:v>
      </x:c>
      <x:c r="F54" s="47" t="str">
        <x:v>INT</x:v>
      </x:c>
      <x:c r="G54" s="47" t="n">
        <x:v>0</x:v>
      </x:c>
      <x:c r="H54" s="47" t="n">
        <x:v>2</x:v>
      </x:c>
      <x:c r="I54" s="47" t="n">
        <x:v>5</x:v>
      </x:c>
      <x:c r="J54" s="47" t="str">
        <x:v>FX-RT-B-C-TECH-3-F1</x:v>
      </x:c>
      <x:c r="K54" s="47" t="str">
        <x:v>RT-B-C-N3</x:v>
      </x:c>
      <x:c r="L54" s="47" t="str">
        <x:v>RT-B-C-N1</x:v>
      </x:c>
      <x:c r="M54" s="47" t="str">
        <x:v>RT-B-C-N2</x:v>
      </x:c>
      <x:c r="N54" s="47" t="n">
        <x:v>4</x:v>
      </x:c>
      <x:c r="O54" s="47" t="n">
        <x:v>154</x:v>
      </x:c>
      <x:c r="P54" s="47" t="n">
        <x:v>160</x:v>
      </x:c>
      <x:c r="Q54" s="47" t="str">
        <x:v>SEALED TO CAMPAIGN CLOSE</x:v>
      </x:c>
      <x:c r="R54" s="47" t="str">
        <x:v>UNVESTED</x:v>
      </x:c>
      <x:c r="S54" s="47" t="str">
        <x:v>PROGRAMMED / UNBUILT</x:v>
      </x:c>
      <x:c r="T54" s="47" t="str">
        <x:v>RT-B-C-TECH-3-E2</x:v>
      </x:c>
      <x:c r="U54" s="47" t="n">
        <x:f>COUNTIFS($T$7:$T$150,T54)</x:f>
        <x:v>1</x:v>
      </x:c>
      <x:c r="V54" s="47" t="n">
        <x:f>COUNTIFS($H$7:$H$150,H54,$K$7:$K$150,K54,$N$7:$N$150,N54)</x:f>
        <x:v>1</x:v>
      </x:c>
      <x:c r="W54" s="47" t="n">
        <x:f>IF(M54=L54,1,0)</x:f>
        <x:v>0</x:v>
      </x:c>
    </x:row>
    <x:row r="55">
      <x:c r="A55" s="47" t="str">
        <x:v>AR-CT-C-B-TECH-4-B1-RCN-G0</x:v>
      </x:c>
      <x:c r="B55" s="47" t="str">
        <x:v>CT-C-B-TECH-4</x:v>
      </x:c>
      <x:c r="C55" s="47" t="str">
        <x:v>CT-C-B</x:v>
      </x:c>
      <x:c r="D55" s="47" t="str">
        <x:v>B1-RCN</x:v>
      </x:c>
      <x:c r="E55" s="47" t="str">
        <x:v>B1</x:v>
      </x:c>
      <x:c r="F55" s="47" t="str">
        <x:v>RCN</x:v>
      </x:c>
      <x:c r="G55" s="47" t="n">
        <x:v>1</x:v>
      </x:c>
      <x:c r="H55" s="47" t="n">
        <x:v>3</x:v>
      </x:c>
      <x:c r="I55" s="47" t="n">
        <x:v>10</x:v>
      </x:c>
      <x:c r="J55" s="47" t="str">
        <x:v>FX-CT-C-B-TECH-4-F2</x:v>
      </x:c>
      <x:c r="K55" s="47" t="str">
        <x:v>CT-C-B-N2</x:v>
      </x:c>
      <x:c r="L55" s="47" t="str">
        <x:v>CT-C-B-N1</x:v>
      </x:c>
      <x:c r="M55" s="47" t="str">
        <x:v>CT-C-B-N3</x:v>
      </x:c>
      <x:c r="N55" s="47" t="n">
        <x:v>1</x:v>
      </x:c>
      <x:c r="O55" s="47" t="n">
        <x:v>168</x:v>
      </x:c>
      <x:c r="P55" s="47" t="n">
        <x:v>174</x:v>
      </x:c>
      <x:c r="Q55" s="47" t="str">
        <x:v>SEALED TO CAMPAIGN CLOSE</x:v>
      </x:c>
      <x:c r="R55" s="47" t="str">
        <x:v>UNVESTED</x:v>
      </x:c>
      <x:c r="S55" s="47" t="str">
        <x:v>PROGRAMMED / UNBUILT</x:v>
      </x:c>
      <x:c r="T55" s="47" t="str">
        <x:v>CT-C-B-TECH-4-E3</x:v>
      </x:c>
      <x:c r="U55" s="47" t="n">
        <x:f>COUNTIFS($T$7:$T$150,T55)</x:f>
        <x:v>1</x:v>
      </x:c>
      <x:c r="V55" s="47" t="n">
        <x:f>COUNTIFS($H$7:$H$150,H55,$K$7:$K$150,K55,$N$7:$N$150,N55)</x:f>
        <x:v>1</x:v>
      </x:c>
      <x:c r="W55" s="47" t="n">
        <x:f>IF(M55=L55,1,0)</x:f>
        <x:v>0</x:v>
      </x:c>
    </x:row>
    <x:row r="56">
      <x:c r="A56" s="47" t="str">
        <x:v>AR-CT-C-B-TECH-2-B1-INT-G0</x:v>
      </x:c>
      <x:c r="B56" s="47" t="str">
        <x:v>CT-C-B-TECH-2</x:v>
      </x:c>
      <x:c r="C56" s="47" t="str">
        <x:v>CT-C-B</x:v>
      </x:c>
      <x:c r="D56" s="47" t="str">
        <x:v>B1-INT</x:v>
      </x:c>
      <x:c r="E56" s="47" t="str">
        <x:v>B1</x:v>
      </x:c>
      <x:c r="F56" s="47" t="str">
        <x:v>INT</x:v>
      </x:c>
      <x:c r="G56" s="47" t="n">
        <x:v>0</x:v>
      </x:c>
      <x:c r="H56" s="47" t="n">
        <x:v>3</x:v>
      </x:c>
      <x:c r="I56" s="47" t="n">
        <x:v>10</x:v>
      </x:c>
      <x:c r="J56" s="47" t="str">
        <x:v>FX-CT-C-B-TECH-2-F2</x:v>
      </x:c>
      <x:c r="K56" s="47" t="str">
        <x:v>CT-C-B-N3</x:v>
      </x:c>
      <x:c r="L56" s="47" t="str">
        <x:v>CT-C-B-N2</x:v>
      </x:c>
      <x:c r="M56" s="47" t="str">
        <x:v>CT-C-B-N1</x:v>
      </x:c>
      <x:c r="N56" s="47" t="n">
        <x:v>1</x:v>
      </x:c>
      <x:c r="O56" s="47" t="n">
        <x:v>168</x:v>
      </x:c>
      <x:c r="P56" s="47" t="n">
        <x:v>174</x:v>
      </x:c>
      <x:c r="Q56" s="47" t="str">
        <x:v>SEALED TO CAMPAIGN CLOSE</x:v>
      </x:c>
      <x:c r="R56" s="47" t="str">
        <x:v>UNVESTED</x:v>
      </x:c>
      <x:c r="S56" s="47" t="str">
        <x:v>PROGRAMMED / UNBUILT</x:v>
      </x:c>
      <x:c r="T56" s="47" t="str">
        <x:v>CT-C-B-TECH-2-E3</x:v>
      </x:c>
      <x:c r="U56" s="47" t="n">
        <x:f>COUNTIFS($T$7:$T$150,T56)</x:f>
        <x:v>1</x:v>
      </x:c>
      <x:c r="V56" s="47" t="n">
        <x:f>COUNTIFS($H$7:$H$150,H56,$K$7:$K$150,K56,$N$7:$N$150,N56)</x:f>
        <x:v>1</x:v>
      </x:c>
      <x:c r="W56" s="47" t="n">
        <x:f>IF(M56=L56,1,0)</x:f>
        <x:v>0</x:v>
      </x:c>
    </x:row>
    <x:row r="57">
      <x:c r="A57" s="47" t="str">
        <x:v>AR-HC-A-C-TECH-4-B2-BRK-G0</x:v>
      </x:c>
      <x:c r="B57" s="47" t="str">
        <x:v>HC-A-C-TECH-4</x:v>
      </x:c>
      <x:c r="C57" s="47" t="str">
        <x:v>HC-A-C</x:v>
      </x:c>
      <x:c r="D57" s="47" t="str">
        <x:v>B2-BRK</x:v>
      </x:c>
      <x:c r="E57" s="47" t="str">
        <x:v>B2</x:v>
      </x:c>
      <x:c r="F57" s="47" t="str">
        <x:v>BRK</x:v>
      </x:c>
      <x:c r="G57" s="47" t="n">
        <x:v>1</x:v>
      </x:c>
      <x:c r="H57" s="47" t="n">
        <x:v>3</x:v>
      </x:c>
      <x:c r="I57" s="47" t="n">
        <x:v>10</x:v>
      </x:c>
      <x:c r="J57" s="47" t="str">
        <x:v>FX-HC-A-C-TECH-4-F2</x:v>
      </x:c>
      <x:c r="K57" s="47" t="str">
        <x:v>HC-A-C-N2</x:v>
      </x:c>
      <x:c r="L57" s="47" t="str">
        <x:v>HC-A-C-N1</x:v>
      </x:c>
      <x:c r="M57" s="47" t="str">
        <x:v>HC-A-C-N3</x:v>
      </x:c>
      <x:c r="N57" s="47" t="n">
        <x:v>1</x:v>
      </x:c>
      <x:c r="O57" s="47" t="n">
        <x:v>168</x:v>
      </x:c>
      <x:c r="P57" s="47" t="n">
        <x:v>174</x:v>
      </x:c>
      <x:c r="Q57" s="47" t="str">
        <x:v>SEALED TO CAMPAIGN CLOSE</x:v>
      </x:c>
      <x:c r="R57" s="47" t="str">
        <x:v>UNVESTED</x:v>
      </x:c>
      <x:c r="S57" s="47" t="str">
        <x:v>PROGRAMMED / UNBUILT</x:v>
      </x:c>
      <x:c r="T57" s="47" t="str">
        <x:v>HC-A-C-TECH-4-E3</x:v>
      </x:c>
      <x:c r="U57" s="47" t="n">
        <x:f>COUNTIFS($T$7:$T$150,T57)</x:f>
        <x:v>1</x:v>
      </x:c>
      <x:c r="V57" s="47" t="n">
        <x:f>COUNTIFS($H$7:$H$150,H57,$K$7:$K$150,K57,$N$7:$N$150,N57)</x:f>
        <x:v>1</x:v>
      </x:c>
      <x:c r="W57" s="47" t="n">
        <x:f>IF(M57=L57,1,0)</x:f>
        <x:v>0</x:v>
      </x:c>
    </x:row>
    <x:row r="58">
      <x:c r="A58" s="47" t="str">
        <x:v>AR-HC-A-C-TECH-3-B1-RCN-G0</x:v>
      </x:c>
      <x:c r="B58" s="47" t="str">
        <x:v>HC-A-C-TECH-3</x:v>
      </x:c>
      <x:c r="C58" s="47" t="str">
        <x:v>HC-A-C</x:v>
      </x:c>
      <x:c r="D58" s="47" t="str">
        <x:v>B1-RCN</x:v>
      </x:c>
      <x:c r="E58" s="47" t="str">
        <x:v>B1</x:v>
      </x:c>
      <x:c r="F58" s="47" t="str">
        <x:v>RCN</x:v>
      </x:c>
      <x:c r="G58" s="47" t="n">
        <x:v>1</x:v>
      </x:c>
      <x:c r="H58" s="47" t="n">
        <x:v>3</x:v>
      </x:c>
      <x:c r="I58" s="47" t="n">
        <x:v>10</x:v>
      </x:c>
      <x:c r="J58" s="47" t="str">
        <x:v>FX-HC-A-C-TECH-3-F1</x:v>
      </x:c>
      <x:c r="K58" s="47" t="str">
        <x:v>HC-A-C-N3</x:v>
      </x:c>
      <x:c r="L58" s="47" t="str">
        <x:v>HC-A-C-N1</x:v>
      </x:c>
      <x:c r="M58" s="47" t="str">
        <x:v>HC-A-C-N2</x:v>
      </x:c>
      <x:c r="N58" s="47" t="n">
        <x:v>1</x:v>
      </x:c>
      <x:c r="O58" s="47" t="n">
        <x:v>168</x:v>
      </x:c>
      <x:c r="P58" s="47" t="n">
        <x:v>174</x:v>
      </x:c>
      <x:c r="Q58" s="47" t="str">
        <x:v>SEALED TO CAMPAIGN CLOSE</x:v>
      </x:c>
      <x:c r="R58" s="47" t="str">
        <x:v>UNVESTED</x:v>
      </x:c>
      <x:c r="S58" s="47" t="str">
        <x:v>PROGRAMMED / UNBUILT</x:v>
      </x:c>
      <x:c r="T58" s="47" t="str">
        <x:v>HC-A-C-TECH-3-E3</x:v>
      </x:c>
      <x:c r="U58" s="47" t="n">
        <x:f>COUNTIFS($T$7:$T$150,T58)</x:f>
        <x:v>1</x:v>
      </x:c>
      <x:c r="V58" s="47" t="n">
        <x:f>COUNTIFS($H$7:$H$150,H58,$K$7:$K$150,K58,$N$7:$N$150,N58)</x:f>
        <x:v>1</x:v>
      </x:c>
      <x:c r="W58" s="47" t="n">
        <x:f>IF(M58=L58,1,0)</x:f>
        <x:v>0</x:v>
      </x:c>
    </x:row>
    <x:row r="59">
      <x:c r="A59" s="47" t="str">
        <x:v>AR-HU-A-B-TECH-1-B1-RCN-G0</x:v>
      </x:c>
      <x:c r="B59" s="47" t="str">
        <x:v>HU-A-B-TECH-1</x:v>
      </x:c>
      <x:c r="C59" s="47" t="str">
        <x:v>HU-A-B</x:v>
      </x:c>
      <x:c r="D59" s="47" t="str">
        <x:v>B1-RCN</x:v>
      </x:c>
      <x:c r="E59" s="47" t="str">
        <x:v>B1</x:v>
      </x:c>
      <x:c r="F59" s="47" t="str">
        <x:v>RCN</x:v>
      </x:c>
      <x:c r="G59" s="47" t="n">
        <x:v>1</x:v>
      </x:c>
      <x:c r="H59" s="47" t="n">
        <x:v>3</x:v>
      </x:c>
      <x:c r="I59" s="47" t="n">
        <x:v>10</x:v>
      </x:c>
      <x:c r="J59" s="47" t="str">
        <x:v>FX-HU-A-B-TECH-1-F1</x:v>
      </x:c>
      <x:c r="K59" s="47" t="str">
        <x:v>HU-A-B-N1</x:v>
      </x:c>
      <x:c r="L59" s="47" t="str">
        <x:v>HU-A-B-N2</x:v>
      </x:c>
      <x:c r="M59" s="47" t="str">
        <x:v>HU-A-B-N3</x:v>
      </x:c>
      <x:c r="N59" s="47" t="n">
        <x:v>1</x:v>
      </x:c>
      <x:c r="O59" s="47" t="n">
        <x:v>168</x:v>
      </x:c>
      <x:c r="P59" s="47" t="n">
        <x:v>174</x:v>
      </x:c>
      <x:c r="Q59" s="47" t="str">
        <x:v>SEALED TO CAMPAIGN CLOSE</x:v>
      </x:c>
      <x:c r="R59" s="47" t="str">
        <x:v>UNVESTED</x:v>
      </x:c>
      <x:c r="S59" s="47" t="str">
        <x:v>PROGRAMMED / UNBUILT</x:v>
      </x:c>
      <x:c r="T59" s="47" t="str">
        <x:v>HU-A-B-TECH-1-E3</x:v>
      </x:c>
      <x:c r="U59" s="47" t="n">
        <x:f>COUNTIFS($T$7:$T$150,T59)</x:f>
        <x:v>1</x:v>
      </x:c>
      <x:c r="V59" s="47" t="n">
        <x:f>COUNTIFS($H$7:$H$150,H59,$K$7:$K$150,K59,$N$7:$N$150,N59)</x:f>
        <x:v>1</x:v>
      </x:c>
      <x:c r="W59" s="47" t="n">
        <x:f>IF(M59=L59,1,0)</x:f>
        <x:v>0</x:v>
      </x:c>
    </x:row>
    <x:row r="60">
      <x:c r="A60" s="47" t="str">
        <x:v>AR-RT-B-C-TECH-3-B2-INT-G0</x:v>
      </x:c>
      <x:c r="B60" s="47" t="str">
        <x:v>RT-B-C-TECH-3</x:v>
      </x:c>
      <x:c r="C60" s="47" t="str">
        <x:v>RT-B-C</x:v>
      </x:c>
      <x:c r="D60" s="47" t="str">
        <x:v>B2-INT</x:v>
      </x:c>
      <x:c r="E60" s="47" t="str">
        <x:v>B2</x:v>
      </x:c>
      <x:c r="F60" s="47" t="str">
        <x:v>INT</x:v>
      </x:c>
      <x:c r="G60" s="47" t="n">
        <x:v>0</x:v>
      </x:c>
      <x:c r="H60" s="47" t="n">
        <x:v>3</x:v>
      </x:c>
      <x:c r="I60" s="47" t="n">
        <x:v>10</x:v>
      </x:c>
      <x:c r="J60" s="47" t="str">
        <x:v>FX-RT-B-C-TECH-3-F2</x:v>
      </x:c>
      <x:c r="K60" s="47" t="str">
        <x:v>RT-B-C-N1</x:v>
      </x:c>
      <x:c r="L60" s="47" t="str">
        <x:v>RT-B-C-N3</x:v>
      </x:c>
      <x:c r="M60" s="47" t="str">
        <x:v>RT-B-C-N2</x:v>
      </x:c>
      <x:c r="N60" s="47" t="n">
        <x:v>1</x:v>
      </x:c>
      <x:c r="O60" s="47" t="n">
        <x:v>168</x:v>
      </x:c>
      <x:c r="P60" s="47" t="n">
        <x:v>174</x:v>
      </x:c>
      <x:c r="Q60" s="47" t="str">
        <x:v>SEALED TO CAMPAIGN CLOSE</x:v>
      </x:c>
      <x:c r="R60" s="47" t="str">
        <x:v>UNVESTED</x:v>
      </x:c>
      <x:c r="S60" s="47" t="str">
        <x:v>PROGRAMMED / UNBUILT</x:v>
      </x:c>
      <x:c r="T60" s="47" t="str">
        <x:v>RT-B-C-TECH-3-E3</x:v>
      </x:c>
      <x:c r="U60" s="47" t="n">
        <x:f>COUNTIFS($T$7:$T$150,T60)</x:f>
        <x:v>1</x:v>
      </x:c>
      <x:c r="V60" s="47" t="n">
        <x:f>COUNTIFS($H$7:$H$150,H60,$K$7:$K$150,K60,$N$7:$N$150,N60)</x:f>
        <x:v>1</x:v>
      </x:c>
      <x:c r="W60" s="47" t="n">
        <x:f>IF(M60=L60,1,0)</x:f>
        <x:v>0</x:v>
      </x:c>
    </x:row>
    <x:row r="61">
      <x:c r="A61" s="47" t="str">
        <x:v>AR-ET-A-A-TECH-4-B2-RCN-G0</x:v>
      </x:c>
      <x:c r="B61" s="47" t="str">
        <x:v>ET-A-A-TECH-4</x:v>
      </x:c>
      <x:c r="C61" s="47" t="str">
        <x:v>ET-A-A</x:v>
      </x:c>
      <x:c r="D61" s="47" t="str">
        <x:v>B2-RCN</x:v>
      </x:c>
      <x:c r="E61" s="47" t="str">
        <x:v>B2</x:v>
      </x:c>
      <x:c r="F61" s="47" t="str">
        <x:v>RCN</x:v>
      </x:c>
      <x:c r="G61" s="47" t="n">
        <x:v>1</x:v>
      </x:c>
      <x:c r="H61" s="47" t="n">
        <x:v>3</x:v>
      </x:c>
      <x:c r="I61" s="47" t="n">
        <x:v>10</x:v>
      </x:c>
      <x:c r="J61" s="47" t="str">
        <x:v>FX-ET-A-A-TECH-4-F1</x:v>
      </x:c>
      <x:c r="K61" s="47" t="str">
        <x:v>ET-A-A-N1</x:v>
      </x:c>
      <x:c r="L61" s="47" t="str">
        <x:v>ET-A-A-N2</x:v>
      </x:c>
      <x:c r="M61" s="47" t="str">
        <x:v>ET-A-A-N3</x:v>
      </x:c>
      <x:c r="N61" s="47" t="n">
        <x:v>2</x:v>
      </x:c>
      <x:c r="O61" s="47" t="n">
        <x:v>174</x:v>
      </x:c>
      <x:c r="P61" s="47" t="n">
        <x:v>180</x:v>
      </x:c>
      <x:c r="Q61" s="47" t="str">
        <x:v>SEALED TO CAMPAIGN CLOSE</x:v>
      </x:c>
      <x:c r="R61" s="47" t="str">
        <x:v>UNVESTED</x:v>
      </x:c>
      <x:c r="S61" s="47" t="str">
        <x:v>PROGRAMMED / UNBUILT</x:v>
      </x:c>
      <x:c r="T61" s="47" t="str">
        <x:v>ET-A-A-TECH-4-E3</x:v>
      </x:c>
      <x:c r="U61" s="47" t="n">
        <x:f>COUNTIFS($T$7:$T$150,T61)</x:f>
        <x:v>1</x:v>
      </x:c>
      <x:c r="V61" s="47" t="n">
        <x:f>COUNTIFS($H$7:$H$150,H61,$K$7:$K$150,K61,$N$7:$N$150,N61)</x:f>
        <x:v>1</x:v>
      </x:c>
      <x:c r="W61" s="47" t="n">
        <x:f>IF(M61=L61,1,0)</x:f>
        <x:v>0</x:v>
      </x:c>
    </x:row>
    <x:row r="62">
      <x:c r="A62" s="47" t="str">
        <x:v>AR-ET-A-A-TECH-1-B1-BRK-G0</x:v>
      </x:c>
      <x:c r="B62" s="47" t="str">
        <x:v>ET-A-A-TECH-1</x:v>
      </x:c>
      <x:c r="C62" s="47" t="str">
        <x:v>ET-A-A</x:v>
      </x:c>
      <x:c r="D62" s="47" t="str">
        <x:v>B1-BRK</x:v>
      </x:c>
      <x:c r="E62" s="47" t="str">
        <x:v>B1</x:v>
      </x:c>
      <x:c r="F62" s="47" t="str">
        <x:v>BRK</x:v>
      </x:c>
      <x:c r="G62" s="47" t="n">
        <x:v>1</x:v>
      </x:c>
      <x:c r="H62" s="47" t="n">
        <x:v>3</x:v>
      </x:c>
      <x:c r="I62" s="47" t="n">
        <x:v>10</x:v>
      </x:c>
      <x:c r="J62" s="47" t="str">
        <x:v>FX-ET-A-A-TECH-1-F2</x:v>
      </x:c>
      <x:c r="K62" s="47" t="str">
        <x:v>ET-A-A-N2</x:v>
      </x:c>
      <x:c r="L62" s="47" t="str">
        <x:v>ET-A-A-N1</x:v>
      </x:c>
      <x:c r="M62" s="47" t="str">
        <x:v>ET-A-A-N3</x:v>
      </x:c>
      <x:c r="N62" s="47" t="n">
        <x:v>2</x:v>
      </x:c>
      <x:c r="O62" s="47" t="n">
        <x:v>174</x:v>
      </x:c>
      <x:c r="P62" s="47" t="n">
        <x:v>180</x:v>
      </x:c>
      <x:c r="Q62" s="47" t="str">
        <x:v>SEALED TO CAMPAIGN CLOSE</x:v>
      </x:c>
      <x:c r="R62" s="47" t="str">
        <x:v>UNVESTED</x:v>
      </x:c>
      <x:c r="S62" s="47" t="str">
        <x:v>PROGRAMMED / UNBUILT</x:v>
      </x:c>
      <x:c r="T62" s="47" t="str">
        <x:v>ET-A-A-TECH-1-E3</x:v>
      </x:c>
      <x:c r="U62" s="47" t="n">
        <x:f>COUNTIFS($T$7:$T$150,T62)</x:f>
        <x:v>1</x:v>
      </x:c>
      <x:c r="V62" s="47" t="n">
        <x:f>COUNTIFS($H$7:$H$150,H62,$K$7:$K$150,K62,$N$7:$N$150,N62)</x:f>
        <x:v>1</x:v>
      </x:c>
      <x:c r="W62" s="47" t="n">
        <x:f>IF(M62=L62,1,0)</x:f>
        <x:v>0</x:v>
      </x:c>
    </x:row>
    <x:row r="63">
      <x:c r="A63" s="47" t="str">
        <x:v>AR-HU-A-B-TECH-3-B1-BRK-G0</x:v>
      </x:c>
      <x:c r="B63" s="47" t="str">
        <x:v>HU-A-B-TECH-3</x:v>
      </x:c>
      <x:c r="C63" s="47" t="str">
        <x:v>HU-A-B</x:v>
      </x:c>
      <x:c r="D63" s="47" t="str">
        <x:v>B1-BRK</x:v>
      </x:c>
      <x:c r="E63" s="47" t="str">
        <x:v>B1</x:v>
      </x:c>
      <x:c r="F63" s="47" t="str">
        <x:v>BRK</x:v>
      </x:c>
      <x:c r="G63" s="47" t="n">
        <x:v>1</x:v>
      </x:c>
      <x:c r="H63" s="47" t="n">
        <x:v>3</x:v>
      </x:c>
      <x:c r="I63" s="47" t="n">
        <x:v>10</x:v>
      </x:c>
      <x:c r="J63" s="47" t="str">
        <x:v>FX-HU-A-B-TECH-3-F2</x:v>
      </x:c>
      <x:c r="K63" s="47" t="str">
        <x:v>HU-A-B-N1</x:v>
      </x:c>
      <x:c r="L63" s="47" t="str">
        <x:v>HU-A-B-N3</x:v>
      </x:c>
      <x:c r="M63" s="47" t="str">
        <x:v>HU-A-B-N2</x:v>
      </x:c>
      <x:c r="N63" s="47" t="n">
        <x:v>2</x:v>
      </x:c>
      <x:c r="O63" s="47" t="n">
        <x:v>174</x:v>
      </x:c>
      <x:c r="P63" s="47" t="n">
        <x:v>180</x:v>
      </x:c>
      <x:c r="Q63" s="47" t="str">
        <x:v>SEALED TO CAMPAIGN CLOSE</x:v>
      </x:c>
      <x:c r="R63" s="47" t="str">
        <x:v>UNVESTED</x:v>
      </x:c>
      <x:c r="S63" s="47" t="str">
        <x:v>PROGRAMMED / UNBUILT</x:v>
      </x:c>
      <x:c r="T63" s="47" t="str">
        <x:v>HU-A-B-TECH-3-E3</x:v>
      </x:c>
      <x:c r="U63" s="47" t="n">
        <x:f>COUNTIFS($T$7:$T$150,T63)</x:f>
        <x:v>1</x:v>
      </x:c>
      <x:c r="V63" s="47" t="n">
        <x:f>COUNTIFS($H$7:$H$150,H63,$K$7:$K$150,K63,$N$7:$N$150,N63)</x:f>
        <x:v>1</x:v>
      </x:c>
      <x:c r="W63" s="47" t="n">
        <x:f>IF(M63=L63,1,0)</x:f>
        <x:v>0</x:v>
      </x:c>
    </x:row>
    <x:row r="64">
      <x:c r="A64" s="47" t="str">
        <x:v>AR-HU-A-B-TECH-2-B2-BRK-G0</x:v>
      </x:c>
      <x:c r="B64" s="47" t="str">
        <x:v>HU-A-B-TECH-2</x:v>
      </x:c>
      <x:c r="C64" s="47" t="str">
        <x:v>HU-A-B</x:v>
      </x:c>
      <x:c r="D64" s="47" t="str">
        <x:v>B2-BRK</x:v>
      </x:c>
      <x:c r="E64" s="47" t="str">
        <x:v>B2</x:v>
      </x:c>
      <x:c r="F64" s="47" t="str">
        <x:v>BRK</x:v>
      </x:c>
      <x:c r="G64" s="47" t="n">
        <x:v>1</x:v>
      </x:c>
      <x:c r="H64" s="47" t="n">
        <x:v>3</x:v>
      </x:c>
      <x:c r="I64" s="47" t="n">
        <x:v>10</x:v>
      </x:c>
      <x:c r="J64" s="47" t="str">
        <x:v>FX-HU-A-B-TECH-2-F2</x:v>
      </x:c>
      <x:c r="K64" s="47" t="str">
        <x:v>HU-A-B-N3</x:v>
      </x:c>
      <x:c r="L64" s="47" t="str">
        <x:v>HU-A-B-N2</x:v>
      </x:c>
      <x:c r="M64" s="47" t="str">
        <x:v>HU-A-B-N1</x:v>
      </x:c>
      <x:c r="N64" s="47" t="n">
        <x:v>2</x:v>
      </x:c>
      <x:c r="O64" s="47" t="n">
        <x:v>174</x:v>
      </x:c>
      <x:c r="P64" s="47" t="n">
        <x:v>180</x:v>
      </x:c>
      <x:c r="Q64" s="47" t="str">
        <x:v>SEALED TO CAMPAIGN CLOSE</x:v>
      </x:c>
      <x:c r="R64" s="47" t="str">
        <x:v>UNVESTED</x:v>
      </x:c>
      <x:c r="S64" s="47" t="str">
        <x:v>PROGRAMMED / UNBUILT</x:v>
      </x:c>
      <x:c r="T64" s="47" t="str">
        <x:v>HU-A-B-TECH-2-E3</x:v>
      </x:c>
      <x:c r="U64" s="47" t="n">
        <x:f>COUNTIFS($T$7:$T$150,T64)</x:f>
        <x:v>1</x:v>
      </x:c>
      <x:c r="V64" s="47" t="n">
        <x:f>COUNTIFS($H$7:$H$150,H64,$K$7:$K$150,K64,$N$7:$N$150,N64)</x:f>
        <x:v>1</x:v>
      </x:c>
      <x:c r="W64" s="47" t="n">
        <x:f>IF(M64=L64,1,0)</x:f>
        <x:v>0</x:v>
      </x:c>
    </x:row>
    <x:row r="65">
      <x:c r="A65" s="47" t="str">
        <x:v>AR-LF-B-A-TECH-2-B1-RCN-G0</x:v>
      </x:c>
      <x:c r="B65" s="47" t="str">
        <x:v>LF-B-A-TECH-2</x:v>
      </x:c>
      <x:c r="C65" s="47" t="str">
        <x:v>LF-B-A</x:v>
      </x:c>
      <x:c r="D65" s="47" t="str">
        <x:v>B1-RCN</x:v>
      </x:c>
      <x:c r="E65" s="47" t="str">
        <x:v>B1</x:v>
      </x:c>
      <x:c r="F65" s="47" t="str">
        <x:v>RCN</x:v>
      </x:c>
      <x:c r="G65" s="47" t="n">
        <x:v>1</x:v>
      </x:c>
      <x:c r="H65" s="47" t="n">
        <x:v>3</x:v>
      </x:c>
      <x:c r="I65" s="47" t="n">
        <x:v>10</x:v>
      </x:c>
      <x:c r="J65" s="47" t="str">
        <x:v>FX-LF-B-A-TECH-2-F2</x:v>
      </x:c>
      <x:c r="K65" s="47" t="str">
        <x:v>LF-B-A-N3</x:v>
      </x:c>
      <x:c r="L65" s="47" t="str">
        <x:v>LF-B-A-N2</x:v>
      </x:c>
      <x:c r="M65" s="47" t="str">
        <x:v>LF-B-A-N1</x:v>
      </x:c>
      <x:c r="N65" s="47" t="n">
        <x:v>2</x:v>
      </x:c>
      <x:c r="O65" s="47" t="n">
        <x:v>174</x:v>
      </x:c>
      <x:c r="P65" s="47" t="n">
        <x:v>180</x:v>
      </x:c>
      <x:c r="Q65" s="47" t="str">
        <x:v>SEALED TO CAMPAIGN CLOSE</x:v>
      </x:c>
      <x:c r="R65" s="47" t="str">
        <x:v>UNVESTED</x:v>
      </x:c>
      <x:c r="S65" s="47" t="str">
        <x:v>PROGRAMMED / UNBUILT</x:v>
      </x:c>
      <x:c r="T65" s="47" t="str">
        <x:v>LF-B-A-TECH-2-E3</x:v>
      </x:c>
      <x:c r="U65" s="47" t="n">
        <x:f>COUNTIFS($T$7:$T$150,T65)</x:f>
        <x:v>1</x:v>
      </x:c>
      <x:c r="V65" s="47" t="n">
        <x:f>COUNTIFS($H$7:$H$150,H65,$K$7:$K$150,K65,$N$7:$N$150,N65)</x:f>
        <x:v>1</x:v>
      </x:c>
      <x:c r="W65" s="47" t="n">
        <x:f>IF(M65=L65,1,0)</x:f>
        <x:v>0</x:v>
      </x:c>
    </x:row>
    <x:row r="66">
      <x:c r="A66" s="47" t="str">
        <x:v>AR-RT-B-C-TECH-2-B1-BRK-G0</x:v>
      </x:c>
      <x:c r="B66" s="47" t="str">
        <x:v>RT-B-C-TECH-2</x:v>
      </x:c>
      <x:c r="C66" s="47" t="str">
        <x:v>RT-B-C</x:v>
      </x:c>
      <x:c r="D66" s="47" t="str">
        <x:v>B1-BRK</x:v>
      </x:c>
      <x:c r="E66" s="47" t="str">
        <x:v>B1</x:v>
      </x:c>
      <x:c r="F66" s="47" t="str">
        <x:v>BRK</x:v>
      </x:c>
      <x:c r="G66" s="47" t="n">
        <x:v>1</x:v>
      </x:c>
      <x:c r="H66" s="47" t="n">
        <x:v>3</x:v>
      </x:c>
      <x:c r="I66" s="47" t="n">
        <x:v>10</x:v>
      </x:c>
      <x:c r="J66" s="47" t="str">
        <x:v>FX-RT-B-C-TECH-2-F1</x:v>
      </x:c>
      <x:c r="K66" s="47" t="str">
        <x:v>RT-B-C-N2</x:v>
      </x:c>
      <x:c r="L66" s="47" t="str">
        <x:v>RT-B-C-N3</x:v>
      </x:c>
      <x:c r="M66" s="47" t="str">
        <x:v>RT-B-C-N1</x:v>
      </x:c>
      <x:c r="N66" s="47" t="n">
        <x:v>2</x:v>
      </x:c>
      <x:c r="O66" s="47" t="n">
        <x:v>174</x:v>
      </x:c>
      <x:c r="P66" s="47" t="n">
        <x:v>180</x:v>
      </x:c>
      <x:c r="Q66" s="47" t="str">
        <x:v>SEALED TO CAMPAIGN CLOSE</x:v>
      </x:c>
      <x:c r="R66" s="47" t="str">
        <x:v>UNVESTED</x:v>
      </x:c>
      <x:c r="S66" s="47" t="str">
        <x:v>PROGRAMMED / UNBUILT</x:v>
      </x:c>
      <x:c r="T66" s="47" t="str">
        <x:v>RT-B-C-TECH-2-E3</x:v>
      </x:c>
      <x:c r="U66" s="47" t="n">
        <x:f>COUNTIFS($T$7:$T$150,T66)</x:f>
        <x:v>1</x:v>
      </x:c>
      <x:c r="V66" s="47" t="n">
        <x:f>COUNTIFS($H$7:$H$150,H66,$K$7:$K$150,K66,$N$7:$N$150,N66)</x:f>
        <x:v>1</x:v>
      </x:c>
      <x:c r="W66" s="47" t="n">
        <x:f>IF(M66=L66,1,0)</x:f>
        <x:v>0</x:v>
      </x:c>
    </x:row>
    <x:row r="67">
      <x:c r="A67" s="47" t="str">
        <x:v>AR-ET-A-A-TECH-2-B2-INT-G0</x:v>
      </x:c>
      <x:c r="B67" s="47" t="str">
        <x:v>ET-A-A-TECH-2</x:v>
      </x:c>
      <x:c r="C67" s="47" t="str">
        <x:v>ET-A-A</x:v>
      </x:c>
      <x:c r="D67" s="47" t="str">
        <x:v>B2-INT</x:v>
      </x:c>
      <x:c r="E67" s="47" t="str">
        <x:v>B2</x:v>
      </x:c>
      <x:c r="F67" s="47" t="str">
        <x:v>INT</x:v>
      </x:c>
      <x:c r="G67" s="47" t="n">
        <x:v>0</x:v>
      </x:c>
      <x:c r="H67" s="47" t="n">
        <x:v>3</x:v>
      </x:c>
      <x:c r="I67" s="47" t="n">
        <x:v>10</x:v>
      </x:c>
      <x:c r="J67" s="47" t="str">
        <x:v>FX-ET-A-A-TECH-2-F1</x:v>
      </x:c>
      <x:c r="K67" s="47" t="str">
        <x:v>ET-A-A-N2</x:v>
      </x:c>
      <x:c r="L67" s="47" t="str">
        <x:v>ET-A-A-N3</x:v>
      </x:c>
      <x:c r="M67" s="47" t="str">
        <x:v>ET-A-A-N1</x:v>
      </x:c>
      <x:c r="N67" s="47" t="n">
        <x:v>3</x:v>
      </x:c>
      <x:c r="O67" s="47" t="n">
        <x:v>180</x:v>
      </x:c>
      <x:c r="P67" s="47" t="n">
        <x:v>186</x:v>
      </x:c>
      <x:c r="Q67" s="47" t="str">
        <x:v>SEALED TO CAMPAIGN CLOSE</x:v>
      </x:c>
      <x:c r="R67" s="47" t="str">
        <x:v>UNVESTED</x:v>
      </x:c>
      <x:c r="S67" s="47" t="str">
        <x:v>PROGRAMMED / UNBUILT</x:v>
      </x:c>
      <x:c r="T67" s="47" t="str">
        <x:v>ET-A-A-TECH-2-E3</x:v>
      </x:c>
      <x:c r="U67" s="47" t="n">
        <x:f>COUNTIFS($T$7:$T$150,T67)</x:f>
        <x:v>1</x:v>
      </x:c>
      <x:c r="V67" s="47" t="n">
        <x:f>COUNTIFS($H$7:$H$150,H67,$K$7:$K$150,K67,$N$7:$N$150,N67)</x:f>
        <x:v>1</x:v>
      </x:c>
      <x:c r="W67" s="47" t="n">
        <x:f>IF(M67=L67,1,0)</x:f>
        <x:v>0</x:v>
      </x:c>
    </x:row>
    <x:row r="68">
      <x:c r="A68" s="47" t="str">
        <x:v>AR-ET-A-A-TECH-3-B1-INT-G0</x:v>
      </x:c>
      <x:c r="B68" s="47" t="str">
        <x:v>ET-A-A-TECH-3</x:v>
      </x:c>
      <x:c r="C68" s="47" t="str">
        <x:v>ET-A-A</x:v>
      </x:c>
      <x:c r="D68" s="47" t="str">
        <x:v>B1-INT</x:v>
      </x:c>
      <x:c r="E68" s="47" t="str">
        <x:v>B1</x:v>
      </x:c>
      <x:c r="F68" s="47" t="str">
        <x:v>INT</x:v>
      </x:c>
      <x:c r="G68" s="47" t="n">
        <x:v>0</x:v>
      </x:c>
      <x:c r="H68" s="47" t="n">
        <x:v>3</x:v>
      </x:c>
      <x:c r="I68" s="47" t="n">
        <x:v>10</x:v>
      </x:c>
      <x:c r="J68" s="47" t="str">
        <x:v>FX-ET-A-A-TECH-3-F1</x:v>
      </x:c>
      <x:c r="K68" s="47" t="str">
        <x:v>ET-A-A-N3</x:v>
      </x:c>
      <x:c r="L68" s="47" t="str">
        <x:v>ET-A-A-N1</x:v>
      </x:c>
      <x:c r="M68" s="47" t="str">
        <x:v>ET-A-A-N2</x:v>
      </x:c>
      <x:c r="N68" s="47" t="n">
        <x:v>3</x:v>
      </x:c>
      <x:c r="O68" s="47" t="n">
        <x:v>180</x:v>
      </x:c>
      <x:c r="P68" s="47" t="n">
        <x:v>186</x:v>
      </x:c>
      <x:c r="Q68" s="47" t="str">
        <x:v>SEALED TO CAMPAIGN CLOSE</x:v>
      </x:c>
      <x:c r="R68" s="47" t="str">
        <x:v>UNVESTED</x:v>
      </x:c>
      <x:c r="S68" s="47" t="str">
        <x:v>PROGRAMMED / UNBUILT</x:v>
      </x:c>
      <x:c r="T68" s="47" t="str">
        <x:v>ET-A-A-TECH-3-E3</x:v>
      </x:c>
      <x:c r="U68" s="47" t="n">
        <x:f>COUNTIFS($T$7:$T$150,T68)</x:f>
        <x:v>1</x:v>
      </x:c>
      <x:c r="V68" s="47" t="n">
        <x:f>COUNTIFS($H$7:$H$150,H68,$K$7:$K$150,K68,$N$7:$N$150,N68)</x:f>
        <x:v>1</x:v>
      </x:c>
      <x:c r="W68" s="47" t="n">
        <x:f>IF(M68=L68,1,0)</x:f>
        <x:v>0</x:v>
      </x:c>
    </x:row>
    <x:row r="69">
      <x:c r="A69" s="47" t="str">
        <x:v>AR-HU-A-B-TECH-4-B2-INT-G0</x:v>
      </x:c>
      <x:c r="B69" s="47" t="str">
        <x:v>HU-A-B-TECH-4</x:v>
      </x:c>
      <x:c r="C69" s="47" t="str">
        <x:v>HU-A-B</x:v>
      </x:c>
      <x:c r="D69" s="47" t="str">
        <x:v>B2-INT</x:v>
      </x:c>
      <x:c r="E69" s="47" t="str">
        <x:v>B2</x:v>
      </x:c>
      <x:c r="F69" s="47" t="str">
        <x:v>INT</x:v>
      </x:c>
      <x:c r="G69" s="47" t="n">
        <x:v>0</x:v>
      </x:c>
      <x:c r="H69" s="47" t="n">
        <x:v>3</x:v>
      </x:c>
      <x:c r="I69" s="47" t="n">
        <x:v>10</x:v>
      </x:c>
      <x:c r="J69" s="47" t="str">
        <x:v>FX-HU-A-B-TECH-4-F1</x:v>
      </x:c>
      <x:c r="K69" s="47" t="str">
        <x:v>HU-A-B-N1</x:v>
      </x:c>
      <x:c r="L69" s="47" t="str">
        <x:v>HU-A-B-N2</x:v>
      </x:c>
      <x:c r="M69" s="47" t="str">
        <x:v>HU-A-B-N3</x:v>
      </x:c>
      <x:c r="N69" s="47" t="n">
        <x:v>3</x:v>
      </x:c>
      <x:c r="O69" s="47" t="n">
        <x:v>180</x:v>
      </x:c>
      <x:c r="P69" s="47" t="n">
        <x:v>186</x:v>
      </x:c>
      <x:c r="Q69" s="47" t="str">
        <x:v>SEALED TO CAMPAIGN CLOSE</x:v>
      </x:c>
      <x:c r="R69" s="47" t="str">
        <x:v>UNVESTED</x:v>
      </x:c>
      <x:c r="S69" s="47" t="str">
        <x:v>PROGRAMMED / UNBUILT</x:v>
      </x:c>
      <x:c r="T69" s="47" t="str">
        <x:v>HU-A-B-TECH-4-E3</x:v>
      </x:c>
      <x:c r="U69" s="47" t="n">
        <x:f>COUNTIFS($T$7:$T$150,T69)</x:f>
        <x:v>1</x:v>
      </x:c>
      <x:c r="V69" s="47" t="n">
        <x:f>COUNTIFS($H$7:$H$150,H69,$K$7:$K$150,K69,$N$7:$N$150,N69)</x:f>
        <x:v>1</x:v>
      </x:c>
      <x:c r="W69" s="47" t="n">
        <x:f>IF(M69=L69,1,0)</x:f>
        <x:v>0</x:v>
      </x:c>
    </x:row>
    <x:row r="70">
      <x:c r="A70" s="47" t="str">
        <x:v>AR-LF-B-A-TECH-4-B1-BRK-G0</x:v>
      </x:c>
      <x:c r="B70" s="47" t="str">
        <x:v>LF-B-A-TECH-4</x:v>
      </x:c>
      <x:c r="C70" s="47" t="str">
        <x:v>LF-B-A</x:v>
      </x:c>
      <x:c r="D70" s="47" t="str">
        <x:v>B1-BRK</x:v>
      </x:c>
      <x:c r="E70" s="47" t="str">
        <x:v>B1</x:v>
      </x:c>
      <x:c r="F70" s="47" t="str">
        <x:v>BRK</x:v>
      </x:c>
      <x:c r="G70" s="47" t="n">
        <x:v>1</x:v>
      </x:c>
      <x:c r="H70" s="47" t="n">
        <x:v>3</x:v>
      </x:c>
      <x:c r="I70" s="47" t="n">
        <x:v>10</x:v>
      </x:c>
      <x:c r="J70" s="47" t="str">
        <x:v>FX-LF-B-A-TECH-4-F1</x:v>
      </x:c>
      <x:c r="K70" s="47" t="str">
        <x:v>LF-B-A-N1</x:v>
      </x:c>
      <x:c r="L70" s="47" t="str">
        <x:v>LF-B-A-N2</x:v>
      </x:c>
      <x:c r="M70" s="47" t="str">
        <x:v>LF-B-A-N3</x:v>
      </x:c>
      <x:c r="N70" s="47" t="n">
        <x:v>3</x:v>
      </x:c>
      <x:c r="O70" s="47" t="n">
        <x:v>180</x:v>
      </x:c>
      <x:c r="P70" s="47" t="n">
        <x:v>186</x:v>
      </x:c>
      <x:c r="Q70" s="47" t="str">
        <x:v>SEALED TO CAMPAIGN CLOSE</x:v>
      </x:c>
      <x:c r="R70" s="47" t="str">
        <x:v>UNVESTED</x:v>
      </x:c>
      <x:c r="S70" s="47" t="str">
        <x:v>PROGRAMMED / UNBUILT</x:v>
      </x:c>
      <x:c r="T70" s="47" t="str">
        <x:v>LF-B-A-TECH-4-E3</x:v>
      </x:c>
      <x:c r="U70" s="47" t="n">
        <x:f>COUNTIFS($T$7:$T$150,T70)</x:f>
        <x:v>1</x:v>
      </x:c>
      <x:c r="V70" s="47" t="n">
        <x:f>COUNTIFS($H$7:$H$150,H70,$K$7:$K$150,K70,$N$7:$N$150,N70)</x:f>
        <x:v>1</x:v>
      </x:c>
      <x:c r="W70" s="47" t="n">
        <x:f>IF(M70=L70,1,0)</x:f>
        <x:v>0</x:v>
      </x:c>
    </x:row>
    <x:row r="71">
      <x:c r="A71" s="47" t="str">
        <x:v>AR-LF-B-A-TECH-3-B2-BRK-G0</x:v>
      </x:c>
      <x:c r="B71" s="47" t="str">
        <x:v>LF-B-A-TECH-3</x:v>
      </x:c>
      <x:c r="C71" s="47" t="str">
        <x:v>LF-B-A</x:v>
      </x:c>
      <x:c r="D71" s="47" t="str">
        <x:v>B2-BRK</x:v>
      </x:c>
      <x:c r="E71" s="47" t="str">
        <x:v>B2</x:v>
      </x:c>
      <x:c r="F71" s="47" t="str">
        <x:v>BRK</x:v>
      </x:c>
      <x:c r="G71" s="47" t="n">
        <x:v>1</x:v>
      </x:c>
      <x:c r="H71" s="47" t="n">
        <x:v>3</x:v>
      </x:c>
      <x:c r="I71" s="47" t="n">
        <x:v>10</x:v>
      </x:c>
      <x:c r="J71" s="47" t="str">
        <x:v>FX-LF-B-A-TECH-3-F1</x:v>
      </x:c>
      <x:c r="K71" s="47" t="str">
        <x:v>LF-B-A-N3</x:v>
      </x:c>
      <x:c r="L71" s="47" t="str">
        <x:v>LF-B-A-N1</x:v>
      </x:c>
      <x:c r="M71" s="47" t="str">
        <x:v>LF-B-A-N2</x:v>
      </x:c>
      <x:c r="N71" s="47" t="n">
        <x:v>3</x:v>
      </x:c>
      <x:c r="O71" s="47" t="n">
        <x:v>180</x:v>
      </x:c>
      <x:c r="P71" s="47" t="n">
        <x:v>186</x:v>
      </x:c>
      <x:c r="Q71" s="47" t="str">
        <x:v>SEALED TO CAMPAIGN CLOSE</x:v>
      </x:c>
      <x:c r="R71" s="47" t="str">
        <x:v>UNVESTED</x:v>
      </x:c>
      <x:c r="S71" s="47" t="str">
        <x:v>PROGRAMMED / UNBUILT</x:v>
      </x:c>
      <x:c r="T71" s="47" t="str">
        <x:v>LF-B-A-TECH-3-E3</x:v>
      </x:c>
      <x:c r="U71" s="47" t="n">
        <x:f>COUNTIFS($T$7:$T$150,T71)</x:f>
        <x:v>1</x:v>
      </x:c>
      <x:c r="V71" s="47" t="n">
        <x:f>COUNTIFS($H$7:$H$150,H71,$K$7:$K$150,K71,$N$7:$N$150,N71)</x:f>
        <x:v>1</x:v>
      </x:c>
      <x:c r="W71" s="47" t="n">
        <x:f>IF(M71=L71,1,0)</x:f>
        <x:v>0</x:v>
      </x:c>
    </x:row>
    <x:row r="72">
      <x:c r="A72" s="47" t="str">
        <x:v>AR-RT-B-C-TECH-4-B1-INT-G0</x:v>
      </x:c>
      <x:c r="B72" s="47" t="str">
        <x:v>RT-B-C-TECH-4</x:v>
      </x:c>
      <x:c r="C72" s="47" t="str">
        <x:v>RT-B-C</x:v>
      </x:c>
      <x:c r="D72" s="47" t="str">
        <x:v>B1-INT</x:v>
      </x:c>
      <x:c r="E72" s="47" t="str">
        <x:v>B1</x:v>
      </x:c>
      <x:c r="F72" s="47" t="str">
        <x:v>INT</x:v>
      </x:c>
      <x:c r="G72" s="47" t="n">
        <x:v>0</x:v>
      </x:c>
      <x:c r="H72" s="47" t="n">
        <x:v>3</x:v>
      </x:c>
      <x:c r="I72" s="47" t="n">
        <x:v>10</x:v>
      </x:c>
      <x:c r="J72" s="47" t="str">
        <x:v>FX-RT-B-C-TECH-4-F2</x:v>
      </x:c>
      <x:c r="K72" s="47" t="str">
        <x:v>RT-B-C-N2</x:v>
      </x:c>
      <x:c r="L72" s="47" t="str">
        <x:v>RT-B-C-N1</x:v>
      </x:c>
      <x:c r="M72" s="47" t="str">
        <x:v>RT-B-C-N3</x:v>
      </x:c>
      <x:c r="N72" s="47" t="n">
        <x:v>3</x:v>
      </x:c>
      <x:c r="O72" s="47" t="n">
        <x:v>180</x:v>
      </x:c>
      <x:c r="P72" s="47" t="n">
        <x:v>186</x:v>
      </x:c>
      <x:c r="Q72" s="47" t="str">
        <x:v>SEALED TO CAMPAIGN CLOSE</x:v>
      </x:c>
      <x:c r="R72" s="47" t="str">
        <x:v>UNVESTED</x:v>
      </x:c>
      <x:c r="S72" s="47" t="str">
        <x:v>PROGRAMMED / UNBUILT</x:v>
      </x:c>
      <x:c r="T72" s="47" t="str">
        <x:v>RT-B-C-TECH-4-E3</x:v>
      </x:c>
      <x:c r="U72" s="47" t="n">
        <x:f>COUNTIFS($T$7:$T$150,T72)</x:f>
        <x:v>1</x:v>
      </x:c>
      <x:c r="V72" s="47" t="n">
        <x:f>COUNTIFS($H$7:$H$150,H72,$K$7:$K$150,K72,$N$7:$N$150,N72)</x:f>
        <x:v>1</x:v>
      </x:c>
      <x:c r="W72" s="47" t="n">
        <x:f>IF(M72=L72,1,0)</x:f>
        <x:v>0</x:v>
      </x:c>
    </x:row>
    <x:row r="73">
      <x:c r="A73" s="47" t="str">
        <x:v>AR-CT-C-B-TECH-3-B2-RCN-G0</x:v>
      </x:c>
      <x:c r="B73" s="47" t="str">
        <x:v>CT-C-B-TECH-3</x:v>
      </x:c>
      <x:c r="C73" s="47" t="str">
        <x:v>CT-C-B</x:v>
      </x:c>
      <x:c r="D73" s="47" t="str">
        <x:v>B2-RCN</x:v>
      </x:c>
      <x:c r="E73" s="47" t="str">
        <x:v>B2</x:v>
      </x:c>
      <x:c r="F73" s="47" t="str">
        <x:v>RCN</x:v>
      </x:c>
      <x:c r="G73" s="47" t="n">
        <x:v>1</x:v>
      </x:c>
      <x:c r="H73" s="47" t="n">
        <x:v>3</x:v>
      </x:c>
      <x:c r="I73" s="47" t="n">
        <x:v>10</x:v>
      </x:c>
      <x:c r="J73" s="47" t="str">
        <x:v>FX-CT-C-B-TECH-3-F2</x:v>
      </x:c>
      <x:c r="K73" s="47" t="str">
        <x:v>CT-C-B-N1</x:v>
      </x:c>
      <x:c r="L73" s="47" t="str">
        <x:v>CT-C-B-N3</x:v>
      </x:c>
      <x:c r="M73" s="47" t="str">
        <x:v>CT-C-B-N2</x:v>
      </x:c>
      <x:c r="N73" s="47" t="n">
        <x:v>4</x:v>
      </x:c>
      <x:c r="O73" s="47" t="n">
        <x:v>186</x:v>
      </x:c>
      <x:c r="P73" s="47" t="n">
        <x:v>192</x:v>
      </x:c>
      <x:c r="Q73" s="47" t="str">
        <x:v>SEALED TO CAMPAIGN CLOSE</x:v>
      </x:c>
      <x:c r="R73" s="47" t="str">
        <x:v>UNVESTED</x:v>
      </x:c>
      <x:c r="S73" s="47" t="str">
        <x:v>PROGRAMMED / UNBUILT</x:v>
      </x:c>
      <x:c r="T73" s="47" t="str">
        <x:v>CT-C-B-TECH-3-E3</x:v>
      </x:c>
      <x:c r="U73" s="47" t="n">
        <x:f>COUNTIFS($T$7:$T$150,T73)</x:f>
        <x:v>1</x:v>
      </x:c>
      <x:c r="V73" s="47" t="n">
        <x:f>COUNTIFS($H$7:$H$150,H73,$K$7:$K$150,K73,$N$7:$N$150,N73)</x:f>
        <x:v>1</x:v>
      </x:c>
      <x:c r="W73" s="47" t="n">
        <x:f>IF(M73=L73,1,0)</x:f>
        <x:v>0</x:v>
      </x:c>
    </x:row>
    <x:row r="74">
      <x:c r="A74" s="47" t="str">
        <x:v>AR-CT-C-B-TECH-1-B2-INT-G0</x:v>
      </x:c>
      <x:c r="B74" s="47" t="str">
        <x:v>CT-C-B-TECH-1</x:v>
      </x:c>
      <x:c r="C74" s="47" t="str">
        <x:v>CT-C-B</x:v>
      </x:c>
      <x:c r="D74" s="47" t="str">
        <x:v>B2-INT</x:v>
      </x:c>
      <x:c r="E74" s="47" t="str">
        <x:v>B2</x:v>
      </x:c>
      <x:c r="F74" s="47" t="str">
        <x:v>INT</x:v>
      </x:c>
      <x:c r="G74" s="47" t="n">
        <x:v>0</x:v>
      </x:c>
      <x:c r="H74" s="47" t="n">
        <x:v>3</x:v>
      </x:c>
      <x:c r="I74" s="47" t="n">
        <x:v>10</x:v>
      </x:c>
      <x:c r="J74" s="47" t="str">
        <x:v>FX-CT-C-B-TECH-1-F2</x:v>
      </x:c>
      <x:c r="K74" s="47" t="str">
        <x:v>CT-C-B-N2</x:v>
      </x:c>
      <x:c r="L74" s="47" t="str">
        <x:v>CT-C-B-N1</x:v>
      </x:c>
      <x:c r="M74" s="47" t="str">
        <x:v>CT-C-B-N3</x:v>
      </x:c>
      <x:c r="N74" s="47" t="n">
        <x:v>4</x:v>
      </x:c>
      <x:c r="O74" s="47" t="n">
        <x:v>186</x:v>
      </x:c>
      <x:c r="P74" s="47" t="n">
        <x:v>192</x:v>
      </x:c>
      <x:c r="Q74" s="47" t="str">
        <x:v>SEALED TO CAMPAIGN CLOSE</x:v>
      </x:c>
      <x:c r="R74" s="47" t="str">
        <x:v>UNVESTED</x:v>
      </x:c>
      <x:c r="S74" s="47" t="str">
        <x:v>PROGRAMMED / UNBUILT</x:v>
      </x:c>
      <x:c r="T74" s="47" t="str">
        <x:v>CT-C-B-TECH-1-E3</x:v>
      </x:c>
      <x:c r="U74" s="47" t="n">
        <x:f>COUNTIFS($T$7:$T$150,T74)</x:f>
        <x:v>1</x:v>
      </x:c>
      <x:c r="V74" s="47" t="n">
        <x:f>COUNTIFS($H$7:$H$150,H74,$K$7:$K$150,K74,$N$7:$N$150,N74)</x:f>
        <x:v>1</x:v>
      </x:c>
      <x:c r="W74" s="47" t="n">
        <x:f>IF(M74=L74,1,0)</x:f>
        <x:v>0</x:v>
      </x:c>
    </x:row>
    <x:row r="75">
      <x:c r="A75" s="47" t="str">
        <x:v>AR-HC-A-C-TECH-1-B1-INT-G0</x:v>
      </x:c>
      <x:c r="B75" s="47" t="str">
        <x:v>HC-A-C-TECH-1</x:v>
      </x:c>
      <x:c r="C75" s="47" t="str">
        <x:v>HC-A-C</x:v>
      </x:c>
      <x:c r="D75" s="47" t="str">
        <x:v>B1-INT</x:v>
      </x:c>
      <x:c r="E75" s="47" t="str">
        <x:v>B1</x:v>
      </x:c>
      <x:c r="F75" s="47" t="str">
        <x:v>INT</x:v>
      </x:c>
      <x:c r="G75" s="47" t="n">
        <x:v>0</x:v>
      </x:c>
      <x:c r="H75" s="47" t="n">
        <x:v>3</x:v>
      </x:c>
      <x:c r="I75" s="47" t="n">
        <x:v>10</x:v>
      </x:c>
      <x:c r="J75" s="47" t="str">
        <x:v>FX-HC-A-C-TECH-1-F1</x:v>
      </x:c>
      <x:c r="K75" s="47" t="str">
        <x:v>HC-A-C-N1</x:v>
      </x:c>
      <x:c r="L75" s="47" t="str">
        <x:v>HC-A-C-N2</x:v>
      </x:c>
      <x:c r="M75" s="47" t="str">
        <x:v>HC-A-C-N3</x:v>
      </x:c>
      <x:c r="N75" s="47" t="n">
        <x:v>4</x:v>
      </x:c>
      <x:c r="O75" s="47" t="n">
        <x:v>186</x:v>
      </x:c>
      <x:c r="P75" s="47" t="n">
        <x:v>192</x:v>
      </x:c>
      <x:c r="Q75" s="47" t="str">
        <x:v>SEALED TO CAMPAIGN CLOSE</x:v>
      </x:c>
      <x:c r="R75" s="47" t="str">
        <x:v>UNVESTED</x:v>
      </x:c>
      <x:c r="S75" s="47" t="str">
        <x:v>PROGRAMMED / UNBUILT</x:v>
      </x:c>
      <x:c r="T75" s="47" t="str">
        <x:v>HC-A-C-TECH-1-E3</x:v>
      </x:c>
      <x:c r="U75" s="47" t="n">
        <x:f>COUNTIFS($T$7:$T$150,T75)</x:f>
        <x:v>1</x:v>
      </x:c>
      <x:c r="V75" s="47" t="n">
        <x:f>COUNTIFS($H$7:$H$150,H75,$K$7:$K$150,K75,$N$7:$N$150,N75)</x:f>
        <x:v>1</x:v>
      </x:c>
      <x:c r="W75" s="47" t="n">
        <x:f>IF(M75=L75,1,0)</x:f>
        <x:v>0</x:v>
      </x:c>
    </x:row>
    <x:row r="76">
      <x:c r="A76" s="47" t="str">
        <x:v>AR-HC-A-C-TECH-2-B2-RCN-G0</x:v>
      </x:c>
      <x:c r="B76" s="47" t="str">
        <x:v>HC-A-C-TECH-2</x:v>
      </x:c>
      <x:c r="C76" s="47" t="str">
        <x:v>HC-A-C</x:v>
      </x:c>
      <x:c r="D76" s="47" t="str">
        <x:v>B2-RCN</x:v>
      </x:c>
      <x:c r="E76" s="47" t="str">
        <x:v>B2</x:v>
      </x:c>
      <x:c r="F76" s="47" t="str">
        <x:v>RCN</x:v>
      </x:c>
      <x:c r="G76" s="47" t="n">
        <x:v>1</x:v>
      </x:c>
      <x:c r="H76" s="47" t="n">
        <x:v>3</x:v>
      </x:c>
      <x:c r="I76" s="47" t="n">
        <x:v>10</x:v>
      </x:c>
      <x:c r="J76" s="47" t="str">
        <x:v>FX-HC-A-C-TECH-2-F1</x:v>
      </x:c>
      <x:c r="K76" s="47" t="str">
        <x:v>HC-A-C-N2</x:v>
      </x:c>
      <x:c r="L76" s="47" t="str">
        <x:v>HC-A-C-N3</x:v>
      </x:c>
      <x:c r="M76" s="47" t="str">
        <x:v>HC-A-C-N1</x:v>
      </x:c>
      <x:c r="N76" s="47" t="n">
        <x:v>4</x:v>
      </x:c>
      <x:c r="O76" s="47" t="n">
        <x:v>186</x:v>
      </x:c>
      <x:c r="P76" s="47" t="n">
        <x:v>192</x:v>
      </x:c>
      <x:c r="Q76" s="47" t="str">
        <x:v>SEALED TO CAMPAIGN CLOSE</x:v>
      </x:c>
      <x:c r="R76" s="47" t="str">
        <x:v>UNVESTED</x:v>
      </x:c>
      <x:c r="S76" s="47" t="str">
        <x:v>PROGRAMMED / UNBUILT</x:v>
      </x:c>
      <x:c r="T76" s="47" t="str">
        <x:v>HC-A-C-TECH-2-E3</x:v>
      </x:c>
      <x:c r="U76" s="47" t="n">
        <x:f>COUNTIFS($T$7:$T$150,T76)</x:f>
        <x:v>1</x:v>
      </x:c>
      <x:c r="V76" s="47" t="n">
        <x:f>COUNTIFS($H$7:$H$150,H76,$K$7:$K$150,K76,$N$7:$N$150,N76)</x:f>
        <x:v>1</x:v>
      </x:c>
      <x:c r="W76" s="47" t="n">
        <x:f>IF(M76=L76,1,0)</x:f>
        <x:v>0</x:v>
      </x:c>
    </x:row>
    <x:row r="77">
      <x:c r="A77" s="47" t="str">
        <x:v>AR-LF-B-A-TECH-1-B2-RCN-G0</x:v>
      </x:c>
      <x:c r="B77" s="47" t="str">
        <x:v>LF-B-A-TECH-1</x:v>
      </x:c>
      <x:c r="C77" s="47" t="str">
        <x:v>LF-B-A</x:v>
      </x:c>
      <x:c r="D77" s="47" t="str">
        <x:v>B2-RCN</x:v>
      </x:c>
      <x:c r="E77" s="47" t="str">
        <x:v>B2</x:v>
      </x:c>
      <x:c r="F77" s="47" t="str">
        <x:v>RCN</x:v>
      </x:c>
      <x:c r="G77" s="47" t="n">
        <x:v>1</x:v>
      </x:c>
      <x:c r="H77" s="47" t="n">
        <x:v>3</x:v>
      </x:c>
      <x:c r="I77" s="47" t="n">
        <x:v>10</x:v>
      </x:c>
      <x:c r="J77" s="47" t="str">
        <x:v>FX-LF-B-A-TECH-1-F2</x:v>
      </x:c>
      <x:c r="K77" s="47" t="str">
        <x:v>LF-B-A-N2</x:v>
      </x:c>
      <x:c r="L77" s="47" t="str">
        <x:v>LF-B-A-N1</x:v>
      </x:c>
      <x:c r="M77" s="47" t="str">
        <x:v>LF-B-A-N3</x:v>
      </x:c>
      <x:c r="N77" s="47" t="n">
        <x:v>4</x:v>
      </x:c>
      <x:c r="O77" s="47" t="n">
        <x:v>186</x:v>
      </x:c>
      <x:c r="P77" s="47" t="n">
        <x:v>192</x:v>
      </x:c>
      <x:c r="Q77" s="47" t="str">
        <x:v>SEALED TO CAMPAIGN CLOSE</x:v>
      </x:c>
      <x:c r="R77" s="47" t="str">
        <x:v>UNVESTED</x:v>
      </x:c>
      <x:c r="S77" s="47" t="str">
        <x:v>PROGRAMMED / UNBUILT</x:v>
      </x:c>
      <x:c r="T77" s="47" t="str">
        <x:v>LF-B-A-TECH-1-E3</x:v>
      </x:c>
      <x:c r="U77" s="47" t="n">
        <x:f>COUNTIFS($T$7:$T$150,T77)</x:f>
        <x:v>1</x:v>
      </x:c>
      <x:c r="V77" s="47" t="n">
        <x:f>COUNTIFS($H$7:$H$150,H77,$K$7:$K$150,K77,$N$7:$N$150,N77)</x:f>
        <x:v>1</x:v>
      </x:c>
      <x:c r="W77" s="47" t="n">
        <x:f>IF(M77=L77,1,0)</x:f>
        <x:v>0</x:v>
      </x:c>
    </x:row>
    <x:row r="78">
      <x:c r="A78" s="47" t="str">
        <x:v>AR-RT-B-C-TECH-1-B2-BRK-G0</x:v>
      </x:c>
      <x:c r="B78" s="47" t="str">
        <x:v>RT-B-C-TECH-1</x:v>
      </x:c>
      <x:c r="C78" s="47" t="str">
        <x:v>RT-B-C</x:v>
      </x:c>
      <x:c r="D78" s="47" t="str">
        <x:v>B2-BRK</x:v>
      </x:c>
      <x:c r="E78" s="47" t="str">
        <x:v>B2</x:v>
      </x:c>
      <x:c r="F78" s="47" t="str">
        <x:v>BRK</x:v>
      </x:c>
      <x:c r="G78" s="47" t="n">
        <x:v>1</x:v>
      </x:c>
      <x:c r="H78" s="47" t="n">
        <x:v>3</x:v>
      </x:c>
      <x:c r="I78" s="47" t="n">
        <x:v>10</x:v>
      </x:c>
      <x:c r="J78" s="47" t="str">
        <x:v>FX-RT-B-C-TECH-1-F1</x:v>
      </x:c>
      <x:c r="K78" s="47" t="str">
        <x:v>RT-B-C-N1</x:v>
      </x:c>
      <x:c r="L78" s="47" t="str">
        <x:v>RT-B-C-N2</x:v>
      </x:c>
      <x:c r="M78" s="47" t="str">
        <x:v>RT-B-C-N3</x:v>
      </x:c>
      <x:c r="N78" s="47" t="n">
        <x:v>4</x:v>
      </x:c>
      <x:c r="O78" s="47" t="n">
        <x:v>186</x:v>
      </x:c>
      <x:c r="P78" s="47" t="n">
        <x:v>192</x:v>
      </x:c>
      <x:c r="Q78" s="47" t="str">
        <x:v>SEALED TO CAMPAIGN CLOSE</x:v>
      </x:c>
      <x:c r="R78" s="47" t="str">
        <x:v>UNVESTED</x:v>
      </x:c>
      <x:c r="S78" s="47" t="str">
        <x:v>PROGRAMMED / UNBUILT</x:v>
      </x:c>
      <x:c r="T78" s="47" t="str">
        <x:v>RT-B-C-TECH-1-E3</x:v>
      </x:c>
      <x:c r="U78" s="47" t="n">
        <x:f>COUNTIFS($T$7:$T$150,T78)</x:f>
        <x:v>1</x:v>
      </x:c>
      <x:c r="V78" s="47" t="n">
        <x:f>COUNTIFS($H$7:$H$150,H78,$K$7:$K$150,K78,$N$7:$N$150,N78)</x:f>
        <x:v>1</x:v>
      </x:c>
      <x:c r="W78" s="47" t="n">
        <x:f>IF(M78=L78,1,0)</x:f>
        <x:v>0</x:v>
      </x:c>
    </x:row>
    <x:row r="79">
      <x:c r="A79" s="47" t="str">
        <x:v>AR-CT-C-B-TECH-2-B2-INT-G0</x:v>
      </x:c>
      <x:c r="B79" s="47" t="str">
        <x:v>CT-C-B-TECH-2</x:v>
      </x:c>
      <x:c r="C79" s="47" t="str">
        <x:v>CT-C-B</x:v>
      </x:c>
      <x:c r="D79" s="47" t="str">
        <x:v>B2-INT</x:v>
      </x:c>
      <x:c r="E79" s="47" t="str">
        <x:v>B2</x:v>
      </x:c>
      <x:c r="F79" s="47" t="str">
        <x:v>INT</x:v>
      </x:c>
      <x:c r="G79" s="47" t="n">
        <x:v>0</x:v>
      </x:c>
      <x:c r="H79" s="47" t="n">
        <x:v>4</x:v>
      </x:c>
      <x:c r="I79" s="47" t="n">
        <x:v>15</x:v>
      </x:c>
      <x:c r="J79" s="47" t="str">
        <x:v>FX-CT-C-B-TECH-2-F1</x:v>
      </x:c>
      <x:c r="K79" s="47" t="str">
        <x:v>CT-C-B-N2</x:v>
      </x:c>
      <x:c r="L79" s="47" t="str">
        <x:v>CT-C-B-N3</x:v>
      </x:c>
      <x:c r="M79" s="47" t="str">
        <x:v>CT-C-B-N1</x:v>
      </x:c>
      <x:c r="N79" s="47" t="n">
        <x:v>1</x:v>
      </x:c>
      <x:c r="O79" s="47" t="n">
        <x:v>200</x:v>
      </x:c>
      <x:c r="P79" s="47" t="n">
        <x:v>206</x:v>
      </x:c>
      <x:c r="Q79" s="47" t="str">
        <x:v>SEALED TO CAMPAIGN CLOSE</x:v>
      </x:c>
      <x:c r="R79" s="47" t="str">
        <x:v>UNVESTED</x:v>
      </x:c>
      <x:c r="S79" s="47" t="str">
        <x:v>PROGRAMMED / UNBUILT</x:v>
      </x:c>
      <x:c r="T79" s="47" t="str">
        <x:v>CT-C-B-TECH-2-E4</x:v>
      </x:c>
      <x:c r="U79" s="47" t="n">
        <x:f>COUNTIFS($T$7:$T$150,T79)</x:f>
        <x:v>1</x:v>
      </x:c>
      <x:c r="V79" s="47" t="n">
        <x:f>COUNTIFS($H$7:$H$150,H79,$K$7:$K$150,K79,$N$7:$N$150,N79)</x:f>
        <x:v>1</x:v>
      </x:c>
      <x:c r="W79" s="47" t="n">
        <x:f>IF(M79=L79,1,0)</x:f>
        <x:v>0</x:v>
      </x:c>
    </x:row>
    <x:row r="80">
      <x:c r="A80" s="47" t="str">
        <x:v>AR-CT-C-B-TECH-3-B1-INT-G0</x:v>
      </x:c>
      <x:c r="B80" s="47" t="str">
        <x:v>CT-C-B-TECH-3</x:v>
      </x:c>
      <x:c r="C80" s="47" t="str">
        <x:v>CT-C-B</x:v>
      </x:c>
      <x:c r="D80" s="47" t="str">
        <x:v>B1-INT</x:v>
      </x:c>
      <x:c r="E80" s="47" t="str">
        <x:v>B1</x:v>
      </x:c>
      <x:c r="F80" s="47" t="str">
        <x:v>INT</x:v>
      </x:c>
      <x:c r="G80" s="47" t="n">
        <x:v>0</x:v>
      </x:c>
      <x:c r="H80" s="47" t="n">
        <x:v>4</x:v>
      </x:c>
      <x:c r="I80" s="47" t="n">
        <x:v>15</x:v>
      </x:c>
      <x:c r="J80" s="47" t="str">
        <x:v>FX-CT-C-B-TECH-3-F1</x:v>
      </x:c>
      <x:c r="K80" s="47" t="str">
        <x:v>CT-C-B-N3</x:v>
      </x:c>
      <x:c r="L80" s="47" t="str">
        <x:v>CT-C-B-N1</x:v>
      </x:c>
      <x:c r="M80" s="47" t="str">
        <x:v>CT-C-B-N2</x:v>
      </x:c>
      <x:c r="N80" s="47" t="n">
        <x:v>1</x:v>
      </x:c>
      <x:c r="O80" s="47" t="n">
        <x:v>200</x:v>
      </x:c>
      <x:c r="P80" s="47" t="n">
        <x:v>206</x:v>
      </x:c>
      <x:c r="Q80" s="47" t="str">
        <x:v>SEALED TO CAMPAIGN CLOSE</x:v>
      </x:c>
      <x:c r="R80" s="47" t="str">
        <x:v>UNVESTED</x:v>
      </x:c>
      <x:c r="S80" s="47" t="str">
        <x:v>PROGRAMMED / UNBUILT</x:v>
      </x:c>
      <x:c r="T80" s="47" t="str">
        <x:v>CT-C-B-TECH-3-E4</x:v>
      </x:c>
      <x:c r="U80" s="47" t="n">
        <x:f>COUNTIFS($T$7:$T$150,T80)</x:f>
        <x:v>1</x:v>
      </x:c>
      <x:c r="V80" s="47" t="n">
        <x:f>COUNTIFS($H$7:$H$150,H80,$K$7:$K$150,K80,$N$7:$N$150,N80)</x:f>
        <x:v>1</x:v>
      </x:c>
      <x:c r="W80" s="47" t="n">
        <x:f>IF(M80=L80,1,0)</x:f>
        <x:v>0</x:v>
      </x:c>
    </x:row>
    <x:row r="81">
      <x:c r="A81" s="47" t="str">
        <x:v>AR-ET-A-A-TECH-4-B1-INT-G0</x:v>
      </x:c>
      <x:c r="B81" s="47" t="str">
        <x:v>ET-A-A-TECH-4</x:v>
      </x:c>
      <x:c r="C81" s="47" t="str">
        <x:v>ET-A-A</x:v>
      </x:c>
      <x:c r="D81" s="47" t="str">
        <x:v>B1-INT</x:v>
      </x:c>
      <x:c r="E81" s="47" t="str">
        <x:v>B1</x:v>
      </x:c>
      <x:c r="F81" s="47" t="str">
        <x:v>INT</x:v>
      </x:c>
      <x:c r="G81" s="47" t="n">
        <x:v>0</x:v>
      </x:c>
      <x:c r="H81" s="47" t="n">
        <x:v>4</x:v>
      </x:c>
      <x:c r="I81" s="47" t="n">
        <x:v>15</x:v>
      </x:c>
      <x:c r="J81" s="47" t="str">
        <x:v>FX-ET-A-A-TECH-4-F2</x:v>
      </x:c>
      <x:c r="K81" s="47" t="str">
        <x:v>ET-A-A-N2</x:v>
      </x:c>
      <x:c r="L81" s="47" t="str">
        <x:v>ET-A-A-N1</x:v>
      </x:c>
      <x:c r="M81" s="47" t="str">
        <x:v>ET-A-A-N3</x:v>
      </x:c>
      <x:c r="N81" s="47" t="n">
        <x:v>1</x:v>
      </x:c>
      <x:c r="O81" s="47" t="n">
        <x:v>200</x:v>
      </x:c>
      <x:c r="P81" s="47" t="n">
        <x:v>206</x:v>
      </x:c>
      <x:c r="Q81" s="47" t="str">
        <x:v>SEALED TO CAMPAIGN CLOSE</x:v>
      </x:c>
      <x:c r="R81" s="47" t="str">
        <x:v>UNVESTED</x:v>
      </x:c>
      <x:c r="S81" s="47" t="str">
        <x:v>PROGRAMMED / UNBUILT</x:v>
      </x:c>
      <x:c r="T81" s="47" t="str">
        <x:v>ET-A-A-TECH-4-E4</x:v>
      </x:c>
      <x:c r="U81" s="47" t="n">
        <x:f>COUNTIFS($T$7:$T$150,T81)</x:f>
        <x:v>1</x:v>
      </x:c>
      <x:c r="V81" s="47" t="n">
        <x:f>COUNTIFS($H$7:$H$150,H81,$K$7:$K$150,K81,$N$7:$N$150,N81)</x:f>
        <x:v>1</x:v>
      </x:c>
      <x:c r="W81" s="47" t="n">
        <x:f>IF(M81=L81,1,0)</x:f>
        <x:v>0</x:v>
      </x:c>
    </x:row>
    <x:row r="82">
      <x:c r="A82" s="47" t="str">
        <x:v>AR-HU-A-B-TECH-1-B2-RCN-G0</x:v>
      </x:c>
      <x:c r="B82" s="47" t="str">
        <x:v>HU-A-B-TECH-1</x:v>
      </x:c>
      <x:c r="C82" s="47" t="str">
        <x:v>HU-A-B</x:v>
      </x:c>
      <x:c r="D82" s="47" t="str">
        <x:v>B2-RCN</x:v>
      </x:c>
      <x:c r="E82" s="47" t="str">
        <x:v>B2</x:v>
      </x:c>
      <x:c r="F82" s="47" t="str">
        <x:v>RCN</x:v>
      </x:c>
      <x:c r="G82" s="47" t="n">
        <x:v>1</x:v>
      </x:c>
      <x:c r="H82" s="47" t="n">
        <x:v>4</x:v>
      </x:c>
      <x:c r="I82" s="47" t="n">
        <x:v>15</x:v>
      </x:c>
      <x:c r="J82" s="47" t="str">
        <x:v>FX-HU-A-B-TECH-1-F2</x:v>
      </x:c>
      <x:c r="K82" s="47" t="str">
        <x:v>HU-A-B-N2</x:v>
      </x:c>
      <x:c r="L82" s="47" t="str">
        <x:v>HU-A-B-N1</x:v>
      </x:c>
      <x:c r="M82" s="47" t="str">
        <x:v>HU-A-B-N3</x:v>
      </x:c>
      <x:c r="N82" s="47" t="n">
        <x:v>1</x:v>
      </x:c>
      <x:c r="O82" s="47" t="n">
        <x:v>200</x:v>
      </x:c>
      <x:c r="P82" s="47" t="n">
        <x:v>206</x:v>
      </x:c>
      <x:c r="Q82" s="47" t="str">
        <x:v>SEALED TO CAMPAIGN CLOSE</x:v>
      </x:c>
      <x:c r="R82" s="47" t="str">
        <x:v>UNVESTED</x:v>
      </x:c>
      <x:c r="S82" s="47" t="str">
        <x:v>PROGRAMMED / UNBUILT</x:v>
      </x:c>
      <x:c r="T82" s="47" t="str">
        <x:v>HU-A-B-TECH-1-E4</x:v>
      </x:c>
      <x:c r="U82" s="47" t="n">
        <x:f>COUNTIFS($T$7:$T$150,T82)</x:f>
        <x:v>1</x:v>
      </x:c>
      <x:c r="V82" s="47" t="n">
        <x:f>COUNTIFS($H$7:$H$150,H82,$K$7:$K$150,K82,$N$7:$N$150,N82)</x:f>
        <x:v>1</x:v>
      </x:c>
      <x:c r="W82" s="47" t="n">
        <x:f>IF(M82=L82,1,0)</x:f>
        <x:v>0</x:v>
      </x:c>
    </x:row>
    <x:row r="83">
      <x:c r="A83" s="47" t="str">
        <x:v>AR-HU-A-B-TECH-3-B2-BRK-G0</x:v>
      </x:c>
      <x:c r="B83" s="47" t="str">
        <x:v>HU-A-B-TECH-3</x:v>
      </x:c>
      <x:c r="C83" s="47" t="str">
        <x:v>HU-A-B</x:v>
      </x:c>
      <x:c r="D83" s="47" t="str">
        <x:v>B2-BRK</x:v>
      </x:c>
      <x:c r="E83" s="47" t="str">
        <x:v>B2</x:v>
      </x:c>
      <x:c r="F83" s="47" t="str">
        <x:v>BRK</x:v>
      </x:c>
      <x:c r="G83" s="47" t="n">
        <x:v>1</x:v>
      </x:c>
      <x:c r="H83" s="47" t="n">
        <x:v>4</x:v>
      </x:c>
      <x:c r="I83" s="47" t="n">
        <x:v>15</x:v>
      </x:c>
      <x:c r="J83" s="47" t="str">
        <x:v>FX-HU-A-B-TECH-3-F1</x:v>
      </x:c>
      <x:c r="K83" s="47" t="str">
        <x:v>HU-A-B-N3</x:v>
      </x:c>
      <x:c r="L83" s="47" t="str">
        <x:v>HU-A-B-N1</x:v>
      </x:c>
      <x:c r="M83" s="47" t="str">
        <x:v>HU-A-B-N2</x:v>
      </x:c>
      <x:c r="N83" s="47" t="n">
        <x:v>1</x:v>
      </x:c>
      <x:c r="O83" s="47" t="n">
        <x:v>200</x:v>
      </x:c>
      <x:c r="P83" s="47" t="n">
        <x:v>206</x:v>
      </x:c>
      <x:c r="Q83" s="47" t="str">
        <x:v>SEALED TO CAMPAIGN CLOSE</x:v>
      </x:c>
      <x:c r="R83" s="47" t="str">
        <x:v>UNVESTED</x:v>
      </x:c>
      <x:c r="S83" s="47" t="str">
        <x:v>PROGRAMMED / UNBUILT</x:v>
      </x:c>
      <x:c r="T83" s="47" t="str">
        <x:v>HU-A-B-TECH-3-E4</x:v>
      </x:c>
      <x:c r="U83" s="47" t="n">
        <x:f>COUNTIFS($T$7:$T$150,T83)</x:f>
        <x:v>1</x:v>
      </x:c>
      <x:c r="V83" s="47" t="n">
        <x:f>COUNTIFS($H$7:$H$150,H83,$K$7:$K$150,K83,$N$7:$N$150,N83)</x:f>
        <x:v>1</x:v>
      </x:c>
      <x:c r="W83" s="47" t="n">
        <x:f>IF(M83=L83,1,0)</x:f>
        <x:v>0</x:v>
      </x:c>
    </x:row>
    <x:row r="84">
      <x:c r="A84" s="47" t="str">
        <x:v>AR-RT-B-C-TECH-1-B1-RCN-G0</x:v>
      </x:c>
      <x:c r="B84" s="47" t="str">
        <x:v>RT-B-C-TECH-1</x:v>
      </x:c>
      <x:c r="C84" s="47" t="str">
        <x:v>RT-B-C</x:v>
      </x:c>
      <x:c r="D84" s="47" t="str">
        <x:v>B1-RCN</x:v>
      </x:c>
      <x:c r="E84" s="47" t="str">
        <x:v>B1</x:v>
      </x:c>
      <x:c r="F84" s="47" t="str">
        <x:v>RCN</x:v>
      </x:c>
      <x:c r="G84" s="47" t="n">
        <x:v>1</x:v>
      </x:c>
      <x:c r="H84" s="47" t="n">
        <x:v>4</x:v>
      </x:c>
      <x:c r="I84" s="47" t="n">
        <x:v>15</x:v>
      </x:c>
      <x:c r="J84" s="47" t="str">
        <x:v>FX-RT-B-C-TECH-1-F1</x:v>
      </x:c>
      <x:c r="K84" s="47" t="str">
        <x:v>RT-B-C-N1</x:v>
      </x:c>
      <x:c r="L84" s="47" t="str">
        <x:v>RT-B-C-N2</x:v>
      </x:c>
      <x:c r="M84" s="47" t="str">
        <x:v>RT-B-C-N3</x:v>
      </x:c>
      <x:c r="N84" s="47" t="n">
        <x:v>1</x:v>
      </x:c>
      <x:c r="O84" s="47" t="n">
        <x:v>200</x:v>
      </x:c>
      <x:c r="P84" s="47" t="n">
        <x:v>206</x:v>
      </x:c>
      <x:c r="Q84" s="47" t="str">
        <x:v>SEALED TO CAMPAIGN CLOSE</x:v>
      </x:c>
      <x:c r="R84" s="47" t="str">
        <x:v>UNVESTED</x:v>
      </x:c>
      <x:c r="S84" s="47" t="str">
        <x:v>PROGRAMMED / UNBUILT</x:v>
      </x:c>
      <x:c r="T84" s="47" t="str">
        <x:v>RT-B-C-TECH-1-E4</x:v>
      </x:c>
      <x:c r="U84" s="47" t="n">
        <x:f>COUNTIFS($T$7:$T$150,T84)</x:f>
        <x:v>1</x:v>
      </x:c>
      <x:c r="V84" s="47" t="n">
        <x:f>COUNTIFS($H$7:$H$150,H84,$K$7:$K$150,K84,$N$7:$N$150,N84)</x:f>
        <x:v>1</x:v>
      </x:c>
      <x:c r="W84" s="47" t="n">
        <x:f>IF(M84=L84,1,0)</x:f>
        <x:v>0</x:v>
      </x:c>
    </x:row>
    <x:row r="85">
      <x:c r="A85" s="47" t="str">
        <x:v>AR-ET-A-A-TECH-1-B2-BRK-G0</x:v>
      </x:c>
      <x:c r="B85" s="47" t="str">
        <x:v>ET-A-A-TECH-1</x:v>
      </x:c>
      <x:c r="C85" s="47" t="str">
        <x:v>ET-A-A</x:v>
      </x:c>
      <x:c r="D85" s="47" t="str">
        <x:v>B2-BRK</x:v>
      </x:c>
      <x:c r="E85" s="47" t="str">
        <x:v>B2</x:v>
      </x:c>
      <x:c r="F85" s="47" t="str">
        <x:v>BRK</x:v>
      </x:c>
      <x:c r="G85" s="47" t="n">
        <x:v>1</x:v>
      </x:c>
      <x:c r="H85" s="47" t="n">
        <x:v>4</x:v>
      </x:c>
      <x:c r="I85" s="47" t="n">
        <x:v>15</x:v>
      </x:c>
      <x:c r="J85" s="47" t="str">
        <x:v>FX-ET-A-A-TECH-1-F1</x:v>
      </x:c>
      <x:c r="K85" s="47" t="str">
        <x:v>ET-A-A-N1</x:v>
      </x:c>
      <x:c r="L85" s="47" t="str">
        <x:v>ET-A-A-N2</x:v>
      </x:c>
      <x:c r="M85" s="47" t="str">
        <x:v>ET-A-A-N3</x:v>
      </x:c>
      <x:c r="N85" s="47" t="n">
        <x:v>2</x:v>
      </x:c>
      <x:c r="O85" s="47" t="n">
        <x:v>206</x:v>
      </x:c>
      <x:c r="P85" s="47" t="n">
        <x:v>212</x:v>
      </x:c>
      <x:c r="Q85" s="47" t="str">
        <x:v>SEALED TO CAMPAIGN CLOSE</x:v>
      </x:c>
      <x:c r="R85" s="47" t="str">
        <x:v>UNVESTED</x:v>
      </x:c>
      <x:c r="S85" s="47" t="str">
        <x:v>PROGRAMMED / UNBUILT</x:v>
      </x:c>
      <x:c r="T85" s="47" t="str">
        <x:v>ET-A-A-TECH-1-E4</x:v>
      </x:c>
      <x:c r="U85" s="47" t="n">
        <x:f>COUNTIFS($T$7:$T$150,T85)</x:f>
        <x:v>1</x:v>
      </x:c>
      <x:c r="V85" s="47" t="n">
        <x:f>COUNTIFS($H$7:$H$150,H85,$K$7:$K$150,K85,$N$7:$N$150,N85)</x:f>
        <x:v>1</x:v>
      </x:c>
      <x:c r="W85" s="47" t="n">
        <x:f>IF(M85=L85,1,0)</x:f>
        <x:v>0</x:v>
      </x:c>
    </x:row>
    <x:row r="86">
      <x:c r="A86" s="47" t="str">
        <x:v>AR-HC-A-C-TECH-3-B2-RCN-G0</x:v>
      </x:c>
      <x:c r="B86" s="47" t="str">
        <x:v>HC-A-C-TECH-3</x:v>
      </x:c>
      <x:c r="C86" s="47" t="str">
        <x:v>HC-A-C</x:v>
      </x:c>
      <x:c r="D86" s="47" t="str">
        <x:v>B2-RCN</x:v>
      </x:c>
      <x:c r="E86" s="47" t="str">
        <x:v>B2</x:v>
      </x:c>
      <x:c r="F86" s="47" t="str">
        <x:v>RCN</x:v>
      </x:c>
      <x:c r="G86" s="47" t="n">
        <x:v>1</x:v>
      </x:c>
      <x:c r="H86" s="47" t="n">
        <x:v>4</x:v>
      </x:c>
      <x:c r="I86" s="47" t="n">
        <x:v>15</x:v>
      </x:c>
      <x:c r="J86" s="47" t="str">
        <x:v>FX-HC-A-C-TECH-3-F2</x:v>
      </x:c>
      <x:c r="K86" s="47" t="str">
        <x:v>HC-A-C-N1</x:v>
      </x:c>
      <x:c r="L86" s="47" t="str">
        <x:v>HC-A-C-N3</x:v>
      </x:c>
      <x:c r="M86" s="47" t="str">
        <x:v>HC-A-C-N2</x:v>
      </x:c>
      <x:c r="N86" s="47" t="n">
        <x:v>2</x:v>
      </x:c>
      <x:c r="O86" s="47" t="n">
        <x:v>206</x:v>
      </x:c>
      <x:c r="P86" s="47" t="n">
        <x:v>212</x:v>
      </x:c>
      <x:c r="Q86" s="47" t="str">
        <x:v>SEALED TO CAMPAIGN CLOSE</x:v>
      </x:c>
      <x:c r="R86" s="47" t="str">
        <x:v>UNVESTED</x:v>
      </x:c>
      <x:c r="S86" s="47" t="str">
        <x:v>PROGRAMMED / UNBUILT</x:v>
      </x:c>
      <x:c r="T86" s="47" t="str">
        <x:v>HC-A-C-TECH-3-E4</x:v>
      </x:c>
      <x:c r="U86" s="47" t="n">
        <x:f>COUNTIFS($T$7:$T$150,T86)</x:f>
        <x:v>1</x:v>
      </x:c>
      <x:c r="V86" s="47" t="n">
        <x:f>COUNTIFS($H$7:$H$150,H86,$K$7:$K$150,K86,$N$7:$N$150,N86)</x:f>
        <x:v>1</x:v>
      </x:c>
      <x:c r="W86" s="47" t="n">
        <x:f>IF(M86=L86,1,0)</x:f>
        <x:v>0</x:v>
      </x:c>
    </x:row>
    <x:row r="87">
      <x:c r="A87" s="47" t="str">
        <x:v>AR-HC-A-C-TECH-1-B2-INT-G0</x:v>
      </x:c>
      <x:c r="B87" s="47" t="str">
        <x:v>HC-A-C-TECH-1</x:v>
      </x:c>
      <x:c r="C87" s="47" t="str">
        <x:v>HC-A-C</x:v>
      </x:c>
      <x:c r="D87" s="47" t="str">
        <x:v>B2-INT</x:v>
      </x:c>
      <x:c r="E87" s="47" t="str">
        <x:v>B2</x:v>
      </x:c>
      <x:c r="F87" s="47" t="str">
        <x:v>INT</x:v>
      </x:c>
      <x:c r="G87" s="47" t="n">
        <x:v>0</x:v>
      </x:c>
      <x:c r="H87" s="47" t="n">
        <x:v>4</x:v>
      </x:c>
      <x:c r="I87" s="47" t="n">
        <x:v>15</x:v>
      </x:c>
      <x:c r="J87" s="47" t="str">
        <x:v>FX-HC-A-C-TECH-1-F2</x:v>
      </x:c>
      <x:c r="K87" s="47" t="str">
        <x:v>HC-A-C-N2</x:v>
      </x:c>
      <x:c r="L87" s="47" t="str">
        <x:v>HC-A-C-N1</x:v>
      </x:c>
      <x:c r="M87" s="47" t="str">
        <x:v>HC-A-C-N3</x:v>
      </x:c>
      <x:c r="N87" s="47" t="n">
        <x:v>2</x:v>
      </x:c>
      <x:c r="O87" s="47" t="n">
        <x:v>206</x:v>
      </x:c>
      <x:c r="P87" s="47" t="n">
        <x:v>212</x:v>
      </x:c>
      <x:c r="Q87" s="47" t="str">
        <x:v>SEALED TO CAMPAIGN CLOSE</x:v>
      </x:c>
      <x:c r="R87" s="47" t="str">
        <x:v>UNVESTED</x:v>
      </x:c>
      <x:c r="S87" s="47" t="str">
        <x:v>PROGRAMMED / UNBUILT</x:v>
      </x:c>
      <x:c r="T87" s="47" t="str">
        <x:v>HC-A-C-TECH-1-E4</x:v>
      </x:c>
      <x:c r="U87" s="47" t="n">
        <x:f>COUNTIFS($T$7:$T$150,T87)</x:f>
        <x:v>1</x:v>
      </x:c>
      <x:c r="V87" s="47" t="n">
        <x:f>COUNTIFS($H$7:$H$150,H87,$K$7:$K$150,K87,$N$7:$N$150,N87)</x:f>
        <x:v>1</x:v>
      </x:c>
      <x:c r="W87" s="47" t="n">
        <x:f>IF(M87=L87,1,0)</x:f>
        <x:v>0</x:v>
      </x:c>
    </x:row>
    <x:row r="88">
      <x:c r="A88" s="47" t="str">
        <x:v>AR-LF-B-A-TECH-1-B1-INT-G0</x:v>
      </x:c>
      <x:c r="B88" s="47" t="str">
        <x:v>LF-B-A-TECH-1</x:v>
      </x:c>
      <x:c r="C88" s="47" t="str">
        <x:v>LF-B-A</x:v>
      </x:c>
      <x:c r="D88" s="47" t="str">
        <x:v>B1-INT</x:v>
      </x:c>
      <x:c r="E88" s="47" t="str">
        <x:v>B1</x:v>
      </x:c>
      <x:c r="F88" s="47" t="str">
        <x:v>INT</x:v>
      </x:c>
      <x:c r="G88" s="47" t="n">
        <x:v>0</x:v>
      </x:c>
      <x:c r="H88" s="47" t="n">
        <x:v>4</x:v>
      </x:c>
      <x:c r="I88" s="47" t="n">
        <x:v>15</x:v>
      </x:c>
      <x:c r="J88" s="47" t="str">
        <x:v>FX-LF-B-A-TECH-1-F1</x:v>
      </x:c>
      <x:c r="K88" s="47" t="str">
        <x:v>LF-B-A-N1</x:v>
      </x:c>
      <x:c r="L88" s="47" t="str">
        <x:v>LF-B-A-N2</x:v>
      </x:c>
      <x:c r="M88" s="47" t="str">
        <x:v>LF-B-A-N3</x:v>
      </x:c>
      <x:c r="N88" s="47" t="n">
        <x:v>2</x:v>
      </x:c>
      <x:c r="O88" s="47" t="n">
        <x:v>206</x:v>
      </x:c>
      <x:c r="P88" s="47" t="n">
        <x:v>212</x:v>
      </x:c>
      <x:c r="Q88" s="47" t="str">
        <x:v>SEALED TO CAMPAIGN CLOSE</x:v>
      </x:c>
      <x:c r="R88" s="47" t="str">
        <x:v>UNVESTED</x:v>
      </x:c>
      <x:c r="S88" s="47" t="str">
        <x:v>PROGRAMMED / UNBUILT</x:v>
      </x:c>
      <x:c r="T88" s="47" t="str">
        <x:v>LF-B-A-TECH-1-E4</x:v>
      </x:c>
      <x:c r="U88" s="47" t="n">
        <x:f>COUNTIFS($T$7:$T$150,T88)</x:f>
        <x:v>1</x:v>
      </x:c>
      <x:c r="V88" s="47" t="n">
        <x:f>COUNTIFS($H$7:$H$150,H88,$K$7:$K$150,K88,$N$7:$N$150,N88)</x:f>
        <x:v>1</x:v>
      </x:c>
      <x:c r="W88" s="47" t="n">
        <x:f>IF(M88=L88,1,0)</x:f>
        <x:v>0</x:v>
      </x:c>
    </x:row>
    <x:row r="89">
      <x:c r="A89" s="47" t="str">
        <x:v>AR-LF-B-A-TECH-2-B2-RCN-G0</x:v>
      </x:c>
      <x:c r="B89" s="47" t="str">
        <x:v>LF-B-A-TECH-2</x:v>
      </x:c>
      <x:c r="C89" s="47" t="str">
        <x:v>LF-B-A</x:v>
      </x:c>
      <x:c r="D89" s="47" t="str">
        <x:v>B2-RCN</x:v>
      </x:c>
      <x:c r="E89" s="47" t="str">
        <x:v>B2</x:v>
      </x:c>
      <x:c r="F89" s="47" t="str">
        <x:v>RCN</x:v>
      </x:c>
      <x:c r="G89" s="47" t="n">
        <x:v>1</x:v>
      </x:c>
      <x:c r="H89" s="47" t="n">
        <x:v>4</x:v>
      </x:c>
      <x:c r="I89" s="47" t="n">
        <x:v>15</x:v>
      </x:c>
      <x:c r="J89" s="47" t="str">
        <x:v>FX-LF-B-A-TECH-2-F1</x:v>
      </x:c>
      <x:c r="K89" s="47" t="str">
        <x:v>LF-B-A-N2</x:v>
      </x:c>
      <x:c r="L89" s="47" t="str">
        <x:v>LF-B-A-N3</x:v>
      </x:c>
      <x:c r="M89" s="47" t="str">
        <x:v>LF-B-A-N1</x:v>
      </x:c>
      <x:c r="N89" s="47" t="n">
        <x:v>2</x:v>
      </x:c>
      <x:c r="O89" s="47" t="n">
        <x:v>206</x:v>
      </x:c>
      <x:c r="P89" s="47" t="n">
        <x:v>212</x:v>
      </x:c>
      <x:c r="Q89" s="47" t="str">
        <x:v>SEALED TO CAMPAIGN CLOSE</x:v>
      </x:c>
      <x:c r="R89" s="47" t="str">
        <x:v>UNVESTED</x:v>
      </x:c>
      <x:c r="S89" s="47" t="str">
        <x:v>PROGRAMMED / UNBUILT</x:v>
      </x:c>
      <x:c r="T89" s="47" t="str">
        <x:v>LF-B-A-TECH-2-E4</x:v>
      </x:c>
      <x:c r="U89" s="47" t="n">
        <x:f>COUNTIFS($T$7:$T$150,T89)</x:f>
        <x:v>1</x:v>
      </x:c>
      <x:c r="V89" s="47" t="n">
        <x:f>COUNTIFS($H$7:$H$150,H89,$K$7:$K$150,K89,$N$7:$N$150,N89)</x:f>
        <x:v>1</x:v>
      </x:c>
      <x:c r="W89" s="47" t="n">
        <x:f>IF(M89=L89,1,0)</x:f>
        <x:v>0</x:v>
      </x:c>
    </x:row>
    <x:row r="90">
      <x:c r="A90" s="47" t="str">
        <x:v>AR-RT-B-C-TECH-3-B1-BRK-G0</x:v>
      </x:c>
      <x:c r="B90" s="47" t="str">
        <x:v>RT-B-C-TECH-3</x:v>
      </x:c>
      <x:c r="C90" s="47" t="str">
        <x:v>RT-B-C</x:v>
      </x:c>
      <x:c r="D90" s="47" t="str">
        <x:v>B1-BRK</x:v>
      </x:c>
      <x:c r="E90" s="47" t="str">
        <x:v>B1</x:v>
      </x:c>
      <x:c r="F90" s="47" t="str">
        <x:v>BRK</x:v>
      </x:c>
      <x:c r="G90" s="47" t="n">
        <x:v>1</x:v>
      </x:c>
      <x:c r="H90" s="47" t="n">
        <x:v>4</x:v>
      </x:c>
      <x:c r="I90" s="47" t="n">
        <x:v>15</x:v>
      </x:c>
      <x:c r="J90" s="47" t="str">
        <x:v>FX-RT-B-C-TECH-3-F2</x:v>
      </x:c>
      <x:c r="K90" s="47" t="str">
        <x:v>RT-B-C-N1</x:v>
      </x:c>
      <x:c r="L90" s="47" t="str">
        <x:v>RT-B-C-N3</x:v>
      </x:c>
      <x:c r="M90" s="47" t="str">
        <x:v>RT-B-C-N2</x:v>
      </x:c>
      <x:c r="N90" s="47" t="n">
        <x:v>2</x:v>
      </x:c>
      <x:c r="O90" s="47" t="n">
        <x:v>206</x:v>
      </x:c>
      <x:c r="P90" s="47" t="n">
        <x:v>212</x:v>
      </x:c>
      <x:c r="Q90" s="47" t="str">
        <x:v>SEALED TO CAMPAIGN CLOSE</x:v>
      </x:c>
      <x:c r="R90" s="47" t="str">
        <x:v>UNVESTED</x:v>
      </x:c>
      <x:c r="S90" s="47" t="str">
        <x:v>PROGRAMMED / UNBUILT</x:v>
      </x:c>
      <x:c r="T90" s="47" t="str">
        <x:v>RT-B-C-TECH-3-E4</x:v>
      </x:c>
      <x:c r="U90" s="47" t="n">
        <x:f>COUNTIFS($T$7:$T$150,T90)</x:f>
        <x:v>1</x:v>
      </x:c>
      <x:c r="V90" s="47" t="n">
        <x:f>COUNTIFS($H$7:$H$150,H90,$K$7:$K$150,K90,$N$7:$N$150,N90)</x:f>
        <x:v>1</x:v>
      </x:c>
      <x:c r="W90" s="47" t="n">
        <x:f>IF(M90=L90,1,0)</x:f>
        <x:v>0</x:v>
      </x:c>
    </x:row>
    <x:row r="91">
      <x:c r="A91" s="47" t="str">
        <x:v>AR-ET-A-A-TECH-3-B2-INT-G0</x:v>
      </x:c>
      <x:c r="B91" s="47" t="str">
        <x:v>ET-A-A-TECH-3</x:v>
      </x:c>
      <x:c r="C91" s="47" t="str">
        <x:v>ET-A-A</x:v>
      </x:c>
      <x:c r="D91" s="47" t="str">
        <x:v>B2-INT</x:v>
      </x:c>
      <x:c r="E91" s="47" t="str">
        <x:v>B2</x:v>
      </x:c>
      <x:c r="F91" s="47" t="str">
        <x:v>INT</x:v>
      </x:c>
      <x:c r="G91" s="47" t="n">
        <x:v>0</x:v>
      </x:c>
      <x:c r="H91" s="47" t="n">
        <x:v>4</x:v>
      </x:c>
      <x:c r="I91" s="47" t="n">
        <x:v>15</x:v>
      </x:c>
      <x:c r="J91" s="47" t="str">
        <x:v>FX-ET-A-A-TECH-3-F2</x:v>
      </x:c>
      <x:c r="K91" s="47" t="str">
        <x:v>ET-A-A-N1</x:v>
      </x:c>
      <x:c r="L91" s="47" t="str">
        <x:v>ET-A-A-N3</x:v>
      </x:c>
      <x:c r="M91" s="47" t="str">
        <x:v>ET-A-A-N2</x:v>
      </x:c>
      <x:c r="N91" s="47" t="n">
        <x:v>3</x:v>
      </x:c>
      <x:c r="O91" s="47" t="n">
        <x:v>212</x:v>
      </x:c>
      <x:c r="P91" s="47" t="n">
        <x:v>218</x:v>
      </x:c>
      <x:c r="Q91" s="47" t="str">
        <x:v>SEALED TO CAMPAIGN CLOSE</x:v>
      </x:c>
      <x:c r="R91" s="47" t="str">
        <x:v>UNVESTED</x:v>
      </x:c>
      <x:c r="S91" s="47" t="str">
        <x:v>PROGRAMMED / UNBUILT</x:v>
      </x:c>
      <x:c r="T91" s="47" t="str">
        <x:v>ET-A-A-TECH-3-E4</x:v>
      </x:c>
      <x:c r="U91" s="47" t="n">
        <x:f>COUNTIFS($T$7:$T$150,T91)</x:f>
        <x:v>1</x:v>
      </x:c>
      <x:c r="V91" s="47" t="n">
        <x:f>COUNTIFS($H$7:$H$150,H91,$K$7:$K$150,K91,$N$7:$N$150,N91)</x:f>
        <x:v>1</x:v>
      </x:c>
      <x:c r="W91" s="47" t="n">
        <x:f>IF(M91=L91,1,0)</x:f>
        <x:v>0</x:v>
      </x:c>
    </x:row>
    <x:row r="92">
      <x:c r="A92" s="47" t="str">
        <x:v>AR-HC-A-C-TECH-4-B1-RCN-G0</x:v>
      </x:c>
      <x:c r="B92" s="47" t="str">
        <x:v>HC-A-C-TECH-4</x:v>
      </x:c>
      <x:c r="C92" s="47" t="str">
        <x:v>HC-A-C</x:v>
      </x:c>
      <x:c r="D92" s="47" t="str">
        <x:v>B1-RCN</x:v>
      </x:c>
      <x:c r="E92" s="47" t="str">
        <x:v>B1</x:v>
      </x:c>
      <x:c r="F92" s="47" t="str">
        <x:v>RCN</x:v>
      </x:c>
      <x:c r="G92" s="47" t="n">
        <x:v>1</x:v>
      </x:c>
      <x:c r="H92" s="47" t="n">
        <x:v>4</x:v>
      </x:c>
      <x:c r="I92" s="47" t="n">
        <x:v>15</x:v>
      </x:c>
      <x:c r="J92" s="47" t="str">
        <x:v>FX-HC-A-C-TECH-4-F2</x:v>
      </x:c>
      <x:c r="K92" s="47" t="str">
        <x:v>HC-A-C-N2</x:v>
      </x:c>
      <x:c r="L92" s="47" t="str">
        <x:v>HC-A-C-N1</x:v>
      </x:c>
      <x:c r="M92" s="47" t="str">
        <x:v>HC-A-C-N3</x:v>
      </x:c>
      <x:c r="N92" s="47" t="n">
        <x:v>3</x:v>
      </x:c>
      <x:c r="O92" s="47" t="n">
        <x:v>212</x:v>
      </x:c>
      <x:c r="P92" s="47" t="n">
        <x:v>218</x:v>
      </x:c>
      <x:c r="Q92" s="47" t="str">
        <x:v>SEALED TO CAMPAIGN CLOSE</x:v>
      </x:c>
      <x:c r="R92" s="47" t="str">
        <x:v>UNVESTED</x:v>
      </x:c>
      <x:c r="S92" s="47" t="str">
        <x:v>PROGRAMMED / UNBUILT</x:v>
      </x:c>
      <x:c r="T92" s="47" t="str">
        <x:v>HC-A-C-TECH-4-E4</x:v>
      </x:c>
      <x:c r="U92" s="47" t="n">
        <x:f>COUNTIFS($T$7:$T$150,T92)</x:f>
        <x:v>1</x:v>
      </x:c>
      <x:c r="V92" s="47" t="n">
        <x:f>COUNTIFS($H$7:$H$150,H92,$K$7:$K$150,K92,$N$7:$N$150,N92)</x:f>
        <x:v>1</x:v>
      </x:c>
      <x:c r="W92" s="47" t="n">
        <x:f>IF(M92=L92,1,0)</x:f>
        <x:v>0</x:v>
      </x:c>
    </x:row>
    <x:row r="93">
      <x:c r="A93" s="47" t="str">
        <x:v>AR-HC-A-C-TECH-2-B1-INT-G0</x:v>
      </x:c>
      <x:c r="B93" s="47" t="str">
        <x:v>HC-A-C-TECH-2</x:v>
      </x:c>
      <x:c r="C93" s="47" t="str">
        <x:v>HC-A-C</x:v>
      </x:c>
      <x:c r="D93" s="47" t="str">
        <x:v>B1-INT</x:v>
      </x:c>
      <x:c r="E93" s="47" t="str">
        <x:v>B1</x:v>
      </x:c>
      <x:c r="F93" s="47" t="str">
        <x:v>INT</x:v>
      </x:c>
      <x:c r="G93" s="47" t="n">
        <x:v>0</x:v>
      </x:c>
      <x:c r="H93" s="47" t="n">
        <x:v>4</x:v>
      </x:c>
      <x:c r="I93" s="47" t="n">
        <x:v>15</x:v>
      </x:c>
      <x:c r="J93" s="47" t="str">
        <x:v>FX-HC-A-C-TECH-2-F2</x:v>
      </x:c>
      <x:c r="K93" s="47" t="str">
        <x:v>HC-A-C-N3</x:v>
      </x:c>
      <x:c r="L93" s="47" t="str">
        <x:v>HC-A-C-N2</x:v>
      </x:c>
      <x:c r="M93" s="47" t="str">
        <x:v>HC-A-C-N1</x:v>
      </x:c>
      <x:c r="N93" s="47" t="n">
        <x:v>3</x:v>
      </x:c>
      <x:c r="O93" s="47" t="n">
        <x:v>212</x:v>
      </x:c>
      <x:c r="P93" s="47" t="n">
        <x:v>218</x:v>
      </x:c>
      <x:c r="Q93" s="47" t="str">
        <x:v>SEALED TO CAMPAIGN CLOSE</x:v>
      </x:c>
      <x:c r="R93" s="47" t="str">
        <x:v>UNVESTED</x:v>
      </x:c>
      <x:c r="S93" s="47" t="str">
        <x:v>PROGRAMMED / UNBUILT</x:v>
      </x:c>
      <x:c r="T93" s="47" t="str">
        <x:v>HC-A-C-TECH-2-E4</x:v>
      </x:c>
      <x:c r="U93" s="47" t="n">
        <x:f>COUNTIFS($T$7:$T$150,T93)</x:f>
        <x:v>1</x:v>
      </x:c>
      <x:c r="V93" s="47" t="n">
        <x:f>COUNTIFS($H$7:$H$150,H93,$K$7:$K$150,K93,$N$7:$N$150,N93)</x:f>
        <x:v>1</x:v>
      </x:c>
      <x:c r="W93" s="47" t="n">
        <x:f>IF(M93=L93,1,0)</x:f>
        <x:v>0</x:v>
      </x:c>
    </x:row>
    <x:row r="94">
      <x:c r="A94" s="47" t="str">
        <x:v>AR-LF-B-A-TECH-4-B2-BRK-G0</x:v>
      </x:c>
      <x:c r="B94" s="47" t="str">
        <x:v>LF-B-A-TECH-4</x:v>
      </x:c>
      <x:c r="C94" s="47" t="str">
        <x:v>LF-B-A</x:v>
      </x:c>
      <x:c r="D94" s="47" t="str">
        <x:v>B2-BRK</x:v>
      </x:c>
      <x:c r="E94" s="47" t="str">
        <x:v>B2</x:v>
      </x:c>
      <x:c r="F94" s="47" t="str">
        <x:v>BRK</x:v>
      </x:c>
      <x:c r="G94" s="47" t="n">
        <x:v>1</x:v>
      </x:c>
      <x:c r="H94" s="47" t="n">
        <x:v>4</x:v>
      </x:c>
      <x:c r="I94" s="47" t="n">
        <x:v>15</x:v>
      </x:c>
      <x:c r="J94" s="47" t="str">
        <x:v>FX-LF-B-A-TECH-4-F2</x:v>
      </x:c>
      <x:c r="K94" s="47" t="str">
        <x:v>LF-B-A-N2</x:v>
      </x:c>
      <x:c r="L94" s="47" t="str">
        <x:v>LF-B-A-N1</x:v>
      </x:c>
      <x:c r="M94" s="47" t="str">
        <x:v>LF-B-A-N3</x:v>
      </x:c>
      <x:c r="N94" s="47" t="n">
        <x:v>3</x:v>
      </x:c>
      <x:c r="O94" s="47" t="n">
        <x:v>212</x:v>
      </x:c>
      <x:c r="P94" s="47" t="n">
        <x:v>218</x:v>
      </x:c>
      <x:c r="Q94" s="47" t="str">
        <x:v>SEALED TO CAMPAIGN CLOSE</x:v>
      </x:c>
      <x:c r="R94" s="47" t="str">
        <x:v>UNVESTED</x:v>
      </x:c>
      <x:c r="S94" s="47" t="str">
        <x:v>PROGRAMMED / UNBUILT</x:v>
      </x:c>
      <x:c r="T94" s="47" t="str">
        <x:v>LF-B-A-TECH-4-E4</x:v>
      </x:c>
      <x:c r="U94" s="47" t="n">
        <x:f>COUNTIFS($T$7:$T$150,T94)</x:f>
        <x:v>1</x:v>
      </x:c>
      <x:c r="V94" s="47" t="n">
        <x:f>COUNTIFS($H$7:$H$150,H94,$K$7:$K$150,K94,$N$7:$N$150,N94)</x:f>
        <x:v>1</x:v>
      </x:c>
      <x:c r="W94" s="47" t="n">
        <x:f>IF(M94=L94,1,0)</x:f>
        <x:v>0</x:v>
      </x:c>
    </x:row>
    <x:row r="95">
      <x:c r="A95" s="47" t="str">
        <x:v>AR-LF-B-A-TECH-3-B1-RCN-G0</x:v>
      </x:c>
      <x:c r="B95" s="47" t="str">
        <x:v>LF-B-A-TECH-3</x:v>
      </x:c>
      <x:c r="C95" s="47" t="str">
        <x:v>LF-B-A</x:v>
      </x:c>
      <x:c r="D95" s="47" t="str">
        <x:v>B1-RCN</x:v>
      </x:c>
      <x:c r="E95" s="47" t="str">
        <x:v>B1</x:v>
      </x:c>
      <x:c r="F95" s="47" t="str">
        <x:v>RCN</x:v>
      </x:c>
      <x:c r="G95" s="47" t="n">
        <x:v>1</x:v>
      </x:c>
      <x:c r="H95" s="47" t="n">
        <x:v>4</x:v>
      </x:c>
      <x:c r="I95" s="47" t="n">
        <x:v>15</x:v>
      </x:c>
      <x:c r="J95" s="47" t="str">
        <x:v>FX-LF-B-A-TECH-3-F1</x:v>
      </x:c>
      <x:c r="K95" s="47" t="str">
        <x:v>LF-B-A-N3</x:v>
      </x:c>
      <x:c r="L95" s="47" t="str">
        <x:v>LF-B-A-N1</x:v>
      </x:c>
      <x:c r="M95" s="47" t="str">
        <x:v>LF-B-A-N2</x:v>
      </x:c>
      <x:c r="N95" s="47" t="n">
        <x:v>3</x:v>
      </x:c>
      <x:c r="O95" s="47" t="n">
        <x:v>212</x:v>
      </x:c>
      <x:c r="P95" s="47" t="n">
        <x:v>218</x:v>
      </x:c>
      <x:c r="Q95" s="47" t="str">
        <x:v>SEALED TO CAMPAIGN CLOSE</x:v>
      </x:c>
      <x:c r="R95" s="47" t="str">
        <x:v>UNVESTED</x:v>
      </x:c>
      <x:c r="S95" s="47" t="str">
        <x:v>PROGRAMMED / UNBUILT</x:v>
      </x:c>
      <x:c r="T95" s="47" t="str">
        <x:v>LF-B-A-TECH-3-E4</x:v>
      </x:c>
      <x:c r="U95" s="47" t="n">
        <x:f>COUNTIFS($T$7:$T$150,T95)</x:f>
        <x:v>1</x:v>
      </x:c>
      <x:c r="V95" s="47" t="n">
        <x:f>COUNTIFS($H$7:$H$150,H95,$K$7:$K$150,K95,$N$7:$N$150,N95)</x:f>
        <x:v>1</x:v>
      </x:c>
      <x:c r="W95" s="47" t="n">
        <x:f>IF(M95=L95,1,0)</x:f>
        <x:v>0</x:v>
      </x:c>
    </x:row>
    <x:row r="96">
      <x:c r="A96" s="47" t="str">
        <x:v>AR-RT-B-C-TECH-4-B2-INT-G0</x:v>
      </x:c>
      <x:c r="B96" s="47" t="str">
        <x:v>RT-B-C-TECH-4</x:v>
      </x:c>
      <x:c r="C96" s="47" t="str">
        <x:v>RT-B-C</x:v>
      </x:c>
      <x:c r="D96" s="47" t="str">
        <x:v>B2-INT</x:v>
      </x:c>
      <x:c r="E96" s="47" t="str">
        <x:v>B2</x:v>
      </x:c>
      <x:c r="F96" s="47" t="str">
        <x:v>INT</x:v>
      </x:c>
      <x:c r="G96" s="47" t="n">
        <x:v>0</x:v>
      </x:c>
      <x:c r="H96" s="47" t="n">
        <x:v>4</x:v>
      </x:c>
      <x:c r="I96" s="47" t="n">
        <x:v>15</x:v>
      </x:c>
      <x:c r="J96" s="47" t="str">
        <x:v>FX-RT-B-C-TECH-4-F1</x:v>
      </x:c>
      <x:c r="K96" s="47" t="str">
        <x:v>RT-B-C-N1</x:v>
      </x:c>
      <x:c r="L96" s="47" t="str">
        <x:v>RT-B-C-N2</x:v>
      </x:c>
      <x:c r="M96" s="47" t="str">
        <x:v>RT-B-C-N3</x:v>
      </x:c>
      <x:c r="N96" s="47" t="n">
        <x:v>3</x:v>
      </x:c>
      <x:c r="O96" s="47" t="n">
        <x:v>212</x:v>
      </x:c>
      <x:c r="P96" s="47" t="n">
        <x:v>218</x:v>
      </x:c>
      <x:c r="Q96" s="47" t="str">
        <x:v>SEALED TO CAMPAIGN CLOSE</x:v>
      </x:c>
      <x:c r="R96" s="47" t="str">
        <x:v>UNVESTED</x:v>
      </x:c>
      <x:c r="S96" s="47" t="str">
        <x:v>PROGRAMMED / UNBUILT</x:v>
      </x:c>
      <x:c r="T96" s="47" t="str">
        <x:v>RT-B-C-TECH-4-E4</x:v>
      </x:c>
      <x:c r="U96" s="47" t="n">
        <x:f>COUNTIFS($T$7:$T$150,T96)</x:f>
        <x:v>1</x:v>
      </x:c>
      <x:c r="V96" s="47" t="n">
        <x:f>COUNTIFS($H$7:$H$150,H96,$K$7:$K$150,K96,$N$7:$N$150,N96)</x:f>
        <x:v>1</x:v>
      </x:c>
      <x:c r="W96" s="47" t="n">
        <x:f>IF(M96=L96,1,0)</x:f>
        <x:v>0</x:v>
      </x:c>
    </x:row>
    <x:row r="97">
      <x:c r="A97" s="47" t="str">
        <x:v>AR-CT-C-B-TECH-4-B2-RCN-G0</x:v>
      </x:c>
      <x:c r="B97" s="47" t="str">
        <x:v>CT-C-B-TECH-4</x:v>
      </x:c>
      <x:c r="C97" s="47" t="str">
        <x:v>CT-C-B</x:v>
      </x:c>
      <x:c r="D97" s="47" t="str">
        <x:v>B2-RCN</x:v>
      </x:c>
      <x:c r="E97" s="47" t="str">
        <x:v>B2</x:v>
      </x:c>
      <x:c r="F97" s="47" t="str">
        <x:v>RCN</x:v>
      </x:c>
      <x:c r="G97" s="47" t="n">
        <x:v>1</x:v>
      </x:c>
      <x:c r="H97" s="47" t="n">
        <x:v>4</x:v>
      </x:c>
      <x:c r="I97" s="47" t="n">
        <x:v>15</x:v>
      </x:c>
      <x:c r="J97" s="47" t="str">
        <x:v>FX-CT-C-B-TECH-4-F1</x:v>
      </x:c>
      <x:c r="K97" s="47" t="str">
        <x:v>CT-C-B-N1</x:v>
      </x:c>
      <x:c r="L97" s="47" t="str">
        <x:v>CT-C-B-N2</x:v>
      </x:c>
      <x:c r="M97" s="47" t="str">
        <x:v>CT-C-B-N3</x:v>
      </x:c>
      <x:c r="N97" s="47" t="n">
        <x:v>4</x:v>
      </x:c>
      <x:c r="O97" s="47" t="n">
        <x:v>218</x:v>
      </x:c>
      <x:c r="P97" s="47" t="n">
        <x:v>224</x:v>
      </x:c>
      <x:c r="Q97" s="47" t="str">
        <x:v>SEALED TO CAMPAIGN CLOSE</x:v>
      </x:c>
      <x:c r="R97" s="47" t="str">
        <x:v>UNVESTED</x:v>
      </x:c>
      <x:c r="S97" s="47" t="str">
        <x:v>PROGRAMMED / UNBUILT</x:v>
      </x:c>
      <x:c r="T97" s="47" t="str">
        <x:v>CT-C-B-TECH-4-E4</x:v>
      </x:c>
      <x:c r="U97" s="47" t="n">
        <x:f>COUNTIFS($T$7:$T$150,T97)</x:f>
        <x:v>1</x:v>
      </x:c>
      <x:c r="V97" s="47" t="n">
        <x:f>COUNTIFS($H$7:$H$150,H97,$K$7:$K$150,K97,$N$7:$N$150,N97)</x:f>
        <x:v>1</x:v>
      </x:c>
      <x:c r="W97" s="47" t="n">
        <x:f>IF(M97=L97,1,0)</x:f>
        <x:v>0</x:v>
      </x:c>
    </x:row>
    <x:row r="98">
      <x:c r="A98" s="47" t="str">
        <x:v>AR-CT-C-B-TECH-1-B1-BRK-G0</x:v>
      </x:c>
      <x:c r="B98" s="47" t="str">
        <x:v>CT-C-B-TECH-1</x:v>
      </x:c>
      <x:c r="C98" s="47" t="str">
        <x:v>CT-C-B</x:v>
      </x:c>
      <x:c r="D98" s="47" t="str">
        <x:v>B1-BRK</x:v>
      </x:c>
      <x:c r="E98" s="47" t="str">
        <x:v>B1</x:v>
      </x:c>
      <x:c r="F98" s="47" t="str">
        <x:v>BRK</x:v>
      </x:c>
      <x:c r="G98" s="47" t="n">
        <x:v>1</x:v>
      </x:c>
      <x:c r="H98" s="47" t="n">
        <x:v>4</x:v>
      </x:c>
      <x:c r="I98" s="47" t="n">
        <x:v>15</x:v>
      </x:c>
      <x:c r="J98" s="47" t="str">
        <x:v>FX-CT-C-B-TECH-1-F2</x:v>
      </x:c>
      <x:c r="K98" s="47" t="str">
        <x:v>CT-C-B-N2</x:v>
      </x:c>
      <x:c r="L98" s="47" t="str">
        <x:v>CT-C-B-N1</x:v>
      </x:c>
      <x:c r="M98" s="47" t="str">
        <x:v>CT-C-B-N3</x:v>
      </x:c>
      <x:c r="N98" s="47" t="n">
        <x:v>4</x:v>
      </x:c>
      <x:c r="O98" s="47" t="n">
        <x:v>218</x:v>
      </x:c>
      <x:c r="P98" s="47" t="n">
        <x:v>224</x:v>
      </x:c>
      <x:c r="Q98" s="47" t="str">
        <x:v>SEALED TO CAMPAIGN CLOSE</x:v>
      </x:c>
      <x:c r="R98" s="47" t="str">
        <x:v>UNVESTED</x:v>
      </x:c>
      <x:c r="S98" s="47" t="str">
        <x:v>PROGRAMMED / UNBUILT</x:v>
      </x:c>
      <x:c r="T98" s="47" t="str">
        <x:v>CT-C-B-TECH-1-E4</x:v>
      </x:c>
      <x:c r="U98" s="47" t="n">
        <x:f>COUNTIFS($T$7:$T$150,T98)</x:f>
        <x:v>1</x:v>
      </x:c>
      <x:c r="V98" s="47" t="n">
        <x:f>COUNTIFS($H$7:$H$150,H98,$K$7:$K$150,K98,$N$7:$N$150,N98)</x:f>
        <x:v>1</x:v>
      </x:c>
      <x:c r="W98" s="47" t="n">
        <x:f>IF(M98=L98,1,0)</x:f>
        <x:v>0</x:v>
      </x:c>
    </x:row>
    <x:row r="99">
      <x:c r="A99" s="47" t="str">
        <x:v>AR-ET-A-A-TECH-2-B1-BRK-G0</x:v>
      </x:c>
      <x:c r="B99" s="47" t="str">
        <x:v>ET-A-A-TECH-2</x:v>
      </x:c>
      <x:c r="C99" s="47" t="str">
        <x:v>ET-A-A</x:v>
      </x:c>
      <x:c r="D99" s="47" t="str">
        <x:v>B1-BRK</x:v>
      </x:c>
      <x:c r="E99" s="47" t="str">
        <x:v>B1</x:v>
      </x:c>
      <x:c r="F99" s="47" t="str">
        <x:v>BRK</x:v>
      </x:c>
      <x:c r="G99" s="47" t="n">
        <x:v>1</x:v>
      </x:c>
      <x:c r="H99" s="47" t="n">
        <x:v>4</x:v>
      </x:c>
      <x:c r="I99" s="47" t="n">
        <x:v>15</x:v>
      </x:c>
      <x:c r="J99" s="47" t="str">
        <x:v>FX-ET-A-A-TECH-2-F1</x:v>
      </x:c>
      <x:c r="K99" s="47" t="str">
        <x:v>ET-A-A-N2</x:v>
      </x:c>
      <x:c r="L99" s="47" t="str">
        <x:v>ET-A-A-N3</x:v>
      </x:c>
      <x:c r="M99" s="47" t="str">
        <x:v>ET-A-A-N1</x:v>
      </x:c>
      <x:c r="N99" s="47" t="n">
        <x:v>4</x:v>
      </x:c>
      <x:c r="O99" s="47" t="n">
        <x:v>218</x:v>
      </x:c>
      <x:c r="P99" s="47" t="n">
        <x:v>224</x:v>
      </x:c>
      <x:c r="Q99" s="47" t="str">
        <x:v>SEALED TO CAMPAIGN CLOSE</x:v>
      </x:c>
      <x:c r="R99" s="47" t="str">
        <x:v>UNVESTED</x:v>
      </x:c>
      <x:c r="S99" s="47" t="str">
        <x:v>PROGRAMMED / UNBUILT</x:v>
      </x:c>
      <x:c r="T99" s="47" t="str">
        <x:v>ET-A-A-TECH-2-E4</x:v>
      </x:c>
      <x:c r="U99" s="47" t="n">
        <x:f>COUNTIFS($T$7:$T$150,T99)</x:f>
        <x:v>1</x:v>
      </x:c>
      <x:c r="V99" s="47" t="n">
        <x:f>COUNTIFS($H$7:$H$150,H99,$K$7:$K$150,K99,$N$7:$N$150,N99)</x:f>
        <x:v>1</x:v>
      </x:c>
      <x:c r="W99" s="47" t="n">
        <x:f>IF(M99=L99,1,0)</x:f>
        <x:v>0</x:v>
      </x:c>
    </x:row>
    <x:row r="100">
      <x:c r="A100" s="47" t="str">
        <x:v>AR-HU-A-B-TECH-4-B1-BRK-G0</x:v>
      </x:c>
      <x:c r="B100" s="47" t="str">
        <x:v>HU-A-B-TECH-4</x:v>
      </x:c>
      <x:c r="C100" s="47" t="str">
        <x:v>HU-A-B</x:v>
      </x:c>
      <x:c r="D100" s="47" t="str">
        <x:v>B1-BRK</x:v>
      </x:c>
      <x:c r="E100" s="47" t="str">
        <x:v>B1</x:v>
      </x:c>
      <x:c r="F100" s="47" t="str">
        <x:v>BRK</x:v>
      </x:c>
      <x:c r="G100" s="47" t="n">
        <x:v>1</x:v>
      </x:c>
      <x:c r="H100" s="47" t="n">
        <x:v>4</x:v>
      </x:c>
      <x:c r="I100" s="47" t="n">
        <x:v>15</x:v>
      </x:c>
      <x:c r="J100" s="47" t="str">
        <x:v>FX-HU-A-B-TECH-4-F1</x:v>
      </x:c>
      <x:c r="K100" s="47" t="str">
        <x:v>HU-A-B-N1</x:v>
      </x:c>
      <x:c r="L100" s="47" t="str">
        <x:v>HU-A-B-N2</x:v>
      </x:c>
      <x:c r="M100" s="47" t="str">
        <x:v>HU-A-B-N3</x:v>
      </x:c>
      <x:c r="N100" s="47" t="n">
        <x:v>4</x:v>
      </x:c>
      <x:c r="O100" s="47" t="n">
        <x:v>218</x:v>
      </x:c>
      <x:c r="P100" s="47" t="n">
        <x:v>224</x:v>
      </x:c>
      <x:c r="Q100" s="47" t="str">
        <x:v>SEALED TO CAMPAIGN CLOSE</x:v>
      </x:c>
      <x:c r="R100" s="47" t="str">
        <x:v>UNVESTED</x:v>
      </x:c>
      <x:c r="S100" s="47" t="str">
        <x:v>PROGRAMMED / UNBUILT</x:v>
      </x:c>
      <x:c r="T100" s="47" t="str">
        <x:v>HU-A-B-TECH-4-E4</x:v>
      </x:c>
      <x:c r="U100" s="47" t="n">
        <x:f>COUNTIFS($T$7:$T$150,T100)</x:f>
        <x:v>1</x:v>
      </x:c>
      <x:c r="V100" s="47" t="n">
        <x:f>COUNTIFS($H$7:$H$150,H100,$K$7:$K$150,K100,$N$7:$N$150,N100)</x:f>
        <x:v>1</x:v>
      </x:c>
      <x:c r="W100" s="47" t="n">
        <x:f>IF(M100=L100,1,0)</x:f>
        <x:v>0</x:v>
      </x:c>
    </x:row>
    <x:row r="101">
      <x:c r="A101" s="47" t="str">
        <x:v>AR-HU-A-B-TECH-2-B1-RCN-G0</x:v>
      </x:c>
      <x:c r="B101" s="47" t="str">
        <x:v>HU-A-B-TECH-2</x:v>
      </x:c>
      <x:c r="C101" s="47" t="str">
        <x:v>HU-A-B</x:v>
      </x:c>
      <x:c r="D101" s="47" t="str">
        <x:v>B1-RCN</x:v>
      </x:c>
      <x:c r="E101" s="47" t="str">
        <x:v>B1</x:v>
      </x:c>
      <x:c r="F101" s="47" t="str">
        <x:v>RCN</x:v>
      </x:c>
      <x:c r="G101" s="47" t="n">
        <x:v>1</x:v>
      </x:c>
      <x:c r="H101" s="47" t="n">
        <x:v>4</x:v>
      </x:c>
      <x:c r="I101" s="47" t="n">
        <x:v>15</x:v>
      </x:c>
      <x:c r="J101" s="47" t="str">
        <x:v>FX-HU-A-B-TECH-2-F2</x:v>
      </x:c>
      <x:c r="K101" s="47" t="str">
        <x:v>HU-A-B-N3</x:v>
      </x:c>
      <x:c r="L101" s="47" t="str">
        <x:v>HU-A-B-N2</x:v>
      </x:c>
      <x:c r="M101" s="47" t="str">
        <x:v>HU-A-B-N1</x:v>
      </x:c>
      <x:c r="N101" s="47" t="n">
        <x:v>4</x:v>
      </x:c>
      <x:c r="O101" s="47" t="n">
        <x:v>218</x:v>
      </x:c>
      <x:c r="P101" s="47" t="n">
        <x:v>224</x:v>
      </x:c>
      <x:c r="Q101" s="47" t="str">
        <x:v>SEALED TO CAMPAIGN CLOSE</x:v>
      </x:c>
      <x:c r="R101" s="47" t="str">
        <x:v>UNVESTED</x:v>
      </x:c>
      <x:c r="S101" s="47" t="str">
        <x:v>PROGRAMMED / UNBUILT</x:v>
      </x:c>
      <x:c r="T101" s="47" t="str">
        <x:v>HU-A-B-TECH-2-E4</x:v>
      </x:c>
      <x:c r="U101" s="47" t="n">
        <x:f>COUNTIFS($T$7:$T$150,T101)</x:f>
        <x:v>1</x:v>
      </x:c>
      <x:c r="V101" s="47" t="n">
        <x:f>COUNTIFS($H$7:$H$150,H101,$K$7:$K$150,K101,$N$7:$N$150,N101)</x:f>
        <x:v>1</x:v>
      </x:c>
      <x:c r="W101" s="47" t="n">
        <x:f>IF(M101=L101,1,0)</x:f>
        <x:v>0</x:v>
      </x:c>
    </x:row>
    <x:row r="102">
      <x:c r="A102" s="47" t="str">
        <x:v>AR-RT-B-C-TECH-2-B2-BRK-G0</x:v>
      </x:c>
      <x:c r="B102" s="47" t="str">
        <x:v>RT-B-C-TECH-2</x:v>
      </x:c>
      <x:c r="C102" s="47" t="str">
        <x:v>RT-B-C</x:v>
      </x:c>
      <x:c r="D102" s="47" t="str">
        <x:v>B2-BRK</x:v>
      </x:c>
      <x:c r="E102" s="47" t="str">
        <x:v>B2</x:v>
      </x:c>
      <x:c r="F102" s="47" t="str">
        <x:v>BRK</x:v>
      </x:c>
      <x:c r="G102" s="47" t="n">
        <x:v>1</x:v>
      </x:c>
      <x:c r="H102" s="47" t="n">
        <x:v>4</x:v>
      </x:c>
      <x:c r="I102" s="47" t="n">
        <x:v>15</x:v>
      </x:c>
      <x:c r="J102" s="47" t="str">
        <x:v>FX-RT-B-C-TECH-2-F2</x:v>
      </x:c>
      <x:c r="K102" s="47" t="str">
        <x:v>RT-B-C-N3</x:v>
      </x:c>
      <x:c r="L102" s="47" t="str">
        <x:v>RT-B-C-N2</x:v>
      </x:c>
      <x:c r="M102" s="47" t="str">
        <x:v>RT-B-C-N1</x:v>
      </x:c>
      <x:c r="N102" s="47" t="n">
        <x:v>4</x:v>
      </x:c>
      <x:c r="O102" s="47" t="n">
        <x:v>218</x:v>
      </x:c>
      <x:c r="P102" s="47" t="n">
        <x:v>224</x:v>
      </x:c>
      <x:c r="Q102" s="47" t="str">
        <x:v>SEALED TO CAMPAIGN CLOSE</x:v>
      </x:c>
      <x:c r="R102" s="47" t="str">
        <x:v>UNVESTED</x:v>
      </x:c>
      <x:c r="S102" s="47" t="str">
        <x:v>PROGRAMMED / UNBUILT</x:v>
      </x:c>
      <x:c r="T102" s="47" t="str">
        <x:v>RT-B-C-TECH-2-E4</x:v>
      </x:c>
      <x:c r="U102" s="47" t="n">
        <x:f>COUNTIFS($T$7:$T$150,T102)</x:f>
        <x:v>1</x:v>
      </x:c>
      <x:c r="V102" s="47" t="n">
        <x:f>COUNTIFS($H$7:$H$150,H102,$K$7:$K$150,K102,$N$7:$N$150,N102)</x:f>
        <x:v>1</x:v>
      </x:c>
      <x:c r="W102" s="47" t="n">
        <x:f>IF(M102=L102,1,0)</x:f>
        <x:v>0</x:v>
      </x:c>
    </x:row>
    <x:row r="103">
      <x:c r="A103" s="47" t="str">
        <x:v>AR-CT-C-B-TECH-3-B2-INT-G0</x:v>
      </x:c>
      <x:c r="B103" s="47" t="str">
        <x:v>CT-C-B-TECH-3</x:v>
      </x:c>
      <x:c r="C103" s="47" t="str">
        <x:v>CT-C-B</x:v>
      </x:c>
      <x:c r="D103" s="47" t="str">
        <x:v>B2-INT</x:v>
      </x:c>
      <x:c r="E103" s="47" t="str">
        <x:v>B2</x:v>
      </x:c>
      <x:c r="F103" s="47" t="str">
        <x:v>INT</x:v>
      </x:c>
      <x:c r="G103" s="47" t="n">
        <x:v>0</x:v>
      </x:c>
      <x:c r="H103" s="47" t="n">
        <x:v>5</x:v>
      </x:c>
      <x:c r="I103" s="47" t="n">
        <x:v>20</x:v>
      </x:c>
      <x:c r="J103" s="47" t="str">
        <x:v>FX-CT-C-B-TECH-3-F2</x:v>
      </x:c>
      <x:c r="K103" s="47" t="str">
        <x:v>CT-C-B-N1</x:v>
      </x:c>
      <x:c r="L103" s="47" t="str">
        <x:v>CT-C-B-N3</x:v>
      </x:c>
      <x:c r="M103" s="47" t="str">
        <x:v>CT-C-B-N2</x:v>
      </x:c>
      <x:c r="N103" s="47" t="n">
        <x:v>1</x:v>
      </x:c>
      <x:c r="O103" s="47" t="n">
        <x:v>232</x:v>
      </x:c>
      <x:c r="P103" s="47" t="n">
        <x:v>238</x:v>
      </x:c>
      <x:c r="Q103" s="47" t="str">
        <x:v>SEALED TO CAMPAIGN CLOSE</x:v>
      </x:c>
      <x:c r="R103" s="47" t="str">
        <x:v>UNVESTED</x:v>
      </x:c>
      <x:c r="S103" s="47" t="str">
        <x:v>PROGRAMMED / UNBUILT</x:v>
      </x:c>
      <x:c r="T103" s="47" t="str">
        <x:v>CT-C-B-TECH-3-E5</x:v>
      </x:c>
      <x:c r="U103" s="47" t="n">
        <x:f>COUNTIFS($T$7:$T$150,T103)</x:f>
        <x:v>1</x:v>
      </x:c>
      <x:c r="V103" s="47" t="n">
        <x:f>COUNTIFS($H$7:$H$150,H103,$K$7:$K$150,K103,$N$7:$N$150,N103)</x:f>
        <x:v>1</x:v>
      </x:c>
      <x:c r="W103" s="47" t="n">
        <x:f>IF(M103=L103,1,0)</x:f>
        <x:v>0</x:v>
      </x:c>
    </x:row>
    <x:row r="104">
      <x:c r="A104" s="47" t="str">
        <x:v>AR-ET-A-A-TECH-1-B1-RCN-G0</x:v>
      </x:c>
      <x:c r="B104" s="47" t="str">
        <x:v>ET-A-A-TECH-1</x:v>
      </x:c>
      <x:c r="C104" s="47" t="str">
        <x:v>ET-A-A</x:v>
      </x:c>
      <x:c r="D104" s="47" t="str">
        <x:v>B1-RCN</x:v>
      </x:c>
      <x:c r="E104" s="47" t="str">
        <x:v>B1</x:v>
      </x:c>
      <x:c r="F104" s="47" t="str">
        <x:v>RCN</x:v>
      </x:c>
      <x:c r="G104" s="47" t="n">
        <x:v>1</x:v>
      </x:c>
      <x:c r="H104" s="47" t="n">
        <x:v>5</x:v>
      </x:c>
      <x:c r="I104" s="47" t="n">
        <x:v>20</x:v>
      </x:c>
      <x:c r="J104" s="47" t="str">
        <x:v>FX-ET-A-A-TECH-1-F1</x:v>
      </x:c>
      <x:c r="K104" s="47" t="str">
        <x:v>ET-A-A-N1</x:v>
      </x:c>
      <x:c r="L104" s="47" t="str">
        <x:v>ET-A-A-N2</x:v>
      </x:c>
      <x:c r="M104" s="47" t="str">
        <x:v>ET-A-A-N3</x:v>
      </x:c>
      <x:c r="N104" s="47" t="n">
        <x:v>1</x:v>
      </x:c>
      <x:c r="O104" s="47" t="n">
        <x:v>232</x:v>
      </x:c>
      <x:c r="P104" s="47" t="n">
        <x:v>238</x:v>
      </x:c>
      <x:c r="Q104" s="47" t="str">
        <x:v>SEALED TO CAMPAIGN CLOSE</x:v>
      </x:c>
      <x:c r="R104" s="47" t="str">
        <x:v>UNVESTED</x:v>
      </x:c>
      <x:c r="S104" s="47" t="str">
        <x:v>PROGRAMMED / UNBUILT</x:v>
      </x:c>
      <x:c r="T104" s="47" t="str">
        <x:v>ET-A-A-TECH-1-E5</x:v>
      </x:c>
      <x:c r="U104" s="47" t="n">
        <x:f>COUNTIFS($T$7:$T$150,T104)</x:f>
        <x:v>1</x:v>
      </x:c>
      <x:c r="V104" s="47" t="n">
        <x:f>COUNTIFS($H$7:$H$150,H104,$K$7:$K$150,K104,$N$7:$N$150,N104)</x:f>
        <x:v>1</x:v>
      </x:c>
      <x:c r="W104" s="47" t="n">
        <x:f>IF(M104=L104,1,0)</x:f>
        <x:v>0</x:v>
      </x:c>
    </x:row>
    <x:row r="105">
      <x:c r="A105" s="47" t="str">
        <x:v>AR-HC-A-C-TECH-4-B2-RCN-G0</x:v>
      </x:c>
      <x:c r="B105" s="47" t="str">
        <x:v>HC-A-C-TECH-4</x:v>
      </x:c>
      <x:c r="C105" s="47" t="str">
        <x:v>HC-A-C</x:v>
      </x:c>
      <x:c r="D105" s="47" t="str">
        <x:v>B2-RCN</x:v>
      </x:c>
      <x:c r="E105" s="47" t="str">
        <x:v>B2</x:v>
      </x:c>
      <x:c r="F105" s="47" t="str">
        <x:v>RCN</x:v>
      </x:c>
      <x:c r="G105" s="47" t="n">
        <x:v>1</x:v>
      </x:c>
      <x:c r="H105" s="47" t="n">
        <x:v>5</x:v>
      </x:c>
      <x:c r="I105" s="47" t="n">
        <x:v>20</x:v>
      </x:c>
      <x:c r="J105" s="47" t="str">
        <x:v>FX-HC-A-C-TECH-4-F1</x:v>
      </x:c>
      <x:c r="K105" s="47" t="str">
        <x:v>HC-A-C-N1</x:v>
      </x:c>
      <x:c r="L105" s="47" t="str">
        <x:v>HC-A-C-N2</x:v>
      </x:c>
      <x:c r="M105" s="47" t="str">
        <x:v>HC-A-C-N3</x:v>
      </x:c>
      <x:c r="N105" s="47" t="n">
        <x:v>1</x:v>
      </x:c>
      <x:c r="O105" s="47" t="n">
        <x:v>232</x:v>
      </x:c>
      <x:c r="P105" s="47" t="n">
        <x:v>238</x:v>
      </x:c>
      <x:c r="Q105" s="47" t="str">
        <x:v>SEALED TO CAMPAIGN CLOSE</x:v>
      </x:c>
      <x:c r="R105" s="47" t="str">
        <x:v>UNVESTED</x:v>
      </x:c>
      <x:c r="S105" s="47" t="str">
        <x:v>PROGRAMMED / UNBUILT</x:v>
      </x:c>
      <x:c r="T105" s="47" t="str">
        <x:v>HC-A-C-TECH-4-E5</x:v>
      </x:c>
      <x:c r="U105" s="47" t="n">
        <x:f>COUNTIFS($T$7:$T$150,T105)</x:f>
        <x:v>1</x:v>
      </x:c>
      <x:c r="V105" s="47" t="n">
        <x:f>COUNTIFS($H$7:$H$150,H105,$K$7:$K$150,K105,$N$7:$N$150,N105)</x:f>
        <x:v>1</x:v>
      </x:c>
      <x:c r="W105" s="47" t="n">
        <x:f>IF(M105=L105,1,0)</x:f>
        <x:v>0</x:v>
      </x:c>
    </x:row>
    <x:row r="106">
      <x:c r="A106" s="47" t="str">
        <x:v>AR-HC-A-C-TECH-2-B2-INT-G0</x:v>
      </x:c>
      <x:c r="B106" s="47" t="str">
        <x:v>HC-A-C-TECH-2</x:v>
      </x:c>
      <x:c r="C106" s="47" t="str">
        <x:v>HC-A-C</x:v>
      </x:c>
      <x:c r="D106" s="47" t="str">
        <x:v>B2-INT</x:v>
      </x:c>
      <x:c r="E106" s="47" t="str">
        <x:v>B2</x:v>
      </x:c>
      <x:c r="F106" s="47" t="str">
        <x:v>INT</x:v>
      </x:c>
      <x:c r="G106" s="47" t="n">
        <x:v>0</x:v>
      </x:c>
      <x:c r="H106" s="47" t="n">
        <x:v>5</x:v>
      </x:c>
      <x:c r="I106" s="47" t="n">
        <x:v>20</x:v>
      </x:c>
      <x:c r="J106" s="47" t="str">
        <x:v>FX-HC-A-C-TECH-2-F1</x:v>
      </x:c>
      <x:c r="K106" s="47" t="str">
        <x:v>HC-A-C-N2</x:v>
      </x:c>
      <x:c r="L106" s="47" t="str">
        <x:v>HC-A-C-N3</x:v>
      </x:c>
      <x:c r="M106" s="47" t="str">
        <x:v>HC-A-C-N1</x:v>
      </x:c>
      <x:c r="N106" s="47" t="n">
        <x:v>1</x:v>
      </x:c>
      <x:c r="O106" s="47" t="n">
        <x:v>232</x:v>
      </x:c>
      <x:c r="P106" s="47" t="n">
        <x:v>238</x:v>
      </x:c>
      <x:c r="Q106" s="47" t="str">
        <x:v>SEALED TO CAMPAIGN CLOSE</x:v>
      </x:c>
      <x:c r="R106" s="47" t="str">
        <x:v>UNVESTED</x:v>
      </x:c>
      <x:c r="S106" s="47" t="str">
        <x:v>PROGRAMMED / UNBUILT</x:v>
      </x:c>
      <x:c r="T106" s="47" t="str">
        <x:v>HC-A-C-TECH-2-E5</x:v>
      </x:c>
      <x:c r="U106" s="47" t="n">
        <x:f>COUNTIFS($T$7:$T$150,T106)</x:f>
        <x:v>1</x:v>
      </x:c>
      <x:c r="V106" s="47" t="n">
        <x:f>COUNTIFS($H$7:$H$150,H106,$K$7:$K$150,K106,$N$7:$N$150,N106)</x:f>
        <x:v>1</x:v>
      </x:c>
      <x:c r="W106" s="47" t="n">
        <x:f>IF(M106=L106,1,0)</x:f>
        <x:v>0</x:v>
      </x:c>
    </x:row>
    <x:row r="107">
      <x:c r="A107" s="47" t="str">
        <x:v>AR-LF-B-A-TECH-3-B2-RCN-G0</x:v>
      </x:c>
      <x:c r="B107" s="47" t="str">
        <x:v>LF-B-A-TECH-3</x:v>
      </x:c>
      <x:c r="C107" s="47" t="str">
        <x:v>LF-B-A</x:v>
      </x:c>
      <x:c r="D107" s="47" t="str">
        <x:v>B2-RCN</x:v>
      </x:c>
      <x:c r="E107" s="47" t="str">
        <x:v>B2</x:v>
      </x:c>
      <x:c r="F107" s="47" t="str">
        <x:v>RCN</x:v>
      </x:c>
      <x:c r="G107" s="47" t="n">
        <x:v>1</x:v>
      </x:c>
      <x:c r="H107" s="47" t="n">
        <x:v>5</x:v>
      </x:c>
      <x:c r="I107" s="47" t="n">
        <x:v>20</x:v>
      </x:c>
      <x:c r="J107" s="47" t="str">
        <x:v>FX-LF-B-A-TECH-3-F2</x:v>
      </x:c>
      <x:c r="K107" s="47" t="str">
        <x:v>LF-B-A-N1</x:v>
      </x:c>
      <x:c r="L107" s="47" t="str">
        <x:v>LF-B-A-N3</x:v>
      </x:c>
      <x:c r="M107" s="47" t="str">
        <x:v>LF-B-A-N2</x:v>
      </x:c>
      <x:c r="N107" s="47" t="n">
        <x:v>1</x:v>
      </x:c>
      <x:c r="O107" s="47" t="n">
        <x:v>232</x:v>
      </x:c>
      <x:c r="P107" s="47" t="n">
        <x:v>238</x:v>
      </x:c>
      <x:c r="Q107" s="47" t="str">
        <x:v>SEALED TO CAMPAIGN CLOSE</x:v>
      </x:c>
      <x:c r="R107" s="47" t="str">
        <x:v>UNVESTED</x:v>
      </x:c>
      <x:c r="S107" s="47" t="str">
        <x:v>PROGRAMMED / UNBUILT</x:v>
      </x:c>
      <x:c r="T107" s="47" t="str">
        <x:v>LF-B-A-TECH-3-E5</x:v>
      </x:c>
      <x:c r="U107" s="47" t="n">
        <x:f>COUNTIFS($T$7:$T$150,T107)</x:f>
        <x:v>1</x:v>
      </x:c>
      <x:c r="V107" s="47" t="n">
        <x:f>COUNTIFS($H$7:$H$150,H107,$K$7:$K$150,K107,$N$7:$N$150,N107)</x:f>
        <x:v>1</x:v>
      </x:c>
      <x:c r="W107" s="47" t="n">
        <x:f>IF(M107=L107,1,0)</x:f>
        <x:v>0</x:v>
      </x:c>
    </x:row>
    <x:row r="108">
      <x:c r="A108" s="47" t="str">
        <x:v>AR-LF-B-A-TECH-4-B1-RCN-G0</x:v>
      </x:c>
      <x:c r="B108" s="47" t="str">
        <x:v>LF-B-A-TECH-4</x:v>
      </x:c>
      <x:c r="C108" s="47" t="str">
        <x:v>LF-B-A</x:v>
      </x:c>
      <x:c r="D108" s="47" t="str">
        <x:v>B1-RCN</x:v>
      </x:c>
      <x:c r="E108" s="47" t="str">
        <x:v>B1</x:v>
      </x:c>
      <x:c r="F108" s="47" t="str">
        <x:v>RCN</x:v>
      </x:c>
      <x:c r="G108" s="47" t="n">
        <x:v>1</x:v>
      </x:c>
      <x:c r="H108" s="47" t="n">
        <x:v>5</x:v>
      </x:c>
      <x:c r="I108" s="47" t="n">
        <x:v>20</x:v>
      </x:c>
      <x:c r="J108" s="47" t="str">
        <x:v>FX-LF-B-A-TECH-4-F2</x:v>
      </x:c>
      <x:c r="K108" s="47" t="str">
        <x:v>LF-B-A-N2</x:v>
      </x:c>
      <x:c r="L108" s="47" t="str">
        <x:v>LF-B-A-N1</x:v>
      </x:c>
      <x:c r="M108" s="47" t="str">
        <x:v>LF-B-A-N3</x:v>
      </x:c>
      <x:c r="N108" s="47" t="n">
        <x:v>1</x:v>
      </x:c>
      <x:c r="O108" s="47" t="n">
        <x:v>232</x:v>
      </x:c>
      <x:c r="P108" s="47" t="n">
        <x:v>238</x:v>
      </x:c>
      <x:c r="Q108" s="47" t="str">
        <x:v>SEALED TO CAMPAIGN CLOSE</x:v>
      </x:c>
      <x:c r="R108" s="47" t="str">
        <x:v>UNVESTED</x:v>
      </x:c>
      <x:c r="S108" s="47" t="str">
        <x:v>PROGRAMMED / UNBUILT</x:v>
      </x:c>
      <x:c r="T108" s="47" t="str">
        <x:v>LF-B-A-TECH-4-E5</x:v>
      </x:c>
      <x:c r="U108" s="47" t="n">
        <x:f>COUNTIFS($T$7:$T$150,T108)</x:f>
        <x:v>1</x:v>
      </x:c>
      <x:c r="V108" s="47" t="n">
        <x:f>COUNTIFS($H$7:$H$150,H108,$K$7:$K$150,K108,$N$7:$N$150,N108)</x:f>
        <x:v>1</x:v>
      </x:c>
      <x:c r="W108" s="47" t="n">
        <x:f>IF(M108=L108,1,0)</x:f>
        <x:v>0</x:v>
      </x:c>
    </x:row>
    <x:row r="109">
      <x:c r="A109" s="47" t="str">
        <x:v>AR-CT-C-B-TECH-2-B1-BRK-G0</x:v>
      </x:c>
      <x:c r="B109" s="47" t="str">
        <x:v>CT-C-B-TECH-2</x:v>
      </x:c>
      <x:c r="C109" s="47" t="str">
        <x:v>CT-C-B</x:v>
      </x:c>
      <x:c r="D109" s="47" t="str">
        <x:v>B1-BRK</x:v>
      </x:c>
      <x:c r="E109" s="47" t="str">
        <x:v>B1</x:v>
      </x:c>
      <x:c r="F109" s="47" t="str">
        <x:v>BRK</x:v>
      </x:c>
      <x:c r="G109" s="47" t="n">
        <x:v>1</x:v>
      </x:c>
      <x:c r="H109" s="47" t="n">
        <x:v>5</x:v>
      </x:c>
      <x:c r="I109" s="47" t="n">
        <x:v>20</x:v>
      </x:c>
      <x:c r="J109" s="47" t="str">
        <x:v>FX-CT-C-B-TECH-2-F1</x:v>
      </x:c>
      <x:c r="K109" s="47" t="str">
        <x:v>CT-C-B-N2</x:v>
      </x:c>
      <x:c r="L109" s="47" t="str">
        <x:v>CT-C-B-N3</x:v>
      </x:c>
      <x:c r="M109" s="47" t="str">
        <x:v>CT-C-B-N1</x:v>
      </x:c>
      <x:c r="N109" s="47" t="n">
        <x:v>2</x:v>
      </x:c>
      <x:c r="O109" s="47" t="n">
        <x:v>238</x:v>
      </x:c>
      <x:c r="P109" s="47" t="n">
        <x:v>244</x:v>
      </x:c>
      <x:c r="Q109" s="47" t="str">
        <x:v>SEALED TO CAMPAIGN CLOSE</x:v>
      </x:c>
      <x:c r="R109" s="47" t="str">
        <x:v>UNVESTED</x:v>
      </x:c>
      <x:c r="S109" s="47" t="str">
        <x:v>PROGRAMMED / UNBUILT</x:v>
      </x:c>
      <x:c r="T109" s="47" t="str">
        <x:v>CT-C-B-TECH-2-E5</x:v>
      </x:c>
      <x:c r="U109" s="47" t="n">
        <x:f>COUNTIFS($T$7:$T$150,T109)</x:f>
        <x:v>1</x:v>
      </x:c>
      <x:c r="V109" s="47" t="n">
        <x:f>COUNTIFS($H$7:$H$150,H109,$K$7:$K$150,K109,$N$7:$N$150,N109)</x:f>
        <x:v>1</x:v>
      </x:c>
      <x:c r="W109" s="47" t="n">
        <x:f>IF(M109=L109,1,0)</x:f>
        <x:v>0</x:v>
      </x:c>
    </x:row>
    <x:row r="110">
      <x:c r="A110" s="47" t="str">
        <x:v>AR-ET-A-A-TECH-3-B1-BRK-G0</x:v>
      </x:c>
      <x:c r="B110" s="47" t="str">
        <x:v>ET-A-A-TECH-3</x:v>
      </x:c>
      <x:c r="C110" s="47" t="str">
        <x:v>ET-A-A</x:v>
      </x:c>
      <x:c r="D110" s="47" t="str">
        <x:v>B1-BRK</x:v>
      </x:c>
      <x:c r="E110" s="47" t="str">
        <x:v>B1</x:v>
      </x:c>
      <x:c r="F110" s="47" t="str">
        <x:v>BRK</x:v>
      </x:c>
      <x:c r="G110" s="47" t="n">
        <x:v>1</x:v>
      </x:c>
      <x:c r="H110" s="47" t="n">
        <x:v>5</x:v>
      </x:c>
      <x:c r="I110" s="47" t="n">
        <x:v>20</x:v>
      </x:c>
      <x:c r="J110" s="47" t="str">
        <x:v>FX-ET-A-A-TECH-3-F2</x:v>
      </x:c>
      <x:c r="K110" s="47" t="str">
        <x:v>ET-A-A-N1</x:v>
      </x:c>
      <x:c r="L110" s="47" t="str">
        <x:v>ET-A-A-N3</x:v>
      </x:c>
      <x:c r="M110" s="47" t="str">
        <x:v>ET-A-A-N2</x:v>
      </x:c>
      <x:c r="N110" s="47" t="n">
        <x:v>2</x:v>
      </x:c>
      <x:c r="O110" s="47" t="n">
        <x:v>238</x:v>
      </x:c>
      <x:c r="P110" s="47" t="n">
        <x:v>244</x:v>
      </x:c>
      <x:c r="Q110" s="47" t="str">
        <x:v>SEALED TO CAMPAIGN CLOSE</x:v>
      </x:c>
      <x:c r="R110" s="47" t="str">
        <x:v>UNVESTED</x:v>
      </x:c>
      <x:c r="S110" s="47" t="str">
        <x:v>PROGRAMMED / UNBUILT</x:v>
      </x:c>
      <x:c r="T110" s="47" t="str">
        <x:v>ET-A-A-TECH-3-E5</x:v>
      </x:c>
      <x:c r="U110" s="47" t="n">
        <x:f>COUNTIFS($T$7:$T$150,T110)</x:f>
        <x:v>1</x:v>
      </x:c>
      <x:c r="V110" s="47" t="n">
        <x:f>COUNTIFS($H$7:$H$150,H110,$K$7:$K$150,K110,$N$7:$N$150,N110)</x:f>
        <x:v>1</x:v>
      </x:c>
      <x:c r="W110" s="47" t="n">
        <x:f>IF(M110=L110,1,0)</x:f>
        <x:v>0</x:v>
      </x:c>
    </x:row>
    <x:row r="111">
      <x:c r="A111" s="47" t="str">
        <x:v>AR-HC-A-C-TECH-3-B1-INT-G0</x:v>
      </x:c>
      <x:c r="B111" s="47" t="str">
        <x:v>HC-A-C-TECH-3</x:v>
      </x:c>
      <x:c r="C111" s="47" t="str">
        <x:v>HC-A-C</x:v>
      </x:c>
      <x:c r="D111" s="47" t="str">
        <x:v>B1-INT</x:v>
      </x:c>
      <x:c r="E111" s="47" t="str">
        <x:v>B1</x:v>
      </x:c>
      <x:c r="F111" s="47" t="str">
        <x:v>INT</x:v>
      </x:c>
      <x:c r="G111" s="47" t="n">
        <x:v>0</x:v>
      </x:c>
      <x:c r="H111" s="47" t="n">
        <x:v>5</x:v>
      </x:c>
      <x:c r="I111" s="47" t="n">
        <x:v>20</x:v>
      </x:c>
      <x:c r="J111" s="47" t="str">
        <x:v>FX-HC-A-C-TECH-3-F1</x:v>
      </x:c>
      <x:c r="K111" s="47" t="str">
        <x:v>HC-A-C-N3</x:v>
      </x:c>
      <x:c r="L111" s="47" t="str">
        <x:v>HC-A-C-N1</x:v>
      </x:c>
      <x:c r="M111" s="47" t="str">
        <x:v>HC-A-C-N2</x:v>
      </x:c>
      <x:c r="N111" s="47" t="n">
        <x:v>2</x:v>
      </x:c>
      <x:c r="O111" s="47" t="n">
        <x:v>238</x:v>
      </x:c>
      <x:c r="P111" s="47" t="n">
        <x:v>244</x:v>
      </x:c>
      <x:c r="Q111" s="47" t="str">
        <x:v>SEALED TO CAMPAIGN CLOSE</x:v>
      </x:c>
      <x:c r="R111" s="47" t="str">
        <x:v>UNVESTED</x:v>
      </x:c>
      <x:c r="S111" s="47" t="str">
        <x:v>PROGRAMMED / UNBUILT</x:v>
      </x:c>
      <x:c r="T111" s="47" t="str">
        <x:v>HC-A-C-TECH-3-E5</x:v>
      </x:c>
      <x:c r="U111" s="47" t="n">
        <x:f>COUNTIFS($T$7:$T$150,T111)</x:f>
        <x:v>1</x:v>
      </x:c>
      <x:c r="V111" s="47" t="n">
        <x:f>COUNTIFS($H$7:$H$150,H111,$K$7:$K$150,K111,$N$7:$N$150,N111)</x:f>
        <x:v>1</x:v>
      </x:c>
      <x:c r="W111" s="47" t="n">
        <x:f>IF(M111=L111,1,0)</x:f>
        <x:v>0</x:v>
      </x:c>
    </x:row>
    <x:row r="112">
      <x:c r="A112" s="47" t="str">
        <x:v>AR-HU-A-B-TECH-2-B2-RCN-G0</x:v>
      </x:c>
      <x:c r="B112" s="47" t="str">
        <x:v>HU-A-B-TECH-2</x:v>
      </x:c>
      <x:c r="C112" s="47" t="str">
        <x:v>HU-A-B</x:v>
      </x:c>
      <x:c r="D112" s="47" t="str">
        <x:v>B2-RCN</x:v>
      </x:c>
      <x:c r="E112" s="47" t="str">
        <x:v>B2</x:v>
      </x:c>
      <x:c r="F112" s="47" t="str">
        <x:v>RCN</x:v>
      </x:c>
      <x:c r="G112" s="47" t="n">
        <x:v>1</x:v>
      </x:c>
      <x:c r="H112" s="47" t="n">
        <x:v>5</x:v>
      </x:c>
      <x:c r="I112" s="47" t="n">
        <x:v>20</x:v>
      </x:c>
      <x:c r="J112" s="47" t="str">
        <x:v>FX-HU-A-B-TECH-2-F1</x:v>
      </x:c>
      <x:c r="K112" s="47" t="str">
        <x:v>HU-A-B-N2</x:v>
      </x:c>
      <x:c r="L112" s="47" t="str">
        <x:v>HU-A-B-N3</x:v>
      </x:c>
      <x:c r="M112" s="47" t="str">
        <x:v>HU-A-B-N1</x:v>
      </x:c>
      <x:c r="N112" s="47" t="n">
        <x:v>2</x:v>
      </x:c>
      <x:c r="O112" s="47" t="n">
        <x:v>238</x:v>
      </x:c>
      <x:c r="P112" s="47" t="n">
        <x:v>244</x:v>
      </x:c>
      <x:c r="Q112" s="47" t="str">
        <x:v>SEALED TO CAMPAIGN CLOSE</x:v>
      </x:c>
      <x:c r="R112" s="47" t="str">
        <x:v>UNVESTED</x:v>
      </x:c>
      <x:c r="S112" s="47" t="str">
        <x:v>PROGRAMMED / UNBUILT</x:v>
      </x:c>
      <x:c r="T112" s="47" t="str">
        <x:v>HU-A-B-TECH-2-E5</x:v>
      </x:c>
      <x:c r="U112" s="47" t="n">
        <x:f>COUNTIFS($T$7:$T$150,T112)</x:f>
        <x:v>1</x:v>
      </x:c>
      <x:c r="V112" s="47" t="n">
        <x:f>COUNTIFS($H$7:$H$150,H112,$K$7:$K$150,K112,$N$7:$N$150,N112)</x:f>
        <x:v>1</x:v>
      </x:c>
      <x:c r="W112" s="47" t="n">
        <x:f>IF(M112=L112,1,0)</x:f>
        <x:v>0</x:v>
      </x:c>
    </x:row>
    <x:row r="113">
      <x:c r="A113" s="47" t="str">
        <x:v>AR-LF-B-A-TECH-2-B1-INT-G0</x:v>
      </x:c>
      <x:c r="B113" s="47" t="str">
        <x:v>LF-B-A-TECH-2</x:v>
      </x:c>
      <x:c r="C113" s="47" t="str">
        <x:v>LF-B-A</x:v>
      </x:c>
      <x:c r="D113" s="47" t="str">
        <x:v>B1-INT</x:v>
      </x:c>
      <x:c r="E113" s="47" t="str">
        <x:v>B1</x:v>
      </x:c>
      <x:c r="F113" s="47" t="str">
        <x:v>INT</x:v>
      </x:c>
      <x:c r="G113" s="47" t="n">
        <x:v>0</x:v>
      </x:c>
      <x:c r="H113" s="47" t="n">
        <x:v>5</x:v>
      </x:c>
      <x:c r="I113" s="47" t="n">
        <x:v>20</x:v>
      </x:c>
      <x:c r="J113" s="47" t="str">
        <x:v>FX-LF-B-A-TECH-2-F2</x:v>
      </x:c>
      <x:c r="K113" s="47" t="str">
        <x:v>LF-B-A-N3</x:v>
      </x:c>
      <x:c r="L113" s="47" t="str">
        <x:v>LF-B-A-N2</x:v>
      </x:c>
      <x:c r="M113" s="47" t="str">
        <x:v>LF-B-A-N1</x:v>
      </x:c>
      <x:c r="N113" s="47" t="n">
        <x:v>2</x:v>
      </x:c>
      <x:c r="O113" s="47" t="n">
        <x:v>238</x:v>
      </x:c>
      <x:c r="P113" s="47" t="n">
        <x:v>244</x:v>
      </x:c>
      <x:c r="Q113" s="47" t="str">
        <x:v>SEALED TO CAMPAIGN CLOSE</x:v>
      </x:c>
      <x:c r="R113" s="47" t="str">
        <x:v>UNVESTED</x:v>
      </x:c>
      <x:c r="S113" s="47" t="str">
        <x:v>PROGRAMMED / UNBUILT</x:v>
      </x:c>
      <x:c r="T113" s="47" t="str">
        <x:v>LF-B-A-TECH-2-E5</x:v>
      </x:c>
      <x:c r="U113" s="47" t="n">
        <x:f>COUNTIFS($T$7:$T$150,T113)</x:f>
        <x:v>1</x:v>
      </x:c>
      <x:c r="V113" s="47" t="n">
        <x:f>COUNTIFS($H$7:$H$150,H113,$K$7:$K$150,K113,$N$7:$N$150,N113)</x:f>
        <x:v>1</x:v>
      </x:c>
      <x:c r="W113" s="47" t="n">
        <x:f>IF(M113=L113,1,0)</x:f>
        <x:v>0</x:v>
      </x:c>
    </x:row>
    <x:row r="114">
      <x:c r="A114" s="47" t="str">
        <x:v>AR-RT-B-C-TECH-2-B1-RCN-G0</x:v>
      </x:c>
      <x:c r="B114" s="47" t="str">
        <x:v>RT-B-C-TECH-2</x:v>
      </x:c>
      <x:c r="C114" s="47" t="str">
        <x:v>RT-B-C</x:v>
      </x:c>
      <x:c r="D114" s="47" t="str">
        <x:v>B1-RCN</x:v>
      </x:c>
      <x:c r="E114" s="47" t="str">
        <x:v>B1</x:v>
      </x:c>
      <x:c r="F114" s="47" t="str">
        <x:v>RCN</x:v>
      </x:c>
      <x:c r="G114" s="47" t="n">
        <x:v>1</x:v>
      </x:c>
      <x:c r="H114" s="47" t="n">
        <x:v>5</x:v>
      </x:c>
      <x:c r="I114" s="47" t="n">
        <x:v>20</x:v>
      </x:c>
      <x:c r="J114" s="47" t="str">
        <x:v>FX-RT-B-C-TECH-2-F2</x:v>
      </x:c>
      <x:c r="K114" s="47" t="str">
        <x:v>RT-B-C-N3</x:v>
      </x:c>
      <x:c r="L114" s="47" t="str">
        <x:v>RT-B-C-N2</x:v>
      </x:c>
      <x:c r="M114" s="47" t="str">
        <x:v>RT-B-C-N1</x:v>
      </x:c>
      <x:c r="N114" s="47" t="n">
        <x:v>2</x:v>
      </x:c>
      <x:c r="O114" s="47" t="n">
        <x:v>238</x:v>
      </x:c>
      <x:c r="P114" s="47" t="n">
        <x:v>244</x:v>
      </x:c>
      <x:c r="Q114" s="47" t="str">
        <x:v>SEALED TO CAMPAIGN CLOSE</x:v>
      </x:c>
      <x:c r="R114" s="47" t="str">
        <x:v>UNVESTED</x:v>
      </x:c>
      <x:c r="S114" s="47" t="str">
        <x:v>PROGRAMMED / UNBUILT</x:v>
      </x:c>
      <x:c r="T114" s="47" t="str">
        <x:v>RT-B-C-TECH-2-E5</x:v>
      </x:c>
      <x:c r="U114" s="47" t="n">
        <x:f>COUNTIFS($T$7:$T$150,T114)</x:f>
        <x:v>1</x:v>
      </x:c>
      <x:c r="V114" s="47" t="n">
        <x:f>COUNTIFS($H$7:$H$150,H114,$K$7:$K$150,K114,$N$7:$N$150,N114)</x:f>
        <x:v>1</x:v>
      </x:c>
      <x:c r="W114" s="47" t="n">
        <x:f>IF(M114=L114,1,0)</x:f>
        <x:v>0</x:v>
      </x:c>
    </x:row>
    <x:row r="115">
      <x:c r="A115" s="47" t="str">
        <x:v>AR-CT-C-B-TECH-4-B1-INT-G0</x:v>
      </x:c>
      <x:c r="B115" s="47" t="str">
        <x:v>CT-C-B-TECH-4</x:v>
      </x:c>
      <x:c r="C115" s="47" t="str">
        <x:v>CT-C-B</x:v>
      </x:c>
      <x:c r="D115" s="47" t="str">
        <x:v>B1-INT</x:v>
      </x:c>
      <x:c r="E115" s="47" t="str">
        <x:v>B1</x:v>
      </x:c>
      <x:c r="F115" s="47" t="str">
        <x:v>INT</x:v>
      </x:c>
      <x:c r="G115" s="47" t="n">
        <x:v>0</x:v>
      </x:c>
      <x:c r="H115" s="47" t="n">
        <x:v>5</x:v>
      </x:c>
      <x:c r="I115" s="47" t="n">
        <x:v>20</x:v>
      </x:c>
      <x:c r="J115" s="47" t="str">
        <x:v>FX-CT-C-B-TECH-4-F2</x:v>
      </x:c>
      <x:c r="K115" s="47" t="str">
        <x:v>CT-C-B-N2</x:v>
      </x:c>
      <x:c r="L115" s="47" t="str">
        <x:v>CT-C-B-N1</x:v>
      </x:c>
      <x:c r="M115" s="47" t="str">
        <x:v>CT-C-B-N3</x:v>
      </x:c>
      <x:c r="N115" s="47" t="n">
        <x:v>3</x:v>
      </x:c>
      <x:c r="O115" s="47" t="n">
        <x:v>244</x:v>
      </x:c>
      <x:c r="P115" s="47" t="n">
        <x:v>250</x:v>
      </x:c>
      <x:c r="Q115" s="47" t="str">
        <x:v>SEALED TO CAMPAIGN CLOSE</x:v>
      </x:c>
      <x:c r="R115" s="47" t="str">
        <x:v>UNVESTED</x:v>
      </x:c>
      <x:c r="S115" s="47" t="str">
        <x:v>PROGRAMMED / UNBUILT</x:v>
      </x:c>
      <x:c r="T115" s="47" t="str">
        <x:v>CT-C-B-TECH-4-E5</x:v>
      </x:c>
      <x:c r="U115" s="47" t="n">
        <x:f>COUNTIFS($T$7:$T$150,T115)</x:f>
        <x:v>1</x:v>
      </x:c>
      <x:c r="V115" s="47" t="n">
        <x:f>COUNTIFS($H$7:$H$150,H115,$K$7:$K$150,K115,$N$7:$N$150,N115)</x:f>
        <x:v>1</x:v>
      </x:c>
      <x:c r="W115" s="47" t="n">
        <x:f>IF(M115=L115,1,0)</x:f>
        <x:v>0</x:v>
      </x:c>
    </x:row>
    <x:row r="116">
      <x:c r="A116" s="47" t="str">
        <x:v>AR-ET-A-A-TECH-4-B2-INT-G0</x:v>
      </x:c>
      <x:c r="B116" s="47" t="str">
        <x:v>ET-A-A-TECH-4</x:v>
      </x:c>
      <x:c r="C116" s="47" t="str">
        <x:v>ET-A-A</x:v>
      </x:c>
      <x:c r="D116" s="47" t="str">
        <x:v>B2-INT</x:v>
      </x:c>
      <x:c r="E116" s="47" t="str">
        <x:v>B2</x:v>
      </x:c>
      <x:c r="F116" s="47" t="str">
        <x:v>INT</x:v>
      </x:c>
      <x:c r="G116" s="47" t="n">
        <x:v>0</x:v>
      </x:c>
      <x:c r="H116" s="47" t="n">
        <x:v>5</x:v>
      </x:c>
      <x:c r="I116" s="47" t="n">
        <x:v>20</x:v>
      </x:c>
      <x:c r="J116" s="47" t="str">
        <x:v>FX-ET-A-A-TECH-4-F1</x:v>
      </x:c>
      <x:c r="K116" s="47" t="str">
        <x:v>ET-A-A-N1</x:v>
      </x:c>
      <x:c r="L116" s="47" t="str">
        <x:v>ET-A-A-N2</x:v>
      </x:c>
      <x:c r="M116" s="47" t="str">
        <x:v>ET-A-A-N3</x:v>
      </x:c>
      <x:c r="N116" s="47" t="n">
        <x:v>3</x:v>
      </x:c>
      <x:c r="O116" s="47" t="n">
        <x:v>244</x:v>
      </x:c>
      <x:c r="P116" s="47" t="n">
        <x:v>250</x:v>
      </x:c>
      <x:c r="Q116" s="47" t="str">
        <x:v>SEALED TO CAMPAIGN CLOSE</x:v>
      </x:c>
      <x:c r="R116" s="47" t="str">
        <x:v>UNVESTED</x:v>
      </x:c>
      <x:c r="S116" s="47" t="str">
        <x:v>PROGRAMMED / UNBUILT</x:v>
      </x:c>
      <x:c r="T116" s="47" t="str">
        <x:v>ET-A-A-TECH-4-E5</x:v>
      </x:c>
      <x:c r="U116" s="47" t="n">
        <x:f>COUNTIFS($T$7:$T$150,T116)</x:f>
        <x:v>1</x:v>
      </x:c>
      <x:c r="V116" s="47" t="n">
        <x:f>COUNTIFS($H$7:$H$150,H116,$K$7:$K$150,K116,$N$7:$N$150,N116)</x:f>
        <x:v>1</x:v>
      </x:c>
      <x:c r="W116" s="47" t="n">
        <x:f>IF(M116=L116,1,0)</x:f>
        <x:v>0</x:v>
      </x:c>
    </x:row>
    <x:row r="117">
      <x:c r="A117" s="47" t="str">
        <x:v>AR-HU-A-B-TECH-1-B1-INT-G0</x:v>
      </x:c>
      <x:c r="B117" s="47" t="str">
        <x:v>HU-A-B-TECH-1</x:v>
      </x:c>
      <x:c r="C117" s="47" t="str">
        <x:v>HU-A-B</x:v>
      </x:c>
      <x:c r="D117" s="47" t="str">
        <x:v>B1-INT</x:v>
      </x:c>
      <x:c r="E117" s="47" t="str">
        <x:v>B1</x:v>
      </x:c>
      <x:c r="F117" s="47" t="str">
        <x:v>INT</x:v>
      </x:c>
      <x:c r="G117" s="47" t="n">
        <x:v>0</x:v>
      </x:c>
      <x:c r="H117" s="47" t="n">
        <x:v>5</x:v>
      </x:c>
      <x:c r="I117" s="47" t="n">
        <x:v>20</x:v>
      </x:c>
      <x:c r="J117" s="47" t="str">
        <x:v>FX-HU-A-B-TECH-1-F1</x:v>
      </x:c>
      <x:c r="K117" s="47" t="str">
        <x:v>HU-A-B-N1</x:v>
      </x:c>
      <x:c r="L117" s="47" t="str">
        <x:v>HU-A-B-N2</x:v>
      </x:c>
      <x:c r="M117" s="47" t="str">
        <x:v>HU-A-B-N3</x:v>
      </x:c>
      <x:c r="N117" s="47" t="n">
        <x:v>3</x:v>
      </x:c>
      <x:c r="O117" s="47" t="n">
        <x:v>244</x:v>
      </x:c>
      <x:c r="P117" s="47" t="n">
        <x:v>250</x:v>
      </x:c>
      <x:c r="Q117" s="47" t="str">
        <x:v>SEALED TO CAMPAIGN CLOSE</x:v>
      </x:c>
      <x:c r="R117" s="47" t="str">
        <x:v>UNVESTED</x:v>
      </x:c>
      <x:c r="S117" s="47" t="str">
        <x:v>PROGRAMMED / UNBUILT</x:v>
      </x:c>
      <x:c r="T117" s="47" t="str">
        <x:v>HU-A-B-TECH-1-E5</x:v>
      </x:c>
      <x:c r="U117" s="47" t="n">
        <x:f>COUNTIFS($T$7:$T$150,T117)</x:f>
        <x:v>1</x:v>
      </x:c>
      <x:c r="V117" s="47" t="n">
        <x:f>COUNTIFS($H$7:$H$150,H117,$K$7:$K$150,K117,$N$7:$N$150,N117)</x:f>
        <x:v>1</x:v>
      </x:c>
      <x:c r="W117" s="47" t="n">
        <x:f>IF(M117=L117,1,0)</x:f>
        <x:v>0</x:v>
      </x:c>
    </x:row>
    <x:row r="118">
      <x:c r="A118" s="47" t="str">
        <x:v>AR-HU-A-B-TECH-4-B2-BRK-G0</x:v>
      </x:c>
      <x:c r="B118" s="47" t="str">
        <x:v>HU-A-B-TECH-4</x:v>
      </x:c>
      <x:c r="C118" s="47" t="str">
        <x:v>HU-A-B</x:v>
      </x:c>
      <x:c r="D118" s="47" t="str">
        <x:v>B2-BRK</x:v>
      </x:c>
      <x:c r="E118" s="47" t="str">
        <x:v>B2</x:v>
      </x:c>
      <x:c r="F118" s="47" t="str">
        <x:v>BRK</x:v>
      </x:c>
      <x:c r="G118" s="47" t="n">
        <x:v>1</x:v>
      </x:c>
      <x:c r="H118" s="47" t="n">
        <x:v>5</x:v>
      </x:c>
      <x:c r="I118" s="47" t="n">
        <x:v>20</x:v>
      </x:c>
      <x:c r="J118" s="47" t="str">
        <x:v>FX-HU-A-B-TECH-4-F2</x:v>
      </x:c>
      <x:c r="K118" s="47" t="str">
        <x:v>HU-A-B-N2</x:v>
      </x:c>
      <x:c r="L118" s="47" t="str">
        <x:v>HU-A-B-N1</x:v>
      </x:c>
      <x:c r="M118" s="47" t="str">
        <x:v>HU-A-B-N3</x:v>
      </x:c>
      <x:c r="N118" s="47" t="n">
        <x:v>3</x:v>
      </x:c>
      <x:c r="O118" s="47" t="n">
        <x:v>244</x:v>
      </x:c>
      <x:c r="P118" s="47" t="n">
        <x:v>250</x:v>
      </x:c>
      <x:c r="Q118" s="47" t="str">
        <x:v>SEALED TO CAMPAIGN CLOSE</x:v>
      </x:c>
      <x:c r="R118" s="47" t="str">
        <x:v>UNVESTED</x:v>
      </x:c>
      <x:c r="S118" s="47" t="str">
        <x:v>PROGRAMMED / UNBUILT</x:v>
      </x:c>
      <x:c r="T118" s="47" t="str">
        <x:v>HU-A-B-TECH-4-E5</x:v>
      </x:c>
      <x:c r="U118" s="47" t="n">
        <x:f>COUNTIFS($T$7:$T$150,T118)</x:f>
        <x:v>1</x:v>
      </x:c>
      <x:c r="V118" s="47" t="n">
        <x:f>COUNTIFS($H$7:$H$150,H118,$K$7:$K$150,K118,$N$7:$N$150,N118)</x:f>
        <x:v>1</x:v>
      </x:c>
      <x:c r="W118" s="47" t="n">
        <x:f>IF(M118=L118,1,0)</x:f>
        <x:v>0</x:v>
      </x:c>
    </x:row>
    <x:row r="119">
      <x:c r="A119" s="47" t="str">
        <x:v>AR-RT-B-C-TECH-4-B1-BRK-G0</x:v>
      </x:c>
      <x:c r="B119" s="47" t="str">
        <x:v>RT-B-C-TECH-4</x:v>
      </x:c>
      <x:c r="C119" s="47" t="str">
        <x:v>RT-B-C</x:v>
      </x:c>
      <x:c r="D119" s="47" t="str">
        <x:v>B1-BRK</x:v>
      </x:c>
      <x:c r="E119" s="47" t="str">
        <x:v>B1</x:v>
      </x:c>
      <x:c r="F119" s="47" t="str">
        <x:v>BRK</x:v>
      </x:c>
      <x:c r="G119" s="47" t="n">
        <x:v>1</x:v>
      </x:c>
      <x:c r="H119" s="47" t="n">
        <x:v>5</x:v>
      </x:c>
      <x:c r="I119" s="47" t="n">
        <x:v>20</x:v>
      </x:c>
      <x:c r="J119" s="47" t="str">
        <x:v>FX-RT-B-C-TECH-4-F1</x:v>
      </x:c>
      <x:c r="K119" s="47" t="str">
        <x:v>RT-B-C-N1</x:v>
      </x:c>
      <x:c r="L119" s="47" t="str">
        <x:v>RT-B-C-N2</x:v>
      </x:c>
      <x:c r="M119" s="47" t="str">
        <x:v>RT-B-C-N3</x:v>
      </x:c>
      <x:c r="N119" s="47" t="n">
        <x:v>3</x:v>
      </x:c>
      <x:c r="O119" s="47" t="n">
        <x:v>244</x:v>
      </x:c>
      <x:c r="P119" s="47" t="n">
        <x:v>250</x:v>
      </x:c>
      <x:c r="Q119" s="47" t="str">
        <x:v>SEALED TO CAMPAIGN CLOSE</x:v>
      </x:c>
      <x:c r="R119" s="47" t="str">
        <x:v>UNVESTED</x:v>
      </x:c>
      <x:c r="S119" s="47" t="str">
        <x:v>PROGRAMMED / UNBUILT</x:v>
      </x:c>
      <x:c r="T119" s="47" t="str">
        <x:v>RT-B-C-TECH-4-E5</x:v>
      </x:c>
      <x:c r="U119" s="47" t="n">
        <x:f>COUNTIFS($T$7:$T$150,T119)</x:f>
        <x:v>1</x:v>
      </x:c>
      <x:c r="V119" s="47" t="n">
        <x:f>COUNTIFS($H$7:$H$150,H119,$K$7:$K$150,K119,$N$7:$N$150,N119)</x:f>
        <x:v>1</x:v>
      </x:c>
      <x:c r="W119" s="47" t="n">
        <x:f>IF(M119=L119,1,0)</x:f>
        <x:v>0</x:v>
      </x:c>
    </x:row>
    <x:row r="120">
      <x:c r="A120" s="47" t="str">
        <x:v>AR-RT-B-C-TECH-3-B2-BRK-G0</x:v>
      </x:c>
      <x:c r="B120" s="47" t="str">
        <x:v>RT-B-C-TECH-3</x:v>
      </x:c>
      <x:c r="C120" s="47" t="str">
        <x:v>RT-B-C</x:v>
      </x:c>
      <x:c r="D120" s="47" t="str">
        <x:v>B2-BRK</x:v>
      </x:c>
      <x:c r="E120" s="47" t="str">
        <x:v>B2</x:v>
      </x:c>
      <x:c r="F120" s="47" t="str">
        <x:v>BRK</x:v>
      </x:c>
      <x:c r="G120" s="47" t="n">
        <x:v>1</x:v>
      </x:c>
      <x:c r="H120" s="47" t="n">
        <x:v>5</x:v>
      </x:c>
      <x:c r="I120" s="47" t="n">
        <x:v>20</x:v>
      </x:c>
      <x:c r="J120" s="47" t="str">
        <x:v>FX-RT-B-C-TECH-3-F1</x:v>
      </x:c>
      <x:c r="K120" s="47" t="str">
        <x:v>RT-B-C-N3</x:v>
      </x:c>
      <x:c r="L120" s="47" t="str">
        <x:v>RT-B-C-N1</x:v>
      </x:c>
      <x:c r="M120" s="47" t="str">
        <x:v>RT-B-C-N2</x:v>
      </x:c>
      <x:c r="N120" s="47" t="n">
        <x:v>3</x:v>
      </x:c>
      <x:c r="O120" s="47" t="n">
        <x:v>244</x:v>
      </x:c>
      <x:c r="P120" s="47" t="n">
        <x:v>250</x:v>
      </x:c>
      <x:c r="Q120" s="47" t="str">
        <x:v>SEALED TO CAMPAIGN CLOSE</x:v>
      </x:c>
      <x:c r="R120" s="47" t="str">
        <x:v>UNVESTED</x:v>
      </x:c>
      <x:c r="S120" s="47" t="str">
        <x:v>PROGRAMMED / UNBUILT</x:v>
      </x:c>
      <x:c r="T120" s="47" t="str">
        <x:v>RT-B-C-TECH-3-E5</x:v>
      </x:c>
      <x:c r="U120" s="47" t="n">
        <x:f>COUNTIFS($T$7:$T$150,T120)</x:f>
        <x:v>1</x:v>
      </x:c>
      <x:c r="V120" s="47" t="n">
        <x:f>COUNTIFS($H$7:$H$150,H120,$K$7:$K$150,K120,$N$7:$N$150,N120)</x:f>
        <x:v>1</x:v>
      </x:c>
      <x:c r="W120" s="47" t="n">
        <x:f>IF(M120=L120,1,0)</x:f>
        <x:v>0</x:v>
      </x:c>
    </x:row>
    <x:row r="121">
      <x:c r="A121" s="47" t="str">
        <x:v>AR-CT-C-B-TECH-1-B2-BRK-G0</x:v>
      </x:c>
      <x:c r="B121" s="47" t="str">
        <x:v>CT-C-B-TECH-1</x:v>
      </x:c>
      <x:c r="C121" s="47" t="str">
        <x:v>CT-C-B</x:v>
      </x:c>
      <x:c r="D121" s="47" t="str">
        <x:v>B2-BRK</x:v>
      </x:c>
      <x:c r="E121" s="47" t="str">
        <x:v>B2</x:v>
      </x:c>
      <x:c r="F121" s="47" t="str">
        <x:v>BRK</x:v>
      </x:c>
      <x:c r="G121" s="47" t="n">
        <x:v>1</x:v>
      </x:c>
      <x:c r="H121" s="47" t="n">
        <x:v>5</x:v>
      </x:c>
      <x:c r="I121" s="47" t="n">
        <x:v>20</x:v>
      </x:c>
      <x:c r="J121" s="47" t="str">
        <x:v>FX-CT-C-B-TECH-1-F1</x:v>
      </x:c>
      <x:c r="K121" s="47" t="str">
        <x:v>CT-C-B-N1</x:v>
      </x:c>
      <x:c r="L121" s="47" t="str">
        <x:v>CT-C-B-N2</x:v>
      </x:c>
      <x:c r="M121" s="47" t="str">
        <x:v>CT-C-B-N3</x:v>
      </x:c>
      <x:c r="N121" s="47" t="n">
        <x:v>4</x:v>
      </x:c>
      <x:c r="O121" s="47" t="n">
        <x:v>250</x:v>
      </x:c>
      <x:c r="P121" s="47" t="n">
        <x:v>256</x:v>
      </x:c>
      <x:c r="Q121" s="47" t="str">
        <x:v>SEALED TO CAMPAIGN CLOSE</x:v>
      </x:c>
      <x:c r="R121" s="47" t="str">
        <x:v>UNVESTED</x:v>
      </x:c>
      <x:c r="S121" s="47" t="str">
        <x:v>PROGRAMMED / UNBUILT</x:v>
      </x:c>
      <x:c r="T121" s="47" t="str">
        <x:v>CT-C-B-TECH-1-E5</x:v>
      </x:c>
      <x:c r="U121" s="47" t="n">
        <x:f>COUNTIFS($T$7:$T$150,T121)</x:f>
        <x:v>1</x:v>
      </x:c>
      <x:c r="V121" s="47" t="n">
        <x:f>COUNTIFS($H$7:$H$150,H121,$K$7:$K$150,K121,$N$7:$N$150,N121)</x:f>
        <x:v>1</x:v>
      </x:c>
      <x:c r="W121" s="47" t="n">
        <x:f>IF(M121=L121,1,0)</x:f>
        <x:v>0</x:v>
      </x:c>
    </x:row>
    <x:row r="122">
      <x:c r="A122" s="47" t="str">
        <x:v>AR-ET-A-A-TECH-2-B2-BRK-G0</x:v>
      </x:c>
      <x:c r="B122" s="47" t="str">
        <x:v>ET-A-A-TECH-2</x:v>
      </x:c>
      <x:c r="C122" s="47" t="str">
        <x:v>ET-A-A</x:v>
      </x:c>
      <x:c r="D122" s="47" t="str">
        <x:v>B2-BRK</x:v>
      </x:c>
      <x:c r="E122" s="47" t="str">
        <x:v>B2</x:v>
      </x:c>
      <x:c r="F122" s="47" t="str">
        <x:v>BRK</x:v>
      </x:c>
      <x:c r="G122" s="47" t="n">
        <x:v>1</x:v>
      </x:c>
      <x:c r="H122" s="47" t="n">
        <x:v>5</x:v>
      </x:c>
      <x:c r="I122" s="47" t="n">
        <x:v>20</x:v>
      </x:c>
      <x:c r="J122" s="47" t="str">
        <x:v>FX-ET-A-A-TECH-2-F2</x:v>
      </x:c>
      <x:c r="K122" s="47" t="str">
        <x:v>ET-A-A-N3</x:v>
      </x:c>
      <x:c r="L122" s="47" t="str">
        <x:v>ET-A-A-N2</x:v>
      </x:c>
      <x:c r="M122" s="47" t="str">
        <x:v>ET-A-A-N1</x:v>
      </x:c>
      <x:c r="N122" s="47" t="n">
        <x:v>4</x:v>
      </x:c>
      <x:c r="O122" s="47" t="n">
        <x:v>250</x:v>
      </x:c>
      <x:c r="P122" s="47" t="n">
        <x:v>256</x:v>
      </x:c>
      <x:c r="Q122" s="47" t="str">
        <x:v>SEALED TO CAMPAIGN CLOSE</x:v>
      </x:c>
      <x:c r="R122" s="47" t="str">
        <x:v>UNVESTED</x:v>
      </x:c>
      <x:c r="S122" s="47" t="str">
        <x:v>PROGRAMMED / UNBUILT</x:v>
      </x:c>
      <x:c r="T122" s="47" t="str">
        <x:v>ET-A-A-TECH-2-E5</x:v>
      </x:c>
      <x:c r="U122" s="47" t="n">
        <x:f>COUNTIFS($T$7:$T$150,T122)</x:f>
        <x:v>1</x:v>
      </x:c>
      <x:c r="V122" s="47" t="n">
        <x:f>COUNTIFS($H$7:$H$150,H122,$K$7:$K$150,K122,$N$7:$N$150,N122)</x:f>
        <x:v>1</x:v>
      </x:c>
      <x:c r="W122" s="47" t="n">
        <x:f>IF(M122=L122,1,0)</x:f>
        <x:v>0</x:v>
      </x:c>
    </x:row>
    <x:row r="123">
      <x:c r="A123" s="47" t="str">
        <x:v>AR-HC-A-C-TECH-1-B1-BRK-G0</x:v>
      </x:c>
      <x:c r="B123" s="47" t="str">
        <x:v>HC-A-C-TECH-1</x:v>
      </x:c>
      <x:c r="C123" s="47" t="str">
        <x:v>HC-A-C</x:v>
      </x:c>
      <x:c r="D123" s="47" t="str">
        <x:v>B1-BRK</x:v>
      </x:c>
      <x:c r="E123" s="47" t="str">
        <x:v>B1</x:v>
      </x:c>
      <x:c r="F123" s="47" t="str">
        <x:v>BRK</x:v>
      </x:c>
      <x:c r="G123" s="47" t="n">
        <x:v>1</x:v>
      </x:c>
      <x:c r="H123" s="47" t="n">
        <x:v>5</x:v>
      </x:c>
      <x:c r="I123" s="47" t="n">
        <x:v>20</x:v>
      </x:c>
      <x:c r="J123" s="47" t="str">
        <x:v>FX-HC-A-C-TECH-1-F2</x:v>
      </x:c>
      <x:c r="K123" s="47" t="str">
        <x:v>HC-A-C-N2</x:v>
      </x:c>
      <x:c r="L123" s="47" t="str">
        <x:v>HC-A-C-N1</x:v>
      </x:c>
      <x:c r="M123" s="47" t="str">
        <x:v>HC-A-C-N3</x:v>
      </x:c>
      <x:c r="N123" s="47" t="n">
        <x:v>4</x:v>
      </x:c>
      <x:c r="O123" s="47" t="n">
        <x:v>250</x:v>
      </x:c>
      <x:c r="P123" s="47" t="n">
        <x:v>256</x:v>
      </x:c>
      <x:c r="Q123" s="47" t="str">
        <x:v>SEALED TO CAMPAIGN CLOSE</x:v>
      </x:c>
      <x:c r="R123" s="47" t="str">
        <x:v>UNVESTED</x:v>
      </x:c>
      <x:c r="S123" s="47" t="str">
        <x:v>PROGRAMMED / UNBUILT</x:v>
      </x:c>
      <x:c r="T123" s="47" t="str">
        <x:v>HC-A-C-TECH-1-E5</x:v>
      </x:c>
      <x:c r="U123" s="47" t="n">
        <x:f>COUNTIFS($T$7:$T$150,T123)</x:f>
        <x:v>1</x:v>
      </x:c>
      <x:c r="V123" s="47" t="n">
        <x:f>COUNTIFS($H$7:$H$150,H123,$K$7:$K$150,K123,$N$7:$N$150,N123)</x:f>
        <x:v>1</x:v>
      </x:c>
      <x:c r="W123" s="47" t="n">
        <x:f>IF(M123=L123,1,0)</x:f>
        <x:v>0</x:v>
      </x:c>
    </x:row>
    <x:row r="124">
      <x:c r="A124" s="47" t="str">
        <x:v>AR-HU-A-B-TECH-3-B1-RCN-G0</x:v>
      </x:c>
      <x:c r="B124" s="47" t="str">
        <x:v>HU-A-B-TECH-3</x:v>
      </x:c>
      <x:c r="C124" s="47" t="str">
        <x:v>HU-A-B</x:v>
      </x:c>
      <x:c r="D124" s="47" t="str">
        <x:v>B1-RCN</x:v>
      </x:c>
      <x:c r="E124" s="47" t="str">
        <x:v>B1</x:v>
      </x:c>
      <x:c r="F124" s="47" t="str">
        <x:v>RCN</x:v>
      </x:c>
      <x:c r="G124" s="47" t="n">
        <x:v>1</x:v>
      </x:c>
      <x:c r="H124" s="47" t="n">
        <x:v>5</x:v>
      </x:c>
      <x:c r="I124" s="47" t="n">
        <x:v>20</x:v>
      </x:c>
      <x:c r="J124" s="47" t="str">
        <x:v>FX-HU-A-B-TECH-3-F1</x:v>
      </x:c>
      <x:c r="K124" s="47" t="str">
        <x:v>HU-A-B-N3</x:v>
      </x:c>
      <x:c r="L124" s="47" t="str">
        <x:v>HU-A-B-N1</x:v>
      </x:c>
      <x:c r="M124" s="47" t="str">
        <x:v>HU-A-B-N2</x:v>
      </x:c>
      <x:c r="N124" s="47" t="n">
        <x:v>4</x:v>
      </x:c>
      <x:c r="O124" s="47" t="n">
        <x:v>250</x:v>
      </x:c>
      <x:c r="P124" s="47" t="n">
        <x:v>256</x:v>
      </x:c>
      <x:c r="Q124" s="47" t="str">
        <x:v>SEALED TO CAMPAIGN CLOSE</x:v>
      </x:c>
      <x:c r="R124" s="47" t="str">
        <x:v>UNVESTED</x:v>
      </x:c>
      <x:c r="S124" s="47" t="str">
        <x:v>PROGRAMMED / UNBUILT</x:v>
      </x:c>
      <x:c r="T124" s="47" t="str">
        <x:v>HU-A-B-TECH-3-E5</x:v>
      </x:c>
      <x:c r="U124" s="47" t="n">
        <x:f>COUNTIFS($T$7:$T$150,T124)</x:f>
        <x:v>1</x:v>
      </x:c>
      <x:c r="V124" s="47" t="n">
        <x:f>COUNTIFS($H$7:$H$150,H124,$K$7:$K$150,K124,$N$7:$N$150,N124)</x:f>
        <x:v>1</x:v>
      </x:c>
      <x:c r="W124" s="47" t="n">
        <x:f>IF(M124=L124,1,0)</x:f>
        <x:v>0</x:v>
      </x:c>
    </x:row>
    <x:row r="125">
      <x:c r="A125" s="47" t="str">
        <x:v>AR-LF-B-A-TECH-1-B2-INT-G0</x:v>
      </x:c>
      <x:c r="B125" s="47" t="str">
        <x:v>LF-B-A-TECH-1</x:v>
      </x:c>
      <x:c r="C125" s="47" t="str">
        <x:v>LF-B-A</x:v>
      </x:c>
      <x:c r="D125" s="47" t="str">
        <x:v>B2-INT</x:v>
      </x:c>
      <x:c r="E125" s="47" t="str">
        <x:v>B2</x:v>
      </x:c>
      <x:c r="F125" s="47" t="str">
        <x:v>INT</x:v>
      </x:c>
      <x:c r="G125" s="47" t="n">
        <x:v>0</x:v>
      </x:c>
      <x:c r="H125" s="47" t="n">
        <x:v>5</x:v>
      </x:c>
      <x:c r="I125" s="47" t="n">
        <x:v>20</x:v>
      </x:c>
      <x:c r="J125" s="47" t="str">
        <x:v>FX-LF-B-A-TECH-1-F2</x:v>
      </x:c>
      <x:c r="K125" s="47" t="str">
        <x:v>LF-B-A-N2</x:v>
      </x:c>
      <x:c r="L125" s="47" t="str">
        <x:v>LF-B-A-N1</x:v>
      </x:c>
      <x:c r="M125" s="47" t="str">
        <x:v>LF-B-A-N3</x:v>
      </x:c>
      <x:c r="N125" s="47" t="n">
        <x:v>4</x:v>
      </x:c>
      <x:c r="O125" s="47" t="n">
        <x:v>250</x:v>
      </x:c>
      <x:c r="P125" s="47" t="n">
        <x:v>256</x:v>
      </x:c>
      <x:c r="Q125" s="47" t="str">
        <x:v>SEALED TO CAMPAIGN CLOSE</x:v>
      </x:c>
      <x:c r="R125" s="47" t="str">
        <x:v>UNVESTED</x:v>
      </x:c>
      <x:c r="S125" s="47" t="str">
        <x:v>PROGRAMMED / UNBUILT</x:v>
      </x:c>
      <x:c r="T125" s="47" t="str">
        <x:v>LF-B-A-TECH-1-E5</x:v>
      </x:c>
      <x:c r="U125" s="47" t="n">
        <x:f>COUNTIFS($T$7:$T$150,T125)</x:f>
        <x:v>1</x:v>
      </x:c>
      <x:c r="V125" s="47" t="n">
        <x:f>COUNTIFS($H$7:$H$150,H125,$K$7:$K$150,K125,$N$7:$N$150,N125)</x:f>
        <x:v>1</x:v>
      </x:c>
      <x:c r="W125" s="47" t="n">
        <x:f>IF(M125=L125,1,0)</x:f>
        <x:v>0</x:v>
      </x:c>
    </x:row>
    <x:row r="126">
      <x:c r="A126" s="47" t="str">
        <x:v>AR-RT-B-C-TECH-1-B2-RCN-G0</x:v>
      </x:c>
      <x:c r="B126" s="47" t="str">
        <x:v>RT-B-C-TECH-1</x:v>
      </x:c>
      <x:c r="C126" s="47" t="str">
        <x:v>RT-B-C</x:v>
      </x:c>
      <x:c r="D126" s="47" t="str">
        <x:v>B2-RCN</x:v>
      </x:c>
      <x:c r="E126" s="47" t="str">
        <x:v>B2</x:v>
      </x:c>
      <x:c r="F126" s="47" t="str">
        <x:v>RCN</x:v>
      </x:c>
      <x:c r="G126" s="47" t="n">
        <x:v>1</x:v>
      </x:c>
      <x:c r="H126" s="47" t="n">
        <x:v>5</x:v>
      </x:c>
      <x:c r="I126" s="47" t="n">
        <x:v>20</x:v>
      </x:c>
      <x:c r="J126" s="47" t="str">
        <x:v>FX-RT-B-C-TECH-1-F2</x:v>
      </x:c>
      <x:c r="K126" s="47" t="str">
        <x:v>RT-B-C-N2</x:v>
      </x:c>
      <x:c r="L126" s="47" t="str">
        <x:v>RT-B-C-N1</x:v>
      </x:c>
      <x:c r="M126" s="47" t="str">
        <x:v>RT-B-C-N3</x:v>
      </x:c>
      <x:c r="N126" s="47" t="n">
        <x:v>4</x:v>
      </x:c>
      <x:c r="O126" s="47" t="n">
        <x:v>250</x:v>
      </x:c>
      <x:c r="P126" s="47" t="n">
        <x:v>256</x:v>
      </x:c>
      <x:c r="Q126" s="47" t="str">
        <x:v>SEALED TO CAMPAIGN CLOSE</x:v>
      </x:c>
      <x:c r="R126" s="47" t="str">
        <x:v>UNVESTED</x:v>
      </x:c>
      <x:c r="S126" s="47" t="str">
        <x:v>PROGRAMMED / UNBUILT</x:v>
      </x:c>
      <x:c r="T126" s="47" t="str">
        <x:v>RT-B-C-TECH-1-E5</x:v>
      </x:c>
      <x:c r="U126" s="47" t="n">
        <x:f>COUNTIFS($T$7:$T$150,T126)</x:f>
        <x:v>1</x:v>
      </x:c>
      <x:c r="V126" s="47" t="n">
        <x:f>COUNTIFS($H$7:$H$150,H126,$K$7:$K$150,K126,$N$7:$N$150,N126)</x:f>
        <x:v>1</x:v>
      </x:c>
      <x:c r="W126" s="47" t="n">
        <x:f>IF(M126=L126,1,0)</x:f>
        <x:v>0</x:v>
      </x:c>
    </x:row>
    <x:row r="127">
      <x:c r="A127" s="47" t="str">
        <x:v>AR-CT-C-B-TECH-1-B1-RCN-G0</x:v>
      </x:c>
      <x:c r="B127" s="47" t="str">
        <x:v>CT-C-B-TECH-1</x:v>
      </x:c>
      <x:c r="C127" s="47" t="str">
        <x:v>CT-C-B</x:v>
      </x:c>
      <x:c r="D127" s="47" t="str">
        <x:v>B1-RCN</x:v>
      </x:c>
      <x:c r="E127" s="47" t="str">
        <x:v>B1</x:v>
      </x:c>
      <x:c r="F127" s="47" t="str">
        <x:v>RCN</x:v>
      </x:c>
      <x:c r="G127" s="47" t="n">
        <x:v>1</x:v>
      </x:c>
      <x:c r="H127" s="47" t="n">
        <x:v>6</x:v>
      </x:c>
      <x:c r="I127" s="47" t="n">
        <x:v>25</x:v>
      </x:c>
      <x:c r="J127" s="47" t="str">
        <x:v>FX-CT-C-B-TECH-1-F1</x:v>
      </x:c>
      <x:c r="K127" s="47" t="str">
        <x:v>CT-C-B-N1</x:v>
      </x:c>
      <x:c r="L127" s="47" t="str">
        <x:v>CT-C-B-N2</x:v>
      </x:c>
      <x:c r="M127" s="47" t="str">
        <x:v>CT-C-B-N3</x:v>
      </x:c>
      <x:c r="N127" s="47" t="n">
        <x:v>1</x:v>
      </x:c>
      <x:c r="O127" s="47" t="n">
        <x:v>264</x:v>
      </x:c>
      <x:c r="P127" s="47" t="n">
        <x:v>270</x:v>
      </x:c>
      <x:c r="Q127" s="47" t="str">
        <x:v>SEALED TO CAMPAIGN CLOSE</x:v>
      </x:c>
      <x:c r="R127" s="47" t="str">
        <x:v>UNVESTED</x:v>
      </x:c>
      <x:c r="S127" s="47" t="str">
        <x:v>PROGRAMMED / UNBUILT</x:v>
      </x:c>
      <x:c r="T127" s="47" t="str">
        <x:v>CT-C-B-TECH-1-E6</x:v>
      </x:c>
      <x:c r="U127" s="47" t="n">
        <x:f>COUNTIFS($T$7:$T$150,T127)</x:f>
        <x:v>1</x:v>
      </x:c>
      <x:c r="V127" s="47" t="n">
        <x:f>COUNTIFS($H$7:$H$150,H127,$K$7:$K$150,K127,$N$7:$N$150,N127)</x:f>
        <x:v>1</x:v>
      </x:c>
      <x:c r="W127" s="47" t="n">
        <x:f>IF(M127=L127,1,0)</x:f>
        <x:v>0</x:v>
      </x:c>
    </x:row>
    <x:row r="128">
      <x:c r="A128" s="47" t="str">
        <x:v>AR-ET-A-A-TECH-4-B1-BRK-G0</x:v>
      </x:c>
      <x:c r="B128" s="47" t="str">
        <x:v>ET-A-A-TECH-4</x:v>
      </x:c>
      <x:c r="C128" s="47" t="str">
        <x:v>ET-A-A</x:v>
      </x:c>
      <x:c r="D128" s="47" t="str">
        <x:v>B1-BRK</x:v>
      </x:c>
      <x:c r="E128" s="47" t="str">
        <x:v>B1</x:v>
      </x:c>
      <x:c r="F128" s="47" t="str">
        <x:v>BRK</x:v>
      </x:c>
      <x:c r="G128" s="47" t="n">
        <x:v>1</x:v>
      </x:c>
      <x:c r="H128" s="47" t="n">
        <x:v>6</x:v>
      </x:c>
      <x:c r="I128" s="47" t="n">
        <x:v>25</x:v>
      </x:c>
      <x:c r="J128" s="47" t="str">
        <x:v>FX-ET-A-A-TECH-4-F1</x:v>
      </x:c>
      <x:c r="K128" s="47" t="str">
        <x:v>ET-A-A-N1</x:v>
      </x:c>
      <x:c r="L128" s="47" t="str">
        <x:v>ET-A-A-N2</x:v>
      </x:c>
      <x:c r="M128" s="47" t="str">
        <x:v>ET-A-A-N3</x:v>
      </x:c>
      <x:c r="N128" s="47" t="n">
        <x:v>1</x:v>
      </x:c>
      <x:c r="O128" s="47" t="n">
        <x:v>264</x:v>
      </x:c>
      <x:c r="P128" s="47" t="n">
        <x:v>270</x:v>
      </x:c>
      <x:c r="Q128" s="47" t="str">
        <x:v>SEALED TO CAMPAIGN CLOSE</x:v>
      </x:c>
      <x:c r="R128" s="47" t="str">
        <x:v>UNVESTED</x:v>
      </x:c>
      <x:c r="S128" s="47" t="str">
        <x:v>PROGRAMMED / UNBUILT</x:v>
      </x:c>
      <x:c r="T128" s="47" t="str">
        <x:v>ET-A-A-TECH-4-E6</x:v>
      </x:c>
      <x:c r="U128" s="47" t="n">
        <x:f>COUNTIFS($T$7:$T$150,T128)</x:f>
        <x:v>1</x:v>
      </x:c>
      <x:c r="V128" s="47" t="n">
        <x:f>COUNTIFS($H$7:$H$150,H128,$K$7:$K$150,K128,$N$7:$N$150,N128)</x:f>
        <x:v>1</x:v>
      </x:c>
      <x:c r="W128" s="47" t="n">
        <x:f>IF(M128=L128,1,0)</x:f>
        <x:v>0</x:v>
      </x:c>
    </x:row>
    <x:row r="129">
      <x:c r="A129" s="47" t="str">
        <x:v>AR-ET-A-A-TECH-3-B2-BRK-G0</x:v>
      </x:c>
      <x:c r="B129" s="47" t="str">
        <x:v>ET-A-A-TECH-3</x:v>
      </x:c>
      <x:c r="C129" s="47" t="str">
        <x:v>ET-A-A</x:v>
      </x:c>
      <x:c r="D129" s="47" t="str">
        <x:v>B2-BRK</x:v>
      </x:c>
      <x:c r="E129" s="47" t="str">
        <x:v>B2</x:v>
      </x:c>
      <x:c r="F129" s="47" t="str">
        <x:v>BRK</x:v>
      </x:c>
      <x:c r="G129" s="47" t="n">
        <x:v>1</x:v>
      </x:c>
      <x:c r="H129" s="47" t="n">
        <x:v>6</x:v>
      </x:c>
      <x:c r="I129" s="47" t="n">
        <x:v>25</x:v>
      </x:c>
      <x:c r="J129" s="47" t="str">
        <x:v>FX-ET-A-A-TECH-3-F1</x:v>
      </x:c>
      <x:c r="K129" s="47" t="str">
        <x:v>ET-A-A-N3</x:v>
      </x:c>
      <x:c r="L129" s="47" t="str">
        <x:v>ET-A-A-N1</x:v>
      </x:c>
      <x:c r="M129" s="47" t="str">
        <x:v>ET-A-A-N2</x:v>
      </x:c>
      <x:c r="N129" s="47" t="n">
        <x:v>1</x:v>
      </x:c>
      <x:c r="O129" s="47" t="n">
        <x:v>264</x:v>
      </x:c>
      <x:c r="P129" s="47" t="n">
        <x:v>270</x:v>
      </x:c>
      <x:c r="Q129" s="47" t="str">
        <x:v>SEALED TO CAMPAIGN CLOSE</x:v>
      </x:c>
      <x:c r="R129" s="47" t="str">
        <x:v>UNVESTED</x:v>
      </x:c>
      <x:c r="S129" s="47" t="str">
        <x:v>PROGRAMMED / UNBUILT</x:v>
      </x:c>
      <x:c r="T129" s="47" t="str">
        <x:v>ET-A-A-TECH-3-E6</x:v>
      </x:c>
      <x:c r="U129" s="47" t="n">
        <x:f>COUNTIFS($T$7:$T$150,T129)</x:f>
        <x:v>1</x:v>
      </x:c>
      <x:c r="V129" s="47" t="n">
        <x:f>COUNTIFS($H$7:$H$150,H129,$K$7:$K$150,K129,$N$7:$N$150,N129)</x:f>
        <x:v>1</x:v>
      </x:c>
      <x:c r="W129" s="47" t="n">
        <x:f>IF(M129=L129,1,0)</x:f>
        <x:v>0</x:v>
      </x:c>
    </x:row>
    <x:row r="130">
      <x:c r="A130" s="47" t="str">
        <x:v>AR-HC-A-C-TECH-4-B1-INT-G0</x:v>
      </x:c>
      <x:c r="B130" s="47" t="str">
        <x:v>HC-A-C-TECH-4</x:v>
      </x:c>
      <x:c r="C130" s="47" t="str">
        <x:v>HC-A-C</x:v>
      </x:c>
      <x:c r="D130" s="47" t="str">
        <x:v>B1-INT</x:v>
      </x:c>
      <x:c r="E130" s="47" t="str">
        <x:v>B1</x:v>
      </x:c>
      <x:c r="F130" s="47" t="str">
        <x:v>INT</x:v>
      </x:c>
      <x:c r="G130" s="47" t="n">
        <x:v>0</x:v>
      </x:c>
      <x:c r="H130" s="47" t="n">
        <x:v>6</x:v>
      </x:c>
      <x:c r="I130" s="47" t="n">
        <x:v>25</x:v>
      </x:c>
      <x:c r="J130" s="47" t="str">
        <x:v>FX-HC-A-C-TECH-4-F2</x:v>
      </x:c>
      <x:c r="K130" s="47" t="str">
        <x:v>HC-A-C-N2</x:v>
      </x:c>
      <x:c r="L130" s="47" t="str">
        <x:v>HC-A-C-N1</x:v>
      </x:c>
      <x:c r="M130" s="47" t="str">
        <x:v>HC-A-C-N3</x:v>
      </x:c>
      <x:c r="N130" s="47" t="n">
        <x:v>1</x:v>
      </x:c>
      <x:c r="O130" s="47" t="n">
        <x:v>264</x:v>
      </x:c>
      <x:c r="P130" s="47" t="n">
        <x:v>270</x:v>
      </x:c>
      <x:c r="Q130" s="47" t="str">
        <x:v>SEALED TO CAMPAIGN CLOSE</x:v>
      </x:c>
      <x:c r="R130" s="47" t="str">
        <x:v>UNVESTED</x:v>
      </x:c>
      <x:c r="S130" s="47" t="str">
        <x:v>PROGRAMMED / UNBUILT</x:v>
      </x:c>
      <x:c r="T130" s="47" t="str">
        <x:v>HC-A-C-TECH-4-E6</x:v>
      </x:c>
      <x:c r="U130" s="47" t="n">
        <x:f>COUNTIFS($T$7:$T$150,T130)</x:f>
        <x:v>1</x:v>
      </x:c>
      <x:c r="V130" s="47" t="n">
        <x:f>COUNTIFS($H$7:$H$150,H130,$K$7:$K$150,K130,$N$7:$N$150,N130)</x:f>
        <x:v>1</x:v>
      </x:c>
      <x:c r="W130" s="47" t="n">
        <x:f>IF(M130=L130,1,0)</x:f>
        <x:v>0</x:v>
      </x:c>
    </x:row>
    <x:row r="131">
      <x:c r="A131" s="47" t="str">
        <x:v>AR-LF-B-A-TECH-4-B2-RCN-G0</x:v>
      </x:c>
      <x:c r="B131" s="47" t="str">
        <x:v>LF-B-A-TECH-4</x:v>
      </x:c>
      <x:c r="C131" s="47" t="str">
        <x:v>LF-B-A</x:v>
      </x:c>
      <x:c r="D131" s="47" t="str">
        <x:v>B2-RCN</x:v>
      </x:c>
      <x:c r="E131" s="47" t="str">
        <x:v>B2</x:v>
      </x:c>
      <x:c r="F131" s="47" t="str">
        <x:v>RCN</x:v>
      </x:c>
      <x:c r="G131" s="47" t="n">
        <x:v>1</x:v>
      </x:c>
      <x:c r="H131" s="47" t="n">
        <x:v>6</x:v>
      </x:c>
      <x:c r="I131" s="47" t="n">
        <x:v>25</x:v>
      </x:c>
      <x:c r="J131" s="47" t="str">
        <x:v>FX-LF-B-A-TECH-4-F1</x:v>
      </x:c>
      <x:c r="K131" s="47" t="str">
        <x:v>LF-B-A-N1</x:v>
      </x:c>
      <x:c r="L131" s="47" t="str">
        <x:v>LF-B-A-N2</x:v>
      </x:c>
      <x:c r="M131" s="47" t="str">
        <x:v>LF-B-A-N3</x:v>
      </x:c>
      <x:c r="N131" s="47" t="n">
        <x:v>1</x:v>
      </x:c>
      <x:c r="O131" s="47" t="n">
        <x:v>264</x:v>
      </x:c>
      <x:c r="P131" s="47" t="n">
        <x:v>270</x:v>
      </x:c>
      <x:c r="Q131" s="47" t="str">
        <x:v>SEALED TO CAMPAIGN CLOSE</x:v>
      </x:c>
      <x:c r="R131" s="47" t="str">
        <x:v>UNVESTED</x:v>
      </x:c>
      <x:c r="S131" s="47" t="str">
        <x:v>PROGRAMMED / UNBUILT</x:v>
      </x:c>
      <x:c r="T131" s="47" t="str">
        <x:v>LF-B-A-TECH-4-E6</x:v>
      </x:c>
      <x:c r="U131" s="47" t="n">
        <x:f>COUNTIFS($T$7:$T$150,T131)</x:f>
        <x:v>1</x:v>
      </x:c>
      <x:c r="V131" s="47" t="n">
        <x:f>COUNTIFS($H$7:$H$150,H131,$K$7:$K$150,K131,$N$7:$N$150,N131)</x:f>
        <x:v>1</x:v>
      </x:c>
      <x:c r="W131" s="47" t="n">
        <x:f>IF(M131=L131,1,0)</x:f>
        <x:v>0</x:v>
      </x:c>
    </x:row>
    <x:row r="132">
      <x:c r="A132" s="47" t="str">
        <x:v>AR-LF-B-A-TECH-2-B2-INT-G0</x:v>
      </x:c>
      <x:c r="B132" s="47" t="str">
        <x:v>LF-B-A-TECH-2</x:v>
      </x:c>
      <x:c r="C132" s="47" t="str">
        <x:v>LF-B-A</x:v>
      </x:c>
      <x:c r="D132" s="47" t="str">
        <x:v>B2-INT</x:v>
      </x:c>
      <x:c r="E132" s="47" t="str">
        <x:v>B2</x:v>
      </x:c>
      <x:c r="F132" s="47" t="str">
        <x:v>INT</x:v>
      </x:c>
      <x:c r="G132" s="47" t="n">
        <x:v>0</x:v>
      </x:c>
      <x:c r="H132" s="47" t="n">
        <x:v>6</x:v>
      </x:c>
      <x:c r="I132" s="47" t="n">
        <x:v>25</x:v>
      </x:c>
      <x:c r="J132" s="47" t="str">
        <x:v>FX-LF-B-A-TECH-2-F1</x:v>
      </x:c>
      <x:c r="K132" s="47" t="str">
        <x:v>LF-B-A-N2</x:v>
      </x:c>
      <x:c r="L132" s="47" t="str">
        <x:v>LF-B-A-N3</x:v>
      </x:c>
      <x:c r="M132" s="47" t="str">
        <x:v>LF-B-A-N1</x:v>
      </x:c>
      <x:c r="N132" s="47" t="n">
        <x:v>1</x:v>
      </x:c>
      <x:c r="O132" s="47" t="n">
        <x:v>264</x:v>
      </x:c>
      <x:c r="P132" s="47" t="n">
        <x:v>270</x:v>
      </x:c>
      <x:c r="Q132" s="47" t="str">
        <x:v>SEALED TO CAMPAIGN CLOSE</x:v>
      </x:c>
      <x:c r="R132" s="47" t="str">
        <x:v>UNVESTED</x:v>
      </x:c>
      <x:c r="S132" s="47" t="str">
        <x:v>PROGRAMMED / UNBUILT</x:v>
      </x:c>
      <x:c r="T132" s="47" t="str">
        <x:v>LF-B-A-TECH-2-E6</x:v>
      </x:c>
      <x:c r="U132" s="47" t="n">
        <x:f>COUNTIFS($T$7:$T$150,T132)</x:f>
        <x:v>1</x:v>
      </x:c>
      <x:c r="V132" s="47" t="n">
        <x:f>COUNTIFS($H$7:$H$150,H132,$K$7:$K$150,K132,$N$7:$N$150,N132)</x:f>
        <x:v>1</x:v>
      </x:c>
      <x:c r="W132" s="47" t="n">
        <x:f>IF(M132=L132,1,0)</x:f>
        <x:v>0</x:v>
      </x:c>
    </x:row>
    <x:row r="133">
      <x:c r="A133" s="47" t="str">
        <x:v>AR-CT-C-B-TECH-3-B1-BRK-G0</x:v>
      </x:c>
      <x:c r="B133" s="47" t="str">
        <x:v>CT-C-B-TECH-3</x:v>
      </x:c>
      <x:c r="C133" s="47" t="str">
        <x:v>CT-C-B</x:v>
      </x:c>
      <x:c r="D133" s="47" t="str">
        <x:v>B1-BRK</x:v>
      </x:c>
      <x:c r="E133" s="47" t="str">
        <x:v>B1</x:v>
      </x:c>
      <x:c r="F133" s="47" t="str">
        <x:v>BRK</x:v>
      </x:c>
      <x:c r="G133" s="47" t="n">
        <x:v>1</x:v>
      </x:c>
      <x:c r="H133" s="47" t="n">
        <x:v>6</x:v>
      </x:c>
      <x:c r="I133" s="47" t="n">
        <x:v>25</x:v>
      </x:c>
      <x:c r="J133" s="47" t="str">
        <x:v>FX-CT-C-B-TECH-3-F2</x:v>
      </x:c>
      <x:c r="K133" s="47" t="str">
        <x:v>CT-C-B-N1</x:v>
      </x:c>
      <x:c r="L133" s="47" t="str">
        <x:v>CT-C-B-N3</x:v>
      </x:c>
      <x:c r="M133" s="47" t="str">
        <x:v>CT-C-B-N2</x:v>
      </x:c>
      <x:c r="N133" s="47" t="n">
        <x:v>2</x:v>
      </x:c>
      <x:c r="O133" s="47" t="n">
        <x:v>270</x:v>
      </x:c>
      <x:c r="P133" s="47" t="n">
        <x:v>276</x:v>
      </x:c>
      <x:c r="Q133" s="47" t="str">
        <x:v>SEALED TO CAMPAIGN CLOSE</x:v>
      </x:c>
      <x:c r="R133" s="47" t="str">
        <x:v>UNVESTED</x:v>
      </x:c>
      <x:c r="S133" s="47" t="str">
        <x:v>PROGRAMMED / UNBUILT</x:v>
      </x:c>
      <x:c r="T133" s="47" t="str">
        <x:v>CT-C-B-TECH-3-E6</x:v>
      </x:c>
      <x:c r="U133" s="47" t="n">
        <x:f>COUNTIFS($T$7:$T$150,T133)</x:f>
        <x:v>1</x:v>
      </x:c>
      <x:c r="V133" s="47" t="n">
        <x:f>COUNTIFS($H$7:$H$150,H133,$K$7:$K$150,K133,$N$7:$N$150,N133)</x:f>
        <x:v>1</x:v>
      </x:c>
      <x:c r="W133" s="47" t="n">
        <x:f>IF(M133=L133,1,0)</x:f>
        <x:v>0</x:v>
      </x:c>
    </x:row>
    <x:row r="134">
      <x:c r="A134" s="47" t="str">
        <x:v>AR-ET-A-A-TECH-1-B2-RCN-G0</x:v>
      </x:c>
      <x:c r="B134" s="47" t="str">
        <x:v>ET-A-A-TECH-1</x:v>
      </x:c>
      <x:c r="C134" s="47" t="str">
        <x:v>ET-A-A</x:v>
      </x:c>
      <x:c r="D134" s="47" t="str">
        <x:v>B2-RCN</x:v>
      </x:c>
      <x:c r="E134" s="47" t="str">
        <x:v>B2</x:v>
      </x:c>
      <x:c r="F134" s="47" t="str">
        <x:v>RCN</x:v>
      </x:c>
      <x:c r="G134" s="47" t="n">
        <x:v>1</x:v>
      </x:c>
      <x:c r="H134" s="47" t="n">
        <x:v>6</x:v>
      </x:c>
      <x:c r="I134" s="47" t="n">
        <x:v>25</x:v>
      </x:c>
      <x:c r="J134" s="47" t="str">
        <x:v>FX-ET-A-A-TECH-1-F2</x:v>
      </x:c>
      <x:c r="K134" s="47" t="str">
        <x:v>ET-A-A-N2</x:v>
      </x:c>
      <x:c r="L134" s="47" t="str">
        <x:v>ET-A-A-N1</x:v>
      </x:c>
      <x:c r="M134" s="47" t="str">
        <x:v>ET-A-A-N3</x:v>
      </x:c>
      <x:c r="N134" s="47" t="n">
        <x:v>2</x:v>
      </x:c>
      <x:c r="O134" s="47" t="n">
        <x:v>270</x:v>
      </x:c>
      <x:c r="P134" s="47" t="n">
        <x:v>276</x:v>
      </x:c>
      <x:c r="Q134" s="47" t="str">
        <x:v>SEALED TO CAMPAIGN CLOSE</x:v>
      </x:c>
      <x:c r="R134" s="47" t="str">
        <x:v>UNVESTED</x:v>
      </x:c>
      <x:c r="S134" s="47" t="str">
        <x:v>PROGRAMMED / UNBUILT</x:v>
      </x:c>
      <x:c r="T134" s="47" t="str">
        <x:v>ET-A-A-TECH-1-E6</x:v>
      </x:c>
      <x:c r="U134" s="47" t="n">
        <x:f>COUNTIFS($T$7:$T$150,T134)</x:f>
        <x:v>1</x:v>
      </x:c>
      <x:c r="V134" s="47" t="n">
        <x:f>COUNTIFS($H$7:$H$150,H134,$K$7:$K$150,K134,$N$7:$N$150,N134)</x:f>
        <x:v>1</x:v>
      </x:c>
      <x:c r="W134" s="47" t="n">
        <x:f>IF(M134=L134,1,0)</x:f>
        <x:v>0</x:v>
      </x:c>
    </x:row>
    <x:row r="135">
      <x:c r="A135" s="47" t="str">
        <x:v>AR-HC-A-C-TECH-1-B2-BRK-G0</x:v>
      </x:c>
      <x:c r="B135" s="47" t="str">
        <x:v>HC-A-C-TECH-1</x:v>
      </x:c>
      <x:c r="C135" s="47" t="str">
        <x:v>HC-A-C</x:v>
      </x:c>
      <x:c r="D135" s="47" t="str">
        <x:v>B2-BRK</x:v>
      </x:c>
      <x:c r="E135" s="47" t="str">
        <x:v>B2</x:v>
      </x:c>
      <x:c r="F135" s="47" t="str">
        <x:v>BRK</x:v>
      </x:c>
      <x:c r="G135" s="47" t="n">
        <x:v>1</x:v>
      </x:c>
      <x:c r="H135" s="47" t="n">
        <x:v>6</x:v>
      </x:c>
      <x:c r="I135" s="47" t="n">
        <x:v>25</x:v>
      </x:c>
      <x:c r="J135" s="47" t="str">
        <x:v>FX-HC-A-C-TECH-1-F1</x:v>
      </x:c>
      <x:c r="K135" s="47" t="str">
        <x:v>HC-A-C-N1</x:v>
      </x:c>
      <x:c r="L135" s="47" t="str">
        <x:v>HC-A-C-N2</x:v>
      </x:c>
      <x:c r="M135" s="47" t="str">
        <x:v>HC-A-C-N3</x:v>
      </x:c>
      <x:c r="N135" s="47" t="n">
        <x:v>2</x:v>
      </x:c>
      <x:c r="O135" s="47" t="n">
        <x:v>270</x:v>
      </x:c>
      <x:c r="P135" s="47" t="n">
        <x:v>276</x:v>
      </x:c>
      <x:c r="Q135" s="47" t="str">
        <x:v>SEALED TO CAMPAIGN CLOSE</x:v>
      </x:c>
      <x:c r="R135" s="47" t="str">
        <x:v>UNVESTED</x:v>
      </x:c>
      <x:c r="S135" s="47" t="str">
        <x:v>PROGRAMMED / UNBUILT</x:v>
      </x:c>
      <x:c r="T135" s="47" t="str">
        <x:v>HC-A-C-TECH-1-E6</x:v>
      </x:c>
      <x:c r="U135" s="47" t="n">
        <x:f>COUNTIFS($T$7:$T$150,T135)</x:f>
        <x:v>1</x:v>
      </x:c>
      <x:c r="V135" s="47" t="n">
        <x:f>COUNTIFS($H$7:$H$150,H135,$K$7:$K$150,K135,$N$7:$N$150,N135)</x:f>
        <x:v>1</x:v>
      </x:c>
      <x:c r="W135" s="47" t="n">
        <x:f>IF(M135=L135,1,0)</x:f>
        <x:v>0</x:v>
      </x:c>
    </x:row>
    <x:row r="136">
      <x:c r="A136" s="47" t="str">
        <x:v>AR-HU-A-B-TECH-1-B2-INT-G0</x:v>
      </x:c>
      <x:c r="B136" s="47" t="str">
        <x:v>HU-A-B-TECH-1</x:v>
      </x:c>
      <x:c r="C136" s="47" t="str">
        <x:v>HU-A-B</x:v>
      </x:c>
      <x:c r="D136" s="47" t="str">
        <x:v>B2-INT</x:v>
      </x:c>
      <x:c r="E136" s="47" t="str">
        <x:v>B2</x:v>
      </x:c>
      <x:c r="F136" s="47" t="str">
        <x:v>INT</x:v>
      </x:c>
      <x:c r="G136" s="47" t="n">
        <x:v>0</x:v>
      </x:c>
      <x:c r="H136" s="47" t="n">
        <x:v>6</x:v>
      </x:c>
      <x:c r="I136" s="47" t="n">
        <x:v>25</x:v>
      </x:c>
      <x:c r="J136" s="47" t="str">
        <x:v>FX-HU-A-B-TECH-1-F2</x:v>
      </x:c>
      <x:c r="K136" s="47" t="str">
        <x:v>HU-A-B-N2</x:v>
      </x:c>
      <x:c r="L136" s="47" t="str">
        <x:v>HU-A-B-N1</x:v>
      </x:c>
      <x:c r="M136" s="47" t="str">
        <x:v>HU-A-B-N3</x:v>
      </x:c>
      <x:c r="N136" s="47" t="n">
        <x:v>2</x:v>
      </x:c>
      <x:c r="O136" s="47" t="n">
        <x:v>270</x:v>
      </x:c>
      <x:c r="P136" s="47" t="n">
        <x:v>276</x:v>
      </x:c>
      <x:c r="Q136" s="47" t="str">
        <x:v>SEALED TO CAMPAIGN CLOSE</x:v>
      </x:c>
      <x:c r="R136" s="47" t="str">
        <x:v>UNVESTED</x:v>
      </x:c>
      <x:c r="S136" s="47" t="str">
        <x:v>PROGRAMMED / UNBUILT</x:v>
      </x:c>
      <x:c r="T136" s="47" t="str">
        <x:v>HU-A-B-TECH-1-E6</x:v>
      </x:c>
      <x:c r="U136" s="47" t="n">
        <x:f>COUNTIFS($T$7:$T$150,T136)</x:f>
        <x:v>1</x:v>
      </x:c>
      <x:c r="V136" s="47" t="n">
        <x:f>COUNTIFS($H$7:$H$150,H136,$K$7:$K$150,K136,$N$7:$N$150,N136)</x:f>
        <x:v>1</x:v>
      </x:c>
      <x:c r="W136" s="47" t="n">
        <x:f>IF(M136=L136,1,0)</x:f>
        <x:v>0</x:v>
      </x:c>
    </x:row>
    <x:row r="137">
      <x:c r="A137" s="47" t="str">
        <x:v>AR-LF-B-A-TECH-3-B1-INT-G0</x:v>
      </x:c>
      <x:c r="B137" s="47" t="str">
        <x:v>LF-B-A-TECH-3</x:v>
      </x:c>
      <x:c r="C137" s="47" t="str">
        <x:v>LF-B-A</x:v>
      </x:c>
      <x:c r="D137" s="47" t="str">
        <x:v>B1-INT</x:v>
      </x:c>
      <x:c r="E137" s="47" t="str">
        <x:v>B1</x:v>
      </x:c>
      <x:c r="F137" s="47" t="str">
        <x:v>INT</x:v>
      </x:c>
      <x:c r="G137" s="47" t="n">
        <x:v>0</x:v>
      </x:c>
      <x:c r="H137" s="47" t="n">
        <x:v>6</x:v>
      </x:c>
      <x:c r="I137" s="47" t="n">
        <x:v>25</x:v>
      </x:c>
      <x:c r="J137" s="47" t="str">
        <x:v>FX-LF-B-A-TECH-3-F1</x:v>
      </x:c>
      <x:c r="K137" s="47" t="str">
        <x:v>LF-B-A-N3</x:v>
      </x:c>
      <x:c r="L137" s="47" t="str">
        <x:v>LF-B-A-N1</x:v>
      </x:c>
      <x:c r="M137" s="47" t="str">
        <x:v>LF-B-A-N2</x:v>
      </x:c>
      <x:c r="N137" s="47" t="n">
        <x:v>2</x:v>
      </x:c>
      <x:c r="O137" s="47" t="n">
        <x:v>270</x:v>
      </x:c>
      <x:c r="P137" s="47" t="n">
        <x:v>276</x:v>
      </x:c>
      <x:c r="Q137" s="47" t="str">
        <x:v>SEALED TO CAMPAIGN CLOSE</x:v>
      </x:c>
      <x:c r="R137" s="47" t="str">
        <x:v>UNVESTED</x:v>
      </x:c>
      <x:c r="S137" s="47" t="str">
        <x:v>PROGRAMMED / UNBUILT</x:v>
      </x:c>
      <x:c r="T137" s="47" t="str">
        <x:v>LF-B-A-TECH-3-E6</x:v>
      </x:c>
      <x:c r="U137" s="47" t="n">
        <x:f>COUNTIFS($T$7:$T$150,T137)</x:f>
        <x:v>1</x:v>
      </x:c>
      <x:c r="V137" s="47" t="n">
        <x:f>COUNTIFS($H$7:$H$150,H137,$K$7:$K$150,K137,$N$7:$N$150,N137)</x:f>
        <x:v>1</x:v>
      </x:c>
      <x:c r="W137" s="47" t="n">
        <x:f>IF(M137=L137,1,0)</x:f>
        <x:v>0</x:v>
      </x:c>
    </x:row>
    <x:row r="138">
      <x:c r="A138" s="47" t="str">
        <x:v>AR-RT-B-C-TECH-2-B2-RCN-G0</x:v>
      </x:c>
      <x:c r="B138" s="47" t="str">
        <x:v>RT-B-C-TECH-2</x:v>
      </x:c>
      <x:c r="C138" s="47" t="str">
        <x:v>RT-B-C</x:v>
      </x:c>
      <x:c r="D138" s="47" t="str">
        <x:v>B2-RCN</x:v>
      </x:c>
      <x:c r="E138" s="47" t="str">
        <x:v>B2</x:v>
      </x:c>
      <x:c r="F138" s="47" t="str">
        <x:v>RCN</x:v>
      </x:c>
      <x:c r="G138" s="47" t="n">
        <x:v>1</x:v>
      </x:c>
      <x:c r="H138" s="47" t="n">
        <x:v>6</x:v>
      </x:c>
      <x:c r="I138" s="47" t="n">
        <x:v>25</x:v>
      </x:c>
      <x:c r="J138" s="47" t="str">
        <x:v>FX-RT-B-C-TECH-2-F1</x:v>
      </x:c>
      <x:c r="K138" s="47" t="str">
        <x:v>RT-B-C-N2</x:v>
      </x:c>
      <x:c r="L138" s="47" t="str">
        <x:v>RT-B-C-N3</x:v>
      </x:c>
      <x:c r="M138" s="47" t="str">
        <x:v>RT-B-C-N1</x:v>
      </x:c>
      <x:c r="N138" s="47" t="n">
        <x:v>2</x:v>
      </x:c>
      <x:c r="O138" s="47" t="n">
        <x:v>270</x:v>
      </x:c>
      <x:c r="P138" s="47" t="n">
        <x:v>276</x:v>
      </x:c>
      <x:c r="Q138" s="47" t="str">
        <x:v>SEALED TO CAMPAIGN CLOSE</x:v>
      </x:c>
      <x:c r="R138" s="47" t="str">
        <x:v>UNVESTED</x:v>
      </x:c>
      <x:c r="S138" s="47" t="str">
        <x:v>PROGRAMMED / UNBUILT</x:v>
      </x:c>
      <x:c r="T138" s="47" t="str">
        <x:v>RT-B-C-TECH-2-E6</x:v>
      </x:c>
      <x:c r="U138" s="47" t="n">
        <x:f>COUNTIFS($T$7:$T$150,T138)</x:f>
        <x:v>1</x:v>
      </x:c>
      <x:c r="V138" s="47" t="n">
        <x:f>COUNTIFS($H$7:$H$150,H138,$K$7:$K$150,K138,$N$7:$N$150,N138)</x:f>
        <x:v>1</x:v>
      </x:c>
      <x:c r="W138" s="47" t="n">
        <x:f>IF(M138=L138,1,0)</x:f>
        <x:v>0</x:v>
      </x:c>
    </x:row>
    <x:row r="139">
      <x:c r="A139" s="47" t="str">
        <x:v>AR-CT-C-B-TECH-4-B2-INT-G0</x:v>
      </x:c>
      <x:c r="B139" s="47" t="str">
        <x:v>CT-C-B-TECH-4</x:v>
      </x:c>
      <x:c r="C139" s="47" t="str">
        <x:v>CT-C-B</x:v>
      </x:c>
      <x:c r="D139" s="47" t="str">
        <x:v>B2-INT</x:v>
      </x:c>
      <x:c r="E139" s="47" t="str">
        <x:v>B2</x:v>
      </x:c>
      <x:c r="F139" s="47" t="str">
        <x:v>INT</x:v>
      </x:c>
      <x:c r="G139" s="47" t="n">
        <x:v>0</x:v>
      </x:c>
      <x:c r="H139" s="47" t="n">
        <x:v>6</x:v>
      </x:c>
      <x:c r="I139" s="47" t="n">
        <x:v>25</x:v>
      </x:c>
      <x:c r="J139" s="47" t="str">
        <x:v>FX-CT-C-B-TECH-4-F1</x:v>
      </x:c>
      <x:c r="K139" s="47" t="str">
        <x:v>CT-C-B-N1</x:v>
      </x:c>
      <x:c r="L139" s="47" t="str">
        <x:v>CT-C-B-N2</x:v>
      </x:c>
      <x:c r="M139" s="47" t="str">
        <x:v>CT-C-B-N3</x:v>
      </x:c>
      <x:c r="N139" s="47" t="n">
        <x:v>3</x:v>
      </x:c>
      <x:c r="O139" s="47" t="n">
        <x:v>276</x:v>
      </x:c>
      <x:c r="P139" s="47" t="n">
        <x:v>282</x:v>
      </x:c>
      <x:c r="Q139" s="47" t="str">
        <x:v>SEALED TO CAMPAIGN CLOSE</x:v>
      </x:c>
      <x:c r="R139" s="47" t="str">
        <x:v>UNVESTED</x:v>
      </x:c>
      <x:c r="S139" s="47" t="str">
        <x:v>PROGRAMMED / UNBUILT</x:v>
      </x:c>
      <x:c r="T139" s="47" t="str">
        <x:v>CT-C-B-TECH-4-E6</x:v>
      </x:c>
      <x:c r="U139" s="47" t="n">
        <x:f>COUNTIFS($T$7:$T$150,T139)</x:f>
        <x:v>1</x:v>
      </x:c>
      <x:c r="V139" s="47" t="n">
        <x:f>COUNTIFS($H$7:$H$150,H139,$K$7:$K$150,K139,$N$7:$N$150,N139)</x:f>
        <x:v>1</x:v>
      </x:c>
      <x:c r="W139" s="47" t="n">
        <x:f>IF(M139=L139,1,0)</x:f>
        <x:v>0</x:v>
      </x:c>
    </x:row>
    <x:row r="140">
      <x:c r="A140" s="47" t="str">
        <x:v>AR-HC-A-C-TECH-3-B2-INT-G0</x:v>
      </x:c>
      <x:c r="B140" s="47" t="str">
        <x:v>HC-A-C-TECH-3</x:v>
      </x:c>
      <x:c r="C140" s="47" t="str">
        <x:v>HC-A-C</x:v>
      </x:c>
      <x:c r="D140" s="47" t="str">
        <x:v>B2-INT</x:v>
      </x:c>
      <x:c r="E140" s="47" t="str">
        <x:v>B2</x:v>
      </x:c>
      <x:c r="F140" s="47" t="str">
        <x:v>INT</x:v>
      </x:c>
      <x:c r="G140" s="47" t="n">
        <x:v>0</x:v>
      </x:c>
      <x:c r="H140" s="47" t="n">
        <x:v>6</x:v>
      </x:c>
      <x:c r="I140" s="47" t="n">
        <x:v>25</x:v>
      </x:c>
      <x:c r="J140" s="47" t="str">
        <x:v>FX-HC-A-C-TECH-3-F2</x:v>
      </x:c>
      <x:c r="K140" s="47" t="str">
        <x:v>HC-A-C-N1</x:v>
      </x:c>
      <x:c r="L140" s="47" t="str">
        <x:v>HC-A-C-N3</x:v>
      </x:c>
      <x:c r="M140" s="47" t="str">
        <x:v>HC-A-C-N2</x:v>
      </x:c>
      <x:c r="N140" s="47" t="n">
        <x:v>3</x:v>
      </x:c>
      <x:c r="O140" s="47" t="n">
        <x:v>276</x:v>
      </x:c>
      <x:c r="P140" s="47" t="n">
        <x:v>282</x:v>
      </x:c>
      <x:c r="Q140" s="47" t="str">
        <x:v>SEALED TO CAMPAIGN CLOSE</x:v>
      </x:c>
      <x:c r="R140" s="47" t="str">
        <x:v>UNVESTED</x:v>
      </x:c>
      <x:c r="S140" s="47" t="str">
        <x:v>PROGRAMMED / UNBUILT</x:v>
      </x:c>
      <x:c r="T140" s="47" t="str">
        <x:v>HC-A-C-TECH-3-E6</x:v>
      </x:c>
      <x:c r="U140" s="47" t="n">
        <x:f>COUNTIFS($T$7:$T$150,T140)</x:f>
        <x:v>1</x:v>
      </x:c>
      <x:c r="V140" s="47" t="n">
        <x:f>COUNTIFS($H$7:$H$150,H140,$K$7:$K$150,K140,$N$7:$N$150,N140)</x:f>
        <x:v>1</x:v>
      </x:c>
      <x:c r="W140" s="47" t="n">
        <x:f>IF(M140=L140,1,0)</x:f>
        <x:v>0</x:v>
      </x:c>
    </x:row>
    <x:row r="141">
      <x:c r="A141" s="47" t="str">
        <x:v>AR-HU-A-B-TECH-3-B2-RCN-G0</x:v>
      </x:c>
      <x:c r="B141" s="47" t="str">
        <x:v>HU-A-B-TECH-3</x:v>
      </x:c>
      <x:c r="C141" s="47" t="str">
        <x:v>HU-A-B</x:v>
      </x:c>
      <x:c r="D141" s="47" t="str">
        <x:v>B2-RCN</x:v>
      </x:c>
      <x:c r="E141" s="47" t="str">
        <x:v>B2</x:v>
      </x:c>
      <x:c r="F141" s="47" t="str">
        <x:v>RCN</x:v>
      </x:c>
      <x:c r="G141" s="47" t="n">
        <x:v>1</x:v>
      </x:c>
      <x:c r="H141" s="47" t="n">
        <x:v>6</x:v>
      </x:c>
      <x:c r="I141" s="47" t="n">
        <x:v>25</x:v>
      </x:c>
      <x:c r="J141" s="47" t="str">
        <x:v>FX-HU-A-B-TECH-3-F2</x:v>
      </x:c>
      <x:c r="K141" s="47" t="str">
        <x:v>HU-A-B-N1</x:v>
      </x:c>
      <x:c r="L141" s="47" t="str">
        <x:v>HU-A-B-N3</x:v>
      </x:c>
      <x:c r="M141" s="47" t="str">
        <x:v>HU-A-B-N2</x:v>
      </x:c>
      <x:c r="N141" s="47" t="n">
        <x:v>3</x:v>
      </x:c>
      <x:c r="O141" s="47" t="n">
        <x:v>276</x:v>
      </x:c>
      <x:c r="P141" s="47" t="n">
        <x:v>282</x:v>
      </x:c>
      <x:c r="Q141" s="47" t="str">
        <x:v>SEALED TO CAMPAIGN CLOSE</x:v>
      </x:c>
      <x:c r="R141" s="47" t="str">
        <x:v>UNVESTED</x:v>
      </x:c>
      <x:c r="S141" s="47" t="str">
        <x:v>PROGRAMMED / UNBUILT</x:v>
      </x:c>
      <x:c r="T141" s="47" t="str">
        <x:v>HU-A-B-TECH-3-E6</x:v>
      </x:c>
      <x:c r="U141" s="47" t="n">
        <x:f>COUNTIFS($T$7:$T$150,T141)</x:f>
        <x:v>1</x:v>
      </x:c>
      <x:c r="V141" s="47" t="n">
        <x:f>COUNTIFS($H$7:$H$150,H141,$K$7:$K$150,K141,$N$7:$N$150,N141)</x:f>
        <x:v>1</x:v>
      </x:c>
      <x:c r="W141" s="47" t="n">
        <x:f>IF(M141=L141,1,0)</x:f>
        <x:v>0</x:v>
      </x:c>
    </x:row>
    <x:row r="142">
      <x:c r="A142" s="47" t="str">
        <x:v>AR-HU-A-B-TECH-4-B1-RCN-G0</x:v>
      </x:c>
      <x:c r="B142" s="47" t="str">
        <x:v>HU-A-B-TECH-4</x:v>
      </x:c>
      <x:c r="C142" s="47" t="str">
        <x:v>HU-A-B</x:v>
      </x:c>
      <x:c r="D142" s="47" t="str">
        <x:v>B1-RCN</x:v>
      </x:c>
      <x:c r="E142" s="47" t="str">
        <x:v>B1</x:v>
      </x:c>
      <x:c r="F142" s="47" t="str">
        <x:v>RCN</x:v>
      </x:c>
      <x:c r="G142" s="47" t="n">
        <x:v>1</x:v>
      </x:c>
      <x:c r="H142" s="47" t="n">
        <x:v>6</x:v>
      </x:c>
      <x:c r="I142" s="47" t="n">
        <x:v>25</x:v>
      </x:c>
      <x:c r="J142" s="47" t="str">
        <x:v>FX-HU-A-B-TECH-4-F2</x:v>
      </x:c>
      <x:c r="K142" s="47" t="str">
        <x:v>HU-A-B-N2</x:v>
      </x:c>
      <x:c r="L142" s="47" t="str">
        <x:v>HU-A-B-N1</x:v>
      </x:c>
      <x:c r="M142" s="47" t="str">
        <x:v>HU-A-B-N3</x:v>
      </x:c>
      <x:c r="N142" s="47" t="n">
        <x:v>3</x:v>
      </x:c>
      <x:c r="O142" s="47" t="n">
        <x:v>276</x:v>
      </x:c>
      <x:c r="P142" s="47" t="n">
        <x:v>282</x:v>
      </x:c>
      <x:c r="Q142" s="47" t="str">
        <x:v>SEALED TO CAMPAIGN CLOSE</x:v>
      </x:c>
      <x:c r="R142" s="47" t="str">
        <x:v>UNVESTED</x:v>
      </x:c>
      <x:c r="S142" s="47" t="str">
        <x:v>PROGRAMMED / UNBUILT</x:v>
      </x:c>
      <x:c r="T142" s="47" t="str">
        <x:v>HU-A-B-TECH-4-E6</x:v>
      </x:c>
      <x:c r="U142" s="47" t="n">
        <x:f>COUNTIFS($T$7:$T$150,T142)</x:f>
        <x:v>1</x:v>
      </x:c>
      <x:c r="V142" s="47" t="n">
        <x:f>COUNTIFS($H$7:$H$150,H142,$K$7:$K$150,K142,$N$7:$N$150,N142)</x:f>
        <x:v>1</x:v>
      </x:c>
      <x:c r="W142" s="47" t="n">
        <x:f>IF(M142=L142,1,0)</x:f>
        <x:v>0</x:v>
      </x:c>
    </x:row>
    <x:row r="143">
      <x:c r="A143" s="47" t="str">
        <x:v>AR-RT-B-C-TECH-1-B1-INT-G0</x:v>
      </x:c>
      <x:c r="B143" s="47" t="str">
        <x:v>RT-B-C-TECH-1</x:v>
      </x:c>
      <x:c r="C143" s="47" t="str">
        <x:v>RT-B-C</x:v>
      </x:c>
      <x:c r="D143" s="47" t="str">
        <x:v>B1-INT</x:v>
      </x:c>
      <x:c r="E143" s="47" t="str">
        <x:v>B1</x:v>
      </x:c>
      <x:c r="F143" s="47" t="str">
        <x:v>INT</x:v>
      </x:c>
      <x:c r="G143" s="47" t="n">
        <x:v>0</x:v>
      </x:c>
      <x:c r="H143" s="47" t="n">
        <x:v>6</x:v>
      </x:c>
      <x:c r="I143" s="47" t="n">
        <x:v>25</x:v>
      </x:c>
      <x:c r="J143" s="47" t="str">
        <x:v>FX-RT-B-C-TECH-1-F1</x:v>
      </x:c>
      <x:c r="K143" s="47" t="str">
        <x:v>RT-B-C-N1</x:v>
      </x:c>
      <x:c r="L143" s="47" t="str">
        <x:v>RT-B-C-N2</x:v>
      </x:c>
      <x:c r="M143" s="47" t="str">
        <x:v>RT-B-C-N3</x:v>
      </x:c>
      <x:c r="N143" s="47" t="n">
        <x:v>3</x:v>
      </x:c>
      <x:c r="O143" s="47" t="n">
        <x:v>276</x:v>
      </x:c>
      <x:c r="P143" s="47" t="n">
        <x:v>282</x:v>
      </x:c>
      <x:c r="Q143" s="47" t="str">
        <x:v>SEALED TO CAMPAIGN CLOSE</x:v>
      </x:c>
      <x:c r="R143" s="47" t="str">
        <x:v>UNVESTED</x:v>
      </x:c>
      <x:c r="S143" s="47" t="str">
        <x:v>PROGRAMMED / UNBUILT</x:v>
      </x:c>
      <x:c r="T143" s="47" t="str">
        <x:v>RT-B-C-TECH-1-E6</x:v>
      </x:c>
      <x:c r="U143" s="47" t="n">
        <x:f>COUNTIFS($T$7:$T$150,T143)</x:f>
        <x:v>1</x:v>
      </x:c>
      <x:c r="V143" s="47" t="n">
        <x:f>COUNTIFS($H$7:$H$150,H143,$K$7:$K$150,K143,$N$7:$N$150,N143)</x:f>
        <x:v>1</x:v>
      </x:c>
      <x:c r="W143" s="47" t="n">
        <x:f>IF(M143=L143,1,0)</x:f>
        <x:v>0</x:v>
      </x:c>
    </x:row>
    <x:row r="144">
      <x:c r="A144" s="47" t="str">
        <x:v>AR-RT-B-C-TECH-4-B2-BRK-G0</x:v>
      </x:c>
      <x:c r="B144" s="47" t="str">
        <x:v>RT-B-C-TECH-4</x:v>
      </x:c>
      <x:c r="C144" s="47" t="str">
        <x:v>RT-B-C</x:v>
      </x:c>
      <x:c r="D144" s="47" t="str">
        <x:v>B2-BRK</x:v>
      </x:c>
      <x:c r="E144" s="47" t="str">
        <x:v>B2</x:v>
      </x:c>
      <x:c r="F144" s="47" t="str">
        <x:v>BRK</x:v>
      </x:c>
      <x:c r="G144" s="47" t="n">
        <x:v>1</x:v>
      </x:c>
      <x:c r="H144" s="47" t="n">
        <x:v>6</x:v>
      </x:c>
      <x:c r="I144" s="47" t="n">
        <x:v>25</x:v>
      </x:c>
      <x:c r="J144" s="47" t="str">
        <x:v>FX-RT-B-C-TECH-4-F2</x:v>
      </x:c>
      <x:c r="K144" s="47" t="str">
        <x:v>RT-B-C-N2</x:v>
      </x:c>
      <x:c r="L144" s="47" t="str">
        <x:v>RT-B-C-N1</x:v>
      </x:c>
      <x:c r="M144" s="47" t="str">
        <x:v>RT-B-C-N3</x:v>
      </x:c>
      <x:c r="N144" s="47" t="n">
        <x:v>3</x:v>
      </x:c>
      <x:c r="O144" s="47" t="n">
        <x:v>276</x:v>
      </x:c>
      <x:c r="P144" s="47" t="n">
        <x:v>282</x:v>
      </x:c>
      <x:c r="Q144" s="47" t="str">
        <x:v>SEALED TO CAMPAIGN CLOSE</x:v>
      </x:c>
      <x:c r="R144" s="47" t="str">
        <x:v>UNVESTED</x:v>
      </x:c>
      <x:c r="S144" s="47" t="str">
        <x:v>PROGRAMMED / UNBUILT</x:v>
      </x:c>
      <x:c r="T144" s="47" t="str">
        <x:v>RT-B-C-TECH-4-E6</x:v>
      </x:c>
      <x:c r="U144" s="47" t="n">
        <x:f>COUNTIFS($T$7:$T$150,T144)</x:f>
        <x:v>1</x:v>
      </x:c>
      <x:c r="V144" s="47" t="n">
        <x:f>COUNTIFS($H$7:$H$150,H144,$K$7:$K$150,K144,$N$7:$N$150,N144)</x:f>
        <x:v>1</x:v>
      </x:c>
      <x:c r="W144" s="47" t="n">
        <x:f>IF(M144=L144,1,0)</x:f>
        <x:v>0</x:v>
      </x:c>
    </x:row>
    <x:row r="145">
      <x:c r="A145" s="47" t="str">
        <x:v>AR-CT-C-B-TECH-2-B2-BRK-G0</x:v>
      </x:c>
      <x:c r="B145" s="47" t="str">
        <x:v>CT-C-B-TECH-2</x:v>
      </x:c>
      <x:c r="C145" s="47" t="str">
        <x:v>CT-C-B</x:v>
      </x:c>
      <x:c r="D145" s="47" t="str">
        <x:v>B2-BRK</x:v>
      </x:c>
      <x:c r="E145" s="47" t="str">
        <x:v>B2</x:v>
      </x:c>
      <x:c r="F145" s="47" t="str">
        <x:v>BRK</x:v>
      </x:c>
      <x:c r="G145" s="47" t="n">
        <x:v>1</x:v>
      </x:c>
      <x:c r="H145" s="47" t="n">
        <x:v>6</x:v>
      </x:c>
      <x:c r="I145" s="47" t="n">
        <x:v>25</x:v>
      </x:c>
      <x:c r="J145" s="47" t="str">
        <x:v>FX-CT-C-B-TECH-2-F2</x:v>
      </x:c>
      <x:c r="K145" s="47" t="str">
        <x:v>CT-C-B-N3</x:v>
      </x:c>
      <x:c r="L145" s="47" t="str">
        <x:v>CT-C-B-N2</x:v>
      </x:c>
      <x:c r="M145" s="47" t="str">
        <x:v>CT-C-B-N1</x:v>
      </x:c>
      <x:c r="N145" s="47" t="n">
        <x:v>4</x:v>
      </x:c>
      <x:c r="O145" s="47" t="n">
        <x:v>282</x:v>
      </x:c>
      <x:c r="P145" s="47" t="n">
        <x:v>288</x:v>
      </x:c>
      <x:c r="Q145" s="47" t="str">
        <x:v>SEALED TO CAMPAIGN CLOSE</x:v>
      </x:c>
      <x:c r="R145" s="47" t="str">
        <x:v>UNVESTED</x:v>
      </x:c>
      <x:c r="S145" s="47" t="str">
        <x:v>PROGRAMMED / UNBUILT</x:v>
      </x:c>
      <x:c r="T145" s="47" t="str">
        <x:v>CT-C-B-TECH-2-E6</x:v>
      </x:c>
      <x:c r="U145" s="47" t="n">
        <x:f>COUNTIFS($T$7:$T$150,T145)</x:f>
        <x:v>1</x:v>
      </x:c>
      <x:c r="V145" s="47" t="n">
        <x:f>COUNTIFS($H$7:$H$150,H145,$K$7:$K$150,K145,$N$7:$N$150,N145)</x:f>
        <x:v>1</x:v>
      </x:c>
      <x:c r="W145" s="47" t="n">
        <x:f>IF(M145=L145,1,0)</x:f>
        <x:v>0</x:v>
      </x:c>
    </x:row>
    <x:row r="146">
      <x:c r="A146" s="47" t="str">
        <x:v>AR-ET-A-A-TECH-2-B1-RCN-G0</x:v>
      </x:c>
      <x:c r="B146" s="47" t="str">
        <x:v>ET-A-A-TECH-2</x:v>
      </x:c>
      <x:c r="C146" s="47" t="str">
        <x:v>ET-A-A</x:v>
      </x:c>
      <x:c r="D146" s="47" t="str">
        <x:v>B1-RCN</x:v>
      </x:c>
      <x:c r="E146" s="47" t="str">
        <x:v>B1</x:v>
      </x:c>
      <x:c r="F146" s="47" t="str">
        <x:v>RCN</x:v>
      </x:c>
      <x:c r="G146" s="47" t="n">
        <x:v>1</x:v>
      </x:c>
      <x:c r="H146" s="47" t="n">
        <x:v>6</x:v>
      </x:c>
      <x:c r="I146" s="47" t="n">
        <x:v>25</x:v>
      </x:c>
      <x:c r="J146" s="47" t="str">
        <x:v>FX-ET-A-A-TECH-2-F2</x:v>
      </x:c>
      <x:c r="K146" s="47" t="str">
        <x:v>ET-A-A-N3</x:v>
      </x:c>
      <x:c r="L146" s="47" t="str">
        <x:v>ET-A-A-N2</x:v>
      </x:c>
      <x:c r="M146" s="47" t="str">
        <x:v>ET-A-A-N1</x:v>
      </x:c>
      <x:c r="N146" s="47" t="n">
        <x:v>4</x:v>
      </x:c>
      <x:c r="O146" s="47" t="n">
        <x:v>282</x:v>
      </x:c>
      <x:c r="P146" s="47" t="n">
        <x:v>288</x:v>
      </x:c>
      <x:c r="Q146" s="47" t="str">
        <x:v>SEALED TO CAMPAIGN CLOSE</x:v>
      </x:c>
      <x:c r="R146" s="47" t="str">
        <x:v>UNVESTED</x:v>
      </x:c>
      <x:c r="S146" s="47" t="str">
        <x:v>PROGRAMMED / UNBUILT</x:v>
      </x:c>
      <x:c r="T146" s="47" t="str">
        <x:v>ET-A-A-TECH-2-E6</x:v>
      </x:c>
      <x:c r="U146" s="47" t="n">
        <x:f>COUNTIFS($T$7:$T$150,T146)</x:f>
        <x:v>1</x:v>
      </x:c>
      <x:c r="V146" s="47" t="n">
        <x:f>COUNTIFS($H$7:$H$150,H146,$K$7:$K$150,K146,$N$7:$N$150,N146)</x:f>
        <x:v>1</x:v>
      </x:c>
      <x:c r="W146" s="47" t="n">
        <x:f>IF(M146=L146,1,0)</x:f>
        <x:v>0</x:v>
      </x:c>
    </x:row>
    <x:row r="147">
      <x:c r="A147" s="47" t="str">
        <x:v>AR-HC-A-C-TECH-2-B1-BRK-G0</x:v>
      </x:c>
      <x:c r="B147" s="47" t="str">
        <x:v>HC-A-C-TECH-2</x:v>
      </x:c>
      <x:c r="C147" s="47" t="str">
        <x:v>HC-A-C</x:v>
      </x:c>
      <x:c r="D147" s="47" t="str">
        <x:v>B1-BRK</x:v>
      </x:c>
      <x:c r="E147" s="47" t="str">
        <x:v>B1</x:v>
      </x:c>
      <x:c r="F147" s="47" t="str">
        <x:v>BRK</x:v>
      </x:c>
      <x:c r="G147" s="47" t="n">
        <x:v>1</x:v>
      </x:c>
      <x:c r="H147" s="47" t="n">
        <x:v>6</x:v>
      </x:c>
      <x:c r="I147" s="47" t="n">
        <x:v>25</x:v>
      </x:c>
      <x:c r="J147" s="47" t="str">
        <x:v>FX-HC-A-C-TECH-2-F1</x:v>
      </x:c>
      <x:c r="K147" s="47" t="str">
        <x:v>HC-A-C-N2</x:v>
      </x:c>
      <x:c r="L147" s="47" t="str">
        <x:v>HC-A-C-N3</x:v>
      </x:c>
      <x:c r="M147" s="47" t="str">
        <x:v>HC-A-C-N1</x:v>
      </x:c>
      <x:c r="N147" s="47" t="n">
        <x:v>4</x:v>
      </x:c>
      <x:c r="O147" s="47" t="n">
        <x:v>282</x:v>
      </x:c>
      <x:c r="P147" s="47" t="n">
        <x:v>288</x:v>
      </x:c>
      <x:c r="Q147" s="47" t="str">
        <x:v>SEALED TO CAMPAIGN CLOSE</x:v>
      </x:c>
      <x:c r="R147" s="47" t="str">
        <x:v>UNVESTED</x:v>
      </x:c>
      <x:c r="S147" s="47" t="str">
        <x:v>PROGRAMMED / UNBUILT</x:v>
      </x:c>
      <x:c r="T147" s="47" t="str">
        <x:v>HC-A-C-TECH-2-E6</x:v>
      </x:c>
      <x:c r="U147" s="47" t="n">
        <x:f>COUNTIFS($T$7:$T$150,T147)</x:f>
        <x:v>1</x:v>
      </x:c>
      <x:c r="V147" s="47" t="n">
        <x:f>COUNTIFS($H$7:$H$150,H147,$K$7:$K$150,K147,$N$7:$N$150,N147)</x:f>
        <x:v>1</x:v>
      </x:c>
      <x:c r="W147" s="47" t="n">
        <x:f>IF(M147=L147,1,0)</x:f>
        <x:v>0</x:v>
      </x:c>
    </x:row>
    <x:row r="148">
      <x:c r="A148" s="47" t="str">
        <x:v>AR-HU-A-B-TECH-2-B1-INT-G0</x:v>
      </x:c>
      <x:c r="B148" s="47" t="str">
        <x:v>HU-A-B-TECH-2</x:v>
      </x:c>
      <x:c r="C148" s="47" t="str">
        <x:v>HU-A-B</x:v>
      </x:c>
      <x:c r="D148" s="47" t="str">
        <x:v>B1-INT</x:v>
      </x:c>
      <x:c r="E148" s="47" t="str">
        <x:v>B1</x:v>
      </x:c>
      <x:c r="F148" s="47" t="str">
        <x:v>INT</x:v>
      </x:c>
      <x:c r="G148" s="47" t="n">
        <x:v>0</x:v>
      </x:c>
      <x:c r="H148" s="47" t="n">
        <x:v>6</x:v>
      </x:c>
      <x:c r="I148" s="47" t="n">
        <x:v>25</x:v>
      </x:c>
      <x:c r="J148" s="47" t="str">
        <x:v>FX-HU-A-B-TECH-2-F2</x:v>
      </x:c>
      <x:c r="K148" s="47" t="str">
        <x:v>HU-A-B-N3</x:v>
      </x:c>
      <x:c r="L148" s="47" t="str">
        <x:v>HU-A-B-N2</x:v>
      </x:c>
      <x:c r="M148" s="47" t="str">
        <x:v>HU-A-B-N1</x:v>
      </x:c>
      <x:c r="N148" s="47" t="n">
        <x:v>4</x:v>
      </x:c>
      <x:c r="O148" s="47" t="n">
        <x:v>282</x:v>
      </x:c>
      <x:c r="P148" s="47" t="n">
        <x:v>288</x:v>
      </x:c>
      <x:c r="Q148" s="47" t="str">
        <x:v>SEALED TO CAMPAIGN CLOSE</x:v>
      </x:c>
      <x:c r="R148" s="47" t="str">
        <x:v>UNVESTED</x:v>
      </x:c>
      <x:c r="S148" s="47" t="str">
        <x:v>PROGRAMMED / UNBUILT</x:v>
      </x:c>
      <x:c r="T148" s="47" t="str">
        <x:v>HU-A-B-TECH-2-E6</x:v>
      </x:c>
      <x:c r="U148" s="47" t="n">
        <x:f>COUNTIFS($T$7:$T$150,T148)</x:f>
        <x:v>1</x:v>
      </x:c>
      <x:c r="V148" s="47" t="n">
        <x:f>COUNTIFS($H$7:$H$150,H148,$K$7:$K$150,K148,$N$7:$N$150,N148)</x:f>
        <x:v>1</x:v>
      </x:c>
      <x:c r="W148" s="47" t="n">
        <x:f>IF(M148=L148,1,0)</x:f>
        <x:v>0</x:v>
      </x:c>
    </x:row>
    <x:row r="149">
      <x:c r="A149" s="47" t="str">
        <x:v>AR-LF-B-A-TECH-1-B1-BRK-G0</x:v>
      </x:c>
      <x:c r="B149" s="47" t="str">
        <x:v>LF-B-A-TECH-1</x:v>
      </x:c>
      <x:c r="C149" s="47" t="str">
        <x:v>LF-B-A</x:v>
      </x:c>
      <x:c r="D149" s="47" t="str">
        <x:v>B1-BRK</x:v>
      </x:c>
      <x:c r="E149" s="47" t="str">
        <x:v>B1</x:v>
      </x:c>
      <x:c r="F149" s="47" t="str">
        <x:v>BRK</x:v>
      </x:c>
      <x:c r="G149" s="47" t="n">
        <x:v>1</x:v>
      </x:c>
      <x:c r="H149" s="47" t="n">
        <x:v>6</x:v>
      </x:c>
      <x:c r="I149" s="47" t="n">
        <x:v>25</x:v>
      </x:c>
      <x:c r="J149" s="47" t="str">
        <x:v>FX-LF-B-A-TECH-1-F2</x:v>
      </x:c>
      <x:c r="K149" s="47" t="str">
        <x:v>LF-B-A-N2</x:v>
      </x:c>
      <x:c r="L149" s="47" t="str">
        <x:v>LF-B-A-N1</x:v>
      </x:c>
      <x:c r="M149" s="47" t="str">
        <x:v>LF-B-A-N3</x:v>
      </x:c>
      <x:c r="N149" s="47" t="n">
        <x:v>4</x:v>
      </x:c>
      <x:c r="O149" s="47" t="n">
        <x:v>282</x:v>
      </x:c>
      <x:c r="P149" s="47" t="n">
        <x:v>288</x:v>
      </x:c>
      <x:c r="Q149" s="47" t="str">
        <x:v>SEALED TO CAMPAIGN CLOSE</x:v>
      </x:c>
      <x:c r="R149" s="47" t="str">
        <x:v>UNVESTED</x:v>
      </x:c>
      <x:c r="S149" s="47" t="str">
        <x:v>PROGRAMMED / UNBUILT</x:v>
      </x:c>
      <x:c r="T149" s="47" t="str">
        <x:v>LF-B-A-TECH-1-E6</x:v>
      </x:c>
      <x:c r="U149" s="47" t="n">
        <x:f>COUNTIFS($T$7:$T$150,T149)</x:f>
        <x:v>1</x:v>
      </x:c>
      <x:c r="V149" s="47" t="n">
        <x:f>COUNTIFS($H$7:$H$150,H149,$K$7:$K$150,K149,$N$7:$N$150,N149)</x:f>
        <x:v>1</x:v>
      </x:c>
      <x:c r="W149" s="47" t="n">
        <x:f>IF(M149=L149,1,0)</x:f>
        <x:v>0</x:v>
      </x:c>
    </x:row>
    <x:row r="150">
      <x:c r="A150" s="47" t="str">
        <x:v>AR-RT-B-C-TECH-3-B1-RCN-G0</x:v>
      </x:c>
      <x:c r="B150" s="47" t="str">
        <x:v>RT-B-C-TECH-3</x:v>
      </x:c>
      <x:c r="C150" s="47" t="str">
        <x:v>RT-B-C</x:v>
      </x:c>
      <x:c r="D150" s="47" t="str">
        <x:v>B1-RCN</x:v>
      </x:c>
      <x:c r="E150" s="47" t="str">
        <x:v>B1</x:v>
      </x:c>
      <x:c r="F150" s="47" t="str">
        <x:v>RCN</x:v>
      </x:c>
      <x:c r="G150" s="47" t="n">
        <x:v>1</x:v>
      </x:c>
      <x:c r="H150" s="47" t="n">
        <x:v>6</x:v>
      </x:c>
      <x:c r="I150" s="47" t="n">
        <x:v>25</x:v>
      </x:c>
      <x:c r="J150" s="47" t="str">
        <x:v>FX-RT-B-C-TECH-3-F1</x:v>
      </x:c>
      <x:c r="K150" s="47" t="str">
        <x:v>RT-B-C-N3</x:v>
      </x:c>
      <x:c r="L150" s="47" t="str">
        <x:v>RT-B-C-N1</x:v>
      </x:c>
      <x:c r="M150" s="47" t="str">
        <x:v>RT-B-C-N2</x:v>
      </x:c>
      <x:c r="N150" s="47" t="n">
        <x:v>4</x:v>
      </x:c>
      <x:c r="O150" s="47" t="n">
        <x:v>282</x:v>
      </x:c>
      <x:c r="P150" s="47" t="n">
        <x:v>288</x:v>
      </x:c>
      <x:c r="Q150" s="47" t="str">
        <x:v>SEALED TO CAMPAIGN CLOSE</x:v>
      </x:c>
      <x:c r="R150" s="47" t="str">
        <x:v>UNVESTED</x:v>
      </x:c>
      <x:c r="S150" s="47" t="str">
        <x:v>PROGRAMMED / UNBUILT</x:v>
      </x:c>
      <x:c r="T150" s="47" t="str">
        <x:v>RT-B-C-TECH-3-E6</x:v>
      </x:c>
      <x:c r="U150" s="47" t="n">
        <x:f>COUNTIFS($T$7:$T$150,T150)</x:f>
        <x:v>1</x:v>
      </x:c>
      <x:c r="V150" s="47" t="n">
        <x:f>COUNTIFS($H$7:$H$150,H150,$K$7:$K$150,K150,$N$7:$N$150,N150)</x:f>
        <x:v>1</x:v>
      </x:c>
      <x:c r="W150" s="47" t="n">
        <x:f>IF(M150=L150,1,0)</x:f>
        <x:v>0</x:v>
      </x:c>
    </x:row>
  </x:sheetData>
  <x:conditionalFormatting sqref="R7:R150">
    <x:cfRule type="containsText" dxfId="36" priority="1" operator="containsText" text="HOLD"/>
    <x:cfRule type="containsText" dxfId="37" priority="2" operator="containsText" text="OPEN"/>
    <x:cfRule type="containsText" dxfId="38" priority="3" operator="containsText" text="UNBUILT"/>
    <x:cfRule type="containsText" dxfId="39" priority="4" operator="containsText" text="UNLOCATED"/>
    <x:cfRule type="containsText" dxfId="40" priority="5" operator="containsText" text="IDENTITY EMPTY"/>
    <x:cfRule type="containsText" dxfId="41" priority="6" operator="containsText" text="UNINSTALLED"/>
    <x:cfRule type="containsText" dxfId="42" priority="7" operator="containsText" text="FAIL"/>
    <x:cfRule type="containsText" dxfId="43" priority="8" operator="containsText" text="TERMINATE"/>
    <x:cfRule type="containsText" dxfId="44" priority="9" operator="containsText" text="VIOLATION"/>
  </x:conditionalFormatting>
  <x:conditionalFormatting sqref="S7:S150">
    <x:cfRule type="containsText" dxfId="45" priority="10" operator="containsText" text="HOLD"/>
    <x:cfRule type="containsText" dxfId="46" priority="11" operator="containsText" text="OPEN"/>
    <x:cfRule type="containsText" dxfId="47" priority="12" operator="containsText" text="UNBUILT"/>
    <x:cfRule type="containsText" dxfId="48" priority="13" operator="containsText" text="UNLOCATED"/>
    <x:cfRule type="containsText" dxfId="49" priority="14" operator="containsText" text="IDENTITY EMPTY"/>
    <x:cfRule type="containsText" dxfId="50" priority="15" operator="containsText" text="UNINSTALLED"/>
    <x:cfRule type="containsText" dxfId="51" priority="16" operator="containsText" text="FAIL"/>
    <x:cfRule type="containsText" dxfId="52" priority="17" operator="containsText" text="TERMINATE"/>
    <x:cfRule type="containsText" dxfId="53" priority="18" operator="containsText" text="VIOLATION"/>
  </x:conditionalFormatting>
  <x:pageMargins left="0.7" right="0.7" top="0.75" bottom="0.75" header="0.3" footer="0.3"/>
  <x:tableParts count="1">
    <x:tablePart xmlns:r="http://schemas.openxmlformats.org/officeDocument/2006/relationships" r:id="R38851345b4af47f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5" hidden="0" customWidth="1"/>
    <x:col min="21" max="21" width="18" hidden="0" customWidth="1"/>
  </x:cols>
  <x:sheetData>
    <x:row r="1">
      <x:c r="A1" s="47"/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</x:row>
    <x:row r="2">
      <x:c r="A2" s="55" t="str">
        <x:v>Balanced event epochs and live windows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  <x:c r="P4" s="47"/>
      <x:c r="Q4" s="47"/>
      <x:c r="R4" s="47"/>
      <x:c r="S4" s="47"/>
      <x:c r="T4" s="47"/>
      <x:c r="U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  <x:c r="P5" s="47"/>
      <x:c r="Q5" s="47"/>
      <x:c r="R5" s="47"/>
      <x:c r="S5" s="47"/>
      <x:c r="T5" s="47"/>
      <x:c r="U5" s="47"/>
    </x:row>
    <x:row r="6" ht="34" customHeight="1">
      <x:c r="A6" s="15" t="str">
        <x:v>Epoch</x:v>
      </x:c>
      <x:c r="B6" s="15" t="str">
        <x:v>Events</x:v>
      </x:c>
      <x:c r="C6" s="15" t="str">
        <x:v>B1</x:v>
      </x:c>
      <x:c r="D6" s="15" t="str">
        <x:v>B2</x:v>
      </x:c>
      <x:c r="E6" s="15" t="str">
        <x:v>INT</x:v>
      </x:c>
      <x:c r="F6" s="15" t="str">
        <x:v>BRK</x:v>
      </x:c>
      <x:c r="G6" s="15" t="str">
        <x:v>RCN</x:v>
      </x:c>
      <x:c r="H6" s="15" t="str">
        <x:v>B1-INT</x:v>
      </x:c>
      <x:c r="I6" s="15" t="str">
        <x:v>B2-INT</x:v>
      </x:c>
      <x:c r="J6" s="15" t="str">
        <x:v>B1-BRK</x:v>
      </x:c>
      <x:c r="K6" s="15" t="str">
        <x:v>B2-BRK</x:v>
      </x:c>
      <x:c r="L6" s="15" t="str">
        <x:v>B1-RCN</x:v>
      </x:c>
      <x:c r="M6" s="15" t="str">
        <x:v>B2-RCN</x:v>
      </x:c>
      <x:c r="N6" s="15" t="str">
        <x:v>ET</x:v>
      </x:c>
      <x:c r="O6" s="15" t="str">
        <x:v>CT</x:v>
      </x:c>
      <x:c r="P6" s="15" t="str">
        <x:v>HC</x:v>
      </x:c>
      <x:c r="Q6" s="15" t="str">
        <x:v>LF</x:v>
      </x:c>
      <x:c r="R6" s="15" t="str">
        <x:v>HU</x:v>
      </x:c>
      <x:c r="S6" s="15" t="str">
        <x:v>RT</x:v>
      </x:c>
      <x:c r="T6" s="15" t="str">
        <x:v>Start week</x:v>
      </x:c>
      <x:c r="U6" s="15" t="str">
        <x:v>Next epoch week</x:v>
      </x:c>
    </x:row>
    <x:row r="7">
      <x:c r="A7" s="47" t="n">
        <x:v>1</x:v>
      </x:c>
      <x:c r="B7" s="47" t="n">
        <x:f>COUNTIFS('Serial Schedule'!$H$7:$H$150,A7)</x:f>
        <x:v>24</x:v>
      </x:c>
      <x:c r="C7" s="47" t="n">
        <x:f>COUNTIFS('Serial Schedule'!$H$7:$H$150,A7,'Serial Schedule'!$E$7:$E$150,"B1")</x:f>
        <x:v>12</x:v>
      </x:c>
      <x:c r="D7" s="47" t="n">
        <x:f>COUNTIFS('Serial Schedule'!$H$7:$H$150,A7,'Serial Schedule'!$E$7:$E$150,"B2")</x:f>
        <x:v>12</x:v>
      </x:c>
      <x:c r="E7" s="47" t="n">
        <x:f>COUNTIFS('Serial Schedule'!$H$7:$H$150,A7,'Serial Schedule'!$F$7:$F$150,"INT")</x:f>
        <x:v>8</x:v>
      </x:c>
      <x:c r="F7" s="47" t="n">
        <x:f>COUNTIFS('Serial Schedule'!$H$7:$H$150,A7,'Serial Schedule'!$F$7:$F$150,"BRK")</x:f>
        <x:v>8</x:v>
      </x:c>
      <x:c r="G7" s="47" t="n">
        <x:f>COUNTIFS('Serial Schedule'!$H$7:$H$150,A7,'Serial Schedule'!$F$7:$F$150,"RCN")</x:f>
        <x:v>8</x:v>
      </x:c>
      <x:c r="H7" s="47" t="n">
        <x:f>COUNTIFS('Serial Schedule'!$H$7:$H$150,A7,'Serial Schedule'!$D$7:$D$150,"B1-INT")</x:f>
        <x:v>4</x:v>
      </x:c>
      <x:c r="I7" s="47" t="n">
        <x:f>COUNTIFS('Serial Schedule'!$H$7:$H$150,A7,'Serial Schedule'!$D$7:$D$150,"B2-INT")</x:f>
        <x:v>4</x:v>
      </x:c>
      <x:c r="J7" s="47" t="n">
        <x:f>COUNTIFS('Serial Schedule'!$H$7:$H$150,A7,'Serial Schedule'!$D$7:$D$150,"B1-BRK")</x:f>
        <x:v>4</x:v>
      </x:c>
      <x:c r="K7" s="47" t="n">
        <x:f>COUNTIFS('Serial Schedule'!$H$7:$H$150,A7,'Serial Schedule'!$D$7:$D$150,"B2-BRK")</x:f>
        <x:v>4</x:v>
      </x:c>
      <x:c r="L7" s="47" t="n">
        <x:f>COUNTIFS('Serial Schedule'!$H$7:$H$150,A7,'Serial Schedule'!$D$7:$D$150,"B1-RCN")</x:f>
        <x:v>4</x:v>
      </x:c>
      <x:c r="M7" s="47" t="n">
        <x:f>COUNTIFS('Serial Schedule'!$H$7:$H$150,A7,'Serial Schedule'!$D$7:$D$150,"B2-RCN")</x:f>
        <x:v>4</x:v>
      </x:c>
      <x:c r="N7" s="47" t="n">
        <x:f>COUNTIFS('Serial Schedule'!$H$7:$H$150,A7,'Serial Schedule'!$C$7:$C$150,"ET-A-A")</x:f>
        <x:v>4</x:v>
      </x:c>
      <x:c r="O7" s="47" t="n">
        <x:f>COUNTIFS('Serial Schedule'!$H$7:$H$150,A7,'Serial Schedule'!$C$7:$C$150,"CT-C-B")</x:f>
        <x:v>4</x:v>
      </x:c>
      <x:c r="P7" s="47" t="n">
        <x:f>COUNTIFS('Serial Schedule'!$H$7:$H$150,A7,'Serial Schedule'!$C$7:$C$150,"HC-A-C")</x:f>
        <x:v>4</x:v>
      </x:c>
      <x:c r="Q7" s="47" t="n">
        <x:f>COUNTIFS('Serial Schedule'!$H$7:$H$150,A7,'Serial Schedule'!$C$7:$C$150,"LF-B-A")</x:f>
        <x:v>4</x:v>
      </x:c>
      <x:c r="R7" s="47" t="n">
        <x:f>COUNTIFS('Serial Schedule'!$H$7:$H$150,A7,'Serial Schedule'!$C$7:$C$150,"HU-A-B")</x:f>
        <x:v>4</x:v>
      </x:c>
      <x:c r="S7" s="47" t="n">
        <x:f>COUNTIFS('Serial Schedule'!$H$7:$H$150,A7,'Serial Schedule'!$C$7:$C$150,"RT-B-C")</x:f>
        <x:v>4</x:v>
      </x:c>
      <x:c r="T7" s="47" t="n">
        <x:v>104</x:v>
      </x:c>
      <x:c r="U7" s="47" t="n">
        <x:v>136</x:v>
      </x:c>
    </x:row>
    <x:row r="8">
      <x:c r="A8" s="47" t="n">
        <x:v>2</x:v>
      </x:c>
      <x:c r="B8" s="47" t="n">
        <x:f>COUNTIFS('Serial Schedule'!$H$7:$H$150,A8)</x:f>
        <x:v>24</x:v>
      </x:c>
      <x:c r="C8" s="47" t="n">
        <x:f>COUNTIFS('Serial Schedule'!$H$7:$H$150,A8,'Serial Schedule'!$E$7:$E$150,"B1")</x:f>
        <x:v>12</x:v>
      </x:c>
      <x:c r="D8" s="47" t="n">
        <x:f>COUNTIFS('Serial Schedule'!$H$7:$H$150,A8,'Serial Schedule'!$E$7:$E$150,"B2")</x:f>
        <x:v>12</x:v>
      </x:c>
      <x:c r="E8" s="47" t="n">
        <x:f>COUNTIFS('Serial Schedule'!$H$7:$H$150,A8,'Serial Schedule'!$F$7:$F$150,"INT")</x:f>
        <x:v>8</x:v>
      </x:c>
      <x:c r="F8" s="47" t="n">
        <x:f>COUNTIFS('Serial Schedule'!$H$7:$H$150,A8,'Serial Schedule'!$F$7:$F$150,"BRK")</x:f>
        <x:v>8</x:v>
      </x:c>
      <x:c r="G8" s="47" t="n">
        <x:f>COUNTIFS('Serial Schedule'!$H$7:$H$150,A8,'Serial Schedule'!$F$7:$F$150,"RCN")</x:f>
        <x:v>8</x:v>
      </x:c>
      <x:c r="H8" s="47" t="n">
        <x:f>COUNTIFS('Serial Schedule'!$H$7:$H$150,A8,'Serial Schedule'!$D$7:$D$150,"B1-INT")</x:f>
        <x:v>4</x:v>
      </x:c>
      <x:c r="I8" s="47" t="n">
        <x:f>COUNTIFS('Serial Schedule'!$H$7:$H$150,A8,'Serial Schedule'!$D$7:$D$150,"B2-INT")</x:f>
        <x:v>4</x:v>
      </x:c>
      <x:c r="J8" s="47" t="n">
        <x:f>COUNTIFS('Serial Schedule'!$H$7:$H$150,A8,'Serial Schedule'!$D$7:$D$150,"B1-BRK")</x:f>
        <x:v>4</x:v>
      </x:c>
      <x:c r="K8" s="47" t="n">
        <x:f>COUNTIFS('Serial Schedule'!$H$7:$H$150,A8,'Serial Schedule'!$D$7:$D$150,"B2-BRK")</x:f>
        <x:v>4</x:v>
      </x:c>
      <x:c r="L8" s="47" t="n">
        <x:f>COUNTIFS('Serial Schedule'!$H$7:$H$150,A8,'Serial Schedule'!$D$7:$D$150,"B1-RCN")</x:f>
        <x:v>4</x:v>
      </x:c>
      <x:c r="M8" s="47" t="n">
        <x:f>COUNTIFS('Serial Schedule'!$H$7:$H$150,A8,'Serial Schedule'!$D$7:$D$150,"B2-RCN")</x:f>
        <x:v>4</x:v>
      </x:c>
      <x:c r="N8" s="47" t="n">
        <x:f>COUNTIFS('Serial Schedule'!$H$7:$H$150,A8,'Serial Schedule'!$C$7:$C$150,"ET-A-A")</x:f>
        <x:v>4</x:v>
      </x:c>
      <x:c r="O8" s="47" t="n">
        <x:f>COUNTIFS('Serial Schedule'!$H$7:$H$150,A8,'Serial Schedule'!$C$7:$C$150,"CT-C-B")</x:f>
        <x:v>4</x:v>
      </x:c>
      <x:c r="P8" s="47" t="n">
        <x:f>COUNTIFS('Serial Schedule'!$H$7:$H$150,A8,'Serial Schedule'!$C$7:$C$150,"HC-A-C")</x:f>
        <x:v>4</x:v>
      </x:c>
      <x:c r="Q8" s="47" t="n">
        <x:f>COUNTIFS('Serial Schedule'!$H$7:$H$150,A8,'Serial Schedule'!$C$7:$C$150,"LF-B-A")</x:f>
        <x:v>4</x:v>
      </x:c>
      <x:c r="R8" s="47" t="n">
        <x:f>COUNTIFS('Serial Schedule'!$H$7:$H$150,A8,'Serial Schedule'!$C$7:$C$150,"HU-A-B")</x:f>
        <x:v>4</x:v>
      </x:c>
      <x:c r="S8" s="47" t="n">
        <x:f>COUNTIFS('Serial Schedule'!$H$7:$H$150,A8,'Serial Schedule'!$C$7:$C$150,"RT-B-C")</x:f>
        <x:v>4</x:v>
      </x:c>
      <x:c r="T8" s="47" t="n">
        <x:v>136</x:v>
      </x:c>
      <x:c r="U8" s="47" t="n">
        <x:v>168</x:v>
      </x:c>
    </x:row>
    <x:row r="9">
      <x:c r="A9" s="47" t="n">
        <x:v>3</x:v>
      </x:c>
      <x:c r="B9" s="47" t="n">
        <x:f>COUNTIFS('Serial Schedule'!$H$7:$H$150,A9)</x:f>
        <x:v>24</x:v>
      </x:c>
      <x:c r="C9" s="47" t="n">
        <x:f>COUNTIFS('Serial Schedule'!$H$7:$H$150,A9,'Serial Schedule'!$E$7:$E$150,"B1")</x:f>
        <x:v>12</x:v>
      </x:c>
      <x:c r="D9" s="47" t="n">
        <x:f>COUNTIFS('Serial Schedule'!$H$7:$H$150,A9,'Serial Schedule'!$E$7:$E$150,"B2")</x:f>
        <x:v>12</x:v>
      </x:c>
      <x:c r="E9" s="47" t="n">
        <x:f>COUNTIFS('Serial Schedule'!$H$7:$H$150,A9,'Serial Schedule'!$F$7:$F$150,"INT")</x:f>
        <x:v>8</x:v>
      </x:c>
      <x:c r="F9" s="47" t="n">
        <x:f>COUNTIFS('Serial Schedule'!$H$7:$H$150,A9,'Serial Schedule'!$F$7:$F$150,"BRK")</x:f>
        <x:v>8</x:v>
      </x:c>
      <x:c r="G9" s="47" t="n">
        <x:f>COUNTIFS('Serial Schedule'!$H$7:$H$150,A9,'Serial Schedule'!$F$7:$F$150,"RCN")</x:f>
        <x:v>8</x:v>
      </x:c>
      <x:c r="H9" s="47" t="n">
        <x:f>COUNTIFS('Serial Schedule'!$H$7:$H$150,A9,'Serial Schedule'!$D$7:$D$150,"B1-INT")</x:f>
        <x:v>4</x:v>
      </x:c>
      <x:c r="I9" s="47" t="n">
        <x:f>COUNTIFS('Serial Schedule'!$H$7:$H$150,A9,'Serial Schedule'!$D$7:$D$150,"B2-INT")</x:f>
        <x:v>4</x:v>
      </x:c>
      <x:c r="J9" s="47" t="n">
        <x:f>COUNTIFS('Serial Schedule'!$H$7:$H$150,A9,'Serial Schedule'!$D$7:$D$150,"B1-BRK")</x:f>
        <x:v>4</x:v>
      </x:c>
      <x:c r="K9" s="47" t="n">
        <x:f>COUNTIFS('Serial Schedule'!$H$7:$H$150,A9,'Serial Schedule'!$D$7:$D$150,"B2-BRK")</x:f>
        <x:v>4</x:v>
      </x:c>
      <x:c r="L9" s="47" t="n">
        <x:f>COUNTIFS('Serial Schedule'!$H$7:$H$150,A9,'Serial Schedule'!$D$7:$D$150,"B1-RCN")</x:f>
        <x:v>4</x:v>
      </x:c>
      <x:c r="M9" s="47" t="n">
        <x:f>COUNTIFS('Serial Schedule'!$H$7:$H$150,A9,'Serial Schedule'!$D$7:$D$150,"B2-RCN")</x:f>
        <x:v>4</x:v>
      </x:c>
      <x:c r="N9" s="47" t="n">
        <x:f>COUNTIFS('Serial Schedule'!$H$7:$H$150,A9,'Serial Schedule'!$C$7:$C$150,"ET-A-A")</x:f>
        <x:v>4</x:v>
      </x:c>
      <x:c r="O9" s="47" t="n">
        <x:f>COUNTIFS('Serial Schedule'!$H$7:$H$150,A9,'Serial Schedule'!$C$7:$C$150,"CT-C-B")</x:f>
        <x:v>4</x:v>
      </x:c>
      <x:c r="P9" s="47" t="n">
        <x:f>COUNTIFS('Serial Schedule'!$H$7:$H$150,A9,'Serial Schedule'!$C$7:$C$150,"HC-A-C")</x:f>
        <x:v>4</x:v>
      </x:c>
      <x:c r="Q9" s="47" t="n">
        <x:f>COUNTIFS('Serial Schedule'!$H$7:$H$150,A9,'Serial Schedule'!$C$7:$C$150,"LF-B-A")</x:f>
        <x:v>4</x:v>
      </x:c>
      <x:c r="R9" s="47" t="n">
        <x:f>COUNTIFS('Serial Schedule'!$H$7:$H$150,A9,'Serial Schedule'!$C$7:$C$150,"HU-A-B")</x:f>
        <x:v>4</x:v>
      </x:c>
      <x:c r="S9" s="47" t="n">
        <x:f>COUNTIFS('Serial Schedule'!$H$7:$H$150,A9,'Serial Schedule'!$C$7:$C$150,"RT-B-C")</x:f>
        <x:v>4</x:v>
      </x:c>
      <x:c r="T9" s="47" t="n">
        <x:v>168</x:v>
      </x:c>
      <x:c r="U9" s="47" t="n">
        <x:v>200</x:v>
      </x:c>
    </x:row>
    <x:row r="10">
      <x:c r="A10" s="47" t="n">
        <x:v>4</x:v>
      </x:c>
      <x:c r="B10" s="47" t="n">
        <x:f>COUNTIFS('Serial Schedule'!$H$7:$H$150,A10)</x:f>
        <x:v>24</x:v>
      </x:c>
      <x:c r="C10" s="47" t="n">
        <x:f>COUNTIFS('Serial Schedule'!$H$7:$H$150,A10,'Serial Schedule'!$E$7:$E$150,"B1")</x:f>
        <x:v>12</x:v>
      </x:c>
      <x:c r="D10" s="47" t="n">
        <x:f>COUNTIFS('Serial Schedule'!$H$7:$H$150,A10,'Serial Schedule'!$E$7:$E$150,"B2")</x:f>
        <x:v>12</x:v>
      </x:c>
      <x:c r="E10" s="47" t="n">
        <x:f>COUNTIFS('Serial Schedule'!$H$7:$H$150,A10,'Serial Schedule'!$F$7:$F$150,"INT")</x:f>
        <x:v>8</x:v>
      </x:c>
      <x:c r="F10" s="47" t="n">
        <x:f>COUNTIFS('Serial Schedule'!$H$7:$H$150,A10,'Serial Schedule'!$F$7:$F$150,"BRK")</x:f>
        <x:v>8</x:v>
      </x:c>
      <x:c r="G10" s="47" t="n">
        <x:f>COUNTIFS('Serial Schedule'!$H$7:$H$150,A10,'Serial Schedule'!$F$7:$F$150,"RCN")</x:f>
        <x:v>8</x:v>
      </x:c>
      <x:c r="H10" s="47" t="n">
        <x:f>COUNTIFS('Serial Schedule'!$H$7:$H$150,A10,'Serial Schedule'!$D$7:$D$150,"B1-INT")</x:f>
        <x:v>4</x:v>
      </x:c>
      <x:c r="I10" s="47" t="n">
        <x:f>COUNTIFS('Serial Schedule'!$H$7:$H$150,A10,'Serial Schedule'!$D$7:$D$150,"B2-INT")</x:f>
        <x:v>4</x:v>
      </x:c>
      <x:c r="J10" s="47" t="n">
        <x:f>COUNTIFS('Serial Schedule'!$H$7:$H$150,A10,'Serial Schedule'!$D$7:$D$150,"B1-BRK")</x:f>
        <x:v>4</x:v>
      </x:c>
      <x:c r="K10" s="47" t="n">
        <x:f>COUNTIFS('Serial Schedule'!$H$7:$H$150,A10,'Serial Schedule'!$D$7:$D$150,"B2-BRK")</x:f>
        <x:v>4</x:v>
      </x:c>
      <x:c r="L10" s="47" t="n">
        <x:f>COUNTIFS('Serial Schedule'!$H$7:$H$150,A10,'Serial Schedule'!$D$7:$D$150,"B1-RCN")</x:f>
        <x:v>4</x:v>
      </x:c>
      <x:c r="M10" s="47" t="n">
        <x:f>COUNTIFS('Serial Schedule'!$H$7:$H$150,A10,'Serial Schedule'!$D$7:$D$150,"B2-RCN")</x:f>
        <x:v>4</x:v>
      </x:c>
      <x:c r="N10" s="47" t="n">
        <x:f>COUNTIFS('Serial Schedule'!$H$7:$H$150,A10,'Serial Schedule'!$C$7:$C$150,"ET-A-A")</x:f>
        <x:v>4</x:v>
      </x:c>
      <x:c r="O10" s="47" t="n">
        <x:f>COUNTIFS('Serial Schedule'!$H$7:$H$150,A10,'Serial Schedule'!$C$7:$C$150,"CT-C-B")</x:f>
        <x:v>4</x:v>
      </x:c>
      <x:c r="P10" s="47" t="n">
        <x:f>COUNTIFS('Serial Schedule'!$H$7:$H$150,A10,'Serial Schedule'!$C$7:$C$150,"HC-A-C")</x:f>
        <x:v>4</x:v>
      </x:c>
      <x:c r="Q10" s="47" t="n">
        <x:f>COUNTIFS('Serial Schedule'!$H$7:$H$150,A10,'Serial Schedule'!$C$7:$C$150,"LF-B-A")</x:f>
        <x:v>4</x:v>
      </x:c>
      <x:c r="R10" s="47" t="n">
        <x:f>COUNTIFS('Serial Schedule'!$H$7:$H$150,A10,'Serial Schedule'!$C$7:$C$150,"HU-A-B")</x:f>
        <x:v>4</x:v>
      </x:c>
      <x:c r="S10" s="47" t="n">
        <x:f>COUNTIFS('Serial Schedule'!$H$7:$H$150,A10,'Serial Schedule'!$C$7:$C$150,"RT-B-C")</x:f>
        <x:v>4</x:v>
      </x:c>
      <x:c r="T10" s="47" t="n">
        <x:v>200</x:v>
      </x:c>
      <x:c r="U10" s="47" t="n">
        <x:v>232</x:v>
      </x:c>
    </x:row>
    <x:row r="11">
      <x:c r="A11" s="47" t="n">
        <x:v>5</x:v>
      </x:c>
      <x:c r="B11" s="47" t="n">
        <x:f>COUNTIFS('Serial Schedule'!$H$7:$H$150,A11)</x:f>
        <x:v>24</x:v>
      </x:c>
      <x:c r="C11" s="47" t="n">
        <x:f>COUNTIFS('Serial Schedule'!$H$7:$H$150,A11,'Serial Schedule'!$E$7:$E$150,"B1")</x:f>
        <x:v>12</x:v>
      </x:c>
      <x:c r="D11" s="47" t="n">
        <x:f>COUNTIFS('Serial Schedule'!$H$7:$H$150,A11,'Serial Schedule'!$E$7:$E$150,"B2")</x:f>
        <x:v>12</x:v>
      </x:c>
      <x:c r="E11" s="47" t="n">
        <x:f>COUNTIFS('Serial Schedule'!$H$7:$H$150,A11,'Serial Schedule'!$F$7:$F$150,"INT")</x:f>
        <x:v>8</x:v>
      </x:c>
      <x:c r="F11" s="47" t="n">
        <x:f>COUNTIFS('Serial Schedule'!$H$7:$H$150,A11,'Serial Schedule'!$F$7:$F$150,"BRK")</x:f>
        <x:v>8</x:v>
      </x:c>
      <x:c r="G11" s="47" t="n">
        <x:f>COUNTIFS('Serial Schedule'!$H$7:$H$150,A11,'Serial Schedule'!$F$7:$F$150,"RCN")</x:f>
        <x:v>8</x:v>
      </x:c>
      <x:c r="H11" s="47" t="n">
        <x:f>COUNTIFS('Serial Schedule'!$H$7:$H$150,A11,'Serial Schedule'!$D$7:$D$150,"B1-INT")</x:f>
        <x:v>4</x:v>
      </x:c>
      <x:c r="I11" s="47" t="n">
        <x:f>COUNTIFS('Serial Schedule'!$H$7:$H$150,A11,'Serial Schedule'!$D$7:$D$150,"B2-INT")</x:f>
        <x:v>4</x:v>
      </x:c>
      <x:c r="J11" s="47" t="n">
        <x:f>COUNTIFS('Serial Schedule'!$H$7:$H$150,A11,'Serial Schedule'!$D$7:$D$150,"B1-BRK")</x:f>
        <x:v>4</x:v>
      </x:c>
      <x:c r="K11" s="47" t="n">
        <x:f>COUNTIFS('Serial Schedule'!$H$7:$H$150,A11,'Serial Schedule'!$D$7:$D$150,"B2-BRK")</x:f>
        <x:v>4</x:v>
      </x:c>
      <x:c r="L11" s="47" t="n">
        <x:f>COUNTIFS('Serial Schedule'!$H$7:$H$150,A11,'Serial Schedule'!$D$7:$D$150,"B1-RCN")</x:f>
        <x:v>4</x:v>
      </x:c>
      <x:c r="M11" s="47" t="n">
        <x:f>COUNTIFS('Serial Schedule'!$H$7:$H$150,A11,'Serial Schedule'!$D$7:$D$150,"B2-RCN")</x:f>
        <x:v>4</x:v>
      </x:c>
      <x:c r="N11" s="47" t="n">
        <x:f>COUNTIFS('Serial Schedule'!$H$7:$H$150,A11,'Serial Schedule'!$C$7:$C$150,"ET-A-A")</x:f>
        <x:v>4</x:v>
      </x:c>
      <x:c r="O11" s="47" t="n">
        <x:f>COUNTIFS('Serial Schedule'!$H$7:$H$150,A11,'Serial Schedule'!$C$7:$C$150,"CT-C-B")</x:f>
        <x:v>4</x:v>
      </x:c>
      <x:c r="P11" s="47" t="n">
        <x:f>COUNTIFS('Serial Schedule'!$H$7:$H$150,A11,'Serial Schedule'!$C$7:$C$150,"HC-A-C")</x:f>
        <x:v>4</x:v>
      </x:c>
      <x:c r="Q11" s="47" t="n">
        <x:f>COUNTIFS('Serial Schedule'!$H$7:$H$150,A11,'Serial Schedule'!$C$7:$C$150,"LF-B-A")</x:f>
        <x:v>4</x:v>
      </x:c>
      <x:c r="R11" s="47" t="n">
        <x:f>COUNTIFS('Serial Schedule'!$H$7:$H$150,A11,'Serial Schedule'!$C$7:$C$150,"HU-A-B")</x:f>
        <x:v>4</x:v>
      </x:c>
      <x:c r="S11" s="47" t="n">
        <x:f>COUNTIFS('Serial Schedule'!$H$7:$H$150,A11,'Serial Schedule'!$C$7:$C$150,"RT-B-C")</x:f>
        <x:v>4</x:v>
      </x:c>
      <x:c r="T11" s="47" t="n">
        <x:v>232</x:v>
      </x:c>
      <x:c r="U11" s="47" t="n">
        <x:v>264</x:v>
      </x:c>
    </x:row>
    <x:row r="12">
      <x:c r="A12" s="47" t="n">
        <x:v>6</x:v>
      </x:c>
      <x:c r="B12" s="47" t="n">
        <x:f>COUNTIFS('Serial Schedule'!$H$7:$H$150,A12)</x:f>
        <x:v>24</x:v>
      </x:c>
      <x:c r="C12" s="47" t="n">
        <x:f>COUNTIFS('Serial Schedule'!$H$7:$H$150,A12,'Serial Schedule'!$E$7:$E$150,"B1")</x:f>
        <x:v>12</x:v>
      </x:c>
      <x:c r="D12" s="47" t="n">
        <x:f>COUNTIFS('Serial Schedule'!$H$7:$H$150,A12,'Serial Schedule'!$E$7:$E$150,"B2")</x:f>
        <x:v>12</x:v>
      </x:c>
      <x:c r="E12" s="47" t="n">
        <x:f>COUNTIFS('Serial Schedule'!$H$7:$H$150,A12,'Serial Schedule'!$F$7:$F$150,"INT")</x:f>
        <x:v>8</x:v>
      </x:c>
      <x:c r="F12" s="47" t="n">
        <x:f>COUNTIFS('Serial Schedule'!$H$7:$H$150,A12,'Serial Schedule'!$F$7:$F$150,"BRK")</x:f>
        <x:v>8</x:v>
      </x:c>
      <x:c r="G12" s="47" t="n">
        <x:f>COUNTIFS('Serial Schedule'!$H$7:$H$150,A12,'Serial Schedule'!$F$7:$F$150,"RCN")</x:f>
        <x:v>8</x:v>
      </x:c>
      <x:c r="H12" s="47" t="n">
        <x:f>COUNTIFS('Serial Schedule'!$H$7:$H$150,A12,'Serial Schedule'!$D$7:$D$150,"B1-INT")</x:f>
        <x:v>4</x:v>
      </x:c>
      <x:c r="I12" s="47" t="n">
        <x:f>COUNTIFS('Serial Schedule'!$H$7:$H$150,A12,'Serial Schedule'!$D$7:$D$150,"B2-INT")</x:f>
        <x:v>4</x:v>
      </x:c>
      <x:c r="J12" s="47" t="n">
        <x:f>COUNTIFS('Serial Schedule'!$H$7:$H$150,A12,'Serial Schedule'!$D$7:$D$150,"B1-BRK")</x:f>
        <x:v>4</x:v>
      </x:c>
      <x:c r="K12" s="47" t="n">
        <x:f>COUNTIFS('Serial Schedule'!$H$7:$H$150,A12,'Serial Schedule'!$D$7:$D$150,"B2-BRK")</x:f>
        <x:v>4</x:v>
      </x:c>
      <x:c r="L12" s="47" t="n">
        <x:f>COUNTIFS('Serial Schedule'!$H$7:$H$150,A12,'Serial Schedule'!$D$7:$D$150,"B1-RCN")</x:f>
        <x:v>4</x:v>
      </x:c>
      <x:c r="M12" s="47" t="n">
        <x:f>COUNTIFS('Serial Schedule'!$H$7:$H$150,A12,'Serial Schedule'!$D$7:$D$150,"B2-RCN")</x:f>
        <x:v>4</x:v>
      </x:c>
      <x:c r="N12" s="47" t="n">
        <x:f>COUNTIFS('Serial Schedule'!$H$7:$H$150,A12,'Serial Schedule'!$C$7:$C$150,"ET-A-A")</x:f>
        <x:v>4</x:v>
      </x:c>
      <x:c r="O12" s="47" t="n">
        <x:f>COUNTIFS('Serial Schedule'!$H$7:$H$150,A12,'Serial Schedule'!$C$7:$C$150,"CT-C-B")</x:f>
        <x:v>4</x:v>
      </x:c>
      <x:c r="P12" s="47" t="n">
        <x:f>COUNTIFS('Serial Schedule'!$H$7:$H$150,A12,'Serial Schedule'!$C$7:$C$150,"HC-A-C")</x:f>
        <x:v>4</x:v>
      </x:c>
      <x:c r="Q12" s="47" t="n">
        <x:f>COUNTIFS('Serial Schedule'!$H$7:$H$150,A12,'Serial Schedule'!$C$7:$C$150,"LF-B-A")</x:f>
        <x:v>4</x:v>
      </x:c>
      <x:c r="R12" s="47" t="n">
        <x:f>COUNTIFS('Serial Schedule'!$H$7:$H$150,A12,'Serial Schedule'!$C$7:$C$150,"HU-A-B")</x:f>
        <x:v>4</x:v>
      </x:c>
      <x:c r="S12" s="47" t="n">
        <x:f>COUNTIFS('Serial Schedule'!$H$7:$H$150,A12,'Serial Schedule'!$C$7:$C$150,"RT-B-C")</x:f>
        <x:v>4</x:v>
      </x:c>
      <x:c r="T12" s="47" t="n">
        <x:v>264</x:v>
      </x:c>
      <x:c r="U12" s="47" t="n">
        <x:v>296</x:v>
      </x:c>
    </x:row>
    <x:row r="13">
      <x:c r="A13" s="47"/>
      <x:c r="B13" s="47"/>
      <x:c r="C13" s="47"/>
      <x:c r="D13" s="47"/>
      <x:c r="E13" s="47"/>
      <x:c r="F13" s="47"/>
      <x:c r="G13" s="47"/>
      <x:c r="H13" s="47"/>
      <x:c r="I13" s="47"/>
      <x:c r="J13" s="47"/>
      <x:c r="K13" s="47"/>
      <x:c r="L13" s="47"/>
      <x:c r="M13" s="47"/>
      <x:c r="N13" s="47"/>
      <x:c r="O13" s="47"/>
      <x:c r="P13" s="47"/>
      <x:c r="Q13" s="47"/>
      <x:c r="R13" s="47"/>
      <x:c r="S13" s="47"/>
      <x:c r="T13" s="47"/>
      <x:c r="U13" s="47"/>
    </x:row>
    <x:row r="14">
      <x:c r="A14" s="47"/>
      <x:c r="B14" s="47"/>
      <x:c r="C14" s="47"/>
      <x:c r="D14" s="47"/>
      <x:c r="E14" s="47"/>
      <x:c r="F14" s="47"/>
      <x:c r="G14" s="47"/>
      <x:c r="H14" s="47"/>
      <x:c r="I14" s="47"/>
      <x:c r="J14" s="47"/>
      <x:c r="K14" s="47"/>
      <x:c r="L14" s="47"/>
      <x:c r="M14" s="47"/>
      <x:c r="N14" s="47"/>
      <x:c r="O14" s="47"/>
      <x:c r="P14" s="47"/>
      <x:c r="Q14" s="47"/>
      <x:c r="R14" s="47"/>
      <x:c r="S14" s="47"/>
      <x:c r="T14" s="47"/>
      <x:c r="U14" s="47"/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  <x:c r="P15" s="47"/>
      <x:c r="Q15" s="47"/>
      <x:c r="R15" s="47"/>
      <x:c r="S15" s="47"/>
      <x:c r="T15" s="47"/>
      <x:c r="U15" s="47"/>
    </x:row>
    <x:row r="16">
      <x:c r="A16" s="48" t="str">
        <x:v>Twenty-four live windows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  <x:c r="T16" s="47"/>
      <x:c r="U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  <x:c r="P17" s="47"/>
      <x:c r="Q17" s="47"/>
      <x:c r="R17" s="47"/>
      <x:c r="S17" s="47"/>
      <x:c r="T17" s="47"/>
      <x:c r="U17" s="47"/>
    </x:row>
    <x:row r="18" ht="34" customHeight="1">
      <x:c r="A18" s="15" t="str">
        <x:v>Epoch</x:v>
      </x:c>
      <x:c r="B18" s="15" t="str">
        <x:v>Window</x:v>
      </x:c>
      <x:c r="C18" s="15" t="str">
        <x:v>Events</x:v>
      </x:c>
      <x:c r="D18" s="15" t="str">
        <x:v>Concurrent capacity</x:v>
      </x:c>
      <x:c r="E18" s="15" t="str">
        <x:v>Spare concurrent slots</x:v>
      </x:c>
      <x:c r="F18" s="15" t="str">
        <x:v>Site-collision excess</x:v>
      </x:c>
      <x:c r="G18" s="15" t="str">
        <x:v>Start week</x:v>
      </x:c>
      <x:c r="H18" s="47"/>
      <x:c r="I18" s="47"/>
      <x:c r="J18" s="47"/>
      <x:c r="K18" s="47"/>
      <x:c r="L18" s="47"/>
      <x:c r="M18" s="47"/>
      <x:c r="N18" s="47"/>
      <x:c r="O18" s="47"/>
      <x:c r="P18" s="47"/>
      <x:c r="Q18" s="47"/>
      <x:c r="R18" s="47"/>
      <x:c r="S18" s="47"/>
      <x:c r="T18" s="47"/>
      <x:c r="U18" s="47"/>
    </x:row>
    <x:row r="19">
      <x:c r="A19" s="47" t="n">
        <x:v>1</x:v>
      </x:c>
      <x:c r="B19" s="47" t="n">
        <x:v>1</x:v>
      </x:c>
      <x:c r="C19" s="47" t="n">
        <x:f>COUNTIFS('Serial Schedule'!$H$7:$H$150,A19,'Serial Schedule'!$N$7:$N$150,B19)</x:f>
        <x:v>6</x:v>
      </x:c>
      <x:c r="D19" s="47" t="n">
        <x:v>6</x:v>
      </x:c>
      <x:c r="E19" s="47" t="n">
        <x:f>D19-C19</x:f>
        <x:v>0</x:v>
      </x:c>
      <x:c r="F19" s="47" t="n">
        <x:f>SUMIFS('Serial Schedule'!$V$7:$V$150,'Serial Schedule'!$H$7:$H$150,A19,'Serial Schedule'!$N$7:$N$150,B19)-C19</x:f>
        <x:v>0</x:v>
      </x:c>
      <x:c r="G19" s="47" t="n">
        <x:v>104</x:v>
      </x:c>
      <x:c r="H19" s="47"/>
      <x:c r="I19" s="47"/>
      <x:c r="J19" s="47"/>
      <x:c r="K19" s="47"/>
      <x:c r="L19" s="47"/>
      <x:c r="M19" s="47"/>
      <x:c r="N19" s="47"/>
      <x:c r="O19" s="47"/>
      <x:c r="P19" s="47"/>
      <x:c r="Q19" s="47"/>
      <x:c r="R19" s="47"/>
      <x:c r="S19" s="47"/>
      <x:c r="T19" s="47"/>
      <x:c r="U19" s="47"/>
    </x:row>
    <x:row r="20">
      <x:c r="A20" s="47" t="n">
        <x:v>1</x:v>
      </x:c>
      <x:c r="B20" s="47" t="n">
        <x:v>2</x:v>
      </x:c>
      <x:c r="C20" s="47" t="n">
        <x:f>COUNTIFS('Serial Schedule'!$H$7:$H$150,A20,'Serial Schedule'!$N$7:$N$150,B20)</x:f>
        <x:v>6</x:v>
      </x:c>
      <x:c r="D20" s="47" t="n">
        <x:v>6</x:v>
      </x:c>
      <x:c r="E20" s="47" t="n">
        <x:f>D20-C20</x:f>
        <x:v>0</x:v>
      </x:c>
      <x:c r="F20" s="47" t="n">
        <x:f>SUMIFS('Serial Schedule'!$V$7:$V$150,'Serial Schedule'!$H$7:$H$150,A20,'Serial Schedule'!$N$7:$N$150,B20)-C20</x:f>
        <x:v>0</x:v>
      </x:c>
      <x:c r="G20" s="47" t="n">
        <x:v>110</x:v>
      </x:c>
      <x:c r="H20" s="47"/>
      <x:c r="I20" s="47"/>
      <x:c r="J20" s="47"/>
      <x:c r="K20" s="47"/>
      <x:c r="L20" s="47"/>
      <x:c r="M20" s="47"/>
      <x:c r="N20" s="47"/>
      <x:c r="O20" s="47"/>
      <x:c r="P20" s="47"/>
      <x:c r="Q20" s="47"/>
      <x:c r="R20" s="47"/>
      <x:c r="S20" s="47"/>
      <x:c r="T20" s="47"/>
      <x:c r="U20" s="47"/>
    </x:row>
    <x:row r="21">
      <x:c r="A21" s="47" t="n">
        <x:v>1</x:v>
      </x:c>
      <x:c r="B21" s="47" t="n">
        <x:v>3</x:v>
      </x:c>
      <x:c r="C21" s="47" t="n">
        <x:f>COUNTIFS('Serial Schedule'!$H$7:$H$150,A21,'Serial Schedule'!$N$7:$N$150,B21)</x:f>
        <x:v>6</x:v>
      </x:c>
      <x:c r="D21" s="47" t="n">
        <x:v>6</x:v>
      </x:c>
      <x:c r="E21" s="47" t="n">
        <x:f>D21-C21</x:f>
        <x:v>0</x:v>
      </x:c>
      <x:c r="F21" s="47" t="n">
        <x:f>SUMIFS('Serial Schedule'!$V$7:$V$150,'Serial Schedule'!$H$7:$H$150,A21,'Serial Schedule'!$N$7:$N$150,B21)-C21</x:f>
        <x:v>0</x:v>
      </x:c>
      <x:c r="G21" s="47" t="n">
        <x:v>116</x:v>
      </x:c>
      <x:c r="H21" s="47"/>
      <x:c r="I21" s="47"/>
      <x:c r="J21" s="47"/>
      <x:c r="K21" s="47"/>
      <x:c r="L21" s="47"/>
      <x:c r="M21" s="47"/>
      <x:c r="N21" s="47"/>
      <x:c r="O21" s="47"/>
      <x:c r="P21" s="47"/>
      <x:c r="Q21" s="47"/>
      <x:c r="R21" s="47"/>
      <x:c r="S21" s="47"/>
      <x:c r="T21" s="47"/>
      <x:c r="U21" s="47"/>
    </x:row>
    <x:row r="22">
      <x:c r="A22" s="47" t="n">
        <x:v>1</x:v>
      </x:c>
      <x:c r="B22" s="47" t="n">
        <x:v>4</x:v>
      </x:c>
      <x:c r="C22" s="47" t="n">
        <x:f>COUNTIFS('Serial Schedule'!$H$7:$H$150,A22,'Serial Schedule'!$N$7:$N$150,B22)</x:f>
        <x:v>6</x:v>
      </x:c>
      <x:c r="D22" s="47" t="n">
        <x:v>6</x:v>
      </x:c>
      <x:c r="E22" s="47" t="n">
        <x:f>D22-C22</x:f>
        <x:v>0</x:v>
      </x:c>
      <x:c r="F22" s="47" t="n">
        <x:f>SUMIFS('Serial Schedule'!$V$7:$V$150,'Serial Schedule'!$H$7:$H$150,A22,'Serial Schedule'!$N$7:$N$150,B22)-C22</x:f>
        <x:v>0</x:v>
      </x:c>
      <x:c r="G22" s="47" t="n">
        <x:v>122</x:v>
      </x:c>
      <x:c r="H22" s="47"/>
      <x:c r="I22" s="47"/>
      <x:c r="J22" s="47"/>
      <x:c r="K22" s="47"/>
      <x:c r="L22" s="47"/>
      <x:c r="M22" s="47"/>
      <x:c r="N22" s="47"/>
      <x:c r="O22" s="47"/>
      <x:c r="P22" s="47"/>
      <x:c r="Q22" s="47"/>
      <x:c r="R22" s="47"/>
      <x:c r="S22" s="47"/>
      <x:c r="T22" s="47"/>
      <x:c r="U22" s="47"/>
    </x:row>
    <x:row r="23">
      <x:c r="A23" s="47" t="n">
        <x:v>2</x:v>
      </x:c>
      <x:c r="B23" s="47" t="n">
        <x:v>1</x:v>
      </x:c>
      <x:c r="C23" s="47" t="n">
        <x:f>COUNTIFS('Serial Schedule'!$H$7:$H$150,A23,'Serial Schedule'!$N$7:$N$150,B23)</x:f>
        <x:v>6</x:v>
      </x:c>
      <x:c r="D23" s="47" t="n">
        <x:v>6</x:v>
      </x:c>
      <x:c r="E23" s="47" t="n">
        <x:f>D23-C23</x:f>
        <x:v>0</x:v>
      </x:c>
      <x:c r="F23" s="47" t="n">
        <x:f>SUMIFS('Serial Schedule'!$V$7:$V$150,'Serial Schedule'!$H$7:$H$150,A23,'Serial Schedule'!$N$7:$N$150,B23)-C23</x:f>
        <x:v>0</x:v>
      </x:c>
      <x:c r="G23" s="47" t="n">
        <x:v>136</x:v>
      </x:c>
      <x:c r="H23" s="47"/>
      <x:c r="I23" s="47"/>
      <x:c r="J23" s="47"/>
      <x:c r="K23" s="47"/>
      <x:c r="L23" s="47"/>
      <x:c r="M23" s="47"/>
      <x:c r="N23" s="47"/>
      <x:c r="O23" s="47"/>
      <x:c r="P23" s="47"/>
      <x:c r="Q23" s="47"/>
      <x:c r="R23" s="47"/>
      <x:c r="S23" s="47"/>
      <x:c r="T23" s="47"/>
      <x:c r="U23" s="47"/>
    </x:row>
    <x:row r="24">
      <x:c r="A24" s="47" t="n">
        <x:v>2</x:v>
      </x:c>
      <x:c r="B24" s="47" t="n">
        <x:v>2</x:v>
      </x:c>
      <x:c r="C24" s="47" t="n">
        <x:f>COUNTIFS('Serial Schedule'!$H$7:$H$150,A24,'Serial Schedule'!$N$7:$N$150,B24)</x:f>
        <x:v>6</x:v>
      </x:c>
      <x:c r="D24" s="47" t="n">
        <x:v>6</x:v>
      </x:c>
      <x:c r="E24" s="47" t="n">
        <x:f>D24-C24</x:f>
        <x:v>0</x:v>
      </x:c>
      <x:c r="F24" s="47" t="n">
        <x:f>SUMIFS('Serial Schedule'!$V$7:$V$150,'Serial Schedule'!$H$7:$H$150,A24,'Serial Schedule'!$N$7:$N$150,B24)-C24</x:f>
        <x:v>0</x:v>
      </x:c>
      <x:c r="G24" s="47" t="n">
        <x:v>142</x:v>
      </x:c>
      <x:c r="H24" s="47"/>
      <x:c r="I24" s="47"/>
      <x:c r="J24" s="47"/>
      <x:c r="K24" s="47"/>
      <x:c r="L24" s="47"/>
      <x:c r="M24" s="47"/>
      <x:c r="N24" s="47"/>
      <x:c r="O24" s="47"/>
      <x:c r="P24" s="47"/>
      <x:c r="Q24" s="47"/>
      <x:c r="R24" s="47"/>
      <x:c r="S24" s="47"/>
      <x:c r="T24" s="47"/>
      <x:c r="U24" s="47"/>
    </x:row>
    <x:row r="25">
      <x:c r="A25" s="47" t="n">
        <x:v>2</x:v>
      </x:c>
      <x:c r="B25" s="47" t="n">
        <x:v>3</x:v>
      </x:c>
      <x:c r="C25" s="47" t="n">
        <x:f>COUNTIFS('Serial Schedule'!$H$7:$H$150,A25,'Serial Schedule'!$N$7:$N$150,B25)</x:f>
        <x:v>6</x:v>
      </x:c>
      <x:c r="D25" s="47" t="n">
        <x:v>6</x:v>
      </x:c>
      <x:c r="E25" s="47" t="n">
        <x:f>D25-C25</x:f>
        <x:v>0</x:v>
      </x:c>
      <x:c r="F25" s="47" t="n">
        <x:f>SUMIFS('Serial Schedule'!$V$7:$V$150,'Serial Schedule'!$H$7:$H$150,A25,'Serial Schedule'!$N$7:$N$150,B25)-C25</x:f>
        <x:v>0</x:v>
      </x:c>
      <x:c r="G25" s="47" t="n">
        <x:v>148</x:v>
      </x:c>
      <x:c r="H25" s="47"/>
      <x:c r="I25" s="47"/>
      <x:c r="J25" s="47"/>
      <x:c r="K25" s="47"/>
      <x:c r="L25" s="47"/>
      <x:c r="M25" s="47"/>
      <x:c r="N25" s="47"/>
      <x:c r="O25" s="47"/>
      <x:c r="P25" s="47"/>
      <x:c r="Q25" s="47"/>
      <x:c r="R25" s="47"/>
      <x:c r="S25" s="47"/>
      <x:c r="T25" s="47"/>
      <x:c r="U25" s="47"/>
    </x:row>
    <x:row r="26">
      <x:c r="A26" s="47" t="n">
        <x:v>2</x:v>
      </x:c>
      <x:c r="B26" s="47" t="n">
        <x:v>4</x:v>
      </x:c>
      <x:c r="C26" s="47" t="n">
        <x:f>COUNTIFS('Serial Schedule'!$H$7:$H$150,A26,'Serial Schedule'!$N$7:$N$150,B26)</x:f>
        <x:v>6</x:v>
      </x:c>
      <x:c r="D26" s="47" t="n">
        <x:v>6</x:v>
      </x:c>
      <x:c r="E26" s="47" t="n">
        <x:f>D26-C26</x:f>
        <x:v>0</x:v>
      </x:c>
      <x:c r="F26" s="47" t="n">
        <x:f>SUMIFS('Serial Schedule'!$V$7:$V$150,'Serial Schedule'!$H$7:$H$150,A26,'Serial Schedule'!$N$7:$N$150,B26)-C26</x:f>
        <x:v>0</x:v>
      </x:c>
      <x:c r="G26" s="47" t="n">
        <x:v>154</x:v>
      </x:c>
      <x:c r="H26" s="47"/>
      <x:c r="I26" s="47"/>
      <x:c r="J26" s="47"/>
      <x:c r="K26" s="47"/>
      <x:c r="L26" s="47"/>
      <x:c r="M26" s="47"/>
      <x:c r="N26" s="47"/>
      <x:c r="O26" s="47"/>
      <x:c r="P26" s="47"/>
      <x:c r="Q26" s="47"/>
      <x:c r="R26" s="47"/>
      <x:c r="S26" s="47"/>
      <x:c r="T26" s="47"/>
      <x:c r="U26" s="47"/>
    </x:row>
    <x:row r="27">
      <x:c r="A27" s="47" t="n">
        <x:v>3</x:v>
      </x:c>
      <x:c r="B27" s="47" t="n">
        <x:v>1</x:v>
      </x:c>
      <x:c r="C27" s="47" t="n">
        <x:f>COUNTIFS('Serial Schedule'!$H$7:$H$150,A27,'Serial Schedule'!$N$7:$N$150,B27)</x:f>
        <x:v>6</x:v>
      </x:c>
      <x:c r="D27" s="47" t="n">
        <x:v>6</x:v>
      </x:c>
      <x:c r="E27" s="47" t="n">
        <x:f>D27-C27</x:f>
        <x:v>0</x:v>
      </x:c>
      <x:c r="F27" s="47" t="n">
        <x:f>SUMIFS('Serial Schedule'!$V$7:$V$150,'Serial Schedule'!$H$7:$H$150,A27,'Serial Schedule'!$N$7:$N$150,B27)-C27</x:f>
        <x:v>0</x:v>
      </x:c>
      <x:c r="G27" s="47" t="n">
        <x:v>168</x:v>
      </x:c>
      <x:c r="H27" s="47"/>
      <x:c r="I27" s="47"/>
      <x:c r="J27" s="47"/>
      <x:c r="K27" s="47"/>
      <x:c r="L27" s="47"/>
      <x:c r="M27" s="47"/>
      <x:c r="N27" s="47"/>
      <x:c r="O27" s="47"/>
      <x:c r="P27" s="47"/>
      <x:c r="Q27" s="47"/>
      <x:c r="R27" s="47"/>
      <x:c r="S27" s="47"/>
      <x:c r="T27" s="47"/>
      <x:c r="U27" s="47"/>
    </x:row>
    <x:row r="28">
      <x:c r="A28" s="47" t="n">
        <x:v>3</x:v>
      </x:c>
      <x:c r="B28" s="47" t="n">
        <x:v>2</x:v>
      </x:c>
      <x:c r="C28" s="47" t="n">
        <x:f>COUNTIFS('Serial Schedule'!$H$7:$H$150,A28,'Serial Schedule'!$N$7:$N$150,B28)</x:f>
        <x:v>6</x:v>
      </x:c>
      <x:c r="D28" s="47" t="n">
        <x:v>6</x:v>
      </x:c>
      <x:c r="E28" s="47" t="n">
        <x:f>D28-C28</x:f>
        <x:v>0</x:v>
      </x:c>
      <x:c r="F28" s="47" t="n">
        <x:f>SUMIFS('Serial Schedule'!$V$7:$V$150,'Serial Schedule'!$H$7:$H$150,A28,'Serial Schedule'!$N$7:$N$150,B28)-C28</x:f>
        <x:v>0</x:v>
      </x:c>
      <x:c r="G28" s="47" t="n">
        <x:v>174</x:v>
      </x:c>
      <x:c r="H28" s="47"/>
      <x:c r="I28" s="47"/>
      <x:c r="J28" s="47"/>
      <x:c r="K28" s="47"/>
      <x:c r="L28" s="47"/>
      <x:c r="M28" s="47"/>
      <x:c r="N28" s="47"/>
      <x:c r="O28" s="47"/>
      <x:c r="P28" s="47"/>
      <x:c r="Q28" s="47"/>
      <x:c r="R28" s="47"/>
      <x:c r="S28" s="47"/>
      <x:c r="T28" s="47"/>
      <x:c r="U28" s="47"/>
    </x:row>
    <x:row r="29">
      <x:c r="A29" s="47" t="n">
        <x:v>3</x:v>
      </x:c>
      <x:c r="B29" s="47" t="n">
        <x:v>3</x:v>
      </x:c>
      <x:c r="C29" s="47" t="n">
        <x:f>COUNTIFS('Serial Schedule'!$H$7:$H$150,A29,'Serial Schedule'!$N$7:$N$150,B29)</x:f>
        <x:v>6</x:v>
      </x:c>
      <x:c r="D29" s="47" t="n">
        <x:v>6</x:v>
      </x:c>
      <x:c r="E29" s="47" t="n">
        <x:f>D29-C29</x:f>
        <x:v>0</x:v>
      </x:c>
      <x:c r="F29" s="47" t="n">
        <x:f>SUMIFS('Serial Schedule'!$V$7:$V$150,'Serial Schedule'!$H$7:$H$150,A29,'Serial Schedule'!$N$7:$N$150,B29)-C29</x:f>
        <x:v>0</x:v>
      </x:c>
      <x:c r="G29" s="47" t="n">
        <x:v>180</x:v>
      </x:c>
      <x:c r="H29" s="47"/>
      <x:c r="I29" s="47"/>
      <x:c r="J29" s="47"/>
      <x:c r="K29" s="47"/>
      <x:c r="L29" s="47"/>
      <x:c r="M29" s="47"/>
      <x:c r="N29" s="47"/>
      <x:c r="O29" s="47"/>
      <x:c r="P29" s="47"/>
      <x:c r="Q29" s="47"/>
      <x:c r="R29" s="47"/>
      <x:c r="S29" s="47"/>
      <x:c r="T29" s="47"/>
      <x:c r="U29" s="47"/>
    </x:row>
    <x:row r="30">
      <x:c r="A30" s="47" t="n">
        <x:v>3</x:v>
      </x:c>
      <x:c r="B30" s="47" t="n">
        <x:v>4</x:v>
      </x:c>
      <x:c r="C30" s="47" t="n">
        <x:f>COUNTIFS('Serial Schedule'!$H$7:$H$150,A30,'Serial Schedule'!$N$7:$N$150,B30)</x:f>
        <x:v>6</x:v>
      </x:c>
      <x:c r="D30" s="47" t="n">
        <x:v>6</x:v>
      </x:c>
      <x:c r="E30" s="47" t="n">
        <x:f>D30-C30</x:f>
        <x:v>0</x:v>
      </x:c>
      <x:c r="F30" s="47" t="n">
        <x:f>SUMIFS('Serial Schedule'!$V$7:$V$150,'Serial Schedule'!$H$7:$H$150,A30,'Serial Schedule'!$N$7:$N$150,B30)-C30</x:f>
        <x:v>0</x:v>
      </x:c>
      <x:c r="G30" s="47" t="n">
        <x:v>186</x:v>
      </x:c>
      <x:c r="H30" s="47"/>
      <x:c r="I30" s="47"/>
      <x:c r="J30" s="47"/>
      <x:c r="K30" s="47"/>
      <x:c r="L30" s="47"/>
      <x:c r="M30" s="47"/>
      <x:c r="N30" s="47"/>
      <x:c r="O30" s="47"/>
      <x:c r="P30" s="47"/>
      <x:c r="Q30" s="47"/>
      <x:c r="R30" s="47"/>
      <x:c r="S30" s="47"/>
      <x:c r="T30" s="47"/>
      <x:c r="U30" s="47"/>
    </x:row>
    <x:row r="31">
      <x:c r="A31" s="47" t="n">
        <x:v>4</x:v>
      </x:c>
      <x:c r="B31" s="47" t="n">
        <x:v>1</x:v>
      </x:c>
      <x:c r="C31" s="47" t="n">
        <x:f>COUNTIFS('Serial Schedule'!$H$7:$H$150,A31,'Serial Schedule'!$N$7:$N$150,B31)</x:f>
        <x:v>6</x:v>
      </x:c>
      <x:c r="D31" s="47" t="n">
        <x:v>6</x:v>
      </x:c>
      <x:c r="E31" s="47" t="n">
        <x:f>D31-C31</x:f>
        <x:v>0</x:v>
      </x:c>
      <x:c r="F31" s="47" t="n">
        <x:f>SUMIFS('Serial Schedule'!$V$7:$V$150,'Serial Schedule'!$H$7:$H$150,A31,'Serial Schedule'!$N$7:$N$150,B31)-C31</x:f>
        <x:v>0</x:v>
      </x:c>
      <x:c r="G31" s="47" t="n">
        <x:v>200</x:v>
      </x:c>
      <x:c r="H31" s="47"/>
      <x:c r="I31" s="47"/>
      <x:c r="J31" s="47"/>
      <x:c r="K31" s="47"/>
      <x:c r="L31" s="47"/>
      <x:c r="M31" s="47"/>
      <x:c r="N31" s="47"/>
      <x:c r="O31" s="47"/>
      <x:c r="P31" s="47"/>
      <x:c r="Q31" s="47"/>
      <x:c r="R31" s="47"/>
      <x:c r="S31" s="47"/>
      <x:c r="T31" s="47"/>
      <x:c r="U31" s="47"/>
    </x:row>
    <x:row r="32">
      <x:c r="A32" s="47" t="n">
        <x:v>4</x:v>
      </x:c>
      <x:c r="B32" s="47" t="n">
        <x:v>2</x:v>
      </x:c>
      <x:c r="C32" s="47" t="n">
        <x:f>COUNTIFS('Serial Schedule'!$H$7:$H$150,A32,'Serial Schedule'!$N$7:$N$150,B32)</x:f>
        <x:v>6</x:v>
      </x:c>
      <x:c r="D32" s="47" t="n">
        <x:v>6</x:v>
      </x:c>
      <x:c r="E32" s="47" t="n">
        <x:f>D32-C32</x:f>
        <x:v>0</x:v>
      </x:c>
      <x:c r="F32" s="47" t="n">
        <x:f>SUMIFS('Serial Schedule'!$V$7:$V$150,'Serial Schedule'!$H$7:$H$150,A32,'Serial Schedule'!$N$7:$N$150,B32)-C32</x:f>
        <x:v>0</x:v>
      </x:c>
      <x:c r="G32" s="47" t="n">
        <x:v>206</x:v>
      </x:c>
      <x:c r="H32" s="47"/>
      <x:c r="I32" s="47"/>
      <x:c r="J32" s="47"/>
      <x:c r="K32" s="47"/>
      <x:c r="L32" s="47"/>
      <x:c r="M32" s="47"/>
      <x:c r="N32" s="47"/>
      <x:c r="O32" s="47"/>
      <x:c r="P32" s="47"/>
      <x:c r="Q32" s="47"/>
      <x:c r="R32" s="47"/>
      <x:c r="S32" s="47"/>
      <x:c r="T32" s="47"/>
      <x:c r="U32" s="47"/>
    </x:row>
    <x:row r="33">
      <x:c r="A33" s="47" t="n">
        <x:v>4</x:v>
      </x:c>
      <x:c r="B33" s="47" t="n">
        <x:v>3</x:v>
      </x:c>
      <x:c r="C33" s="47" t="n">
        <x:f>COUNTIFS('Serial Schedule'!$H$7:$H$150,A33,'Serial Schedule'!$N$7:$N$150,B33)</x:f>
        <x:v>6</x:v>
      </x:c>
      <x:c r="D33" s="47" t="n">
        <x:v>6</x:v>
      </x:c>
      <x:c r="E33" s="47" t="n">
        <x:f>D33-C33</x:f>
        <x:v>0</x:v>
      </x:c>
      <x:c r="F33" s="47" t="n">
        <x:f>SUMIFS('Serial Schedule'!$V$7:$V$150,'Serial Schedule'!$H$7:$H$150,A33,'Serial Schedule'!$N$7:$N$150,B33)-C33</x:f>
        <x:v>0</x:v>
      </x:c>
      <x:c r="G33" s="47" t="n">
        <x:v>212</x:v>
      </x:c>
      <x:c r="H33" s="47"/>
      <x:c r="I33" s="47"/>
      <x:c r="J33" s="47"/>
      <x:c r="K33" s="47"/>
      <x:c r="L33" s="47"/>
      <x:c r="M33" s="47"/>
      <x:c r="N33" s="47"/>
      <x:c r="O33" s="47"/>
      <x:c r="P33" s="47"/>
      <x:c r="Q33" s="47"/>
      <x:c r="R33" s="47"/>
      <x:c r="S33" s="47"/>
      <x:c r="T33" s="47"/>
      <x:c r="U33" s="47"/>
    </x:row>
    <x:row r="34">
      <x:c r="A34" s="47" t="n">
        <x:v>4</x:v>
      </x:c>
      <x:c r="B34" s="47" t="n">
        <x:v>4</x:v>
      </x:c>
      <x:c r="C34" s="47" t="n">
        <x:f>COUNTIFS('Serial Schedule'!$H$7:$H$150,A34,'Serial Schedule'!$N$7:$N$150,B34)</x:f>
        <x:v>6</x:v>
      </x:c>
      <x:c r="D34" s="47" t="n">
        <x:v>6</x:v>
      </x:c>
      <x:c r="E34" s="47" t="n">
        <x:f>D34-C34</x:f>
        <x:v>0</x:v>
      </x:c>
      <x:c r="F34" s="47" t="n">
        <x:f>SUMIFS('Serial Schedule'!$V$7:$V$150,'Serial Schedule'!$H$7:$H$150,A34,'Serial Schedule'!$N$7:$N$150,B34)-C34</x:f>
        <x:v>0</x:v>
      </x:c>
      <x:c r="G34" s="47" t="n">
        <x:v>218</x:v>
      </x:c>
      <x:c r="H34" s="47"/>
      <x:c r="I34" s="47"/>
      <x:c r="J34" s="47"/>
      <x:c r="K34" s="47"/>
      <x:c r="L34" s="47"/>
      <x:c r="M34" s="47"/>
      <x:c r="N34" s="47"/>
      <x:c r="O34" s="47"/>
      <x:c r="P34" s="47"/>
      <x:c r="Q34" s="47"/>
      <x:c r="R34" s="47"/>
      <x:c r="S34" s="47"/>
      <x:c r="T34" s="47"/>
      <x:c r="U34" s="47"/>
    </x:row>
    <x:row r="35">
      <x:c r="A35" s="47" t="n">
        <x:v>5</x:v>
      </x:c>
      <x:c r="B35" s="47" t="n">
        <x:v>1</x:v>
      </x:c>
      <x:c r="C35" s="47" t="n">
        <x:f>COUNTIFS('Serial Schedule'!$H$7:$H$150,A35,'Serial Schedule'!$N$7:$N$150,B35)</x:f>
        <x:v>6</x:v>
      </x:c>
      <x:c r="D35" s="47" t="n">
        <x:v>6</x:v>
      </x:c>
      <x:c r="E35" s="47" t="n">
        <x:f>D35-C35</x:f>
        <x:v>0</x:v>
      </x:c>
      <x:c r="F35" s="47" t="n">
        <x:f>SUMIFS('Serial Schedule'!$V$7:$V$150,'Serial Schedule'!$H$7:$H$150,A35,'Serial Schedule'!$N$7:$N$150,B35)-C35</x:f>
        <x:v>0</x:v>
      </x:c>
      <x:c r="G35" s="47" t="n">
        <x:v>232</x:v>
      </x:c>
      <x:c r="H35" s="47"/>
      <x:c r="I35" s="47"/>
      <x:c r="J35" s="47"/>
      <x:c r="K35" s="47"/>
      <x:c r="L35" s="47"/>
      <x:c r="M35" s="47"/>
      <x:c r="N35" s="47"/>
      <x:c r="O35" s="47"/>
      <x:c r="P35" s="47"/>
      <x:c r="Q35" s="47"/>
      <x:c r="R35" s="47"/>
      <x:c r="S35" s="47"/>
      <x:c r="T35" s="47"/>
      <x:c r="U35" s="47"/>
    </x:row>
    <x:row r="36">
      <x:c r="A36" s="47" t="n">
        <x:v>5</x:v>
      </x:c>
      <x:c r="B36" s="47" t="n">
        <x:v>2</x:v>
      </x:c>
      <x:c r="C36" s="47" t="n">
        <x:f>COUNTIFS('Serial Schedule'!$H$7:$H$150,A36,'Serial Schedule'!$N$7:$N$150,B36)</x:f>
        <x:v>6</x:v>
      </x:c>
      <x:c r="D36" s="47" t="n">
        <x:v>6</x:v>
      </x:c>
      <x:c r="E36" s="47" t="n">
        <x:f>D36-C36</x:f>
        <x:v>0</x:v>
      </x:c>
      <x:c r="F36" s="47" t="n">
        <x:f>SUMIFS('Serial Schedule'!$V$7:$V$150,'Serial Schedule'!$H$7:$H$150,A36,'Serial Schedule'!$N$7:$N$150,B36)-C36</x:f>
        <x:v>0</x:v>
      </x:c>
      <x:c r="G36" s="47" t="n">
        <x:v>238</x:v>
      </x:c>
      <x:c r="H36" s="47"/>
      <x:c r="I36" s="47"/>
      <x:c r="J36" s="47"/>
      <x:c r="K36" s="47"/>
      <x:c r="L36" s="47"/>
      <x:c r="M36" s="47"/>
      <x:c r="N36" s="47"/>
      <x:c r="O36" s="47"/>
      <x:c r="P36" s="47"/>
      <x:c r="Q36" s="47"/>
      <x:c r="R36" s="47"/>
      <x:c r="S36" s="47"/>
      <x:c r="T36" s="47"/>
      <x:c r="U36" s="47"/>
    </x:row>
    <x:row r="37">
      <x:c r="A37" s="47" t="n">
        <x:v>5</x:v>
      </x:c>
      <x:c r="B37" s="47" t="n">
        <x:v>3</x:v>
      </x:c>
      <x:c r="C37" s="47" t="n">
        <x:f>COUNTIFS('Serial Schedule'!$H$7:$H$150,A37,'Serial Schedule'!$N$7:$N$150,B37)</x:f>
        <x:v>6</x:v>
      </x:c>
      <x:c r="D37" s="47" t="n">
        <x:v>6</x:v>
      </x:c>
      <x:c r="E37" s="47" t="n">
        <x:f>D37-C37</x:f>
        <x:v>0</x:v>
      </x:c>
      <x:c r="F37" s="47" t="n">
        <x:f>SUMIFS('Serial Schedule'!$V$7:$V$150,'Serial Schedule'!$H$7:$H$150,A37,'Serial Schedule'!$N$7:$N$150,B37)-C37</x:f>
        <x:v>0</x:v>
      </x:c>
      <x:c r="G37" s="47" t="n">
        <x:v>244</x:v>
      </x:c>
      <x:c r="H37" s="47"/>
      <x:c r="I37" s="47"/>
      <x:c r="J37" s="47"/>
      <x:c r="K37" s="47"/>
      <x:c r="L37" s="47"/>
      <x:c r="M37" s="47"/>
      <x:c r="N37" s="47"/>
      <x:c r="O37" s="47"/>
      <x:c r="P37" s="47"/>
      <x:c r="Q37" s="47"/>
      <x:c r="R37" s="47"/>
      <x:c r="S37" s="47"/>
      <x:c r="T37" s="47"/>
      <x:c r="U37" s="47"/>
    </x:row>
    <x:row r="38">
      <x:c r="A38" s="47" t="n">
        <x:v>5</x:v>
      </x:c>
      <x:c r="B38" s="47" t="n">
        <x:v>4</x:v>
      </x:c>
      <x:c r="C38" s="47" t="n">
        <x:f>COUNTIFS('Serial Schedule'!$H$7:$H$150,A38,'Serial Schedule'!$N$7:$N$150,B38)</x:f>
        <x:v>6</x:v>
      </x:c>
      <x:c r="D38" s="47" t="n">
        <x:v>6</x:v>
      </x:c>
      <x:c r="E38" s="47" t="n">
        <x:f>D38-C38</x:f>
        <x:v>0</x:v>
      </x:c>
      <x:c r="F38" s="47" t="n">
        <x:f>SUMIFS('Serial Schedule'!$V$7:$V$150,'Serial Schedule'!$H$7:$H$150,A38,'Serial Schedule'!$N$7:$N$150,B38)-C38</x:f>
        <x:v>0</x:v>
      </x:c>
      <x:c r="G38" s="47" t="n">
        <x:v>250</x:v>
      </x:c>
      <x:c r="H38" s="47"/>
      <x:c r="I38" s="47"/>
      <x:c r="J38" s="47"/>
      <x:c r="K38" s="47"/>
      <x:c r="L38" s="47"/>
      <x:c r="M38" s="47"/>
      <x:c r="N38" s="47"/>
      <x:c r="O38" s="47"/>
      <x:c r="P38" s="47"/>
      <x:c r="Q38" s="47"/>
      <x:c r="R38" s="47"/>
      <x:c r="S38" s="47"/>
      <x:c r="T38" s="47"/>
      <x:c r="U38" s="47"/>
    </x:row>
    <x:row r="39">
      <x:c r="A39" s="47" t="n">
        <x:v>6</x:v>
      </x:c>
      <x:c r="B39" s="47" t="n">
        <x:v>1</x:v>
      </x:c>
      <x:c r="C39" s="47" t="n">
        <x:f>COUNTIFS('Serial Schedule'!$H$7:$H$150,A39,'Serial Schedule'!$N$7:$N$150,B39)</x:f>
        <x:v>6</x:v>
      </x:c>
      <x:c r="D39" s="47" t="n">
        <x:v>6</x:v>
      </x:c>
      <x:c r="E39" s="47" t="n">
        <x:f>D39-C39</x:f>
        <x:v>0</x:v>
      </x:c>
      <x:c r="F39" s="47" t="n">
        <x:f>SUMIFS('Serial Schedule'!$V$7:$V$150,'Serial Schedule'!$H$7:$H$150,A39,'Serial Schedule'!$N$7:$N$150,B39)-C39</x:f>
        <x:v>0</x:v>
      </x:c>
      <x:c r="G39" s="47" t="n">
        <x:v>264</x:v>
      </x:c>
      <x:c r="H39" s="47"/>
      <x:c r="I39" s="47"/>
      <x:c r="J39" s="47"/>
      <x:c r="K39" s="47"/>
      <x:c r="L39" s="47"/>
      <x:c r="M39" s="47"/>
      <x:c r="N39" s="47"/>
      <x:c r="O39" s="47"/>
      <x:c r="P39" s="47"/>
      <x:c r="Q39" s="47"/>
      <x:c r="R39" s="47"/>
      <x:c r="S39" s="47"/>
      <x:c r="T39" s="47"/>
      <x:c r="U39" s="47"/>
    </x:row>
    <x:row r="40">
      <x:c r="A40" s="47" t="n">
        <x:v>6</x:v>
      </x:c>
      <x:c r="B40" s="47" t="n">
        <x:v>2</x:v>
      </x:c>
      <x:c r="C40" s="47" t="n">
        <x:f>COUNTIFS('Serial Schedule'!$H$7:$H$150,A40,'Serial Schedule'!$N$7:$N$150,B40)</x:f>
        <x:v>6</x:v>
      </x:c>
      <x:c r="D40" s="47" t="n">
        <x:v>6</x:v>
      </x:c>
      <x:c r="E40" s="47" t="n">
        <x:f>D40-C40</x:f>
        <x:v>0</x:v>
      </x:c>
      <x:c r="F40" s="47" t="n">
        <x:f>SUMIFS('Serial Schedule'!$V$7:$V$150,'Serial Schedule'!$H$7:$H$150,A40,'Serial Schedule'!$N$7:$N$150,B40)-C40</x:f>
        <x:v>0</x:v>
      </x:c>
      <x:c r="G40" s="47" t="n">
        <x:v>270</x:v>
      </x:c>
      <x:c r="H40" s="47"/>
      <x:c r="I40" s="47"/>
      <x:c r="J40" s="47"/>
      <x:c r="K40" s="47"/>
      <x:c r="L40" s="47"/>
      <x:c r="M40" s="47"/>
      <x:c r="N40" s="47"/>
      <x:c r="O40" s="47"/>
      <x:c r="P40" s="47"/>
      <x:c r="Q40" s="47"/>
      <x:c r="R40" s="47"/>
      <x:c r="S40" s="47"/>
      <x:c r="T40" s="47"/>
      <x:c r="U40" s="47"/>
    </x:row>
    <x:row r="41">
      <x:c r="A41" s="47" t="n">
        <x:v>6</x:v>
      </x:c>
      <x:c r="B41" s="47" t="n">
        <x:v>3</x:v>
      </x:c>
      <x:c r="C41" s="47" t="n">
        <x:f>COUNTIFS('Serial Schedule'!$H$7:$H$150,A41,'Serial Schedule'!$N$7:$N$150,B41)</x:f>
        <x:v>6</x:v>
      </x:c>
      <x:c r="D41" s="47" t="n">
        <x:v>6</x:v>
      </x:c>
      <x:c r="E41" s="47" t="n">
        <x:f>D41-C41</x:f>
        <x:v>0</x:v>
      </x:c>
      <x:c r="F41" s="47" t="n">
        <x:f>SUMIFS('Serial Schedule'!$V$7:$V$150,'Serial Schedule'!$H$7:$H$150,A41,'Serial Schedule'!$N$7:$N$150,B41)-C41</x:f>
        <x:v>0</x:v>
      </x:c>
      <x:c r="G41" s="47" t="n">
        <x:v>276</x:v>
      </x:c>
      <x:c r="H41" s="47"/>
      <x:c r="I41" s="47"/>
      <x:c r="J41" s="47"/>
      <x:c r="K41" s="47"/>
      <x:c r="L41" s="47"/>
      <x:c r="M41" s="47"/>
      <x:c r="N41" s="47"/>
      <x:c r="O41" s="47"/>
      <x:c r="P41" s="47"/>
      <x:c r="Q41" s="47"/>
      <x:c r="R41" s="47"/>
      <x:c r="S41" s="47"/>
      <x:c r="T41" s="47"/>
      <x:c r="U41" s="47"/>
    </x:row>
    <x:row r="42">
      <x:c r="A42" s="47" t="n">
        <x:v>6</x:v>
      </x:c>
      <x:c r="B42" s="47" t="n">
        <x:v>4</x:v>
      </x:c>
      <x:c r="C42" s="47" t="n">
        <x:f>COUNTIFS('Serial Schedule'!$H$7:$H$150,A42,'Serial Schedule'!$N$7:$N$150,B42)</x:f>
        <x:v>6</x:v>
      </x:c>
      <x:c r="D42" s="47" t="n">
        <x:v>6</x:v>
      </x:c>
      <x:c r="E42" s="47" t="n">
        <x:f>D42-C42</x:f>
        <x:v>0</x:v>
      </x:c>
      <x:c r="F42" s="47" t="n">
        <x:f>SUMIFS('Serial Schedule'!$V$7:$V$150,'Serial Schedule'!$H$7:$H$150,A42,'Serial Schedule'!$N$7:$N$150,B42)-C42</x:f>
        <x:v>0</x:v>
      </x:c>
      <x:c r="G42" s="47" t="n">
        <x:v>282</x:v>
      </x:c>
      <x:c r="H42" s="47"/>
      <x:c r="I42" s="47"/>
      <x:c r="J42" s="47"/>
      <x:c r="K42" s="47"/>
      <x:c r="L42" s="47"/>
      <x:c r="M42" s="47"/>
      <x:c r="N42" s="47"/>
      <x:c r="O42" s="47"/>
      <x:c r="P42" s="47"/>
      <x:c r="Q42" s="47"/>
      <x:c r="R42" s="47"/>
      <x:c r="S42" s="47"/>
      <x:c r="T42" s="47"/>
      <x:c r="U42" s="47"/>
    </x:row>
  </x:sheetData>
  <x:pageMargins left="0.7" right="0.7" top="0.75" bottom="0.75" header="0.3" footer="0.3"/>
  <x:tableParts count="2">
    <x:tablePart xmlns:r="http://schemas.openxmlformats.org/officeDocument/2006/relationships" r:id="Rc5c39cb90e9140ad"/>
    <x:tablePart xmlns:r="http://schemas.openxmlformats.org/officeDocument/2006/relationships" r:id="Rba29fed7449544f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0" hidden="0" customWidth="1"/>
    <x:col min="2" max="2" width="13" hidden="0" customWidth="1"/>
    <x:col min="3" max="3" width="10" hidden="0" customWidth="1"/>
    <x:col min="4" max="4" width="24" hidden="0" customWidth="1"/>
    <x:col min="5" max="5" width="18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  <x:col min="10" max="10" width="26" hidden="0" customWidth="1"/>
    <x:col min="11" max="11" width="14" hidden="0" customWidth="1"/>
  </x:cols>
  <x:sheetData>
    <x:row r="1">
      <x:c r="A1" s="47"/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2">
      <x:c r="A2" s="55" t="str">
        <x:v>Node capacity and single-site-loss migration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</x:row>
    <x:row r="6" ht="34" customHeight="1">
      <x:c r="A6" s="15" t="str">
        <x:v>Site</x:v>
      </x:c>
      <x:c r="B6" s="15" t="str">
        <x:v>Form</x:v>
      </x:c>
      <x:c r="C6" s="15" t="str">
        <x:v>Epoch</x:v>
      </x:c>
      <x:c r="D6" s="15" t="str">
        <x:v>Scheduled events</x:v>
      </x:c>
      <x:c r="E6" s="15" t="str">
        <x:v>Window capacity</x:v>
      </x:c>
      <x:c r="F6" s="15" t="str">
        <x:v>Dormant windows</x:v>
      </x:c>
      <x:c r="G6" s="15" t="str">
        <x:v>Collision rows</x:v>
      </x:c>
      <x:c r="H6" s="15" t="str">
        <x:v>Status</x:v>
      </x:c>
      <x:c r="I6" s="47"/>
      <x:c r="J6" s="47"/>
      <x:c r="K6" s="47"/>
    </x:row>
    <x:row r="7">
      <x:c r="A7" s="47" t="str">
        <x:v>ET-A-A-N1</x:v>
      </x:c>
      <x:c r="B7" s="47" t="str">
        <x:v>ET-A-A</x:v>
      </x:c>
      <x:c r="C7" s="47" t="n">
        <x:v>1</x:v>
      </x:c>
      <x:c r="D7" s="47" t="n">
        <x:f>COUNTIFS('Serial Schedule'!$K$7:$K$150,A7,'Serial Schedule'!$H$7:$H$150,C7)</x:f>
        <x:v>1</x:v>
      </x:c>
      <x:c r="E7" s="47" t="n">
        <x:v>4</x:v>
      </x:c>
      <x:c r="F7" s="47" t="n">
        <x:f>E7-D7</x:f>
        <x:v>3</x:v>
      </x:c>
      <x:c r="G7" s="47" t="n">
        <x:f>COUNTIFS('Serial Schedule'!$K$7:$K$150,A7,'Serial Schedule'!$H$7:$H$150,C7,'Serial Schedule'!$V$7:$V$150,"&gt;1")</x:f>
        <x:v>0</x:v>
      </x:c>
      <x:c r="H7" s="47" t="str">
        <x:f>IF(AND(D7&lt;=E7,G7=0),"PASS","FAIL")</x:f>
        <x:v>PASS</x:v>
      </x:c>
      <x:c r="I7" s="47"/>
      <x:c r="J7" s="47"/>
      <x:c r="K7" s="47"/>
    </x:row>
    <x:row r="8">
      <x:c r="A8" s="47" t="str">
        <x:v>ET-A-A-N1</x:v>
      </x:c>
      <x:c r="B8" s="47" t="str">
        <x:v>ET-A-A</x:v>
      </x:c>
      <x:c r="C8" s="47" t="n">
        <x:v>2</x:v>
      </x:c>
      <x:c r="D8" s="47" t="n">
        <x:f>COUNTIFS('Serial Schedule'!$K$7:$K$150,A8,'Serial Schedule'!$H$7:$H$150,C8)</x:f>
        <x:v>1</x:v>
      </x:c>
      <x:c r="E8" s="47" t="n">
        <x:v>4</x:v>
      </x:c>
      <x:c r="F8" s="47" t="n">
        <x:f>E8-D8</x:f>
        <x:v>3</x:v>
      </x:c>
      <x:c r="G8" s="47" t="n">
        <x:f>COUNTIFS('Serial Schedule'!$K$7:$K$150,A8,'Serial Schedule'!$H$7:$H$150,C8,'Serial Schedule'!$V$7:$V$150,"&gt;1")</x:f>
        <x:v>0</x:v>
      </x:c>
      <x:c r="H8" s="47" t="str">
        <x:f>IF(AND(D8&lt;=E8,G8=0),"PASS","FAIL")</x:f>
        <x:v>PASS</x:v>
      </x:c>
      <x:c r="I8" s="47"/>
      <x:c r="J8" s="47"/>
      <x:c r="K8" s="47"/>
    </x:row>
    <x:row r="9">
      <x:c r="A9" s="47" t="str">
        <x:v>ET-A-A-N1</x:v>
      </x:c>
      <x:c r="B9" s="47" t="str">
        <x:v>ET-A-A</x:v>
      </x:c>
      <x:c r="C9" s="47" t="n">
        <x:v>3</x:v>
      </x:c>
      <x:c r="D9" s="47" t="n">
        <x:f>COUNTIFS('Serial Schedule'!$K$7:$K$150,A9,'Serial Schedule'!$H$7:$H$150,C9)</x:f>
        <x:v>1</x:v>
      </x:c>
      <x:c r="E9" s="47" t="n">
        <x:v>4</x:v>
      </x:c>
      <x:c r="F9" s="47" t="n">
        <x:f>E9-D9</x:f>
        <x:v>3</x:v>
      </x:c>
      <x:c r="G9" s="47" t="n">
        <x:f>COUNTIFS('Serial Schedule'!$K$7:$K$150,A9,'Serial Schedule'!$H$7:$H$150,C9,'Serial Schedule'!$V$7:$V$150,"&gt;1")</x:f>
        <x:v>0</x:v>
      </x:c>
      <x:c r="H9" s="47" t="str">
        <x:f>IF(AND(D9&lt;=E9,G9=0),"PASS","FAIL")</x:f>
        <x:v>PASS</x:v>
      </x:c>
      <x:c r="I9" s="47"/>
      <x:c r="J9" s="47"/>
      <x:c r="K9" s="47"/>
    </x:row>
    <x:row r="10">
      <x:c r="A10" s="47" t="str">
        <x:v>ET-A-A-N1</x:v>
      </x:c>
      <x:c r="B10" s="47" t="str">
        <x:v>ET-A-A</x:v>
      </x:c>
      <x:c r="C10" s="47" t="n">
        <x:v>4</x:v>
      </x:c>
      <x:c r="D10" s="47" t="n">
        <x:f>COUNTIFS('Serial Schedule'!$K$7:$K$150,A10,'Serial Schedule'!$H$7:$H$150,C10)</x:f>
        <x:v>2</x:v>
      </x:c>
      <x:c r="E10" s="47" t="n">
        <x:v>4</x:v>
      </x:c>
      <x:c r="F10" s="47" t="n">
        <x:f>E10-D10</x:f>
        <x:v>2</x:v>
      </x:c>
      <x:c r="G10" s="47" t="n">
        <x:f>COUNTIFS('Serial Schedule'!$K$7:$K$150,A10,'Serial Schedule'!$H$7:$H$150,C10,'Serial Schedule'!$V$7:$V$150,"&gt;1")</x:f>
        <x:v>0</x:v>
      </x:c>
      <x:c r="H10" s="47" t="str">
        <x:f>IF(AND(D10&lt;=E10,G10=0),"PASS","FAIL")</x:f>
        <x:v>PASS</x:v>
      </x:c>
      <x:c r="I10" s="47"/>
      <x:c r="J10" s="47"/>
      <x:c r="K10" s="47"/>
    </x:row>
    <x:row r="11">
      <x:c r="A11" s="47" t="str">
        <x:v>ET-A-A-N1</x:v>
      </x:c>
      <x:c r="B11" s="47" t="str">
        <x:v>ET-A-A</x:v>
      </x:c>
      <x:c r="C11" s="47" t="n">
        <x:v>5</x:v>
      </x:c>
      <x:c r="D11" s="47" t="n">
        <x:f>COUNTIFS('Serial Schedule'!$K$7:$K$150,A11,'Serial Schedule'!$H$7:$H$150,C11)</x:f>
        <x:v>3</x:v>
      </x:c>
      <x:c r="E11" s="47" t="n">
        <x:v>4</x:v>
      </x:c>
      <x:c r="F11" s="47" t="n">
        <x:f>E11-D11</x:f>
        <x:v>1</x:v>
      </x:c>
      <x:c r="G11" s="47" t="n">
        <x:f>COUNTIFS('Serial Schedule'!$K$7:$K$150,A11,'Serial Schedule'!$H$7:$H$150,C11,'Serial Schedule'!$V$7:$V$150,"&gt;1")</x:f>
        <x:v>0</x:v>
      </x:c>
      <x:c r="H11" s="47" t="str">
        <x:f>IF(AND(D11&lt;=E11,G11=0),"PASS","FAIL")</x:f>
        <x:v>PASS</x:v>
      </x:c>
      <x:c r="I11" s="47"/>
      <x:c r="J11" s="47"/>
      <x:c r="K11" s="47"/>
    </x:row>
    <x:row r="12">
      <x:c r="A12" s="47" t="str">
        <x:v>ET-A-A-N1</x:v>
      </x:c>
      <x:c r="B12" s="47" t="str">
        <x:v>ET-A-A</x:v>
      </x:c>
      <x:c r="C12" s="47" t="n">
        <x:v>6</x:v>
      </x:c>
      <x:c r="D12" s="47" t="n">
        <x:f>COUNTIFS('Serial Schedule'!$K$7:$K$150,A12,'Serial Schedule'!$H$7:$H$150,C12)</x:f>
        <x:v>1</x:v>
      </x:c>
      <x:c r="E12" s="47" t="n">
        <x:v>4</x:v>
      </x:c>
      <x:c r="F12" s="47" t="n">
        <x:f>E12-D12</x:f>
        <x:v>3</x:v>
      </x:c>
      <x:c r="G12" s="47" t="n">
        <x:f>COUNTIFS('Serial Schedule'!$K$7:$K$150,A12,'Serial Schedule'!$H$7:$H$150,C12,'Serial Schedule'!$V$7:$V$150,"&gt;1")</x:f>
        <x:v>0</x:v>
      </x:c>
      <x:c r="H12" s="47" t="str">
        <x:f>IF(AND(D12&lt;=E12,G12=0),"PASS","FAIL")</x:f>
        <x:v>PASS</x:v>
      </x:c>
      <x:c r="I12" s="47"/>
      <x:c r="J12" s="47"/>
      <x:c r="K12" s="47"/>
    </x:row>
    <x:row r="13">
      <x:c r="A13" s="47" t="str">
        <x:v>ET-A-A-N2</x:v>
      </x:c>
      <x:c r="B13" s="47" t="str">
        <x:v>ET-A-A</x:v>
      </x:c>
      <x:c r="C13" s="47" t="n">
        <x:v>1</x:v>
      </x:c>
      <x:c r="D13" s="47" t="n">
        <x:f>COUNTIFS('Serial Schedule'!$K$7:$K$150,A13,'Serial Schedule'!$H$7:$H$150,C13)</x:f>
        <x:v>2</x:v>
      </x:c>
      <x:c r="E13" s="47" t="n">
        <x:v>4</x:v>
      </x:c>
      <x:c r="F13" s="47" t="n">
        <x:f>E13-D13</x:f>
        <x:v>2</x:v>
      </x:c>
      <x:c r="G13" s="47" t="n">
        <x:f>COUNTIFS('Serial Schedule'!$K$7:$K$150,A13,'Serial Schedule'!$H$7:$H$150,C13,'Serial Schedule'!$V$7:$V$150,"&gt;1")</x:f>
        <x:v>0</x:v>
      </x:c>
      <x:c r="H13" s="47" t="str">
        <x:f>IF(AND(D13&lt;=E13,G13=0),"PASS","FAIL")</x:f>
        <x:v>PASS</x:v>
      </x:c>
      <x:c r="I13" s="47"/>
      <x:c r="J13" s="47"/>
      <x:c r="K13" s="47"/>
    </x:row>
    <x:row r="14">
      <x:c r="A14" s="47" t="str">
        <x:v>ET-A-A-N2</x:v>
      </x:c>
      <x:c r="B14" s="47" t="str">
        <x:v>ET-A-A</x:v>
      </x:c>
      <x:c r="C14" s="47" t="n">
        <x:v>2</x:v>
      </x:c>
      <x:c r="D14" s="47" t="n">
        <x:f>COUNTIFS('Serial Schedule'!$K$7:$K$150,A14,'Serial Schedule'!$H$7:$H$150,C14)</x:f>
        <x:v>2</x:v>
      </x:c>
      <x:c r="E14" s="47" t="n">
        <x:v>4</x:v>
      </x:c>
      <x:c r="F14" s="47" t="n">
        <x:f>E14-D14</x:f>
        <x:v>2</x:v>
      </x:c>
      <x:c r="G14" s="47" t="n">
        <x:f>COUNTIFS('Serial Schedule'!$K$7:$K$150,A14,'Serial Schedule'!$H$7:$H$150,C14,'Serial Schedule'!$V$7:$V$150,"&gt;1")</x:f>
        <x:v>0</x:v>
      </x:c>
      <x:c r="H14" s="47" t="str">
        <x:f>IF(AND(D14&lt;=E14,G14=0),"PASS","FAIL")</x:f>
        <x:v>PASS</x:v>
      </x:c>
      <x:c r="I14" s="47"/>
      <x:c r="J14" s="47"/>
      <x:c r="K14" s="47"/>
    </x:row>
    <x:row r="15">
      <x:c r="A15" s="47" t="str">
        <x:v>ET-A-A-N2</x:v>
      </x:c>
      <x:c r="B15" s="47" t="str">
        <x:v>ET-A-A</x:v>
      </x:c>
      <x:c r="C15" s="47" t="n">
        <x:v>3</x:v>
      </x:c>
      <x:c r="D15" s="47" t="n">
        <x:f>COUNTIFS('Serial Schedule'!$K$7:$K$150,A15,'Serial Schedule'!$H$7:$H$150,C15)</x:f>
        <x:v>2</x:v>
      </x:c>
      <x:c r="E15" s="47" t="n">
        <x:v>4</x:v>
      </x:c>
      <x:c r="F15" s="47" t="n">
        <x:f>E15-D15</x:f>
        <x:v>2</x:v>
      </x:c>
      <x:c r="G15" s="47" t="n">
        <x:f>COUNTIFS('Serial Schedule'!$K$7:$K$150,A15,'Serial Schedule'!$H$7:$H$150,C15,'Serial Schedule'!$V$7:$V$150,"&gt;1")</x:f>
        <x:v>0</x:v>
      </x:c>
      <x:c r="H15" s="47" t="str">
        <x:f>IF(AND(D15&lt;=E15,G15=0),"PASS","FAIL")</x:f>
        <x:v>PASS</x:v>
      </x:c>
      <x:c r="I15" s="47"/>
      <x:c r="J15" s="47"/>
      <x:c r="K15" s="47"/>
    </x:row>
    <x:row r="16">
      <x:c r="A16" s="47" t="str">
        <x:v>ET-A-A-N2</x:v>
      </x:c>
      <x:c r="B16" s="47" t="str">
        <x:v>ET-A-A</x:v>
      </x:c>
      <x:c r="C16" s="47" t="n">
        <x:v>4</x:v>
      </x:c>
      <x:c r="D16" s="47" t="n">
        <x:f>COUNTIFS('Serial Schedule'!$K$7:$K$150,A16,'Serial Schedule'!$H$7:$H$150,C16)</x:f>
        <x:v>2</x:v>
      </x:c>
      <x:c r="E16" s="47" t="n">
        <x:v>4</x:v>
      </x:c>
      <x:c r="F16" s="47" t="n">
        <x:f>E16-D16</x:f>
        <x:v>2</x:v>
      </x:c>
      <x:c r="G16" s="47" t="n">
        <x:f>COUNTIFS('Serial Schedule'!$K$7:$K$150,A16,'Serial Schedule'!$H$7:$H$150,C16,'Serial Schedule'!$V$7:$V$150,"&gt;1")</x:f>
        <x:v>0</x:v>
      </x:c>
      <x:c r="H16" s="47" t="str">
        <x:f>IF(AND(D16&lt;=E16,G16=0),"PASS","FAIL")</x:f>
        <x:v>PASS</x:v>
      </x:c>
      <x:c r="I16" s="47"/>
      <x:c r="J16" s="47"/>
      <x:c r="K16" s="47"/>
    </x:row>
    <x:row r="17">
      <x:c r="A17" s="47" t="str">
        <x:v>ET-A-A-N2</x:v>
      </x:c>
      <x:c r="B17" s="47" t="str">
        <x:v>ET-A-A</x:v>
      </x:c>
      <x:c r="C17" s="47" t="n">
        <x:v>5</x:v>
      </x:c>
      <x:c r="D17" s="47" t="n">
        <x:f>COUNTIFS('Serial Schedule'!$K$7:$K$150,A17,'Serial Schedule'!$H$7:$H$150,C17)</x:f>
        <x:v>0</x:v>
      </x:c>
      <x:c r="E17" s="47" t="n">
        <x:v>4</x:v>
      </x:c>
      <x:c r="F17" s="47" t="n">
        <x:f>E17-D17</x:f>
        <x:v>4</x:v>
      </x:c>
      <x:c r="G17" s="47" t="n">
        <x:f>COUNTIFS('Serial Schedule'!$K$7:$K$150,A17,'Serial Schedule'!$H$7:$H$150,C17,'Serial Schedule'!$V$7:$V$150,"&gt;1")</x:f>
        <x:v>0</x:v>
      </x:c>
      <x:c r="H17" s="47" t="str">
        <x:f>IF(AND(D17&lt;=E17,G17=0),"PASS","FAIL")</x:f>
        <x:v>PASS</x:v>
      </x:c>
      <x:c r="I17" s="47"/>
      <x:c r="J17" s="47"/>
      <x:c r="K17" s="47"/>
    </x:row>
    <x:row r="18">
      <x:c r="A18" s="47" t="str">
        <x:v>ET-A-A-N2</x:v>
      </x:c>
      <x:c r="B18" s="47" t="str">
        <x:v>ET-A-A</x:v>
      </x:c>
      <x:c r="C18" s="47" t="n">
        <x:v>6</x:v>
      </x:c>
      <x:c r="D18" s="47" t="n">
        <x:f>COUNTIFS('Serial Schedule'!$K$7:$K$150,A18,'Serial Schedule'!$H$7:$H$150,C18)</x:f>
        <x:v>1</x:v>
      </x:c>
      <x:c r="E18" s="47" t="n">
        <x:v>4</x:v>
      </x:c>
      <x:c r="F18" s="47" t="n">
        <x:f>E18-D18</x:f>
        <x:v>3</x:v>
      </x:c>
      <x:c r="G18" s="47" t="n">
        <x:f>COUNTIFS('Serial Schedule'!$K$7:$K$150,A18,'Serial Schedule'!$H$7:$H$150,C18,'Serial Schedule'!$V$7:$V$150,"&gt;1")</x:f>
        <x:v>0</x:v>
      </x:c>
      <x:c r="H18" s="47" t="str">
        <x:f>IF(AND(D18&lt;=E18,G18=0),"PASS","FAIL")</x:f>
        <x:v>PASS</x:v>
      </x:c>
      <x:c r="I18" s="47"/>
      <x:c r="J18" s="47"/>
      <x:c r="K18" s="47"/>
    </x:row>
    <x:row r="19">
      <x:c r="A19" s="47" t="str">
        <x:v>ET-A-A-N3</x:v>
      </x:c>
      <x:c r="B19" s="47" t="str">
        <x:v>ET-A-A</x:v>
      </x:c>
      <x:c r="C19" s="47" t="n">
        <x:v>1</x:v>
      </x:c>
      <x:c r="D19" s="47" t="n">
        <x:f>COUNTIFS('Serial Schedule'!$K$7:$K$150,A19,'Serial Schedule'!$H$7:$H$150,C19)</x:f>
        <x:v>1</x:v>
      </x:c>
      <x:c r="E19" s="47" t="n">
        <x:v>4</x:v>
      </x:c>
      <x:c r="F19" s="47" t="n">
        <x:f>E19-D19</x:f>
        <x:v>3</x:v>
      </x:c>
      <x:c r="G19" s="47" t="n">
        <x:f>COUNTIFS('Serial Schedule'!$K$7:$K$150,A19,'Serial Schedule'!$H$7:$H$150,C19,'Serial Schedule'!$V$7:$V$150,"&gt;1")</x:f>
        <x:v>0</x:v>
      </x:c>
      <x:c r="H19" s="47" t="str">
        <x:f>IF(AND(D19&lt;=E19,G19=0),"PASS","FAIL")</x:f>
        <x:v>PASS</x:v>
      </x:c>
      <x:c r="I19" s="47"/>
      <x:c r="J19" s="47"/>
      <x:c r="K19" s="47"/>
    </x:row>
    <x:row r="20">
      <x:c r="A20" s="47" t="str">
        <x:v>ET-A-A-N3</x:v>
      </x:c>
      <x:c r="B20" s="47" t="str">
        <x:v>ET-A-A</x:v>
      </x:c>
      <x:c r="C20" s="47" t="n">
        <x:v>2</x:v>
      </x:c>
      <x:c r="D20" s="47" t="n">
        <x:f>COUNTIFS('Serial Schedule'!$K$7:$K$150,A20,'Serial Schedule'!$H$7:$H$150,C20)</x:f>
        <x:v>1</x:v>
      </x:c>
      <x:c r="E20" s="47" t="n">
        <x:v>4</x:v>
      </x:c>
      <x:c r="F20" s="47" t="n">
        <x:f>E20-D20</x:f>
        <x:v>3</x:v>
      </x:c>
      <x:c r="G20" s="47" t="n">
        <x:f>COUNTIFS('Serial Schedule'!$K$7:$K$150,A20,'Serial Schedule'!$H$7:$H$150,C20,'Serial Schedule'!$V$7:$V$150,"&gt;1")</x:f>
        <x:v>0</x:v>
      </x:c>
      <x:c r="H20" s="47" t="str">
        <x:f>IF(AND(D20&lt;=E20,G20=0),"PASS","FAIL")</x:f>
        <x:v>PASS</x:v>
      </x:c>
      <x:c r="I20" s="47"/>
      <x:c r="J20" s="47"/>
      <x:c r="K20" s="47"/>
    </x:row>
    <x:row r="21">
      <x:c r="A21" s="47" t="str">
        <x:v>ET-A-A-N3</x:v>
      </x:c>
      <x:c r="B21" s="47" t="str">
        <x:v>ET-A-A</x:v>
      </x:c>
      <x:c r="C21" s="47" t="n">
        <x:v>3</x:v>
      </x:c>
      <x:c r="D21" s="47" t="n">
        <x:f>COUNTIFS('Serial Schedule'!$K$7:$K$150,A21,'Serial Schedule'!$H$7:$H$150,C21)</x:f>
        <x:v>1</x:v>
      </x:c>
      <x:c r="E21" s="47" t="n">
        <x:v>4</x:v>
      </x:c>
      <x:c r="F21" s="47" t="n">
        <x:f>E21-D21</x:f>
        <x:v>3</x:v>
      </x:c>
      <x:c r="G21" s="47" t="n">
        <x:f>COUNTIFS('Serial Schedule'!$K$7:$K$150,A21,'Serial Schedule'!$H$7:$H$150,C21,'Serial Schedule'!$V$7:$V$150,"&gt;1")</x:f>
        <x:v>0</x:v>
      </x:c>
      <x:c r="H21" s="47" t="str">
        <x:f>IF(AND(D21&lt;=E21,G21=0),"PASS","FAIL")</x:f>
        <x:v>PASS</x:v>
      </x:c>
      <x:c r="I21" s="47"/>
      <x:c r="J21" s="47"/>
      <x:c r="K21" s="47"/>
    </x:row>
    <x:row r="22">
      <x:c r="A22" s="47" t="str">
        <x:v>ET-A-A-N3</x:v>
      </x:c>
      <x:c r="B22" s="47" t="str">
        <x:v>ET-A-A</x:v>
      </x:c>
      <x:c r="C22" s="47" t="n">
        <x:v>4</x:v>
      </x:c>
      <x:c r="D22" s="47" t="n">
        <x:f>COUNTIFS('Serial Schedule'!$K$7:$K$150,A22,'Serial Schedule'!$H$7:$H$150,C22)</x:f>
        <x:v>0</x:v>
      </x:c>
      <x:c r="E22" s="47" t="n">
        <x:v>4</x:v>
      </x:c>
      <x:c r="F22" s="47" t="n">
        <x:f>E22-D22</x:f>
        <x:v>4</x:v>
      </x:c>
      <x:c r="G22" s="47" t="n">
        <x:f>COUNTIFS('Serial Schedule'!$K$7:$K$150,A22,'Serial Schedule'!$H$7:$H$150,C22,'Serial Schedule'!$V$7:$V$150,"&gt;1")</x:f>
        <x:v>0</x:v>
      </x:c>
      <x:c r="H22" s="47" t="str">
        <x:f>IF(AND(D22&lt;=E22,G22=0),"PASS","FAIL")</x:f>
        <x:v>PASS</x:v>
      </x:c>
      <x:c r="I22" s="47"/>
      <x:c r="J22" s="47"/>
      <x:c r="K22" s="47"/>
    </x:row>
    <x:row r="23">
      <x:c r="A23" s="47" t="str">
        <x:v>ET-A-A-N3</x:v>
      </x:c>
      <x:c r="B23" s="47" t="str">
        <x:v>ET-A-A</x:v>
      </x:c>
      <x:c r="C23" s="47" t="n">
        <x:v>5</x:v>
      </x:c>
      <x:c r="D23" s="47" t="n">
        <x:f>COUNTIFS('Serial Schedule'!$K$7:$K$150,A23,'Serial Schedule'!$H$7:$H$150,C23)</x:f>
        <x:v>1</x:v>
      </x:c>
      <x:c r="E23" s="47" t="n">
        <x:v>4</x:v>
      </x:c>
      <x:c r="F23" s="47" t="n">
        <x:f>E23-D23</x:f>
        <x:v>3</x:v>
      </x:c>
      <x:c r="G23" s="47" t="n">
        <x:f>COUNTIFS('Serial Schedule'!$K$7:$K$150,A23,'Serial Schedule'!$H$7:$H$150,C23,'Serial Schedule'!$V$7:$V$150,"&gt;1")</x:f>
        <x:v>0</x:v>
      </x:c>
      <x:c r="H23" s="47" t="str">
        <x:f>IF(AND(D23&lt;=E23,G23=0),"PASS","FAIL")</x:f>
        <x:v>PASS</x:v>
      </x:c>
      <x:c r="I23" s="47"/>
      <x:c r="J23" s="47"/>
      <x:c r="K23" s="47"/>
    </x:row>
    <x:row r="24">
      <x:c r="A24" s="47" t="str">
        <x:v>ET-A-A-N3</x:v>
      </x:c>
      <x:c r="B24" s="47" t="str">
        <x:v>ET-A-A</x:v>
      </x:c>
      <x:c r="C24" s="47" t="n">
        <x:v>6</x:v>
      </x:c>
      <x:c r="D24" s="47" t="n">
        <x:f>COUNTIFS('Serial Schedule'!$K$7:$K$150,A24,'Serial Schedule'!$H$7:$H$150,C24)</x:f>
        <x:v>2</x:v>
      </x:c>
      <x:c r="E24" s="47" t="n">
        <x:v>4</x:v>
      </x:c>
      <x:c r="F24" s="47" t="n">
        <x:f>E24-D24</x:f>
        <x:v>2</x:v>
      </x:c>
      <x:c r="G24" s="47" t="n">
        <x:f>COUNTIFS('Serial Schedule'!$K$7:$K$150,A24,'Serial Schedule'!$H$7:$H$150,C24,'Serial Schedule'!$V$7:$V$150,"&gt;1")</x:f>
        <x:v>0</x:v>
      </x:c>
      <x:c r="H24" s="47" t="str">
        <x:f>IF(AND(D24&lt;=E24,G24=0),"PASS","FAIL")</x:f>
        <x:v>PASS</x:v>
      </x:c>
      <x:c r="I24" s="47"/>
      <x:c r="J24" s="47"/>
      <x:c r="K24" s="47"/>
    </x:row>
    <x:row r="25">
      <x:c r="A25" s="47" t="str">
        <x:v>CT-C-B-N1</x:v>
      </x:c>
      <x:c r="B25" s="47" t="str">
        <x:v>CT-C-B</x:v>
      </x:c>
      <x:c r="C25" s="47" t="n">
        <x:v>1</x:v>
      </x:c>
      <x:c r="D25" s="47" t="n">
        <x:f>COUNTIFS('Serial Schedule'!$K$7:$K$150,A25,'Serial Schedule'!$H$7:$H$150,C25)</x:f>
        <x:v>1</x:v>
      </x:c>
      <x:c r="E25" s="47" t="n">
        <x:v>4</x:v>
      </x:c>
      <x:c r="F25" s="47" t="n">
        <x:f>E25-D25</x:f>
        <x:v>3</x:v>
      </x:c>
      <x:c r="G25" s="47" t="n">
        <x:f>COUNTIFS('Serial Schedule'!$K$7:$K$150,A25,'Serial Schedule'!$H$7:$H$150,C25,'Serial Schedule'!$V$7:$V$150,"&gt;1")</x:f>
        <x:v>0</x:v>
      </x:c>
      <x:c r="H25" s="47" t="str">
        <x:f>IF(AND(D25&lt;=E25,G25=0),"PASS","FAIL")</x:f>
        <x:v>PASS</x:v>
      </x:c>
      <x:c r="I25" s="47"/>
      <x:c r="J25" s="47"/>
      <x:c r="K25" s="47"/>
    </x:row>
    <x:row r="26">
      <x:c r="A26" s="47" t="str">
        <x:v>CT-C-B-N1</x:v>
      </x:c>
      <x:c r="B26" s="47" t="str">
        <x:v>CT-C-B</x:v>
      </x:c>
      <x:c r="C26" s="47" t="n">
        <x:v>2</x:v>
      </x:c>
      <x:c r="D26" s="47" t="n">
        <x:f>COUNTIFS('Serial Schedule'!$K$7:$K$150,A26,'Serial Schedule'!$H$7:$H$150,C26)</x:f>
        <x:v>1</x:v>
      </x:c>
      <x:c r="E26" s="47" t="n">
        <x:v>4</x:v>
      </x:c>
      <x:c r="F26" s="47" t="n">
        <x:f>E26-D26</x:f>
        <x:v>3</x:v>
      </x:c>
      <x:c r="G26" s="47" t="n">
        <x:f>COUNTIFS('Serial Schedule'!$K$7:$K$150,A26,'Serial Schedule'!$H$7:$H$150,C26,'Serial Schedule'!$V$7:$V$150,"&gt;1")</x:f>
        <x:v>0</x:v>
      </x:c>
      <x:c r="H26" s="47" t="str">
        <x:f>IF(AND(D26&lt;=E26,G26=0),"PASS","FAIL")</x:f>
        <x:v>PASS</x:v>
      </x:c>
      <x:c r="I26" s="47"/>
      <x:c r="J26" s="47"/>
      <x:c r="K26" s="47"/>
    </x:row>
    <x:row r="27">
      <x:c r="A27" s="47" t="str">
        <x:v>CT-C-B-N1</x:v>
      </x:c>
      <x:c r="B27" s="47" t="str">
        <x:v>CT-C-B</x:v>
      </x:c>
      <x:c r="C27" s="47" t="n">
        <x:v>3</x:v>
      </x:c>
      <x:c r="D27" s="47" t="n">
        <x:f>COUNTIFS('Serial Schedule'!$K$7:$K$150,A27,'Serial Schedule'!$H$7:$H$150,C27)</x:f>
        <x:v>1</x:v>
      </x:c>
      <x:c r="E27" s="47" t="n">
        <x:v>4</x:v>
      </x:c>
      <x:c r="F27" s="47" t="n">
        <x:f>E27-D27</x:f>
        <x:v>3</x:v>
      </x:c>
      <x:c r="G27" s="47" t="n">
        <x:f>COUNTIFS('Serial Schedule'!$K$7:$K$150,A27,'Serial Schedule'!$H$7:$H$150,C27,'Serial Schedule'!$V$7:$V$150,"&gt;1")</x:f>
        <x:v>0</x:v>
      </x:c>
      <x:c r="H27" s="47" t="str">
        <x:f>IF(AND(D27&lt;=E27,G27=0),"PASS","FAIL")</x:f>
        <x:v>PASS</x:v>
      </x:c>
      <x:c r="I27" s="47"/>
      <x:c r="J27" s="47"/>
      <x:c r="K27" s="47"/>
    </x:row>
    <x:row r="28">
      <x:c r="A28" s="47" t="str">
        <x:v>CT-C-B-N1</x:v>
      </x:c>
      <x:c r="B28" s="47" t="str">
        <x:v>CT-C-B</x:v>
      </x:c>
      <x:c r="C28" s="47" t="n">
        <x:v>4</x:v>
      </x:c>
      <x:c r="D28" s="47" t="n">
        <x:f>COUNTIFS('Serial Schedule'!$K$7:$K$150,A28,'Serial Schedule'!$H$7:$H$150,C28)</x:f>
        <x:v>1</x:v>
      </x:c>
      <x:c r="E28" s="47" t="n">
        <x:v>4</x:v>
      </x:c>
      <x:c r="F28" s="47" t="n">
        <x:f>E28-D28</x:f>
        <x:v>3</x:v>
      </x:c>
      <x:c r="G28" s="47" t="n">
        <x:f>COUNTIFS('Serial Schedule'!$K$7:$K$150,A28,'Serial Schedule'!$H$7:$H$150,C28,'Serial Schedule'!$V$7:$V$150,"&gt;1")</x:f>
        <x:v>0</x:v>
      </x:c>
      <x:c r="H28" s="47" t="str">
        <x:f>IF(AND(D28&lt;=E28,G28=0),"PASS","FAIL")</x:f>
        <x:v>PASS</x:v>
      </x:c>
      <x:c r="I28" s="47"/>
      <x:c r="J28" s="47"/>
      <x:c r="K28" s="47"/>
    </x:row>
    <x:row r="29">
      <x:c r="A29" s="47" t="str">
        <x:v>CT-C-B-N1</x:v>
      </x:c>
      <x:c r="B29" s="47" t="str">
        <x:v>CT-C-B</x:v>
      </x:c>
      <x:c r="C29" s="47" t="n">
        <x:v>5</x:v>
      </x:c>
      <x:c r="D29" s="47" t="n">
        <x:f>COUNTIFS('Serial Schedule'!$K$7:$K$150,A29,'Serial Schedule'!$H$7:$H$150,C29)</x:f>
        <x:v>2</x:v>
      </x:c>
      <x:c r="E29" s="47" t="n">
        <x:v>4</x:v>
      </x:c>
      <x:c r="F29" s="47" t="n">
        <x:f>E29-D29</x:f>
        <x:v>2</x:v>
      </x:c>
      <x:c r="G29" s="47" t="n">
        <x:f>COUNTIFS('Serial Schedule'!$K$7:$K$150,A29,'Serial Schedule'!$H$7:$H$150,C29,'Serial Schedule'!$V$7:$V$150,"&gt;1")</x:f>
        <x:v>0</x:v>
      </x:c>
      <x:c r="H29" s="47" t="str">
        <x:f>IF(AND(D29&lt;=E29,G29=0),"PASS","FAIL")</x:f>
        <x:v>PASS</x:v>
      </x:c>
      <x:c r="I29" s="47"/>
      <x:c r="J29" s="47"/>
      <x:c r="K29" s="47"/>
    </x:row>
    <x:row r="30">
      <x:c r="A30" s="47" t="str">
        <x:v>CT-C-B-N1</x:v>
      </x:c>
      <x:c r="B30" s="47" t="str">
        <x:v>CT-C-B</x:v>
      </x:c>
      <x:c r="C30" s="47" t="n">
        <x:v>6</x:v>
      </x:c>
      <x:c r="D30" s="47" t="n">
        <x:f>COUNTIFS('Serial Schedule'!$K$7:$K$150,A30,'Serial Schedule'!$H$7:$H$150,C30)</x:f>
        <x:v>3</x:v>
      </x:c>
      <x:c r="E30" s="47" t="n">
        <x:v>4</x:v>
      </x:c>
      <x:c r="F30" s="47" t="n">
        <x:f>E30-D30</x:f>
        <x:v>1</x:v>
      </x:c>
      <x:c r="G30" s="47" t="n">
        <x:f>COUNTIFS('Serial Schedule'!$K$7:$K$150,A30,'Serial Schedule'!$H$7:$H$150,C30,'Serial Schedule'!$V$7:$V$150,"&gt;1")</x:f>
        <x:v>0</x:v>
      </x:c>
      <x:c r="H30" s="47" t="str">
        <x:f>IF(AND(D30&lt;=E30,G30=0),"PASS","FAIL")</x:f>
        <x:v>PASS</x:v>
      </x:c>
      <x:c r="I30" s="47"/>
      <x:c r="J30" s="47"/>
      <x:c r="K30" s="47"/>
    </x:row>
    <x:row r="31">
      <x:c r="A31" s="47" t="str">
        <x:v>CT-C-B-N2</x:v>
      </x:c>
      <x:c r="B31" s="47" t="str">
        <x:v>CT-C-B</x:v>
      </x:c>
      <x:c r="C31" s="47" t="n">
        <x:v>1</x:v>
      </x:c>
      <x:c r="D31" s="47" t="n">
        <x:f>COUNTIFS('Serial Schedule'!$K$7:$K$150,A31,'Serial Schedule'!$H$7:$H$150,C31)</x:f>
        <x:v>1</x:v>
      </x:c>
      <x:c r="E31" s="47" t="n">
        <x:v>4</x:v>
      </x:c>
      <x:c r="F31" s="47" t="n">
        <x:f>E31-D31</x:f>
        <x:v>3</x:v>
      </x:c>
      <x:c r="G31" s="47" t="n">
        <x:f>COUNTIFS('Serial Schedule'!$K$7:$K$150,A31,'Serial Schedule'!$H$7:$H$150,C31,'Serial Schedule'!$V$7:$V$150,"&gt;1")</x:f>
        <x:v>0</x:v>
      </x:c>
      <x:c r="H31" s="47" t="str">
        <x:f>IF(AND(D31&lt;=E31,G31=0),"PASS","FAIL")</x:f>
        <x:v>PASS</x:v>
      </x:c>
      <x:c r="I31" s="47"/>
      <x:c r="J31" s="47"/>
      <x:c r="K31" s="47"/>
    </x:row>
    <x:row r="32">
      <x:c r="A32" s="47" t="str">
        <x:v>CT-C-B-N2</x:v>
      </x:c>
      <x:c r="B32" s="47" t="str">
        <x:v>CT-C-B</x:v>
      </x:c>
      <x:c r="C32" s="47" t="n">
        <x:v>2</x:v>
      </x:c>
      <x:c r="D32" s="47" t="n">
        <x:f>COUNTIFS('Serial Schedule'!$K$7:$K$150,A32,'Serial Schedule'!$H$7:$H$150,C32)</x:f>
        <x:v>2</x:v>
      </x:c>
      <x:c r="E32" s="47" t="n">
        <x:v>4</x:v>
      </x:c>
      <x:c r="F32" s="47" t="n">
        <x:f>E32-D32</x:f>
        <x:v>2</x:v>
      </x:c>
      <x:c r="G32" s="47" t="n">
        <x:f>COUNTIFS('Serial Schedule'!$K$7:$K$150,A32,'Serial Schedule'!$H$7:$H$150,C32,'Serial Schedule'!$V$7:$V$150,"&gt;1")</x:f>
        <x:v>0</x:v>
      </x:c>
      <x:c r="H32" s="47" t="str">
        <x:f>IF(AND(D32&lt;=E32,G32=0),"PASS","FAIL")</x:f>
        <x:v>PASS</x:v>
      </x:c>
      <x:c r="I32" s="47"/>
      <x:c r="J32" s="47"/>
      <x:c r="K32" s="47"/>
    </x:row>
    <x:row r="33">
      <x:c r="A33" s="47" t="str">
        <x:v>CT-C-B-N2</x:v>
      </x:c>
      <x:c r="B33" s="47" t="str">
        <x:v>CT-C-B</x:v>
      </x:c>
      <x:c r="C33" s="47" t="n">
        <x:v>3</x:v>
      </x:c>
      <x:c r="D33" s="47" t="n">
        <x:f>COUNTIFS('Serial Schedule'!$K$7:$K$150,A33,'Serial Schedule'!$H$7:$H$150,C33)</x:f>
        <x:v>2</x:v>
      </x:c>
      <x:c r="E33" s="47" t="n">
        <x:v>4</x:v>
      </x:c>
      <x:c r="F33" s="47" t="n">
        <x:f>E33-D33</x:f>
        <x:v>2</x:v>
      </x:c>
      <x:c r="G33" s="47" t="n">
        <x:f>COUNTIFS('Serial Schedule'!$K$7:$K$150,A33,'Serial Schedule'!$H$7:$H$150,C33,'Serial Schedule'!$V$7:$V$150,"&gt;1")</x:f>
        <x:v>0</x:v>
      </x:c>
      <x:c r="H33" s="47" t="str">
        <x:f>IF(AND(D33&lt;=E33,G33=0),"PASS","FAIL")</x:f>
        <x:v>PASS</x:v>
      </x:c>
      <x:c r="I33" s="47"/>
      <x:c r="J33" s="47"/>
      <x:c r="K33" s="47"/>
    </x:row>
    <x:row r="34">
      <x:c r="A34" s="47" t="str">
        <x:v>CT-C-B-N2</x:v>
      </x:c>
      <x:c r="B34" s="47" t="str">
        <x:v>CT-C-B</x:v>
      </x:c>
      <x:c r="C34" s="47" t="n">
        <x:v>4</x:v>
      </x:c>
      <x:c r="D34" s="47" t="n">
        <x:f>COUNTIFS('Serial Schedule'!$K$7:$K$150,A34,'Serial Schedule'!$H$7:$H$150,C34)</x:f>
        <x:v>2</x:v>
      </x:c>
      <x:c r="E34" s="47" t="n">
        <x:v>4</x:v>
      </x:c>
      <x:c r="F34" s="47" t="n">
        <x:f>E34-D34</x:f>
        <x:v>2</x:v>
      </x:c>
      <x:c r="G34" s="47" t="n">
        <x:f>COUNTIFS('Serial Schedule'!$K$7:$K$150,A34,'Serial Schedule'!$H$7:$H$150,C34,'Serial Schedule'!$V$7:$V$150,"&gt;1")</x:f>
        <x:v>0</x:v>
      </x:c>
      <x:c r="H34" s="47" t="str">
        <x:f>IF(AND(D34&lt;=E34,G34=0),"PASS","FAIL")</x:f>
        <x:v>PASS</x:v>
      </x:c>
      <x:c r="I34" s="47"/>
      <x:c r="J34" s="47"/>
      <x:c r="K34" s="47"/>
    </x:row>
    <x:row r="35">
      <x:c r="A35" s="47" t="str">
        <x:v>CT-C-B-N2</x:v>
      </x:c>
      <x:c r="B35" s="47" t="str">
        <x:v>CT-C-B</x:v>
      </x:c>
      <x:c r="C35" s="47" t="n">
        <x:v>5</x:v>
      </x:c>
      <x:c r="D35" s="47" t="n">
        <x:f>COUNTIFS('Serial Schedule'!$K$7:$K$150,A35,'Serial Schedule'!$H$7:$H$150,C35)</x:f>
        <x:v>2</x:v>
      </x:c>
      <x:c r="E35" s="47" t="n">
        <x:v>4</x:v>
      </x:c>
      <x:c r="F35" s="47" t="n">
        <x:f>E35-D35</x:f>
        <x:v>2</x:v>
      </x:c>
      <x:c r="G35" s="47" t="n">
        <x:f>COUNTIFS('Serial Schedule'!$K$7:$K$150,A35,'Serial Schedule'!$H$7:$H$150,C35,'Serial Schedule'!$V$7:$V$150,"&gt;1")</x:f>
        <x:v>0</x:v>
      </x:c>
      <x:c r="H35" s="47" t="str">
        <x:f>IF(AND(D35&lt;=E35,G35=0),"PASS","FAIL")</x:f>
        <x:v>PASS</x:v>
      </x:c>
      <x:c r="I35" s="47"/>
      <x:c r="J35" s="47"/>
      <x:c r="K35" s="47"/>
    </x:row>
    <x:row r="36">
      <x:c r="A36" s="47" t="str">
        <x:v>CT-C-B-N2</x:v>
      </x:c>
      <x:c r="B36" s="47" t="str">
        <x:v>CT-C-B</x:v>
      </x:c>
      <x:c r="C36" s="47" t="n">
        <x:v>6</x:v>
      </x:c>
      <x:c r="D36" s="47" t="n">
        <x:f>COUNTIFS('Serial Schedule'!$K$7:$K$150,A36,'Serial Schedule'!$H$7:$H$150,C36)</x:f>
        <x:v>0</x:v>
      </x:c>
      <x:c r="E36" s="47" t="n">
        <x:v>4</x:v>
      </x:c>
      <x:c r="F36" s="47" t="n">
        <x:f>E36-D36</x:f>
        <x:v>4</x:v>
      </x:c>
      <x:c r="G36" s="47" t="n">
        <x:f>COUNTIFS('Serial Schedule'!$K$7:$K$150,A36,'Serial Schedule'!$H$7:$H$150,C36,'Serial Schedule'!$V$7:$V$150,"&gt;1")</x:f>
        <x:v>0</x:v>
      </x:c>
      <x:c r="H36" s="47" t="str">
        <x:f>IF(AND(D36&lt;=E36,G36=0),"PASS","FAIL")</x:f>
        <x:v>PASS</x:v>
      </x:c>
      <x:c r="I36" s="47"/>
      <x:c r="J36" s="47"/>
      <x:c r="K36" s="47"/>
    </x:row>
    <x:row r="37">
      <x:c r="A37" s="47" t="str">
        <x:v>CT-C-B-N3</x:v>
      </x:c>
      <x:c r="B37" s="47" t="str">
        <x:v>CT-C-B</x:v>
      </x:c>
      <x:c r="C37" s="47" t="n">
        <x:v>1</x:v>
      </x:c>
      <x:c r="D37" s="47" t="n">
        <x:f>COUNTIFS('Serial Schedule'!$K$7:$K$150,A37,'Serial Schedule'!$H$7:$H$150,C37)</x:f>
        <x:v>2</x:v>
      </x:c>
      <x:c r="E37" s="47" t="n">
        <x:v>4</x:v>
      </x:c>
      <x:c r="F37" s="47" t="n">
        <x:f>E37-D37</x:f>
        <x:v>2</x:v>
      </x:c>
      <x:c r="G37" s="47" t="n">
        <x:f>COUNTIFS('Serial Schedule'!$K$7:$K$150,A37,'Serial Schedule'!$H$7:$H$150,C37,'Serial Schedule'!$V$7:$V$150,"&gt;1")</x:f>
        <x:v>0</x:v>
      </x:c>
      <x:c r="H37" s="47" t="str">
        <x:f>IF(AND(D37&lt;=E37,G37=0),"PASS","FAIL")</x:f>
        <x:v>PASS</x:v>
      </x:c>
      <x:c r="I37" s="47"/>
      <x:c r="J37" s="47"/>
      <x:c r="K37" s="47"/>
    </x:row>
    <x:row r="38">
      <x:c r="A38" s="47" t="str">
        <x:v>CT-C-B-N3</x:v>
      </x:c>
      <x:c r="B38" s="47" t="str">
        <x:v>CT-C-B</x:v>
      </x:c>
      <x:c r="C38" s="47" t="n">
        <x:v>2</x:v>
      </x:c>
      <x:c r="D38" s="47" t="n">
        <x:f>COUNTIFS('Serial Schedule'!$K$7:$K$150,A38,'Serial Schedule'!$H$7:$H$150,C38)</x:f>
        <x:v>1</x:v>
      </x:c>
      <x:c r="E38" s="47" t="n">
        <x:v>4</x:v>
      </x:c>
      <x:c r="F38" s="47" t="n">
        <x:f>E38-D38</x:f>
        <x:v>3</x:v>
      </x:c>
      <x:c r="G38" s="47" t="n">
        <x:f>COUNTIFS('Serial Schedule'!$K$7:$K$150,A38,'Serial Schedule'!$H$7:$H$150,C38,'Serial Schedule'!$V$7:$V$150,"&gt;1")</x:f>
        <x:v>0</x:v>
      </x:c>
      <x:c r="H38" s="47" t="str">
        <x:f>IF(AND(D38&lt;=E38,G38=0),"PASS","FAIL")</x:f>
        <x:v>PASS</x:v>
      </x:c>
      <x:c r="I38" s="47"/>
      <x:c r="J38" s="47"/>
      <x:c r="K38" s="47"/>
    </x:row>
    <x:row r="39">
      <x:c r="A39" s="47" t="str">
        <x:v>CT-C-B-N3</x:v>
      </x:c>
      <x:c r="B39" s="47" t="str">
        <x:v>CT-C-B</x:v>
      </x:c>
      <x:c r="C39" s="47" t="n">
        <x:v>3</x:v>
      </x:c>
      <x:c r="D39" s="47" t="n">
        <x:f>COUNTIFS('Serial Schedule'!$K$7:$K$150,A39,'Serial Schedule'!$H$7:$H$150,C39)</x:f>
        <x:v>1</x:v>
      </x:c>
      <x:c r="E39" s="47" t="n">
        <x:v>4</x:v>
      </x:c>
      <x:c r="F39" s="47" t="n">
        <x:f>E39-D39</x:f>
        <x:v>3</x:v>
      </x:c>
      <x:c r="G39" s="47" t="n">
        <x:f>COUNTIFS('Serial Schedule'!$K$7:$K$150,A39,'Serial Schedule'!$H$7:$H$150,C39,'Serial Schedule'!$V$7:$V$150,"&gt;1")</x:f>
        <x:v>0</x:v>
      </x:c>
      <x:c r="H39" s="47" t="str">
        <x:f>IF(AND(D39&lt;=E39,G39=0),"PASS","FAIL")</x:f>
        <x:v>PASS</x:v>
      </x:c>
      <x:c r="I39" s="47"/>
      <x:c r="J39" s="47"/>
      <x:c r="K39" s="47"/>
    </x:row>
    <x:row r="40">
      <x:c r="A40" s="47" t="str">
        <x:v>CT-C-B-N3</x:v>
      </x:c>
      <x:c r="B40" s="47" t="str">
        <x:v>CT-C-B</x:v>
      </x:c>
      <x:c r="C40" s="47" t="n">
        <x:v>4</x:v>
      </x:c>
      <x:c r="D40" s="47" t="n">
        <x:f>COUNTIFS('Serial Schedule'!$K$7:$K$150,A40,'Serial Schedule'!$H$7:$H$150,C40)</x:f>
        <x:v>1</x:v>
      </x:c>
      <x:c r="E40" s="47" t="n">
        <x:v>4</x:v>
      </x:c>
      <x:c r="F40" s="47" t="n">
        <x:f>E40-D40</x:f>
        <x:v>3</x:v>
      </x:c>
      <x:c r="G40" s="47" t="n">
        <x:f>COUNTIFS('Serial Schedule'!$K$7:$K$150,A40,'Serial Schedule'!$H$7:$H$150,C40,'Serial Schedule'!$V$7:$V$150,"&gt;1")</x:f>
        <x:v>0</x:v>
      </x:c>
      <x:c r="H40" s="47" t="str">
        <x:f>IF(AND(D40&lt;=E40,G40=0),"PASS","FAIL")</x:f>
        <x:v>PASS</x:v>
      </x:c>
      <x:c r="I40" s="47"/>
      <x:c r="J40" s="47"/>
      <x:c r="K40" s="47"/>
    </x:row>
    <x:row r="41">
      <x:c r="A41" s="47" t="str">
        <x:v>CT-C-B-N3</x:v>
      </x:c>
      <x:c r="B41" s="47" t="str">
        <x:v>CT-C-B</x:v>
      </x:c>
      <x:c r="C41" s="47" t="n">
        <x:v>5</x:v>
      </x:c>
      <x:c r="D41" s="47" t="n">
        <x:f>COUNTIFS('Serial Schedule'!$K$7:$K$150,A41,'Serial Schedule'!$H$7:$H$150,C41)</x:f>
        <x:v>0</x:v>
      </x:c>
      <x:c r="E41" s="47" t="n">
        <x:v>4</x:v>
      </x:c>
      <x:c r="F41" s="47" t="n">
        <x:f>E41-D41</x:f>
        <x:v>4</x:v>
      </x:c>
      <x:c r="G41" s="47" t="n">
        <x:f>COUNTIFS('Serial Schedule'!$K$7:$K$150,A41,'Serial Schedule'!$H$7:$H$150,C41,'Serial Schedule'!$V$7:$V$150,"&gt;1")</x:f>
        <x:v>0</x:v>
      </x:c>
      <x:c r="H41" s="47" t="str">
        <x:f>IF(AND(D41&lt;=E41,G41=0),"PASS","FAIL")</x:f>
        <x:v>PASS</x:v>
      </x:c>
      <x:c r="I41" s="47"/>
      <x:c r="J41" s="47"/>
      <x:c r="K41" s="47"/>
    </x:row>
    <x:row r="42">
      <x:c r="A42" s="47" t="str">
        <x:v>CT-C-B-N3</x:v>
      </x:c>
      <x:c r="B42" s="47" t="str">
        <x:v>CT-C-B</x:v>
      </x:c>
      <x:c r="C42" s="47" t="n">
        <x:v>6</x:v>
      </x:c>
      <x:c r="D42" s="47" t="n">
        <x:f>COUNTIFS('Serial Schedule'!$K$7:$K$150,A42,'Serial Schedule'!$H$7:$H$150,C42)</x:f>
        <x:v>1</x:v>
      </x:c>
      <x:c r="E42" s="47" t="n">
        <x:v>4</x:v>
      </x:c>
      <x:c r="F42" s="47" t="n">
        <x:f>E42-D42</x:f>
        <x:v>3</x:v>
      </x:c>
      <x:c r="G42" s="47" t="n">
        <x:f>COUNTIFS('Serial Schedule'!$K$7:$K$150,A42,'Serial Schedule'!$H$7:$H$150,C42,'Serial Schedule'!$V$7:$V$150,"&gt;1")</x:f>
        <x:v>0</x:v>
      </x:c>
      <x:c r="H42" s="47" t="str">
        <x:f>IF(AND(D42&lt;=E42,G42=0),"PASS","FAIL")</x:f>
        <x:v>PASS</x:v>
      </x:c>
      <x:c r="I42" s="47"/>
      <x:c r="J42" s="47"/>
      <x:c r="K42" s="47"/>
    </x:row>
    <x:row r="43">
      <x:c r="A43" s="47" t="str">
        <x:v>HC-A-C-N1</x:v>
      </x:c>
      <x:c r="B43" s="47" t="str">
        <x:v>HC-A-C</x:v>
      </x:c>
      <x:c r="C43" s="47" t="n">
        <x:v>1</x:v>
      </x:c>
      <x:c r="D43" s="47" t="n">
        <x:f>COUNTIFS('Serial Schedule'!$K$7:$K$150,A43,'Serial Schedule'!$H$7:$H$150,C43)</x:f>
        <x:v>3</x:v>
      </x:c>
      <x:c r="E43" s="47" t="n">
        <x:v>4</x:v>
      </x:c>
      <x:c r="F43" s="47" t="n">
        <x:f>E43-D43</x:f>
        <x:v>1</x:v>
      </x:c>
      <x:c r="G43" s="47" t="n">
        <x:f>COUNTIFS('Serial Schedule'!$K$7:$K$150,A43,'Serial Schedule'!$H$7:$H$150,C43,'Serial Schedule'!$V$7:$V$150,"&gt;1")</x:f>
        <x:v>0</x:v>
      </x:c>
      <x:c r="H43" s="47" t="str">
        <x:f>IF(AND(D43&lt;=E43,G43=0),"PASS","FAIL")</x:f>
        <x:v>PASS</x:v>
      </x:c>
      <x:c r="I43" s="47"/>
      <x:c r="J43" s="47"/>
      <x:c r="K43" s="47"/>
    </x:row>
    <x:row r="44">
      <x:c r="A44" s="47" t="str">
        <x:v>HC-A-C-N1</x:v>
      </x:c>
      <x:c r="B44" s="47" t="str">
        <x:v>HC-A-C</x:v>
      </x:c>
      <x:c r="C44" s="47" t="n">
        <x:v>2</x:v>
      </x:c>
      <x:c r="D44" s="47" t="n">
        <x:f>COUNTIFS('Serial Schedule'!$K$7:$K$150,A44,'Serial Schedule'!$H$7:$H$150,C44)</x:f>
        <x:v>1</x:v>
      </x:c>
      <x:c r="E44" s="47" t="n">
        <x:v>4</x:v>
      </x:c>
      <x:c r="F44" s="47" t="n">
        <x:f>E44-D44</x:f>
        <x:v>3</x:v>
      </x:c>
      <x:c r="G44" s="47" t="n">
        <x:f>COUNTIFS('Serial Schedule'!$K$7:$K$150,A44,'Serial Schedule'!$H$7:$H$150,C44,'Serial Schedule'!$V$7:$V$150,"&gt;1")</x:f>
        <x:v>0</x:v>
      </x:c>
      <x:c r="H44" s="47" t="str">
        <x:f>IF(AND(D44&lt;=E44,G44=0),"PASS","FAIL")</x:f>
        <x:v>PASS</x:v>
      </x:c>
      <x:c r="I44" s="47"/>
      <x:c r="J44" s="47"/>
      <x:c r="K44" s="47"/>
    </x:row>
    <x:row r="45">
      <x:c r="A45" s="47" t="str">
        <x:v>HC-A-C-N1</x:v>
      </x:c>
      <x:c r="B45" s="47" t="str">
        <x:v>HC-A-C</x:v>
      </x:c>
      <x:c r="C45" s="47" t="n">
        <x:v>3</x:v>
      </x:c>
      <x:c r="D45" s="47" t="n">
        <x:f>COUNTIFS('Serial Schedule'!$K$7:$K$150,A45,'Serial Schedule'!$H$7:$H$150,C45)</x:f>
        <x:v>1</x:v>
      </x:c>
      <x:c r="E45" s="47" t="n">
        <x:v>4</x:v>
      </x:c>
      <x:c r="F45" s="47" t="n">
        <x:f>E45-D45</x:f>
        <x:v>3</x:v>
      </x:c>
      <x:c r="G45" s="47" t="n">
        <x:f>COUNTIFS('Serial Schedule'!$K$7:$K$150,A45,'Serial Schedule'!$H$7:$H$150,C45,'Serial Schedule'!$V$7:$V$150,"&gt;1")</x:f>
        <x:v>0</x:v>
      </x:c>
      <x:c r="H45" s="47" t="str">
        <x:f>IF(AND(D45&lt;=E45,G45=0),"PASS","FAIL")</x:f>
        <x:v>PASS</x:v>
      </x:c>
      <x:c r="I45" s="47"/>
      <x:c r="J45" s="47"/>
      <x:c r="K45" s="47"/>
    </x:row>
    <x:row r="46">
      <x:c r="A46" s="47" t="str">
        <x:v>HC-A-C-N1</x:v>
      </x:c>
      <x:c r="B46" s="47" t="str">
        <x:v>HC-A-C</x:v>
      </x:c>
      <x:c r="C46" s="47" t="n">
        <x:v>4</x:v>
      </x:c>
      <x:c r="D46" s="47" t="n">
        <x:f>COUNTIFS('Serial Schedule'!$K$7:$K$150,A46,'Serial Schedule'!$H$7:$H$150,C46)</x:f>
        <x:v>1</x:v>
      </x:c>
      <x:c r="E46" s="47" t="n">
        <x:v>4</x:v>
      </x:c>
      <x:c r="F46" s="47" t="n">
        <x:f>E46-D46</x:f>
        <x:v>3</x:v>
      </x:c>
      <x:c r="G46" s="47" t="n">
        <x:f>COUNTIFS('Serial Schedule'!$K$7:$K$150,A46,'Serial Schedule'!$H$7:$H$150,C46,'Serial Schedule'!$V$7:$V$150,"&gt;1")</x:f>
        <x:v>0</x:v>
      </x:c>
      <x:c r="H46" s="47" t="str">
        <x:f>IF(AND(D46&lt;=E46,G46=0),"PASS","FAIL")</x:f>
        <x:v>PASS</x:v>
      </x:c>
      <x:c r="I46" s="47"/>
      <x:c r="J46" s="47"/>
      <x:c r="K46" s="47"/>
    </x:row>
    <x:row r="47">
      <x:c r="A47" s="47" t="str">
        <x:v>HC-A-C-N1</x:v>
      </x:c>
      <x:c r="B47" s="47" t="str">
        <x:v>HC-A-C</x:v>
      </x:c>
      <x:c r="C47" s="47" t="n">
        <x:v>5</x:v>
      </x:c>
      <x:c r="D47" s="47" t="n">
        <x:f>COUNTIFS('Serial Schedule'!$K$7:$K$150,A47,'Serial Schedule'!$H$7:$H$150,C47)</x:f>
        <x:v>1</x:v>
      </x:c>
      <x:c r="E47" s="47" t="n">
        <x:v>4</x:v>
      </x:c>
      <x:c r="F47" s="47" t="n">
        <x:f>E47-D47</x:f>
        <x:v>3</x:v>
      </x:c>
      <x:c r="G47" s="47" t="n">
        <x:f>COUNTIFS('Serial Schedule'!$K$7:$K$150,A47,'Serial Schedule'!$H$7:$H$150,C47,'Serial Schedule'!$V$7:$V$150,"&gt;1")</x:f>
        <x:v>0</x:v>
      </x:c>
      <x:c r="H47" s="47" t="str">
        <x:f>IF(AND(D47&lt;=E47,G47=0),"PASS","FAIL")</x:f>
        <x:v>PASS</x:v>
      </x:c>
      <x:c r="I47" s="47"/>
      <x:c r="J47" s="47"/>
      <x:c r="K47" s="47"/>
    </x:row>
    <x:row r="48">
      <x:c r="A48" s="47" t="str">
        <x:v>HC-A-C-N1</x:v>
      </x:c>
      <x:c r="B48" s="47" t="str">
        <x:v>HC-A-C</x:v>
      </x:c>
      <x:c r="C48" s="47" t="n">
        <x:v>6</x:v>
      </x:c>
      <x:c r="D48" s="47" t="n">
        <x:f>COUNTIFS('Serial Schedule'!$K$7:$K$150,A48,'Serial Schedule'!$H$7:$H$150,C48)</x:f>
        <x:v>2</x:v>
      </x:c>
      <x:c r="E48" s="47" t="n">
        <x:v>4</x:v>
      </x:c>
      <x:c r="F48" s="47" t="n">
        <x:f>E48-D48</x:f>
        <x:v>2</x:v>
      </x:c>
      <x:c r="G48" s="47" t="n">
        <x:f>COUNTIFS('Serial Schedule'!$K$7:$K$150,A48,'Serial Schedule'!$H$7:$H$150,C48,'Serial Schedule'!$V$7:$V$150,"&gt;1")</x:f>
        <x:v>0</x:v>
      </x:c>
      <x:c r="H48" s="47" t="str">
        <x:f>IF(AND(D48&lt;=E48,G48=0),"PASS","FAIL")</x:f>
        <x:v>PASS</x:v>
      </x:c>
      <x:c r="I48" s="47"/>
      <x:c r="J48" s="47"/>
      <x:c r="K48" s="47"/>
    </x:row>
    <x:row r="49">
      <x:c r="A49" s="47" t="str">
        <x:v>HC-A-C-N2</x:v>
      </x:c>
      <x:c r="B49" s="47" t="str">
        <x:v>HC-A-C</x:v>
      </x:c>
      <x:c r="C49" s="47" t="n">
        <x:v>1</x:v>
      </x:c>
      <x:c r="D49" s="47" t="n">
        <x:f>COUNTIFS('Serial Schedule'!$K$7:$K$150,A49,'Serial Schedule'!$H$7:$H$150,C49)</x:f>
        <x:v>0</x:v>
      </x:c>
      <x:c r="E49" s="47" t="n">
        <x:v>4</x:v>
      </x:c>
      <x:c r="F49" s="47" t="n">
        <x:f>E49-D49</x:f>
        <x:v>4</x:v>
      </x:c>
      <x:c r="G49" s="47" t="n">
        <x:f>COUNTIFS('Serial Schedule'!$K$7:$K$150,A49,'Serial Schedule'!$H$7:$H$150,C49,'Serial Schedule'!$V$7:$V$150,"&gt;1")</x:f>
        <x:v>0</x:v>
      </x:c>
      <x:c r="H49" s="47" t="str">
        <x:f>IF(AND(D49&lt;=E49,G49=0),"PASS","FAIL")</x:f>
        <x:v>PASS</x:v>
      </x:c>
      <x:c r="I49" s="47"/>
      <x:c r="J49" s="47"/>
      <x:c r="K49" s="47"/>
    </x:row>
    <x:row r="50">
      <x:c r="A50" s="47" t="str">
        <x:v>HC-A-C-N2</x:v>
      </x:c>
      <x:c r="B50" s="47" t="str">
        <x:v>HC-A-C</x:v>
      </x:c>
      <x:c r="C50" s="47" t="n">
        <x:v>2</x:v>
      </x:c>
      <x:c r="D50" s="47" t="n">
        <x:f>COUNTIFS('Serial Schedule'!$K$7:$K$150,A50,'Serial Schedule'!$H$7:$H$150,C50)</x:f>
        <x:v>1</x:v>
      </x:c>
      <x:c r="E50" s="47" t="n">
        <x:v>4</x:v>
      </x:c>
      <x:c r="F50" s="47" t="n">
        <x:f>E50-D50</x:f>
        <x:v>3</x:v>
      </x:c>
      <x:c r="G50" s="47" t="n">
        <x:f>COUNTIFS('Serial Schedule'!$K$7:$K$150,A50,'Serial Schedule'!$H$7:$H$150,C50,'Serial Schedule'!$V$7:$V$150,"&gt;1")</x:f>
        <x:v>0</x:v>
      </x:c>
      <x:c r="H50" s="47" t="str">
        <x:f>IF(AND(D50&lt;=E50,G50=0),"PASS","FAIL")</x:f>
        <x:v>PASS</x:v>
      </x:c>
      <x:c r="I50" s="47"/>
      <x:c r="J50" s="47"/>
      <x:c r="K50" s="47"/>
    </x:row>
    <x:row r="51">
      <x:c r="A51" s="47" t="str">
        <x:v>HC-A-C-N2</x:v>
      </x:c>
      <x:c r="B51" s="47" t="str">
        <x:v>HC-A-C</x:v>
      </x:c>
      <x:c r="C51" s="47" t="n">
        <x:v>3</x:v>
      </x:c>
      <x:c r="D51" s="47" t="n">
        <x:f>COUNTIFS('Serial Schedule'!$K$7:$K$150,A51,'Serial Schedule'!$H$7:$H$150,C51)</x:f>
        <x:v>2</x:v>
      </x:c>
      <x:c r="E51" s="47" t="n">
        <x:v>4</x:v>
      </x:c>
      <x:c r="F51" s="47" t="n">
        <x:f>E51-D51</x:f>
        <x:v>2</x:v>
      </x:c>
      <x:c r="G51" s="47" t="n">
        <x:f>COUNTIFS('Serial Schedule'!$K$7:$K$150,A51,'Serial Schedule'!$H$7:$H$150,C51,'Serial Schedule'!$V$7:$V$150,"&gt;1")</x:f>
        <x:v>0</x:v>
      </x:c>
      <x:c r="H51" s="47" t="str">
        <x:f>IF(AND(D51&lt;=E51,G51=0),"PASS","FAIL")</x:f>
        <x:v>PASS</x:v>
      </x:c>
      <x:c r="I51" s="47"/>
      <x:c r="J51" s="47"/>
      <x:c r="K51" s="47"/>
    </x:row>
    <x:row r="52">
      <x:c r="A52" s="47" t="str">
        <x:v>HC-A-C-N2</x:v>
      </x:c>
      <x:c r="B52" s="47" t="str">
        <x:v>HC-A-C</x:v>
      </x:c>
      <x:c r="C52" s="47" t="n">
        <x:v>4</x:v>
      </x:c>
      <x:c r="D52" s="47" t="n">
        <x:f>COUNTIFS('Serial Schedule'!$K$7:$K$150,A52,'Serial Schedule'!$H$7:$H$150,C52)</x:f>
        <x:v>2</x:v>
      </x:c>
      <x:c r="E52" s="47" t="n">
        <x:v>4</x:v>
      </x:c>
      <x:c r="F52" s="47" t="n">
        <x:f>E52-D52</x:f>
        <x:v>2</x:v>
      </x:c>
      <x:c r="G52" s="47" t="n">
        <x:f>COUNTIFS('Serial Schedule'!$K$7:$K$150,A52,'Serial Schedule'!$H$7:$H$150,C52,'Serial Schedule'!$V$7:$V$150,"&gt;1")</x:f>
        <x:v>0</x:v>
      </x:c>
      <x:c r="H52" s="47" t="str">
        <x:f>IF(AND(D52&lt;=E52,G52=0),"PASS","FAIL")</x:f>
        <x:v>PASS</x:v>
      </x:c>
      <x:c r="I52" s="47"/>
      <x:c r="J52" s="47"/>
      <x:c r="K52" s="47"/>
    </x:row>
    <x:row r="53">
      <x:c r="A53" s="47" t="str">
        <x:v>HC-A-C-N2</x:v>
      </x:c>
      <x:c r="B53" s="47" t="str">
        <x:v>HC-A-C</x:v>
      </x:c>
      <x:c r="C53" s="47" t="n">
        <x:v>5</x:v>
      </x:c>
      <x:c r="D53" s="47" t="n">
        <x:f>COUNTIFS('Serial Schedule'!$K$7:$K$150,A53,'Serial Schedule'!$H$7:$H$150,C53)</x:f>
        <x:v>2</x:v>
      </x:c>
      <x:c r="E53" s="47" t="n">
        <x:v>4</x:v>
      </x:c>
      <x:c r="F53" s="47" t="n">
        <x:f>E53-D53</x:f>
        <x:v>2</x:v>
      </x:c>
      <x:c r="G53" s="47" t="n">
        <x:f>COUNTIFS('Serial Schedule'!$K$7:$K$150,A53,'Serial Schedule'!$H$7:$H$150,C53,'Serial Schedule'!$V$7:$V$150,"&gt;1")</x:f>
        <x:v>0</x:v>
      </x:c>
      <x:c r="H53" s="47" t="str">
        <x:f>IF(AND(D53&lt;=E53,G53=0),"PASS","FAIL")</x:f>
        <x:v>PASS</x:v>
      </x:c>
      <x:c r="I53" s="47"/>
      <x:c r="J53" s="47"/>
      <x:c r="K53" s="47"/>
    </x:row>
    <x:row r="54">
      <x:c r="A54" s="47" t="str">
        <x:v>HC-A-C-N2</x:v>
      </x:c>
      <x:c r="B54" s="47" t="str">
        <x:v>HC-A-C</x:v>
      </x:c>
      <x:c r="C54" s="47" t="n">
        <x:v>6</x:v>
      </x:c>
      <x:c r="D54" s="47" t="n">
        <x:f>COUNTIFS('Serial Schedule'!$K$7:$K$150,A54,'Serial Schedule'!$H$7:$H$150,C54)</x:f>
        <x:v>2</x:v>
      </x:c>
      <x:c r="E54" s="47" t="n">
        <x:v>4</x:v>
      </x:c>
      <x:c r="F54" s="47" t="n">
        <x:f>E54-D54</x:f>
        <x:v>2</x:v>
      </x:c>
      <x:c r="G54" s="47" t="n">
        <x:f>COUNTIFS('Serial Schedule'!$K$7:$K$150,A54,'Serial Schedule'!$H$7:$H$150,C54,'Serial Schedule'!$V$7:$V$150,"&gt;1")</x:f>
        <x:v>0</x:v>
      </x:c>
      <x:c r="H54" s="47" t="str">
        <x:f>IF(AND(D54&lt;=E54,G54=0),"PASS","FAIL")</x:f>
        <x:v>PASS</x:v>
      </x:c>
      <x:c r="I54" s="47"/>
      <x:c r="J54" s="47"/>
      <x:c r="K54" s="47"/>
    </x:row>
    <x:row r="55">
      <x:c r="A55" s="47" t="str">
        <x:v>HC-A-C-N3</x:v>
      </x:c>
      <x:c r="B55" s="47" t="str">
        <x:v>HC-A-C</x:v>
      </x:c>
      <x:c r="C55" s="47" t="n">
        <x:v>1</x:v>
      </x:c>
      <x:c r="D55" s="47" t="n">
        <x:f>COUNTIFS('Serial Schedule'!$K$7:$K$150,A55,'Serial Schedule'!$H$7:$H$150,C55)</x:f>
        <x:v>1</x:v>
      </x:c>
      <x:c r="E55" s="47" t="n">
        <x:v>4</x:v>
      </x:c>
      <x:c r="F55" s="47" t="n">
        <x:f>E55-D55</x:f>
        <x:v>3</x:v>
      </x:c>
      <x:c r="G55" s="47" t="n">
        <x:f>COUNTIFS('Serial Schedule'!$K$7:$K$150,A55,'Serial Schedule'!$H$7:$H$150,C55,'Serial Schedule'!$V$7:$V$150,"&gt;1")</x:f>
        <x:v>0</x:v>
      </x:c>
      <x:c r="H55" s="47" t="str">
        <x:f>IF(AND(D55&lt;=E55,G55=0),"PASS","FAIL")</x:f>
        <x:v>PASS</x:v>
      </x:c>
      <x:c r="I55" s="47"/>
      <x:c r="J55" s="47"/>
      <x:c r="K55" s="47"/>
    </x:row>
    <x:row r="56">
      <x:c r="A56" s="47" t="str">
        <x:v>HC-A-C-N3</x:v>
      </x:c>
      <x:c r="B56" s="47" t="str">
        <x:v>HC-A-C</x:v>
      </x:c>
      <x:c r="C56" s="47" t="n">
        <x:v>2</x:v>
      </x:c>
      <x:c r="D56" s="47" t="n">
        <x:f>COUNTIFS('Serial Schedule'!$K$7:$K$150,A56,'Serial Schedule'!$H$7:$H$150,C56)</x:f>
        <x:v>2</x:v>
      </x:c>
      <x:c r="E56" s="47" t="n">
        <x:v>4</x:v>
      </x:c>
      <x:c r="F56" s="47" t="n">
        <x:f>E56-D56</x:f>
        <x:v>2</x:v>
      </x:c>
      <x:c r="G56" s="47" t="n">
        <x:f>COUNTIFS('Serial Schedule'!$K$7:$K$150,A56,'Serial Schedule'!$H$7:$H$150,C56,'Serial Schedule'!$V$7:$V$150,"&gt;1")</x:f>
        <x:v>0</x:v>
      </x:c>
      <x:c r="H56" s="47" t="str">
        <x:f>IF(AND(D56&lt;=E56,G56=0),"PASS","FAIL")</x:f>
        <x:v>PASS</x:v>
      </x:c>
      <x:c r="I56" s="47"/>
      <x:c r="J56" s="47"/>
      <x:c r="K56" s="47"/>
    </x:row>
    <x:row r="57">
      <x:c r="A57" s="47" t="str">
        <x:v>HC-A-C-N3</x:v>
      </x:c>
      <x:c r="B57" s="47" t="str">
        <x:v>HC-A-C</x:v>
      </x:c>
      <x:c r="C57" s="47" t="n">
        <x:v>3</x:v>
      </x:c>
      <x:c r="D57" s="47" t="n">
        <x:f>COUNTIFS('Serial Schedule'!$K$7:$K$150,A57,'Serial Schedule'!$H$7:$H$150,C57)</x:f>
        <x:v>1</x:v>
      </x:c>
      <x:c r="E57" s="47" t="n">
        <x:v>4</x:v>
      </x:c>
      <x:c r="F57" s="47" t="n">
        <x:f>E57-D57</x:f>
        <x:v>3</x:v>
      </x:c>
      <x:c r="G57" s="47" t="n">
        <x:f>COUNTIFS('Serial Schedule'!$K$7:$K$150,A57,'Serial Schedule'!$H$7:$H$150,C57,'Serial Schedule'!$V$7:$V$150,"&gt;1")</x:f>
        <x:v>0</x:v>
      </x:c>
      <x:c r="H57" s="47" t="str">
        <x:f>IF(AND(D57&lt;=E57,G57=0),"PASS","FAIL")</x:f>
        <x:v>PASS</x:v>
      </x:c>
      <x:c r="I57" s="47"/>
      <x:c r="J57" s="47"/>
      <x:c r="K57" s="47"/>
    </x:row>
    <x:row r="58">
      <x:c r="A58" s="47" t="str">
        <x:v>HC-A-C-N3</x:v>
      </x:c>
      <x:c r="B58" s="47" t="str">
        <x:v>HC-A-C</x:v>
      </x:c>
      <x:c r="C58" s="47" t="n">
        <x:v>4</x:v>
      </x:c>
      <x:c r="D58" s="47" t="n">
        <x:f>COUNTIFS('Serial Schedule'!$K$7:$K$150,A58,'Serial Schedule'!$H$7:$H$150,C58)</x:f>
        <x:v>1</x:v>
      </x:c>
      <x:c r="E58" s="47" t="n">
        <x:v>4</x:v>
      </x:c>
      <x:c r="F58" s="47" t="n">
        <x:f>E58-D58</x:f>
        <x:v>3</x:v>
      </x:c>
      <x:c r="G58" s="47" t="n">
        <x:f>COUNTIFS('Serial Schedule'!$K$7:$K$150,A58,'Serial Schedule'!$H$7:$H$150,C58,'Serial Schedule'!$V$7:$V$150,"&gt;1")</x:f>
        <x:v>0</x:v>
      </x:c>
      <x:c r="H58" s="47" t="str">
        <x:f>IF(AND(D58&lt;=E58,G58=0),"PASS","FAIL")</x:f>
        <x:v>PASS</x:v>
      </x:c>
      <x:c r="I58" s="47"/>
      <x:c r="J58" s="47"/>
      <x:c r="K58" s="47"/>
    </x:row>
    <x:row r="59">
      <x:c r="A59" s="47" t="str">
        <x:v>HC-A-C-N3</x:v>
      </x:c>
      <x:c r="B59" s="47" t="str">
        <x:v>HC-A-C</x:v>
      </x:c>
      <x:c r="C59" s="47" t="n">
        <x:v>5</x:v>
      </x:c>
      <x:c r="D59" s="47" t="n">
        <x:f>COUNTIFS('Serial Schedule'!$K$7:$K$150,A59,'Serial Schedule'!$H$7:$H$150,C59)</x:f>
        <x:v>1</x:v>
      </x:c>
      <x:c r="E59" s="47" t="n">
        <x:v>4</x:v>
      </x:c>
      <x:c r="F59" s="47" t="n">
        <x:f>E59-D59</x:f>
        <x:v>3</x:v>
      </x:c>
      <x:c r="G59" s="47" t="n">
        <x:f>COUNTIFS('Serial Schedule'!$K$7:$K$150,A59,'Serial Schedule'!$H$7:$H$150,C59,'Serial Schedule'!$V$7:$V$150,"&gt;1")</x:f>
        <x:v>0</x:v>
      </x:c>
      <x:c r="H59" s="47" t="str">
        <x:f>IF(AND(D59&lt;=E59,G59=0),"PASS","FAIL")</x:f>
        <x:v>PASS</x:v>
      </x:c>
      <x:c r="I59" s="47"/>
      <x:c r="J59" s="47"/>
      <x:c r="K59" s="47"/>
    </x:row>
    <x:row r="60">
      <x:c r="A60" s="47" t="str">
        <x:v>HC-A-C-N3</x:v>
      </x:c>
      <x:c r="B60" s="47" t="str">
        <x:v>HC-A-C</x:v>
      </x:c>
      <x:c r="C60" s="47" t="n">
        <x:v>6</x:v>
      </x:c>
      <x:c r="D60" s="47" t="n">
        <x:f>COUNTIFS('Serial Schedule'!$K$7:$K$150,A60,'Serial Schedule'!$H$7:$H$150,C60)</x:f>
        <x:v>0</x:v>
      </x:c>
      <x:c r="E60" s="47" t="n">
        <x:v>4</x:v>
      </x:c>
      <x:c r="F60" s="47" t="n">
        <x:f>E60-D60</x:f>
        <x:v>4</x:v>
      </x:c>
      <x:c r="G60" s="47" t="n">
        <x:f>COUNTIFS('Serial Schedule'!$K$7:$K$150,A60,'Serial Schedule'!$H$7:$H$150,C60,'Serial Schedule'!$V$7:$V$150,"&gt;1")</x:f>
        <x:v>0</x:v>
      </x:c>
      <x:c r="H60" s="47" t="str">
        <x:f>IF(AND(D60&lt;=E60,G60=0),"PASS","FAIL")</x:f>
        <x:v>PASS</x:v>
      </x:c>
      <x:c r="I60" s="47"/>
      <x:c r="J60" s="47"/>
      <x:c r="K60" s="47"/>
    </x:row>
    <x:row r="61">
      <x:c r="A61" s="47" t="str">
        <x:v>LF-B-A-N1</x:v>
      </x:c>
      <x:c r="B61" s="47" t="str">
        <x:v>LF-B-A</x:v>
      </x:c>
      <x:c r="C61" s="47" t="n">
        <x:v>1</x:v>
      </x:c>
      <x:c r="D61" s="47" t="n">
        <x:f>COUNTIFS('Serial Schedule'!$K$7:$K$150,A61,'Serial Schedule'!$H$7:$H$150,C61)</x:f>
        <x:v>2</x:v>
      </x:c>
      <x:c r="E61" s="47" t="n">
        <x:v>4</x:v>
      </x:c>
      <x:c r="F61" s="47" t="n">
        <x:f>E61-D61</x:f>
        <x:v>2</x:v>
      </x:c>
      <x:c r="G61" s="47" t="n">
        <x:f>COUNTIFS('Serial Schedule'!$K$7:$K$150,A61,'Serial Schedule'!$H$7:$H$150,C61,'Serial Schedule'!$V$7:$V$150,"&gt;1")</x:f>
        <x:v>0</x:v>
      </x:c>
      <x:c r="H61" s="47" t="str">
        <x:f>IF(AND(D61&lt;=E61,G61=0),"PASS","FAIL")</x:f>
        <x:v>PASS</x:v>
      </x:c>
      <x:c r="I61" s="47"/>
      <x:c r="J61" s="47"/>
      <x:c r="K61" s="47"/>
    </x:row>
    <x:row r="62">
      <x:c r="A62" s="47" t="str">
        <x:v>LF-B-A-N1</x:v>
      </x:c>
      <x:c r="B62" s="47" t="str">
        <x:v>LF-B-A</x:v>
      </x:c>
      <x:c r="C62" s="47" t="n">
        <x:v>2</x:v>
      </x:c>
      <x:c r="D62" s="47" t="n">
        <x:f>COUNTIFS('Serial Schedule'!$K$7:$K$150,A62,'Serial Schedule'!$H$7:$H$150,C62)</x:f>
        <x:v>3</x:v>
      </x:c>
      <x:c r="E62" s="47" t="n">
        <x:v>4</x:v>
      </x:c>
      <x:c r="F62" s="47" t="n">
        <x:f>E62-D62</x:f>
        <x:v>1</x:v>
      </x:c>
      <x:c r="G62" s="47" t="n">
        <x:f>COUNTIFS('Serial Schedule'!$K$7:$K$150,A62,'Serial Schedule'!$H$7:$H$150,C62,'Serial Schedule'!$V$7:$V$150,"&gt;1")</x:f>
        <x:v>0</x:v>
      </x:c>
      <x:c r="H62" s="47" t="str">
        <x:f>IF(AND(D62&lt;=E62,G62=0),"PASS","FAIL")</x:f>
        <x:v>PASS</x:v>
      </x:c>
      <x:c r="I62" s="47"/>
      <x:c r="J62" s="47"/>
      <x:c r="K62" s="47"/>
    </x:row>
    <x:row r="63">
      <x:c r="A63" s="47" t="str">
        <x:v>LF-B-A-N1</x:v>
      </x:c>
      <x:c r="B63" s="47" t="str">
        <x:v>LF-B-A</x:v>
      </x:c>
      <x:c r="C63" s="47" t="n">
        <x:v>3</x:v>
      </x:c>
      <x:c r="D63" s="47" t="n">
        <x:f>COUNTIFS('Serial Schedule'!$K$7:$K$150,A63,'Serial Schedule'!$H$7:$H$150,C63)</x:f>
        <x:v>1</x:v>
      </x:c>
      <x:c r="E63" s="47" t="n">
        <x:v>4</x:v>
      </x:c>
      <x:c r="F63" s="47" t="n">
        <x:f>E63-D63</x:f>
        <x:v>3</x:v>
      </x:c>
      <x:c r="G63" s="47" t="n">
        <x:f>COUNTIFS('Serial Schedule'!$K$7:$K$150,A63,'Serial Schedule'!$H$7:$H$150,C63,'Serial Schedule'!$V$7:$V$150,"&gt;1")</x:f>
        <x:v>0</x:v>
      </x:c>
      <x:c r="H63" s="47" t="str">
        <x:f>IF(AND(D63&lt;=E63,G63=0),"PASS","FAIL")</x:f>
        <x:v>PASS</x:v>
      </x:c>
      <x:c r="I63" s="47"/>
      <x:c r="J63" s="47"/>
      <x:c r="K63" s="47"/>
    </x:row>
    <x:row r="64">
      <x:c r="A64" s="47" t="str">
        <x:v>LF-B-A-N1</x:v>
      </x:c>
      <x:c r="B64" s="47" t="str">
        <x:v>LF-B-A</x:v>
      </x:c>
      <x:c r="C64" s="47" t="n">
        <x:v>4</x:v>
      </x:c>
      <x:c r="D64" s="47" t="n">
        <x:f>COUNTIFS('Serial Schedule'!$K$7:$K$150,A64,'Serial Schedule'!$H$7:$H$150,C64)</x:f>
        <x:v>1</x:v>
      </x:c>
      <x:c r="E64" s="47" t="n">
        <x:v>4</x:v>
      </x:c>
      <x:c r="F64" s="47" t="n">
        <x:f>E64-D64</x:f>
        <x:v>3</x:v>
      </x:c>
      <x:c r="G64" s="47" t="n">
        <x:f>COUNTIFS('Serial Schedule'!$K$7:$K$150,A64,'Serial Schedule'!$H$7:$H$150,C64,'Serial Schedule'!$V$7:$V$150,"&gt;1")</x:f>
        <x:v>0</x:v>
      </x:c>
      <x:c r="H64" s="47" t="str">
        <x:f>IF(AND(D64&lt;=E64,G64=0),"PASS","FAIL")</x:f>
        <x:v>PASS</x:v>
      </x:c>
      <x:c r="I64" s="47"/>
      <x:c r="J64" s="47"/>
      <x:c r="K64" s="47"/>
    </x:row>
    <x:row r="65">
      <x:c r="A65" s="47" t="str">
        <x:v>LF-B-A-N1</x:v>
      </x:c>
      <x:c r="B65" s="47" t="str">
        <x:v>LF-B-A</x:v>
      </x:c>
      <x:c r="C65" s="47" t="n">
        <x:v>5</x:v>
      </x:c>
      <x:c r="D65" s="47" t="n">
        <x:f>COUNTIFS('Serial Schedule'!$K$7:$K$150,A65,'Serial Schedule'!$H$7:$H$150,C65)</x:f>
        <x:v>1</x:v>
      </x:c>
      <x:c r="E65" s="47" t="n">
        <x:v>4</x:v>
      </x:c>
      <x:c r="F65" s="47" t="n">
        <x:f>E65-D65</x:f>
        <x:v>3</x:v>
      </x:c>
      <x:c r="G65" s="47" t="n">
        <x:f>COUNTIFS('Serial Schedule'!$K$7:$K$150,A65,'Serial Schedule'!$H$7:$H$150,C65,'Serial Schedule'!$V$7:$V$150,"&gt;1")</x:f>
        <x:v>0</x:v>
      </x:c>
      <x:c r="H65" s="47" t="str">
        <x:f>IF(AND(D65&lt;=E65,G65=0),"PASS","FAIL")</x:f>
        <x:v>PASS</x:v>
      </x:c>
      <x:c r="I65" s="47"/>
      <x:c r="J65" s="47"/>
      <x:c r="K65" s="47"/>
    </x:row>
    <x:row r="66">
      <x:c r="A66" s="47" t="str">
        <x:v>LF-B-A-N1</x:v>
      </x:c>
      <x:c r="B66" s="47" t="str">
        <x:v>LF-B-A</x:v>
      </x:c>
      <x:c r="C66" s="47" t="n">
        <x:v>6</x:v>
      </x:c>
      <x:c r="D66" s="47" t="n">
        <x:f>COUNTIFS('Serial Schedule'!$K$7:$K$150,A66,'Serial Schedule'!$H$7:$H$150,C66)</x:f>
        <x:v>1</x:v>
      </x:c>
      <x:c r="E66" s="47" t="n">
        <x:v>4</x:v>
      </x:c>
      <x:c r="F66" s="47" t="n">
        <x:f>E66-D66</x:f>
        <x:v>3</x:v>
      </x:c>
      <x:c r="G66" s="47" t="n">
        <x:f>COUNTIFS('Serial Schedule'!$K$7:$K$150,A66,'Serial Schedule'!$H$7:$H$150,C66,'Serial Schedule'!$V$7:$V$150,"&gt;1")</x:f>
        <x:v>0</x:v>
      </x:c>
      <x:c r="H66" s="47" t="str">
        <x:f>IF(AND(D66&lt;=E66,G66=0),"PASS","FAIL")</x:f>
        <x:v>PASS</x:v>
      </x:c>
      <x:c r="I66" s="47"/>
      <x:c r="J66" s="47"/>
      <x:c r="K66" s="47"/>
    </x:row>
    <x:row r="67">
      <x:c r="A67" s="47" t="str">
        <x:v>LF-B-A-N2</x:v>
      </x:c>
      <x:c r="B67" s="47" t="str">
        <x:v>LF-B-A</x:v>
      </x:c>
      <x:c r="C67" s="47" t="n">
        <x:v>1</x:v>
      </x:c>
      <x:c r="D67" s="47" t="n">
        <x:f>COUNTIFS('Serial Schedule'!$K$7:$K$150,A67,'Serial Schedule'!$H$7:$H$150,C67)</x:f>
        <x:v>2</x:v>
      </x:c>
      <x:c r="E67" s="47" t="n">
        <x:v>4</x:v>
      </x:c>
      <x:c r="F67" s="47" t="n">
        <x:f>E67-D67</x:f>
        <x:v>2</x:v>
      </x:c>
      <x:c r="G67" s="47" t="n">
        <x:f>COUNTIFS('Serial Schedule'!$K$7:$K$150,A67,'Serial Schedule'!$H$7:$H$150,C67,'Serial Schedule'!$V$7:$V$150,"&gt;1")</x:f>
        <x:v>0</x:v>
      </x:c>
      <x:c r="H67" s="47" t="str">
        <x:f>IF(AND(D67&lt;=E67,G67=0),"PASS","FAIL")</x:f>
        <x:v>PASS</x:v>
      </x:c>
      <x:c r="I67" s="47"/>
      <x:c r="J67" s="47"/>
      <x:c r="K67" s="47"/>
    </x:row>
    <x:row r="68">
      <x:c r="A68" s="47" t="str">
        <x:v>LF-B-A-N2</x:v>
      </x:c>
      <x:c r="B68" s="47" t="str">
        <x:v>LF-B-A</x:v>
      </x:c>
      <x:c r="C68" s="47" t="n">
        <x:v>2</x:v>
      </x:c>
      <x:c r="D68" s="47" t="n">
        <x:f>COUNTIFS('Serial Schedule'!$K$7:$K$150,A68,'Serial Schedule'!$H$7:$H$150,C68)</x:f>
        <x:v>0</x:v>
      </x:c>
      <x:c r="E68" s="47" t="n">
        <x:v>4</x:v>
      </x:c>
      <x:c r="F68" s="47" t="n">
        <x:f>E68-D68</x:f>
        <x:v>4</x:v>
      </x:c>
      <x:c r="G68" s="47" t="n">
        <x:f>COUNTIFS('Serial Schedule'!$K$7:$K$150,A68,'Serial Schedule'!$H$7:$H$150,C68,'Serial Schedule'!$V$7:$V$150,"&gt;1")</x:f>
        <x:v>0</x:v>
      </x:c>
      <x:c r="H68" s="47" t="str">
        <x:f>IF(AND(D68&lt;=E68,G68=0),"PASS","FAIL")</x:f>
        <x:v>PASS</x:v>
      </x:c>
      <x:c r="I68" s="47"/>
      <x:c r="J68" s="47"/>
      <x:c r="K68" s="47"/>
    </x:row>
    <x:row r="69">
      <x:c r="A69" s="47" t="str">
        <x:v>LF-B-A-N2</x:v>
      </x:c>
      <x:c r="B69" s="47" t="str">
        <x:v>LF-B-A</x:v>
      </x:c>
      <x:c r="C69" s="47" t="n">
        <x:v>3</x:v>
      </x:c>
      <x:c r="D69" s="47" t="n">
        <x:f>COUNTIFS('Serial Schedule'!$K$7:$K$150,A69,'Serial Schedule'!$H$7:$H$150,C69)</x:f>
        <x:v>1</x:v>
      </x:c>
      <x:c r="E69" s="47" t="n">
        <x:v>4</x:v>
      </x:c>
      <x:c r="F69" s="47" t="n">
        <x:f>E69-D69</x:f>
        <x:v>3</x:v>
      </x:c>
      <x:c r="G69" s="47" t="n">
        <x:f>COUNTIFS('Serial Schedule'!$K$7:$K$150,A69,'Serial Schedule'!$H$7:$H$150,C69,'Serial Schedule'!$V$7:$V$150,"&gt;1")</x:f>
        <x:v>0</x:v>
      </x:c>
      <x:c r="H69" s="47" t="str">
        <x:f>IF(AND(D69&lt;=E69,G69=0),"PASS","FAIL")</x:f>
        <x:v>PASS</x:v>
      </x:c>
      <x:c r="I69" s="47"/>
      <x:c r="J69" s="47"/>
      <x:c r="K69" s="47"/>
    </x:row>
    <x:row r="70">
      <x:c r="A70" s="47" t="str">
        <x:v>LF-B-A-N2</x:v>
      </x:c>
      <x:c r="B70" s="47" t="str">
        <x:v>LF-B-A</x:v>
      </x:c>
      <x:c r="C70" s="47" t="n">
        <x:v>4</x:v>
      </x:c>
      <x:c r="D70" s="47" t="n">
        <x:f>COUNTIFS('Serial Schedule'!$K$7:$K$150,A70,'Serial Schedule'!$H$7:$H$150,C70)</x:f>
        <x:v>2</x:v>
      </x:c>
      <x:c r="E70" s="47" t="n">
        <x:v>4</x:v>
      </x:c>
      <x:c r="F70" s="47" t="n">
        <x:f>E70-D70</x:f>
        <x:v>2</x:v>
      </x:c>
      <x:c r="G70" s="47" t="n">
        <x:f>COUNTIFS('Serial Schedule'!$K$7:$K$150,A70,'Serial Schedule'!$H$7:$H$150,C70,'Serial Schedule'!$V$7:$V$150,"&gt;1")</x:f>
        <x:v>0</x:v>
      </x:c>
      <x:c r="H70" s="47" t="str">
        <x:f>IF(AND(D70&lt;=E70,G70=0),"PASS","FAIL")</x:f>
        <x:v>PASS</x:v>
      </x:c>
      <x:c r="I70" s="47"/>
      <x:c r="J70" s="47"/>
      <x:c r="K70" s="47"/>
    </x:row>
    <x:row r="71">
      <x:c r="A71" s="47" t="str">
        <x:v>LF-B-A-N2</x:v>
      </x:c>
      <x:c r="B71" s="47" t="str">
        <x:v>LF-B-A</x:v>
      </x:c>
      <x:c r="C71" s="47" t="n">
        <x:v>5</x:v>
      </x:c>
      <x:c r="D71" s="47" t="n">
        <x:f>COUNTIFS('Serial Schedule'!$K$7:$K$150,A71,'Serial Schedule'!$H$7:$H$150,C71)</x:f>
        <x:v>2</x:v>
      </x:c>
      <x:c r="E71" s="47" t="n">
        <x:v>4</x:v>
      </x:c>
      <x:c r="F71" s="47" t="n">
        <x:f>E71-D71</x:f>
        <x:v>2</x:v>
      </x:c>
      <x:c r="G71" s="47" t="n">
        <x:f>COUNTIFS('Serial Schedule'!$K$7:$K$150,A71,'Serial Schedule'!$H$7:$H$150,C71,'Serial Schedule'!$V$7:$V$150,"&gt;1")</x:f>
        <x:v>0</x:v>
      </x:c>
      <x:c r="H71" s="47" t="str">
        <x:f>IF(AND(D71&lt;=E71,G71=0),"PASS","FAIL")</x:f>
        <x:v>PASS</x:v>
      </x:c>
      <x:c r="I71" s="47"/>
      <x:c r="J71" s="47"/>
      <x:c r="K71" s="47"/>
    </x:row>
    <x:row r="72">
      <x:c r="A72" s="47" t="str">
        <x:v>LF-B-A-N2</x:v>
      </x:c>
      <x:c r="B72" s="47" t="str">
        <x:v>LF-B-A</x:v>
      </x:c>
      <x:c r="C72" s="47" t="n">
        <x:v>6</x:v>
      </x:c>
      <x:c r="D72" s="47" t="n">
        <x:f>COUNTIFS('Serial Schedule'!$K$7:$K$150,A72,'Serial Schedule'!$H$7:$H$150,C72)</x:f>
        <x:v>2</x:v>
      </x:c>
      <x:c r="E72" s="47" t="n">
        <x:v>4</x:v>
      </x:c>
      <x:c r="F72" s="47" t="n">
        <x:f>E72-D72</x:f>
        <x:v>2</x:v>
      </x:c>
      <x:c r="G72" s="47" t="n">
        <x:f>COUNTIFS('Serial Schedule'!$K$7:$K$150,A72,'Serial Schedule'!$H$7:$H$150,C72,'Serial Schedule'!$V$7:$V$150,"&gt;1")</x:f>
        <x:v>0</x:v>
      </x:c>
      <x:c r="H72" s="47" t="str">
        <x:f>IF(AND(D72&lt;=E72,G72=0),"PASS","FAIL")</x:f>
        <x:v>PASS</x:v>
      </x:c>
      <x:c r="I72" s="47"/>
      <x:c r="J72" s="47"/>
      <x:c r="K72" s="47"/>
    </x:row>
    <x:row r="73">
      <x:c r="A73" s="47" t="str">
        <x:v>LF-B-A-N3</x:v>
      </x:c>
      <x:c r="B73" s="47" t="str">
        <x:v>LF-B-A</x:v>
      </x:c>
      <x:c r="C73" s="47" t="n">
        <x:v>1</x:v>
      </x:c>
      <x:c r="D73" s="47" t="n">
        <x:f>COUNTIFS('Serial Schedule'!$K$7:$K$150,A73,'Serial Schedule'!$H$7:$H$150,C73)</x:f>
        <x:v>0</x:v>
      </x:c>
      <x:c r="E73" s="47" t="n">
        <x:v>4</x:v>
      </x:c>
      <x:c r="F73" s="47" t="n">
        <x:f>E73-D73</x:f>
        <x:v>4</x:v>
      </x:c>
      <x:c r="G73" s="47" t="n">
        <x:f>COUNTIFS('Serial Schedule'!$K$7:$K$150,A73,'Serial Schedule'!$H$7:$H$150,C73,'Serial Schedule'!$V$7:$V$150,"&gt;1")</x:f>
        <x:v>0</x:v>
      </x:c>
      <x:c r="H73" s="47" t="str">
        <x:f>IF(AND(D73&lt;=E73,G73=0),"PASS","FAIL")</x:f>
        <x:v>PASS</x:v>
      </x:c>
      <x:c r="I73" s="47"/>
      <x:c r="J73" s="47"/>
      <x:c r="K73" s="47"/>
    </x:row>
    <x:row r="74">
      <x:c r="A74" s="47" t="str">
        <x:v>LF-B-A-N3</x:v>
      </x:c>
      <x:c r="B74" s="47" t="str">
        <x:v>LF-B-A</x:v>
      </x:c>
      <x:c r="C74" s="47" t="n">
        <x:v>2</x:v>
      </x:c>
      <x:c r="D74" s="47" t="n">
        <x:f>COUNTIFS('Serial Schedule'!$K$7:$K$150,A74,'Serial Schedule'!$H$7:$H$150,C74)</x:f>
        <x:v>1</x:v>
      </x:c>
      <x:c r="E74" s="47" t="n">
        <x:v>4</x:v>
      </x:c>
      <x:c r="F74" s="47" t="n">
        <x:f>E74-D74</x:f>
        <x:v>3</x:v>
      </x:c>
      <x:c r="G74" s="47" t="n">
        <x:f>COUNTIFS('Serial Schedule'!$K$7:$K$150,A74,'Serial Schedule'!$H$7:$H$150,C74,'Serial Schedule'!$V$7:$V$150,"&gt;1")</x:f>
        <x:v>0</x:v>
      </x:c>
      <x:c r="H74" s="47" t="str">
        <x:f>IF(AND(D74&lt;=E74,G74=0),"PASS","FAIL")</x:f>
        <x:v>PASS</x:v>
      </x:c>
      <x:c r="I74" s="47"/>
      <x:c r="J74" s="47"/>
      <x:c r="K74" s="47"/>
    </x:row>
    <x:row r="75">
      <x:c r="A75" s="47" t="str">
        <x:v>LF-B-A-N3</x:v>
      </x:c>
      <x:c r="B75" s="47" t="str">
        <x:v>LF-B-A</x:v>
      </x:c>
      <x:c r="C75" s="47" t="n">
        <x:v>3</x:v>
      </x:c>
      <x:c r="D75" s="47" t="n">
        <x:f>COUNTIFS('Serial Schedule'!$K$7:$K$150,A75,'Serial Schedule'!$H$7:$H$150,C75)</x:f>
        <x:v>2</x:v>
      </x:c>
      <x:c r="E75" s="47" t="n">
        <x:v>4</x:v>
      </x:c>
      <x:c r="F75" s="47" t="n">
        <x:f>E75-D75</x:f>
        <x:v>2</x:v>
      </x:c>
      <x:c r="G75" s="47" t="n">
        <x:f>COUNTIFS('Serial Schedule'!$K$7:$K$150,A75,'Serial Schedule'!$H$7:$H$150,C75,'Serial Schedule'!$V$7:$V$150,"&gt;1")</x:f>
        <x:v>0</x:v>
      </x:c>
      <x:c r="H75" s="47" t="str">
        <x:f>IF(AND(D75&lt;=E75,G75=0),"PASS","FAIL")</x:f>
        <x:v>PASS</x:v>
      </x:c>
      <x:c r="I75" s="47"/>
      <x:c r="J75" s="47"/>
      <x:c r="K75" s="47"/>
    </x:row>
    <x:row r="76">
      <x:c r="A76" s="47" t="str">
        <x:v>LF-B-A-N3</x:v>
      </x:c>
      <x:c r="B76" s="47" t="str">
        <x:v>LF-B-A</x:v>
      </x:c>
      <x:c r="C76" s="47" t="n">
        <x:v>4</x:v>
      </x:c>
      <x:c r="D76" s="47" t="n">
        <x:f>COUNTIFS('Serial Schedule'!$K$7:$K$150,A76,'Serial Schedule'!$H$7:$H$150,C76)</x:f>
        <x:v>1</x:v>
      </x:c>
      <x:c r="E76" s="47" t="n">
        <x:v>4</x:v>
      </x:c>
      <x:c r="F76" s="47" t="n">
        <x:f>E76-D76</x:f>
        <x:v>3</x:v>
      </x:c>
      <x:c r="G76" s="47" t="n">
        <x:f>COUNTIFS('Serial Schedule'!$K$7:$K$150,A76,'Serial Schedule'!$H$7:$H$150,C76,'Serial Schedule'!$V$7:$V$150,"&gt;1")</x:f>
        <x:v>0</x:v>
      </x:c>
      <x:c r="H76" s="47" t="str">
        <x:f>IF(AND(D76&lt;=E76,G76=0),"PASS","FAIL")</x:f>
        <x:v>PASS</x:v>
      </x:c>
      <x:c r="I76" s="47"/>
      <x:c r="J76" s="47"/>
      <x:c r="K76" s="47"/>
    </x:row>
    <x:row r="77">
      <x:c r="A77" s="47" t="str">
        <x:v>LF-B-A-N3</x:v>
      </x:c>
      <x:c r="B77" s="47" t="str">
        <x:v>LF-B-A</x:v>
      </x:c>
      <x:c r="C77" s="47" t="n">
        <x:v>5</x:v>
      </x:c>
      <x:c r="D77" s="47" t="n">
        <x:f>COUNTIFS('Serial Schedule'!$K$7:$K$150,A77,'Serial Schedule'!$H$7:$H$150,C77)</x:f>
        <x:v>1</x:v>
      </x:c>
      <x:c r="E77" s="47" t="n">
        <x:v>4</x:v>
      </x:c>
      <x:c r="F77" s="47" t="n">
        <x:f>E77-D77</x:f>
        <x:v>3</x:v>
      </x:c>
      <x:c r="G77" s="47" t="n">
        <x:f>COUNTIFS('Serial Schedule'!$K$7:$K$150,A77,'Serial Schedule'!$H$7:$H$150,C77,'Serial Schedule'!$V$7:$V$150,"&gt;1")</x:f>
        <x:v>0</x:v>
      </x:c>
      <x:c r="H77" s="47" t="str">
        <x:f>IF(AND(D77&lt;=E77,G77=0),"PASS","FAIL")</x:f>
        <x:v>PASS</x:v>
      </x:c>
      <x:c r="I77" s="47"/>
      <x:c r="J77" s="47"/>
      <x:c r="K77" s="47"/>
    </x:row>
    <x:row r="78">
      <x:c r="A78" s="47" t="str">
        <x:v>LF-B-A-N3</x:v>
      </x:c>
      <x:c r="B78" s="47" t="str">
        <x:v>LF-B-A</x:v>
      </x:c>
      <x:c r="C78" s="47" t="n">
        <x:v>6</x:v>
      </x:c>
      <x:c r="D78" s="47" t="n">
        <x:f>COUNTIFS('Serial Schedule'!$K$7:$K$150,A78,'Serial Schedule'!$H$7:$H$150,C78)</x:f>
        <x:v>1</x:v>
      </x:c>
      <x:c r="E78" s="47" t="n">
        <x:v>4</x:v>
      </x:c>
      <x:c r="F78" s="47" t="n">
        <x:f>E78-D78</x:f>
        <x:v>3</x:v>
      </x:c>
      <x:c r="G78" s="47" t="n">
        <x:f>COUNTIFS('Serial Schedule'!$K$7:$K$150,A78,'Serial Schedule'!$H$7:$H$150,C78,'Serial Schedule'!$V$7:$V$150,"&gt;1")</x:f>
        <x:v>0</x:v>
      </x:c>
      <x:c r="H78" s="47" t="str">
        <x:f>IF(AND(D78&lt;=E78,G78=0),"PASS","FAIL")</x:f>
        <x:v>PASS</x:v>
      </x:c>
      <x:c r="I78" s="47"/>
      <x:c r="J78" s="47"/>
      <x:c r="K78" s="47"/>
    </x:row>
    <x:row r="79">
      <x:c r="A79" s="47" t="str">
        <x:v>HU-A-B-N1</x:v>
      </x:c>
      <x:c r="B79" s="47" t="str">
        <x:v>HU-A-B</x:v>
      </x:c>
      <x:c r="C79" s="47" t="n">
        <x:v>1</x:v>
      </x:c>
      <x:c r="D79" s="47" t="n">
        <x:f>COUNTIFS('Serial Schedule'!$K$7:$K$150,A79,'Serial Schedule'!$H$7:$H$150,C79)</x:f>
        <x:v>1</x:v>
      </x:c>
      <x:c r="E79" s="47" t="n">
        <x:v>4</x:v>
      </x:c>
      <x:c r="F79" s="47" t="n">
        <x:f>E79-D79</x:f>
        <x:v>3</x:v>
      </x:c>
      <x:c r="G79" s="47" t="n">
        <x:f>COUNTIFS('Serial Schedule'!$K$7:$K$150,A79,'Serial Schedule'!$H$7:$H$150,C79,'Serial Schedule'!$V$7:$V$150,"&gt;1")</x:f>
        <x:v>0</x:v>
      </x:c>
      <x:c r="H79" s="47" t="str">
        <x:f>IF(AND(D79&lt;=E79,G79=0),"PASS","FAIL")</x:f>
        <x:v>PASS</x:v>
      </x:c>
      <x:c r="I79" s="47"/>
      <x:c r="J79" s="47"/>
      <x:c r="K79" s="47"/>
    </x:row>
    <x:row r="80">
      <x:c r="A80" s="47" t="str">
        <x:v>HU-A-B-N1</x:v>
      </x:c>
      <x:c r="B80" s="47" t="str">
        <x:v>HU-A-B</x:v>
      </x:c>
      <x:c r="C80" s="47" t="n">
        <x:v>2</x:v>
      </x:c>
      <x:c r="D80" s="47" t="n">
        <x:f>COUNTIFS('Serial Schedule'!$K$7:$K$150,A80,'Serial Schedule'!$H$7:$H$150,C80)</x:f>
        <x:v>2</x:v>
      </x:c>
      <x:c r="E80" s="47" t="n">
        <x:v>4</x:v>
      </x:c>
      <x:c r="F80" s="47" t="n">
        <x:f>E80-D80</x:f>
        <x:v>2</x:v>
      </x:c>
      <x:c r="G80" s="47" t="n">
        <x:f>COUNTIFS('Serial Schedule'!$K$7:$K$150,A80,'Serial Schedule'!$H$7:$H$150,C80,'Serial Schedule'!$V$7:$V$150,"&gt;1")</x:f>
        <x:v>0</x:v>
      </x:c>
      <x:c r="H80" s="47" t="str">
        <x:f>IF(AND(D80&lt;=E80,G80=0),"PASS","FAIL")</x:f>
        <x:v>PASS</x:v>
      </x:c>
      <x:c r="I80" s="47"/>
      <x:c r="J80" s="47"/>
      <x:c r="K80" s="47"/>
    </x:row>
    <x:row r="81">
      <x:c r="A81" s="47" t="str">
        <x:v>HU-A-B-N1</x:v>
      </x:c>
      <x:c r="B81" s="47" t="str">
        <x:v>HU-A-B</x:v>
      </x:c>
      <x:c r="C81" s="47" t="n">
        <x:v>3</x:v>
      </x:c>
      <x:c r="D81" s="47" t="n">
        <x:f>COUNTIFS('Serial Schedule'!$K$7:$K$150,A81,'Serial Schedule'!$H$7:$H$150,C81)</x:f>
        <x:v>3</x:v>
      </x:c>
      <x:c r="E81" s="47" t="n">
        <x:v>4</x:v>
      </x:c>
      <x:c r="F81" s="47" t="n">
        <x:f>E81-D81</x:f>
        <x:v>1</x:v>
      </x:c>
      <x:c r="G81" s="47" t="n">
        <x:f>COUNTIFS('Serial Schedule'!$K$7:$K$150,A81,'Serial Schedule'!$H$7:$H$150,C81,'Serial Schedule'!$V$7:$V$150,"&gt;1")</x:f>
        <x:v>0</x:v>
      </x:c>
      <x:c r="H81" s="47" t="str">
        <x:f>IF(AND(D81&lt;=E81,G81=0),"PASS","FAIL")</x:f>
        <x:v>PASS</x:v>
      </x:c>
      <x:c r="I81" s="47"/>
      <x:c r="J81" s="47"/>
      <x:c r="K81" s="47"/>
    </x:row>
    <x:row r="82">
      <x:c r="A82" s="47" t="str">
        <x:v>HU-A-B-N1</x:v>
      </x:c>
      <x:c r="B82" s="47" t="str">
        <x:v>HU-A-B</x:v>
      </x:c>
      <x:c r="C82" s="47" t="n">
        <x:v>4</x:v>
      </x:c>
      <x:c r="D82" s="47" t="n">
        <x:f>COUNTIFS('Serial Schedule'!$K$7:$K$150,A82,'Serial Schedule'!$H$7:$H$150,C82)</x:f>
        <x:v>1</x:v>
      </x:c>
      <x:c r="E82" s="47" t="n">
        <x:v>4</x:v>
      </x:c>
      <x:c r="F82" s="47" t="n">
        <x:f>E82-D82</x:f>
        <x:v>3</x:v>
      </x:c>
      <x:c r="G82" s="47" t="n">
        <x:f>COUNTIFS('Serial Schedule'!$K$7:$K$150,A82,'Serial Schedule'!$H$7:$H$150,C82,'Serial Schedule'!$V$7:$V$150,"&gt;1")</x:f>
        <x:v>0</x:v>
      </x:c>
      <x:c r="H82" s="47" t="str">
        <x:f>IF(AND(D82&lt;=E82,G82=0),"PASS","FAIL")</x:f>
        <x:v>PASS</x:v>
      </x:c>
      <x:c r="I82" s="47"/>
      <x:c r="J82" s="47"/>
      <x:c r="K82" s="47"/>
    </x:row>
    <x:row r="83">
      <x:c r="A83" s="47" t="str">
        <x:v>HU-A-B-N1</x:v>
      </x:c>
      <x:c r="B83" s="47" t="str">
        <x:v>HU-A-B</x:v>
      </x:c>
      <x:c r="C83" s="47" t="n">
        <x:v>5</x:v>
      </x:c>
      <x:c r="D83" s="47" t="n">
        <x:f>COUNTIFS('Serial Schedule'!$K$7:$K$150,A83,'Serial Schedule'!$H$7:$H$150,C83)</x:f>
        <x:v>1</x:v>
      </x:c>
      <x:c r="E83" s="47" t="n">
        <x:v>4</x:v>
      </x:c>
      <x:c r="F83" s="47" t="n">
        <x:f>E83-D83</x:f>
        <x:v>3</x:v>
      </x:c>
      <x:c r="G83" s="47" t="n">
        <x:f>COUNTIFS('Serial Schedule'!$K$7:$K$150,A83,'Serial Schedule'!$H$7:$H$150,C83,'Serial Schedule'!$V$7:$V$150,"&gt;1")</x:f>
        <x:v>0</x:v>
      </x:c>
      <x:c r="H83" s="47" t="str">
        <x:f>IF(AND(D83&lt;=E83,G83=0),"PASS","FAIL")</x:f>
        <x:v>PASS</x:v>
      </x:c>
      <x:c r="I83" s="47"/>
      <x:c r="J83" s="47"/>
      <x:c r="K83" s="47"/>
    </x:row>
    <x:row r="84">
      <x:c r="A84" s="47" t="str">
        <x:v>HU-A-B-N1</x:v>
      </x:c>
      <x:c r="B84" s="47" t="str">
        <x:v>HU-A-B</x:v>
      </x:c>
      <x:c r="C84" s="47" t="n">
        <x:v>6</x:v>
      </x:c>
      <x:c r="D84" s="47" t="n">
        <x:f>COUNTIFS('Serial Schedule'!$K$7:$K$150,A84,'Serial Schedule'!$H$7:$H$150,C84)</x:f>
        <x:v>1</x:v>
      </x:c>
      <x:c r="E84" s="47" t="n">
        <x:v>4</x:v>
      </x:c>
      <x:c r="F84" s="47" t="n">
        <x:f>E84-D84</x:f>
        <x:v>3</x:v>
      </x:c>
      <x:c r="G84" s="47" t="n">
        <x:f>COUNTIFS('Serial Schedule'!$K$7:$K$150,A84,'Serial Schedule'!$H$7:$H$150,C84,'Serial Schedule'!$V$7:$V$150,"&gt;1")</x:f>
        <x:v>0</x:v>
      </x:c>
      <x:c r="H84" s="47" t="str">
        <x:f>IF(AND(D84&lt;=E84,G84=0),"PASS","FAIL")</x:f>
        <x:v>PASS</x:v>
      </x:c>
      <x:c r="I84" s="47"/>
      <x:c r="J84" s="47"/>
      <x:c r="K84" s="47"/>
    </x:row>
    <x:row r="85">
      <x:c r="A85" s="47" t="str">
        <x:v>HU-A-B-N2</x:v>
      </x:c>
      <x:c r="B85" s="47" t="str">
        <x:v>HU-A-B</x:v>
      </x:c>
      <x:c r="C85" s="47" t="n">
        <x:v>1</x:v>
      </x:c>
      <x:c r="D85" s="47" t="n">
        <x:f>COUNTIFS('Serial Schedule'!$K$7:$K$150,A85,'Serial Schedule'!$H$7:$H$150,C85)</x:f>
        <x:v>2</x:v>
      </x:c>
      <x:c r="E85" s="47" t="n">
        <x:v>4</x:v>
      </x:c>
      <x:c r="F85" s="47" t="n">
        <x:f>E85-D85</x:f>
        <x:v>2</x:v>
      </x:c>
      <x:c r="G85" s="47" t="n">
        <x:f>COUNTIFS('Serial Schedule'!$K$7:$K$150,A85,'Serial Schedule'!$H$7:$H$150,C85,'Serial Schedule'!$V$7:$V$150,"&gt;1")</x:f>
        <x:v>0</x:v>
      </x:c>
      <x:c r="H85" s="47" t="str">
        <x:f>IF(AND(D85&lt;=E85,G85=0),"PASS","FAIL")</x:f>
        <x:v>PASS</x:v>
      </x:c>
      <x:c r="I85" s="47"/>
      <x:c r="J85" s="47"/>
      <x:c r="K85" s="47"/>
    </x:row>
    <x:row r="86">
      <x:c r="A86" s="47" t="str">
        <x:v>HU-A-B-N2</x:v>
      </x:c>
      <x:c r="B86" s="47" t="str">
        <x:v>HU-A-B</x:v>
      </x:c>
      <x:c r="C86" s="47" t="n">
        <x:v>2</x:v>
      </x:c>
      <x:c r="D86" s="47" t="n">
        <x:f>COUNTIFS('Serial Schedule'!$K$7:$K$150,A86,'Serial Schedule'!$H$7:$H$150,C86)</x:f>
        <x:v>2</x:v>
      </x:c>
      <x:c r="E86" s="47" t="n">
        <x:v>4</x:v>
      </x:c>
      <x:c r="F86" s="47" t="n">
        <x:f>E86-D86</x:f>
        <x:v>2</x:v>
      </x:c>
      <x:c r="G86" s="47" t="n">
        <x:f>COUNTIFS('Serial Schedule'!$K$7:$K$150,A86,'Serial Schedule'!$H$7:$H$150,C86,'Serial Schedule'!$V$7:$V$150,"&gt;1")</x:f>
        <x:v>0</x:v>
      </x:c>
      <x:c r="H86" s="47" t="str">
        <x:f>IF(AND(D86&lt;=E86,G86=0),"PASS","FAIL")</x:f>
        <x:v>PASS</x:v>
      </x:c>
      <x:c r="I86" s="47"/>
      <x:c r="J86" s="47"/>
      <x:c r="K86" s="47"/>
    </x:row>
    <x:row r="87">
      <x:c r="A87" s="47" t="str">
        <x:v>HU-A-B-N2</x:v>
      </x:c>
      <x:c r="B87" s="47" t="str">
        <x:v>HU-A-B</x:v>
      </x:c>
      <x:c r="C87" s="47" t="n">
        <x:v>3</x:v>
      </x:c>
      <x:c r="D87" s="47" t="n">
        <x:f>COUNTIFS('Serial Schedule'!$K$7:$K$150,A87,'Serial Schedule'!$H$7:$H$150,C87)</x:f>
        <x:v>0</x:v>
      </x:c>
      <x:c r="E87" s="47" t="n">
        <x:v>4</x:v>
      </x:c>
      <x:c r="F87" s="47" t="n">
        <x:f>E87-D87</x:f>
        <x:v>4</x:v>
      </x:c>
      <x:c r="G87" s="47" t="n">
        <x:f>COUNTIFS('Serial Schedule'!$K$7:$K$150,A87,'Serial Schedule'!$H$7:$H$150,C87,'Serial Schedule'!$V$7:$V$150,"&gt;1")</x:f>
        <x:v>0</x:v>
      </x:c>
      <x:c r="H87" s="47" t="str">
        <x:f>IF(AND(D87&lt;=E87,G87=0),"PASS","FAIL")</x:f>
        <x:v>PASS</x:v>
      </x:c>
      <x:c r="I87" s="47"/>
      <x:c r="J87" s="47"/>
      <x:c r="K87" s="47"/>
    </x:row>
    <x:row r="88">
      <x:c r="A88" s="47" t="str">
        <x:v>HU-A-B-N2</x:v>
      </x:c>
      <x:c r="B88" s="47" t="str">
        <x:v>HU-A-B</x:v>
      </x:c>
      <x:c r="C88" s="47" t="n">
        <x:v>4</x:v>
      </x:c>
      <x:c r="D88" s="47" t="n">
        <x:f>COUNTIFS('Serial Schedule'!$K$7:$K$150,A88,'Serial Schedule'!$H$7:$H$150,C88)</x:f>
        <x:v>1</x:v>
      </x:c>
      <x:c r="E88" s="47" t="n">
        <x:v>4</x:v>
      </x:c>
      <x:c r="F88" s="47" t="n">
        <x:f>E88-D88</x:f>
        <x:v>3</x:v>
      </x:c>
      <x:c r="G88" s="47" t="n">
        <x:f>COUNTIFS('Serial Schedule'!$K$7:$K$150,A88,'Serial Schedule'!$H$7:$H$150,C88,'Serial Schedule'!$V$7:$V$150,"&gt;1")</x:f>
        <x:v>0</x:v>
      </x:c>
      <x:c r="H88" s="47" t="str">
        <x:f>IF(AND(D88&lt;=E88,G88=0),"PASS","FAIL")</x:f>
        <x:v>PASS</x:v>
      </x:c>
      <x:c r="I88" s="47"/>
      <x:c r="J88" s="47"/>
      <x:c r="K88" s="47"/>
    </x:row>
    <x:row r="89">
      <x:c r="A89" s="47" t="str">
        <x:v>HU-A-B-N2</x:v>
      </x:c>
      <x:c r="B89" s="47" t="str">
        <x:v>HU-A-B</x:v>
      </x:c>
      <x:c r="C89" s="47" t="n">
        <x:v>5</x:v>
      </x:c>
      <x:c r="D89" s="47" t="n">
        <x:f>COUNTIFS('Serial Schedule'!$K$7:$K$150,A89,'Serial Schedule'!$H$7:$H$150,C89)</x:f>
        <x:v>2</x:v>
      </x:c>
      <x:c r="E89" s="47" t="n">
        <x:v>4</x:v>
      </x:c>
      <x:c r="F89" s="47" t="n">
        <x:f>E89-D89</x:f>
        <x:v>2</x:v>
      </x:c>
      <x:c r="G89" s="47" t="n">
        <x:f>COUNTIFS('Serial Schedule'!$K$7:$K$150,A89,'Serial Schedule'!$H$7:$H$150,C89,'Serial Schedule'!$V$7:$V$150,"&gt;1")</x:f>
        <x:v>0</x:v>
      </x:c>
      <x:c r="H89" s="47" t="str">
        <x:f>IF(AND(D89&lt;=E89,G89=0),"PASS","FAIL")</x:f>
        <x:v>PASS</x:v>
      </x:c>
      <x:c r="I89" s="47"/>
      <x:c r="J89" s="47"/>
      <x:c r="K89" s="47"/>
    </x:row>
    <x:row r="90">
      <x:c r="A90" s="47" t="str">
        <x:v>HU-A-B-N2</x:v>
      </x:c>
      <x:c r="B90" s="47" t="str">
        <x:v>HU-A-B</x:v>
      </x:c>
      <x:c r="C90" s="47" t="n">
        <x:v>6</x:v>
      </x:c>
      <x:c r="D90" s="47" t="n">
        <x:f>COUNTIFS('Serial Schedule'!$K$7:$K$150,A90,'Serial Schedule'!$H$7:$H$150,C90)</x:f>
        <x:v>2</x:v>
      </x:c>
      <x:c r="E90" s="47" t="n">
        <x:v>4</x:v>
      </x:c>
      <x:c r="F90" s="47" t="n">
        <x:f>E90-D90</x:f>
        <x:v>2</x:v>
      </x:c>
      <x:c r="G90" s="47" t="n">
        <x:f>COUNTIFS('Serial Schedule'!$K$7:$K$150,A90,'Serial Schedule'!$H$7:$H$150,C90,'Serial Schedule'!$V$7:$V$150,"&gt;1")</x:f>
        <x:v>0</x:v>
      </x:c>
      <x:c r="H90" s="47" t="str">
        <x:f>IF(AND(D90&lt;=E90,G90=0),"PASS","FAIL")</x:f>
        <x:v>PASS</x:v>
      </x:c>
      <x:c r="I90" s="47"/>
      <x:c r="J90" s="47"/>
      <x:c r="K90" s="47"/>
    </x:row>
    <x:row r="91">
      <x:c r="A91" s="47" t="str">
        <x:v>HU-A-B-N3</x:v>
      </x:c>
      <x:c r="B91" s="47" t="str">
        <x:v>HU-A-B</x:v>
      </x:c>
      <x:c r="C91" s="47" t="n">
        <x:v>1</x:v>
      </x:c>
      <x:c r="D91" s="47" t="n">
        <x:f>COUNTIFS('Serial Schedule'!$K$7:$K$150,A91,'Serial Schedule'!$H$7:$H$150,C91)</x:f>
        <x:v>1</x:v>
      </x:c>
      <x:c r="E91" s="47" t="n">
        <x:v>4</x:v>
      </x:c>
      <x:c r="F91" s="47" t="n">
        <x:f>E91-D91</x:f>
        <x:v>3</x:v>
      </x:c>
      <x:c r="G91" s="47" t="n">
        <x:f>COUNTIFS('Serial Schedule'!$K$7:$K$150,A91,'Serial Schedule'!$H$7:$H$150,C91,'Serial Schedule'!$V$7:$V$150,"&gt;1")</x:f>
        <x:v>0</x:v>
      </x:c>
      <x:c r="H91" s="47" t="str">
        <x:f>IF(AND(D91&lt;=E91,G91=0),"PASS","FAIL")</x:f>
        <x:v>PASS</x:v>
      </x:c>
      <x:c r="I91" s="47"/>
      <x:c r="J91" s="47"/>
      <x:c r="K91" s="47"/>
    </x:row>
    <x:row r="92">
      <x:c r="A92" s="47" t="str">
        <x:v>HU-A-B-N3</x:v>
      </x:c>
      <x:c r="B92" s="47" t="str">
        <x:v>HU-A-B</x:v>
      </x:c>
      <x:c r="C92" s="47" t="n">
        <x:v>2</x:v>
      </x:c>
      <x:c r="D92" s="47" t="n">
        <x:f>COUNTIFS('Serial Schedule'!$K$7:$K$150,A92,'Serial Schedule'!$H$7:$H$150,C92)</x:f>
        <x:v>0</x:v>
      </x:c>
      <x:c r="E92" s="47" t="n">
        <x:v>4</x:v>
      </x:c>
      <x:c r="F92" s="47" t="n">
        <x:f>E92-D92</x:f>
        <x:v>4</x:v>
      </x:c>
      <x:c r="G92" s="47" t="n">
        <x:f>COUNTIFS('Serial Schedule'!$K$7:$K$150,A92,'Serial Schedule'!$H$7:$H$150,C92,'Serial Schedule'!$V$7:$V$150,"&gt;1")</x:f>
        <x:v>0</x:v>
      </x:c>
      <x:c r="H92" s="47" t="str">
        <x:f>IF(AND(D92&lt;=E92,G92=0),"PASS","FAIL")</x:f>
        <x:v>PASS</x:v>
      </x:c>
      <x:c r="I92" s="47"/>
      <x:c r="J92" s="47"/>
      <x:c r="K92" s="47"/>
    </x:row>
    <x:row r="93">
      <x:c r="A93" s="47" t="str">
        <x:v>HU-A-B-N3</x:v>
      </x:c>
      <x:c r="B93" s="47" t="str">
        <x:v>HU-A-B</x:v>
      </x:c>
      <x:c r="C93" s="47" t="n">
        <x:v>3</x:v>
      </x:c>
      <x:c r="D93" s="47" t="n">
        <x:f>COUNTIFS('Serial Schedule'!$K$7:$K$150,A93,'Serial Schedule'!$H$7:$H$150,C93)</x:f>
        <x:v>1</x:v>
      </x:c>
      <x:c r="E93" s="47" t="n">
        <x:v>4</x:v>
      </x:c>
      <x:c r="F93" s="47" t="n">
        <x:f>E93-D93</x:f>
        <x:v>3</x:v>
      </x:c>
      <x:c r="G93" s="47" t="n">
        <x:f>COUNTIFS('Serial Schedule'!$K$7:$K$150,A93,'Serial Schedule'!$H$7:$H$150,C93,'Serial Schedule'!$V$7:$V$150,"&gt;1")</x:f>
        <x:v>0</x:v>
      </x:c>
      <x:c r="H93" s="47" t="str">
        <x:f>IF(AND(D93&lt;=E93,G93=0),"PASS","FAIL")</x:f>
        <x:v>PASS</x:v>
      </x:c>
      <x:c r="I93" s="47"/>
      <x:c r="J93" s="47"/>
      <x:c r="K93" s="47"/>
    </x:row>
    <x:row r="94">
      <x:c r="A94" s="47" t="str">
        <x:v>HU-A-B-N3</x:v>
      </x:c>
      <x:c r="B94" s="47" t="str">
        <x:v>HU-A-B</x:v>
      </x:c>
      <x:c r="C94" s="47" t="n">
        <x:v>4</x:v>
      </x:c>
      <x:c r="D94" s="47" t="n">
        <x:f>COUNTIFS('Serial Schedule'!$K$7:$K$150,A94,'Serial Schedule'!$H$7:$H$150,C94)</x:f>
        <x:v>2</x:v>
      </x:c>
      <x:c r="E94" s="47" t="n">
        <x:v>4</x:v>
      </x:c>
      <x:c r="F94" s="47" t="n">
        <x:f>E94-D94</x:f>
        <x:v>2</x:v>
      </x:c>
      <x:c r="G94" s="47" t="n">
        <x:f>COUNTIFS('Serial Schedule'!$K$7:$K$150,A94,'Serial Schedule'!$H$7:$H$150,C94,'Serial Schedule'!$V$7:$V$150,"&gt;1")</x:f>
        <x:v>0</x:v>
      </x:c>
      <x:c r="H94" s="47" t="str">
        <x:f>IF(AND(D94&lt;=E94,G94=0),"PASS","FAIL")</x:f>
        <x:v>PASS</x:v>
      </x:c>
      <x:c r="I94" s="47"/>
      <x:c r="J94" s="47"/>
      <x:c r="K94" s="47"/>
    </x:row>
    <x:row r="95">
      <x:c r="A95" s="47" t="str">
        <x:v>HU-A-B-N3</x:v>
      </x:c>
      <x:c r="B95" s="47" t="str">
        <x:v>HU-A-B</x:v>
      </x:c>
      <x:c r="C95" s="47" t="n">
        <x:v>5</x:v>
      </x:c>
      <x:c r="D95" s="47" t="n">
        <x:f>COUNTIFS('Serial Schedule'!$K$7:$K$150,A95,'Serial Schedule'!$H$7:$H$150,C95)</x:f>
        <x:v>1</x:v>
      </x:c>
      <x:c r="E95" s="47" t="n">
        <x:v>4</x:v>
      </x:c>
      <x:c r="F95" s="47" t="n">
        <x:f>E95-D95</x:f>
        <x:v>3</x:v>
      </x:c>
      <x:c r="G95" s="47" t="n">
        <x:f>COUNTIFS('Serial Schedule'!$K$7:$K$150,A95,'Serial Schedule'!$H$7:$H$150,C95,'Serial Schedule'!$V$7:$V$150,"&gt;1")</x:f>
        <x:v>0</x:v>
      </x:c>
      <x:c r="H95" s="47" t="str">
        <x:f>IF(AND(D95&lt;=E95,G95=0),"PASS","FAIL")</x:f>
        <x:v>PASS</x:v>
      </x:c>
      <x:c r="I95" s="47"/>
      <x:c r="J95" s="47"/>
      <x:c r="K95" s="47"/>
    </x:row>
    <x:row r="96">
      <x:c r="A96" s="47" t="str">
        <x:v>HU-A-B-N3</x:v>
      </x:c>
      <x:c r="B96" s="47" t="str">
        <x:v>HU-A-B</x:v>
      </x:c>
      <x:c r="C96" s="47" t="n">
        <x:v>6</x:v>
      </x:c>
      <x:c r="D96" s="47" t="n">
        <x:f>COUNTIFS('Serial Schedule'!$K$7:$K$150,A96,'Serial Schedule'!$H$7:$H$150,C96)</x:f>
        <x:v>1</x:v>
      </x:c>
      <x:c r="E96" s="47" t="n">
        <x:v>4</x:v>
      </x:c>
      <x:c r="F96" s="47" t="n">
        <x:f>E96-D96</x:f>
        <x:v>3</x:v>
      </x:c>
      <x:c r="G96" s="47" t="n">
        <x:f>COUNTIFS('Serial Schedule'!$K$7:$K$150,A96,'Serial Schedule'!$H$7:$H$150,C96,'Serial Schedule'!$V$7:$V$150,"&gt;1")</x:f>
        <x:v>0</x:v>
      </x:c>
      <x:c r="H96" s="47" t="str">
        <x:f>IF(AND(D96&lt;=E96,G96=0),"PASS","FAIL")</x:f>
        <x:v>PASS</x:v>
      </x:c>
      <x:c r="I96" s="47"/>
      <x:c r="J96" s="47"/>
      <x:c r="K96" s="47"/>
    </x:row>
    <x:row r="97">
      <x:c r="A97" s="47" t="str">
        <x:v>RT-B-C-N1</x:v>
      </x:c>
      <x:c r="B97" s="47" t="str">
        <x:v>RT-B-C</x:v>
      </x:c>
      <x:c r="C97" s="47" t="n">
        <x:v>1</x:v>
      </x:c>
      <x:c r="D97" s="47" t="n">
        <x:f>COUNTIFS('Serial Schedule'!$K$7:$K$150,A97,'Serial Schedule'!$H$7:$H$150,C97)</x:f>
        <x:v>1</x:v>
      </x:c>
      <x:c r="E97" s="47" t="n">
        <x:v>4</x:v>
      </x:c>
      <x:c r="F97" s="47" t="n">
        <x:f>E97-D97</x:f>
        <x:v>3</x:v>
      </x:c>
      <x:c r="G97" s="47" t="n">
        <x:f>COUNTIFS('Serial Schedule'!$K$7:$K$150,A97,'Serial Schedule'!$H$7:$H$150,C97,'Serial Schedule'!$V$7:$V$150,"&gt;1")</x:f>
        <x:v>0</x:v>
      </x:c>
      <x:c r="H97" s="47" t="str">
        <x:f>IF(AND(D97&lt;=E97,G97=0),"PASS","FAIL")</x:f>
        <x:v>PASS</x:v>
      </x:c>
      <x:c r="I97" s="47"/>
      <x:c r="J97" s="47"/>
      <x:c r="K97" s="47"/>
    </x:row>
    <x:row r="98">
      <x:c r="A98" s="47" t="str">
        <x:v>RT-B-C-N1</x:v>
      </x:c>
      <x:c r="B98" s="47" t="str">
        <x:v>RT-B-C</x:v>
      </x:c>
      <x:c r="C98" s="47" t="n">
        <x:v>2</x:v>
      </x:c>
      <x:c r="D98" s="47" t="n">
        <x:f>COUNTIFS('Serial Schedule'!$K$7:$K$150,A98,'Serial Schedule'!$H$7:$H$150,C98)</x:f>
        <x:v>1</x:v>
      </x:c>
      <x:c r="E98" s="47" t="n">
        <x:v>4</x:v>
      </x:c>
      <x:c r="F98" s="47" t="n">
        <x:f>E98-D98</x:f>
        <x:v>3</x:v>
      </x:c>
      <x:c r="G98" s="47" t="n">
        <x:f>COUNTIFS('Serial Schedule'!$K$7:$K$150,A98,'Serial Schedule'!$H$7:$H$150,C98,'Serial Schedule'!$V$7:$V$150,"&gt;1")</x:f>
        <x:v>0</x:v>
      </x:c>
      <x:c r="H98" s="47" t="str">
        <x:f>IF(AND(D98&lt;=E98,G98=0),"PASS","FAIL")</x:f>
        <x:v>PASS</x:v>
      </x:c>
      <x:c r="I98" s="47"/>
      <x:c r="J98" s="47"/>
      <x:c r="K98" s="47"/>
    </x:row>
    <x:row r="99">
      <x:c r="A99" s="47" t="str">
        <x:v>RT-B-C-N1</x:v>
      </x:c>
      <x:c r="B99" s="47" t="str">
        <x:v>RT-B-C</x:v>
      </x:c>
      <x:c r="C99" s="47" t="n">
        <x:v>3</x:v>
      </x:c>
      <x:c r="D99" s="47" t="n">
        <x:f>COUNTIFS('Serial Schedule'!$K$7:$K$150,A99,'Serial Schedule'!$H$7:$H$150,C99)</x:f>
        <x:v>2</x:v>
      </x:c>
      <x:c r="E99" s="47" t="n">
        <x:v>4</x:v>
      </x:c>
      <x:c r="F99" s="47" t="n">
        <x:f>E99-D99</x:f>
        <x:v>2</x:v>
      </x:c>
      <x:c r="G99" s="47" t="n">
        <x:f>COUNTIFS('Serial Schedule'!$K$7:$K$150,A99,'Serial Schedule'!$H$7:$H$150,C99,'Serial Schedule'!$V$7:$V$150,"&gt;1")</x:f>
        <x:v>0</x:v>
      </x:c>
      <x:c r="H99" s="47" t="str">
        <x:f>IF(AND(D99&lt;=E99,G99=0),"PASS","FAIL")</x:f>
        <x:v>PASS</x:v>
      </x:c>
      <x:c r="I99" s="47"/>
      <x:c r="J99" s="47"/>
      <x:c r="K99" s="47"/>
    </x:row>
    <x:row r="100">
      <x:c r="A100" s="47" t="str">
        <x:v>RT-B-C-N1</x:v>
      </x:c>
      <x:c r="B100" s="47" t="str">
        <x:v>RT-B-C</x:v>
      </x:c>
      <x:c r="C100" s="47" t="n">
        <x:v>4</x:v>
      </x:c>
      <x:c r="D100" s="47" t="n">
        <x:f>COUNTIFS('Serial Schedule'!$K$7:$K$150,A100,'Serial Schedule'!$H$7:$H$150,C100)</x:f>
        <x:v>3</x:v>
      </x:c>
      <x:c r="E100" s="47" t="n">
        <x:v>4</x:v>
      </x:c>
      <x:c r="F100" s="47" t="n">
        <x:f>E100-D100</x:f>
        <x:v>1</x:v>
      </x:c>
      <x:c r="G100" s="47" t="n">
        <x:f>COUNTIFS('Serial Schedule'!$K$7:$K$150,A100,'Serial Schedule'!$H$7:$H$150,C100,'Serial Schedule'!$V$7:$V$150,"&gt;1")</x:f>
        <x:v>0</x:v>
      </x:c>
      <x:c r="H100" s="47" t="str">
        <x:f>IF(AND(D100&lt;=E100,G100=0),"PASS","FAIL")</x:f>
        <x:v>PASS</x:v>
      </x:c>
      <x:c r="I100" s="47"/>
      <x:c r="J100" s="47"/>
      <x:c r="K100" s="47"/>
    </x:row>
    <x:row r="101">
      <x:c r="A101" s="47" t="str">
        <x:v>RT-B-C-N1</x:v>
      </x:c>
      <x:c r="B101" s="47" t="str">
        <x:v>RT-B-C</x:v>
      </x:c>
      <x:c r="C101" s="47" t="n">
        <x:v>5</x:v>
      </x:c>
      <x:c r="D101" s="47" t="n">
        <x:f>COUNTIFS('Serial Schedule'!$K$7:$K$150,A101,'Serial Schedule'!$H$7:$H$150,C101)</x:f>
        <x:v>1</x:v>
      </x:c>
      <x:c r="E101" s="47" t="n">
        <x:v>4</x:v>
      </x:c>
      <x:c r="F101" s="47" t="n">
        <x:f>E101-D101</x:f>
        <x:v>3</x:v>
      </x:c>
      <x:c r="G101" s="47" t="n">
        <x:f>COUNTIFS('Serial Schedule'!$K$7:$K$150,A101,'Serial Schedule'!$H$7:$H$150,C101,'Serial Schedule'!$V$7:$V$150,"&gt;1")</x:f>
        <x:v>0</x:v>
      </x:c>
      <x:c r="H101" s="47" t="str">
        <x:f>IF(AND(D101&lt;=E101,G101=0),"PASS","FAIL")</x:f>
        <x:v>PASS</x:v>
      </x:c>
      <x:c r="I101" s="47"/>
      <x:c r="J101" s="47"/>
      <x:c r="K101" s="47"/>
    </x:row>
    <x:row r="102">
      <x:c r="A102" s="47" t="str">
        <x:v>RT-B-C-N1</x:v>
      </x:c>
      <x:c r="B102" s="47" t="str">
        <x:v>RT-B-C</x:v>
      </x:c>
      <x:c r="C102" s="47" t="n">
        <x:v>6</x:v>
      </x:c>
      <x:c r="D102" s="47" t="n">
        <x:f>COUNTIFS('Serial Schedule'!$K$7:$K$150,A102,'Serial Schedule'!$H$7:$H$150,C102)</x:f>
        <x:v>1</x:v>
      </x:c>
      <x:c r="E102" s="47" t="n">
        <x:v>4</x:v>
      </x:c>
      <x:c r="F102" s="47" t="n">
        <x:f>E102-D102</x:f>
        <x:v>3</x:v>
      </x:c>
      <x:c r="G102" s="47" t="n">
        <x:f>COUNTIFS('Serial Schedule'!$K$7:$K$150,A102,'Serial Schedule'!$H$7:$H$150,C102,'Serial Schedule'!$V$7:$V$150,"&gt;1")</x:f>
        <x:v>0</x:v>
      </x:c>
      <x:c r="H102" s="47" t="str">
        <x:f>IF(AND(D102&lt;=E102,G102=0),"PASS","FAIL")</x:f>
        <x:v>PASS</x:v>
      </x:c>
      <x:c r="I102" s="47"/>
      <x:c r="J102" s="47"/>
      <x:c r="K102" s="47"/>
    </x:row>
    <x:row r="103">
      <x:c r="A103" s="47" t="str">
        <x:v>RT-B-C-N2</x:v>
      </x:c>
      <x:c r="B103" s="47" t="str">
        <x:v>RT-B-C</x:v>
      </x:c>
      <x:c r="C103" s="47" t="n">
        <x:v>1</x:v>
      </x:c>
      <x:c r="D103" s="47" t="n">
        <x:f>COUNTIFS('Serial Schedule'!$K$7:$K$150,A103,'Serial Schedule'!$H$7:$H$150,C103)</x:f>
        <x:v>2</x:v>
      </x:c>
      <x:c r="E103" s="47" t="n">
        <x:v>4</x:v>
      </x:c>
      <x:c r="F103" s="47" t="n">
        <x:f>E103-D103</x:f>
        <x:v>2</x:v>
      </x:c>
      <x:c r="G103" s="47" t="n">
        <x:f>COUNTIFS('Serial Schedule'!$K$7:$K$150,A103,'Serial Schedule'!$H$7:$H$150,C103,'Serial Schedule'!$V$7:$V$150,"&gt;1")</x:f>
        <x:v>0</x:v>
      </x:c>
      <x:c r="H103" s="47" t="str">
        <x:f>IF(AND(D103&lt;=E103,G103=0),"PASS","FAIL")</x:f>
        <x:v>PASS</x:v>
      </x:c>
      <x:c r="I103" s="47"/>
      <x:c r="J103" s="47"/>
      <x:c r="K103" s="47"/>
    </x:row>
    <x:row r="104">
      <x:c r="A104" s="47" t="str">
        <x:v>RT-B-C-N2</x:v>
      </x:c>
      <x:c r="B104" s="47" t="str">
        <x:v>RT-B-C</x:v>
      </x:c>
      <x:c r="C104" s="47" t="n">
        <x:v>2</x:v>
      </x:c>
      <x:c r="D104" s="47" t="n">
        <x:f>COUNTIFS('Serial Schedule'!$K$7:$K$150,A104,'Serial Schedule'!$H$7:$H$150,C104)</x:f>
        <x:v>2</x:v>
      </x:c>
      <x:c r="E104" s="47" t="n">
        <x:v>4</x:v>
      </x:c>
      <x:c r="F104" s="47" t="n">
        <x:f>E104-D104</x:f>
        <x:v>2</x:v>
      </x:c>
      <x:c r="G104" s="47" t="n">
        <x:f>COUNTIFS('Serial Schedule'!$K$7:$K$150,A104,'Serial Schedule'!$H$7:$H$150,C104,'Serial Schedule'!$V$7:$V$150,"&gt;1")</x:f>
        <x:v>0</x:v>
      </x:c>
      <x:c r="H104" s="47" t="str">
        <x:f>IF(AND(D104&lt;=E104,G104=0),"PASS","FAIL")</x:f>
        <x:v>PASS</x:v>
      </x:c>
      <x:c r="I104" s="47"/>
      <x:c r="J104" s="47"/>
      <x:c r="K104" s="47"/>
    </x:row>
    <x:row r="105">
      <x:c r="A105" s="47" t="str">
        <x:v>RT-B-C-N2</x:v>
      </x:c>
      <x:c r="B105" s="47" t="str">
        <x:v>RT-B-C</x:v>
      </x:c>
      <x:c r="C105" s="47" t="n">
        <x:v>3</x:v>
      </x:c>
      <x:c r="D105" s="47" t="n">
        <x:f>COUNTIFS('Serial Schedule'!$K$7:$K$150,A105,'Serial Schedule'!$H$7:$H$150,C105)</x:f>
        <x:v>2</x:v>
      </x:c>
      <x:c r="E105" s="47" t="n">
        <x:v>4</x:v>
      </x:c>
      <x:c r="F105" s="47" t="n">
        <x:f>E105-D105</x:f>
        <x:v>2</x:v>
      </x:c>
      <x:c r="G105" s="47" t="n">
        <x:f>COUNTIFS('Serial Schedule'!$K$7:$K$150,A105,'Serial Schedule'!$H$7:$H$150,C105,'Serial Schedule'!$V$7:$V$150,"&gt;1")</x:f>
        <x:v>0</x:v>
      </x:c>
      <x:c r="H105" s="47" t="str">
        <x:f>IF(AND(D105&lt;=E105,G105=0),"PASS","FAIL")</x:f>
        <x:v>PASS</x:v>
      </x:c>
      <x:c r="I105" s="47"/>
      <x:c r="J105" s="47"/>
      <x:c r="K105" s="47"/>
    </x:row>
    <x:row r="106">
      <x:c r="A106" s="47" t="str">
        <x:v>RT-B-C-N2</x:v>
      </x:c>
      <x:c r="B106" s="47" t="str">
        <x:v>RT-B-C</x:v>
      </x:c>
      <x:c r="C106" s="47" t="n">
        <x:v>4</x:v>
      </x:c>
      <x:c r="D106" s="47" t="n">
        <x:f>COUNTIFS('Serial Schedule'!$K$7:$K$150,A106,'Serial Schedule'!$H$7:$H$150,C106)</x:f>
        <x:v>0</x:v>
      </x:c>
      <x:c r="E106" s="47" t="n">
        <x:v>4</x:v>
      </x:c>
      <x:c r="F106" s="47" t="n">
        <x:f>E106-D106</x:f>
        <x:v>4</x:v>
      </x:c>
      <x:c r="G106" s="47" t="n">
        <x:f>COUNTIFS('Serial Schedule'!$K$7:$K$150,A106,'Serial Schedule'!$H$7:$H$150,C106,'Serial Schedule'!$V$7:$V$150,"&gt;1")</x:f>
        <x:v>0</x:v>
      </x:c>
      <x:c r="H106" s="47" t="str">
        <x:f>IF(AND(D106&lt;=E106,G106=0),"PASS","FAIL")</x:f>
        <x:v>PASS</x:v>
      </x:c>
      <x:c r="I106" s="47"/>
      <x:c r="J106" s="47"/>
      <x:c r="K106" s="47"/>
    </x:row>
    <x:row r="107">
      <x:c r="A107" s="47" t="str">
        <x:v>RT-B-C-N2</x:v>
      </x:c>
      <x:c r="B107" s="47" t="str">
        <x:v>RT-B-C</x:v>
      </x:c>
      <x:c r="C107" s="47" t="n">
        <x:v>5</x:v>
      </x:c>
      <x:c r="D107" s="47" t="n">
        <x:f>COUNTIFS('Serial Schedule'!$K$7:$K$150,A107,'Serial Schedule'!$H$7:$H$150,C107)</x:f>
        <x:v>1</x:v>
      </x:c>
      <x:c r="E107" s="47" t="n">
        <x:v>4</x:v>
      </x:c>
      <x:c r="F107" s="47" t="n">
        <x:f>E107-D107</x:f>
        <x:v>3</x:v>
      </x:c>
      <x:c r="G107" s="47" t="n">
        <x:f>COUNTIFS('Serial Schedule'!$K$7:$K$150,A107,'Serial Schedule'!$H$7:$H$150,C107,'Serial Schedule'!$V$7:$V$150,"&gt;1")</x:f>
        <x:v>0</x:v>
      </x:c>
      <x:c r="H107" s="47" t="str">
        <x:f>IF(AND(D107&lt;=E107,G107=0),"PASS","FAIL")</x:f>
        <x:v>PASS</x:v>
      </x:c>
      <x:c r="I107" s="47"/>
      <x:c r="J107" s="47"/>
      <x:c r="K107" s="47"/>
    </x:row>
    <x:row r="108">
      <x:c r="A108" s="47" t="str">
        <x:v>RT-B-C-N2</x:v>
      </x:c>
      <x:c r="B108" s="47" t="str">
        <x:v>RT-B-C</x:v>
      </x:c>
      <x:c r="C108" s="47" t="n">
        <x:v>6</x:v>
      </x:c>
      <x:c r="D108" s="47" t="n">
        <x:f>COUNTIFS('Serial Schedule'!$K$7:$K$150,A108,'Serial Schedule'!$H$7:$H$150,C108)</x:f>
        <x:v>2</x:v>
      </x:c>
      <x:c r="E108" s="47" t="n">
        <x:v>4</x:v>
      </x:c>
      <x:c r="F108" s="47" t="n">
        <x:f>E108-D108</x:f>
        <x:v>2</x:v>
      </x:c>
      <x:c r="G108" s="47" t="n">
        <x:f>COUNTIFS('Serial Schedule'!$K$7:$K$150,A108,'Serial Schedule'!$H$7:$H$150,C108,'Serial Schedule'!$V$7:$V$150,"&gt;1")</x:f>
        <x:v>0</x:v>
      </x:c>
      <x:c r="H108" s="47" t="str">
        <x:f>IF(AND(D108&lt;=E108,G108=0),"PASS","FAIL")</x:f>
        <x:v>PASS</x:v>
      </x:c>
      <x:c r="I108" s="47"/>
      <x:c r="J108" s="47"/>
      <x:c r="K108" s="47"/>
    </x:row>
    <x:row r="109">
      <x:c r="A109" s="47" t="str">
        <x:v>RT-B-C-N3</x:v>
      </x:c>
      <x:c r="B109" s="47" t="str">
        <x:v>RT-B-C</x:v>
      </x:c>
      <x:c r="C109" s="47" t="n">
        <x:v>1</x:v>
      </x:c>
      <x:c r="D109" s="47" t="n">
        <x:f>COUNTIFS('Serial Schedule'!$K$7:$K$150,A109,'Serial Schedule'!$H$7:$H$150,C109)</x:f>
        <x:v>1</x:v>
      </x:c>
      <x:c r="E109" s="47" t="n">
        <x:v>4</x:v>
      </x:c>
      <x:c r="F109" s="47" t="n">
        <x:f>E109-D109</x:f>
        <x:v>3</x:v>
      </x:c>
      <x:c r="G109" s="47" t="n">
        <x:f>COUNTIFS('Serial Schedule'!$K$7:$K$150,A109,'Serial Schedule'!$H$7:$H$150,C109,'Serial Schedule'!$V$7:$V$150,"&gt;1")</x:f>
        <x:v>0</x:v>
      </x:c>
      <x:c r="H109" s="47" t="str">
        <x:f>IF(AND(D109&lt;=E109,G109=0),"PASS","FAIL")</x:f>
        <x:v>PASS</x:v>
      </x:c>
      <x:c r="I109" s="47"/>
      <x:c r="J109" s="47"/>
      <x:c r="K109" s="47"/>
    </x:row>
    <x:row r="110">
      <x:c r="A110" s="47" t="str">
        <x:v>RT-B-C-N3</x:v>
      </x:c>
      <x:c r="B110" s="47" t="str">
        <x:v>RT-B-C</x:v>
      </x:c>
      <x:c r="C110" s="47" t="n">
        <x:v>2</x:v>
      </x:c>
      <x:c r="D110" s="47" t="n">
        <x:f>COUNTIFS('Serial Schedule'!$K$7:$K$150,A110,'Serial Schedule'!$H$7:$H$150,C110)</x:f>
        <x:v>1</x:v>
      </x:c>
      <x:c r="E110" s="47" t="n">
        <x:v>4</x:v>
      </x:c>
      <x:c r="F110" s="47" t="n">
        <x:f>E110-D110</x:f>
        <x:v>3</x:v>
      </x:c>
      <x:c r="G110" s="47" t="n">
        <x:f>COUNTIFS('Serial Schedule'!$K$7:$K$150,A110,'Serial Schedule'!$H$7:$H$150,C110,'Serial Schedule'!$V$7:$V$150,"&gt;1")</x:f>
        <x:v>0</x:v>
      </x:c>
      <x:c r="H110" s="47" t="str">
        <x:f>IF(AND(D110&lt;=E110,G110=0),"PASS","FAIL")</x:f>
        <x:v>PASS</x:v>
      </x:c>
      <x:c r="I110" s="47"/>
      <x:c r="J110" s="47"/>
      <x:c r="K110" s="47"/>
    </x:row>
    <x:row r="111">
      <x:c r="A111" s="47" t="str">
        <x:v>RT-B-C-N3</x:v>
      </x:c>
      <x:c r="B111" s="47" t="str">
        <x:v>RT-B-C</x:v>
      </x:c>
      <x:c r="C111" s="47" t="n">
        <x:v>3</x:v>
      </x:c>
      <x:c r="D111" s="47" t="n">
        <x:f>COUNTIFS('Serial Schedule'!$K$7:$K$150,A111,'Serial Schedule'!$H$7:$H$150,C111)</x:f>
        <x:v>0</x:v>
      </x:c>
      <x:c r="E111" s="47" t="n">
        <x:v>4</x:v>
      </x:c>
      <x:c r="F111" s="47" t="n">
        <x:f>E111-D111</x:f>
        <x:v>4</x:v>
      </x:c>
      <x:c r="G111" s="47" t="n">
        <x:f>COUNTIFS('Serial Schedule'!$K$7:$K$150,A111,'Serial Schedule'!$H$7:$H$150,C111,'Serial Schedule'!$V$7:$V$150,"&gt;1")</x:f>
        <x:v>0</x:v>
      </x:c>
      <x:c r="H111" s="47" t="str">
        <x:f>IF(AND(D111&lt;=E111,G111=0),"PASS","FAIL")</x:f>
        <x:v>PASS</x:v>
      </x:c>
      <x:c r="I111" s="47"/>
      <x:c r="J111" s="47"/>
      <x:c r="K111" s="47"/>
    </x:row>
    <x:row r="112">
      <x:c r="A112" s="47" t="str">
        <x:v>RT-B-C-N3</x:v>
      </x:c>
      <x:c r="B112" s="47" t="str">
        <x:v>RT-B-C</x:v>
      </x:c>
      <x:c r="C112" s="47" t="n">
        <x:v>4</x:v>
      </x:c>
      <x:c r="D112" s="47" t="n">
        <x:f>COUNTIFS('Serial Schedule'!$K$7:$K$150,A112,'Serial Schedule'!$H$7:$H$150,C112)</x:f>
        <x:v>1</x:v>
      </x:c>
      <x:c r="E112" s="47" t="n">
        <x:v>4</x:v>
      </x:c>
      <x:c r="F112" s="47" t="n">
        <x:f>E112-D112</x:f>
        <x:v>3</x:v>
      </x:c>
      <x:c r="G112" s="47" t="n">
        <x:f>COUNTIFS('Serial Schedule'!$K$7:$K$150,A112,'Serial Schedule'!$H$7:$H$150,C112,'Serial Schedule'!$V$7:$V$150,"&gt;1")</x:f>
        <x:v>0</x:v>
      </x:c>
      <x:c r="H112" s="47" t="str">
        <x:f>IF(AND(D112&lt;=E112,G112=0),"PASS","FAIL")</x:f>
        <x:v>PASS</x:v>
      </x:c>
      <x:c r="I112" s="47"/>
      <x:c r="J112" s="47"/>
      <x:c r="K112" s="47"/>
    </x:row>
    <x:row r="113">
      <x:c r="A113" s="47" t="str">
        <x:v>RT-B-C-N3</x:v>
      </x:c>
      <x:c r="B113" s="47" t="str">
        <x:v>RT-B-C</x:v>
      </x:c>
      <x:c r="C113" s="47" t="n">
        <x:v>5</x:v>
      </x:c>
      <x:c r="D113" s="47" t="n">
        <x:f>COUNTIFS('Serial Schedule'!$K$7:$K$150,A113,'Serial Schedule'!$H$7:$H$150,C113)</x:f>
        <x:v>2</x:v>
      </x:c>
      <x:c r="E113" s="47" t="n">
        <x:v>4</x:v>
      </x:c>
      <x:c r="F113" s="47" t="n">
        <x:f>E113-D113</x:f>
        <x:v>2</x:v>
      </x:c>
      <x:c r="G113" s="47" t="n">
        <x:f>COUNTIFS('Serial Schedule'!$K$7:$K$150,A113,'Serial Schedule'!$H$7:$H$150,C113,'Serial Schedule'!$V$7:$V$150,"&gt;1")</x:f>
        <x:v>0</x:v>
      </x:c>
      <x:c r="H113" s="47" t="str">
        <x:f>IF(AND(D113&lt;=E113,G113=0),"PASS","FAIL")</x:f>
        <x:v>PASS</x:v>
      </x:c>
      <x:c r="I113" s="47"/>
      <x:c r="J113" s="47"/>
      <x:c r="K113" s="47"/>
    </x:row>
    <x:row r="114">
      <x:c r="A114" s="47" t="str">
        <x:v>RT-B-C-N3</x:v>
      </x:c>
      <x:c r="B114" s="47" t="str">
        <x:v>RT-B-C</x:v>
      </x:c>
      <x:c r="C114" s="47" t="n">
        <x:v>6</x:v>
      </x:c>
      <x:c r="D114" s="47" t="n">
        <x:f>COUNTIFS('Serial Schedule'!$K$7:$K$150,A114,'Serial Schedule'!$H$7:$H$150,C114)</x:f>
        <x:v>1</x:v>
      </x:c>
      <x:c r="E114" s="47" t="n">
        <x:v>4</x:v>
      </x:c>
      <x:c r="F114" s="47" t="n">
        <x:f>E114-D114</x:f>
        <x:v>3</x:v>
      </x:c>
      <x:c r="G114" s="47" t="n">
        <x:f>COUNTIFS('Serial Schedule'!$K$7:$K$150,A114,'Serial Schedule'!$H$7:$H$150,C114,'Serial Schedule'!$V$7:$V$150,"&gt;1")</x:f>
        <x:v>0</x:v>
      </x:c>
      <x:c r="H114" s="47" t="str">
        <x:f>IF(AND(D114&lt;=E114,G114=0),"PASS","FAIL")</x:f>
        <x:v>PASS</x:v>
      </x:c>
      <x:c r="I114" s="47"/>
      <x:c r="J114" s="47"/>
      <x:c r="K114" s="47"/>
    </x:row>
    <x:row r="115">
      <x:c r="A115" s="47"/>
      <x:c r="B115" s="47"/>
      <x:c r="C115" s="47"/>
      <x:c r="D115" s="47"/>
      <x:c r="E115" s="47"/>
      <x:c r="F115" s="47"/>
      <x:c r="G115" s="47"/>
      <x:c r="H115" s="47"/>
      <x:c r="I115" s="47"/>
      <x:c r="J115" s="47"/>
      <x:c r="K115" s="47"/>
    </x:row>
    <x:row r="116">
      <x:c r="A116" s="47"/>
      <x:c r="B116" s="47"/>
      <x:c r="C116" s="47"/>
      <x:c r="D116" s="47"/>
      <x:c r="E116" s="47"/>
      <x:c r="F116" s="47"/>
      <x:c r="G116" s="47"/>
      <x:c r="H116" s="47"/>
      <x:c r="I116" s="47"/>
      <x:c r="J116" s="47"/>
      <x:c r="K116" s="47"/>
    </x:row>
    <x:row r="117">
      <x:c r="A117" s="48" t="str">
        <x:v>One hundred eight site-loss by epoch cases</x:v>
      </x:c>
      <x:c r="B117" s="47"/>
      <x:c r="C117" s="47"/>
      <x:c r="D117" s="47"/>
      <x:c r="E117" s="47"/>
      <x:c r="F117" s="47"/>
      <x:c r="G117" s="47"/>
      <x:c r="H117" s="47"/>
      <x:c r="I117" s="47"/>
      <x:c r="J117" s="47"/>
      <x:c r="K117" s="47"/>
    </x:row>
    <x:row r="118">
      <x:c r="A118" s="47"/>
      <x:c r="B118" s="47"/>
      <x:c r="C118" s="47"/>
      <x:c r="D118" s="47"/>
      <x:c r="E118" s="47"/>
      <x:c r="F118" s="47"/>
      <x:c r="G118" s="47"/>
      <x:c r="H118" s="47"/>
      <x:c r="I118" s="47"/>
      <x:c r="J118" s="47"/>
      <x:c r="K118" s="47"/>
    </x:row>
    <x:row r="119" ht="34" customHeight="1">
      <x:c r="A119" s="15" t="str">
        <x:v>Scenario</x:v>
      </x:c>
      <x:c r="B119" s="15" t="str">
        <x:v>Form</x:v>
      </x:c>
      <x:c r="C119" s="15" t="str">
        <x:v>Epoch</x:v>
      </x:c>
      <x:c r="D119" s="15" t="str">
        <x:v>Lost site</x:v>
      </x:c>
      <x:c r="E119" s="15" t="str">
        <x:v>Events migrated</x:v>
      </x:c>
      <x:c r="F119" s="15" t="str">
        <x:v>Pair violations</x:v>
      </x:c>
      <x:c r="G119" s="15" t="str">
        <x:v>N1 post-load</x:v>
      </x:c>
      <x:c r="H119" s="15" t="str">
        <x:v>N2 post-load</x:v>
      </x:c>
      <x:c r="I119" s="15" t="str">
        <x:v>N3 post-load</x:v>
      </x:c>
      <x:c r="J119" s="15" t="str">
        <x:v>Maximum destination load</x:v>
      </x:c>
      <x:c r="K119" s="15" t="str">
        <x:v>Status</x:v>
      </x:c>
    </x:row>
    <x:row r="120">
      <x:c r="A120" s="47" t="str">
        <x:v>LOSS-ET-A-A-N1-E1</x:v>
      </x:c>
      <x:c r="B120" s="47" t="str">
        <x:v>ET-A-A</x:v>
      </x:c>
      <x:c r="C120" s="47" t="n">
        <x:v>1</x:v>
      </x:c>
      <x:c r="D120" s="47" t="str">
        <x:v>ET-A-A-N1</x:v>
      </x:c>
      <x:c r="E120" s="47" t="n">
        <x:f>COUNTIFS('Serial Schedule'!$K$7:$K$150,D120,'Serial Schedule'!$H$7:$H$150,C120)</x:f>
        <x:v>1</x:v>
      </x:c>
      <x:c r="F120" s="47" t="n">
        <x:f>SUMIFS('Serial Schedule'!$W$7:$W$150,'Serial Schedule'!$K$7:$K$150,D120,'Serial Schedule'!$H$7:$H$150,C120)</x:f>
        <x:v>0</x:v>
      </x:c>
      <x:c r="G120" s="47" t="n">
        <x:f>IF(B120&amp;"-N1"=D120,0,COUNTIFS('Serial Schedule'!$K$7:$K$150,B120&amp;"-N1",'Serial Schedule'!$H$7:$H$150,C120)+COUNTIFS('Serial Schedule'!$K$7:$K$150,D120,'Serial Schedule'!$H$7:$H$150,C120,'Serial Schedule'!$M$7:$M$150,B120&amp;"-N1"))</x:f>
        <x:v>0</x:v>
      </x:c>
      <x:c r="H120" s="47" t="n">
        <x:f>IF(B120&amp;"-N2"=D120,0,COUNTIFS('Serial Schedule'!$K$7:$K$150,B120&amp;"-N2",'Serial Schedule'!$H$7:$H$150,C120)+COUNTIFS('Serial Schedule'!$K$7:$K$150,D120,'Serial Schedule'!$H$7:$H$150,C120,'Serial Schedule'!$M$7:$M$150,B120&amp;"-N2"))</x:f>
        <x:v>2</x:v>
      </x:c>
      <x:c r="I120" s="47" t="n">
        <x:f>IF(B120&amp;"-N3"=D120,0,COUNTIFS('Serial Schedule'!$K$7:$K$150,B120&amp;"-N3",'Serial Schedule'!$H$7:$H$150,C120)+COUNTIFS('Serial Schedule'!$K$7:$K$150,D120,'Serial Schedule'!$H$7:$H$150,C120,'Serial Schedule'!$M$7:$M$150,B120&amp;"-N3"))</x:f>
        <x:v>2</x:v>
      </x:c>
      <x:c r="J120" s="47" t="n">
        <x:f>MAX(G120:I120)</x:f>
        <x:v>2</x:v>
      </x:c>
      <x:c r="K120" s="47" t="str">
        <x:f>IF(AND(F120=0,J120&lt;=4),"PASS","FAIL")</x:f>
        <x:v>PASS</x:v>
      </x:c>
    </x:row>
    <x:row r="121">
      <x:c r="A121" s="47" t="str">
        <x:v>LOSS-ET-A-A-N1-E2</x:v>
      </x:c>
      <x:c r="B121" s="47" t="str">
        <x:v>ET-A-A</x:v>
      </x:c>
      <x:c r="C121" s="47" t="n">
        <x:v>2</x:v>
      </x:c>
      <x:c r="D121" s="47" t="str">
        <x:v>ET-A-A-N1</x:v>
      </x:c>
      <x:c r="E121" s="47" t="n">
        <x:f>COUNTIFS('Serial Schedule'!$K$7:$K$150,D121,'Serial Schedule'!$H$7:$H$150,C121)</x:f>
        <x:v>1</x:v>
      </x:c>
      <x:c r="F121" s="47" t="n">
        <x:f>SUMIFS('Serial Schedule'!$W$7:$W$150,'Serial Schedule'!$K$7:$K$150,D121,'Serial Schedule'!$H$7:$H$150,C121)</x:f>
        <x:v>0</x:v>
      </x:c>
      <x:c r="G121" s="47" t="n">
        <x:f>IF(B121&amp;"-N1"=D121,0,COUNTIFS('Serial Schedule'!$K$7:$K$150,B121&amp;"-N1",'Serial Schedule'!$H$7:$H$150,C121)+COUNTIFS('Serial Schedule'!$K$7:$K$150,D121,'Serial Schedule'!$H$7:$H$150,C121,'Serial Schedule'!$M$7:$M$150,B121&amp;"-N1"))</x:f>
        <x:v>0</x:v>
      </x:c>
      <x:c r="H121" s="47" t="n">
        <x:f>IF(B121&amp;"-N2"=D121,0,COUNTIFS('Serial Schedule'!$K$7:$K$150,B121&amp;"-N2",'Serial Schedule'!$H$7:$H$150,C121)+COUNTIFS('Serial Schedule'!$K$7:$K$150,D121,'Serial Schedule'!$H$7:$H$150,C121,'Serial Schedule'!$M$7:$M$150,B121&amp;"-N2"))</x:f>
        <x:v>3</x:v>
      </x:c>
      <x:c r="I121" s="47" t="n">
        <x:f>IF(B121&amp;"-N3"=D121,0,COUNTIFS('Serial Schedule'!$K$7:$K$150,B121&amp;"-N3",'Serial Schedule'!$H$7:$H$150,C121)+COUNTIFS('Serial Schedule'!$K$7:$K$150,D121,'Serial Schedule'!$H$7:$H$150,C121,'Serial Schedule'!$M$7:$M$150,B121&amp;"-N3"))</x:f>
        <x:v>1</x:v>
      </x:c>
      <x:c r="J121" s="47" t="n">
        <x:f>MAX(G121:I121)</x:f>
        <x:v>3</x:v>
      </x:c>
      <x:c r="K121" s="47" t="str">
        <x:f>IF(AND(F121=0,J121&lt;=4),"PASS","FAIL")</x:f>
        <x:v>PASS</x:v>
      </x:c>
    </x:row>
    <x:row r="122">
      <x:c r="A122" s="47" t="str">
        <x:v>LOSS-ET-A-A-N1-E3</x:v>
      </x:c>
      <x:c r="B122" s="47" t="str">
        <x:v>ET-A-A</x:v>
      </x:c>
      <x:c r="C122" s="47" t="n">
        <x:v>3</x:v>
      </x:c>
      <x:c r="D122" s="47" t="str">
        <x:v>ET-A-A-N1</x:v>
      </x:c>
      <x:c r="E122" s="47" t="n">
        <x:f>COUNTIFS('Serial Schedule'!$K$7:$K$150,D122,'Serial Schedule'!$H$7:$H$150,C122)</x:f>
        <x:v>1</x:v>
      </x:c>
      <x:c r="F122" s="47" t="n">
        <x:f>SUMIFS('Serial Schedule'!$W$7:$W$150,'Serial Schedule'!$K$7:$K$150,D122,'Serial Schedule'!$H$7:$H$150,C122)</x:f>
        <x:v>0</x:v>
      </x:c>
      <x:c r="G122" s="47" t="n">
        <x:f>IF(B122&amp;"-N1"=D122,0,COUNTIFS('Serial Schedule'!$K$7:$K$150,B122&amp;"-N1",'Serial Schedule'!$H$7:$H$150,C122)+COUNTIFS('Serial Schedule'!$K$7:$K$150,D122,'Serial Schedule'!$H$7:$H$150,C122,'Serial Schedule'!$M$7:$M$150,B122&amp;"-N1"))</x:f>
        <x:v>0</x:v>
      </x:c>
      <x:c r="H122" s="47" t="n">
        <x:f>IF(B122&amp;"-N2"=D122,0,COUNTIFS('Serial Schedule'!$K$7:$K$150,B122&amp;"-N2",'Serial Schedule'!$H$7:$H$150,C122)+COUNTIFS('Serial Schedule'!$K$7:$K$150,D122,'Serial Schedule'!$H$7:$H$150,C122,'Serial Schedule'!$M$7:$M$150,B122&amp;"-N2"))</x:f>
        <x:v>2</x:v>
      </x:c>
      <x:c r="I122" s="47" t="n">
        <x:f>IF(B122&amp;"-N3"=D122,0,COUNTIFS('Serial Schedule'!$K$7:$K$150,B122&amp;"-N3",'Serial Schedule'!$H$7:$H$150,C122)+COUNTIFS('Serial Schedule'!$K$7:$K$150,D122,'Serial Schedule'!$H$7:$H$150,C122,'Serial Schedule'!$M$7:$M$150,B122&amp;"-N3"))</x:f>
        <x:v>2</x:v>
      </x:c>
      <x:c r="J122" s="47" t="n">
        <x:f>MAX(G122:I122)</x:f>
        <x:v>2</x:v>
      </x:c>
      <x:c r="K122" s="47" t="str">
        <x:f>IF(AND(F122=0,J122&lt;=4),"PASS","FAIL")</x:f>
        <x:v>PASS</x:v>
      </x:c>
    </x:row>
    <x:row r="123">
      <x:c r="A123" s="47" t="str">
        <x:v>LOSS-ET-A-A-N1-E4</x:v>
      </x:c>
      <x:c r="B123" s="47" t="str">
        <x:v>ET-A-A</x:v>
      </x:c>
      <x:c r="C123" s="47" t="n">
        <x:v>4</x:v>
      </x:c>
      <x:c r="D123" s="47" t="str">
        <x:v>ET-A-A-N1</x:v>
      </x:c>
      <x:c r="E123" s="47" t="n">
        <x:f>COUNTIFS('Serial Schedule'!$K$7:$K$150,D123,'Serial Schedule'!$H$7:$H$150,C123)</x:f>
        <x:v>2</x:v>
      </x:c>
      <x:c r="F123" s="47" t="n">
        <x:f>SUMIFS('Serial Schedule'!$W$7:$W$150,'Serial Schedule'!$K$7:$K$150,D123,'Serial Schedule'!$H$7:$H$150,C123)</x:f>
        <x:v>0</x:v>
      </x:c>
      <x:c r="G123" s="47" t="n">
        <x:f>IF(B123&amp;"-N1"=D123,0,COUNTIFS('Serial Schedule'!$K$7:$K$150,B123&amp;"-N1",'Serial Schedule'!$H$7:$H$150,C123)+COUNTIFS('Serial Schedule'!$K$7:$K$150,D123,'Serial Schedule'!$H$7:$H$150,C123,'Serial Schedule'!$M$7:$M$150,B123&amp;"-N1"))</x:f>
        <x:v>0</x:v>
      </x:c>
      <x:c r="H123" s="47" t="n">
        <x:f>IF(B123&amp;"-N2"=D123,0,COUNTIFS('Serial Schedule'!$K$7:$K$150,B123&amp;"-N2",'Serial Schedule'!$H$7:$H$150,C123)+COUNTIFS('Serial Schedule'!$K$7:$K$150,D123,'Serial Schedule'!$H$7:$H$150,C123,'Serial Schedule'!$M$7:$M$150,B123&amp;"-N2"))</x:f>
        <x:v>3</x:v>
      </x:c>
      <x:c r="I123" s="47" t="n">
        <x:f>IF(B123&amp;"-N3"=D123,0,COUNTIFS('Serial Schedule'!$K$7:$K$150,B123&amp;"-N3",'Serial Schedule'!$H$7:$H$150,C123)+COUNTIFS('Serial Schedule'!$K$7:$K$150,D123,'Serial Schedule'!$H$7:$H$150,C123,'Serial Schedule'!$M$7:$M$150,B123&amp;"-N3"))</x:f>
        <x:v>1</x:v>
      </x:c>
      <x:c r="J123" s="47" t="n">
        <x:f>MAX(G123:I123)</x:f>
        <x:v>3</x:v>
      </x:c>
      <x:c r="K123" s="47" t="str">
        <x:f>IF(AND(F123=0,J123&lt;=4),"PASS","FAIL")</x:f>
        <x:v>PASS</x:v>
      </x:c>
    </x:row>
    <x:row r="124">
      <x:c r="A124" s="47" t="str">
        <x:v>LOSS-ET-A-A-N1-E5</x:v>
      </x:c>
      <x:c r="B124" s="47" t="str">
        <x:v>ET-A-A</x:v>
      </x:c>
      <x:c r="C124" s="47" t="n">
        <x:v>5</x:v>
      </x:c>
      <x:c r="D124" s="47" t="str">
        <x:v>ET-A-A-N1</x:v>
      </x:c>
      <x:c r="E124" s="47" t="n">
        <x:f>COUNTIFS('Serial Schedule'!$K$7:$K$150,D124,'Serial Schedule'!$H$7:$H$150,C124)</x:f>
        <x:v>3</x:v>
      </x:c>
      <x:c r="F124" s="47" t="n">
        <x:f>SUMIFS('Serial Schedule'!$W$7:$W$150,'Serial Schedule'!$K$7:$K$150,D124,'Serial Schedule'!$H$7:$H$150,C124)</x:f>
        <x:v>0</x:v>
      </x:c>
      <x:c r="G124" s="47" t="n">
        <x:f>IF(B124&amp;"-N1"=D124,0,COUNTIFS('Serial Schedule'!$K$7:$K$150,B124&amp;"-N1",'Serial Schedule'!$H$7:$H$150,C124)+COUNTIFS('Serial Schedule'!$K$7:$K$150,D124,'Serial Schedule'!$H$7:$H$150,C124,'Serial Schedule'!$M$7:$M$150,B124&amp;"-N1"))</x:f>
        <x:v>0</x:v>
      </x:c>
      <x:c r="H124" s="47" t="n">
        <x:f>IF(B124&amp;"-N2"=D124,0,COUNTIFS('Serial Schedule'!$K$7:$K$150,B124&amp;"-N2",'Serial Schedule'!$H$7:$H$150,C124)+COUNTIFS('Serial Schedule'!$K$7:$K$150,D124,'Serial Schedule'!$H$7:$H$150,C124,'Serial Schedule'!$M$7:$M$150,B124&amp;"-N2"))</x:f>
        <x:v>1</x:v>
      </x:c>
      <x:c r="I124" s="47" t="n">
        <x:f>IF(B124&amp;"-N3"=D124,0,COUNTIFS('Serial Schedule'!$K$7:$K$150,B124&amp;"-N3",'Serial Schedule'!$H$7:$H$150,C124)+COUNTIFS('Serial Schedule'!$K$7:$K$150,D124,'Serial Schedule'!$H$7:$H$150,C124,'Serial Schedule'!$M$7:$M$150,B124&amp;"-N3"))</x:f>
        <x:v>3</x:v>
      </x:c>
      <x:c r="J124" s="47" t="n">
        <x:f>MAX(G124:I124)</x:f>
        <x:v>3</x:v>
      </x:c>
      <x:c r="K124" s="47" t="str">
        <x:f>IF(AND(F124=0,J124&lt;=4),"PASS","FAIL")</x:f>
        <x:v>PASS</x:v>
      </x:c>
    </x:row>
    <x:row r="125">
      <x:c r="A125" s="47" t="str">
        <x:v>LOSS-ET-A-A-N1-E6</x:v>
      </x:c>
      <x:c r="B125" s="47" t="str">
        <x:v>ET-A-A</x:v>
      </x:c>
      <x:c r="C125" s="47" t="n">
        <x:v>6</x:v>
      </x:c>
      <x:c r="D125" s="47" t="str">
        <x:v>ET-A-A-N1</x:v>
      </x:c>
      <x:c r="E125" s="47" t="n">
        <x:f>COUNTIFS('Serial Schedule'!$K$7:$K$150,D125,'Serial Schedule'!$H$7:$H$150,C125)</x:f>
        <x:v>1</x:v>
      </x:c>
      <x:c r="F125" s="47" t="n">
        <x:f>SUMIFS('Serial Schedule'!$W$7:$W$150,'Serial Schedule'!$K$7:$K$150,D125,'Serial Schedule'!$H$7:$H$150,C125)</x:f>
        <x:v>0</x:v>
      </x:c>
      <x:c r="G125" s="47" t="n">
        <x:f>IF(B125&amp;"-N1"=D125,0,COUNTIFS('Serial Schedule'!$K$7:$K$150,B125&amp;"-N1",'Serial Schedule'!$H$7:$H$150,C125)+COUNTIFS('Serial Schedule'!$K$7:$K$150,D125,'Serial Schedule'!$H$7:$H$150,C125,'Serial Schedule'!$M$7:$M$150,B125&amp;"-N1"))</x:f>
        <x:v>0</x:v>
      </x:c>
      <x:c r="H125" s="47" t="n">
        <x:f>IF(B125&amp;"-N2"=D125,0,COUNTIFS('Serial Schedule'!$K$7:$K$150,B125&amp;"-N2",'Serial Schedule'!$H$7:$H$150,C125)+COUNTIFS('Serial Schedule'!$K$7:$K$150,D125,'Serial Schedule'!$H$7:$H$150,C125,'Serial Schedule'!$M$7:$M$150,B125&amp;"-N2"))</x:f>
        <x:v>1</x:v>
      </x:c>
      <x:c r="I125" s="47" t="n">
        <x:f>IF(B125&amp;"-N3"=D125,0,COUNTIFS('Serial Schedule'!$K$7:$K$150,B125&amp;"-N3",'Serial Schedule'!$H$7:$H$150,C125)+COUNTIFS('Serial Schedule'!$K$7:$K$150,D125,'Serial Schedule'!$H$7:$H$150,C125,'Serial Schedule'!$M$7:$M$150,B125&amp;"-N3"))</x:f>
        <x:v>3</x:v>
      </x:c>
      <x:c r="J125" s="47" t="n">
        <x:f>MAX(G125:I125)</x:f>
        <x:v>3</x:v>
      </x:c>
      <x:c r="K125" s="47" t="str">
        <x:f>IF(AND(F125=0,J125&lt;=4),"PASS","FAIL")</x:f>
        <x:v>PASS</x:v>
      </x:c>
    </x:row>
    <x:row r="126">
      <x:c r="A126" s="47" t="str">
        <x:v>LOSS-ET-A-A-N2-E1</x:v>
      </x:c>
      <x:c r="B126" s="47" t="str">
        <x:v>ET-A-A</x:v>
      </x:c>
      <x:c r="C126" s="47" t="n">
        <x:v>1</x:v>
      </x:c>
      <x:c r="D126" s="47" t="str">
        <x:v>ET-A-A-N2</x:v>
      </x:c>
      <x:c r="E126" s="47" t="n">
        <x:f>COUNTIFS('Serial Schedule'!$K$7:$K$150,D126,'Serial Schedule'!$H$7:$H$150,C126)</x:f>
        <x:v>2</x:v>
      </x:c>
      <x:c r="F126" s="47" t="n">
        <x:f>SUMIFS('Serial Schedule'!$W$7:$W$150,'Serial Schedule'!$K$7:$K$150,D126,'Serial Schedule'!$H$7:$H$150,C126)</x:f>
        <x:v>0</x:v>
      </x:c>
      <x:c r="G126" s="47" t="n">
        <x:f>IF(B126&amp;"-N1"=D126,0,COUNTIFS('Serial Schedule'!$K$7:$K$150,B126&amp;"-N1",'Serial Schedule'!$H$7:$H$150,C126)+COUNTIFS('Serial Schedule'!$K$7:$K$150,D126,'Serial Schedule'!$H$7:$H$150,C126,'Serial Schedule'!$M$7:$M$150,B126&amp;"-N1"))</x:f>
        <x:v>2</x:v>
      </x:c>
      <x:c r="H126" s="47" t="n">
        <x:f>IF(B126&amp;"-N2"=D126,0,COUNTIFS('Serial Schedule'!$K$7:$K$150,B126&amp;"-N2",'Serial Schedule'!$H$7:$H$150,C126)+COUNTIFS('Serial Schedule'!$K$7:$K$150,D126,'Serial Schedule'!$H$7:$H$150,C126,'Serial Schedule'!$M$7:$M$150,B126&amp;"-N2"))</x:f>
        <x:v>0</x:v>
      </x:c>
      <x:c r="I126" s="47" t="n">
        <x:f>IF(B126&amp;"-N3"=D126,0,COUNTIFS('Serial Schedule'!$K$7:$K$150,B126&amp;"-N3",'Serial Schedule'!$H$7:$H$150,C126)+COUNTIFS('Serial Schedule'!$K$7:$K$150,D126,'Serial Schedule'!$H$7:$H$150,C126,'Serial Schedule'!$M$7:$M$150,B126&amp;"-N3"))</x:f>
        <x:v>2</x:v>
      </x:c>
      <x:c r="J126" s="47" t="n">
        <x:f>MAX(G126:I126)</x:f>
        <x:v>2</x:v>
      </x:c>
      <x:c r="K126" s="47" t="str">
        <x:f>IF(AND(F126=0,J126&lt;=4),"PASS","FAIL")</x:f>
        <x:v>PASS</x:v>
      </x:c>
    </x:row>
    <x:row r="127">
      <x:c r="A127" s="47" t="str">
        <x:v>LOSS-ET-A-A-N2-E2</x:v>
      </x:c>
      <x:c r="B127" s="47" t="str">
        <x:v>ET-A-A</x:v>
      </x:c>
      <x:c r="C127" s="47" t="n">
        <x:v>2</x:v>
      </x:c>
      <x:c r="D127" s="47" t="str">
        <x:v>ET-A-A-N2</x:v>
      </x:c>
      <x:c r="E127" s="47" t="n">
        <x:f>COUNTIFS('Serial Schedule'!$K$7:$K$150,D127,'Serial Schedule'!$H$7:$H$150,C127)</x:f>
        <x:v>2</x:v>
      </x:c>
      <x:c r="F127" s="47" t="n">
        <x:f>SUMIFS('Serial Schedule'!$W$7:$W$150,'Serial Schedule'!$K$7:$K$150,D127,'Serial Schedule'!$H$7:$H$150,C127)</x:f>
        <x:v>0</x:v>
      </x:c>
      <x:c r="G127" s="47" t="n">
        <x:f>IF(B127&amp;"-N1"=D127,0,COUNTIFS('Serial Schedule'!$K$7:$K$150,B127&amp;"-N1",'Serial Schedule'!$H$7:$H$150,C127)+COUNTIFS('Serial Schedule'!$K$7:$K$150,D127,'Serial Schedule'!$H$7:$H$150,C127,'Serial Schedule'!$M$7:$M$150,B127&amp;"-N1"))</x:f>
        <x:v>1</x:v>
      </x:c>
      <x:c r="H127" s="47" t="n">
        <x:f>IF(B127&amp;"-N2"=D127,0,COUNTIFS('Serial Schedule'!$K$7:$K$150,B127&amp;"-N2",'Serial Schedule'!$H$7:$H$150,C127)+COUNTIFS('Serial Schedule'!$K$7:$K$150,D127,'Serial Schedule'!$H$7:$H$150,C127,'Serial Schedule'!$M$7:$M$150,B127&amp;"-N2"))</x:f>
        <x:v>0</x:v>
      </x:c>
      <x:c r="I127" s="47" t="n">
        <x:f>IF(B127&amp;"-N3"=D127,0,COUNTIFS('Serial Schedule'!$K$7:$K$150,B127&amp;"-N3",'Serial Schedule'!$H$7:$H$150,C127)+COUNTIFS('Serial Schedule'!$K$7:$K$150,D127,'Serial Schedule'!$H$7:$H$150,C127,'Serial Schedule'!$M$7:$M$150,B127&amp;"-N3"))</x:f>
        <x:v>3</x:v>
      </x:c>
      <x:c r="J127" s="47" t="n">
        <x:f>MAX(G127:I127)</x:f>
        <x:v>3</x:v>
      </x:c>
      <x:c r="K127" s="47" t="str">
        <x:f>IF(AND(F127=0,J127&lt;=4),"PASS","FAIL")</x:f>
        <x:v>PASS</x:v>
      </x:c>
    </x:row>
    <x:row r="128">
      <x:c r="A128" s="47" t="str">
        <x:v>LOSS-ET-A-A-N2-E3</x:v>
      </x:c>
      <x:c r="B128" s="47" t="str">
        <x:v>ET-A-A</x:v>
      </x:c>
      <x:c r="C128" s="47" t="n">
        <x:v>3</x:v>
      </x:c>
      <x:c r="D128" s="47" t="str">
        <x:v>ET-A-A-N2</x:v>
      </x:c>
      <x:c r="E128" s="47" t="n">
        <x:f>COUNTIFS('Serial Schedule'!$K$7:$K$150,D128,'Serial Schedule'!$H$7:$H$150,C128)</x:f>
        <x:v>2</x:v>
      </x:c>
      <x:c r="F128" s="47" t="n">
        <x:f>SUMIFS('Serial Schedule'!$W$7:$W$150,'Serial Schedule'!$K$7:$K$150,D128,'Serial Schedule'!$H$7:$H$150,C128)</x:f>
        <x:v>0</x:v>
      </x:c>
      <x:c r="G128" s="47" t="n">
        <x:f>IF(B128&amp;"-N1"=D128,0,COUNTIFS('Serial Schedule'!$K$7:$K$150,B128&amp;"-N1",'Serial Schedule'!$H$7:$H$150,C128)+COUNTIFS('Serial Schedule'!$K$7:$K$150,D128,'Serial Schedule'!$H$7:$H$150,C128,'Serial Schedule'!$M$7:$M$150,B128&amp;"-N1"))</x:f>
        <x:v>2</x:v>
      </x:c>
      <x:c r="H128" s="47" t="n">
        <x:f>IF(B128&amp;"-N2"=D128,0,COUNTIFS('Serial Schedule'!$K$7:$K$150,B128&amp;"-N2",'Serial Schedule'!$H$7:$H$150,C128)+COUNTIFS('Serial Schedule'!$K$7:$K$150,D128,'Serial Schedule'!$H$7:$H$150,C128,'Serial Schedule'!$M$7:$M$150,B128&amp;"-N2"))</x:f>
        <x:v>0</x:v>
      </x:c>
      <x:c r="I128" s="47" t="n">
        <x:f>IF(B128&amp;"-N3"=D128,0,COUNTIFS('Serial Schedule'!$K$7:$K$150,B128&amp;"-N3",'Serial Schedule'!$H$7:$H$150,C128)+COUNTIFS('Serial Schedule'!$K$7:$K$150,D128,'Serial Schedule'!$H$7:$H$150,C128,'Serial Schedule'!$M$7:$M$150,B128&amp;"-N3"))</x:f>
        <x:v>2</x:v>
      </x:c>
      <x:c r="J128" s="47" t="n">
        <x:f>MAX(G128:I128)</x:f>
        <x:v>2</x:v>
      </x:c>
      <x:c r="K128" s="47" t="str">
        <x:f>IF(AND(F128=0,J128&lt;=4),"PASS","FAIL")</x:f>
        <x:v>PASS</x:v>
      </x:c>
    </x:row>
    <x:row r="129">
      <x:c r="A129" s="47" t="str">
        <x:v>LOSS-ET-A-A-N2-E4</x:v>
      </x:c>
      <x:c r="B129" s="47" t="str">
        <x:v>ET-A-A</x:v>
      </x:c>
      <x:c r="C129" s="47" t="n">
        <x:v>4</x:v>
      </x:c>
      <x:c r="D129" s="47" t="str">
        <x:v>ET-A-A-N2</x:v>
      </x:c>
      <x:c r="E129" s="47" t="n">
        <x:f>COUNTIFS('Serial Schedule'!$K$7:$K$150,D129,'Serial Schedule'!$H$7:$H$150,C129)</x:f>
        <x:v>2</x:v>
      </x:c>
      <x:c r="F129" s="47" t="n">
        <x:f>SUMIFS('Serial Schedule'!$W$7:$W$150,'Serial Schedule'!$K$7:$K$150,D129,'Serial Schedule'!$H$7:$H$150,C129)</x:f>
        <x:v>0</x:v>
      </x:c>
      <x:c r="G129" s="47" t="n">
        <x:f>IF(B129&amp;"-N1"=D129,0,COUNTIFS('Serial Schedule'!$K$7:$K$150,B129&amp;"-N1",'Serial Schedule'!$H$7:$H$150,C129)+COUNTIFS('Serial Schedule'!$K$7:$K$150,D129,'Serial Schedule'!$H$7:$H$150,C129,'Serial Schedule'!$M$7:$M$150,B129&amp;"-N1"))</x:f>
        <x:v>3</x:v>
      </x:c>
      <x:c r="H129" s="47" t="n">
        <x:f>IF(B129&amp;"-N2"=D129,0,COUNTIFS('Serial Schedule'!$K$7:$K$150,B129&amp;"-N2",'Serial Schedule'!$H$7:$H$150,C129)+COUNTIFS('Serial Schedule'!$K$7:$K$150,D129,'Serial Schedule'!$H$7:$H$150,C129,'Serial Schedule'!$M$7:$M$150,B129&amp;"-N2"))</x:f>
        <x:v>0</x:v>
      </x:c>
      <x:c r="I129" s="47" t="n">
        <x:f>IF(B129&amp;"-N3"=D129,0,COUNTIFS('Serial Schedule'!$K$7:$K$150,B129&amp;"-N3",'Serial Schedule'!$H$7:$H$150,C129)+COUNTIFS('Serial Schedule'!$K$7:$K$150,D129,'Serial Schedule'!$H$7:$H$150,C129,'Serial Schedule'!$M$7:$M$150,B129&amp;"-N3"))</x:f>
        <x:v>1</x:v>
      </x:c>
      <x:c r="J129" s="47" t="n">
        <x:f>MAX(G129:I129)</x:f>
        <x:v>3</x:v>
      </x:c>
      <x:c r="K129" s="47" t="str">
        <x:f>IF(AND(F129=0,J129&lt;=4),"PASS","FAIL")</x:f>
        <x:v>PASS</x:v>
      </x:c>
    </x:row>
    <x:row r="130">
      <x:c r="A130" s="47" t="str">
        <x:v>LOSS-ET-A-A-N2-E5</x:v>
      </x:c>
      <x:c r="B130" s="47" t="str">
        <x:v>ET-A-A</x:v>
      </x:c>
      <x:c r="C130" s="47" t="n">
        <x:v>5</x:v>
      </x:c>
      <x:c r="D130" s="47" t="str">
        <x:v>ET-A-A-N2</x:v>
      </x:c>
      <x:c r="E130" s="47" t="n">
        <x:f>COUNTIFS('Serial Schedule'!$K$7:$K$150,D130,'Serial Schedule'!$H$7:$H$150,C130)</x:f>
        <x:v>0</x:v>
      </x:c>
      <x:c r="F130" s="47" t="n">
        <x:f>SUMIFS('Serial Schedule'!$W$7:$W$150,'Serial Schedule'!$K$7:$K$150,D130,'Serial Schedule'!$H$7:$H$150,C130)</x:f>
        <x:v>0</x:v>
      </x:c>
      <x:c r="G130" s="47" t="n">
        <x:f>IF(B130&amp;"-N1"=D130,0,COUNTIFS('Serial Schedule'!$K$7:$K$150,B130&amp;"-N1",'Serial Schedule'!$H$7:$H$150,C130)+COUNTIFS('Serial Schedule'!$K$7:$K$150,D130,'Serial Schedule'!$H$7:$H$150,C130,'Serial Schedule'!$M$7:$M$150,B130&amp;"-N1"))</x:f>
        <x:v>3</x:v>
      </x:c>
      <x:c r="H130" s="47" t="n">
        <x:f>IF(B130&amp;"-N2"=D130,0,COUNTIFS('Serial Schedule'!$K$7:$K$150,B130&amp;"-N2",'Serial Schedule'!$H$7:$H$150,C130)+COUNTIFS('Serial Schedule'!$K$7:$K$150,D130,'Serial Schedule'!$H$7:$H$150,C130,'Serial Schedule'!$M$7:$M$150,B130&amp;"-N2"))</x:f>
        <x:v>0</x:v>
      </x:c>
      <x:c r="I130" s="47" t="n">
        <x:f>IF(B130&amp;"-N3"=D130,0,COUNTIFS('Serial Schedule'!$K$7:$K$150,B130&amp;"-N3",'Serial Schedule'!$H$7:$H$150,C130)+COUNTIFS('Serial Schedule'!$K$7:$K$150,D130,'Serial Schedule'!$H$7:$H$150,C130,'Serial Schedule'!$M$7:$M$150,B130&amp;"-N3"))</x:f>
        <x:v>1</x:v>
      </x:c>
      <x:c r="J130" s="47" t="n">
        <x:f>MAX(G130:I130)</x:f>
        <x:v>3</x:v>
      </x:c>
      <x:c r="K130" s="47" t="str">
        <x:f>IF(AND(F130=0,J130&lt;=4),"PASS","FAIL")</x:f>
        <x:v>PASS</x:v>
      </x:c>
    </x:row>
    <x:row r="131">
      <x:c r="A131" s="47" t="str">
        <x:v>LOSS-ET-A-A-N2-E6</x:v>
      </x:c>
      <x:c r="B131" s="47" t="str">
        <x:v>ET-A-A</x:v>
      </x:c>
      <x:c r="C131" s="47" t="n">
        <x:v>6</x:v>
      </x:c>
      <x:c r="D131" s="47" t="str">
        <x:v>ET-A-A-N2</x:v>
      </x:c>
      <x:c r="E131" s="47" t="n">
        <x:f>COUNTIFS('Serial Schedule'!$K$7:$K$150,D131,'Serial Schedule'!$H$7:$H$150,C131)</x:f>
        <x:v>1</x:v>
      </x:c>
      <x:c r="F131" s="47" t="n">
        <x:f>SUMIFS('Serial Schedule'!$W$7:$W$150,'Serial Schedule'!$K$7:$K$150,D131,'Serial Schedule'!$H$7:$H$150,C131)</x:f>
        <x:v>0</x:v>
      </x:c>
      <x:c r="G131" s="47" t="n">
        <x:f>IF(B131&amp;"-N1"=D131,0,COUNTIFS('Serial Schedule'!$K$7:$K$150,B131&amp;"-N1",'Serial Schedule'!$H$7:$H$150,C131)+COUNTIFS('Serial Schedule'!$K$7:$K$150,D131,'Serial Schedule'!$H$7:$H$150,C131,'Serial Schedule'!$M$7:$M$150,B131&amp;"-N1"))</x:f>
        <x:v>1</x:v>
      </x:c>
      <x:c r="H131" s="47" t="n">
        <x:f>IF(B131&amp;"-N2"=D131,0,COUNTIFS('Serial Schedule'!$K$7:$K$150,B131&amp;"-N2",'Serial Schedule'!$H$7:$H$150,C131)+COUNTIFS('Serial Schedule'!$K$7:$K$150,D131,'Serial Schedule'!$H$7:$H$150,C131,'Serial Schedule'!$M$7:$M$150,B131&amp;"-N2"))</x:f>
        <x:v>0</x:v>
      </x:c>
      <x:c r="I131" s="47" t="n">
        <x:f>IF(B131&amp;"-N3"=D131,0,COUNTIFS('Serial Schedule'!$K$7:$K$150,B131&amp;"-N3",'Serial Schedule'!$H$7:$H$150,C131)+COUNTIFS('Serial Schedule'!$K$7:$K$150,D131,'Serial Schedule'!$H$7:$H$150,C131,'Serial Schedule'!$M$7:$M$150,B131&amp;"-N3"))</x:f>
        <x:v>3</x:v>
      </x:c>
      <x:c r="J131" s="47" t="n">
        <x:f>MAX(G131:I131)</x:f>
        <x:v>3</x:v>
      </x:c>
      <x:c r="K131" s="47" t="str">
        <x:f>IF(AND(F131=0,J131&lt;=4),"PASS","FAIL")</x:f>
        <x:v>PASS</x:v>
      </x:c>
    </x:row>
    <x:row r="132">
      <x:c r="A132" s="47" t="str">
        <x:v>LOSS-ET-A-A-N3-E1</x:v>
      </x:c>
      <x:c r="B132" s="47" t="str">
        <x:v>ET-A-A</x:v>
      </x:c>
      <x:c r="C132" s="47" t="n">
        <x:v>1</x:v>
      </x:c>
      <x:c r="D132" s="47" t="str">
        <x:v>ET-A-A-N3</x:v>
      </x:c>
      <x:c r="E132" s="47" t="n">
        <x:f>COUNTIFS('Serial Schedule'!$K$7:$K$150,D132,'Serial Schedule'!$H$7:$H$150,C132)</x:f>
        <x:v>1</x:v>
      </x:c>
      <x:c r="F132" s="47" t="n">
        <x:f>SUMIFS('Serial Schedule'!$W$7:$W$150,'Serial Schedule'!$K$7:$K$150,D132,'Serial Schedule'!$H$7:$H$150,C132)</x:f>
        <x:v>0</x:v>
      </x:c>
      <x:c r="G132" s="47" t="n">
        <x:f>IF(B132&amp;"-N1"=D132,0,COUNTIFS('Serial Schedule'!$K$7:$K$150,B132&amp;"-N1",'Serial Schedule'!$H$7:$H$150,C132)+COUNTIFS('Serial Schedule'!$K$7:$K$150,D132,'Serial Schedule'!$H$7:$H$150,C132,'Serial Schedule'!$M$7:$M$150,B132&amp;"-N1"))</x:f>
        <x:v>1</x:v>
      </x:c>
      <x:c r="H132" s="47" t="n">
        <x:f>IF(B132&amp;"-N2"=D132,0,COUNTIFS('Serial Schedule'!$K$7:$K$150,B132&amp;"-N2",'Serial Schedule'!$H$7:$H$150,C132)+COUNTIFS('Serial Schedule'!$K$7:$K$150,D132,'Serial Schedule'!$H$7:$H$150,C132,'Serial Schedule'!$M$7:$M$150,B132&amp;"-N2"))</x:f>
        <x:v>3</x:v>
      </x:c>
      <x:c r="I132" s="47" t="n">
        <x:f>IF(B132&amp;"-N3"=D132,0,COUNTIFS('Serial Schedule'!$K$7:$K$150,B132&amp;"-N3",'Serial Schedule'!$H$7:$H$150,C132)+COUNTIFS('Serial Schedule'!$K$7:$K$150,D132,'Serial Schedule'!$H$7:$H$150,C132,'Serial Schedule'!$M$7:$M$150,B132&amp;"-N3"))</x:f>
        <x:v>0</x:v>
      </x:c>
      <x:c r="J132" s="47" t="n">
        <x:f>MAX(G132:I132)</x:f>
        <x:v>3</x:v>
      </x:c>
      <x:c r="K132" s="47" t="str">
        <x:f>IF(AND(F132=0,J132&lt;=4),"PASS","FAIL")</x:f>
        <x:v>PASS</x:v>
      </x:c>
    </x:row>
    <x:row r="133">
      <x:c r="A133" s="47" t="str">
        <x:v>LOSS-ET-A-A-N3-E2</x:v>
      </x:c>
      <x:c r="B133" s="47" t="str">
        <x:v>ET-A-A</x:v>
      </x:c>
      <x:c r="C133" s="47" t="n">
        <x:v>2</x:v>
      </x:c>
      <x:c r="D133" s="47" t="str">
        <x:v>ET-A-A-N3</x:v>
      </x:c>
      <x:c r="E133" s="47" t="n">
        <x:f>COUNTIFS('Serial Schedule'!$K$7:$K$150,D133,'Serial Schedule'!$H$7:$H$150,C133)</x:f>
        <x:v>1</x:v>
      </x:c>
      <x:c r="F133" s="47" t="n">
        <x:f>SUMIFS('Serial Schedule'!$W$7:$W$150,'Serial Schedule'!$K$7:$K$150,D133,'Serial Schedule'!$H$7:$H$150,C133)</x:f>
        <x:v>0</x:v>
      </x:c>
      <x:c r="G133" s="47" t="n">
        <x:f>IF(B133&amp;"-N1"=D133,0,COUNTIFS('Serial Schedule'!$K$7:$K$150,B133&amp;"-N1",'Serial Schedule'!$H$7:$H$150,C133)+COUNTIFS('Serial Schedule'!$K$7:$K$150,D133,'Serial Schedule'!$H$7:$H$150,C133,'Serial Schedule'!$M$7:$M$150,B133&amp;"-N1"))</x:f>
        <x:v>2</x:v>
      </x:c>
      <x:c r="H133" s="47" t="n">
        <x:f>IF(B133&amp;"-N2"=D133,0,COUNTIFS('Serial Schedule'!$K$7:$K$150,B133&amp;"-N2",'Serial Schedule'!$H$7:$H$150,C133)+COUNTIFS('Serial Schedule'!$K$7:$K$150,D133,'Serial Schedule'!$H$7:$H$150,C133,'Serial Schedule'!$M$7:$M$150,B133&amp;"-N2"))</x:f>
        <x:v>2</x:v>
      </x:c>
      <x:c r="I133" s="47" t="n">
        <x:f>IF(B133&amp;"-N3"=D133,0,COUNTIFS('Serial Schedule'!$K$7:$K$150,B133&amp;"-N3",'Serial Schedule'!$H$7:$H$150,C133)+COUNTIFS('Serial Schedule'!$K$7:$K$150,D133,'Serial Schedule'!$H$7:$H$150,C133,'Serial Schedule'!$M$7:$M$150,B133&amp;"-N3"))</x:f>
        <x:v>0</x:v>
      </x:c>
      <x:c r="J133" s="47" t="n">
        <x:f>MAX(G133:I133)</x:f>
        <x:v>2</x:v>
      </x:c>
      <x:c r="K133" s="47" t="str">
        <x:f>IF(AND(F133=0,J133&lt;=4),"PASS","FAIL")</x:f>
        <x:v>PASS</x:v>
      </x:c>
    </x:row>
    <x:row r="134">
      <x:c r="A134" s="47" t="str">
        <x:v>LOSS-ET-A-A-N3-E3</x:v>
      </x:c>
      <x:c r="B134" s="47" t="str">
        <x:v>ET-A-A</x:v>
      </x:c>
      <x:c r="C134" s="47" t="n">
        <x:v>3</x:v>
      </x:c>
      <x:c r="D134" s="47" t="str">
        <x:v>ET-A-A-N3</x:v>
      </x:c>
      <x:c r="E134" s="47" t="n">
        <x:f>COUNTIFS('Serial Schedule'!$K$7:$K$150,D134,'Serial Schedule'!$H$7:$H$150,C134)</x:f>
        <x:v>1</x:v>
      </x:c>
      <x:c r="F134" s="47" t="n">
        <x:f>SUMIFS('Serial Schedule'!$W$7:$W$150,'Serial Schedule'!$K$7:$K$150,D134,'Serial Schedule'!$H$7:$H$150,C134)</x:f>
        <x:v>0</x:v>
      </x:c>
      <x:c r="G134" s="47" t="n">
        <x:f>IF(B134&amp;"-N1"=D134,0,COUNTIFS('Serial Schedule'!$K$7:$K$150,B134&amp;"-N1",'Serial Schedule'!$H$7:$H$150,C134)+COUNTIFS('Serial Schedule'!$K$7:$K$150,D134,'Serial Schedule'!$H$7:$H$150,C134,'Serial Schedule'!$M$7:$M$150,B134&amp;"-N1"))</x:f>
        <x:v>1</x:v>
      </x:c>
      <x:c r="H134" s="47" t="n">
        <x:f>IF(B134&amp;"-N2"=D134,0,COUNTIFS('Serial Schedule'!$K$7:$K$150,B134&amp;"-N2",'Serial Schedule'!$H$7:$H$150,C134)+COUNTIFS('Serial Schedule'!$K$7:$K$150,D134,'Serial Schedule'!$H$7:$H$150,C134,'Serial Schedule'!$M$7:$M$150,B134&amp;"-N2"))</x:f>
        <x:v>3</x:v>
      </x:c>
      <x:c r="I134" s="47" t="n">
        <x:f>IF(B134&amp;"-N3"=D134,0,COUNTIFS('Serial Schedule'!$K$7:$K$150,B134&amp;"-N3",'Serial Schedule'!$H$7:$H$150,C134)+COUNTIFS('Serial Schedule'!$K$7:$K$150,D134,'Serial Schedule'!$H$7:$H$150,C134,'Serial Schedule'!$M$7:$M$150,B134&amp;"-N3"))</x:f>
        <x:v>0</x:v>
      </x:c>
      <x:c r="J134" s="47" t="n">
        <x:f>MAX(G134:I134)</x:f>
        <x:v>3</x:v>
      </x:c>
      <x:c r="K134" s="47" t="str">
        <x:f>IF(AND(F134=0,J134&lt;=4),"PASS","FAIL")</x:f>
        <x:v>PASS</x:v>
      </x:c>
    </x:row>
    <x:row r="135">
      <x:c r="A135" s="47" t="str">
        <x:v>LOSS-ET-A-A-N3-E4</x:v>
      </x:c>
      <x:c r="B135" s="47" t="str">
        <x:v>ET-A-A</x:v>
      </x:c>
      <x:c r="C135" s="47" t="n">
        <x:v>4</x:v>
      </x:c>
      <x:c r="D135" s="47" t="str">
        <x:v>ET-A-A-N3</x:v>
      </x:c>
      <x:c r="E135" s="47" t="n">
        <x:f>COUNTIFS('Serial Schedule'!$K$7:$K$150,D135,'Serial Schedule'!$H$7:$H$150,C135)</x:f>
        <x:v>0</x:v>
      </x:c>
      <x:c r="F135" s="47" t="n">
        <x:f>SUMIFS('Serial Schedule'!$W$7:$W$150,'Serial Schedule'!$K$7:$K$150,D135,'Serial Schedule'!$H$7:$H$150,C135)</x:f>
        <x:v>0</x:v>
      </x:c>
      <x:c r="G135" s="47" t="n">
        <x:f>IF(B135&amp;"-N1"=D135,0,COUNTIFS('Serial Schedule'!$K$7:$K$150,B135&amp;"-N1",'Serial Schedule'!$H$7:$H$150,C135)+COUNTIFS('Serial Schedule'!$K$7:$K$150,D135,'Serial Schedule'!$H$7:$H$150,C135,'Serial Schedule'!$M$7:$M$150,B135&amp;"-N1"))</x:f>
        <x:v>2</x:v>
      </x:c>
      <x:c r="H135" s="47" t="n">
        <x:f>IF(B135&amp;"-N2"=D135,0,COUNTIFS('Serial Schedule'!$K$7:$K$150,B135&amp;"-N2",'Serial Schedule'!$H$7:$H$150,C135)+COUNTIFS('Serial Schedule'!$K$7:$K$150,D135,'Serial Schedule'!$H$7:$H$150,C135,'Serial Schedule'!$M$7:$M$150,B135&amp;"-N2"))</x:f>
        <x:v>2</x:v>
      </x:c>
      <x:c r="I135" s="47" t="n">
        <x:f>IF(B135&amp;"-N3"=D135,0,COUNTIFS('Serial Schedule'!$K$7:$K$150,B135&amp;"-N3",'Serial Schedule'!$H$7:$H$150,C135)+COUNTIFS('Serial Schedule'!$K$7:$K$150,D135,'Serial Schedule'!$H$7:$H$150,C135,'Serial Schedule'!$M$7:$M$150,B135&amp;"-N3"))</x:f>
        <x:v>0</x:v>
      </x:c>
      <x:c r="J135" s="47" t="n">
        <x:f>MAX(G135:I135)</x:f>
        <x:v>2</x:v>
      </x:c>
      <x:c r="K135" s="47" t="str">
        <x:f>IF(AND(F135=0,J135&lt;=4),"PASS","FAIL")</x:f>
        <x:v>PASS</x:v>
      </x:c>
    </x:row>
    <x:row r="136">
      <x:c r="A136" s="47" t="str">
        <x:v>LOSS-ET-A-A-N3-E5</x:v>
      </x:c>
      <x:c r="B136" s="47" t="str">
        <x:v>ET-A-A</x:v>
      </x:c>
      <x:c r="C136" s="47" t="n">
        <x:v>5</x:v>
      </x:c>
      <x:c r="D136" s="47" t="str">
        <x:v>ET-A-A-N3</x:v>
      </x:c>
      <x:c r="E136" s="47" t="n">
        <x:f>COUNTIFS('Serial Schedule'!$K$7:$K$150,D136,'Serial Schedule'!$H$7:$H$150,C136)</x:f>
        <x:v>1</x:v>
      </x:c>
      <x:c r="F136" s="47" t="n">
        <x:f>SUMIFS('Serial Schedule'!$W$7:$W$150,'Serial Schedule'!$K$7:$K$150,D136,'Serial Schedule'!$H$7:$H$150,C136)</x:f>
        <x:v>0</x:v>
      </x:c>
      <x:c r="G136" s="47" t="n">
        <x:f>IF(B136&amp;"-N1"=D136,0,COUNTIFS('Serial Schedule'!$K$7:$K$150,B136&amp;"-N1",'Serial Schedule'!$H$7:$H$150,C136)+COUNTIFS('Serial Schedule'!$K$7:$K$150,D136,'Serial Schedule'!$H$7:$H$150,C136,'Serial Schedule'!$M$7:$M$150,B136&amp;"-N1"))</x:f>
        <x:v>4</x:v>
      </x:c>
      <x:c r="H136" s="47" t="n">
        <x:f>IF(B136&amp;"-N2"=D136,0,COUNTIFS('Serial Schedule'!$K$7:$K$150,B136&amp;"-N2",'Serial Schedule'!$H$7:$H$150,C136)+COUNTIFS('Serial Schedule'!$K$7:$K$150,D136,'Serial Schedule'!$H$7:$H$150,C136,'Serial Schedule'!$M$7:$M$150,B136&amp;"-N2"))</x:f>
        <x:v>0</x:v>
      </x:c>
      <x:c r="I136" s="47" t="n">
        <x:f>IF(B136&amp;"-N3"=D136,0,COUNTIFS('Serial Schedule'!$K$7:$K$150,B136&amp;"-N3",'Serial Schedule'!$H$7:$H$150,C136)+COUNTIFS('Serial Schedule'!$K$7:$K$150,D136,'Serial Schedule'!$H$7:$H$150,C136,'Serial Schedule'!$M$7:$M$150,B136&amp;"-N3"))</x:f>
        <x:v>0</x:v>
      </x:c>
      <x:c r="J136" s="47" t="n">
        <x:f>MAX(G136:I136)</x:f>
        <x:v>4</x:v>
      </x:c>
      <x:c r="K136" s="47" t="str">
        <x:f>IF(AND(F136=0,J136&lt;=4),"PASS","FAIL")</x:f>
        <x:v>PASS</x:v>
      </x:c>
    </x:row>
    <x:row r="137">
      <x:c r="A137" s="47" t="str">
        <x:v>LOSS-ET-A-A-N3-E6</x:v>
      </x:c>
      <x:c r="B137" s="47" t="str">
        <x:v>ET-A-A</x:v>
      </x:c>
      <x:c r="C137" s="47" t="n">
        <x:v>6</x:v>
      </x:c>
      <x:c r="D137" s="47" t="str">
        <x:v>ET-A-A-N3</x:v>
      </x:c>
      <x:c r="E137" s="47" t="n">
        <x:f>COUNTIFS('Serial Schedule'!$K$7:$K$150,D137,'Serial Schedule'!$H$7:$H$150,C137)</x:f>
        <x:v>2</x:v>
      </x:c>
      <x:c r="F137" s="47" t="n">
        <x:f>SUMIFS('Serial Schedule'!$W$7:$W$150,'Serial Schedule'!$K$7:$K$150,D137,'Serial Schedule'!$H$7:$H$150,C137)</x:f>
        <x:v>0</x:v>
      </x:c>
      <x:c r="G137" s="47" t="n">
        <x:f>IF(B137&amp;"-N1"=D137,0,COUNTIFS('Serial Schedule'!$K$7:$K$150,B137&amp;"-N1",'Serial Schedule'!$H$7:$H$150,C137)+COUNTIFS('Serial Schedule'!$K$7:$K$150,D137,'Serial Schedule'!$H$7:$H$150,C137,'Serial Schedule'!$M$7:$M$150,B137&amp;"-N1"))</x:f>
        <x:v>2</x:v>
      </x:c>
      <x:c r="H137" s="47" t="n">
        <x:f>IF(B137&amp;"-N2"=D137,0,COUNTIFS('Serial Schedule'!$K$7:$K$150,B137&amp;"-N2",'Serial Schedule'!$H$7:$H$150,C137)+COUNTIFS('Serial Schedule'!$K$7:$K$150,D137,'Serial Schedule'!$H$7:$H$150,C137,'Serial Schedule'!$M$7:$M$150,B137&amp;"-N2"))</x:f>
        <x:v>2</x:v>
      </x:c>
      <x:c r="I137" s="47" t="n">
        <x:f>IF(B137&amp;"-N3"=D137,0,COUNTIFS('Serial Schedule'!$K$7:$K$150,B137&amp;"-N3",'Serial Schedule'!$H$7:$H$150,C137)+COUNTIFS('Serial Schedule'!$K$7:$K$150,D137,'Serial Schedule'!$H$7:$H$150,C137,'Serial Schedule'!$M$7:$M$150,B137&amp;"-N3"))</x:f>
        <x:v>0</x:v>
      </x:c>
      <x:c r="J137" s="47" t="n">
        <x:f>MAX(G137:I137)</x:f>
        <x:v>2</x:v>
      </x:c>
      <x:c r="K137" s="47" t="str">
        <x:f>IF(AND(F137=0,J137&lt;=4),"PASS","FAIL")</x:f>
        <x:v>PASS</x:v>
      </x:c>
    </x:row>
    <x:row r="138">
      <x:c r="A138" s="47" t="str">
        <x:v>LOSS-CT-C-B-N1-E1</x:v>
      </x:c>
      <x:c r="B138" s="47" t="str">
        <x:v>CT-C-B</x:v>
      </x:c>
      <x:c r="C138" s="47" t="n">
        <x:v>1</x:v>
      </x:c>
      <x:c r="D138" s="47" t="str">
        <x:v>CT-C-B-N1</x:v>
      </x:c>
      <x:c r="E138" s="47" t="n">
        <x:f>COUNTIFS('Serial Schedule'!$K$7:$K$150,D138,'Serial Schedule'!$H$7:$H$150,C138)</x:f>
        <x:v>1</x:v>
      </x:c>
      <x:c r="F138" s="47" t="n">
        <x:f>SUMIFS('Serial Schedule'!$W$7:$W$150,'Serial Schedule'!$K$7:$K$150,D138,'Serial Schedule'!$H$7:$H$150,C138)</x:f>
        <x:v>0</x:v>
      </x:c>
      <x:c r="G138" s="47" t="n">
        <x:f>IF(B138&amp;"-N1"=D138,0,COUNTIFS('Serial Schedule'!$K$7:$K$150,B138&amp;"-N1",'Serial Schedule'!$H$7:$H$150,C138)+COUNTIFS('Serial Schedule'!$K$7:$K$150,D138,'Serial Schedule'!$H$7:$H$150,C138,'Serial Schedule'!$M$7:$M$150,B138&amp;"-N1"))</x:f>
        <x:v>0</x:v>
      </x:c>
      <x:c r="H138" s="47" t="n">
        <x:f>IF(B138&amp;"-N2"=D138,0,COUNTIFS('Serial Schedule'!$K$7:$K$150,B138&amp;"-N2",'Serial Schedule'!$H$7:$H$150,C138)+COUNTIFS('Serial Schedule'!$K$7:$K$150,D138,'Serial Schedule'!$H$7:$H$150,C138,'Serial Schedule'!$M$7:$M$150,B138&amp;"-N2"))</x:f>
        <x:v>1</x:v>
      </x:c>
      <x:c r="I138" s="47" t="n">
        <x:f>IF(B138&amp;"-N3"=D138,0,COUNTIFS('Serial Schedule'!$K$7:$K$150,B138&amp;"-N3",'Serial Schedule'!$H$7:$H$150,C138)+COUNTIFS('Serial Schedule'!$K$7:$K$150,D138,'Serial Schedule'!$H$7:$H$150,C138,'Serial Schedule'!$M$7:$M$150,B138&amp;"-N3"))</x:f>
        <x:v>3</x:v>
      </x:c>
      <x:c r="J138" s="47" t="n">
        <x:f>MAX(G138:I138)</x:f>
        <x:v>3</x:v>
      </x:c>
      <x:c r="K138" s="47" t="str">
        <x:f>IF(AND(F138=0,J138&lt;=4),"PASS","FAIL")</x:f>
        <x:v>PASS</x:v>
      </x:c>
    </x:row>
    <x:row r="139">
      <x:c r="A139" s="47" t="str">
        <x:v>LOSS-CT-C-B-N1-E2</x:v>
      </x:c>
      <x:c r="B139" s="47" t="str">
        <x:v>CT-C-B</x:v>
      </x:c>
      <x:c r="C139" s="47" t="n">
        <x:v>2</x:v>
      </x:c>
      <x:c r="D139" s="47" t="str">
        <x:v>CT-C-B-N1</x:v>
      </x:c>
      <x:c r="E139" s="47" t="n">
        <x:f>COUNTIFS('Serial Schedule'!$K$7:$K$150,D139,'Serial Schedule'!$H$7:$H$150,C139)</x:f>
        <x:v>1</x:v>
      </x:c>
      <x:c r="F139" s="47" t="n">
        <x:f>SUMIFS('Serial Schedule'!$W$7:$W$150,'Serial Schedule'!$K$7:$K$150,D139,'Serial Schedule'!$H$7:$H$150,C139)</x:f>
        <x:v>0</x:v>
      </x:c>
      <x:c r="G139" s="47" t="n">
        <x:f>IF(B139&amp;"-N1"=D139,0,COUNTIFS('Serial Schedule'!$K$7:$K$150,B139&amp;"-N1",'Serial Schedule'!$H$7:$H$150,C139)+COUNTIFS('Serial Schedule'!$K$7:$K$150,D139,'Serial Schedule'!$H$7:$H$150,C139,'Serial Schedule'!$M$7:$M$150,B139&amp;"-N1"))</x:f>
        <x:v>0</x:v>
      </x:c>
      <x:c r="H139" s="47" t="n">
        <x:f>IF(B139&amp;"-N2"=D139,0,COUNTIFS('Serial Schedule'!$K$7:$K$150,B139&amp;"-N2",'Serial Schedule'!$H$7:$H$150,C139)+COUNTIFS('Serial Schedule'!$K$7:$K$150,D139,'Serial Schedule'!$H$7:$H$150,C139,'Serial Schedule'!$M$7:$M$150,B139&amp;"-N2"))</x:f>
        <x:v>2</x:v>
      </x:c>
      <x:c r="I139" s="47" t="n">
        <x:f>IF(B139&amp;"-N3"=D139,0,COUNTIFS('Serial Schedule'!$K$7:$K$150,B139&amp;"-N3",'Serial Schedule'!$H$7:$H$150,C139)+COUNTIFS('Serial Schedule'!$K$7:$K$150,D139,'Serial Schedule'!$H$7:$H$150,C139,'Serial Schedule'!$M$7:$M$150,B139&amp;"-N3"))</x:f>
        <x:v>2</x:v>
      </x:c>
      <x:c r="J139" s="47" t="n">
        <x:f>MAX(G139:I139)</x:f>
        <x:v>2</x:v>
      </x:c>
      <x:c r="K139" s="47" t="str">
        <x:f>IF(AND(F139=0,J139&lt;=4),"PASS","FAIL")</x:f>
        <x:v>PASS</x:v>
      </x:c>
    </x:row>
    <x:row r="140">
      <x:c r="A140" s="47" t="str">
        <x:v>LOSS-CT-C-B-N1-E3</x:v>
      </x:c>
      <x:c r="B140" s="47" t="str">
        <x:v>CT-C-B</x:v>
      </x:c>
      <x:c r="C140" s="47" t="n">
        <x:v>3</x:v>
      </x:c>
      <x:c r="D140" s="47" t="str">
        <x:v>CT-C-B-N1</x:v>
      </x:c>
      <x:c r="E140" s="47" t="n">
        <x:f>COUNTIFS('Serial Schedule'!$K$7:$K$150,D140,'Serial Schedule'!$H$7:$H$150,C140)</x:f>
        <x:v>1</x:v>
      </x:c>
      <x:c r="F140" s="47" t="n">
        <x:f>SUMIFS('Serial Schedule'!$W$7:$W$150,'Serial Schedule'!$K$7:$K$150,D140,'Serial Schedule'!$H$7:$H$150,C140)</x:f>
        <x:v>0</x:v>
      </x:c>
      <x:c r="G140" s="47" t="n">
        <x:f>IF(B140&amp;"-N1"=D140,0,COUNTIFS('Serial Schedule'!$K$7:$K$150,B140&amp;"-N1",'Serial Schedule'!$H$7:$H$150,C140)+COUNTIFS('Serial Schedule'!$K$7:$K$150,D140,'Serial Schedule'!$H$7:$H$150,C140,'Serial Schedule'!$M$7:$M$150,B140&amp;"-N1"))</x:f>
        <x:v>0</x:v>
      </x:c>
      <x:c r="H140" s="47" t="n">
        <x:f>IF(B140&amp;"-N2"=D140,0,COUNTIFS('Serial Schedule'!$K$7:$K$150,B140&amp;"-N2",'Serial Schedule'!$H$7:$H$150,C140)+COUNTIFS('Serial Schedule'!$K$7:$K$150,D140,'Serial Schedule'!$H$7:$H$150,C140,'Serial Schedule'!$M$7:$M$150,B140&amp;"-N2"))</x:f>
        <x:v>3</x:v>
      </x:c>
      <x:c r="I140" s="47" t="n">
        <x:f>IF(B140&amp;"-N3"=D140,0,COUNTIFS('Serial Schedule'!$K$7:$K$150,B140&amp;"-N3",'Serial Schedule'!$H$7:$H$150,C140)+COUNTIFS('Serial Schedule'!$K$7:$K$150,D140,'Serial Schedule'!$H$7:$H$150,C140,'Serial Schedule'!$M$7:$M$150,B140&amp;"-N3"))</x:f>
        <x:v>1</x:v>
      </x:c>
      <x:c r="J140" s="47" t="n">
        <x:f>MAX(G140:I140)</x:f>
        <x:v>3</x:v>
      </x:c>
      <x:c r="K140" s="47" t="str">
        <x:f>IF(AND(F140=0,J140&lt;=4),"PASS","FAIL")</x:f>
        <x:v>PASS</x:v>
      </x:c>
    </x:row>
    <x:row r="141">
      <x:c r="A141" s="47" t="str">
        <x:v>LOSS-CT-C-B-N1-E4</x:v>
      </x:c>
      <x:c r="B141" s="47" t="str">
        <x:v>CT-C-B</x:v>
      </x:c>
      <x:c r="C141" s="47" t="n">
        <x:v>4</x:v>
      </x:c>
      <x:c r="D141" s="47" t="str">
        <x:v>CT-C-B-N1</x:v>
      </x:c>
      <x:c r="E141" s="47" t="n">
        <x:f>COUNTIFS('Serial Schedule'!$K$7:$K$150,D141,'Serial Schedule'!$H$7:$H$150,C141)</x:f>
        <x:v>1</x:v>
      </x:c>
      <x:c r="F141" s="47" t="n">
        <x:f>SUMIFS('Serial Schedule'!$W$7:$W$150,'Serial Schedule'!$K$7:$K$150,D141,'Serial Schedule'!$H$7:$H$150,C141)</x:f>
        <x:v>0</x:v>
      </x:c>
      <x:c r="G141" s="47" t="n">
        <x:f>IF(B141&amp;"-N1"=D141,0,COUNTIFS('Serial Schedule'!$K$7:$K$150,B141&amp;"-N1",'Serial Schedule'!$H$7:$H$150,C141)+COUNTIFS('Serial Schedule'!$K$7:$K$150,D141,'Serial Schedule'!$H$7:$H$150,C141,'Serial Schedule'!$M$7:$M$150,B141&amp;"-N1"))</x:f>
        <x:v>0</x:v>
      </x:c>
      <x:c r="H141" s="47" t="n">
        <x:f>IF(B141&amp;"-N2"=D141,0,COUNTIFS('Serial Schedule'!$K$7:$K$150,B141&amp;"-N2",'Serial Schedule'!$H$7:$H$150,C141)+COUNTIFS('Serial Schedule'!$K$7:$K$150,D141,'Serial Schedule'!$H$7:$H$150,C141,'Serial Schedule'!$M$7:$M$150,B141&amp;"-N2"))</x:f>
        <x:v>2</x:v>
      </x:c>
      <x:c r="I141" s="47" t="n">
        <x:f>IF(B141&amp;"-N3"=D141,0,COUNTIFS('Serial Schedule'!$K$7:$K$150,B141&amp;"-N3",'Serial Schedule'!$H$7:$H$150,C141)+COUNTIFS('Serial Schedule'!$K$7:$K$150,D141,'Serial Schedule'!$H$7:$H$150,C141,'Serial Schedule'!$M$7:$M$150,B141&amp;"-N3"))</x:f>
        <x:v>2</x:v>
      </x:c>
      <x:c r="J141" s="47" t="n">
        <x:f>MAX(G141:I141)</x:f>
        <x:v>2</x:v>
      </x:c>
      <x:c r="K141" s="47" t="str">
        <x:f>IF(AND(F141=0,J141&lt;=4),"PASS","FAIL")</x:f>
        <x:v>PASS</x:v>
      </x:c>
    </x:row>
    <x:row r="142">
      <x:c r="A142" s="47" t="str">
        <x:v>LOSS-CT-C-B-N1-E5</x:v>
      </x:c>
      <x:c r="B142" s="47" t="str">
        <x:v>CT-C-B</x:v>
      </x:c>
      <x:c r="C142" s="47" t="n">
        <x:v>5</x:v>
      </x:c>
      <x:c r="D142" s="47" t="str">
        <x:v>CT-C-B-N1</x:v>
      </x:c>
      <x:c r="E142" s="47" t="n">
        <x:f>COUNTIFS('Serial Schedule'!$K$7:$K$150,D142,'Serial Schedule'!$H$7:$H$150,C142)</x:f>
        <x:v>2</x:v>
      </x:c>
      <x:c r="F142" s="47" t="n">
        <x:f>SUMIFS('Serial Schedule'!$W$7:$W$150,'Serial Schedule'!$K$7:$K$150,D142,'Serial Schedule'!$H$7:$H$150,C142)</x:f>
        <x:v>0</x:v>
      </x:c>
      <x:c r="G142" s="47" t="n">
        <x:f>IF(B142&amp;"-N1"=D142,0,COUNTIFS('Serial Schedule'!$K$7:$K$150,B142&amp;"-N1",'Serial Schedule'!$H$7:$H$150,C142)+COUNTIFS('Serial Schedule'!$K$7:$K$150,D142,'Serial Schedule'!$H$7:$H$150,C142,'Serial Schedule'!$M$7:$M$150,B142&amp;"-N1"))</x:f>
        <x:v>0</x:v>
      </x:c>
      <x:c r="H142" s="47" t="n">
        <x:f>IF(B142&amp;"-N2"=D142,0,COUNTIFS('Serial Schedule'!$K$7:$K$150,B142&amp;"-N2",'Serial Schedule'!$H$7:$H$150,C142)+COUNTIFS('Serial Schedule'!$K$7:$K$150,D142,'Serial Schedule'!$H$7:$H$150,C142,'Serial Schedule'!$M$7:$M$150,B142&amp;"-N2"))</x:f>
        <x:v>3</x:v>
      </x:c>
      <x:c r="I142" s="47" t="n">
        <x:f>IF(B142&amp;"-N3"=D142,0,COUNTIFS('Serial Schedule'!$K$7:$K$150,B142&amp;"-N3",'Serial Schedule'!$H$7:$H$150,C142)+COUNTIFS('Serial Schedule'!$K$7:$K$150,D142,'Serial Schedule'!$H$7:$H$150,C142,'Serial Schedule'!$M$7:$M$150,B142&amp;"-N3"))</x:f>
        <x:v>1</x:v>
      </x:c>
      <x:c r="J142" s="47" t="n">
        <x:f>MAX(G142:I142)</x:f>
        <x:v>3</x:v>
      </x:c>
      <x:c r="K142" s="47" t="str">
        <x:f>IF(AND(F142=0,J142&lt;=4),"PASS","FAIL")</x:f>
        <x:v>PASS</x:v>
      </x:c>
    </x:row>
    <x:row r="143">
      <x:c r="A143" s="47" t="str">
        <x:v>LOSS-CT-C-B-N1-E6</x:v>
      </x:c>
      <x:c r="B143" s="47" t="str">
        <x:v>CT-C-B</x:v>
      </x:c>
      <x:c r="C143" s="47" t="n">
        <x:v>6</x:v>
      </x:c>
      <x:c r="D143" s="47" t="str">
        <x:v>CT-C-B-N1</x:v>
      </x:c>
      <x:c r="E143" s="47" t="n">
        <x:f>COUNTIFS('Serial Schedule'!$K$7:$K$150,D143,'Serial Schedule'!$H$7:$H$150,C143)</x:f>
        <x:v>3</x:v>
      </x:c>
      <x:c r="F143" s="47" t="n">
        <x:f>SUMIFS('Serial Schedule'!$W$7:$W$150,'Serial Schedule'!$K$7:$K$150,D143,'Serial Schedule'!$H$7:$H$150,C143)</x:f>
        <x:v>0</x:v>
      </x:c>
      <x:c r="G143" s="47" t="n">
        <x:f>IF(B143&amp;"-N1"=D143,0,COUNTIFS('Serial Schedule'!$K$7:$K$150,B143&amp;"-N1",'Serial Schedule'!$H$7:$H$150,C143)+COUNTIFS('Serial Schedule'!$K$7:$K$150,D143,'Serial Schedule'!$H$7:$H$150,C143,'Serial Schedule'!$M$7:$M$150,B143&amp;"-N1"))</x:f>
        <x:v>0</x:v>
      </x:c>
      <x:c r="H143" s="47" t="n">
        <x:f>IF(B143&amp;"-N2"=D143,0,COUNTIFS('Serial Schedule'!$K$7:$K$150,B143&amp;"-N2",'Serial Schedule'!$H$7:$H$150,C143)+COUNTIFS('Serial Schedule'!$K$7:$K$150,D143,'Serial Schedule'!$H$7:$H$150,C143,'Serial Schedule'!$M$7:$M$150,B143&amp;"-N2"))</x:f>
        <x:v>1</x:v>
      </x:c>
      <x:c r="I143" s="47" t="n">
        <x:f>IF(B143&amp;"-N3"=D143,0,COUNTIFS('Serial Schedule'!$K$7:$K$150,B143&amp;"-N3",'Serial Schedule'!$H$7:$H$150,C143)+COUNTIFS('Serial Schedule'!$K$7:$K$150,D143,'Serial Schedule'!$H$7:$H$150,C143,'Serial Schedule'!$M$7:$M$150,B143&amp;"-N3"))</x:f>
        <x:v>3</x:v>
      </x:c>
      <x:c r="J143" s="47" t="n">
        <x:f>MAX(G143:I143)</x:f>
        <x:v>3</x:v>
      </x:c>
      <x:c r="K143" s="47" t="str">
        <x:f>IF(AND(F143=0,J143&lt;=4),"PASS","FAIL")</x:f>
        <x:v>PASS</x:v>
      </x:c>
    </x:row>
    <x:row r="144">
      <x:c r="A144" s="47" t="str">
        <x:v>LOSS-CT-C-B-N2-E1</x:v>
      </x:c>
      <x:c r="B144" s="47" t="str">
        <x:v>CT-C-B</x:v>
      </x:c>
      <x:c r="C144" s="47" t="n">
        <x:v>1</x:v>
      </x:c>
      <x:c r="D144" s="47" t="str">
        <x:v>CT-C-B-N2</x:v>
      </x:c>
      <x:c r="E144" s="47" t="n">
        <x:f>COUNTIFS('Serial Schedule'!$K$7:$K$150,D144,'Serial Schedule'!$H$7:$H$150,C144)</x:f>
        <x:v>1</x:v>
      </x:c>
      <x:c r="F144" s="47" t="n">
        <x:f>SUMIFS('Serial Schedule'!$W$7:$W$150,'Serial Schedule'!$K$7:$K$150,D144,'Serial Schedule'!$H$7:$H$150,C144)</x:f>
        <x:v>0</x:v>
      </x:c>
      <x:c r="G144" s="47" t="n">
        <x:f>IF(B144&amp;"-N1"=D144,0,COUNTIFS('Serial Schedule'!$K$7:$K$150,B144&amp;"-N1",'Serial Schedule'!$H$7:$H$150,C144)+COUNTIFS('Serial Schedule'!$K$7:$K$150,D144,'Serial Schedule'!$H$7:$H$150,C144,'Serial Schedule'!$M$7:$M$150,B144&amp;"-N1"))</x:f>
        <x:v>1</x:v>
      </x:c>
      <x:c r="H144" s="47" t="n">
        <x:f>IF(B144&amp;"-N2"=D144,0,COUNTIFS('Serial Schedule'!$K$7:$K$150,B144&amp;"-N2",'Serial Schedule'!$H$7:$H$150,C144)+COUNTIFS('Serial Schedule'!$K$7:$K$150,D144,'Serial Schedule'!$H$7:$H$150,C144,'Serial Schedule'!$M$7:$M$150,B144&amp;"-N2"))</x:f>
        <x:v>0</x:v>
      </x:c>
      <x:c r="I144" s="47" t="n">
        <x:f>IF(B144&amp;"-N3"=D144,0,COUNTIFS('Serial Schedule'!$K$7:$K$150,B144&amp;"-N3",'Serial Schedule'!$H$7:$H$150,C144)+COUNTIFS('Serial Schedule'!$K$7:$K$150,D144,'Serial Schedule'!$H$7:$H$150,C144,'Serial Schedule'!$M$7:$M$150,B144&amp;"-N3"))</x:f>
        <x:v>3</x:v>
      </x:c>
      <x:c r="J144" s="47" t="n">
        <x:f>MAX(G144:I144)</x:f>
        <x:v>3</x:v>
      </x:c>
      <x:c r="K144" s="47" t="str">
        <x:f>IF(AND(F144=0,J144&lt;=4),"PASS","FAIL")</x:f>
        <x:v>PASS</x:v>
      </x:c>
    </x:row>
    <x:row r="145">
      <x:c r="A145" s="47" t="str">
        <x:v>LOSS-CT-C-B-N2-E2</x:v>
      </x:c>
      <x:c r="B145" s="47" t="str">
        <x:v>CT-C-B</x:v>
      </x:c>
      <x:c r="C145" s="47" t="n">
        <x:v>2</x:v>
      </x:c>
      <x:c r="D145" s="47" t="str">
        <x:v>CT-C-B-N2</x:v>
      </x:c>
      <x:c r="E145" s="47" t="n">
        <x:f>COUNTIFS('Serial Schedule'!$K$7:$K$150,D145,'Serial Schedule'!$H$7:$H$150,C145)</x:f>
        <x:v>2</x:v>
      </x:c>
      <x:c r="F145" s="47" t="n">
        <x:f>SUMIFS('Serial Schedule'!$W$7:$W$150,'Serial Schedule'!$K$7:$K$150,D145,'Serial Schedule'!$H$7:$H$150,C145)</x:f>
        <x:v>0</x:v>
      </x:c>
      <x:c r="G145" s="47" t="n">
        <x:f>IF(B145&amp;"-N1"=D145,0,COUNTIFS('Serial Schedule'!$K$7:$K$150,B145&amp;"-N1",'Serial Schedule'!$H$7:$H$150,C145)+COUNTIFS('Serial Schedule'!$K$7:$K$150,D145,'Serial Schedule'!$H$7:$H$150,C145,'Serial Schedule'!$M$7:$M$150,B145&amp;"-N1"))</x:f>
        <x:v>2</x:v>
      </x:c>
      <x:c r="H145" s="47" t="n">
        <x:f>IF(B145&amp;"-N2"=D145,0,COUNTIFS('Serial Schedule'!$K$7:$K$150,B145&amp;"-N2",'Serial Schedule'!$H$7:$H$150,C145)+COUNTIFS('Serial Schedule'!$K$7:$K$150,D145,'Serial Schedule'!$H$7:$H$150,C145,'Serial Schedule'!$M$7:$M$150,B145&amp;"-N2"))</x:f>
        <x:v>0</x:v>
      </x:c>
      <x:c r="I145" s="47" t="n">
        <x:f>IF(B145&amp;"-N3"=D145,0,COUNTIFS('Serial Schedule'!$K$7:$K$150,B145&amp;"-N3",'Serial Schedule'!$H$7:$H$150,C145)+COUNTIFS('Serial Schedule'!$K$7:$K$150,D145,'Serial Schedule'!$H$7:$H$150,C145,'Serial Schedule'!$M$7:$M$150,B145&amp;"-N3"))</x:f>
        <x:v>2</x:v>
      </x:c>
      <x:c r="J145" s="47" t="n">
        <x:f>MAX(G145:I145)</x:f>
        <x:v>2</x:v>
      </x:c>
      <x:c r="K145" s="47" t="str">
        <x:f>IF(AND(F145=0,J145&lt;=4),"PASS","FAIL")</x:f>
        <x:v>PASS</x:v>
      </x:c>
    </x:row>
    <x:row r="146">
      <x:c r="A146" s="47" t="str">
        <x:v>LOSS-CT-C-B-N2-E3</x:v>
      </x:c>
      <x:c r="B146" s="47" t="str">
        <x:v>CT-C-B</x:v>
      </x:c>
      <x:c r="C146" s="47" t="n">
        <x:v>3</x:v>
      </x:c>
      <x:c r="D146" s="47" t="str">
        <x:v>CT-C-B-N2</x:v>
      </x:c>
      <x:c r="E146" s="47" t="n">
        <x:f>COUNTIFS('Serial Schedule'!$K$7:$K$150,D146,'Serial Schedule'!$H$7:$H$150,C146)</x:f>
        <x:v>2</x:v>
      </x:c>
      <x:c r="F146" s="47" t="n">
        <x:f>SUMIFS('Serial Schedule'!$W$7:$W$150,'Serial Schedule'!$K$7:$K$150,D146,'Serial Schedule'!$H$7:$H$150,C146)</x:f>
        <x:v>0</x:v>
      </x:c>
      <x:c r="G146" s="47" t="n">
        <x:f>IF(B146&amp;"-N1"=D146,0,COUNTIFS('Serial Schedule'!$K$7:$K$150,B146&amp;"-N1",'Serial Schedule'!$H$7:$H$150,C146)+COUNTIFS('Serial Schedule'!$K$7:$K$150,D146,'Serial Schedule'!$H$7:$H$150,C146,'Serial Schedule'!$M$7:$M$150,B146&amp;"-N1"))</x:f>
        <x:v>1</x:v>
      </x:c>
      <x:c r="H146" s="47" t="n">
        <x:f>IF(B146&amp;"-N2"=D146,0,COUNTIFS('Serial Schedule'!$K$7:$K$150,B146&amp;"-N2",'Serial Schedule'!$H$7:$H$150,C146)+COUNTIFS('Serial Schedule'!$K$7:$K$150,D146,'Serial Schedule'!$H$7:$H$150,C146,'Serial Schedule'!$M$7:$M$150,B146&amp;"-N2"))</x:f>
        <x:v>0</x:v>
      </x:c>
      <x:c r="I146" s="47" t="n">
        <x:f>IF(B146&amp;"-N3"=D146,0,COUNTIFS('Serial Schedule'!$K$7:$K$150,B146&amp;"-N3",'Serial Schedule'!$H$7:$H$150,C146)+COUNTIFS('Serial Schedule'!$K$7:$K$150,D146,'Serial Schedule'!$H$7:$H$150,C146,'Serial Schedule'!$M$7:$M$150,B146&amp;"-N3"))</x:f>
        <x:v>3</x:v>
      </x:c>
      <x:c r="J146" s="47" t="n">
        <x:f>MAX(G146:I146)</x:f>
        <x:v>3</x:v>
      </x:c>
      <x:c r="K146" s="47" t="str">
        <x:f>IF(AND(F146=0,J146&lt;=4),"PASS","FAIL")</x:f>
        <x:v>PASS</x:v>
      </x:c>
    </x:row>
    <x:row r="147">
      <x:c r="A147" s="47" t="str">
        <x:v>LOSS-CT-C-B-N2-E4</x:v>
      </x:c>
      <x:c r="B147" s="47" t="str">
        <x:v>CT-C-B</x:v>
      </x:c>
      <x:c r="C147" s="47" t="n">
        <x:v>4</x:v>
      </x:c>
      <x:c r="D147" s="47" t="str">
        <x:v>CT-C-B-N2</x:v>
      </x:c>
      <x:c r="E147" s="47" t="n">
        <x:f>COUNTIFS('Serial Schedule'!$K$7:$K$150,D147,'Serial Schedule'!$H$7:$H$150,C147)</x:f>
        <x:v>2</x:v>
      </x:c>
      <x:c r="F147" s="47" t="n">
        <x:f>SUMIFS('Serial Schedule'!$W$7:$W$150,'Serial Schedule'!$K$7:$K$150,D147,'Serial Schedule'!$H$7:$H$150,C147)</x:f>
        <x:v>0</x:v>
      </x:c>
      <x:c r="G147" s="47" t="n">
        <x:f>IF(B147&amp;"-N1"=D147,0,COUNTIFS('Serial Schedule'!$K$7:$K$150,B147&amp;"-N1",'Serial Schedule'!$H$7:$H$150,C147)+COUNTIFS('Serial Schedule'!$K$7:$K$150,D147,'Serial Schedule'!$H$7:$H$150,C147,'Serial Schedule'!$M$7:$M$150,B147&amp;"-N1"))</x:f>
        <x:v>2</x:v>
      </x:c>
      <x:c r="H147" s="47" t="n">
        <x:f>IF(B147&amp;"-N2"=D147,0,COUNTIFS('Serial Schedule'!$K$7:$K$150,B147&amp;"-N2",'Serial Schedule'!$H$7:$H$150,C147)+COUNTIFS('Serial Schedule'!$K$7:$K$150,D147,'Serial Schedule'!$H$7:$H$150,C147,'Serial Schedule'!$M$7:$M$150,B147&amp;"-N2"))</x:f>
        <x:v>0</x:v>
      </x:c>
      <x:c r="I147" s="47" t="n">
        <x:f>IF(B147&amp;"-N3"=D147,0,COUNTIFS('Serial Schedule'!$K$7:$K$150,B147&amp;"-N3",'Serial Schedule'!$H$7:$H$150,C147)+COUNTIFS('Serial Schedule'!$K$7:$K$150,D147,'Serial Schedule'!$H$7:$H$150,C147,'Serial Schedule'!$M$7:$M$150,B147&amp;"-N3"))</x:f>
        <x:v>2</x:v>
      </x:c>
      <x:c r="J147" s="47" t="n">
        <x:f>MAX(G147:I147)</x:f>
        <x:v>2</x:v>
      </x:c>
      <x:c r="K147" s="47" t="str">
        <x:f>IF(AND(F147=0,J147&lt;=4),"PASS","FAIL")</x:f>
        <x:v>PASS</x:v>
      </x:c>
    </x:row>
    <x:row r="148">
      <x:c r="A148" s="47" t="str">
        <x:v>LOSS-CT-C-B-N2-E5</x:v>
      </x:c>
      <x:c r="B148" s="47" t="str">
        <x:v>CT-C-B</x:v>
      </x:c>
      <x:c r="C148" s="47" t="n">
        <x:v>5</x:v>
      </x:c>
      <x:c r="D148" s="47" t="str">
        <x:v>CT-C-B-N2</x:v>
      </x:c>
      <x:c r="E148" s="47" t="n">
        <x:f>COUNTIFS('Serial Schedule'!$K$7:$K$150,D148,'Serial Schedule'!$H$7:$H$150,C148)</x:f>
        <x:v>2</x:v>
      </x:c>
      <x:c r="F148" s="47" t="n">
        <x:f>SUMIFS('Serial Schedule'!$W$7:$W$150,'Serial Schedule'!$K$7:$K$150,D148,'Serial Schedule'!$H$7:$H$150,C148)</x:f>
        <x:v>0</x:v>
      </x:c>
      <x:c r="G148" s="47" t="n">
        <x:f>IF(B148&amp;"-N1"=D148,0,COUNTIFS('Serial Schedule'!$K$7:$K$150,B148&amp;"-N1",'Serial Schedule'!$H$7:$H$150,C148)+COUNTIFS('Serial Schedule'!$K$7:$K$150,D148,'Serial Schedule'!$H$7:$H$150,C148,'Serial Schedule'!$M$7:$M$150,B148&amp;"-N1"))</x:f>
        <x:v>3</x:v>
      </x:c>
      <x:c r="H148" s="47" t="n">
        <x:f>IF(B148&amp;"-N2"=D148,0,COUNTIFS('Serial Schedule'!$K$7:$K$150,B148&amp;"-N2",'Serial Schedule'!$H$7:$H$150,C148)+COUNTIFS('Serial Schedule'!$K$7:$K$150,D148,'Serial Schedule'!$H$7:$H$150,C148,'Serial Schedule'!$M$7:$M$150,B148&amp;"-N2"))</x:f>
        <x:v>0</x:v>
      </x:c>
      <x:c r="I148" s="47" t="n">
        <x:f>IF(B148&amp;"-N3"=D148,0,COUNTIFS('Serial Schedule'!$K$7:$K$150,B148&amp;"-N3",'Serial Schedule'!$H$7:$H$150,C148)+COUNTIFS('Serial Schedule'!$K$7:$K$150,D148,'Serial Schedule'!$H$7:$H$150,C148,'Serial Schedule'!$M$7:$M$150,B148&amp;"-N3"))</x:f>
        <x:v>1</x:v>
      </x:c>
      <x:c r="J148" s="47" t="n">
        <x:f>MAX(G148:I148)</x:f>
        <x:v>3</x:v>
      </x:c>
      <x:c r="K148" s="47" t="str">
        <x:f>IF(AND(F148=0,J148&lt;=4),"PASS","FAIL")</x:f>
        <x:v>PASS</x:v>
      </x:c>
    </x:row>
    <x:row r="149">
      <x:c r="A149" s="47" t="str">
        <x:v>LOSS-CT-C-B-N2-E6</x:v>
      </x:c>
      <x:c r="B149" s="47" t="str">
        <x:v>CT-C-B</x:v>
      </x:c>
      <x:c r="C149" s="47" t="n">
        <x:v>6</x:v>
      </x:c>
      <x:c r="D149" s="47" t="str">
        <x:v>CT-C-B-N2</x:v>
      </x:c>
      <x:c r="E149" s="47" t="n">
        <x:f>COUNTIFS('Serial Schedule'!$K$7:$K$150,D149,'Serial Schedule'!$H$7:$H$150,C149)</x:f>
        <x:v>0</x:v>
      </x:c>
      <x:c r="F149" s="47" t="n">
        <x:f>SUMIFS('Serial Schedule'!$W$7:$W$150,'Serial Schedule'!$K$7:$K$150,D149,'Serial Schedule'!$H$7:$H$150,C149)</x:f>
        <x:v>0</x:v>
      </x:c>
      <x:c r="G149" s="47" t="n">
        <x:f>IF(B149&amp;"-N1"=D149,0,COUNTIFS('Serial Schedule'!$K$7:$K$150,B149&amp;"-N1",'Serial Schedule'!$H$7:$H$150,C149)+COUNTIFS('Serial Schedule'!$K$7:$K$150,D149,'Serial Schedule'!$H$7:$H$150,C149,'Serial Schedule'!$M$7:$M$150,B149&amp;"-N1"))</x:f>
        <x:v>3</x:v>
      </x:c>
      <x:c r="H149" s="47" t="n">
        <x:f>IF(B149&amp;"-N2"=D149,0,COUNTIFS('Serial Schedule'!$K$7:$K$150,B149&amp;"-N2",'Serial Schedule'!$H$7:$H$150,C149)+COUNTIFS('Serial Schedule'!$K$7:$K$150,D149,'Serial Schedule'!$H$7:$H$150,C149,'Serial Schedule'!$M$7:$M$150,B149&amp;"-N2"))</x:f>
        <x:v>0</x:v>
      </x:c>
      <x:c r="I149" s="47" t="n">
        <x:f>IF(B149&amp;"-N3"=D149,0,COUNTIFS('Serial Schedule'!$K$7:$K$150,B149&amp;"-N3",'Serial Schedule'!$H$7:$H$150,C149)+COUNTIFS('Serial Schedule'!$K$7:$K$150,D149,'Serial Schedule'!$H$7:$H$150,C149,'Serial Schedule'!$M$7:$M$150,B149&amp;"-N3"))</x:f>
        <x:v>1</x:v>
      </x:c>
      <x:c r="J149" s="47" t="n">
        <x:f>MAX(G149:I149)</x:f>
        <x:v>3</x:v>
      </x:c>
      <x:c r="K149" s="47" t="str">
        <x:f>IF(AND(F149=0,J149&lt;=4),"PASS","FAIL")</x:f>
        <x:v>PASS</x:v>
      </x:c>
    </x:row>
    <x:row r="150">
      <x:c r="A150" s="47" t="str">
        <x:v>LOSS-CT-C-B-N3-E1</x:v>
      </x:c>
      <x:c r="B150" s="47" t="str">
        <x:v>CT-C-B</x:v>
      </x:c>
      <x:c r="C150" s="47" t="n">
        <x:v>1</x:v>
      </x:c>
      <x:c r="D150" s="47" t="str">
        <x:v>CT-C-B-N3</x:v>
      </x:c>
      <x:c r="E150" s="47" t="n">
        <x:f>COUNTIFS('Serial Schedule'!$K$7:$K$150,D150,'Serial Schedule'!$H$7:$H$150,C150)</x:f>
        <x:v>2</x:v>
      </x:c>
      <x:c r="F150" s="47" t="n">
        <x:f>SUMIFS('Serial Schedule'!$W$7:$W$150,'Serial Schedule'!$K$7:$K$150,D150,'Serial Schedule'!$H$7:$H$150,C150)</x:f>
        <x:v>0</x:v>
      </x:c>
      <x:c r="G150" s="47" t="n">
        <x:f>IF(B150&amp;"-N1"=D150,0,COUNTIFS('Serial Schedule'!$K$7:$K$150,B150&amp;"-N1",'Serial Schedule'!$H$7:$H$150,C150)+COUNTIFS('Serial Schedule'!$K$7:$K$150,D150,'Serial Schedule'!$H$7:$H$150,C150,'Serial Schedule'!$M$7:$M$150,B150&amp;"-N1"))</x:f>
        <x:v>2</x:v>
      </x:c>
      <x:c r="H150" s="47" t="n">
        <x:f>IF(B150&amp;"-N2"=D150,0,COUNTIFS('Serial Schedule'!$K$7:$K$150,B150&amp;"-N2",'Serial Schedule'!$H$7:$H$150,C150)+COUNTIFS('Serial Schedule'!$K$7:$K$150,D150,'Serial Schedule'!$H$7:$H$150,C150,'Serial Schedule'!$M$7:$M$150,B150&amp;"-N2"))</x:f>
        <x:v>2</x:v>
      </x:c>
      <x:c r="I150" s="47" t="n">
        <x:f>IF(B150&amp;"-N3"=D150,0,COUNTIFS('Serial Schedule'!$K$7:$K$150,B150&amp;"-N3",'Serial Schedule'!$H$7:$H$150,C150)+COUNTIFS('Serial Schedule'!$K$7:$K$150,D150,'Serial Schedule'!$H$7:$H$150,C150,'Serial Schedule'!$M$7:$M$150,B150&amp;"-N3"))</x:f>
        <x:v>0</x:v>
      </x:c>
      <x:c r="J150" s="47" t="n">
        <x:f>MAX(G150:I150)</x:f>
        <x:v>2</x:v>
      </x:c>
      <x:c r="K150" s="47" t="str">
        <x:f>IF(AND(F150=0,J150&lt;=4),"PASS","FAIL")</x:f>
        <x:v>PASS</x:v>
      </x:c>
    </x:row>
    <x:row r="151">
      <x:c r="A151" s="47" t="str">
        <x:v>LOSS-CT-C-B-N3-E2</x:v>
      </x:c>
      <x:c r="B151" s="47" t="str">
        <x:v>CT-C-B</x:v>
      </x:c>
      <x:c r="C151" s="47" t="n">
        <x:v>2</x:v>
      </x:c>
      <x:c r="D151" s="47" t="str">
        <x:v>CT-C-B-N3</x:v>
      </x:c>
      <x:c r="E151" s="47" t="n">
        <x:f>COUNTIFS('Serial Schedule'!$K$7:$K$150,D151,'Serial Schedule'!$H$7:$H$150,C151)</x:f>
        <x:v>1</x:v>
      </x:c>
      <x:c r="F151" s="47" t="n">
        <x:f>SUMIFS('Serial Schedule'!$W$7:$W$150,'Serial Schedule'!$K$7:$K$150,D151,'Serial Schedule'!$H$7:$H$150,C151)</x:f>
        <x:v>0</x:v>
      </x:c>
      <x:c r="G151" s="47" t="n">
        <x:f>IF(B151&amp;"-N1"=D151,0,COUNTIFS('Serial Schedule'!$K$7:$K$150,B151&amp;"-N1",'Serial Schedule'!$H$7:$H$150,C151)+COUNTIFS('Serial Schedule'!$K$7:$K$150,D151,'Serial Schedule'!$H$7:$H$150,C151,'Serial Schedule'!$M$7:$M$150,B151&amp;"-N1"))</x:f>
        <x:v>1</x:v>
      </x:c>
      <x:c r="H151" s="47" t="n">
        <x:f>IF(B151&amp;"-N2"=D151,0,COUNTIFS('Serial Schedule'!$K$7:$K$150,B151&amp;"-N2",'Serial Schedule'!$H$7:$H$150,C151)+COUNTIFS('Serial Schedule'!$K$7:$K$150,D151,'Serial Schedule'!$H$7:$H$150,C151,'Serial Schedule'!$M$7:$M$150,B151&amp;"-N2"))</x:f>
        <x:v>3</x:v>
      </x:c>
      <x:c r="I151" s="47" t="n">
        <x:f>IF(B151&amp;"-N3"=D151,0,COUNTIFS('Serial Schedule'!$K$7:$K$150,B151&amp;"-N3",'Serial Schedule'!$H$7:$H$150,C151)+COUNTIFS('Serial Schedule'!$K$7:$K$150,D151,'Serial Schedule'!$H$7:$H$150,C151,'Serial Schedule'!$M$7:$M$150,B151&amp;"-N3"))</x:f>
        <x:v>0</x:v>
      </x:c>
      <x:c r="J151" s="47" t="n">
        <x:f>MAX(G151:I151)</x:f>
        <x:v>3</x:v>
      </x:c>
      <x:c r="K151" s="47" t="str">
        <x:f>IF(AND(F151=0,J151&lt;=4),"PASS","FAIL")</x:f>
        <x:v>PASS</x:v>
      </x:c>
    </x:row>
    <x:row r="152">
      <x:c r="A152" s="47" t="str">
        <x:v>LOSS-CT-C-B-N3-E3</x:v>
      </x:c>
      <x:c r="B152" s="47" t="str">
        <x:v>CT-C-B</x:v>
      </x:c>
      <x:c r="C152" s="47" t="n">
        <x:v>3</x:v>
      </x:c>
      <x:c r="D152" s="47" t="str">
        <x:v>CT-C-B-N3</x:v>
      </x:c>
      <x:c r="E152" s="47" t="n">
        <x:f>COUNTIFS('Serial Schedule'!$K$7:$K$150,D152,'Serial Schedule'!$H$7:$H$150,C152)</x:f>
        <x:v>1</x:v>
      </x:c>
      <x:c r="F152" s="47" t="n">
        <x:f>SUMIFS('Serial Schedule'!$W$7:$W$150,'Serial Schedule'!$K$7:$K$150,D152,'Serial Schedule'!$H$7:$H$150,C152)</x:f>
        <x:v>0</x:v>
      </x:c>
      <x:c r="G152" s="47" t="n">
        <x:f>IF(B152&amp;"-N1"=D152,0,COUNTIFS('Serial Schedule'!$K$7:$K$150,B152&amp;"-N1",'Serial Schedule'!$H$7:$H$150,C152)+COUNTIFS('Serial Schedule'!$K$7:$K$150,D152,'Serial Schedule'!$H$7:$H$150,C152,'Serial Schedule'!$M$7:$M$150,B152&amp;"-N1"))</x:f>
        <x:v>2</x:v>
      </x:c>
      <x:c r="H152" s="47" t="n">
        <x:f>IF(B152&amp;"-N2"=D152,0,COUNTIFS('Serial Schedule'!$K$7:$K$150,B152&amp;"-N2",'Serial Schedule'!$H$7:$H$150,C152)+COUNTIFS('Serial Schedule'!$K$7:$K$150,D152,'Serial Schedule'!$H$7:$H$150,C152,'Serial Schedule'!$M$7:$M$150,B152&amp;"-N2"))</x:f>
        <x:v>2</x:v>
      </x:c>
      <x:c r="I152" s="47" t="n">
        <x:f>IF(B152&amp;"-N3"=D152,0,COUNTIFS('Serial Schedule'!$K$7:$K$150,B152&amp;"-N3",'Serial Schedule'!$H$7:$H$150,C152)+COUNTIFS('Serial Schedule'!$K$7:$K$150,D152,'Serial Schedule'!$H$7:$H$150,C152,'Serial Schedule'!$M$7:$M$150,B152&amp;"-N3"))</x:f>
        <x:v>0</x:v>
      </x:c>
      <x:c r="J152" s="47" t="n">
        <x:f>MAX(G152:I152)</x:f>
        <x:v>2</x:v>
      </x:c>
      <x:c r="K152" s="47" t="str">
        <x:f>IF(AND(F152=0,J152&lt;=4),"PASS","FAIL")</x:f>
        <x:v>PASS</x:v>
      </x:c>
    </x:row>
    <x:row r="153">
      <x:c r="A153" s="47" t="str">
        <x:v>LOSS-CT-C-B-N3-E4</x:v>
      </x:c>
      <x:c r="B153" s="47" t="str">
        <x:v>CT-C-B</x:v>
      </x:c>
      <x:c r="C153" s="47" t="n">
        <x:v>4</x:v>
      </x:c>
      <x:c r="D153" s="47" t="str">
        <x:v>CT-C-B-N3</x:v>
      </x:c>
      <x:c r="E153" s="47" t="n">
        <x:f>COUNTIFS('Serial Schedule'!$K$7:$K$150,D153,'Serial Schedule'!$H$7:$H$150,C153)</x:f>
        <x:v>1</x:v>
      </x:c>
      <x:c r="F153" s="47" t="n">
        <x:f>SUMIFS('Serial Schedule'!$W$7:$W$150,'Serial Schedule'!$K$7:$K$150,D153,'Serial Schedule'!$H$7:$H$150,C153)</x:f>
        <x:v>0</x:v>
      </x:c>
      <x:c r="G153" s="47" t="n">
        <x:f>IF(B153&amp;"-N1"=D153,0,COUNTIFS('Serial Schedule'!$K$7:$K$150,B153&amp;"-N1",'Serial Schedule'!$H$7:$H$150,C153)+COUNTIFS('Serial Schedule'!$K$7:$K$150,D153,'Serial Schedule'!$H$7:$H$150,C153,'Serial Schedule'!$M$7:$M$150,B153&amp;"-N1"))</x:f>
        <x:v>1</x:v>
      </x:c>
      <x:c r="H153" s="47" t="n">
        <x:f>IF(B153&amp;"-N2"=D153,0,COUNTIFS('Serial Schedule'!$K$7:$K$150,B153&amp;"-N2",'Serial Schedule'!$H$7:$H$150,C153)+COUNTIFS('Serial Schedule'!$K$7:$K$150,D153,'Serial Schedule'!$H$7:$H$150,C153,'Serial Schedule'!$M$7:$M$150,B153&amp;"-N2"))</x:f>
        <x:v>3</x:v>
      </x:c>
      <x:c r="I153" s="47" t="n">
        <x:f>IF(B153&amp;"-N3"=D153,0,COUNTIFS('Serial Schedule'!$K$7:$K$150,B153&amp;"-N3",'Serial Schedule'!$H$7:$H$150,C153)+COUNTIFS('Serial Schedule'!$K$7:$K$150,D153,'Serial Schedule'!$H$7:$H$150,C153,'Serial Schedule'!$M$7:$M$150,B153&amp;"-N3"))</x:f>
        <x:v>0</x:v>
      </x:c>
      <x:c r="J153" s="47" t="n">
        <x:f>MAX(G153:I153)</x:f>
        <x:v>3</x:v>
      </x:c>
      <x:c r="K153" s="47" t="str">
        <x:f>IF(AND(F153=0,J153&lt;=4),"PASS","FAIL")</x:f>
        <x:v>PASS</x:v>
      </x:c>
    </x:row>
    <x:row r="154">
      <x:c r="A154" s="47" t="str">
        <x:v>LOSS-CT-C-B-N3-E5</x:v>
      </x:c>
      <x:c r="B154" s="47" t="str">
        <x:v>CT-C-B</x:v>
      </x:c>
      <x:c r="C154" s="47" t="n">
        <x:v>5</x:v>
      </x:c>
      <x:c r="D154" s="47" t="str">
        <x:v>CT-C-B-N3</x:v>
      </x:c>
      <x:c r="E154" s="47" t="n">
        <x:f>COUNTIFS('Serial Schedule'!$K$7:$K$150,D154,'Serial Schedule'!$H$7:$H$150,C154)</x:f>
        <x:v>0</x:v>
      </x:c>
      <x:c r="F154" s="47" t="n">
        <x:f>SUMIFS('Serial Schedule'!$W$7:$W$150,'Serial Schedule'!$K$7:$K$150,D154,'Serial Schedule'!$H$7:$H$150,C154)</x:f>
        <x:v>0</x:v>
      </x:c>
      <x:c r="G154" s="47" t="n">
        <x:f>IF(B154&amp;"-N1"=D154,0,COUNTIFS('Serial Schedule'!$K$7:$K$150,B154&amp;"-N1",'Serial Schedule'!$H$7:$H$150,C154)+COUNTIFS('Serial Schedule'!$K$7:$K$150,D154,'Serial Schedule'!$H$7:$H$150,C154,'Serial Schedule'!$M$7:$M$150,B154&amp;"-N1"))</x:f>
        <x:v>2</x:v>
      </x:c>
      <x:c r="H154" s="47" t="n">
        <x:f>IF(B154&amp;"-N2"=D154,0,COUNTIFS('Serial Schedule'!$K$7:$K$150,B154&amp;"-N2",'Serial Schedule'!$H$7:$H$150,C154)+COUNTIFS('Serial Schedule'!$K$7:$K$150,D154,'Serial Schedule'!$H$7:$H$150,C154,'Serial Schedule'!$M$7:$M$150,B154&amp;"-N2"))</x:f>
        <x:v>2</x:v>
      </x:c>
      <x:c r="I154" s="47" t="n">
        <x:f>IF(B154&amp;"-N3"=D154,0,COUNTIFS('Serial Schedule'!$K$7:$K$150,B154&amp;"-N3",'Serial Schedule'!$H$7:$H$150,C154)+COUNTIFS('Serial Schedule'!$K$7:$K$150,D154,'Serial Schedule'!$H$7:$H$150,C154,'Serial Schedule'!$M$7:$M$150,B154&amp;"-N3"))</x:f>
        <x:v>0</x:v>
      </x:c>
      <x:c r="J154" s="47" t="n">
        <x:f>MAX(G154:I154)</x:f>
        <x:v>2</x:v>
      </x:c>
      <x:c r="K154" s="47" t="str">
        <x:f>IF(AND(F154=0,J154&lt;=4),"PASS","FAIL")</x:f>
        <x:v>PASS</x:v>
      </x:c>
    </x:row>
    <x:row r="155">
      <x:c r="A155" s="47" t="str">
        <x:v>LOSS-CT-C-B-N3-E6</x:v>
      </x:c>
      <x:c r="B155" s="47" t="str">
        <x:v>CT-C-B</x:v>
      </x:c>
      <x:c r="C155" s="47" t="n">
        <x:v>6</x:v>
      </x:c>
      <x:c r="D155" s="47" t="str">
        <x:v>CT-C-B-N3</x:v>
      </x:c>
      <x:c r="E155" s="47" t="n">
        <x:f>COUNTIFS('Serial Schedule'!$K$7:$K$150,D155,'Serial Schedule'!$H$7:$H$150,C155)</x:f>
        <x:v>1</x:v>
      </x:c>
      <x:c r="F155" s="47" t="n">
        <x:f>SUMIFS('Serial Schedule'!$W$7:$W$150,'Serial Schedule'!$K$7:$K$150,D155,'Serial Schedule'!$H$7:$H$150,C155)</x:f>
        <x:v>0</x:v>
      </x:c>
      <x:c r="G155" s="47" t="n">
        <x:f>IF(B155&amp;"-N1"=D155,0,COUNTIFS('Serial Schedule'!$K$7:$K$150,B155&amp;"-N1",'Serial Schedule'!$H$7:$H$150,C155)+COUNTIFS('Serial Schedule'!$K$7:$K$150,D155,'Serial Schedule'!$H$7:$H$150,C155,'Serial Schedule'!$M$7:$M$150,B155&amp;"-N1"))</x:f>
        <x:v>4</x:v>
      </x:c>
      <x:c r="H155" s="47" t="n">
        <x:f>IF(B155&amp;"-N2"=D155,0,COUNTIFS('Serial Schedule'!$K$7:$K$150,B155&amp;"-N2",'Serial Schedule'!$H$7:$H$150,C155)+COUNTIFS('Serial Schedule'!$K$7:$K$150,D155,'Serial Schedule'!$H$7:$H$150,C155,'Serial Schedule'!$M$7:$M$150,B155&amp;"-N2"))</x:f>
        <x:v>0</x:v>
      </x:c>
      <x:c r="I155" s="47" t="n">
        <x:f>IF(B155&amp;"-N3"=D155,0,COUNTIFS('Serial Schedule'!$K$7:$K$150,B155&amp;"-N3",'Serial Schedule'!$H$7:$H$150,C155)+COUNTIFS('Serial Schedule'!$K$7:$K$150,D155,'Serial Schedule'!$H$7:$H$150,C155,'Serial Schedule'!$M$7:$M$150,B155&amp;"-N3"))</x:f>
        <x:v>0</x:v>
      </x:c>
      <x:c r="J155" s="47" t="n">
        <x:f>MAX(G155:I155)</x:f>
        <x:v>4</x:v>
      </x:c>
      <x:c r="K155" s="47" t="str">
        <x:f>IF(AND(F155=0,J155&lt;=4),"PASS","FAIL")</x:f>
        <x:v>PASS</x:v>
      </x:c>
    </x:row>
    <x:row r="156">
      <x:c r="A156" s="47" t="str">
        <x:v>LOSS-HC-A-C-N1-E1</x:v>
      </x:c>
      <x:c r="B156" s="47" t="str">
        <x:v>HC-A-C</x:v>
      </x:c>
      <x:c r="C156" s="47" t="n">
        <x:v>1</x:v>
      </x:c>
      <x:c r="D156" s="47" t="str">
        <x:v>HC-A-C-N1</x:v>
      </x:c>
      <x:c r="E156" s="47" t="n">
        <x:f>COUNTIFS('Serial Schedule'!$K$7:$K$150,D156,'Serial Schedule'!$H$7:$H$150,C156)</x:f>
        <x:v>3</x:v>
      </x:c>
      <x:c r="F156" s="47" t="n">
        <x:f>SUMIFS('Serial Schedule'!$W$7:$W$150,'Serial Schedule'!$K$7:$K$150,D156,'Serial Schedule'!$H$7:$H$150,C156)</x:f>
        <x:v>0</x:v>
      </x:c>
      <x:c r="G156" s="47" t="n">
        <x:f>IF(B156&amp;"-N1"=D156,0,COUNTIFS('Serial Schedule'!$K$7:$K$150,B156&amp;"-N1",'Serial Schedule'!$H$7:$H$150,C156)+COUNTIFS('Serial Schedule'!$K$7:$K$150,D156,'Serial Schedule'!$H$7:$H$150,C156,'Serial Schedule'!$M$7:$M$150,B156&amp;"-N1"))</x:f>
        <x:v>0</x:v>
      </x:c>
      <x:c r="H156" s="47" t="n">
        <x:f>IF(B156&amp;"-N2"=D156,0,COUNTIFS('Serial Schedule'!$K$7:$K$150,B156&amp;"-N2",'Serial Schedule'!$H$7:$H$150,C156)+COUNTIFS('Serial Schedule'!$K$7:$K$150,D156,'Serial Schedule'!$H$7:$H$150,C156,'Serial Schedule'!$M$7:$M$150,B156&amp;"-N2"))</x:f>
        <x:v>1</x:v>
      </x:c>
      <x:c r="I156" s="47" t="n">
        <x:f>IF(B156&amp;"-N3"=D156,0,COUNTIFS('Serial Schedule'!$K$7:$K$150,B156&amp;"-N3",'Serial Schedule'!$H$7:$H$150,C156)+COUNTIFS('Serial Schedule'!$K$7:$K$150,D156,'Serial Schedule'!$H$7:$H$150,C156,'Serial Schedule'!$M$7:$M$150,B156&amp;"-N3"))</x:f>
        <x:v>3</x:v>
      </x:c>
      <x:c r="J156" s="47" t="n">
        <x:f>MAX(G156:I156)</x:f>
        <x:v>3</x:v>
      </x:c>
      <x:c r="K156" s="47" t="str">
        <x:f>IF(AND(F156=0,J156&lt;=4),"PASS","FAIL")</x:f>
        <x:v>PASS</x:v>
      </x:c>
    </x:row>
    <x:row r="157">
      <x:c r="A157" s="47" t="str">
        <x:v>LOSS-HC-A-C-N1-E2</x:v>
      </x:c>
      <x:c r="B157" s="47" t="str">
        <x:v>HC-A-C</x:v>
      </x:c>
      <x:c r="C157" s="47" t="n">
        <x:v>2</x:v>
      </x:c>
      <x:c r="D157" s="47" t="str">
        <x:v>HC-A-C-N1</x:v>
      </x:c>
      <x:c r="E157" s="47" t="n">
        <x:f>COUNTIFS('Serial Schedule'!$K$7:$K$150,D157,'Serial Schedule'!$H$7:$H$150,C157)</x:f>
        <x:v>1</x:v>
      </x:c>
      <x:c r="F157" s="47" t="n">
        <x:f>SUMIFS('Serial Schedule'!$W$7:$W$150,'Serial Schedule'!$K$7:$K$150,D157,'Serial Schedule'!$H$7:$H$150,C157)</x:f>
        <x:v>0</x:v>
      </x:c>
      <x:c r="G157" s="47" t="n">
        <x:f>IF(B157&amp;"-N1"=D157,0,COUNTIFS('Serial Schedule'!$K$7:$K$150,B157&amp;"-N1",'Serial Schedule'!$H$7:$H$150,C157)+COUNTIFS('Serial Schedule'!$K$7:$K$150,D157,'Serial Schedule'!$H$7:$H$150,C157,'Serial Schedule'!$M$7:$M$150,B157&amp;"-N1"))</x:f>
        <x:v>0</x:v>
      </x:c>
      <x:c r="H157" s="47" t="n">
        <x:f>IF(B157&amp;"-N2"=D157,0,COUNTIFS('Serial Schedule'!$K$7:$K$150,B157&amp;"-N2",'Serial Schedule'!$H$7:$H$150,C157)+COUNTIFS('Serial Schedule'!$K$7:$K$150,D157,'Serial Schedule'!$H$7:$H$150,C157,'Serial Schedule'!$M$7:$M$150,B157&amp;"-N2"))</x:f>
        <x:v>1</x:v>
      </x:c>
      <x:c r="I157" s="47" t="n">
        <x:f>IF(B157&amp;"-N3"=D157,0,COUNTIFS('Serial Schedule'!$K$7:$K$150,B157&amp;"-N3",'Serial Schedule'!$H$7:$H$150,C157)+COUNTIFS('Serial Schedule'!$K$7:$K$150,D157,'Serial Schedule'!$H$7:$H$150,C157,'Serial Schedule'!$M$7:$M$150,B157&amp;"-N3"))</x:f>
        <x:v>3</x:v>
      </x:c>
      <x:c r="J157" s="47" t="n">
        <x:f>MAX(G157:I157)</x:f>
        <x:v>3</x:v>
      </x:c>
      <x:c r="K157" s="47" t="str">
        <x:f>IF(AND(F157=0,J157&lt;=4),"PASS","FAIL")</x:f>
        <x:v>PASS</x:v>
      </x:c>
    </x:row>
    <x:row r="158">
      <x:c r="A158" s="47" t="str">
        <x:v>LOSS-HC-A-C-N1-E3</x:v>
      </x:c>
      <x:c r="B158" s="47" t="str">
        <x:v>HC-A-C</x:v>
      </x:c>
      <x:c r="C158" s="47" t="n">
        <x:v>3</x:v>
      </x:c>
      <x:c r="D158" s="47" t="str">
        <x:v>HC-A-C-N1</x:v>
      </x:c>
      <x:c r="E158" s="47" t="n">
        <x:f>COUNTIFS('Serial Schedule'!$K$7:$K$150,D158,'Serial Schedule'!$H$7:$H$150,C158)</x:f>
        <x:v>1</x:v>
      </x:c>
      <x:c r="F158" s="47" t="n">
        <x:f>SUMIFS('Serial Schedule'!$W$7:$W$150,'Serial Schedule'!$K$7:$K$150,D158,'Serial Schedule'!$H$7:$H$150,C158)</x:f>
        <x:v>0</x:v>
      </x:c>
      <x:c r="G158" s="47" t="n">
        <x:f>IF(B158&amp;"-N1"=D158,0,COUNTIFS('Serial Schedule'!$K$7:$K$150,B158&amp;"-N1",'Serial Schedule'!$H$7:$H$150,C158)+COUNTIFS('Serial Schedule'!$K$7:$K$150,D158,'Serial Schedule'!$H$7:$H$150,C158,'Serial Schedule'!$M$7:$M$150,B158&amp;"-N1"))</x:f>
        <x:v>0</x:v>
      </x:c>
      <x:c r="H158" s="47" t="n">
        <x:f>IF(B158&amp;"-N2"=D158,0,COUNTIFS('Serial Schedule'!$K$7:$K$150,B158&amp;"-N2",'Serial Schedule'!$H$7:$H$150,C158)+COUNTIFS('Serial Schedule'!$K$7:$K$150,D158,'Serial Schedule'!$H$7:$H$150,C158,'Serial Schedule'!$M$7:$M$150,B158&amp;"-N2"))</x:f>
        <x:v>2</x:v>
      </x:c>
      <x:c r="I158" s="47" t="n">
        <x:f>IF(B158&amp;"-N3"=D158,0,COUNTIFS('Serial Schedule'!$K$7:$K$150,B158&amp;"-N3",'Serial Schedule'!$H$7:$H$150,C158)+COUNTIFS('Serial Schedule'!$K$7:$K$150,D158,'Serial Schedule'!$H$7:$H$150,C158,'Serial Schedule'!$M$7:$M$150,B158&amp;"-N3"))</x:f>
        <x:v>2</x:v>
      </x:c>
      <x:c r="J158" s="47" t="n">
        <x:f>MAX(G158:I158)</x:f>
        <x:v>2</x:v>
      </x:c>
      <x:c r="K158" s="47" t="str">
        <x:f>IF(AND(F158=0,J158&lt;=4),"PASS","FAIL")</x:f>
        <x:v>PASS</x:v>
      </x:c>
    </x:row>
    <x:row r="159">
      <x:c r="A159" s="47" t="str">
        <x:v>LOSS-HC-A-C-N1-E4</x:v>
      </x:c>
      <x:c r="B159" s="47" t="str">
        <x:v>HC-A-C</x:v>
      </x:c>
      <x:c r="C159" s="47" t="n">
        <x:v>4</x:v>
      </x:c>
      <x:c r="D159" s="47" t="str">
        <x:v>HC-A-C-N1</x:v>
      </x:c>
      <x:c r="E159" s="47" t="n">
        <x:f>COUNTIFS('Serial Schedule'!$K$7:$K$150,D159,'Serial Schedule'!$H$7:$H$150,C159)</x:f>
        <x:v>1</x:v>
      </x:c>
      <x:c r="F159" s="47" t="n">
        <x:f>SUMIFS('Serial Schedule'!$W$7:$W$150,'Serial Schedule'!$K$7:$K$150,D159,'Serial Schedule'!$H$7:$H$150,C159)</x:f>
        <x:v>0</x:v>
      </x:c>
      <x:c r="G159" s="47" t="n">
        <x:f>IF(B159&amp;"-N1"=D159,0,COUNTIFS('Serial Schedule'!$K$7:$K$150,B159&amp;"-N1",'Serial Schedule'!$H$7:$H$150,C159)+COUNTIFS('Serial Schedule'!$K$7:$K$150,D159,'Serial Schedule'!$H$7:$H$150,C159,'Serial Schedule'!$M$7:$M$150,B159&amp;"-N1"))</x:f>
        <x:v>0</x:v>
      </x:c>
      <x:c r="H159" s="47" t="n">
        <x:f>IF(B159&amp;"-N2"=D159,0,COUNTIFS('Serial Schedule'!$K$7:$K$150,B159&amp;"-N2",'Serial Schedule'!$H$7:$H$150,C159)+COUNTIFS('Serial Schedule'!$K$7:$K$150,D159,'Serial Schedule'!$H$7:$H$150,C159,'Serial Schedule'!$M$7:$M$150,B159&amp;"-N2"))</x:f>
        <x:v>3</x:v>
      </x:c>
      <x:c r="I159" s="47" t="n">
        <x:f>IF(B159&amp;"-N3"=D159,0,COUNTIFS('Serial Schedule'!$K$7:$K$150,B159&amp;"-N3",'Serial Schedule'!$H$7:$H$150,C159)+COUNTIFS('Serial Schedule'!$K$7:$K$150,D159,'Serial Schedule'!$H$7:$H$150,C159,'Serial Schedule'!$M$7:$M$150,B159&amp;"-N3"))</x:f>
        <x:v>1</x:v>
      </x:c>
      <x:c r="J159" s="47" t="n">
        <x:f>MAX(G159:I159)</x:f>
        <x:v>3</x:v>
      </x:c>
      <x:c r="K159" s="47" t="str">
        <x:f>IF(AND(F159=0,J159&lt;=4),"PASS","FAIL")</x:f>
        <x:v>PASS</x:v>
      </x:c>
    </x:row>
    <x:row r="160">
      <x:c r="A160" s="47" t="str">
        <x:v>LOSS-HC-A-C-N1-E5</x:v>
      </x:c>
      <x:c r="B160" s="47" t="str">
        <x:v>HC-A-C</x:v>
      </x:c>
      <x:c r="C160" s="47" t="n">
        <x:v>5</x:v>
      </x:c>
      <x:c r="D160" s="47" t="str">
        <x:v>HC-A-C-N1</x:v>
      </x:c>
      <x:c r="E160" s="47" t="n">
        <x:f>COUNTIFS('Serial Schedule'!$K$7:$K$150,D160,'Serial Schedule'!$H$7:$H$150,C160)</x:f>
        <x:v>1</x:v>
      </x:c>
      <x:c r="F160" s="47" t="n">
        <x:f>SUMIFS('Serial Schedule'!$W$7:$W$150,'Serial Schedule'!$K$7:$K$150,D160,'Serial Schedule'!$H$7:$H$150,C160)</x:f>
        <x:v>0</x:v>
      </x:c>
      <x:c r="G160" s="47" t="n">
        <x:f>IF(B160&amp;"-N1"=D160,0,COUNTIFS('Serial Schedule'!$K$7:$K$150,B160&amp;"-N1",'Serial Schedule'!$H$7:$H$150,C160)+COUNTIFS('Serial Schedule'!$K$7:$K$150,D160,'Serial Schedule'!$H$7:$H$150,C160,'Serial Schedule'!$M$7:$M$150,B160&amp;"-N1"))</x:f>
        <x:v>0</x:v>
      </x:c>
      <x:c r="H160" s="47" t="n">
        <x:f>IF(B160&amp;"-N2"=D160,0,COUNTIFS('Serial Schedule'!$K$7:$K$150,B160&amp;"-N2",'Serial Schedule'!$H$7:$H$150,C160)+COUNTIFS('Serial Schedule'!$K$7:$K$150,D160,'Serial Schedule'!$H$7:$H$150,C160,'Serial Schedule'!$M$7:$M$150,B160&amp;"-N2"))</x:f>
        <x:v>2</x:v>
      </x:c>
      <x:c r="I160" s="47" t="n">
        <x:f>IF(B160&amp;"-N3"=D160,0,COUNTIFS('Serial Schedule'!$K$7:$K$150,B160&amp;"-N3",'Serial Schedule'!$H$7:$H$150,C160)+COUNTIFS('Serial Schedule'!$K$7:$K$150,D160,'Serial Schedule'!$H$7:$H$150,C160,'Serial Schedule'!$M$7:$M$150,B160&amp;"-N3"))</x:f>
        <x:v>2</x:v>
      </x:c>
      <x:c r="J160" s="47" t="n">
        <x:f>MAX(G160:I160)</x:f>
        <x:v>2</x:v>
      </x:c>
      <x:c r="K160" s="47" t="str">
        <x:f>IF(AND(F160=0,J160&lt;=4),"PASS","FAIL")</x:f>
        <x:v>PASS</x:v>
      </x:c>
    </x:row>
    <x:row r="161">
      <x:c r="A161" s="47" t="str">
        <x:v>LOSS-HC-A-C-N1-E6</x:v>
      </x:c>
      <x:c r="B161" s="47" t="str">
        <x:v>HC-A-C</x:v>
      </x:c>
      <x:c r="C161" s="47" t="n">
        <x:v>6</x:v>
      </x:c>
      <x:c r="D161" s="47" t="str">
        <x:v>HC-A-C-N1</x:v>
      </x:c>
      <x:c r="E161" s="47" t="n">
        <x:f>COUNTIFS('Serial Schedule'!$K$7:$K$150,D161,'Serial Schedule'!$H$7:$H$150,C161)</x:f>
        <x:v>2</x:v>
      </x:c>
      <x:c r="F161" s="47" t="n">
        <x:f>SUMIFS('Serial Schedule'!$W$7:$W$150,'Serial Schedule'!$K$7:$K$150,D161,'Serial Schedule'!$H$7:$H$150,C161)</x:f>
        <x:v>0</x:v>
      </x:c>
      <x:c r="G161" s="47" t="n">
        <x:f>IF(B161&amp;"-N1"=D161,0,COUNTIFS('Serial Schedule'!$K$7:$K$150,B161&amp;"-N1",'Serial Schedule'!$H$7:$H$150,C161)+COUNTIFS('Serial Schedule'!$K$7:$K$150,D161,'Serial Schedule'!$H$7:$H$150,C161,'Serial Schedule'!$M$7:$M$150,B161&amp;"-N1"))</x:f>
        <x:v>0</x:v>
      </x:c>
      <x:c r="H161" s="47" t="n">
        <x:f>IF(B161&amp;"-N2"=D161,0,COUNTIFS('Serial Schedule'!$K$7:$K$150,B161&amp;"-N2",'Serial Schedule'!$H$7:$H$150,C161)+COUNTIFS('Serial Schedule'!$K$7:$K$150,D161,'Serial Schedule'!$H$7:$H$150,C161,'Serial Schedule'!$M$7:$M$150,B161&amp;"-N2"))</x:f>
        <x:v>3</x:v>
      </x:c>
      <x:c r="I161" s="47" t="n">
        <x:f>IF(B161&amp;"-N3"=D161,0,COUNTIFS('Serial Schedule'!$K$7:$K$150,B161&amp;"-N3",'Serial Schedule'!$H$7:$H$150,C161)+COUNTIFS('Serial Schedule'!$K$7:$K$150,D161,'Serial Schedule'!$H$7:$H$150,C161,'Serial Schedule'!$M$7:$M$150,B161&amp;"-N3"))</x:f>
        <x:v>1</x:v>
      </x:c>
      <x:c r="J161" s="47" t="n">
        <x:f>MAX(G161:I161)</x:f>
        <x:v>3</x:v>
      </x:c>
      <x:c r="K161" s="47" t="str">
        <x:f>IF(AND(F161=0,J161&lt;=4),"PASS","FAIL")</x:f>
        <x:v>PASS</x:v>
      </x:c>
    </x:row>
    <x:row r="162">
      <x:c r="A162" s="47" t="str">
        <x:v>LOSS-HC-A-C-N2-E1</x:v>
      </x:c>
      <x:c r="B162" s="47" t="str">
        <x:v>HC-A-C</x:v>
      </x:c>
      <x:c r="C162" s="47" t="n">
        <x:v>1</x:v>
      </x:c>
      <x:c r="D162" s="47" t="str">
        <x:v>HC-A-C-N2</x:v>
      </x:c>
      <x:c r="E162" s="47" t="n">
        <x:f>COUNTIFS('Serial Schedule'!$K$7:$K$150,D162,'Serial Schedule'!$H$7:$H$150,C162)</x:f>
        <x:v>0</x:v>
      </x:c>
      <x:c r="F162" s="47" t="n">
        <x:f>SUMIFS('Serial Schedule'!$W$7:$W$150,'Serial Schedule'!$K$7:$K$150,D162,'Serial Schedule'!$H$7:$H$150,C162)</x:f>
        <x:v>0</x:v>
      </x:c>
      <x:c r="G162" s="47" t="n">
        <x:f>IF(B162&amp;"-N1"=D162,0,COUNTIFS('Serial Schedule'!$K$7:$K$150,B162&amp;"-N1",'Serial Schedule'!$H$7:$H$150,C162)+COUNTIFS('Serial Schedule'!$K$7:$K$150,D162,'Serial Schedule'!$H$7:$H$150,C162,'Serial Schedule'!$M$7:$M$150,B162&amp;"-N1"))</x:f>
        <x:v>3</x:v>
      </x:c>
      <x:c r="H162" s="47" t="n">
        <x:f>IF(B162&amp;"-N2"=D162,0,COUNTIFS('Serial Schedule'!$K$7:$K$150,B162&amp;"-N2",'Serial Schedule'!$H$7:$H$150,C162)+COUNTIFS('Serial Schedule'!$K$7:$K$150,D162,'Serial Schedule'!$H$7:$H$150,C162,'Serial Schedule'!$M$7:$M$150,B162&amp;"-N2"))</x:f>
        <x:v>0</x:v>
      </x:c>
      <x:c r="I162" s="47" t="n">
        <x:f>IF(B162&amp;"-N3"=D162,0,COUNTIFS('Serial Schedule'!$K$7:$K$150,B162&amp;"-N3",'Serial Schedule'!$H$7:$H$150,C162)+COUNTIFS('Serial Schedule'!$K$7:$K$150,D162,'Serial Schedule'!$H$7:$H$150,C162,'Serial Schedule'!$M$7:$M$150,B162&amp;"-N3"))</x:f>
        <x:v>1</x:v>
      </x:c>
      <x:c r="J162" s="47" t="n">
        <x:f>MAX(G162:I162)</x:f>
        <x:v>3</x:v>
      </x:c>
      <x:c r="K162" s="47" t="str">
        <x:f>IF(AND(F162=0,J162&lt;=4),"PASS","FAIL")</x:f>
        <x:v>PASS</x:v>
      </x:c>
    </x:row>
    <x:row r="163">
      <x:c r="A163" s="47" t="str">
        <x:v>LOSS-HC-A-C-N2-E2</x:v>
      </x:c>
      <x:c r="B163" s="47" t="str">
        <x:v>HC-A-C</x:v>
      </x:c>
      <x:c r="C163" s="47" t="n">
        <x:v>2</x:v>
      </x:c>
      <x:c r="D163" s="47" t="str">
        <x:v>HC-A-C-N2</x:v>
      </x:c>
      <x:c r="E163" s="47" t="n">
        <x:f>COUNTIFS('Serial Schedule'!$K$7:$K$150,D163,'Serial Schedule'!$H$7:$H$150,C163)</x:f>
        <x:v>1</x:v>
      </x:c>
      <x:c r="F163" s="47" t="n">
        <x:f>SUMIFS('Serial Schedule'!$W$7:$W$150,'Serial Schedule'!$K$7:$K$150,D163,'Serial Schedule'!$H$7:$H$150,C163)</x:f>
        <x:v>0</x:v>
      </x:c>
      <x:c r="G163" s="47" t="n">
        <x:f>IF(B163&amp;"-N1"=D163,0,COUNTIFS('Serial Schedule'!$K$7:$K$150,B163&amp;"-N1",'Serial Schedule'!$H$7:$H$150,C163)+COUNTIFS('Serial Schedule'!$K$7:$K$150,D163,'Serial Schedule'!$H$7:$H$150,C163,'Serial Schedule'!$M$7:$M$150,B163&amp;"-N1"))</x:f>
        <x:v>1</x:v>
      </x:c>
      <x:c r="H163" s="47" t="n">
        <x:f>IF(B163&amp;"-N2"=D163,0,COUNTIFS('Serial Schedule'!$K$7:$K$150,B163&amp;"-N2",'Serial Schedule'!$H$7:$H$150,C163)+COUNTIFS('Serial Schedule'!$K$7:$K$150,D163,'Serial Schedule'!$H$7:$H$150,C163,'Serial Schedule'!$M$7:$M$150,B163&amp;"-N2"))</x:f>
        <x:v>0</x:v>
      </x:c>
      <x:c r="I163" s="47" t="n">
        <x:f>IF(B163&amp;"-N3"=D163,0,COUNTIFS('Serial Schedule'!$K$7:$K$150,B163&amp;"-N3",'Serial Schedule'!$H$7:$H$150,C163)+COUNTIFS('Serial Schedule'!$K$7:$K$150,D163,'Serial Schedule'!$H$7:$H$150,C163,'Serial Schedule'!$M$7:$M$150,B163&amp;"-N3"))</x:f>
        <x:v>3</x:v>
      </x:c>
      <x:c r="J163" s="47" t="n">
        <x:f>MAX(G163:I163)</x:f>
        <x:v>3</x:v>
      </x:c>
      <x:c r="K163" s="47" t="str">
        <x:f>IF(AND(F163=0,J163&lt;=4),"PASS","FAIL")</x:f>
        <x:v>PASS</x:v>
      </x:c>
    </x:row>
    <x:row r="164">
      <x:c r="A164" s="47" t="str">
        <x:v>LOSS-HC-A-C-N2-E3</x:v>
      </x:c>
      <x:c r="B164" s="47" t="str">
        <x:v>HC-A-C</x:v>
      </x:c>
      <x:c r="C164" s="47" t="n">
        <x:v>3</x:v>
      </x:c>
      <x:c r="D164" s="47" t="str">
        <x:v>HC-A-C-N2</x:v>
      </x:c>
      <x:c r="E164" s="47" t="n">
        <x:f>COUNTIFS('Serial Schedule'!$K$7:$K$150,D164,'Serial Schedule'!$H$7:$H$150,C164)</x:f>
        <x:v>2</x:v>
      </x:c>
      <x:c r="F164" s="47" t="n">
        <x:f>SUMIFS('Serial Schedule'!$W$7:$W$150,'Serial Schedule'!$K$7:$K$150,D164,'Serial Schedule'!$H$7:$H$150,C164)</x:f>
        <x:v>0</x:v>
      </x:c>
      <x:c r="G164" s="47" t="n">
        <x:f>IF(B164&amp;"-N1"=D164,0,COUNTIFS('Serial Schedule'!$K$7:$K$150,B164&amp;"-N1",'Serial Schedule'!$H$7:$H$150,C164)+COUNTIFS('Serial Schedule'!$K$7:$K$150,D164,'Serial Schedule'!$H$7:$H$150,C164,'Serial Schedule'!$M$7:$M$150,B164&amp;"-N1"))</x:f>
        <x:v>2</x:v>
      </x:c>
      <x:c r="H164" s="47" t="n">
        <x:f>IF(B164&amp;"-N2"=D164,0,COUNTIFS('Serial Schedule'!$K$7:$K$150,B164&amp;"-N2",'Serial Schedule'!$H$7:$H$150,C164)+COUNTIFS('Serial Schedule'!$K$7:$K$150,D164,'Serial Schedule'!$H$7:$H$150,C164,'Serial Schedule'!$M$7:$M$150,B164&amp;"-N2"))</x:f>
        <x:v>0</x:v>
      </x:c>
      <x:c r="I164" s="47" t="n">
        <x:f>IF(B164&amp;"-N3"=D164,0,COUNTIFS('Serial Schedule'!$K$7:$K$150,B164&amp;"-N3",'Serial Schedule'!$H$7:$H$150,C164)+COUNTIFS('Serial Schedule'!$K$7:$K$150,D164,'Serial Schedule'!$H$7:$H$150,C164,'Serial Schedule'!$M$7:$M$150,B164&amp;"-N3"))</x:f>
        <x:v>2</x:v>
      </x:c>
      <x:c r="J164" s="47" t="n">
        <x:f>MAX(G164:I164)</x:f>
        <x:v>2</x:v>
      </x:c>
      <x:c r="K164" s="47" t="str">
        <x:f>IF(AND(F164=0,J164&lt;=4),"PASS","FAIL")</x:f>
        <x:v>PASS</x:v>
      </x:c>
    </x:row>
    <x:row r="165">
      <x:c r="A165" s="47" t="str">
        <x:v>LOSS-HC-A-C-N2-E4</x:v>
      </x:c>
      <x:c r="B165" s="47" t="str">
        <x:v>HC-A-C</x:v>
      </x:c>
      <x:c r="C165" s="47" t="n">
        <x:v>4</x:v>
      </x:c>
      <x:c r="D165" s="47" t="str">
        <x:v>HC-A-C-N2</x:v>
      </x:c>
      <x:c r="E165" s="47" t="n">
        <x:f>COUNTIFS('Serial Schedule'!$K$7:$K$150,D165,'Serial Schedule'!$H$7:$H$150,C165)</x:f>
        <x:v>2</x:v>
      </x:c>
      <x:c r="F165" s="47" t="n">
        <x:f>SUMIFS('Serial Schedule'!$W$7:$W$150,'Serial Schedule'!$K$7:$K$150,D165,'Serial Schedule'!$H$7:$H$150,C165)</x:f>
        <x:v>0</x:v>
      </x:c>
      <x:c r="G165" s="47" t="n">
        <x:f>IF(B165&amp;"-N1"=D165,0,COUNTIFS('Serial Schedule'!$K$7:$K$150,B165&amp;"-N1",'Serial Schedule'!$H$7:$H$150,C165)+COUNTIFS('Serial Schedule'!$K$7:$K$150,D165,'Serial Schedule'!$H$7:$H$150,C165,'Serial Schedule'!$M$7:$M$150,B165&amp;"-N1"))</x:f>
        <x:v>1</x:v>
      </x:c>
      <x:c r="H165" s="47" t="n">
        <x:f>IF(B165&amp;"-N2"=D165,0,COUNTIFS('Serial Schedule'!$K$7:$K$150,B165&amp;"-N2",'Serial Schedule'!$H$7:$H$150,C165)+COUNTIFS('Serial Schedule'!$K$7:$K$150,D165,'Serial Schedule'!$H$7:$H$150,C165,'Serial Schedule'!$M$7:$M$150,B165&amp;"-N2"))</x:f>
        <x:v>0</x:v>
      </x:c>
      <x:c r="I165" s="47" t="n">
        <x:f>IF(B165&amp;"-N3"=D165,0,COUNTIFS('Serial Schedule'!$K$7:$K$150,B165&amp;"-N3",'Serial Schedule'!$H$7:$H$150,C165)+COUNTIFS('Serial Schedule'!$K$7:$K$150,D165,'Serial Schedule'!$H$7:$H$150,C165,'Serial Schedule'!$M$7:$M$150,B165&amp;"-N3"))</x:f>
        <x:v>3</x:v>
      </x:c>
      <x:c r="J165" s="47" t="n">
        <x:f>MAX(G165:I165)</x:f>
        <x:v>3</x:v>
      </x:c>
      <x:c r="K165" s="47" t="str">
        <x:f>IF(AND(F165=0,J165&lt;=4),"PASS","FAIL")</x:f>
        <x:v>PASS</x:v>
      </x:c>
    </x:row>
    <x:row r="166">
      <x:c r="A166" s="47" t="str">
        <x:v>LOSS-HC-A-C-N2-E5</x:v>
      </x:c>
      <x:c r="B166" s="47" t="str">
        <x:v>HC-A-C</x:v>
      </x:c>
      <x:c r="C166" s="47" t="n">
        <x:v>5</x:v>
      </x:c>
      <x:c r="D166" s="47" t="str">
        <x:v>HC-A-C-N2</x:v>
      </x:c>
      <x:c r="E166" s="47" t="n">
        <x:f>COUNTIFS('Serial Schedule'!$K$7:$K$150,D166,'Serial Schedule'!$H$7:$H$150,C166)</x:f>
        <x:v>2</x:v>
      </x:c>
      <x:c r="F166" s="47" t="n">
        <x:f>SUMIFS('Serial Schedule'!$W$7:$W$150,'Serial Schedule'!$K$7:$K$150,D166,'Serial Schedule'!$H$7:$H$150,C166)</x:f>
        <x:v>0</x:v>
      </x:c>
      <x:c r="G166" s="47" t="n">
        <x:f>IF(B166&amp;"-N1"=D166,0,COUNTIFS('Serial Schedule'!$K$7:$K$150,B166&amp;"-N1",'Serial Schedule'!$H$7:$H$150,C166)+COUNTIFS('Serial Schedule'!$K$7:$K$150,D166,'Serial Schedule'!$H$7:$H$150,C166,'Serial Schedule'!$M$7:$M$150,B166&amp;"-N1"))</x:f>
        <x:v>2</x:v>
      </x:c>
      <x:c r="H166" s="47" t="n">
        <x:f>IF(B166&amp;"-N2"=D166,0,COUNTIFS('Serial Schedule'!$K$7:$K$150,B166&amp;"-N2",'Serial Schedule'!$H$7:$H$150,C166)+COUNTIFS('Serial Schedule'!$K$7:$K$150,D166,'Serial Schedule'!$H$7:$H$150,C166,'Serial Schedule'!$M$7:$M$150,B166&amp;"-N2"))</x:f>
        <x:v>0</x:v>
      </x:c>
      <x:c r="I166" s="47" t="n">
        <x:f>IF(B166&amp;"-N3"=D166,0,COUNTIFS('Serial Schedule'!$K$7:$K$150,B166&amp;"-N3",'Serial Schedule'!$H$7:$H$150,C166)+COUNTIFS('Serial Schedule'!$K$7:$K$150,D166,'Serial Schedule'!$H$7:$H$150,C166,'Serial Schedule'!$M$7:$M$150,B166&amp;"-N3"))</x:f>
        <x:v>2</x:v>
      </x:c>
      <x:c r="J166" s="47" t="n">
        <x:f>MAX(G166:I166)</x:f>
        <x:v>2</x:v>
      </x:c>
      <x:c r="K166" s="47" t="str">
        <x:f>IF(AND(F166=0,J166&lt;=4),"PASS","FAIL")</x:f>
        <x:v>PASS</x:v>
      </x:c>
    </x:row>
    <x:row r="167">
      <x:c r="A167" s="47" t="str">
        <x:v>LOSS-HC-A-C-N2-E6</x:v>
      </x:c>
      <x:c r="B167" s="47" t="str">
        <x:v>HC-A-C</x:v>
      </x:c>
      <x:c r="C167" s="47" t="n">
        <x:v>6</x:v>
      </x:c>
      <x:c r="D167" s="47" t="str">
        <x:v>HC-A-C-N2</x:v>
      </x:c>
      <x:c r="E167" s="47" t="n">
        <x:f>COUNTIFS('Serial Schedule'!$K$7:$K$150,D167,'Serial Schedule'!$H$7:$H$150,C167)</x:f>
        <x:v>2</x:v>
      </x:c>
      <x:c r="F167" s="47" t="n">
        <x:f>SUMIFS('Serial Schedule'!$W$7:$W$150,'Serial Schedule'!$K$7:$K$150,D167,'Serial Schedule'!$H$7:$H$150,C167)</x:f>
        <x:v>0</x:v>
      </x:c>
      <x:c r="G167" s="47" t="n">
        <x:f>IF(B167&amp;"-N1"=D167,0,COUNTIFS('Serial Schedule'!$K$7:$K$150,B167&amp;"-N1",'Serial Schedule'!$H$7:$H$150,C167)+COUNTIFS('Serial Schedule'!$K$7:$K$150,D167,'Serial Schedule'!$H$7:$H$150,C167,'Serial Schedule'!$M$7:$M$150,B167&amp;"-N1"))</x:f>
        <x:v>3</x:v>
      </x:c>
      <x:c r="H167" s="47" t="n">
        <x:f>IF(B167&amp;"-N2"=D167,0,COUNTIFS('Serial Schedule'!$K$7:$K$150,B167&amp;"-N2",'Serial Schedule'!$H$7:$H$150,C167)+COUNTIFS('Serial Schedule'!$K$7:$K$150,D167,'Serial Schedule'!$H$7:$H$150,C167,'Serial Schedule'!$M$7:$M$150,B167&amp;"-N2"))</x:f>
        <x:v>0</x:v>
      </x:c>
      <x:c r="I167" s="47" t="n">
        <x:f>IF(B167&amp;"-N3"=D167,0,COUNTIFS('Serial Schedule'!$K$7:$K$150,B167&amp;"-N3",'Serial Schedule'!$H$7:$H$150,C167)+COUNTIFS('Serial Schedule'!$K$7:$K$150,D167,'Serial Schedule'!$H$7:$H$150,C167,'Serial Schedule'!$M$7:$M$150,B167&amp;"-N3"))</x:f>
        <x:v>1</x:v>
      </x:c>
      <x:c r="J167" s="47" t="n">
        <x:f>MAX(G167:I167)</x:f>
        <x:v>3</x:v>
      </x:c>
      <x:c r="K167" s="47" t="str">
        <x:f>IF(AND(F167=0,J167&lt;=4),"PASS","FAIL")</x:f>
        <x:v>PASS</x:v>
      </x:c>
    </x:row>
    <x:row r="168">
      <x:c r="A168" s="47" t="str">
        <x:v>LOSS-HC-A-C-N3-E1</x:v>
      </x:c>
      <x:c r="B168" s="47" t="str">
        <x:v>HC-A-C</x:v>
      </x:c>
      <x:c r="C168" s="47" t="n">
        <x:v>1</x:v>
      </x:c>
      <x:c r="D168" s="47" t="str">
        <x:v>HC-A-C-N3</x:v>
      </x:c>
      <x:c r="E168" s="47" t="n">
        <x:f>COUNTIFS('Serial Schedule'!$K$7:$K$150,D168,'Serial Schedule'!$H$7:$H$150,C168)</x:f>
        <x:v>1</x:v>
      </x:c>
      <x:c r="F168" s="47" t="n">
        <x:f>SUMIFS('Serial Schedule'!$W$7:$W$150,'Serial Schedule'!$K$7:$K$150,D168,'Serial Schedule'!$H$7:$H$150,C168)</x:f>
        <x:v>0</x:v>
      </x:c>
      <x:c r="G168" s="47" t="n">
        <x:f>IF(B168&amp;"-N1"=D168,0,COUNTIFS('Serial Schedule'!$K$7:$K$150,B168&amp;"-N1",'Serial Schedule'!$H$7:$H$150,C168)+COUNTIFS('Serial Schedule'!$K$7:$K$150,D168,'Serial Schedule'!$H$7:$H$150,C168,'Serial Schedule'!$M$7:$M$150,B168&amp;"-N1"))</x:f>
        <x:v>4</x:v>
      </x:c>
      <x:c r="H168" s="47" t="n">
        <x:f>IF(B168&amp;"-N2"=D168,0,COUNTIFS('Serial Schedule'!$K$7:$K$150,B168&amp;"-N2",'Serial Schedule'!$H$7:$H$150,C168)+COUNTIFS('Serial Schedule'!$K$7:$K$150,D168,'Serial Schedule'!$H$7:$H$150,C168,'Serial Schedule'!$M$7:$M$150,B168&amp;"-N2"))</x:f>
        <x:v>0</x:v>
      </x:c>
      <x:c r="I168" s="47" t="n">
        <x:f>IF(B168&amp;"-N3"=D168,0,COUNTIFS('Serial Schedule'!$K$7:$K$150,B168&amp;"-N3",'Serial Schedule'!$H$7:$H$150,C168)+COUNTIFS('Serial Schedule'!$K$7:$K$150,D168,'Serial Schedule'!$H$7:$H$150,C168,'Serial Schedule'!$M$7:$M$150,B168&amp;"-N3"))</x:f>
        <x:v>0</x:v>
      </x:c>
      <x:c r="J168" s="47" t="n">
        <x:f>MAX(G168:I168)</x:f>
        <x:v>4</x:v>
      </x:c>
      <x:c r="K168" s="47" t="str">
        <x:f>IF(AND(F168=0,J168&lt;=4),"PASS","FAIL")</x:f>
        <x:v>PASS</x:v>
      </x:c>
    </x:row>
    <x:row r="169">
      <x:c r="A169" s="47" t="str">
        <x:v>LOSS-HC-A-C-N3-E2</x:v>
      </x:c>
      <x:c r="B169" s="47" t="str">
        <x:v>HC-A-C</x:v>
      </x:c>
      <x:c r="C169" s="47" t="n">
        <x:v>2</x:v>
      </x:c>
      <x:c r="D169" s="47" t="str">
        <x:v>HC-A-C-N3</x:v>
      </x:c>
      <x:c r="E169" s="47" t="n">
        <x:f>COUNTIFS('Serial Schedule'!$K$7:$K$150,D169,'Serial Schedule'!$H$7:$H$150,C169)</x:f>
        <x:v>2</x:v>
      </x:c>
      <x:c r="F169" s="47" t="n">
        <x:f>SUMIFS('Serial Schedule'!$W$7:$W$150,'Serial Schedule'!$K$7:$K$150,D169,'Serial Schedule'!$H$7:$H$150,C169)</x:f>
        <x:v>0</x:v>
      </x:c>
      <x:c r="G169" s="47" t="n">
        <x:f>IF(B169&amp;"-N1"=D169,0,COUNTIFS('Serial Schedule'!$K$7:$K$150,B169&amp;"-N1",'Serial Schedule'!$H$7:$H$150,C169)+COUNTIFS('Serial Schedule'!$K$7:$K$150,D169,'Serial Schedule'!$H$7:$H$150,C169,'Serial Schedule'!$M$7:$M$150,B169&amp;"-N1"))</x:f>
        <x:v>2</x:v>
      </x:c>
      <x:c r="H169" s="47" t="n">
        <x:f>IF(B169&amp;"-N2"=D169,0,COUNTIFS('Serial Schedule'!$K$7:$K$150,B169&amp;"-N2",'Serial Schedule'!$H$7:$H$150,C169)+COUNTIFS('Serial Schedule'!$K$7:$K$150,D169,'Serial Schedule'!$H$7:$H$150,C169,'Serial Schedule'!$M$7:$M$150,B169&amp;"-N2"))</x:f>
        <x:v>2</x:v>
      </x:c>
      <x:c r="I169" s="47" t="n">
        <x:f>IF(B169&amp;"-N3"=D169,0,COUNTIFS('Serial Schedule'!$K$7:$K$150,B169&amp;"-N3",'Serial Schedule'!$H$7:$H$150,C169)+COUNTIFS('Serial Schedule'!$K$7:$K$150,D169,'Serial Schedule'!$H$7:$H$150,C169,'Serial Schedule'!$M$7:$M$150,B169&amp;"-N3"))</x:f>
        <x:v>0</x:v>
      </x:c>
      <x:c r="J169" s="47" t="n">
        <x:f>MAX(G169:I169)</x:f>
        <x:v>2</x:v>
      </x:c>
      <x:c r="K169" s="47" t="str">
        <x:f>IF(AND(F169=0,J169&lt;=4),"PASS","FAIL")</x:f>
        <x:v>PASS</x:v>
      </x:c>
    </x:row>
    <x:row r="170">
      <x:c r="A170" s="47" t="str">
        <x:v>LOSS-HC-A-C-N3-E3</x:v>
      </x:c>
      <x:c r="B170" s="47" t="str">
        <x:v>HC-A-C</x:v>
      </x:c>
      <x:c r="C170" s="47" t="n">
        <x:v>3</x:v>
      </x:c>
      <x:c r="D170" s="47" t="str">
        <x:v>HC-A-C-N3</x:v>
      </x:c>
      <x:c r="E170" s="47" t="n">
        <x:f>COUNTIFS('Serial Schedule'!$K$7:$K$150,D170,'Serial Schedule'!$H$7:$H$150,C170)</x:f>
        <x:v>1</x:v>
      </x:c>
      <x:c r="F170" s="47" t="n">
        <x:f>SUMIFS('Serial Schedule'!$W$7:$W$150,'Serial Schedule'!$K$7:$K$150,D170,'Serial Schedule'!$H$7:$H$150,C170)</x:f>
        <x:v>0</x:v>
      </x:c>
      <x:c r="G170" s="47" t="n">
        <x:f>IF(B170&amp;"-N1"=D170,0,COUNTIFS('Serial Schedule'!$K$7:$K$150,B170&amp;"-N1",'Serial Schedule'!$H$7:$H$150,C170)+COUNTIFS('Serial Schedule'!$K$7:$K$150,D170,'Serial Schedule'!$H$7:$H$150,C170,'Serial Schedule'!$M$7:$M$150,B170&amp;"-N1"))</x:f>
        <x:v>1</x:v>
      </x:c>
      <x:c r="H170" s="47" t="n">
        <x:f>IF(B170&amp;"-N2"=D170,0,COUNTIFS('Serial Schedule'!$K$7:$K$150,B170&amp;"-N2",'Serial Schedule'!$H$7:$H$150,C170)+COUNTIFS('Serial Schedule'!$K$7:$K$150,D170,'Serial Schedule'!$H$7:$H$150,C170,'Serial Schedule'!$M$7:$M$150,B170&amp;"-N2"))</x:f>
        <x:v>3</x:v>
      </x:c>
      <x:c r="I170" s="47" t="n">
        <x:f>IF(B170&amp;"-N3"=D170,0,COUNTIFS('Serial Schedule'!$K$7:$K$150,B170&amp;"-N3",'Serial Schedule'!$H$7:$H$150,C170)+COUNTIFS('Serial Schedule'!$K$7:$K$150,D170,'Serial Schedule'!$H$7:$H$150,C170,'Serial Schedule'!$M$7:$M$150,B170&amp;"-N3"))</x:f>
        <x:v>0</x:v>
      </x:c>
      <x:c r="J170" s="47" t="n">
        <x:f>MAX(G170:I170)</x:f>
        <x:v>3</x:v>
      </x:c>
      <x:c r="K170" s="47" t="str">
        <x:f>IF(AND(F170=0,J170&lt;=4),"PASS","FAIL")</x:f>
        <x:v>PASS</x:v>
      </x:c>
    </x:row>
    <x:row r="171">
      <x:c r="A171" s="47" t="str">
        <x:v>LOSS-HC-A-C-N3-E4</x:v>
      </x:c>
      <x:c r="B171" s="47" t="str">
        <x:v>HC-A-C</x:v>
      </x:c>
      <x:c r="C171" s="47" t="n">
        <x:v>4</x:v>
      </x:c>
      <x:c r="D171" s="47" t="str">
        <x:v>HC-A-C-N3</x:v>
      </x:c>
      <x:c r="E171" s="47" t="n">
        <x:f>COUNTIFS('Serial Schedule'!$K$7:$K$150,D171,'Serial Schedule'!$H$7:$H$150,C171)</x:f>
        <x:v>1</x:v>
      </x:c>
      <x:c r="F171" s="47" t="n">
        <x:f>SUMIFS('Serial Schedule'!$W$7:$W$150,'Serial Schedule'!$K$7:$K$150,D171,'Serial Schedule'!$H$7:$H$150,C171)</x:f>
        <x:v>0</x:v>
      </x:c>
      <x:c r="G171" s="47" t="n">
        <x:f>IF(B171&amp;"-N1"=D171,0,COUNTIFS('Serial Schedule'!$K$7:$K$150,B171&amp;"-N1",'Serial Schedule'!$H$7:$H$150,C171)+COUNTIFS('Serial Schedule'!$K$7:$K$150,D171,'Serial Schedule'!$H$7:$H$150,C171,'Serial Schedule'!$M$7:$M$150,B171&amp;"-N1"))</x:f>
        <x:v>2</x:v>
      </x:c>
      <x:c r="H171" s="47" t="n">
        <x:f>IF(B171&amp;"-N2"=D171,0,COUNTIFS('Serial Schedule'!$K$7:$K$150,B171&amp;"-N2",'Serial Schedule'!$H$7:$H$150,C171)+COUNTIFS('Serial Schedule'!$K$7:$K$150,D171,'Serial Schedule'!$H$7:$H$150,C171,'Serial Schedule'!$M$7:$M$150,B171&amp;"-N2"))</x:f>
        <x:v>2</x:v>
      </x:c>
      <x:c r="I171" s="47" t="n">
        <x:f>IF(B171&amp;"-N3"=D171,0,COUNTIFS('Serial Schedule'!$K$7:$K$150,B171&amp;"-N3",'Serial Schedule'!$H$7:$H$150,C171)+COUNTIFS('Serial Schedule'!$K$7:$K$150,D171,'Serial Schedule'!$H$7:$H$150,C171,'Serial Schedule'!$M$7:$M$150,B171&amp;"-N3"))</x:f>
        <x:v>0</x:v>
      </x:c>
      <x:c r="J171" s="47" t="n">
        <x:f>MAX(G171:I171)</x:f>
        <x:v>2</x:v>
      </x:c>
      <x:c r="K171" s="47" t="str">
        <x:f>IF(AND(F171=0,J171&lt;=4),"PASS","FAIL")</x:f>
        <x:v>PASS</x:v>
      </x:c>
    </x:row>
    <x:row r="172">
      <x:c r="A172" s="47" t="str">
        <x:v>LOSS-HC-A-C-N3-E5</x:v>
      </x:c>
      <x:c r="B172" s="47" t="str">
        <x:v>HC-A-C</x:v>
      </x:c>
      <x:c r="C172" s="47" t="n">
        <x:v>5</x:v>
      </x:c>
      <x:c r="D172" s="47" t="str">
        <x:v>HC-A-C-N3</x:v>
      </x:c>
      <x:c r="E172" s="47" t="n">
        <x:f>COUNTIFS('Serial Schedule'!$K$7:$K$150,D172,'Serial Schedule'!$H$7:$H$150,C172)</x:f>
        <x:v>1</x:v>
      </x:c>
      <x:c r="F172" s="47" t="n">
        <x:f>SUMIFS('Serial Schedule'!$W$7:$W$150,'Serial Schedule'!$K$7:$K$150,D172,'Serial Schedule'!$H$7:$H$150,C172)</x:f>
        <x:v>0</x:v>
      </x:c>
      <x:c r="G172" s="47" t="n">
        <x:f>IF(B172&amp;"-N1"=D172,0,COUNTIFS('Serial Schedule'!$K$7:$K$150,B172&amp;"-N1",'Serial Schedule'!$H$7:$H$150,C172)+COUNTIFS('Serial Schedule'!$K$7:$K$150,D172,'Serial Schedule'!$H$7:$H$150,C172,'Serial Schedule'!$M$7:$M$150,B172&amp;"-N1"))</x:f>
        <x:v>1</x:v>
      </x:c>
      <x:c r="H172" s="47" t="n">
        <x:f>IF(B172&amp;"-N2"=D172,0,COUNTIFS('Serial Schedule'!$K$7:$K$150,B172&amp;"-N2",'Serial Schedule'!$H$7:$H$150,C172)+COUNTIFS('Serial Schedule'!$K$7:$K$150,D172,'Serial Schedule'!$H$7:$H$150,C172,'Serial Schedule'!$M$7:$M$150,B172&amp;"-N2"))</x:f>
        <x:v>3</x:v>
      </x:c>
      <x:c r="I172" s="47" t="n">
        <x:f>IF(B172&amp;"-N3"=D172,0,COUNTIFS('Serial Schedule'!$K$7:$K$150,B172&amp;"-N3",'Serial Schedule'!$H$7:$H$150,C172)+COUNTIFS('Serial Schedule'!$K$7:$K$150,D172,'Serial Schedule'!$H$7:$H$150,C172,'Serial Schedule'!$M$7:$M$150,B172&amp;"-N3"))</x:f>
        <x:v>0</x:v>
      </x:c>
      <x:c r="J172" s="47" t="n">
        <x:f>MAX(G172:I172)</x:f>
        <x:v>3</x:v>
      </x:c>
      <x:c r="K172" s="47" t="str">
        <x:f>IF(AND(F172=0,J172&lt;=4),"PASS","FAIL")</x:f>
        <x:v>PASS</x:v>
      </x:c>
    </x:row>
    <x:row r="173">
      <x:c r="A173" s="47" t="str">
        <x:v>LOSS-HC-A-C-N3-E6</x:v>
      </x:c>
      <x:c r="B173" s="47" t="str">
        <x:v>HC-A-C</x:v>
      </x:c>
      <x:c r="C173" s="47" t="n">
        <x:v>6</x:v>
      </x:c>
      <x:c r="D173" s="47" t="str">
        <x:v>HC-A-C-N3</x:v>
      </x:c>
      <x:c r="E173" s="47" t="n">
        <x:f>COUNTIFS('Serial Schedule'!$K$7:$K$150,D173,'Serial Schedule'!$H$7:$H$150,C173)</x:f>
        <x:v>0</x:v>
      </x:c>
      <x:c r="F173" s="47" t="n">
        <x:f>SUMIFS('Serial Schedule'!$W$7:$W$150,'Serial Schedule'!$K$7:$K$150,D173,'Serial Schedule'!$H$7:$H$150,C173)</x:f>
        <x:v>0</x:v>
      </x:c>
      <x:c r="G173" s="47" t="n">
        <x:f>IF(B173&amp;"-N1"=D173,0,COUNTIFS('Serial Schedule'!$K$7:$K$150,B173&amp;"-N1",'Serial Schedule'!$H$7:$H$150,C173)+COUNTIFS('Serial Schedule'!$K$7:$K$150,D173,'Serial Schedule'!$H$7:$H$150,C173,'Serial Schedule'!$M$7:$M$150,B173&amp;"-N1"))</x:f>
        <x:v>2</x:v>
      </x:c>
      <x:c r="H173" s="47" t="n">
        <x:f>IF(B173&amp;"-N2"=D173,0,COUNTIFS('Serial Schedule'!$K$7:$K$150,B173&amp;"-N2",'Serial Schedule'!$H$7:$H$150,C173)+COUNTIFS('Serial Schedule'!$K$7:$K$150,D173,'Serial Schedule'!$H$7:$H$150,C173,'Serial Schedule'!$M$7:$M$150,B173&amp;"-N2"))</x:f>
        <x:v>2</x:v>
      </x:c>
      <x:c r="I173" s="47" t="n">
        <x:f>IF(B173&amp;"-N3"=D173,0,COUNTIFS('Serial Schedule'!$K$7:$K$150,B173&amp;"-N3",'Serial Schedule'!$H$7:$H$150,C173)+COUNTIFS('Serial Schedule'!$K$7:$K$150,D173,'Serial Schedule'!$H$7:$H$150,C173,'Serial Schedule'!$M$7:$M$150,B173&amp;"-N3"))</x:f>
        <x:v>0</x:v>
      </x:c>
      <x:c r="J173" s="47" t="n">
        <x:f>MAX(G173:I173)</x:f>
        <x:v>2</x:v>
      </x:c>
      <x:c r="K173" s="47" t="str">
        <x:f>IF(AND(F173=0,J173&lt;=4),"PASS","FAIL")</x:f>
        <x:v>PASS</x:v>
      </x:c>
    </x:row>
    <x:row r="174">
      <x:c r="A174" s="47" t="str">
        <x:v>LOSS-LF-B-A-N1-E1</x:v>
      </x:c>
      <x:c r="B174" s="47" t="str">
        <x:v>LF-B-A</x:v>
      </x:c>
      <x:c r="C174" s="47" t="n">
        <x:v>1</x:v>
      </x:c>
      <x:c r="D174" s="47" t="str">
        <x:v>LF-B-A-N1</x:v>
      </x:c>
      <x:c r="E174" s="47" t="n">
        <x:f>COUNTIFS('Serial Schedule'!$K$7:$K$150,D174,'Serial Schedule'!$H$7:$H$150,C174)</x:f>
        <x:v>2</x:v>
      </x:c>
      <x:c r="F174" s="47" t="n">
        <x:f>SUMIFS('Serial Schedule'!$W$7:$W$150,'Serial Schedule'!$K$7:$K$150,D174,'Serial Schedule'!$H$7:$H$150,C174)</x:f>
        <x:v>0</x:v>
      </x:c>
      <x:c r="G174" s="47" t="n">
        <x:f>IF(B174&amp;"-N1"=D174,0,COUNTIFS('Serial Schedule'!$K$7:$K$150,B174&amp;"-N1",'Serial Schedule'!$H$7:$H$150,C174)+COUNTIFS('Serial Schedule'!$K$7:$K$150,D174,'Serial Schedule'!$H$7:$H$150,C174,'Serial Schedule'!$M$7:$M$150,B174&amp;"-N1"))</x:f>
        <x:v>0</x:v>
      </x:c>
      <x:c r="H174" s="47" t="n">
        <x:f>IF(B174&amp;"-N2"=D174,0,COUNTIFS('Serial Schedule'!$K$7:$K$150,B174&amp;"-N2",'Serial Schedule'!$H$7:$H$150,C174)+COUNTIFS('Serial Schedule'!$K$7:$K$150,D174,'Serial Schedule'!$H$7:$H$150,C174,'Serial Schedule'!$M$7:$M$150,B174&amp;"-N2"))</x:f>
        <x:v>3</x:v>
      </x:c>
      <x:c r="I174" s="47" t="n">
        <x:f>IF(B174&amp;"-N3"=D174,0,COUNTIFS('Serial Schedule'!$K$7:$K$150,B174&amp;"-N3",'Serial Schedule'!$H$7:$H$150,C174)+COUNTIFS('Serial Schedule'!$K$7:$K$150,D174,'Serial Schedule'!$H$7:$H$150,C174,'Serial Schedule'!$M$7:$M$150,B174&amp;"-N3"))</x:f>
        <x:v>1</x:v>
      </x:c>
      <x:c r="J174" s="47" t="n">
        <x:f>MAX(G174:I174)</x:f>
        <x:v>3</x:v>
      </x:c>
      <x:c r="K174" s="47" t="str">
        <x:f>IF(AND(F174=0,J174&lt;=4),"PASS","FAIL")</x:f>
        <x:v>PASS</x:v>
      </x:c>
    </x:row>
    <x:row r="175">
      <x:c r="A175" s="47" t="str">
        <x:v>LOSS-LF-B-A-N1-E2</x:v>
      </x:c>
      <x:c r="B175" s="47" t="str">
        <x:v>LF-B-A</x:v>
      </x:c>
      <x:c r="C175" s="47" t="n">
        <x:v>2</x:v>
      </x:c>
      <x:c r="D175" s="47" t="str">
        <x:v>LF-B-A-N1</x:v>
      </x:c>
      <x:c r="E175" s="47" t="n">
        <x:f>COUNTIFS('Serial Schedule'!$K$7:$K$150,D175,'Serial Schedule'!$H$7:$H$150,C175)</x:f>
        <x:v>3</x:v>
      </x:c>
      <x:c r="F175" s="47" t="n">
        <x:f>SUMIFS('Serial Schedule'!$W$7:$W$150,'Serial Schedule'!$K$7:$K$150,D175,'Serial Schedule'!$H$7:$H$150,C175)</x:f>
        <x:v>0</x:v>
      </x:c>
      <x:c r="G175" s="47" t="n">
        <x:f>IF(B175&amp;"-N1"=D175,0,COUNTIFS('Serial Schedule'!$K$7:$K$150,B175&amp;"-N1",'Serial Schedule'!$H$7:$H$150,C175)+COUNTIFS('Serial Schedule'!$K$7:$K$150,D175,'Serial Schedule'!$H$7:$H$150,C175,'Serial Schedule'!$M$7:$M$150,B175&amp;"-N1"))</x:f>
        <x:v>0</x:v>
      </x:c>
      <x:c r="H175" s="47" t="n">
        <x:f>IF(B175&amp;"-N2"=D175,0,COUNTIFS('Serial Schedule'!$K$7:$K$150,B175&amp;"-N2",'Serial Schedule'!$H$7:$H$150,C175)+COUNTIFS('Serial Schedule'!$K$7:$K$150,D175,'Serial Schedule'!$H$7:$H$150,C175,'Serial Schedule'!$M$7:$M$150,B175&amp;"-N2"))</x:f>
        <x:v>1</x:v>
      </x:c>
      <x:c r="I175" s="47" t="n">
        <x:f>IF(B175&amp;"-N3"=D175,0,COUNTIFS('Serial Schedule'!$K$7:$K$150,B175&amp;"-N3",'Serial Schedule'!$H$7:$H$150,C175)+COUNTIFS('Serial Schedule'!$K$7:$K$150,D175,'Serial Schedule'!$H$7:$H$150,C175,'Serial Schedule'!$M$7:$M$150,B175&amp;"-N3"))</x:f>
        <x:v>3</x:v>
      </x:c>
      <x:c r="J175" s="47" t="n">
        <x:f>MAX(G175:I175)</x:f>
        <x:v>3</x:v>
      </x:c>
      <x:c r="K175" s="47" t="str">
        <x:f>IF(AND(F175=0,J175&lt;=4),"PASS","FAIL")</x:f>
        <x:v>PASS</x:v>
      </x:c>
    </x:row>
    <x:row r="176">
      <x:c r="A176" s="47" t="str">
        <x:v>LOSS-LF-B-A-N1-E3</x:v>
      </x:c>
      <x:c r="B176" s="47" t="str">
        <x:v>LF-B-A</x:v>
      </x:c>
      <x:c r="C176" s="47" t="n">
        <x:v>3</x:v>
      </x:c>
      <x:c r="D176" s="47" t="str">
        <x:v>LF-B-A-N1</x:v>
      </x:c>
      <x:c r="E176" s="47" t="n">
        <x:f>COUNTIFS('Serial Schedule'!$K$7:$K$150,D176,'Serial Schedule'!$H$7:$H$150,C176)</x:f>
        <x:v>1</x:v>
      </x:c>
      <x:c r="F176" s="47" t="n">
        <x:f>SUMIFS('Serial Schedule'!$W$7:$W$150,'Serial Schedule'!$K$7:$K$150,D176,'Serial Schedule'!$H$7:$H$150,C176)</x:f>
        <x:v>0</x:v>
      </x:c>
      <x:c r="G176" s="47" t="n">
        <x:f>IF(B176&amp;"-N1"=D176,0,COUNTIFS('Serial Schedule'!$K$7:$K$150,B176&amp;"-N1",'Serial Schedule'!$H$7:$H$150,C176)+COUNTIFS('Serial Schedule'!$K$7:$K$150,D176,'Serial Schedule'!$H$7:$H$150,C176,'Serial Schedule'!$M$7:$M$150,B176&amp;"-N1"))</x:f>
        <x:v>0</x:v>
      </x:c>
      <x:c r="H176" s="47" t="n">
        <x:f>IF(B176&amp;"-N2"=D176,0,COUNTIFS('Serial Schedule'!$K$7:$K$150,B176&amp;"-N2",'Serial Schedule'!$H$7:$H$150,C176)+COUNTIFS('Serial Schedule'!$K$7:$K$150,D176,'Serial Schedule'!$H$7:$H$150,C176,'Serial Schedule'!$M$7:$M$150,B176&amp;"-N2"))</x:f>
        <x:v>1</x:v>
      </x:c>
      <x:c r="I176" s="47" t="n">
        <x:f>IF(B176&amp;"-N3"=D176,0,COUNTIFS('Serial Schedule'!$K$7:$K$150,B176&amp;"-N3",'Serial Schedule'!$H$7:$H$150,C176)+COUNTIFS('Serial Schedule'!$K$7:$K$150,D176,'Serial Schedule'!$H$7:$H$150,C176,'Serial Schedule'!$M$7:$M$150,B176&amp;"-N3"))</x:f>
        <x:v>3</x:v>
      </x:c>
      <x:c r="J176" s="47" t="n">
        <x:f>MAX(G176:I176)</x:f>
        <x:v>3</x:v>
      </x:c>
      <x:c r="K176" s="47" t="str">
        <x:f>IF(AND(F176=0,J176&lt;=4),"PASS","FAIL")</x:f>
        <x:v>PASS</x:v>
      </x:c>
    </x:row>
    <x:row r="177">
      <x:c r="A177" s="47" t="str">
        <x:v>LOSS-LF-B-A-N1-E4</x:v>
      </x:c>
      <x:c r="B177" s="47" t="str">
        <x:v>LF-B-A</x:v>
      </x:c>
      <x:c r="C177" s="47" t="n">
        <x:v>4</x:v>
      </x:c>
      <x:c r="D177" s="47" t="str">
        <x:v>LF-B-A-N1</x:v>
      </x:c>
      <x:c r="E177" s="47" t="n">
        <x:f>COUNTIFS('Serial Schedule'!$K$7:$K$150,D177,'Serial Schedule'!$H$7:$H$150,C177)</x:f>
        <x:v>1</x:v>
      </x:c>
      <x:c r="F177" s="47" t="n">
        <x:f>SUMIFS('Serial Schedule'!$W$7:$W$150,'Serial Schedule'!$K$7:$K$150,D177,'Serial Schedule'!$H$7:$H$150,C177)</x:f>
        <x:v>0</x:v>
      </x:c>
      <x:c r="G177" s="47" t="n">
        <x:f>IF(B177&amp;"-N1"=D177,0,COUNTIFS('Serial Schedule'!$K$7:$K$150,B177&amp;"-N1",'Serial Schedule'!$H$7:$H$150,C177)+COUNTIFS('Serial Schedule'!$K$7:$K$150,D177,'Serial Schedule'!$H$7:$H$150,C177,'Serial Schedule'!$M$7:$M$150,B177&amp;"-N1"))</x:f>
        <x:v>0</x:v>
      </x:c>
      <x:c r="H177" s="47" t="n">
        <x:f>IF(B177&amp;"-N2"=D177,0,COUNTIFS('Serial Schedule'!$K$7:$K$150,B177&amp;"-N2",'Serial Schedule'!$H$7:$H$150,C177)+COUNTIFS('Serial Schedule'!$K$7:$K$150,D177,'Serial Schedule'!$H$7:$H$150,C177,'Serial Schedule'!$M$7:$M$150,B177&amp;"-N2"))</x:f>
        <x:v>2</x:v>
      </x:c>
      <x:c r="I177" s="47" t="n">
        <x:f>IF(B177&amp;"-N3"=D177,0,COUNTIFS('Serial Schedule'!$K$7:$K$150,B177&amp;"-N3",'Serial Schedule'!$H$7:$H$150,C177)+COUNTIFS('Serial Schedule'!$K$7:$K$150,D177,'Serial Schedule'!$H$7:$H$150,C177,'Serial Schedule'!$M$7:$M$150,B177&amp;"-N3"))</x:f>
        <x:v>2</x:v>
      </x:c>
      <x:c r="J177" s="47" t="n">
        <x:f>MAX(G177:I177)</x:f>
        <x:v>2</x:v>
      </x:c>
      <x:c r="K177" s="47" t="str">
        <x:f>IF(AND(F177=0,J177&lt;=4),"PASS","FAIL")</x:f>
        <x:v>PASS</x:v>
      </x:c>
    </x:row>
    <x:row r="178">
      <x:c r="A178" s="47" t="str">
        <x:v>LOSS-LF-B-A-N1-E5</x:v>
      </x:c>
      <x:c r="B178" s="47" t="str">
        <x:v>LF-B-A</x:v>
      </x:c>
      <x:c r="C178" s="47" t="n">
        <x:v>5</x:v>
      </x:c>
      <x:c r="D178" s="47" t="str">
        <x:v>LF-B-A-N1</x:v>
      </x:c>
      <x:c r="E178" s="47" t="n">
        <x:f>COUNTIFS('Serial Schedule'!$K$7:$K$150,D178,'Serial Schedule'!$H$7:$H$150,C178)</x:f>
        <x:v>1</x:v>
      </x:c>
      <x:c r="F178" s="47" t="n">
        <x:f>SUMIFS('Serial Schedule'!$W$7:$W$150,'Serial Schedule'!$K$7:$K$150,D178,'Serial Schedule'!$H$7:$H$150,C178)</x:f>
        <x:v>0</x:v>
      </x:c>
      <x:c r="G178" s="47" t="n">
        <x:f>IF(B178&amp;"-N1"=D178,0,COUNTIFS('Serial Schedule'!$K$7:$K$150,B178&amp;"-N1",'Serial Schedule'!$H$7:$H$150,C178)+COUNTIFS('Serial Schedule'!$K$7:$K$150,D178,'Serial Schedule'!$H$7:$H$150,C178,'Serial Schedule'!$M$7:$M$150,B178&amp;"-N1"))</x:f>
        <x:v>0</x:v>
      </x:c>
      <x:c r="H178" s="47" t="n">
        <x:f>IF(B178&amp;"-N2"=D178,0,COUNTIFS('Serial Schedule'!$K$7:$K$150,B178&amp;"-N2",'Serial Schedule'!$H$7:$H$150,C178)+COUNTIFS('Serial Schedule'!$K$7:$K$150,D178,'Serial Schedule'!$H$7:$H$150,C178,'Serial Schedule'!$M$7:$M$150,B178&amp;"-N2"))</x:f>
        <x:v>3</x:v>
      </x:c>
      <x:c r="I178" s="47" t="n">
        <x:f>IF(B178&amp;"-N3"=D178,0,COUNTIFS('Serial Schedule'!$K$7:$K$150,B178&amp;"-N3",'Serial Schedule'!$H$7:$H$150,C178)+COUNTIFS('Serial Schedule'!$K$7:$K$150,D178,'Serial Schedule'!$H$7:$H$150,C178,'Serial Schedule'!$M$7:$M$150,B178&amp;"-N3"))</x:f>
        <x:v>1</x:v>
      </x:c>
      <x:c r="J178" s="47" t="n">
        <x:f>MAX(G178:I178)</x:f>
        <x:v>3</x:v>
      </x:c>
      <x:c r="K178" s="47" t="str">
        <x:f>IF(AND(F178=0,J178&lt;=4),"PASS","FAIL")</x:f>
        <x:v>PASS</x:v>
      </x:c>
    </x:row>
    <x:row r="179">
      <x:c r="A179" s="47" t="str">
        <x:v>LOSS-LF-B-A-N1-E6</x:v>
      </x:c>
      <x:c r="B179" s="47" t="str">
        <x:v>LF-B-A</x:v>
      </x:c>
      <x:c r="C179" s="47" t="n">
        <x:v>6</x:v>
      </x:c>
      <x:c r="D179" s="47" t="str">
        <x:v>LF-B-A-N1</x:v>
      </x:c>
      <x:c r="E179" s="47" t="n">
        <x:f>COUNTIFS('Serial Schedule'!$K$7:$K$150,D179,'Serial Schedule'!$H$7:$H$150,C179)</x:f>
        <x:v>1</x:v>
      </x:c>
      <x:c r="F179" s="47" t="n">
        <x:f>SUMIFS('Serial Schedule'!$W$7:$W$150,'Serial Schedule'!$K$7:$K$150,D179,'Serial Schedule'!$H$7:$H$150,C179)</x:f>
        <x:v>0</x:v>
      </x:c>
      <x:c r="G179" s="47" t="n">
        <x:f>IF(B179&amp;"-N1"=D179,0,COUNTIFS('Serial Schedule'!$K$7:$K$150,B179&amp;"-N1",'Serial Schedule'!$H$7:$H$150,C179)+COUNTIFS('Serial Schedule'!$K$7:$K$150,D179,'Serial Schedule'!$H$7:$H$150,C179,'Serial Schedule'!$M$7:$M$150,B179&amp;"-N1"))</x:f>
        <x:v>0</x:v>
      </x:c>
      <x:c r="H179" s="47" t="n">
        <x:f>IF(B179&amp;"-N2"=D179,0,COUNTIFS('Serial Schedule'!$K$7:$K$150,B179&amp;"-N2",'Serial Schedule'!$H$7:$H$150,C179)+COUNTIFS('Serial Schedule'!$K$7:$K$150,D179,'Serial Schedule'!$H$7:$H$150,C179,'Serial Schedule'!$M$7:$M$150,B179&amp;"-N2"))</x:f>
        <x:v>2</x:v>
      </x:c>
      <x:c r="I179" s="47" t="n">
        <x:f>IF(B179&amp;"-N3"=D179,0,COUNTIFS('Serial Schedule'!$K$7:$K$150,B179&amp;"-N3",'Serial Schedule'!$H$7:$H$150,C179)+COUNTIFS('Serial Schedule'!$K$7:$K$150,D179,'Serial Schedule'!$H$7:$H$150,C179,'Serial Schedule'!$M$7:$M$150,B179&amp;"-N3"))</x:f>
        <x:v>2</x:v>
      </x:c>
      <x:c r="J179" s="47" t="n">
        <x:f>MAX(G179:I179)</x:f>
        <x:v>2</x:v>
      </x:c>
      <x:c r="K179" s="47" t="str">
        <x:f>IF(AND(F179=0,J179&lt;=4),"PASS","FAIL")</x:f>
        <x:v>PASS</x:v>
      </x:c>
    </x:row>
    <x:row r="180">
      <x:c r="A180" s="47" t="str">
        <x:v>LOSS-LF-B-A-N2-E1</x:v>
      </x:c>
      <x:c r="B180" s="47" t="str">
        <x:v>LF-B-A</x:v>
      </x:c>
      <x:c r="C180" s="47" t="n">
        <x:v>1</x:v>
      </x:c>
      <x:c r="D180" s="47" t="str">
        <x:v>LF-B-A-N2</x:v>
      </x:c>
      <x:c r="E180" s="47" t="n">
        <x:f>COUNTIFS('Serial Schedule'!$K$7:$K$150,D180,'Serial Schedule'!$H$7:$H$150,C180)</x:f>
        <x:v>2</x:v>
      </x:c>
      <x:c r="F180" s="47" t="n">
        <x:f>SUMIFS('Serial Schedule'!$W$7:$W$150,'Serial Schedule'!$K$7:$K$150,D180,'Serial Schedule'!$H$7:$H$150,C180)</x:f>
        <x:v>0</x:v>
      </x:c>
      <x:c r="G180" s="47" t="n">
        <x:f>IF(B180&amp;"-N1"=D180,0,COUNTIFS('Serial Schedule'!$K$7:$K$150,B180&amp;"-N1",'Serial Schedule'!$H$7:$H$150,C180)+COUNTIFS('Serial Schedule'!$K$7:$K$150,D180,'Serial Schedule'!$H$7:$H$150,C180,'Serial Schedule'!$M$7:$M$150,B180&amp;"-N1"))</x:f>
        <x:v>3</x:v>
      </x:c>
      <x:c r="H180" s="47" t="n">
        <x:f>IF(B180&amp;"-N2"=D180,0,COUNTIFS('Serial Schedule'!$K$7:$K$150,B180&amp;"-N2",'Serial Schedule'!$H$7:$H$150,C180)+COUNTIFS('Serial Schedule'!$K$7:$K$150,D180,'Serial Schedule'!$H$7:$H$150,C180,'Serial Schedule'!$M$7:$M$150,B180&amp;"-N2"))</x:f>
        <x:v>0</x:v>
      </x:c>
      <x:c r="I180" s="47" t="n">
        <x:f>IF(B180&amp;"-N3"=D180,0,COUNTIFS('Serial Schedule'!$K$7:$K$150,B180&amp;"-N3",'Serial Schedule'!$H$7:$H$150,C180)+COUNTIFS('Serial Schedule'!$K$7:$K$150,D180,'Serial Schedule'!$H$7:$H$150,C180,'Serial Schedule'!$M$7:$M$150,B180&amp;"-N3"))</x:f>
        <x:v>1</x:v>
      </x:c>
      <x:c r="J180" s="47" t="n">
        <x:f>MAX(G180:I180)</x:f>
        <x:v>3</x:v>
      </x:c>
      <x:c r="K180" s="47" t="str">
        <x:f>IF(AND(F180=0,J180&lt;=4),"PASS","FAIL")</x:f>
        <x:v>PASS</x:v>
      </x:c>
    </x:row>
    <x:row r="181">
      <x:c r="A181" s="47" t="str">
        <x:v>LOSS-LF-B-A-N2-E2</x:v>
      </x:c>
      <x:c r="B181" s="47" t="str">
        <x:v>LF-B-A</x:v>
      </x:c>
      <x:c r="C181" s="47" t="n">
        <x:v>2</x:v>
      </x:c>
      <x:c r="D181" s="47" t="str">
        <x:v>LF-B-A-N2</x:v>
      </x:c>
      <x:c r="E181" s="47" t="n">
        <x:f>COUNTIFS('Serial Schedule'!$K$7:$K$150,D181,'Serial Schedule'!$H$7:$H$150,C181)</x:f>
        <x:v>0</x:v>
      </x:c>
      <x:c r="F181" s="47" t="n">
        <x:f>SUMIFS('Serial Schedule'!$W$7:$W$150,'Serial Schedule'!$K$7:$K$150,D181,'Serial Schedule'!$H$7:$H$150,C181)</x:f>
        <x:v>0</x:v>
      </x:c>
      <x:c r="G181" s="47" t="n">
        <x:f>IF(B181&amp;"-N1"=D181,0,COUNTIFS('Serial Schedule'!$K$7:$K$150,B181&amp;"-N1",'Serial Schedule'!$H$7:$H$150,C181)+COUNTIFS('Serial Schedule'!$K$7:$K$150,D181,'Serial Schedule'!$H$7:$H$150,C181,'Serial Schedule'!$M$7:$M$150,B181&amp;"-N1"))</x:f>
        <x:v>3</x:v>
      </x:c>
      <x:c r="H181" s="47" t="n">
        <x:f>IF(B181&amp;"-N2"=D181,0,COUNTIFS('Serial Schedule'!$K$7:$K$150,B181&amp;"-N2",'Serial Schedule'!$H$7:$H$150,C181)+COUNTIFS('Serial Schedule'!$K$7:$K$150,D181,'Serial Schedule'!$H$7:$H$150,C181,'Serial Schedule'!$M$7:$M$150,B181&amp;"-N2"))</x:f>
        <x:v>0</x:v>
      </x:c>
      <x:c r="I181" s="47" t="n">
        <x:f>IF(B181&amp;"-N3"=D181,0,COUNTIFS('Serial Schedule'!$K$7:$K$150,B181&amp;"-N3",'Serial Schedule'!$H$7:$H$150,C181)+COUNTIFS('Serial Schedule'!$K$7:$K$150,D181,'Serial Schedule'!$H$7:$H$150,C181,'Serial Schedule'!$M$7:$M$150,B181&amp;"-N3"))</x:f>
        <x:v>1</x:v>
      </x:c>
      <x:c r="J181" s="47" t="n">
        <x:f>MAX(G181:I181)</x:f>
        <x:v>3</x:v>
      </x:c>
      <x:c r="K181" s="47" t="str">
        <x:f>IF(AND(F181=0,J181&lt;=4),"PASS","FAIL")</x:f>
        <x:v>PASS</x:v>
      </x:c>
    </x:row>
    <x:row r="182">
      <x:c r="A182" s="47" t="str">
        <x:v>LOSS-LF-B-A-N2-E3</x:v>
      </x:c>
      <x:c r="B182" s="47" t="str">
        <x:v>LF-B-A</x:v>
      </x:c>
      <x:c r="C182" s="47" t="n">
        <x:v>3</x:v>
      </x:c>
      <x:c r="D182" s="47" t="str">
        <x:v>LF-B-A-N2</x:v>
      </x:c>
      <x:c r="E182" s="47" t="n">
        <x:f>COUNTIFS('Serial Schedule'!$K$7:$K$150,D182,'Serial Schedule'!$H$7:$H$150,C182)</x:f>
        <x:v>1</x:v>
      </x:c>
      <x:c r="F182" s="47" t="n">
        <x:f>SUMIFS('Serial Schedule'!$W$7:$W$150,'Serial Schedule'!$K$7:$K$150,D182,'Serial Schedule'!$H$7:$H$150,C182)</x:f>
        <x:v>0</x:v>
      </x:c>
      <x:c r="G182" s="47" t="n">
        <x:f>IF(B182&amp;"-N1"=D182,0,COUNTIFS('Serial Schedule'!$K$7:$K$150,B182&amp;"-N1",'Serial Schedule'!$H$7:$H$150,C182)+COUNTIFS('Serial Schedule'!$K$7:$K$150,D182,'Serial Schedule'!$H$7:$H$150,C182,'Serial Schedule'!$M$7:$M$150,B182&amp;"-N1"))</x:f>
        <x:v>1</x:v>
      </x:c>
      <x:c r="H182" s="47" t="n">
        <x:f>IF(B182&amp;"-N2"=D182,0,COUNTIFS('Serial Schedule'!$K$7:$K$150,B182&amp;"-N2",'Serial Schedule'!$H$7:$H$150,C182)+COUNTIFS('Serial Schedule'!$K$7:$K$150,D182,'Serial Schedule'!$H$7:$H$150,C182,'Serial Schedule'!$M$7:$M$150,B182&amp;"-N2"))</x:f>
        <x:v>0</x:v>
      </x:c>
      <x:c r="I182" s="47" t="n">
        <x:f>IF(B182&amp;"-N3"=D182,0,COUNTIFS('Serial Schedule'!$K$7:$K$150,B182&amp;"-N3",'Serial Schedule'!$H$7:$H$150,C182)+COUNTIFS('Serial Schedule'!$K$7:$K$150,D182,'Serial Schedule'!$H$7:$H$150,C182,'Serial Schedule'!$M$7:$M$150,B182&amp;"-N3"))</x:f>
        <x:v>3</x:v>
      </x:c>
      <x:c r="J182" s="47" t="n">
        <x:f>MAX(G182:I182)</x:f>
        <x:v>3</x:v>
      </x:c>
      <x:c r="K182" s="47" t="str">
        <x:f>IF(AND(F182=0,J182&lt;=4),"PASS","FAIL")</x:f>
        <x:v>PASS</x:v>
      </x:c>
    </x:row>
    <x:row r="183">
      <x:c r="A183" s="47" t="str">
        <x:v>LOSS-LF-B-A-N2-E4</x:v>
      </x:c>
      <x:c r="B183" s="47" t="str">
        <x:v>LF-B-A</x:v>
      </x:c>
      <x:c r="C183" s="47" t="n">
        <x:v>4</x:v>
      </x:c>
      <x:c r="D183" s="47" t="str">
        <x:v>LF-B-A-N2</x:v>
      </x:c>
      <x:c r="E183" s="47" t="n">
        <x:f>COUNTIFS('Serial Schedule'!$K$7:$K$150,D183,'Serial Schedule'!$H$7:$H$150,C183)</x:f>
        <x:v>2</x:v>
      </x:c>
      <x:c r="F183" s="47" t="n">
        <x:f>SUMIFS('Serial Schedule'!$W$7:$W$150,'Serial Schedule'!$K$7:$K$150,D183,'Serial Schedule'!$H$7:$H$150,C183)</x:f>
        <x:v>0</x:v>
      </x:c>
      <x:c r="G183" s="47" t="n">
        <x:f>IF(B183&amp;"-N1"=D183,0,COUNTIFS('Serial Schedule'!$K$7:$K$150,B183&amp;"-N1",'Serial Schedule'!$H$7:$H$150,C183)+COUNTIFS('Serial Schedule'!$K$7:$K$150,D183,'Serial Schedule'!$H$7:$H$150,C183,'Serial Schedule'!$M$7:$M$150,B183&amp;"-N1"))</x:f>
        <x:v>2</x:v>
      </x:c>
      <x:c r="H183" s="47" t="n">
        <x:f>IF(B183&amp;"-N2"=D183,0,COUNTIFS('Serial Schedule'!$K$7:$K$150,B183&amp;"-N2",'Serial Schedule'!$H$7:$H$150,C183)+COUNTIFS('Serial Schedule'!$K$7:$K$150,D183,'Serial Schedule'!$H$7:$H$150,C183,'Serial Schedule'!$M$7:$M$150,B183&amp;"-N2"))</x:f>
        <x:v>0</x:v>
      </x:c>
      <x:c r="I183" s="47" t="n">
        <x:f>IF(B183&amp;"-N3"=D183,0,COUNTIFS('Serial Schedule'!$K$7:$K$150,B183&amp;"-N3",'Serial Schedule'!$H$7:$H$150,C183)+COUNTIFS('Serial Schedule'!$K$7:$K$150,D183,'Serial Schedule'!$H$7:$H$150,C183,'Serial Schedule'!$M$7:$M$150,B183&amp;"-N3"))</x:f>
        <x:v>2</x:v>
      </x:c>
      <x:c r="J183" s="47" t="n">
        <x:f>MAX(G183:I183)</x:f>
        <x:v>2</x:v>
      </x:c>
      <x:c r="K183" s="47" t="str">
        <x:f>IF(AND(F183=0,J183&lt;=4),"PASS","FAIL")</x:f>
        <x:v>PASS</x:v>
      </x:c>
    </x:row>
    <x:row r="184">
      <x:c r="A184" s="47" t="str">
        <x:v>LOSS-LF-B-A-N2-E5</x:v>
      </x:c>
      <x:c r="B184" s="47" t="str">
        <x:v>LF-B-A</x:v>
      </x:c>
      <x:c r="C184" s="47" t="n">
        <x:v>5</x:v>
      </x:c>
      <x:c r="D184" s="47" t="str">
        <x:v>LF-B-A-N2</x:v>
      </x:c>
      <x:c r="E184" s="47" t="n">
        <x:f>COUNTIFS('Serial Schedule'!$K$7:$K$150,D184,'Serial Schedule'!$H$7:$H$150,C184)</x:f>
        <x:v>2</x:v>
      </x:c>
      <x:c r="F184" s="47" t="n">
        <x:f>SUMIFS('Serial Schedule'!$W$7:$W$150,'Serial Schedule'!$K$7:$K$150,D184,'Serial Schedule'!$H$7:$H$150,C184)</x:f>
        <x:v>0</x:v>
      </x:c>
      <x:c r="G184" s="47" t="n">
        <x:f>IF(B184&amp;"-N1"=D184,0,COUNTIFS('Serial Schedule'!$K$7:$K$150,B184&amp;"-N1",'Serial Schedule'!$H$7:$H$150,C184)+COUNTIFS('Serial Schedule'!$K$7:$K$150,D184,'Serial Schedule'!$H$7:$H$150,C184,'Serial Schedule'!$M$7:$M$150,B184&amp;"-N1"))</x:f>
        <x:v>1</x:v>
      </x:c>
      <x:c r="H184" s="47" t="n">
        <x:f>IF(B184&amp;"-N2"=D184,0,COUNTIFS('Serial Schedule'!$K$7:$K$150,B184&amp;"-N2",'Serial Schedule'!$H$7:$H$150,C184)+COUNTIFS('Serial Schedule'!$K$7:$K$150,D184,'Serial Schedule'!$H$7:$H$150,C184,'Serial Schedule'!$M$7:$M$150,B184&amp;"-N2"))</x:f>
        <x:v>0</x:v>
      </x:c>
      <x:c r="I184" s="47" t="n">
        <x:f>IF(B184&amp;"-N3"=D184,0,COUNTIFS('Serial Schedule'!$K$7:$K$150,B184&amp;"-N3",'Serial Schedule'!$H$7:$H$150,C184)+COUNTIFS('Serial Schedule'!$K$7:$K$150,D184,'Serial Schedule'!$H$7:$H$150,C184,'Serial Schedule'!$M$7:$M$150,B184&amp;"-N3"))</x:f>
        <x:v>3</x:v>
      </x:c>
      <x:c r="J184" s="47" t="n">
        <x:f>MAX(G184:I184)</x:f>
        <x:v>3</x:v>
      </x:c>
      <x:c r="K184" s="47" t="str">
        <x:f>IF(AND(F184=0,J184&lt;=4),"PASS","FAIL")</x:f>
        <x:v>PASS</x:v>
      </x:c>
    </x:row>
    <x:row r="185">
      <x:c r="A185" s="47" t="str">
        <x:v>LOSS-LF-B-A-N2-E6</x:v>
      </x:c>
      <x:c r="B185" s="47" t="str">
        <x:v>LF-B-A</x:v>
      </x:c>
      <x:c r="C185" s="47" t="n">
        <x:v>6</x:v>
      </x:c>
      <x:c r="D185" s="47" t="str">
        <x:v>LF-B-A-N2</x:v>
      </x:c>
      <x:c r="E185" s="47" t="n">
        <x:f>COUNTIFS('Serial Schedule'!$K$7:$K$150,D185,'Serial Schedule'!$H$7:$H$150,C185)</x:f>
        <x:v>2</x:v>
      </x:c>
      <x:c r="F185" s="47" t="n">
        <x:f>SUMIFS('Serial Schedule'!$W$7:$W$150,'Serial Schedule'!$K$7:$K$150,D185,'Serial Schedule'!$H$7:$H$150,C185)</x:f>
        <x:v>0</x:v>
      </x:c>
      <x:c r="G185" s="47" t="n">
        <x:f>IF(B185&amp;"-N1"=D185,0,COUNTIFS('Serial Schedule'!$K$7:$K$150,B185&amp;"-N1",'Serial Schedule'!$H$7:$H$150,C185)+COUNTIFS('Serial Schedule'!$K$7:$K$150,D185,'Serial Schedule'!$H$7:$H$150,C185,'Serial Schedule'!$M$7:$M$150,B185&amp;"-N1"))</x:f>
        <x:v>2</x:v>
      </x:c>
      <x:c r="H185" s="47" t="n">
        <x:f>IF(B185&amp;"-N2"=D185,0,COUNTIFS('Serial Schedule'!$K$7:$K$150,B185&amp;"-N2",'Serial Schedule'!$H$7:$H$150,C185)+COUNTIFS('Serial Schedule'!$K$7:$K$150,D185,'Serial Schedule'!$H$7:$H$150,C185,'Serial Schedule'!$M$7:$M$150,B185&amp;"-N2"))</x:f>
        <x:v>0</x:v>
      </x:c>
      <x:c r="I185" s="47" t="n">
        <x:f>IF(B185&amp;"-N3"=D185,0,COUNTIFS('Serial Schedule'!$K$7:$K$150,B185&amp;"-N3",'Serial Schedule'!$H$7:$H$150,C185)+COUNTIFS('Serial Schedule'!$K$7:$K$150,D185,'Serial Schedule'!$H$7:$H$150,C185,'Serial Schedule'!$M$7:$M$150,B185&amp;"-N3"))</x:f>
        <x:v>2</x:v>
      </x:c>
      <x:c r="J185" s="47" t="n">
        <x:f>MAX(G185:I185)</x:f>
        <x:v>2</x:v>
      </x:c>
      <x:c r="K185" s="47" t="str">
        <x:f>IF(AND(F185=0,J185&lt;=4),"PASS","FAIL")</x:f>
        <x:v>PASS</x:v>
      </x:c>
    </x:row>
    <x:row r="186">
      <x:c r="A186" s="47" t="str">
        <x:v>LOSS-LF-B-A-N3-E1</x:v>
      </x:c>
      <x:c r="B186" s="47" t="str">
        <x:v>LF-B-A</x:v>
      </x:c>
      <x:c r="C186" s="47" t="n">
        <x:v>1</x:v>
      </x:c>
      <x:c r="D186" s="47" t="str">
        <x:v>LF-B-A-N3</x:v>
      </x:c>
      <x:c r="E186" s="47" t="n">
        <x:f>COUNTIFS('Serial Schedule'!$K$7:$K$150,D186,'Serial Schedule'!$H$7:$H$150,C186)</x:f>
        <x:v>0</x:v>
      </x:c>
      <x:c r="F186" s="47" t="n">
        <x:f>SUMIFS('Serial Schedule'!$W$7:$W$150,'Serial Schedule'!$K$7:$K$150,D186,'Serial Schedule'!$H$7:$H$150,C186)</x:f>
        <x:v>0</x:v>
      </x:c>
      <x:c r="G186" s="47" t="n">
        <x:f>IF(B186&amp;"-N1"=D186,0,COUNTIFS('Serial Schedule'!$K$7:$K$150,B186&amp;"-N1",'Serial Schedule'!$H$7:$H$150,C186)+COUNTIFS('Serial Schedule'!$K$7:$K$150,D186,'Serial Schedule'!$H$7:$H$150,C186,'Serial Schedule'!$M$7:$M$150,B186&amp;"-N1"))</x:f>
        <x:v>2</x:v>
      </x:c>
      <x:c r="H186" s="47" t="n">
        <x:f>IF(B186&amp;"-N2"=D186,0,COUNTIFS('Serial Schedule'!$K$7:$K$150,B186&amp;"-N2",'Serial Schedule'!$H$7:$H$150,C186)+COUNTIFS('Serial Schedule'!$K$7:$K$150,D186,'Serial Schedule'!$H$7:$H$150,C186,'Serial Schedule'!$M$7:$M$150,B186&amp;"-N2"))</x:f>
        <x:v>2</x:v>
      </x:c>
      <x:c r="I186" s="47" t="n">
        <x:f>IF(B186&amp;"-N3"=D186,0,COUNTIFS('Serial Schedule'!$K$7:$K$150,B186&amp;"-N3",'Serial Schedule'!$H$7:$H$150,C186)+COUNTIFS('Serial Schedule'!$K$7:$K$150,D186,'Serial Schedule'!$H$7:$H$150,C186,'Serial Schedule'!$M$7:$M$150,B186&amp;"-N3"))</x:f>
        <x:v>0</x:v>
      </x:c>
      <x:c r="J186" s="47" t="n">
        <x:f>MAX(G186:I186)</x:f>
        <x:v>2</x:v>
      </x:c>
      <x:c r="K186" s="47" t="str">
        <x:f>IF(AND(F186=0,J186&lt;=4),"PASS","FAIL")</x:f>
        <x:v>PASS</x:v>
      </x:c>
    </x:row>
    <x:row r="187">
      <x:c r="A187" s="47" t="str">
        <x:v>LOSS-LF-B-A-N3-E2</x:v>
      </x:c>
      <x:c r="B187" s="47" t="str">
        <x:v>LF-B-A</x:v>
      </x:c>
      <x:c r="C187" s="47" t="n">
        <x:v>2</x:v>
      </x:c>
      <x:c r="D187" s="47" t="str">
        <x:v>LF-B-A-N3</x:v>
      </x:c>
      <x:c r="E187" s="47" t="n">
        <x:f>COUNTIFS('Serial Schedule'!$K$7:$K$150,D187,'Serial Schedule'!$H$7:$H$150,C187)</x:f>
        <x:v>1</x:v>
      </x:c>
      <x:c r="F187" s="47" t="n">
        <x:f>SUMIFS('Serial Schedule'!$W$7:$W$150,'Serial Schedule'!$K$7:$K$150,D187,'Serial Schedule'!$H$7:$H$150,C187)</x:f>
        <x:v>0</x:v>
      </x:c>
      <x:c r="G187" s="47" t="n">
        <x:f>IF(B187&amp;"-N1"=D187,0,COUNTIFS('Serial Schedule'!$K$7:$K$150,B187&amp;"-N1",'Serial Schedule'!$H$7:$H$150,C187)+COUNTIFS('Serial Schedule'!$K$7:$K$150,D187,'Serial Schedule'!$H$7:$H$150,C187,'Serial Schedule'!$M$7:$M$150,B187&amp;"-N1"))</x:f>
        <x:v>4</x:v>
      </x:c>
      <x:c r="H187" s="47" t="n">
        <x:f>IF(B187&amp;"-N2"=D187,0,COUNTIFS('Serial Schedule'!$K$7:$K$150,B187&amp;"-N2",'Serial Schedule'!$H$7:$H$150,C187)+COUNTIFS('Serial Schedule'!$K$7:$K$150,D187,'Serial Schedule'!$H$7:$H$150,C187,'Serial Schedule'!$M$7:$M$150,B187&amp;"-N2"))</x:f>
        <x:v>0</x:v>
      </x:c>
      <x:c r="I187" s="47" t="n">
        <x:f>IF(B187&amp;"-N3"=D187,0,COUNTIFS('Serial Schedule'!$K$7:$K$150,B187&amp;"-N3",'Serial Schedule'!$H$7:$H$150,C187)+COUNTIFS('Serial Schedule'!$K$7:$K$150,D187,'Serial Schedule'!$H$7:$H$150,C187,'Serial Schedule'!$M$7:$M$150,B187&amp;"-N3"))</x:f>
        <x:v>0</x:v>
      </x:c>
      <x:c r="J187" s="47" t="n">
        <x:f>MAX(G187:I187)</x:f>
        <x:v>4</x:v>
      </x:c>
      <x:c r="K187" s="47" t="str">
        <x:f>IF(AND(F187=0,J187&lt;=4),"PASS","FAIL")</x:f>
        <x:v>PASS</x:v>
      </x:c>
    </x:row>
    <x:row r="188">
      <x:c r="A188" s="47" t="str">
        <x:v>LOSS-LF-B-A-N3-E3</x:v>
      </x:c>
      <x:c r="B188" s="47" t="str">
        <x:v>LF-B-A</x:v>
      </x:c>
      <x:c r="C188" s="47" t="n">
        <x:v>3</x:v>
      </x:c>
      <x:c r="D188" s="47" t="str">
        <x:v>LF-B-A-N3</x:v>
      </x:c>
      <x:c r="E188" s="47" t="n">
        <x:f>COUNTIFS('Serial Schedule'!$K$7:$K$150,D188,'Serial Schedule'!$H$7:$H$150,C188)</x:f>
        <x:v>2</x:v>
      </x:c>
      <x:c r="F188" s="47" t="n">
        <x:f>SUMIFS('Serial Schedule'!$W$7:$W$150,'Serial Schedule'!$K$7:$K$150,D188,'Serial Schedule'!$H$7:$H$150,C188)</x:f>
        <x:v>0</x:v>
      </x:c>
      <x:c r="G188" s="47" t="n">
        <x:f>IF(B188&amp;"-N1"=D188,0,COUNTIFS('Serial Schedule'!$K$7:$K$150,B188&amp;"-N1",'Serial Schedule'!$H$7:$H$150,C188)+COUNTIFS('Serial Schedule'!$K$7:$K$150,D188,'Serial Schedule'!$H$7:$H$150,C188,'Serial Schedule'!$M$7:$M$150,B188&amp;"-N1"))</x:f>
        <x:v>2</x:v>
      </x:c>
      <x:c r="H188" s="47" t="n">
        <x:f>IF(B188&amp;"-N2"=D188,0,COUNTIFS('Serial Schedule'!$K$7:$K$150,B188&amp;"-N2",'Serial Schedule'!$H$7:$H$150,C188)+COUNTIFS('Serial Schedule'!$K$7:$K$150,D188,'Serial Schedule'!$H$7:$H$150,C188,'Serial Schedule'!$M$7:$M$150,B188&amp;"-N2"))</x:f>
        <x:v>2</x:v>
      </x:c>
      <x:c r="I188" s="47" t="n">
        <x:f>IF(B188&amp;"-N3"=D188,0,COUNTIFS('Serial Schedule'!$K$7:$K$150,B188&amp;"-N3",'Serial Schedule'!$H$7:$H$150,C188)+COUNTIFS('Serial Schedule'!$K$7:$K$150,D188,'Serial Schedule'!$H$7:$H$150,C188,'Serial Schedule'!$M$7:$M$150,B188&amp;"-N3"))</x:f>
        <x:v>0</x:v>
      </x:c>
      <x:c r="J188" s="47" t="n">
        <x:f>MAX(G188:I188)</x:f>
        <x:v>2</x:v>
      </x:c>
      <x:c r="K188" s="47" t="str">
        <x:f>IF(AND(F188=0,J188&lt;=4),"PASS","FAIL")</x:f>
        <x:v>PASS</x:v>
      </x:c>
    </x:row>
    <x:row r="189">
      <x:c r="A189" s="47" t="str">
        <x:v>LOSS-LF-B-A-N3-E4</x:v>
      </x:c>
      <x:c r="B189" s="47" t="str">
        <x:v>LF-B-A</x:v>
      </x:c>
      <x:c r="C189" s="47" t="n">
        <x:v>4</x:v>
      </x:c>
      <x:c r="D189" s="47" t="str">
        <x:v>LF-B-A-N3</x:v>
      </x:c>
      <x:c r="E189" s="47" t="n">
        <x:f>COUNTIFS('Serial Schedule'!$K$7:$K$150,D189,'Serial Schedule'!$H$7:$H$150,C189)</x:f>
        <x:v>1</x:v>
      </x:c>
      <x:c r="F189" s="47" t="n">
        <x:f>SUMIFS('Serial Schedule'!$W$7:$W$150,'Serial Schedule'!$K$7:$K$150,D189,'Serial Schedule'!$H$7:$H$150,C189)</x:f>
        <x:v>0</x:v>
      </x:c>
      <x:c r="G189" s="47" t="n">
        <x:f>IF(B189&amp;"-N1"=D189,0,COUNTIFS('Serial Schedule'!$K$7:$K$150,B189&amp;"-N1",'Serial Schedule'!$H$7:$H$150,C189)+COUNTIFS('Serial Schedule'!$K$7:$K$150,D189,'Serial Schedule'!$H$7:$H$150,C189,'Serial Schedule'!$M$7:$M$150,B189&amp;"-N1"))</x:f>
        <x:v>1</x:v>
      </x:c>
      <x:c r="H189" s="47" t="n">
        <x:f>IF(B189&amp;"-N2"=D189,0,COUNTIFS('Serial Schedule'!$K$7:$K$150,B189&amp;"-N2",'Serial Schedule'!$H$7:$H$150,C189)+COUNTIFS('Serial Schedule'!$K$7:$K$150,D189,'Serial Schedule'!$H$7:$H$150,C189,'Serial Schedule'!$M$7:$M$150,B189&amp;"-N2"))</x:f>
        <x:v>3</x:v>
      </x:c>
      <x:c r="I189" s="47" t="n">
        <x:f>IF(B189&amp;"-N3"=D189,0,COUNTIFS('Serial Schedule'!$K$7:$K$150,B189&amp;"-N3",'Serial Schedule'!$H$7:$H$150,C189)+COUNTIFS('Serial Schedule'!$K$7:$K$150,D189,'Serial Schedule'!$H$7:$H$150,C189,'Serial Schedule'!$M$7:$M$150,B189&amp;"-N3"))</x:f>
        <x:v>0</x:v>
      </x:c>
      <x:c r="J189" s="47" t="n">
        <x:f>MAX(G189:I189)</x:f>
        <x:v>3</x:v>
      </x:c>
      <x:c r="K189" s="47" t="str">
        <x:f>IF(AND(F189=0,J189&lt;=4),"PASS","FAIL")</x:f>
        <x:v>PASS</x:v>
      </x:c>
    </x:row>
    <x:row r="190">
      <x:c r="A190" s="47" t="str">
        <x:v>LOSS-LF-B-A-N3-E5</x:v>
      </x:c>
      <x:c r="B190" s="47" t="str">
        <x:v>LF-B-A</x:v>
      </x:c>
      <x:c r="C190" s="47" t="n">
        <x:v>5</x:v>
      </x:c>
      <x:c r="D190" s="47" t="str">
        <x:v>LF-B-A-N3</x:v>
      </x:c>
      <x:c r="E190" s="47" t="n">
        <x:f>COUNTIFS('Serial Schedule'!$K$7:$K$150,D190,'Serial Schedule'!$H$7:$H$150,C190)</x:f>
        <x:v>1</x:v>
      </x:c>
      <x:c r="F190" s="47" t="n">
        <x:f>SUMIFS('Serial Schedule'!$W$7:$W$150,'Serial Schedule'!$K$7:$K$150,D190,'Serial Schedule'!$H$7:$H$150,C190)</x:f>
        <x:v>0</x:v>
      </x:c>
      <x:c r="G190" s="47" t="n">
        <x:f>IF(B190&amp;"-N1"=D190,0,COUNTIFS('Serial Schedule'!$K$7:$K$150,B190&amp;"-N1",'Serial Schedule'!$H$7:$H$150,C190)+COUNTIFS('Serial Schedule'!$K$7:$K$150,D190,'Serial Schedule'!$H$7:$H$150,C190,'Serial Schedule'!$M$7:$M$150,B190&amp;"-N1"))</x:f>
        <x:v>2</x:v>
      </x:c>
      <x:c r="H190" s="47" t="n">
        <x:f>IF(B190&amp;"-N2"=D190,0,COUNTIFS('Serial Schedule'!$K$7:$K$150,B190&amp;"-N2",'Serial Schedule'!$H$7:$H$150,C190)+COUNTIFS('Serial Schedule'!$K$7:$K$150,D190,'Serial Schedule'!$H$7:$H$150,C190,'Serial Schedule'!$M$7:$M$150,B190&amp;"-N2"))</x:f>
        <x:v>2</x:v>
      </x:c>
      <x:c r="I190" s="47" t="n">
        <x:f>IF(B190&amp;"-N3"=D190,0,COUNTIFS('Serial Schedule'!$K$7:$K$150,B190&amp;"-N3",'Serial Schedule'!$H$7:$H$150,C190)+COUNTIFS('Serial Schedule'!$K$7:$K$150,D190,'Serial Schedule'!$H$7:$H$150,C190,'Serial Schedule'!$M$7:$M$150,B190&amp;"-N3"))</x:f>
        <x:v>0</x:v>
      </x:c>
      <x:c r="J190" s="47" t="n">
        <x:f>MAX(G190:I190)</x:f>
        <x:v>2</x:v>
      </x:c>
      <x:c r="K190" s="47" t="str">
        <x:f>IF(AND(F190=0,J190&lt;=4),"PASS","FAIL")</x:f>
        <x:v>PASS</x:v>
      </x:c>
    </x:row>
    <x:row r="191">
      <x:c r="A191" s="47" t="str">
        <x:v>LOSS-LF-B-A-N3-E6</x:v>
      </x:c>
      <x:c r="B191" s="47" t="str">
        <x:v>LF-B-A</x:v>
      </x:c>
      <x:c r="C191" s="47" t="n">
        <x:v>6</x:v>
      </x:c>
      <x:c r="D191" s="47" t="str">
        <x:v>LF-B-A-N3</x:v>
      </x:c>
      <x:c r="E191" s="47" t="n">
        <x:f>COUNTIFS('Serial Schedule'!$K$7:$K$150,D191,'Serial Schedule'!$H$7:$H$150,C191)</x:f>
        <x:v>1</x:v>
      </x:c>
      <x:c r="F191" s="47" t="n">
        <x:f>SUMIFS('Serial Schedule'!$W$7:$W$150,'Serial Schedule'!$K$7:$K$150,D191,'Serial Schedule'!$H$7:$H$150,C191)</x:f>
        <x:v>0</x:v>
      </x:c>
      <x:c r="G191" s="47" t="n">
        <x:f>IF(B191&amp;"-N1"=D191,0,COUNTIFS('Serial Schedule'!$K$7:$K$150,B191&amp;"-N1",'Serial Schedule'!$H$7:$H$150,C191)+COUNTIFS('Serial Schedule'!$K$7:$K$150,D191,'Serial Schedule'!$H$7:$H$150,C191,'Serial Schedule'!$M$7:$M$150,B191&amp;"-N1"))</x:f>
        <x:v>1</x:v>
      </x:c>
      <x:c r="H191" s="47" t="n">
        <x:f>IF(B191&amp;"-N2"=D191,0,COUNTIFS('Serial Schedule'!$K$7:$K$150,B191&amp;"-N2",'Serial Schedule'!$H$7:$H$150,C191)+COUNTIFS('Serial Schedule'!$K$7:$K$150,D191,'Serial Schedule'!$H$7:$H$150,C191,'Serial Schedule'!$M$7:$M$150,B191&amp;"-N2"))</x:f>
        <x:v>3</x:v>
      </x:c>
      <x:c r="I191" s="47" t="n">
        <x:f>IF(B191&amp;"-N3"=D191,0,COUNTIFS('Serial Schedule'!$K$7:$K$150,B191&amp;"-N3",'Serial Schedule'!$H$7:$H$150,C191)+COUNTIFS('Serial Schedule'!$K$7:$K$150,D191,'Serial Schedule'!$H$7:$H$150,C191,'Serial Schedule'!$M$7:$M$150,B191&amp;"-N3"))</x:f>
        <x:v>0</x:v>
      </x:c>
      <x:c r="J191" s="47" t="n">
        <x:f>MAX(G191:I191)</x:f>
        <x:v>3</x:v>
      </x:c>
      <x:c r="K191" s="47" t="str">
        <x:f>IF(AND(F191=0,J191&lt;=4),"PASS","FAIL")</x:f>
        <x:v>PASS</x:v>
      </x:c>
    </x:row>
    <x:row r="192">
      <x:c r="A192" s="47" t="str">
        <x:v>LOSS-HU-A-B-N1-E1</x:v>
      </x:c>
      <x:c r="B192" s="47" t="str">
        <x:v>HU-A-B</x:v>
      </x:c>
      <x:c r="C192" s="47" t="n">
        <x:v>1</x:v>
      </x:c>
      <x:c r="D192" s="47" t="str">
        <x:v>HU-A-B-N1</x:v>
      </x:c>
      <x:c r="E192" s="47" t="n">
        <x:f>COUNTIFS('Serial Schedule'!$K$7:$K$150,D192,'Serial Schedule'!$H$7:$H$150,C192)</x:f>
        <x:v>1</x:v>
      </x:c>
      <x:c r="F192" s="47" t="n">
        <x:f>SUMIFS('Serial Schedule'!$W$7:$W$150,'Serial Schedule'!$K$7:$K$150,D192,'Serial Schedule'!$H$7:$H$150,C192)</x:f>
        <x:v>0</x:v>
      </x:c>
      <x:c r="G192" s="47" t="n">
        <x:f>IF(B192&amp;"-N1"=D192,0,COUNTIFS('Serial Schedule'!$K$7:$K$150,B192&amp;"-N1",'Serial Schedule'!$H$7:$H$150,C192)+COUNTIFS('Serial Schedule'!$K$7:$K$150,D192,'Serial Schedule'!$H$7:$H$150,C192,'Serial Schedule'!$M$7:$M$150,B192&amp;"-N1"))</x:f>
        <x:v>0</x:v>
      </x:c>
      <x:c r="H192" s="47" t="n">
        <x:f>IF(B192&amp;"-N2"=D192,0,COUNTIFS('Serial Schedule'!$K$7:$K$150,B192&amp;"-N2",'Serial Schedule'!$H$7:$H$150,C192)+COUNTIFS('Serial Schedule'!$K$7:$K$150,D192,'Serial Schedule'!$H$7:$H$150,C192,'Serial Schedule'!$M$7:$M$150,B192&amp;"-N2"))</x:f>
        <x:v>2</x:v>
      </x:c>
      <x:c r="I192" s="47" t="n">
        <x:f>IF(B192&amp;"-N3"=D192,0,COUNTIFS('Serial Schedule'!$K$7:$K$150,B192&amp;"-N3",'Serial Schedule'!$H$7:$H$150,C192)+COUNTIFS('Serial Schedule'!$K$7:$K$150,D192,'Serial Schedule'!$H$7:$H$150,C192,'Serial Schedule'!$M$7:$M$150,B192&amp;"-N3"))</x:f>
        <x:v>2</x:v>
      </x:c>
      <x:c r="J192" s="47" t="n">
        <x:f>MAX(G192:I192)</x:f>
        <x:v>2</x:v>
      </x:c>
      <x:c r="K192" s="47" t="str">
        <x:f>IF(AND(F192=0,J192&lt;=4),"PASS","FAIL")</x:f>
        <x:v>PASS</x:v>
      </x:c>
    </x:row>
    <x:row r="193">
      <x:c r="A193" s="47" t="str">
        <x:v>LOSS-HU-A-B-N1-E2</x:v>
      </x:c>
      <x:c r="B193" s="47" t="str">
        <x:v>HU-A-B</x:v>
      </x:c>
      <x:c r="C193" s="47" t="n">
        <x:v>2</x:v>
      </x:c>
      <x:c r="D193" s="47" t="str">
        <x:v>HU-A-B-N1</x:v>
      </x:c>
      <x:c r="E193" s="47" t="n">
        <x:f>COUNTIFS('Serial Schedule'!$K$7:$K$150,D193,'Serial Schedule'!$H$7:$H$150,C193)</x:f>
        <x:v>2</x:v>
      </x:c>
      <x:c r="F193" s="47" t="n">
        <x:f>SUMIFS('Serial Schedule'!$W$7:$W$150,'Serial Schedule'!$K$7:$K$150,D193,'Serial Schedule'!$H$7:$H$150,C193)</x:f>
        <x:v>0</x:v>
      </x:c>
      <x:c r="G193" s="47" t="n">
        <x:f>IF(B193&amp;"-N1"=D193,0,COUNTIFS('Serial Schedule'!$K$7:$K$150,B193&amp;"-N1",'Serial Schedule'!$H$7:$H$150,C193)+COUNTIFS('Serial Schedule'!$K$7:$K$150,D193,'Serial Schedule'!$H$7:$H$150,C193,'Serial Schedule'!$M$7:$M$150,B193&amp;"-N1"))</x:f>
        <x:v>0</x:v>
      </x:c>
      <x:c r="H193" s="47" t="n">
        <x:f>IF(B193&amp;"-N2"=D193,0,COUNTIFS('Serial Schedule'!$K$7:$K$150,B193&amp;"-N2",'Serial Schedule'!$H$7:$H$150,C193)+COUNTIFS('Serial Schedule'!$K$7:$K$150,D193,'Serial Schedule'!$H$7:$H$150,C193,'Serial Schedule'!$M$7:$M$150,B193&amp;"-N2"))</x:f>
        <x:v>3</x:v>
      </x:c>
      <x:c r="I193" s="47" t="n">
        <x:f>IF(B193&amp;"-N3"=D193,0,COUNTIFS('Serial Schedule'!$K$7:$K$150,B193&amp;"-N3",'Serial Schedule'!$H$7:$H$150,C193)+COUNTIFS('Serial Schedule'!$K$7:$K$150,D193,'Serial Schedule'!$H$7:$H$150,C193,'Serial Schedule'!$M$7:$M$150,B193&amp;"-N3"))</x:f>
        <x:v>1</x:v>
      </x:c>
      <x:c r="J193" s="47" t="n">
        <x:f>MAX(G193:I193)</x:f>
        <x:v>3</x:v>
      </x:c>
      <x:c r="K193" s="47" t="str">
        <x:f>IF(AND(F193=0,J193&lt;=4),"PASS","FAIL")</x:f>
        <x:v>PASS</x:v>
      </x:c>
    </x:row>
    <x:row r="194">
      <x:c r="A194" s="47" t="str">
        <x:v>LOSS-HU-A-B-N1-E3</x:v>
      </x:c>
      <x:c r="B194" s="47" t="str">
        <x:v>HU-A-B</x:v>
      </x:c>
      <x:c r="C194" s="47" t="n">
        <x:v>3</x:v>
      </x:c>
      <x:c r="D194" s="47" t="str">
        <x:v>HU-A-B-N1</x:v>
      </x:c>
      <x:c r="E194" s="47" t="n">
        <x:f>COUNTIFS('Serial Schedule'!$K$7:$K$150,D194,'Serial Schedule'!$H$7:$H$150,C194)</x:f>
        <x:v>3</x:v>
      </x:c>
      <x:c r="F194" s="47" t="n">
        <x:f>SUMIFS('Serial Schedule'!$W$7:$W$150,'Serial Schedule'!$K$7:$K$150,D194,'Serial Schedule'!$H$7:$H$150,C194)</x:f>
        <x:v>0</x:v>
      </x:c>
      <x:c r="G194" s="47" t="n">
        <x:f>IF(B194&amp;"-N1"=D194,0,COUNTIFS('Serial Schedule'!$K$7:$K$150,B194&amp;"-N1",'Serial Schedule'!$H$7:$H$150,C194)+COUNTIFS('Serial Schedule'!$K$7:$K$150,D194,'Serial Schedule'!$H$7:$H$150,C194,'Serial Schedule'!$M$7:$M$150,B194&amp;"-N1"))</x:f>
        <x:v>0</x:v>
      </x:c>
      <x:c r="H194" s="47" t="n">
        <x:f>IF(B194&amp;"-N2"=D194,0,COUNTIFS('Serial Schedule'!$K$7:$K$150,B194&amp;"-N2",'Serial Schedule'!$H$7:$H$150,C194)+COUNTIFS('Serial Schedule'!$K$7:$K$150,D194,'Serial Schedule'!$H$7:$H$150,C194,'Serial Schedule'!$M$7:$M$150,B194&amp;"-N2"))</x:f>
        <x:v>1</x:v>
      </x:c>
      <x:c r="I194" s="47" t="n">
        <x:f>IF(B194&amp;"-N3"=D194,0,COUNTIFS('Serial Schedule'!$K$7:$K$150,B194&amp;"-N3",'Serial Schedule'!$H$7:$H$150,C194)+COUNTIFS('Serial Schedule'!$K$7:$K$150,D194,'Serial Schedule'!$H$7:$H$150,C194,'Serial Schedule'!$M$7:$M$150,B194&amp;"-N3"))</x:f>
        <x:v>3</x:v>
      </x:c>
      <x:c r="J194" s="47" t="n">
        <x:f>MAX(G194:I194)</x:f>
        <x:v>3</x:v>
      </x:c>
      <x:c r="K194" s="47" t="str">
        <x:f>IF(AND(F194=0,J194&lt;=4),"PASS","FAIL")</x:f>
        <x:v>PASS</x:v>
      </x:c>
    </x:row>
    <x:row r="195">
      <x:c r="A195" s="47" t="str">
        <x:v>LOSS-HU-A-B-N1-E4</x:v>
      </x:c>
      <x:c r="B195" s="47" t="str">
        <x:v>HU-A-B</x:v>
      </x:c>
      <x:c r="C195" s="47" t="n">
        <x:v>4</x:v>
      </x:c>
      <x:c r="D195" s="47" t="str">
        <x:v>HU-A-B-N1</x:v>
      </x:c>
      <x:c r="E195" s="47" t="n">
        <x:f>COUNTIFS('Serial Schedule'!$K$7:$K$150,D195,'Serial Schedule'!$H$7:$H$150,C195)</x:f>
        <x:v>1</x:v>
      </x:c>
      <x:c r="F195" s="47" t="n">
        <x:f>SUMIFS('Serial Schedule'!$W$7:$W$150,'Serial Schedule'!$K$7:$K$150,D195,'Serial Schedule'!$H$7:$H$150,C195)</x:f>
        <x:v>0</x:v>
      </x:c>
      <x:c r="G195" s="47" t="n">
        <x:f>IF(B195&amp;"-N1"=D195,0,COUNTIFS('Serial Schedule'!$K$7:$K$150,B195&amp;"-N1",'Serial Schedule'!$H$7:$H$150,C195)+COUNTIFS('Serial Schedule'!$K$7:$K$150,D195,'Serial Schedule'!$H$7:$H$150,C195,'Serial Schedule'!$M$7:$M$150,B195&amp;"-N1"))</x:f>
        <x:v>0</x:v>
      </x:c>
      <x:c r="H195" s="47" t="n">
        <x:f>IF(B195&amp;"-N2"=D195,0,COUNTIFS('Serial Schedule'!$K$7:$K$150,B195&amp;"-N2",'Serial Schedule'!$H$7:$H$150,C195)+COUNTIFS('Serial Schedule'!$K$7:$K$150,D195,'Serial Schedule'!$H$7:$H$150,C195,'Serial Schedule'!$M$7:$M$150,B195&amp;"-N2"))</x:f>
        <x:v>1</x:v>
      </x:c>
      <x:c r="I195" s="47" t="n">
        <x:f>IF(B195&amp;"-N3"=D195,0,COUNTIFS('Serial Schedule'!$K$7:$K$150,B195&amp;"-N3",'Serial Schedule'!$H$7:$H$150,C195)+COUNTIFS('Serial Schedule'!$K$7:$K$150,D195,'Serial Schedule'!$H$7:$H$150,C195,'Serial Schedule'!$M$7:$M$150,B195&amp;"-N3"))</x:f>
        <x:v>3</x:v>
      </x:c>
      <x:c r="J195" s="47" t="n">
        <x:f>MAX(G195:I195)</x:f>
        <x:v>3</x:v>
      </x:c>
      <x:c r="K195" s="47" t="str">
        <x:f>IF(AND(F195=0,J195&lt;=4),"PASS","FAIL")</x:f>
        <x:v>PASS</x:v>
      </x:c>
    </x:row>
    <x:row r="196">
      <x:c r="A196" s="47" t="str">
        <x:v>LOSS-HU-A-B-N1-E5</x:v>
      </x:c>
      <x:c r="B196" s="47" t="str">
        <x:v>HU-A-B</x:v>
      </x:c>
      <x:c r="C196" s="47" t="n">
        <x:v>5</x:v>
      </x:c>
      <x:c r="D196" s="47" t="str">
        <x:v>HU-A-B-N1</x:v>
      </x:c>
      <x:c r="E196" s="47" t="n">
        <x:f>COUNTIFS('Serial Schedule'!$K$7:$K$150,D196,'Serial Schedule'!$H$7:$H$150,C196)</x:f>
        <x:v>1</x:v>
      </x:c>
      <x:c r="F196" s="47" t="n">
        <x:f>SUMIFS('Serial Schedule'!$W$7:$W$150,'Serial Schedule'!$K$7:$K$150,D196,'Serial Schedule'!$H$7:$H$150,C196)</x:f>
        <x:v>0</x:v>
      </x:c>
      <x:c r="G196" s="47" t="n">
        <x:f>IF(B196&amp;"-N1"=D196,0,COUNTIFS('Serial Schedule'!$K$7:$K$150,B196&amp;"-N1",'Serial Schedule'!$H$7:$H$150,C196)+COUNTIFS('Serial Schedule'!$K$7:$K$150,D196,'Serial Schedule'!$H$7:$H$150,C196,'Serial Schedule'!$M$7:$M$150,B196&amp;"-N1"))</x:f>
        <x:v>0</x:v>
      </x:c>
      <x:c r="H196" s="47" t="n">
        <x:f>IF(B196&amp;"-N2"=D196,0,COUNTIFS('Serial Schedule'!$K$7:$K$150,B196&amp;"-N2",'Serial Schedule'!$H$7:$H$150,C196)+COUNTIFS('Serial Schedule'!$K$7:$K$150,D196,'Serial Schedule'!$H$7:$H$150,C196,'Serial Schedule'!$M$7:$M$150,B196&amp;"-N2"))</x:f>
        <x:v>2</x:v>
      </x:c>
      <x:c r="I196" s="47" t="n">
        <x:f>IF(B196&amp;"-N3"=D196,0,COUNTIFS('Serial Schedule'!$K$7:$K$150,B196&amp;"-N3",'Serial Schedule'!$H$7:$H$150,C196)+COUNTIFS('Serial Schedule'!$K$7:$K$150,D196,'Serial Schedule'!$H$7:$H$150,C196,'Serial Schedule'!$M$7:$M$150,B196&amp;"-N3"))</x:f>
        <x:v>2</x:v>
      </x:c>
      <x:c r="J196" s="47" t="n">
        <x:f>MAX(G196:I196)</x:f>
        <x:v>2</x:v>
      </x:c>
      <x:c r="K196" s="47" t="str">
        <x:f>IF(AND(F196=0,J196&lt;=4),"PASS","FAIL")</x:f>
        <x:v>PASS</x:v>
      </x:c>
    </x:row>
    <x:row r="197">
      <x:c r="A197" s="47" t="str">
        <x:v>LOSS-HU-A-B-N1-E6</x:v>
      </x:c>
      <x:c r="B197" s="47" t="str">
        <x:v>HU-A-B</x:v>
      </x:c>
      <x:c r="C197" s="47" t="n">
        <x:v>6</x:v>
      </x:c>
      <x:c r="D197" s="47" t="str">
        <x:v>HU-A-B-N1</x:v>
      </x:c>
      <x:c r="E197" s="47" t="n">
        <x:f>COUNTIFS('Serial Schedule'!$K$7:$K$150,D197,'Serial Schedule'!$H$7:$H$150,C197)</x:f>
        <x:v>1</x:v>
      </x:c>
      <x:c r="F197" s="47" t="n">
        <x:f>SUMIFS('Serial Schedule'!$W$7:$W$150,'Serial Schedule'!$K$7:$K$150,D197,'Serial Schedule'!$H$7:$H$150,C197)</x:f>
        <x:v>0</x:v>
      </x:c>
      <x:c r="G197" s="47" t="n">
        <x:f>IF(B197&amp;"-N1"=D197,0,COUNTIFS('Serial Schedule'!$K$7:$K$150,B197&amp;"-N1",'Serial Schedule'!$H$7:$H$150,C197)+COUNTIFS('Serial Schedule'!$K$7:$K$150,D197,'Serial Schedule'!$H$7:$H$150,C197,'Serial Schedule'!$M$7:$M$150,B197&amp;"-N1"))</x:f>
        <x:v>0</x:v>
      </x:c>
      <x:c r="H197" s="47" t="n">
        <x:f>IF(B197&amp;"-N2"=D197,0,COUNTIFS('Serial Schedule'!$K$7:$K$150,B197&amp;"-N2",'Serial Schedule'!$H$7:$H$150,C197)+COUNTIFS('Serial Schedule'!$K$7:$K$150,D197,'Serial Schedule'!$H$7:$H$150,C197,'Serial Schedule'!$M$7:$M$150,B197&amp;"-N2"))</x:f>
        <x:v>3</x:v>
      </x:c>
      <x:c r="I197" s="47" t="n">
        <x:f>IF(B197&amp;"-N3"=D197,0,COUNTIFS('Serial Schedule'!$K$7:$K$150,B197&amp;"-N3",'Serial Schedule'!$H$7:$H$150,C197)+COUNTIFS('Serial Schedule'!$K$7:$K$150,D197,'Serial Schedule'!$H$7:$H$150,C197,'Serial Schedule'!$M$7:$M$150,B197&amp;"-N3"))</x:f>
        <x:v>1</x:v>
      </x:c>
      <x:c r="J197" s="47" t="n">
        <x:f>MAX(G197:I197)</x:f>
        <x:v>3</x:v>
      </x:c>
      <x:c r="K197" s="47" t="str">
        <x:f>IF(AND(F197=0,J197&lt;=4),"PASS","FAIL")</x:f>
        <x:v>PASS</x:v>
      </x:c>
    </x:row>
    <x:row r="198">
      <x:c r="A198" s="47" t="str">
        <x:v>LOSS-HU-A-B-N2-E1</x:v>
      </x:c>
      <x:c r="B198" s="47" t="str">
        <x:v>HU-A-B</x:v>
      </x:c>
      <x:c r="C198" s="47" t="n">
        <x:v>1</x:v>
      </x:c>
      <x:c r="D198" s="47" t="str">
        <x:v>HU-A-B-N2</x:v>
      </x:c>
      <x:c r="E198" s="47" t="n">
        <x:f>COUNTIFS('Serial Schedule'!$K$7:$K$150,D198,'Serial Schedule'!$H$7:$H$150,C198)</x:f>
        <x:v>2</x:v>
      </x:c>
      <x:c r="F198" s="47" t="n">
        <x:f>SUMIFS('Serial Schedule'!$W$7:$W$150,'Serial Schedule'!$K$7:$K$150,D198,'Serial Schedule'!$H$7:$H$150,C198)</x:f>
        <x:v>0</x:v>
      </x:c>
      <x:c r="G198" s="47" t="n">
        <x:f>IF(B198&amp;"-N1"=D198,0,COUNTIFS('Serial Schedule'!$K$7:$K$150,B198&amp;"-N1",'Serial Schedule'!$H$7:$H$150,C198)+COUNTIFS('Serial Schedule'!$K$7:$K$150,D198,'Serial Schedule'!$H$7:$H$150,C198,'Serial Schedule'!$M$7:$M$150,B198&amp;"-N1"))</x:f>
        <x:v>2</x:v>
      </x:c>
      <x:c r="H198" s="47" t="n">
        <x:f>IF(B198&amp;"-N2"=D198,0,COUNTIFS('Serial Schedule'!$K$7:$K$150,B198&amp;"-N2",'Serial Schedule'!$H$7:$H$150,C198)+COUNTIFS('Serial Schedule'!$K$7:$K$150,D198,'Serial Schedule'!$H$7:$H$150,C198,'Serial Schedule'!$M$7:$M$150,B198&amp;"-N2"))</x:f>
        <x:v>0</x:v>
      </x:c>
      <x:c r="I198" s="47" t="n">
        <x:f>IF(B198&amp;"-N3"=D198,0,COUNTIFS('Serial Schedule'!$K$7:$K$150,B198&amp;"-N3",'Serial Schedule'!$H$7:$H$150,C198)+COUNTIFS('Serial Schedule'!$K$7:$K$150,D198,'Serial Schedule'!$H$7:$H$150,C198,'Serial Schedule'!$M$7:$M$150,B198&amp;"-N3"))</x:f>
        <x:v>2</x:v>
      </x:c>
      <x:c r="J198" s="47" t="n">
        <x:f>MAX(G198:I198)</x:f>
        <x:v>2</x:v>
      </x:c>
      <x:c r="K198" s="47" t="str">
        <x:f>IF(AND(F198=0,J198&lt;=4),"PASS","FAIL")</x:f>
        <x:v>PASS</x:v>
      </x:c>
    </x:row>
    <x:row r="199">
      <x:c r="A199" s="47" t="str">
        <x:v>LOSS-HU-A-B-N2-E2</x:v>
      </x:c>
      <x:c r="B199" s="47" t="str">
        <x:v>HU-A-B</x:v>
      </x:c>
      <x:c r="C199" s="47" t="n">
        <x:v>2</x:v>
      </x:c>
      <x:c r="D199" s="47" t="str">
        <x:v>HU-A-B-N2</x:v>
      </x:c>
      <x:c r="E199" s="47" t="n">
        <x:f>COUNTIFS('Serial Schedule'!$K$7:$K$150,D199,'Serial Schedule'!$H$7:$H$150,C199)</x:f>
        <x:v>2</x:v>
      </x:c>
      <x:c r="F199" s="47" t="n">
        <x:f>SUMIFS('Serial Schedule'!$W$7:$W$150,'Serial Schedule'!$K$7:$K$150,D199,'Serial Schedule'!$H$7:$H$150,C199)</x:f>
        <x:v>0</x:v>
      </x:c>
      <x:c r="G199" s="47" t="n">
        <x:f>IF(B199&amp;"-N1"=D199,0,COUNTIFS('Serial Schedule'!$K$7:$K$150,B199&amp;"-N1",'Serial Schedule'!$H$7:$H$150,C199)+COUNTIFS('Serial Schedule'!$K$7:$K$150,D199,'Serial Schedule'!$H$7:$H$150,C199,'Serial Schedule'!$M$7:$M$150,B199&amp;"-N1"))</x:f>
        <x:v>3</x:v>
      </x:c>
      <x:c r="H199" s="47" t="n">
        <x:f>IF(B199&amp;"-N2"=D199,0,COUNTIFS('Serial Schedule'!$K$7:$K$150,B199&amp;"-N2",'Serial Schedule'!$H$7:$H$150,C199)+COUNTIFS('Serial Schedule'!$K$7:$K$150,D199,'Serial Schedule'!$H$7:$H$150,C199,'Serial Schedule'!$M$7:$M$150,B199&amp;"-N2"))</x:f>
        <x:v>0</x:v>
      </x:c>
      <x:c r="I199" s="47" t="n">
        <x:f>IF(B199&amp;"-N3"=D199,0,COUNTIFS('Serial Schedule'!$K$7:$K$150,B199&amp;"-N3",'Serial Schedule'!$H$7:$H$150,C199)+COUNTIFS('Serial Schedule'!$K$7:$K$150,D199,'Serial Schedule'!$H$7:$H$150,C199,'Serial Schedule'!$M$7:$M$150,B199&amp;"-N3"))</x:f>
        <x:v>1</x:v>
      </x:c>
      <x:c r="J199" s="47" t="n">
        <x:f>MAX(G199:I199)</x:f>
        <x:v>3</x:v>
      </x:c>
      <x:c r="K199" s="47" t="str">
        <x:f>IF(AND(F199=0,J199&lt;=4),"PASS","FAIL")</x:f>
        <x:v>PASS</x:v>
      </x:c>
    </x:row>
    <x:row r="200">
      <x:c r="A200" s="47" t="str">
        <x:v>LOSS-HU-A-B-N2-E3</x:v>
      </x:c>
      <x:c r="B200" s="47" t="str">
        <x:v>HU-A-B</x:v>
      </x:c>
      <x:c r="C200" s="47" t="n">
        <x:v>3</x:v>
      </x:c>
      <x:c r="D200" s="47" t="str">
        <x:v>HU-A-B-N2</x:v>
      </x:c>
      <x:c r="E200" s="47" t="n">
        <x:f>COUNTIFS('Serial Schedule'!$K$7:$K$150,D200,'Serial Schedule'!$H$7:$H$150,C200)</x:f>
        <x:v>0</x:v>
      </x:c>
      <x:c r="F200" s="47" t="n">
        <x:f>SUMIFS('Serial Schedule'!$W$7:$W$150,'Serial Schedule'!$K$7:$K$150,D200,'Serial Schedule'!$H$7:$H$150,C200)</x:f>
        <x:v>0</x:v>
      </x:c>
      <x:c r="G200" s="47" t="n">
        <x:f>IF(B200&amp;"-N1"=D200,0,COUNTIFS('Serial Schedule'!$K$7:$K$150,B200&amp;"-N1",'Serial Schedule'!$H$7:$H$150,C200)+COUNTIFS('Serial Schedule'!$K$7:$K$150,D200,'Serial Schedule'!$H$7:$H$150,C200,'Serial Schedule'!$M$7:$M$150,B200&amp;"-N1"))</x:f>
        <x:v>3</x:v>
      </x:c>
      <x:c r="H200" s="47" t="n">
        <x:f>IF(B200&amp;"-N2"=D200,0,COUNTIFS('Serial Schedule'!$K$7:$K$150,B200&amp;"-N2",'Serial Schedule'!$H$7:$H$150,C200)+COUNTIFS('Serial Schedule'!$K$7:$K$150,D200,'Serial Schedule'!$H$7:$H$150,C200,'Serial Schedule'!$M$7:$M$150,B200&amp;"-N2"))</x:f>
        <x:v>0</x:v>
      </x:c>
      <x:c r="I200" s="47" t="n">
        <x:f>IF(B200&amp;"-N3"=D200,0,COUNTIFS('Serial Schedule'!$K$7:$K$150,B200&amp;"-N3",'Serial Schedule'!$H$7:$H$150,C200)+COUNTIFS('Serial Schedule'!$K$7:$K$150,D200,'Serial Schedule'!$H$7:$H$150,C200,'Serial Schedule'!$M$7:$M$150,B200&amp;"-N3"))</x:f>
        <x:v>1</x:v>
      </x:c>
      <x:c r="J200" s="47" t="n">
        <x:f>MAX(G200:I200)</x:f>
        <x:v>3</x:v>
      </x:c>
      <x:c r="K200" s="47" t="str">
        <x:f>IF(AND(F200=0,J200&lt;=4),"PASS","FAIL")</x:f>
        <x:v>PASS</x:v>
      </x:c>
    </x:row>
    <x:row r="201">
      <x:c r="A201" s="47" t="str">
        <x:v>LOSS-HU-A-B-N2-E4</x:v>
      </x:c>
      <x:c r="B201" s="47" t="str">
        <x:v>HU-A-B</x:v>
      </x:c>
      <x:c r="C201" s="47" t="n">
        <x:v>4</x:v>
      </x:c>
      <x:c r="D201" s="47" t="str">
        <x:v>HU-A-B-N2</x:v>
      </x:c>
      <x:c r="E201" s="47" t="n">
        <x:f>COUNTIFS('Serial Schedule'!$K$7:$K$150,D201,'Serial Schedule'!$H$7:$H$150,C201)</x:f>
        <x:v>1</x:v>
      </x:c>
      <x:c r="F201" s="47" t="n">
        <x:f>SUMIFS('Serial Schedule'!$W$7:$W$150,'Serial Schedule'!$K$7:$K$150,D201,'Serial Schedule'!$H$7:$H$150,C201)</x:f>
        <x:v>0</x:v>
      </x:c>
      <x:c r="G201" s="47" t="n">
        <x:f>IF(B201&amp;"-N1"=D201,0,COUNTIFS('Serial Schedule'!$K$7:$K$150,B201&amp;"-N1",'Serial Schedule'!$H$7:$H$150,C201)+COUNTIFS('Serial Schedule'!$K$7:$K$150,D201,'Serial Schedule'!$H$7:$H$150,C201,'Serial Schedule'!$M$7:$M$150,B201&amp;"-N1"))</x:f>
        <x:v>1</x:v>
      </x:c>
      <x:c r="H201" s="47" t="n">
        <x:f>IF(B201&amp;"-N2"=D201,0,COUNTIFS('Serial Schedule'!$K$7:$K$150,B201&amp;"-N2",'Serial Schedule'!$H$7:$H$150,C201)+COUNTIFS('Serial Schedule'!$K$7:$K$150,D201,'Serial Schedule'!$H$7:$H$150,C201,'Serial Schedule'!$M$7:$M$150,B201&amp;"-N2"))</x:f>
        <x:v>0</x:v>
      </x:c>
      <x:c r="I201" s="47" t="n">
        <x:f>IF(B201&amp;"-N3"=D201,0,COUNTIFS('Serial Schedule'!$K$7:$K$150,B201&amp;"-N3",'Serial Schedule'!$H$7:$H$150,C201)+COUNTIFS('Serial Schedule'!$K$7:$K$150,D201,'Serial Schedule'!$H$7:$H$150,C201,'Serial Schedule'!$M$7:$M$150,B201&amp;"-N3"))</x:f>
        <x:v>3</x:v>
      </x:c>
      <x:c r="J201" s="47" t="n">
        <x:f>MAX(G201:I201)</x:f>
        <x:v>3</x:v>
      </x:c>
      <x:c r="K201" s="47" t="str">
        <x:f>IF(AND(F201=0,J201&lt;=4),"PASS","FAIL")</x:f>
        <x:v>PASS</x:v>
      </x:c>
    </x:row>
    <x:row r="202">
      <x:c r="A202" s="47" t="str">
        <x:v>LOSS-HU-A-B-N2-E5</x:v>
      </x:c>
      <x:c r="B202" s="47" t="str">
        <x:v>HU-A-B</x:v>
      </x:c>
      <x:c r="C202" s="47" t="n">
        <x:v>5</x:v>
      </x:c>
      <x:c r="D202" s="47" t="str">
        <x:v>HU-A-B-N2</x:v>
      </x:c>
      <x:c r="E202" s="47" t="n">
        <x:f>COUNTIFS('Serial Schedule'!$K$7:$K$150,D202,'Serial Schedule'!$H$7:$H$150,C202)</x:f>
        <x:v>2</x:v>
      </x:c>
      <x:c r="F202" s="47" t="n">
        <x:f>SUMIFS('Serial Schedule'!$W$7:$W$150,'Serial Schedule'!$K$7:$K$150,D202,'Serial Schedule'!$H$7:$H$150,C202)</x:f>
        <x:v>0</x:v>
      </x:c>
      <x:c r="G202" s="47" t="n">
        <x:f>IF(B202&amp;"-N1"=D202,0,COUNTIFS('Serial Schedule'!$K$7:$K$150,B202&amp;"-N1",'Serial Schedule'!$H$7:$H$150,C202)+COUNTIFS('Serial Schedule'!$K$7:$K$150,D202,'Serial Schedule'!$H$7:$H$150,C202,'Serial Schedule'!$M$7:$M$150,B202&amp;"-N1"))</x:f>
        <x:v>2</x:v>
      </x:c>
      <x:c r="H202" s="47" t="n">
        <x:f>IF(B202&amp;"-N2"=D202,0,COUNTIFS('Serial Schedule'!$K$7:$K$150,B202&amp;"-N2",'Serial Schedule'!$H$7:$H$150,C202)+COUNTIFS('Serial Schedule'!$K$7:$K$150,D202,'Serial Schedule'!$H$7:$H$150,C202,'Serial Schedule'!$M$7:$M$150,B202&amp;"-N2"))</x:f>
        <x:v>0</x:v>
      </x:c>
      <x:c r="I202" s="47" t="n">
        <x:f>IF(B202&amp;"-N3"=D202,0,COUNTIFS('Serial Schedule'!$K$7:$K$150,B202&amp;"-N3",'Serial Schedule'!$H$7:$H$150,C202)+COUNTIFS('Serial Schedule'!$K$7:$K$150,D202,'Serial Schedule'!$H$7:$H$150,C202,'Serial Schedule'!$M$7:$M$150,B202&amp;"-N3"))</x:f>
        <x:v>2</x:v>
      </x:c>
      <x:c r="J202" s="47" t="n">
        <x:f>MAX(G202:I202)</x:f>
        <x:v>2</x:v>
      </x:c>
      <x:c r="K202" s="47" t="str">
        <x:f>IF(AND(F202=0,J202&lt;=4),"PASS","FAIL")</x:f>
        <x:v>PASS</x:v>
      </x:c>
    </x:row>
    <x:row r="203">
      <x:c r="A203" s="47" t="str">
        <x:v>LOSS-HU-A-B-N2-E6</x:v>
      </x:c>
      <x:c r="B203" s="47" t="str">
        <x:v>HU-A-B</x:v>
      </x:c>
      <x:c r="C203" s="47" t="n">
        <x:v>6</x:v>
      </x:c>
      <x:c r="D203" s="47" t="str">
        <x:v>HU-A-B-N2</x:v>
      </x:c>
      <x:c r="E203" s="47" t="n">
        <x:f>COUNTIFS('Serial Schedule'!$K$7:$K$150,D203,'Serial Schedule'!$H$7:$H$150,C203)</x:f>
        <x:v>2</x:v>
      </x:c>
      <x:c r="F203" s="47" t="n">
        <x:f>SUMIFS('Serial Schedule'!$W$7:$W$150,'Serial Schedule'!$K$7:$K$150,D203,'Serial Schedule'!$H$7:$H$150,C203)</x:f>
        <x:v>0</x:v>
      </x:c>
      <x:c r="G203" s="47" t="n">
        <x:f>IF(B203&amp;"-N1"=D203,0,COUNTIFS('Serial Schedule'!$K$7:$K$150,B203&amp;"-N1",'Serial Schedule'!$H$7:$H$150,C203)+COUNTIFS('Serial Schedule'!$K$7:$K$150,D203,'Serial Schedule'!$H$7:$H$150,C203,'Serial Schedule'!$M$7:$M$150,B203&amp;"-N1"))</x:f>
        <x:v>1</x:v>
      </x:c>
      <x:c r="H203" s="47" t="n">
        <x:f>IF(B203&amp;"-N2"=D203,0,COUNTIFS('Serial Schedule'!$K$7:$K$150,B203&amp;"-N2",'Serial Schedule'!$H$7:$H$150,C203)+COUNTIFS('Serial Schedule'!$K$7:$K$150,D203,'Serial Schedule'!$H$7:$H$150,C203,'Serial Schedule'!$M$7:$M$150,B203&amp;"-N2"))</x:f>
        <x:v>0</x:v>
      </x:c>
      <x:c r="I203" s="47" t="n">
        <x:f>IF(B203&amp;"-N3"=D203,0,COUNTIFS('Serial Schedule'!$K$7:$K$150,B203&amp;"-N3",'Serial Schedule'!$H$7:$H$150,C203)+COUNTIFS('Serial Schedule'!$K$7:$K$150,D203,'Serial Schedule'!$H$7:$H$150,C203,'Serial Schedule'!$M$7:$M$150,B203&amp;"-N3"))</x:f>
        <x:v>3</x:v>
      </x:c>
      <x:c r="J203" s="47" t="n">
        <x:f>MAX(G203:I203)</x:f>
        <x:v>3</x:v>
      </x:c>
      <x:c r="K203" s="47" t="str">
        <x:f>IF(AND(F203=0,J203&lt;=4),"PASS","FAIL")</x:f>
        <x:v>PASS</x:v>
      </x:c>
    </x:row>
    <x:row r="204">
      <x:c r="A204" s="47" t="str">
        <x:v>LOSS-HU-A-B-N3-E1</x:v>
      </x:c>
      <x:c r="B204" s="47" t="str">
        <x:v>HU-A-B</x:v>
      </x:c>
      <x:c r="C204" s="47" t="n">
        <x:v>1</x:v>
      </x:c>
      <x:c r="D204" s="47" t="str">
        <x:v>HU-A-B-N3</x:v>
      </x:c>
      <x:c r="E204" s="47" t="n">
        <x:f>COUNTIFS('Serial Schedule'!$K$7:$K$150,D204,'Serial Schedule'!$H$7:$H$150,C204)</x:f>
        <x:v>1</x:v>
      </x:c>
      <x:c r="F204" s="47" t="n">
        <x:f>SUMIFS('Serial Schedule'!$W$7:$W$150,'Serial Schedule'!$K$7:$K$150,D204,'Serial Schedule'!$H$7:$H$150,C204)</x:f>
        <x:v>0</x:v>
      </x:c>
      <x:c r="G204" s="47" t="n">
        <x:f>IF(B204&amp;"-N1"=D204,0,COUNTIFS('Serial Schedule'!$K$7:$K$150,B204&amp;"-N1",'Serial Schedule'!$H$7:$H$150,C204)+COUNTIFS('Serial Schedule'!$K$7:$K$150,D204,'Serial Schedule'!$H$7:$H$150,C204,'Serial Schedule'!$M$7:$M$150,B204&amp;"-N1"))</x:f>
        <x:v>1</x:v>
      </x:c>
      <x:c r="H204" s="47" t="n">
        <x:f>IF(B204&amp;"-N2"=D204,0,COUNTIFS('Serial Schedule'!$K$7:$K$150,B204&amp;"-N2",'Serial Schedule'!$H$7:$H$150,C204)+COUNTIFS('Serial Schedule'!$K$7:$K$150,D204,'Serial Schedule'!$H$7:$H$150,C204,'Serial Schedule'!$M$7:$M$150,B204&amp;"-N2"))</x:f>
        <x:v>3</x:v>
      </x:c>
      <x:c r="I204" s="47" t="n">
        <x:f>IF(B204&amp;"-N3"=D204,0,COUNTIFS('Serial Schedule'!$K$7:$K$150,B204&amp;"-N3",'Serial Schedule'!$H$7:$H$150,C204)+COUNTIFS('Serial Schedule'!$K$7:$K$150,D204,'Serial Schedule'!$H$7:$H$150,C204,'Serial Schedule'!$M$7:$M$150,B204&amp;"-N3"))</x:f>
        <x:v>0</x:v>
      </x:c>
      <x:c r="J204" s="47" t="n">
        <x:f>MAX(G204:I204)</x:f>
        <x:v>3</x:v>
      </x:c>
      <x:c r="K204" s="47" t="str">
        <x:f>IF(AND(F204=0,J204&lt;=4),"PASS","FAIL")</x:f>
        <x:v>PASS</x:v>
      </x:c>
    </x:row>
    <x:row r="205">
      <x:c r="A205" s="47" t="str">
        <x:v>LOSS-HU-A-B-N3-E2</x:v>
      </x:c>
      <x:c r="B205" s="47" t="str">
        <x:v>HU-A-B</x:v>
      </x:c>
      <x:c r="C205" s="47" t="n">
        <x:v>2</x:v>
      </x:c>
      <x:c r="D205" s="47" t="str">
        <x:v>HU-A-B-N3</x:v>
      </x:c>
      <x:c r="E205" s="47" t="n">
        <x:f>COUNTIFS('Serial Schedule'!$K$7:$K$150,D205,'Serial Schedule'!$H$7:$H$150,C205)</x:f>
        <x:v>0</x:v>
      </x:c>
      <x:c r="F205" s="47" t="n">
        <x:f>SUMIFS('Serial Schedule'!$W$7:$W$150,'Serial Schedule'!$K$7:$K$150,D205,'Serial Schedule'!$H$7:$H$150,C205)</x:f>
        <x:v>0</x:v>
      </x:c>
      <x:c r="G205" s="47" t="n">
        <x:f>IF(B205&amp;"-N1"=D205,0,COUNTIFS('Serial Schedule'!$K$7:$K$150,B205&amp;"-N1",'Serial Schedule'!$H$7:$H$150,C205)+COUNTIFS('Serial Schedule'!$K$7:$K$150,D205,'Serial Schedule'!$H$7:$H$150,C205,'Serial Schedule'!$M$7:$M$150,B205&amp;"-N1"))</x:f>
        <x:v>2</x:v>
      </x:c>
      <x:c r="H205" s="47" t="n">
        <x:f>IF(B205&amp;"-N2"=D205,0,COUNTIFS('Serial Schedule'!$K$7:$K$150,B205&amp;"-N2",'Serial Schedule'!$H$7:$H$150,C205)+COUNTIFS('Serial Schedule'!$K$7:$K$150,D205,'Serial Schedule'!$H$7:$H$150,C205,'Serial Schedule'!$M$7:$M$150,B205&amp;"-N2"))</x:f>
        <x:v>2</x:v>
      </x:c>
      <x:c r="I205" s="47" t="n">
        <x:f>IF(B205&amp;"-N3"=D205,0,COUNTIFS('Serial Schedule'!$K$7:$K$150,B205&amp;"-N3",'Serial Schedule'!$H$7:$H$150,C205)+COUNTIFS('Serial Schedule'!$K$7:$K$150,D205,'Serial Schedule'!$H$7:$H$150,C205,'Serial Schedule'!$M$7:$M$150,B205&amp;"-N3"))</x:f>
        <x:v>0</x:v>
      </x:c>
      <x:c r="J205" s="47" t="n">
        <x:f>MAX(G205:I205)</x:f>
        <x:v>2</x:v>
      </x:c>
      <x:c r="K205" s="47" t="str">
        <x:f>IF(AND(F205=0,J205&lt;=4),"PASS","FAIL")</x:f>
        <x:v>PASS</x:v>
      </x:c>
    </x:row>
    <x:row r="206">
      <x:c r="A206" s="47" t="str">
        <x:v>LOSS-HU-A-B-N3-E3</x:v>
      </x:c>
      <x:c r="B206" s="47" t="str">
        <x:v>HU-A-B</x:v>
      </x:c>
      <x:c r="C206" s="47" t="n">
        <x:v>3</x:v>
      </x:c>
      <x:c r="D206" s="47" t="str">
        <x:v>HU-A-B-N3</x:v>
      </x:c>
      <x:c r="E206" s="47" t="n">
        <x:f>COUNTIFS('Serial Schedule'!$K$7:$K$150,D206,'Serial Schedule'!$H$7:$H$150,C206)</x:f>
        <x:v>1</x:v>
      </x:c>
      <x:c r="F206" s="47" t="n">
        <x:f>SUMIFS('Serial Schedule'!$W$7:$W$150,'Serial Schedule'!$K$7:$K$150,D206,'Serial Schedule'!$H$7:$H$150,C206)</x:f>
        <x:v>0</x:v>
      </x:c>
      <x:c r="G206" s="47" t="n">
        <x:f>IF(B206&amp;"-N1"=D206,0,COUNTIFS('Serial Schedule'!$K$7:$K$150,B206&amp;"-N1",'Serial Schedule'!$H$7:$H$150,C206)+COUNTIFS('Serial Schedule'!$K$7:$K$150,D206,'Serial Schedule'!$H$7:$H$150,C206,'Serial Schedule'!$M$7:$M$150,B206&amp;"-N1"))</x:f>
        <x:v>4</x:v>
      </x:c>
      <x:c r="H206" s="47" t="n">
        <x:f>IF(B206&amp;"-N2"=D206,0,COUNTIFS('Serial Schedule'!$K$7:$K$150,B206&amp;"-N2",'Serial Schedule'!$H$7:$H$150,C206)+COUNTIFS('Serial Schedule'!$K$7:$K$150,D206,'Serial Schedule'!$H$7:$H$150,C206,'Serial Schedule'!$M$7:$M$150,B206&amp;"-N2"))</x:f>
        <x:v>0</x:v>
      </x:c>
      <x:c r="I206" s="47" t="n">
        <x:f>IF(B206&amp;"-N3"=D206,0,COUNTIFS('Serial Schedule'!$K$7:$K$150,B206&amp;"-N3",'Serial Schedule'!$H$7:$H$150,C206)+COUNTIFS('Serial Schedule'!$K$7:$K$150,D206,'Serial Schedule'!$H$7:$H$150,C206,'Serial Schedule'!$M$7:$M$150,B206&amp;"-N3"))</x:f>
        <x:v>0</x:v>
      </x:c>
      <x:c r="J206" s="47" t="n">
        <x:f>MAX(G206:I206)</x:f>
        <x:v>4</x:v>
      </x:c>
      <x:c r="K206" s="47" t="str">
        <x:f>IF(AND(F206=0,J206&lt;=4),"PASS","FAIL")</x:f>
        <x:v>PASS</x:v>
      </x:c>
    </x:row>
    <x:row r="207">
      <x:c r="A207" s="47" t="str">
        <x:v>LOSS-HU-A-B-N3-E4</x:v>
      </x:c>
      <x:c r="B207" s="47" t="str">
        <x:v>HU-A-B</x:v>
      </x:c>
      <x:c r="C207" s="47" t="n">
        <x:v>4</x:v>
      </x:c>
      <x:c r="D207" s="47" t="str">
        <x:v>HU-A-B-N3</x:v>
      </x:c>
      <x:c r="E207" s="47" t="n">
        <x:f>COUNTIFS('Serial Schedule'!$K$7:$K$150,D207,'Serial Schedule'!$H$7:$H$150,C207)</x:f>
        <x:v>2</x:v>
      </x:c>
      <x:c r="F207" s="47" t="n">
        <x:f>SUMIFS('Serial Schedule'!$W$7:$W$150,'Serial Schedule'!$K$7:$K$150,D207,'Serial Schedule'!$H$7:$H$150,C207)</x:f>
        <x:v>0</x:v>
      </x:c>
      <x:c r="G207" s="47" t="n">
        <x:f>IF(B207&amp;"-N1"=D207,0,COUNTIFS('Serial Schedule'!$K$7:$K$150,B207&amp;"-N1",'Serial Schedule'!$H$7:$H$150,C207)+COUNTIFS('Serial Schedule'!$K$7:$K$150,D207,'Serial Schedule'!$H$7:$H$150,C207,'Serial Schedule'!$M$7:$M$150,B207&amp;"-N1"))</x:f>
        <x:v>2</x:v>
      </x:c>
      <x:c r="H207" s="47" t="n">
        <x:f>IF(B207&amp;"-N2"=D207,0,COUNTIFS('Serial Schedule'!$K$7:$K$150,B207&amp;"-N2",'Serial Schedule'!$H$7:$H$150,C207)+COUNTIFS('Serial Schedule'!$K$7:$K$150,D207,'Serial Schedule'!$H$7:$H$150,C207,'Serial Schedule'!$M$7:$M$150,B207&amp;"-N2"))</x:f>
        <x:v>2</x:v>
      </x:c>
      <x:c r="I207" s="47" t="n">
        <x:f>IF(B207&amp;"-N3"=D207,0,COUNTIFS('Serial Schedule'!$K$7:$K$150,B207&amp;"-N3",'Serial Schedule'!$H$7:$H$150,C207)+COUNTIFS('Serial Schedule'!$K$7:$K$150,D207,'Serial Schedule'!$H$7:$H$150,C207,'Serial Schedule'!$M$7:$M$150,B207&amp;"-N3"))</x:f>
        <x:v>0</x:v>
      </x:c>
      <x:c r="J207" s="47" t="n">
        <x:f>MAX(G207:I207)</x:f>
        <x:v>2</x:v>
      </x:c>
      <x:c r="K207" s="47" t="str">
        <x:f>IF(AND(F207=0,J207&lt;=4),"PASS","FAIL")</x:f>
        <x:v>PASS</x:v>
      </x:c>
    </x:row>
    <x:row r="208">
      <x:c r="A208" s="47" t="str">
        <x:v>LOSS-HU-A-B-N3-E5</x:v>
      </x:c>
      <x:c r="B208" s="47" t="str">
        <x:v>HU-A-B</x:v>
      </x:c>
      <x:c r="C208" s="47" t="n">
        <x:v>5</x:v>
      </x:c>
      <x:c r="D208" s="47" t="str">
        <x:v>HU-A-B-N3</x:v>
      </x:c>
      <x:c r="E208" s="47" t="n">
        <x:f>COUNTIFS('Serial Schedule'!$K$7:$K$150,D208,'Serial Schedule'!$H$7:$H$150,C208)</x:f>
        <x:v>1</x:v>
      </x:c>
      <x:c r="F208" s="47" t="n">
        <x:f>SUMIFS('Serial Schedule'!$W$7:$W$150,'Serial Schedule'!$K$7:$K$150,D208,'Serial Schedule'!$H$7:$H$150,C208)</x:f>
        <x:v>0</x:v>
      </x:c>
      <x:c r="G208" s="47" t="n">
        <x:f>IF(B208&amp;"-N1"=D208,0,COUNTIFS('Serial Schedule'!$K$7:$K$150,B208&amp;"-N1",'Serial Schedule'!$H$7:$H$150,C208)+COUNTIFS('Serial Schedule'!$K$7:$K$150,D208,'Serial Schedule'!$H$7:$H$150,C208,'Serial Schedule'!$M$7:$M$150,B208&amp;"-N1"))</x:f>
        <x:v>1</x:v>
      </x:c>
      <x:c r="H208" s="47" t="n">
        <x:f>IF(B208&amp;"-N2"=D208,0,COUNTIFS('Serial Schedule'!$K$7:$K$150,B208&amp;"-N2",'Serial Schedule'!$H$7:$H$150,C208)+COUNTIFS('Serial Schedule'!$K$7:$K$150,D208,'Serial Schedule'!$H$7:$H$150,C208,'Serial Schedule'!$M$7:$M$150,B208&amp;"-N2"))</x:f>
        <x:v>3</x:v>
      </x:c>
      <x:c r="I208" s="47" t="n">
        <x:f>IF(B208&amp;"-N3"=D208,0,COUNTIFS('Serial Schedule'!$K$7:$K$150,B208&amp;"-N3",'Serial Schedule'!$H$7:$H$150,C208)+COUNTIFS('Serial Schedule'!$K$7:$K$150,D208,'Serial Schedule'!$H$7:$H$150,C208,'Serial Schedule'!$M$7:$M$150,B208&amp;"-N3"))</x:f>
        <x:v>0</x:v>
      </x:c>
      <x:c r="J208" s="47" t="n">
        <x:f>MAX(G208:I208)</x:f>
        <x:v>3</x:v>
      </x:c>
      <x:c r="K208" s="47" t="str">
        <x:f>IF(AND(F208=0,J208&lt;=4),"PASS","FAIL")</x:f>
        <x:v>PASS</x:v>
      </x:c>
    </x:row>
    <x:row r="209">
      <x:c r="A209" s="47" t="str">
        <x:v>LOSS-HU-A-B-N3-E6</x:v>
      </x:c>
      <x:c r="B209" s="47" t="str">
        <x:v>HU-A-B</x:v>
      </x:c>
      <x:c r="C209" s="47" t="n">
        <x:v>6</x:v>
      </x:c>
      <x:c r="D209" s="47" t="str">
        <x:v>HU-A-B-N3</x:v>
      </x:c>
      <x:c r="E209" s="47" t="n">
        <x:f>COUNTIFS('Serial Schedule'!$K$7:$K$150,D209,'Serial Schedule'!$H$7:$H$150,C209)</x:f>
        <x:v>1</x:v>
      </x:c>
      <x:c r="F209" s="47" t="n">
        <x:f>SUMIFS('Serial Schedule'!$W$7:$W$150,'Serial Schedule'!$K$7:$K$150,D209,'Serial Schedule'!$H$7:$H$150,C209)</x:f>
        <x:v>0</x:v>
      </x:c>
      <x:c r="G209" s="47" t="n">
        <x:f>IF(B209&amp;"-N1"=D209,0,COUNTIFS('Serial Schedule'!$K$7:$K$150,B209&amp;"-N1",'Serial Schedule'!$H$7:$H$150,C209)+COUNTIFS('Serial Schedule'!$K$7:$K$150,D209,'Serial Schedule'!$H$7:$H$150,C209,'Serial Schedule'!$M$7:$M$150,B209&amp;"-N1"))</x:f>
        <x:v>2</x:v>
      </x:c>
      <x:c r="H209" s="47" t="n">
        <x:f>IF(B209&amp;"-N2"=D209,0,COUNTIFS('Serial Schedule'!$K$7:$K$150,B209&amp;"-N2",'Serial Schedule'!$H$7:$H$150,C209)+COUNTIFS('Serial Schedule'!$K$7:$K$150,D209,'Serial Schedule'!$H$7:$H$150,C209,'Serial Schedule'!$M$7:$M$150,B209&amp;"-N2"))</x:f>
        <x:v>2</x:v>
      </x:c>
      <x:c r="I209" s="47" t="n">
        <x:f>IF(B209&amp;"-N3"=D209,0,COUNTIFS('Serial Schedule'!$K$7:$K$150,B209&amp;"-N3",'Serial Schedule'!$H$7:$H$150,C209)+COUNTIFS('Serial Schedule'!$K$7:$K$150,D209,'Serial Schedule'!$H$7:$H$150,C209,'Serial Schedule'!$M$7:$M$150,B209&amp;"-N3"))</x:f>
        <x:v>0</x:v>
      </x:c>
      <x:c r="J209" s="47" t="n">
        <x:f>MAX(G209:I209)</x:f>
        <x:v>2</x:v>
      </x:c>
      <x:c r="K209" s="47" t="str">
        <x:f>IF(AND(F209=0,J209&lt;=4),"PASS","FAIL")</x:f>
        <x:v>PASS</x:v>
      </x:c>
    </x:row>
    <x:row r="210">
      <x:c r="A210" s="47" t="str">
        <x:v>LOSS-RT-B-C-N1-E1</x:v>
      </x:c>
      <x:c r="B210" s="47" t="str">
        <x:v>RT-B-C</x:v>
      </x:c>
      <x:c r="C210" s="47" t="n">
        <x:v>1</x:v>
      </x:c>
      <x:c r="D210" s="47" t="str">
        <x:v>RT-B-C-N1</x:v>
      </x:c>
      <x:c r="E210" s="47" t="n">
        <x:f>COUNTIFS('Serial Schedule'!$K$7:$K$150,D210,'Serial Schedule'!$H$7:$H$150,C210)</x:f>
        <x:v>1</x:v>
      </x:c>
      <x:c r="F210" s="47" t="n">
        <x:f>SUMIFS('Serial Schedule'!$W$7:$W$150,'Serial Schedule'!$K$7:$K$150,D210,'Serial Schedule'!$H$7:$H$150,C210)</x:f>
        <x:v>0</x:v>
      </x:c>
      <x:c r="G210" s="47" t="n">
        <x:f>IF(B210&amp;"-N1"=D210,0,COUNTIFS('Serial Schedule'!$K$7:$K$150,B210&amp;"-N1",'Serial Schedule'!$H$7:$H$150,C210)+COUNTIFS('Serial Schedule'!$K$7:$K$150,D210,'Serial Schedule'!$H$7:$H$150,C210,'Serial Schedule'!$M$7:$M$150,B210&amp;"-N1"))</x:f>
        <x:v>0</x:v>
      </x:c>
      <x:c r="H210" s="47" t="n">
        <x:f>IF(B210&amp;"-N2"=D210,0,COUNTIFS('Serial Schedule'!$K$7:$K$150,B210&amp;"-N2",'Serial Schedule'!$H$7:$H$150,C210)+COUNTIFS('Serial Schedule'!$K$7:$K$150,D210,'Serial Schedule'!$H$7:$H$150,C210,'Serial Schedule'!$M$7:$M$150,B210&amp;"-N2"))</x:f>
        <x:v>3</x:v>
      </x:c>
      <x:c r="I210" s="47" t="n">
        <x:f>IF(B210&amp;"-N3"=D210,0,COUNTIFS('Serial Schedule'!$K$7:$K$150,B210&amp;"-N3",'Serial Schedule'!$H$7:$H$150,C210)+COUNTIFS('Serial Schedule'!$K$7:$K$150,D210,'Serial Schedule'!$H$7:$H$150,C210,'Serial Schedule'!$M$7:$M$150,B210&amp;"-N3"))</x:f>
        <x:v>1</x:v>
      </x:c>
      <x:c r="J210" s="47" t="n">
        <x:f>MAX(G210:I210)</x:f>
        <x:v>3</x:v>
      </x:c>
      <x:c r="K210" s="47" t="str">
        <x:f>IF(AND(F210=0,J210&lt;=4),"PASS","FAIL")</x:f>
        <x:v>PASS</x:v>
      </x:c>
    </x:row>
    <x:row r="211">
      <x:c r="A211" s="47" t="str">
        <x:v>LOSS-RT-B-C-N1-E2</x:v>
      </x:c>
      <x:c r="B211" s="47" t="str">
        <x:v>RT-B-C</x:v>
      </x:c>
      <x:c r="C211" s="47" t="n">
        <x:v>2</x:v>
      </x:c>
      <x:c r="D211" s="47" t="str">
        <x:v>RT-B-C-N1</x:v>
      </x:c>
      <x:c r="E211" s="47" t="n">
        <x:f>COUNTIFS('Serial Schedule'!$K$7:$K$150,D211,'Serial Schedule'!$H$7:$H$150,C211)</x:f>
        <x:v>1</x:v>
      </x:c>
      <x:c r="F211" s="47" t="n">
        <x:f>SUMIFS('Serial Schedule'!$W$7:$W$150,'Serial Schedule'!$K$7:$K$150,D211,'Serial Schedule'!$H$7:$H$150,C211)</x:f>
        <x:v>0</x:v>
      </x:c>
      <x:c r="G211" s="47" t="n">
        <x:f>IF(B211&amp;"-N1"=D211,0,COUNTIFS('Serial Schedule'!$K$7:$K$150,B211&amp;"-N1",'Serial Schedule'!$H$7:$H$150,C211)+COUNTIFS('Serial Schedule'!$K$7:$K$150,D211,'Serial Schedule'!$H$7:$H$150,C211,'Serial Schedule'!$M$7:$M$150,B211&amp;"-N1"))</x:f>
        <x:v>0</x:v>
      </x:c>
      <x:c r="H211" s="47" t="n">
        <x:f>IF(B211&amp;"-N2"=D211,0,COUNTIFS('Serial Schedule'!$K$7:$K$150,B211&amp;"-N2",'Serial Schedule'!$H$7:$H$150,C211)+COUNTIFS('Serial Schedule'!$K$7:$K$150,D211,'Serial Schedule'!$H$7:$H$150,C211,'Serial Schedule'!$M$7:$M$150,B211&amp;"-N2"))</x:f>
        <x:v>2</x:v>
      </x:c>
      <x:c r="I211" s="47" t="n">
        <x:f>IF(B211&amp;"-N3"=D211,0,COUNTIFS('Serial Schedule'!$K$7:$K$150,B211&amp;"-N3",'Serial Schedule'!$H$7:$H$150,C211)+COUNTIFS('Serial Schedule'!$K$7:$K$150,D211,'Serial Schedule'!$H$7:$H$150,C211,'Serial Schedule'!$M$7:$M$150,B211&amp;"-N3"))</x:f>
        <x:v>2</x:v>
      </x:c>
      <x:c r="J211" s="47" t="n">
        <x:f>MAX(G211:I211)</x:f>
        <x:v>2</x:v>
      </x:c>
      <x:c r="K211" s="47" t="str">
        <x:f>IF(AND(F211=0,J211&lt;=4),"PASS","FAIL")</x:f>
        <x:v>PASS</x:v>
      </x:c>
    </x:row>
    <x:row r="212">
      <x:c r="A212" s="47" t="str">
        <x:v>LOSS-RT-B-C-N1-E3</x:v>
      </x:c>
      <x:c r="B212" s="47" t="str">
        <x:v>RT-B-C</x:v>
      </x:c>
      <x:c r="C212" s="47" t="n">
        <x:v>3</x:v>
      </x:c>
      <x:c r="D212" s="47" t="str">
        <x:v>RT-B-C-N1</x:v>
      </x:c>
      <x:c r="E212" s="47" t="n">
        <x:f>COUNTIFS('Serial Schedule'!$K$7:$K$150,D212,'Serial Schedule'!$H$7:$H$150,C212)</x:f>
        <x:v>2</x:v>
      </x:c>
      <x:c r="F212" s="47" t="n">
        <x:f>SUMIFS('Serial Schedule'!$W$7:$W$150,'Serial Schedule'!$K$7:$K$150,D212,'Serial Schedule'!$H$7:$H$150,C212)</x:f>
        <x:v>0</x:v>
      </x:c>
      <x:c r="G212" s="47" t="n">
        <x:f>IF(B212&amp;"-N1"=D212,0,COUNTIFS('Serial Schedule'!$K$7:$K$150,B212&amp;"-N1",'Serial Schedule'!$H$7:$H$150,C212)+COUNTIFS('Serial Schedule'!$K$7:$K$150,D212,'Serial Schedule'!$H$7:$H$150,C212,'Serial Schedule'!$M$7:$M$150,B212&amp;"-N1"))</x:f>
        <x:v>0</x:v>
      </x:c>
      <x:c r="H212" s="47" t="n">
        <x:f>IF(B212&amp;"-N2"=D212,0,COUNTIFS('Serial Schedule'!$K$7:$K$150,B212&amp;"-N2",'Serial Schedule'!$H$7:$H$150,C212)+COUNTIFS('Serial Schedule'!$K$7:$K$150,D212,'Serial Schedule'!$H$7:$H$150,C212,'Serial Schedule'!$M$7:$M$150,B212&amp;"-N2"))</x:f>
        <x:v>3</x:v>
      </x:c>
      <x:c r="I212" s="47" t="n">
        <x:f>IF(B212&amp;"-N3"=D212,0,COUNTIFS('Serial Schedule'!$K$7:$K$150,B212&amp;"-N3",'Serial Schedule'!$H$7:$H$150,C212)+COUNTIFS('Serial Schedule'!$K$7:$K$150,D212,'Serial Schedule'!$H$7:$H$150,C212,'Serial Schedule'!$M$7:$M$150,B212&amp;"-N3"))</x:f>
        <x:v>1</x:v>
      </x:c>
      <x:c r="J212" s="47" t="n">
        <x:f>MAX(G212:I212)</x:f>
        <x:v>3</x:v>
      </x:c>
      <x:c r="K212" s="47" t="str">
        <x:f>IF(AND(F212=0,J212&lt;=4),"PASS","FAIL")</x:f>
        <x:v>PASS</x:v>
      </x:c>
    </x:row>
    <x:row r="213">
      <x:c r="A213" s="47" t="str">
        <x:v>LOSS-RT-B-C-N1-E4</x:v>
      </x:c>
      <x:c r="B213" s="47" t="str">
        <x:v>RT-B-C</x:v>
      </x:c>
      <x:c r="C213" s="47" t="n">
        <x:v>4</x:v>
      </x:c>
      <x:c r="D213" s="47" t="str">
        <x:v>RT-B-C-N1</x:v>
      </x:c>
      <x:c r="E213" s="47" t="n">
        <x:f>COUNTIFS('Serial Schedule'!$K$7:$K$150,D213,'Serial Schedule'!$H$7:$H$150,C213)</x:f>
        <x:v>3</x:v>
      </x:c>
      <x:c r="F213" s="47" t="n">
        <x:f>SUMIFS('Serial Schedule'!$W$7:$W$150,'Serial Schedule'!$K$7:$K$150,D213,'Serial Schedule'!$H$7:$H$150,C213)</x:f>
        <x:v>0</x:v>
      </x:c>
      <x:c r="G213" s="47" t="n">
        <x:f>IF(B213&amp;"-N1"=D213,0,COUNTIFS('Serial Schedule'!$K$7:$K$150,B213&amp;"-N1",'Serial Schedule'!$H$7:$H$150,C213)+COUNTIFS('Serial Schedule'!$K$7:$K$150,D213,'Serial Schedule'!$H$7:$H$150,C213,'Serial Schedule'!$M$7:$M$150,B213&amp;"-N1"))</x:f>
        <x:v>0</x:v>
      </x:c>
      <x:c r="H213" s="47" t="n">
        <x:f>IF(B213&amp;"-N2"=D213,0,COUNTIFS('Serial Schedule'!$K$7:$K$150,B213&amp;"-N2",'Serial Schedule'!$H$7:$H$150,C213)+COUNTIFS('Serial Schedule'!$K$7:$K$150,D213,'Serial Schedule'!$H$7:$H$150,C213,'Serial Schedule'!$M$7:$M$150,B213&amp;"-N2"))</x:f>
        <x:v>1</x:v>
      </x:c>
      <x:c r="I213" s="47" t="n">
        <x:f>IF(B213&amp;"-N3"=D213,0,COUNTIFS('Serial Schedule'!$K$7:$K$150,B213&amp;"-N3",'Serial Schedule'!$H$7:$H$150,C213)+COUNTIFS('Serial Schedule'!$K$7:$K$150,D213,'Serial Schedule'!$H$7:$H$150,C213,'Serial Schedule'!$M$7:$M$150,B213&amp;"-N3"))</x:f>
        <x:v>3</x:v>
      </x:c>
      <x:c r="J213" s="47" t="n">
        <x:f>MAX(G213:I213)</x:f>
        <x:v>3</x:v>
      </x:c>
      <x:c r="K213" s="47" t="str">
        <x:f>IF(AND(F213=0,J213&lt;=4),"PASS","FAIL")</x:f>
        <x:v>PASS</x:v>
      </x:c>
    </x:row>
    <x:row r="214">
      <x:c r="A214" s="47" t="str">
        <x:v>LOSS-RT-B-C-N1-E5</x:v>
      </x:c>
      <x:c r="B214" s="47" t="str">
        <x:v>RT-B-C</x:v>
      </x:c>
      <x:c r="C214" s="47" t="n">
        <x:v>5</x:v>
      </x:c>
      <x:c r="D214" s="47" t="str">
        <x:v>RT-B-C-N1</x:v>
      </x:c>
      <x:c r="E214" s="47" t="n">
        <x:f>COUNTIFS('Serial Schedule'!$K$7:$K$150,D214,'Serial Schedule'!$H$7:$H$150,C214)</x:f>
        <x:v>1</x:v>
      </x:c>
      <x:c r="F214" s="47" t="n">
        <x:f>SUMIFS('Serial Schedule'!$W$7:$W$150,'Serial Schedule'!$K$7:$K$150,D214,'Serial Schedule'!$H$7:$H$150,C214)</x:f>
        <x:v>0</x:v>
      </x:c>
      <x:c r="G214" s="47" t="n">
        <x:f>IF(B214&amp;"-N1"=D214,0,COUNTIFS('Serial Schedule'!$K$7:$K$150,B214&amp;"-N1",'Serial Schedule'!$H$7:$H$150,C214)+COUNTIFS('Serial Schedule'!$K$7:$K$150,D214,'Serial Schedule'!$H$7:$H$150,C214,'Serial Schedule'!$M$7:$M$150,B214&amp;"-N1"))</x:f>
        <x:v>0</x:v>
      </x:c>
      <x:c r="H214" s="47" t="n">
        <x:f>IF(B214&amp;"-N2"=D214,0,COUNTIFS('Serial Schedule'!$K$7:$K$150,B214&amp;"-N2",'Serial Schedule'!$H$7:$H$150,C214)+COUNTIFS('Serial Schedule'!$K$7:$K$150,D214,'Serial Schedule'!$H$7:$H$150,C214,'Serial Schedule'!$M$7:$M$150,B214&amp;"-N2"))</x:f>
        <x:v>1</x:v>
      </x:c>
      <x:c r="I214" s="47" t="n">
        <x:f>IF(B214&amp;"-N3"=D214,0,COUNTIFS('Serial Schedule'!$K$7:$K$150,B214&amp;"-N3",'Serial Schedule'!$H$7:$H$150,C214)+COUNTIFS('Serial Schedule'!$K$7:$K$150,D214,'Serial Schedule'!$H$7:$H$150,C214,'Serial Schedule'!$M$7:$M$150,B214&amp;"-N3"))</x:f>
        <x:v>3</x:v>
      </x:c>
      <x:c r="J214" s="47" t="n">
        <x:f>MAX(G214:I214)</x:f>
        <x:v>3</x:v>
      </x:c>
      <x:c r="K214" s="47" t="str">
        <x:f>IF(AND(F214=0,J214&lt;=4),"PASS","FAIL")</x:f>
        <x:v>PASS</x:v>
      </x:c>
    </x:row>
    <x:row r="215">
      <x:c r="A215" s="47" t="str">
        <x:v>LOSS-RT-B-C-N1-E6</x:v>
      </x:c>
      <x:c r="B215" s="47" t="str">
        <x:v>RT-B-C</x:v>
      </x:c>
      <x:c r="C215" s="47" t="n">
        <x:v>6</x:v>
      </x:c>
      <x:c r="D215" s="47" t="str">
        <x:v>RT-B-C-N1</x:v>
      </x:c>
      <x:c r="E215" s="47" t="n">
        <x:f>COUNTIFS('Serial Schedule'!$K$7:$K$150,D215,'Serial Schedule'!$H$7:$H$150,C215)</x:f>
        <x:v>1</x:v>
      </x:c>
      <x:c r="F215" s="47" t="n">
        <x:f>SUMIFS('Serial Schedule'!$W$7:$W$150,'Serial Schedule'!$K$7:$K$150,D215,'Serial Schedule'!$H$7:$H$150,C215)</x:f>
        <x:v>0</x:v>
      </x:c>
      <x:c r="G215" s="47" t="n">
        <x:f>IF(B215&amp;"-N1"=D215,0,COUNTIFS('Serial Schedule'!$K$7:$K$150,B215&amp;"-N1",'Serial Schedule'!$H$7:$H$150,C215)+COUNTIFS('Serial Schedule'!$K$7:$K$150,D215,'Serial Schedule'!$H$7:$H$150,C215,'Serial Schedule'!$M$7:$M$150,B215&amp;"-N1"))</x:f>
        <x:v>0</x:v>
      </x:c>
      <x:c r="H215" s="47" t="n">
        <x:f>IF(B215&amp;"-N2"=D215,0,COUNTIFS('Serial Schedule'!$K$7:$K$150,B215&amp;"-N2",'Serial Schedule'!$H$7:$H$150,C215)+COUNTIFS('Serial Schedule'!$K$7:$K$150,D215,'Serial Schedule'!$H$7:$H$150,C215,'Serial Schedule'!$M$7:$M$150,B215&amp;"-N2"))</x:f>
        <x:v>2</x:v>
      </x:c>
      <x:c r="I215" s="47" t="n">
        <x:f>IF(B215&amp;"-N3"=D215,0,COUNTIFS('Serial Schedule'!$K$7:$K$150,B215&amp;"-N3",'Serial Schedule'!$H$7:$H$150,C215)+COUNTIFS('Serial Schedule'!$K$7:$K$150,D215,'Serial Schedule'!$H$7:$H$150,C215,'Serial Schedule'!$M$7:$M$150,B215&amp;"-N3"))</x:f>
        <x:v>2</x:v>
      </x:c>
      <x:c r="J215" s="47" t="n">
        <x:f>MAX(G215:I215)</x:f>
        <x:v>2</x:v>
      </x:c>
      <x:c r="K215" s="47" t="str">
        <x:f>IF(AND(F215=0,J215&lt;=4),"PASS","FAIL")</x:f>
        <x:v>PASS</x:v>
      </x:c>
    </x:row>
    <x:row r="216">
      <x:c r="A216" s="47" t="str">
        <x:v>LOSS-RT-B-C-N2-E1</x:v>
      </x:c>
      <x:c r="B216" s="47" t="str">
        <x:v>RT-B-C</x:v>
      </x:c>
      <x:c r="C216" s="47" t="n">
        <x:v>1</x:v>
      </x:c>
      <x:c r="D216" s="47" t="str">
        <x:v>RT-B-C-N2</x:v>
      </x:c>
      <x:c r="E216" s="47" t="n">
        <x:f>COUNTIFS('Serial Schedule'!$K$7:$K$150,D216,'Serial Schedule'!$H$7:$H$150,C216)</x:f>
        <x:v>2</x:v>
      </x:c>
      <x:c r="F216" s="47" t="n">
        <x:f>SUMIFS('Serial Schedule'!$W$7:$W$150,'Serial Schedule'!$K$7:$K$150,D216,'Serial Schedule'!$H$7:$H$150,C216)</x:f>
        <x:v>0</x:v>
      </x:c>
      <x:c r="G216" s="47" t="n">
        <x:f>IF(B216&amp;"-N1"=D216,0,COUNTIFS('Serial Schedule'!$K$7:$K$150,B216&amp;"-N1",'Serial Schedule'!$H$7:$H$150,C216)+COUNTIFS('Serial Schedule'!$K$7:$K$150,D216,'Serial Schedule'!$H$7:$H$150,C216,'Serial Schedule'!$M$7:$M$150,B216&amp;"-N1"))</x:f>
        <x:v>1</x:v>
      </x:c>
      <x:c r="H216" s="47" t="n">
        <x:f>IF(B216&amp;"-N2"=D216,0,COUNTIFS('Serial Schedule'!$K$7:$K$150,B216&amp;"-N2",'Serial Schedule'!$H$7:$H$150,C216)+COUNTIFS('Serial Schedule'!$K$7:$K$150,D216,'Serial Schedule'!$H$7:$H$150,C216,'Serial Schedule'!$M$7:$M$150,B216&amp;"-N2"))</x:f>
        <x:v>0</x:v>
      </x:c>
      <x:c r="I216" s="47" t="n">
        <x:f>IF(B216&amp;"-N3"=D216,0,COUNTIFS('Serial Schedule'!$K$7:$K$150,B216&amp;"-N3",'Serial Schedule'!$H$7:$H$150,C216)+COUNTIFS('Serial Schedule'!$K$7:$K$150,D216,'Serial Schedule'!$H$7:$H$150,C216,'Serial Schedule'!$M$7:$M$150,B216&amp;"-N3"))</x:f>
        <x:v>3</x:v>
      </x:c>
      <x:c r="J216" s="47" t="n">
        <x:f>MAX(G216:I216)</x:f>
        <x:v>3</x:v>
      </x:c>
      <x:c r="K216" s="47" t="str">
        <x:f>IF(AND(F216=0,J216&lt;=4),"PASS","FAIL")</x:f>
        <x:v>PASS</x:v>
      </x:c>
    </x:row>
    <x:row r="217">
      <x:c r="A217" s="47" t="str">
        <x:v>LOSS-RT-B-C-N2-E2</x:v>
      </x:c>
      <x:c r="B217" s="47" t="str">
        <x:v>RT-B-C</x:v>
      </x:c>
      <x:c r="C217" s="47" t="n">
        <x:v>2</x:v>
      </x:c>
      <x:c r="D217" s="47" t="str">
        <x:v>RT-B-C-N2</x:v>
      </x:c>
      <x:c r="E217" s="47" t="n">
        <x:f>COUNTIFS('Serial Schedule'!$K$7:$K$150,D217,'Serial Schedule'!$H$7:$H$150,C217)</x:f>
        <x:v>2</x:v>
      </x:c>
      <x:c r="F217" s="47" t="n">
        <x:f>SUMIFS('Serial Schedule'!$W$7:$W$150,'Serial Schedule'!$K$7:$K$150,D217,'Serial Schedule'!$H$7:$H$150,C217)</x:f>
        <x:v>0</x:v>
      </x:c>
      <x:c r="G217" s="47" t="n">
        <x:f>IF(B217&amp;"-N1"=D217,0,COUNTIFS('Serial Schedule'!$K$7:$K$150,B217&amp;"-N1",'Serial Schedule'!$H$7:$H$150,C217)+COUNTIFS('Serial Schedule'!$K$7:$K$150,D217,'Serial Schedule'!$H$7:$H$150,C217,'Serial Schedule'!$M$7:$M$150,B217&amp;"-N1"))</x:f>
        <x:v>2</x:v>
      </x:c>
      <x:c r="H217" s="47" t="n">
        <x:f>IF(B217&amp;"-N2"=D217,0,COUNTIFS('Serial Schedule'!$K$7:$K$150,B217&amp;"-N2",'Serial Schedule'!$H$7:$H$150,C217)+COUNTIFS('Serial Schedule'!$K$7:$K$150,D217,'Serial Schedule'!$H$7:$H$150,C217,'Serial Schedule'!$M$7:$M$150,B217&amp;"-N2"))</x:f>
        <x:v>0</x:v>
      </x:c>
      <x:c r="I217" s="47" t="n">
        <x:f>IF(B217&amp;"-N3"=D217,0,COUNTIFS('Serial Schedule'!$K$7:$K$150,B217&amp;"-N3",'Serial Schedule'!$H$7:$H$150,C217)+COUNTIFS('Serial Schedule'!$K$7:$K$150,D217,'Serial Schedule'!$H$7:$H$150,C217,'Serial Schedule'!$M$7:$M$150,B217&amp;"-N3"))</x:f>
        <x:v>2</x:v>
      </x:c>
      <x:c r="J217" s="47" t="n">
        <x:f>MAX(G217:I217)</x:f>
        <x:v>2</x:v>
      </x:c>
      <x:c r="K217" s="47" t="str">
        <x:f>IF(AND(F217=0,J217&lt;=4),"PASS","FAIL")</x:f>
        <x:v>PASS</x:v>
      </x:c>
    </x:row>
    <x:row r="218">
      <x:c r="A218" s="47" t="str">
        <x:v>LOSS-RT-B-C-N2-E3</x:v>
      </x:c>
      <x:c r="B218" s="47" t="str">
        <x:v>RT-B-C</x:v>
      </x:c>
      <x:c r="C218" s="47" t="n">
        <x:v>3</x:v>
      </x:c>
      <x:c r="D218" s="47" t="str">
        <x:v>RT-B-C-N2</x:v>
      </x:c>
      <x:c r="E218" s="47" t="n">
        <x:f>COUNTIFS('Serial Schedule'!$K$7:$K$150,D218,'Serial Schedule'!$H$7:$H$150,C218)</x:f>
        <x:v>2</x:v>
      </x:c>
      <x:c r="F218" s="47" t="n">
        <x:f>SUMIFS('Serial Schedule'!$W$7:$W$150,'Serial Schedule'!$K$7:$K$150,D218,'Serial Schedule'!$H$7:$H$150,C218)</x:f>
        <x:v>0</x:v>
      </x:c>
      <x:c r="G218" s="47" t="n">
        <x:f>IF(B218&amp;"-N1"=D218,0,COUNTIFS('Serial Schedule'!$K$7:$K$150,B218&amp;"-N1",'Serial Schedule'!$H$7:$H$150,C218)+COUNTIFS('Serial Schedule'!$K$7:$K$150,D218,'Serial Schedule'!$H$7:$H$150,C218,'Serial Schedule'!$M$7:$M$150,B218&amp;"-N1"))</x:f>
        <x:v>3</x:v>
      </x:c>
      <x:c r="H218" s="47" t="n">
        <x:f>IF(B218&amp;"-N2"=D218,0,COUNTIFS('Serial Schedule'!$K$7:$K$150,B218&amp;"-N2",'Serial Schedule'!$H$7:$H$150,C218)+COUNTIFS('Serial Schedule'!$K$7:$K$150,D218,'Serial Schedule'!$H$7:$H$150,C218,'Serial Schedule'!$M$7:$M$150,B218&amp;"-N2"))</x:f>
        <x:v>0</x:v>
      </x:c>
      <x:c r="I218" s="47" t="n">
        <x:f>IF(B218&amp;"-N3"=D218,0,COUNTIFS('Serial Schedule'!$K$7:$K$150,B218&amp;"-N3",'Serial Schedule'!$H$7:$H$150,C218)+COUNTIFS('Serial Schedule'!$K$7:$K$150,D218,'Serial Schedule'!$H$7:$H$150,C218,'Serial Schedule'!$M$7:$M$150,B218&amp;"-N3"))</x:f>
        <x:v>1</x:v>
      </x:c>
      <x:c r="J218" s="47" t="n">
        <x:f>MAX(G218:I218)</x:f>
        <x:v>3</x:v>
      </x:c>
      <x:c r="K218" s="47" t="str">
        <x:f>IF(AND(F218=0,J218&lt;=4),"PASS","FAIL")</x:f>
        <x:v>PASS</x:v>
      </x:c>
    </x:row>
    <x:row r="219">
      <x:c r="A219" s="47" t="str">
        <x:v>LOSS-RT-B-C-N2-E4</x:v>
      </x:c>
      <x:c r="B219" s="47" t="str">
        <x:v>RT-B-C</x:v>
      </x:c>
      <x:c r="C219" s="47" t="n">
        <x:v>4</x:v>
      </x:c>
      <x:c r="D219" s="47" t="str">
        <x:v>RT-B-C-N2</x:v>
      </x:c>
      <x:c r="E219" s="47" t="n">
        <x:f>COUNTIFS('Serial Schedule'!$K$7:$K$150,D219,'Serial Schedule'!$H$7:$H$150,C219)</x:f>
        <x:v>0</x:v>
      </x:c>
      <x:c r="F219" s="47" t="n">
        <x:f>SUMIFS('Serial Schedule'!$W$7:$W$150,'Serial Schedule'!$K$7:$K$150,D219,'Serial Schedule'!$H$7:$H$150,C219)</x:f>
        <x:v>0</x:v>
      </x:c>
      <x:c r="G219" s="47" t="n">
        <x:f>IF(B219&amp;"-N1"=D219,0,COUNTIFS('Serial Schedule'!$K$7:$K$150,B219&amp;"-N1",'Serial Schedule'!$H$7:$H$150,C219)+COUNTIFS('Serial Schedule'!$K$7:$K$150,D219,'Serial Schedule'!$H$7:$H$150,C219,'Serial Schedule'!$M$7:$M$150,B219&amp;"-N1"))</x:f>
        <x:v>3</x:v>
      </x:c>
      <x:c r="H219" s="47" t="n">
        <x:f>IF(B219&amp;"-N2"=D219,0,COUNTIFS('Serial Schedule'!$K$7:$K$150,B219&amp;"-N2",'Serial Schedule'!$H$7:$H$150,C219)+COUNTIFS('Serial Schedule'!$K$7:$K$150,D219,'Serial Schedule'!$H$7:$H$150,C219,'Serial Schedule'!$M$7:$M$150,B219&amp;"-N2"))</x:f>
        <x:v>0</x:v>
      </x:c>
      <x:c r="I219" s="47" t="n">
        <x:f>IF(B219&amp;"-N3"=D219,0,COUNTIFS('Serial Schedule'!$K$7:$K$150,B219&amp;"-N3",'Serial Schedule'!$H$7:$H$150,C219)+COUNTIFS('Serial Schedule'!$K$7:$K$150,D219,'Serial Schedule'!$H$7:$H$150,C219,'Serial Schedule'!$M$7:$M$150,B219&amp;"-N3"))</x:f>
        <x:v>1</x:v>
      </x:c>
      <x:c r="J219" s="47" t="n">
        <x:f>MAX(G219:I219)</x:f>
        <x:v>3</x:v>
      </x:c>
      <x:c r="K219" s="47" t="str">
        <x:f>IF(AND(F219=0,J219&lt;=4),"PASS","FAIL")</x:f>
        <x:v>PASS</x:v>
      </x:c>
    </x:row>
    <x:row r="220">
      <x:c r="A220" s="47" t="str">
        <x:v>LOSS-RT-B-C-N2-E5</x:v>
      </x:c>
      <x:c r="B220" s="47" t="str">
        <x:v>RT-B-C</x:v>
      </x:c>
      <x:c r="C220" s="47" t="n">
        <x:v>5</x:v>
      </x:c>
      <x:c r="D220" s="47" t="str">
        <x:v>RT-B-C-N2</x:v>
      </x:c>
      <x:c r="E220" s="47" t="n">
        <x:f>COUNTIFS('Serial Schedule'!$K$7:$K$150,D220,'Serial Schedule'!$H$7:$H$150,C220)</x:f>
        <x:v>1</x:v>
      </x:c>
      <x:c r="F220" s="47" t="n">
        <x:f>SUMIFS('Serial Schedule'!$W$7:$W$150,'Serial Schedule'!$K$7:$K$150,D220,'Serial Schedule'!$H$7:$H$150,C220)</x:f>
        <x:v>0</x:v>
      </x:c>
      <x:c r="G220" s="47" t="n">
        <x:f>IF(B220&amp;"-N1"=D220,0,COUNTIFS('Serial Schedule'!$K$7:$K$150,B220&amp;"-N1",'Serial Schedule'!$H$7:$H$150,C220)+COUNTIFS('Serial Schedule'!$K$7:$K$150,D220,'Serial Schedule'!$H$7:$H$150,C220,'Serial Schedule'!$M$7:$M$150,B220&amp;"-N1"))</x:f>
        <x:v>1</x:v>
      </x:c>
      <x:c r="H220" s="47" t="n">
        <x:f>IF(B220&amp;"-N2"=D220,0,COUNTIFS('Serial Schedule'!$K$7:$K$150,B220&amp;"-N2",'Serial Schedule'!$H$7:$H$150,C220)+COUNTIFS('Serial Schedule'!$K$7:$K$150,D220,'Serial Schedule'!$H$7:$H$150,C220,'Serial Schedule'!$M$7:$M$150,B220&amp;"-N2"))</x:f>
        <x:v>0</x:v>
      </x:c>
      <x:c r="I220" s="47" t="n">
        <x:f>IF(B220&amp;"-N3"=D220,0,COUNTIFS('Serial Schedule'!$K$7:$K$150,B220&amp;"-N3",'Serial Schedule'!$H$7:$H$150,C220)+COUNTIFS('Serial Schedule'!$K$7:$K$150,D220,'Serial Schedule'!$H$7:$H$150,C220,'Serial Schedule'!$M$7:$M$150,B220&amp;"-N3"))</x:f>
        <x:v>3</x:v>
      </x:c>
      <x:c r="J220" s="47" t="n">
        <x:f>MAX(G220:I220)</x:f>
        <x:v>3</x:v>
      </x:c>
      <x:c r="K220" s="47" t="str">
        <x:f>IF(AND(F220=0,J220&lt;=4),"PASS","FAIL")</x:f>
        <x:v>PASS</x:v>
      </x:c>
    </x:row>
    <x:row r="221">
      <x:c r="A221" s="47" t="str">
        <x:v>LOSS-RT-B-C-N2-E6</x:v>
      </x:c>
      <x:c r="B221" s="47" t="str">
        <x:v>RT-B-C</x:v>
      </x:c>
      <x:c r="C221" s="47" t="n">
        <x:v>6</x:v>
      </x:c>
      <x:c r="D221" s="47" t="str">
        <x:v>RT-B-C-N2</x:v>
      </x:c>
      <x:c r="E221" s="47" t="n">
        <x:f>COUNTIFS('Serial Schedule'!$K$7:$K$150,D221,'Serial Schedule'!$H$7:$H$150,C221)</x:f>
        <x:v>2</x:v>
      </x:c>
      <x:c r="F221" s="47" t="n">
        <x:f>SUMIFS('Serial Schedule'!$W$7:$W$150,'Serial Schedule'!$K$7:$K$150,D221,'Serial Schedule'!$H$7:$H$150,C221)</x:f>
        <x:v>0</x:v>
      </x:c>
      <x:c r="G221" s="47" t="n">
        <x:f>IF(B221&amp;"-N1"=D221,0,COUNTIFS('Serial Schedule'!$K$7:$K$150,B221&amp;"-N1",'Serial Schedule'!$H$7:$H$150,C221)+COUNTIFS('Serial Schedule'!$K$7:$K$150,D221,'Serial Schedule'!$H$7:$H$150,C221,'Serial Schedule'!$M$7:$M$150,B221&amp;"-N1"))</x:f>
        <x:v>2</x:v>
      </x:c>
      <x:c r="H221" s="47" t="n">
        <x:f>IF(B221&amp;"-N2"=D221,0,COUNTIFS('Serial Schedule'!$K$7:$K$150,B221&amp;"-N2",'Serial Schedule'!$H$7:$H$150,C221)+COUNTIFS('Serial Schedule'!$K$7:$K$150,D221,'Serial Schedule'!$H$7:$H$150,C221,'Serial Schedule'!$M$7:$M$150,B221&amp;"-N2"))</x:f>
        <x:v>0</x:v>
      </x:c>
      <x:c r="I221" s="47" t="n">
        <x:f>IF(B221&amp;"-N3"=D221,0,COUNTIFS('Serial Schedule'!$K$7:$K$150,B221&amp;"-N3",'Serial Schedule'!$H$7:$H$150,C221)+COUNTIFS('Serial Schedule'!$K$7:$K$150,D221,'Serial Schedule'!$H$7:$H$150,C221,'Serial Schedule'!$M$7:$M$150,B221&amp;"-N3"))</x:f>
        <x:v>2</x:v>
      </x:c>
      <x:c r="J221" s="47" t="n">
        <x:f>MAX(G221:I221)</x:f>
        <x:v>2</x:v>
      </x:c>
      <x:c r="K221" s="47" t="str">
        <x:f>IF(AND(F221=0,J221&lt;=4),"PASS","FAIL")</x:f>
        <x:v>PASS</x:v>
      </x:c>
    </x:row>
    <x:row r="222">
      <x:c r="A222" s="47" t="str">
        <x:v>LOSS-RT-B-C-N3-E1</x:v>
      </x:c>
      <x:c r="B222" s="47" t="str">
        <x:v>RT-B-C</x:v>
      </x:c>
      <x:c r="C222" s="47" t="n">
        <x:v>1</x:v>
      </x:c>
      <x:c r="D222" s="47" t="str">
        <x:v>RT-B-C-N3</x:v>
      </x:c>
      <x:c r="E222" s="47" t="n">
        <x:f>COUNTIFS('Serial Schedule'!$K$7:$K$150,D222,'Serial Schedule'!$H$7:$H$150,C222)</x:f>
        <x:v>1</x:v>
      </x:c>
      <x:c r="F222" s="47" t="n">
        <x:f>SUMIFS('Serial Schedule'!$W$7:$W$150,'Serial Schedule'!$K$7:$K$150,D222,'Serial Schedule'!$H$7:$H$150,C222)</x:f>
        <x:v>0</x:v>
      </x:c>
      <x:c r="G222" s="47" t="n">
        <x:f>IF(B222&amp;"-N1"=D222,0,COUNTIFS('Serial Schedule'!$K$7:$K$150,B222&amp;"-N1",'Serial Schedule'!$H$7:$H$150,C222)+COUNTIFS('Serial Schedule'!$K$7:$K$150,D222,'Serial Schedule'!$H$7:$H$150,C222,'Serial Schedule'!$M$7:$M$150,B222&amp;"-N1"))</x:f>
        <x:v>2</x:v>
      </x:c>
      <x:c r="H222" s="47" t="n">
        <x:f>IF(B222&amp;"-N2"=D222,0,COUNTIFS('Serial Schedule'!$K$7:$K$150,B222&amp;"-N2",'Serial Schedule'!$H$7:$H$150,C222)+COUNTIFS('Serial Schedule'!$K$7:$K$150,D222,'Serial Schedule'!$H$7:$H$150,C222,'Serial Schedule'!$M$7:$M$150,B222&amp;"-N2"))</x:f>
        <x:v>2</x:v>
      </x:c>
      <x:c r="I222" s="47" t="n">
        <x:f>IF(B222&amp;"-N3"=D222,0,COUNTIFS('Serial Schedule'!$K$7:$K$150,B222&amp;"-N3",'Serial Schedule'!$H$7:$H$150,C222)+COUNTIFS('Serial Schedule'!$K$7:$K$150,D222,'Serial Schedule'!$H$7:$H$150,C222,'Serial Schedule'!$M$7:$M$150,B222&amp;"-N3"))</x:f>
        <x:v>0</x:v>
      </x:c>
      <x:c r="J222" s="47" t="n">
        <x:f>MAX(G222:I222)</x:f>
        <x:v>2</x:v>
      </x:c>
      <x:c r="K222" s="47" t="str">
        <x:f>IF(AND(F222=0,J222&lt;=4),"PASS","FAIL")</x:f>
        <x:v>PASS</x:v>
      </x:c>
    </x:row>
    <x:row r="223">
      <x:c r="A223" s="47" t="str">
        <x:v>LOSS-RT-B-C-N3-E2</x:v>
      </x:c>
      <x:c r="B223" s="47" t="str">
        <x:v>RT-B-C</x:v>
      </x:c>
      <x:c r="C223" s="47" t="n">
        <x:v>2</x:v>
      </x:c>
      <x:c r="D223" s="47" t="str">
        <x:v>RT-B-C-N3</x:v>
      </x:c>
      <x:c r="E223" s="47" t="n">
        <x:f>COUNTIFS('Serial Schedule'!$K$7:$K$150,D223,'Serial Schedule'!$H$7:$H$150,C223)</x:f>
        <x:v>1</x:v>
      </x:c>
      <x:c r="F223" s="47" t="n">
        <x:f>SUMIFS('Serial Schedule'!$W$7:$W$150,'Serial Schedule'!$K$7:$K$150,D223,'Serial Schedule'!$H$7:$H$150,C223)</x:f>
        <x:v>0</x:v>
      </x:c>
      <x:c r="G223" s="47" t="n">
        <x:f>IF(B223&amp;"-N1"=D223,0,COUNTIFS('Serial Schedule'!$K$7:$K$150,B223&amp;"-N1",'Serial Schedule'!$H$7:$H$150,C223)+COUNTIFS('Serial Schedule'!$K$7:$K$150,D223,'Serial Schedule'!$H$7:$H$150,C223,'Serial Schedule'!$M$7:$M$150,B223&amp;"-N1"))</x:f>
        <x:v>1</x:v>
      </x:c>
      <x:c r="H223" s="47" t="n">
        <x:f>IF(B223&amp;"-N2"=D223,0,COUNTIFS('Serial Schedule'!$K$7:$K$150,B223&amp;"-N2",'Serial Schedule'!$H$7:$H$150,C223)+COUNTIFS('Serial Schedule'!$K$7:$K$150,D223,'Serial Schedule'!$H$7:$H$150,C223,'Serial Schedule'!$M$7:$M$150,B223&amp;"-N2"))</x:f>
        <x:v>3</x:v>
      </x:c>
      <x:c r="I223" s="47" t="n">
        <x:f>IF(B223&amp;"-N3"=D223,0,COUNTIFS('Serial Schedule'!$K$7:$K$150,B223&amp;"-N3",'Serial Schedule'!$H$7:$H$150,C223)+COUNTIFS('Serial Schedule'!$K$7:$K$150,D223,'Serial Schedule'!$H$7:$H$150,C223,'Serial Schedule'!$M$7:$M$150,B223&amp;"-N3"))</x:f>
        <x:v>0</x:v>
      </x:c>
      <x:c r="J223" s="47" t="n">
        <x:f>MAX(G223:I223)</x:f>
        <x:v>3</x:v>
      </x:c>
      <x:c r="K223" s="47" t="str">
        <x:f>IF(AND(F223=0,J223&lt;=4),"PASS","FAIL")</x:f>
        <x:v>PASS</x:v>
      </x:c>
    </x:row>
    <x:row r="224">
      <x:c r="A224" s="47" t="str">
        <x:v>LOSS-RT-B-C-N3-E3</x:v>
      </x:c>
      <x:c r="B224" s="47" t="str">
        <x:v>RT-B-C</x:v>
      </x:c>
      <x:c r="C224" s="47" t="n">
        <x:v>3</x:v>
      </x:c>
      <x:c r="D224" s="47" t="str">
        <x:v>RT-B-C-N3</x:v>
      </x:c>
      <x:c r="E224" s="47" t="n">
        <x:f>COUNTIFS('Serial Schedule'!$K$7:$K$150,D224,'Serial Schedule'!$H$7:$H$150,C224)</x:f>
        <x:v>0</x:v>
      </x:c>
      <x:c r="F224" s="47" t="n">
        <x:f>SUMIFS('Serial Schedule'!$W$7:$W$150,'Serial Schedule'!$K$7:$K$150,D224,'Serial Schedule'!$H$7:$H$150,C224)</x:f>
        <x:v>0</x:v>
      </x:c>
      <x:c r="G224" s="47" t="n">
        <x:f>IF(B224&amp;"-N1"=D224,0,COUNTIFS('Serial Schedule'!$K$7:$K$150,B224&amp;"-N1",'Serial Schedule'!$H$7:$H$150,C224)+COUNTIFS('Serial Schedule'!$K$7:$K$150,D224,'Serial Schedule'!$H$7:$H$150,C224,'Serial Schedule'!$M$7:$M$150,B224&amp;"-N1"))</x:f>
        <x:v>2</x:v>
      </x:c>
      <x:c r="H224" s="47" t="n">
        <x:f>IF(B224&amp;"-N2"=D224,0,COUNTIFS('Serial Schedule'!$K$7:$K$150,B224&amp;"-N2",'Serial Schedule'!$H$7:$H$150,C224)+COUNTIFS('Serial Schedule'!$K$7:$K$150,D224,'Serial Schedule'!$H$7:$H$150,C224,'Serial Schedule'!$M$7:$M$150,B224&amp;"-N2"))</x:f>
        <x:v>2</x:v>
      </x:c>
      <x:c r="I224" s="47" t="n">
        <x:f>IF(B224&amp;"-N3"=D224,0,COUNTIFS('Serial Schedule'!$K$7:$K$150,B224&amp;"-N3",'Serial Schedule'!$H$7:$H$150,C224)+COUNTIFS('Serial Schedule'!$K$7:$K$150,D224,'Serial Schedule'!$H$7:$H$150,C224,'Serial Schedule'!$M$7:$M$150,B224&amp;"-N3"))</x:f>
        <x:v>0</x:v>
      </x:c>
      <x:c r="J224" s="47" t="n">
        <x:f>MAX(G224:I224)</x:f>
        <x:v>2</x:v>
      </x:c>
      <x:c r="K224" s="47" t="str">
        <x:f>IF(AND(F224=0,J224&lt;=4),"PASS","FAIL")</x:f>
        <x:v>PASS</x:v>
      </x:c>
    </x:row>
    <x:row r="225">
      <x:c r="A225" s="47" t="str">
        <x:v>LOSS-RT-B-C-N3-E4</x:v>
      </x:c>
      <x:c r="B225" s="47" t="str">
        <x:v>RT-B-C</x:v>
      </x:c>
      <x:c r="C225" s="47" t="n">
        <x:v>4</x:v>
      </x:c>
      <x:c r="D225" s="47" t="str">
        <x:v>RT-B-C-N3</x:v>
      </x:c>
      <x:c r="E225" s="47" t="n">
        <x:f>COUNTIFS('Serial Schedule'!$K$7:$K$150,D225,'Serial Schedule'!$H$7:$H$150,C225)</x:f>
        <x:v>1</x:v>
      </x:c>
      <x:c r="F225" s="47" t="n">
        <x:f>SUMIFS('Serial Schedule'!$W$7:$W$150,'Serial Schedule'!$K$7:$K$150,D225,'Serial Schedule'!$H$7:$H$150,C225)</x:f>
        <x:v>0</x:v>
      </x:c>
      <x:c r="G225" s="47" t="n">
        <x:f>IF(B225&amp;"-N1"=D225,0,COUNTIFS('Serial Schedule'!$K$7:$K$150,B225&amp;"-N1",'Serial Schedule'!$H$7:$H$150,C225)+COUNTIFS('Serial Schedule'!$K$7:$K$150,D225,'Serial Schedule'!$H$7:$H$150,C225,'Serial Schedule'!$M$7:$M$150,B225&amp;"-N1"))</x:f>
        <x:v>4</x:v>
      </x:c>
      <x:c r="H225" s="47" t="n">
        <x:f>IF(B225&amp;"-N2"=D225,0,COUNTIFS('Serial Schedule'!$K$7:$K$150,B225&amp;"-N2",'Serial Schedule'!$H$7:$H$150,C225)+COUNTIFS('Serial Schedule'!$K$7:$K$150,D225,'Serial Schedule'!$H$7:$H$150,C225,'Serial Schedule'!$M$7:$M$150,B225&amp;"-N2"))</x:f>
        <x:v>0</x:v>
      </x:c>
      <x:c r="I225" s="47" t="n">
        <x:f>IF(B225&amp;"-N3"=D225,0,COUNTIFS('Serial Schedule'!$K$7:$K$150,B225&amp;"-N3",'Serial Schedule'!$H$7:$H$150,C225)+COUNTIFS('Serial Schedule'!$K$7:$K$150,D225,'Serial Schedule'!$H$7:$H$150,C225,'Serial Schedule'!$M$7:$M$150,B225&amp;"-N3"))</x:f>
        <x:v>0</x:v>
      </x:c>
      <x:c r="J225" s="47" t="n">
        <x:f>MAX(G225:I225)</x:f>
        <x:v>4</x:v>
      </x:c>
      <x:c r="K225" s="47" t="str">
        <x:f>IF(AND(F225=0,J225&lt;=4),"PASS","FAIL")</x:f>
        <x:v>PASS</x:v>
      </x:c>
    </x:row>
    <x:row r="226">
      <x:c r="A226" s="47" t="str">
        <x:v>LOSS-RT-B-C-N3-E5</x:v>
      </x:c>
      <x:c r="B226" s="47" t="str">
        <x:v>RT-B-C</x:v>
      </x:c>
      <x:c r="C226" s="47" t="n">
        <x:v>5</x:v>
      </x:c>
      <x:c r="D226" s="47" t="str">
        <x:v>RT-B-C-N3</x:v>
      </x:c>
      <x:c r="E226" s="47" t="n">
        <x:f>COUNTIFS('Serial Schedule'!$K$7:$K$150,D226,'Serial Schedule'!$H$7:$H$150,C226)</x:f>
        <x:v>2</x:v>
      </x:c>
      <x:c r="F226" s="47" t="n">
        <x:f>SUMIFS('Serial Schedule'!$W$7:$W$150,'Serial Schedule'!$K$7:$K$150,D226,'Serial Schedule'!$H$7:$H$150,C226)</x:f>
        <x:v>0</x:v>
      </x:c>
      <x:c r="G226" s="47" t="n">
        <x:f>IF(B226&amp;"-N1"=D226,0,COUNTIFS('Serial Schedule'!$K$7:$K$150,B226&amp;"-N1",'Serial Schedule'!$H$7:$H$150,C226)+COUNTIFS('Serial Schedule'!$K$7:$K$150,D226,'Serial Schedule'!$H$7:$H$150,C226,'Serial Schedule'!$M$7:$M$150,B226&amp;"-N1"))</x:f>
        <x:v>2</x:v>
      </x:c>
      <x:c r="H226" s="47" t="n">
        <x:f>IF(B226&amp;"-N2"=D226,0,COUNTIFS('Serial Schedule'!$K$7:$K$150,B226&amp;"-N2",'Serial Schedule'!$H$7:$H$150,C226)+COUNTIFS('Serial Schedule'!$K$7:$K$150,D226,'Serial Schedule'!$H$7:$H$150,C226,'Serial Schedule'!$M$7:$M$150,B226&amp;"-N2"))</x:f>
        <x:v>2</x:v>
      </x:c>
      <x:c r="I226" s="47" t="n">
        <x:f>IF(B226&amp;"-N3"=D226,0,COUNTIFS('Serial Schedule'!$K$7:$K$150,B226&amp;"-N3",'Serial Schedule'!$H$7:$H$150,C226)+COUNTIFS('Serial Schedule'!$K$7:$K$150,D226,'Serial Schedule'!$H$7:$H$150,C226,'Serial Schedule'!$M$7:$M$150,B226&amp;"-N3"))</x:f>
        <x:v>0</x:v>
      </x:c>
      <x:c r="J226" s="47" t="n">
        <x:f>MAX(G226:I226)</x:f>
        <x:v>2</x:v>
      </x:c>
      <x:c r="K226" s="47" t="str">
        <x:f>IF(AND(F226=0,J226&lt;=4),"PASS","FAIL")</x:f>
        <x:v>PASS</x:v>
      </x:c>
    </x:row>
    <x:row r="227">
      <x:c r="A227" s="47" t="str">
        <x:v>LOSS-RT-B-C-N3-E6</x:v>
      </x:c>
      <x:c r="B227" s="47" t="str">
        <x:v>RT-B-C</x:v>
      </x:c>
      <x:c r="C227" s="47" t="n">
        <x:v>6</x:v>
      </x:c>
      <x:c r="D227" s="47" t="str">
        <x:v>RT-B-C-N3</x:v>
      </x:c>
      <x:c r="E227" s="47" t="n">
        <x:f>COUNTIFS('Serial Schedule'!$K$7:$K$150,D227,'Serial Schedule'!$H$7:$H$150,C227)</x:f>
        <x:v>1</x:v>
      </x:c>
      <x:c r="F227" s="47" t="n">
        <x:f>SUMIFS('Serial Schedule'!$W$7:$W$150,'Serial Schedule'!$K$7:$K$150,D227,'Serial Schedule'!$H$7:$H$150,C227)</x:f>
        <x:v>0</x:v>
      </x:c>
      <x:c r="G227" s="47" t="n">
        <x:f>IF(B227&amp;"-N1"=D227,0,COUNTIFS('Serial Schedule'!$K$7:$K$150,B227&amp;"-N1",'Serial Schedule'!$H$7:$H$150,C227)+COUNTIFS('Serial Schedule'!$K$7:$K$150,D227,'Serial Schedule'!$H$7:$H$150,C227,'Serial Schedule'!$M$7:$M$150,B227&amp;"-N1"))</x:f>
        <x:v>1</x:v>
      </x:c>
      <x:c r="H227" s="47" t="n">
        <x:f>IF(B227&amp;"-N2"=D227,0,COUNTIFS('Serial Schedule'!$K$7:$K$150,B227&amp;"-N2",'Serial Schedule'!$H$7:$H$150,C227)+COUNTIFS('Serial Schedule'!$K$7:$K$150,D227,'Serial Schedule'!$H$7:$H$150,C227,'Serial Schedule'!$M$7:$M$150,B227&amp;"-N2"))</x:f>
        <x:v>3</x:v>
      </x:c>
      <x:c r="I227" s="47" t="n">
        <x:f>IF(B227&amp;"-N3"=D227,0,COUNTIFS('Serial Schedule'!$K$7:$K$150,B227&amp;"-N3",'Serial Schedule'!$H$7:$H$150,C227)+COUNTIFS('Serial Schedule'!$K$7:$K$150,D227,'Serial Schedule'!$H$7:$H$150,C227,'Serial Schedule'!$M$7:$M$150,B227&amp;"-N3"))</x:f>
        <x:v>0</x:v>
      </x:c>
      <x:c r="J227" s="47" t="n">
        <x:f>MAX(G227:I227)</x:f>
        <x:v>3</x:v>
      </x:c>
      <x:c r="K227" s="47" t="str">
        <x:f>IF(AND(F227=0,J227&lt;=4),"PASS","FAIL")</x:f>
        <x:v>PASS</x:v>
      </x:c>
    </x:row>
  </x:sheetData>
  <x:conditionalFormatting sqref="H7:H114">
    <x:cfRule type="containsText" dxfId="54" priority="1" operator="containsText" text="HOLD"/>
    <x:cfRule type="containsText" dxfId="55" priority="2" operator="containsText" text="OPEN"/>
    <x:cfRule type="containsText" dxfId="56" priority="3" operator="containsText" text="UNBUILT"/>
    <x:cfRule type="containsText" dxfId="57" priority="4" operator="containsText" text="UNLOCATED"/>
    <x:cfRule type="containsText" dxfId="58" priority="5" operator="containsText" text="IDENTITY EMPTY"/>
    <x:cfRule type="containsText" dxfId="59" priority="6" operator="containsText" text="UNINSTALLED"/>
    <x:cfRule type="containsText" dxfId="60" priority="7" operator="containsText" text="FAIL"/>
    <x:cfRule type="containsText" dxfId="61" priority="8" operator="containsText" text="TERMINATE"/>
    <x:cfRule type="containsText" dxfId="62" priority="9" operator="containsText" text="VIOLATION"/>
  </x:conditionalFormatting>
  <x:conditionalFormatting sqref="K120:K227">
    <x:cfRule type="containsText" dxfId="63" priority="10" operator="containsText" text="HOLD"/>
    <x:cfRule type="containsText" dxfId="64" priority="11" operator="containsText" text="OPEN"/>
    <x:cfRule type="containsText" dxfId="65" priority="12" operator="containsText" text="UNBUILT"/>
    <x:cfRule type="containsText" dxfId="66" priority="13" operator="containsText" text="UNLOCATED"/>
    <x:cfRule type="containsText" dxfId="67" priority="14" operator="containsText" text="IDENTITY EMPTY"/>
    <x:cfRule type="containsText" dxfId="68" priority="15" operator="containsText" text="UNINSTALLED"/>
    <x:cfRule type="containsText" dxfId="69" priority="16" operator="containsText" text="FAIL"/>
    <x:cfRule type="containsText" dxfId="70" priority="17" operator="containsText" text="TERMINATE"/>
    <x:cfRule type="containsText" dxfId="71" priority="18" operator="containsText" text="VIOLATION"/>
  </x:conditionalFormatting>
  <x:pageMargins left="0.7" right="0.7" top="0.75" bottom="0.75" header="0.3" footer="0.3"/>
  <x:tableParts count="2">
    <x:tablePart xmlns:r="http://schemas.openxmlformats.org/officeDocument/2006/relationships" r:id="R9bde491a56914450"/>
    <x:tablePart xmlns:r="http://schemas.openxmlformats.org/officeDocument/2006/relationships" r:id="R66e065bb09284c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19" hidden="0" customWidth="1"/>
    <x:col min="4" max="4" width="28" hidden="0" customWidth="1"/>
    <x:col min="5" max="5" width="28" hidden="0" customWidth="1"/>
    <x:col min="6" max="6" width="66" hidden="0" customWidth="1"/>
    <x:col min="7" max="7" width="4" hidden="0" customWidth="1"/>
  </x:cols>
  <x:sheetData>
    <x:row r="1">
      <x:c r="A1" s="47"/>
      <x:c r="B1" s="47"/>
      <x:c r="C1" s="47"/>
      <x:c r="D1" s="47"/>
      <x:c r="E1" s="47"/>
      <x:c r="F1" s="47"/>
      <x:c r="G1" s="47"/>
    </x:row>
    <x:row r="2">
      <x:c r="A2" s="55" t="str">
        <x:v>Embedded workload and separated duty cells</x:v>
      </x:c>
      <x:c r="B2" s="47"/>
      <x:c r="C2" s="47"/>
      <x:c r="D2" s="47"/>
      <x:c r="E2" s="47"/>
      <x:c r="F2" s="47"/>
      <x:c r="G2" s="47"/>
    </x:row>
    <x:row r="3">
      <x:c r="A3" s="49"/>
      <x:c r="B3" s="49"/>
      <x:c r="C3" s="49"/>
      <x:c r="D3" s="49"/>
      <x:c r="E3" s="49"/>
      <x:c r="F3" s="49"/>
      <x:c r="G3" s="49"/>
    </x:row>
    <x:row r="4">
      <x:c r="A4" s="47"/>
      <x:c r="B4" s="47"/>
      <x:c r="C4" s="47"/>
      <x:c r="D4" s="47"/>
      <x:c r="E4" s="47"/>
      <x:c r="F4" s="47"/>
      <x:c r="G4" s="47"/>
    </x:row>
    <x:row r="5">
      <x:c r="A5" s="47"/>
      <x:c r="B5" s="47"/>
      <x:c r="C5" s="47"/>
      <x:c r="D5" s="47"/>
      <x:c r="E5" s="47"/>
      <x:c r="F5" s="47"/>
      <x:c r="G5" s="47"/>
    </x:row>
    <x:row r="6" ht="34" customHeight="1">
      <x:c r="A6" s="15" t="str">
        <x:v>Jurisdiction</x:v>
      </x:c>
      <x:c r="B6" s="15" t="str">
        <x:v>Exposure (USD M)</x:v>
      </x:c>
      <x:c r="C6" s="15" t="str">
        <x:v>Campaign years</x:v>
      </x:c>
      <x:c r="D6" s="15" t="str">
        <x:v>Average direct-position equivalents</x:v>
      </x:c>
      <x:c r="E6" s="15" t="str">
        <x:v>Peak direct-position equivalents</x:v>
      </x:c>
      <x:c r="F6" s="15" t="str">
        <x:v>Interpretation</x:v>
      </x:c>
      <x:c r="G6" s="47"/>
    </x:row>
    <x:row r="7">
      <x:c r="A7" s="47" t="str">
        <x:v>Candidate articles and technical data</x:v>
      </x:c>
      <x:c r="B7" s="53" t="n">
        <x:f>Inputs!B27</x:f>
        <x:v>16376.6666666667</x:v>
      </x:c>
      <x:c r="C7" s="57" t="n">
        <x:f>(Inputs!B21+Inputs!B16*(Inputs!B17*Inputs!B19+Inputs!B20)+Inputs!B22)/52</x:f>
        <x:v>6</x:v>
      </x:c>
      <x:c r="D7" s="52" t="n">
        <x:f>B7/C7/Inputs!B24</x:f>
        <x:v>4199.145299145308</x:v>
      </x:c>
      <x:c r="E7" s="52" t="n">
        <x:f>D7*Inputs!B25</x:f>
        <x:v>5248.931623931635</x:v>
      </x:c>
      <x:c r="F7" s="51" t="str">
        <x:v>industrial workload embedded in candidate exposure</x:v>
      </x:c>
      <x:c r="G7" s="47"/>
    </x:row>
    <x:row r="8">
      <x:c r="A8" s="47" t="str">
        <x:v>Proving stations</x:v>
      </x:c>
      <x:c r="B8" s="53" t="n">
        <x:f>Inputs!B29</x:f>
        <x:v>5300</x:v>
      </x:c>
      <x:c r="C8" s="57" t="n">
        <x:f>(Inputs!B21+Inputs!B16*(Inputs!B17*Inputs!B19+Inputs!B20)+Inputs!B22)/52</x:f>
        <x:v>6</x:v>
      </x:c>
      <x:c r="D8" s="52" t="n">
        <x:f>B8/C8/Inputs!B24</x:f>
        <x:v>1358.974358974359</x:v>
      </x:c>
      <x:c r="E8" s="52" t="n">
        <x:f>D8*Inputs!B25</x:f>
        <x:v>1698.7179487179487</x:v>
      </x:c>
      <x:c r="F8" s="51" t="str">
        <x:v>public site, fixture, safety and event workload</x:v>
      </x:c>
      <x:c r="G8" s="47"/>
    </x:row>
    <x:row r="9">
      <x:c r="A9" s="47" t="str">
        <x:v>Metrology and custody</x:v>
      </x:c>
      <x:c r="B9" s="53" t="n">
        <x:f>Inputs!B31</x:f>
        <x:v>2150</x:v>
      </x:c>
      <x:c r="C9" s="57" t="n">
        <x:f>(Inputs!B21+Inputs!B16*(Inputs!B17*Inputs!B19+Inputs!B20)+Inputs!B22)/52</x:f>
        <x:v>6</x:v>
      </x:c>
      <x:c r="D9" s="52" t="n">
        <x:f>B9/C9/Inputs!B24</x:f>
        <x:v>551.2820512820513</x:v>
      </x:c>
      <x:c r="E9" s="52" t="n">
        <x:f>D9*Inputs!B25</x:f>
        <x:v>689.1025641025641</x:v>
      </x:c>
      <x:c r="F9" s="51" t="str">
        <x:v>primary/witness measurement and record custody</x:v>
      </x:c>
      <x:c r="G9" s="47"/>
    </x:row>
    <x:row r="10">
      <x:c r="A10" s="47" t="str">
        <x:v>Replacement and regeneration</x:v>
      </x:c>
      <x:c r="B10" s="53" t="n">
        <x:f>Inputs!B33</x:f>
        <x:v>1213.3333333333</x:v>
      </x:c>
      <x:c r="C10" s="57" t="n">
        <x:f>(Inputs!B21+Inputs!B16*(Inputs!B17*Inputs!B19+Inputs!B20)+Inputs!B22)/52</x:f>
        <x:v>6</x:v>
      </x:c>
      <x:c r="D10" s="52" t="n">
        <x:f>B10/C10/Inputs!B24</x:f>
        <x:v>311.11111111110256</x:v>
      </x:c>
      <x:c r="E10" s="52" t="n">
        <x:f>D10*Inputs!B25</x:f>
        <x:v>388.8888888888782</x:v>
      </x:c>
      <x:c r="F10" s="51" t="str">
        <x:v>clean reconstruction and fixture recovery</x:v>
      </x:c>
      <x:c r="G10" s="47"/>
    </x:row>
    <x:row r="11">
      <x:c r="A11" s="47" t="str">
        <x:v>Total</x:v>
      </x:c>
      <x:c r="B11" s="53" t="n">
        <x:f>SUM(B7:B10)</x:f>
        <x:v>25040</x:v>
      </x:c>
      <x:c r="C11" s="57" t="n">
        <x:f>MAX(C7:C10)</x:f>
        <x:v>6</x:v>
      </x:c>
      <x:c r="D11" s="52" t="n">
        <x:f>SUM(D7:D10)</x:f>
        <x:v>6420.51282051282</x:v>
      </x:c>
      <x:c r="E11" s="52" t="n">
        <x:f>SUM(E7:E10)</x:f>
        <x:v>8025.641025641025</x:v>
      </x:c>
      <x:c r="F11" s="51" t="str">
        <x:v>direct-position equivalents; not billets or employment forecast</x:v>
      </x:c>
      <x:c r="G11" s="47"/>
    </x:row>
    <x:row r="12">
      <x:c r="A12" s="47"/>
      <x:c r="B12" s="47"/>
      <x:c r="C12" s="47"/>
      <x:c r="D12" s="47"/>
      <x:c r="E12" s="47"/>
      <x:c r="F12" s="47"/>
      <x:c r="G12" s="47"/>
    </x:row>
    <x:row r="13">
      <x:c r="A13" s="47"/>
      <x:c r="B13" s="47"/>
      <x:c r="C13" s="47"/>
      <x:c r="D13" s="47"/>
      <x:c r="E13" s="47"/>
      <x:c r="F13" s="47"/>
      <x:c r="G13" s="47"/>
    </x:row>
    <x:row r="14">
      <x:c r="A14" s="47"/>
      <x:c r="B14" s="47"/>
      <x:c r="C14" s="47"/>
      <x:c r="D14" s="47"/>
      <x:c r="E14" s="47"/>
      <x:c r="F14" s="47"/>
      <x:c r="G14" s="47"/>
    </x:row>
    <x:row r="15">
      <x:c r="A15" s="48" t="str">
        <x:v>Minimum separated duty cells</x:v>
      </x:c>
      <x:c r="B15" s="47"/>
      <x:c r="C15" s="47"/>
      <x:c r="D15" s="47"/>
      <x:c r="E15" s="47"/>
      <x:c r="F15" s="47"/>
      <x:c r="G15" s="47"/>
    </x:row>
    <x:row r="16">
      <x:c r="A16" s="47"/>
      <x:c r="B16" s="47"/>
      <x:c r="C16" s="47"/>
      <x:c r="D16" s="47"/>
      <x:c r="E16" s="47"/>
      <x:c r="F16" s="47"/>
      <x:c r="G16" s="47"/>
    </x:row>
    <x:row r="17" ht="34" customHeight="1">
      <x:c r="A17" s="15" t="str">
        <x:v>Duty class</x:v>
      </x:c>
      <x:c r="B17" s="15" t="str">
        <x:v>Control cells</x:v>
      </x:c>
      <x:c r="C17" s="15" t="str">
        <x:v>Separation requirement</x:v>
      </x:c>
      <x:c r="D17" s="15" t="str">
        <x:v>Identity state</x:v>
      </x:c>
      <x:c r="E17" s="47"/>
      <x:c r="F17" s="47"/>
      <x:c r="G17" s="47"/>
    </x:row>
    <x:row r="18">
      <x:c r="A18" s="47" t="str">
        <x:v>Site duty cells</x:v>
      </x:c>
      <x:c r="B18" s="47" t="n">
        <x:v>18</x:v>
      </x:c>
      <x:c r="C18" s="51" t="str">
        <x:v>one accountable operating cell per site slot</x:v>
      </x:c>
      <x:c r="D18" s="47" t="str">
        <x:v>UNASSIGNED</x:v>
      </x:c>
      <x:c r="E18" s="47"/>
      <x:c r="F18" s="47"/>
      <x:c r="G18" s="47"/>
    </x:row>
    <x:row r="19">
      <x:c r="A19" s="47" t="str">
        <x:v>Fixture custody teams</x:v>
      </x:c>
      <x:c r="B19" s="47" t="n">
        <x:v>48</x:v>
      </x:c>
      <x:c r="C19" s="51" t="str">
        <x:v>one public-title custodian per fixture core</x:v>
      </x:c>
      <x:c r="D19" s="47" t="str">
        <x:v>UNASSIGNED</x:v>
      </x:c>
      <x:c r="E19" s="47"/>
      <x:c r="F19" s="47"/>
      <x:c r="G19" s="47"/>
    </x:row>
    <x:row r="20">
      <x:c r="A20" s="47" t="str">
        <x:v>Measurement-chain roles</x:v>
      </x:c>
      <x:c r="B20" s="47" t="n">
        <x:v>72</x:v>
      </x:c>
      <x:c r="C20" s="51" t="str">
        <x:v>primary and witness roots remain unlike</x:v>
      </x:c>
      <x:c r="D20" s="47" t="str">
        <x:v>UNASSIGNED</x:v>
      </x:c>
      <x:c r="E20" s="47"/>
      <x:c r="F20" s="47"/>
      <x:c r="G20" s="47"/>
    </x:row>
    <x:row r="21">
      <x:c r="A21" s="47" t="str">
        <x:v>Receiver witness teams</x:v>
      </x:c>
      <x:c r="B21" s="47" t="n">
        <x:v>144</x:v>
      </x:c>
      <x:c r="C21" s="51" t="str">
        <x:v>one serial-bound denominator and rights receipt</x:v>
      </x:c>
      <x:c r="D21" s="47" t="str">
        <x:v>UNASSIGNED</x:v>
      </x:c>
      <x:c r="E21" s="47"/>
      <x:c r="F21" s="47"/>
      <x:c r="G21" s="47"/>
    </x:row>
    <x:row r="22">
      <x:c r="A22" s="47" t="str">
        <x:v>Clean reconstruction teams</x:v>
      </x:c>
      <x:c r="B22" s="47" t="n">
        <x:v>48</x:v>
      </x:c>
      <x:c r="C22" s="51" t="str">
        <x:v>one origin-denied team per RCN serial</x:v>
      </x:c>
      <x:c r="D22" s="47" t="str">
        <x:v>UNASSIGNED</x:v>
      </x:c>
      <x:c r="E22" s="47"/>
      <x:c r="F22" s="47"/>
      <x:c r="G22" s="47"/>
    </x:row>
    <x:row r="23">
      <x:c r="A23" s="47" t="str">
        <x:v>Order disposition courts</x:v>
      </x:c>
      <x:c r="B23" s="47" t="n">
        <x:v>24</x:v>
      </x:c>
      <x:c r="C23" s="51" t="str">
        <x:v>one court per six-serial order record</x:v>
      </x:c>
      <x:c r="D23" s="47" t="str">
        <x:v>UNASSIGNED</x:v>
      </x:c>
      <x:c r="E23" s="47"/>
      <x:c r="F23" s="47"/>
      <x:c r="G23" s="47"/>
    </x:row>
  </x:sheetData>
  <x:conditionalFormatting sqref="D18:D23">
    <x:cfRule type="containsText" dxfId="72" priority="1" operator="containsText" text="HOLD"/>
    <x:cfRule type="containsText" dxfId="73" priority="2" operator="containsText" text="OPEN"/>
    <x:cfRule type="containsText" dxfId="74" priority="3" operator="containsText" text="UNBUILT"/>
    <x:cfRule type="containsText" dxfId="75" priority="4" operator="containsText" text="UNLOCATED"/>
    <x:cfRule type="containsText" dxfId="76" priority="5" operator="containsText" text="IDENTITY EMPTY"/>
    <x:cfRule type="containsText" dxfId="77" priority="6" operator="containsText" text="UNINSTALLED"/>
    <x:cfRule type="containsText" dxfId="78" priority="7" operator="containsText" text="FAIL"/>
    <x:cfRule type="containsText" dxfId="79" priority="8" operator="containsText" text="TERMINATE"/>
    <x:cfRule type="containsText" dxfId="80" priority="9" operator="containsText" text="VIOLATION"/>
  </x:conditionalFormatting>
  <x:pageMargins left="0.7" right="0.7" top="0.75" bottom="0.75" header="0.3" footer="0.3"/>
  <x:tableParts count="2">
    <x:tablePart xmlns:r="http://schemas.openxmlformats.org/officeDocument/2006/relationships" r:id="Rbcbbc2f946364789"/>
    <x:tablePart xmlns:r="http://schemas.openxmlformats.org/officeDocument/2006/relationships" r:id="Ra019bcf89808410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  <x:col min="6" max="6" width="22" hidden="0" customWidth="1"/>
    <x:col min="7" max="7" width="18" hidden="0" customWidth="1"/>
    <x:col min="8" max="8" width="22" hidden="0" customWidth="1"/>
    <x:col min="9" max="9" width="18" hidden="0" customWidth="1"/>
    <x:col min="10" max="10" width="22" hidden="0" customWidth="1"/>
    <x:col min="11" max="11" width="20" hidden="0" customWidth="1"/>
    <x:col min="12" max="12" width="24" hidden="0" customWidth="1"/>
    <x:col min="13" max="13" width="22" hidden="0" customWidth="1"/>
    <x:col min="14" max="14" width="24" hidden="0" customWidth="1"/>
    <x:col min="15" max="15" width="24" hidden="0" customWidth="1"/>
  </x:cols>
  <x:sheetData>
    <x:row r="1">
      <x:c r="A1" s="47"/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</x:row>
    <x:row r="2">
      <x:c r="A2" s="55" t="str">
        <x:v>Predetermined jurisdictional draw sequence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</x:row>
    <x:row r="4">
      <x:c r="A4" s="47"/>
      <x:c r="B4" s="47"/>
      <x:c r="C4" s="47"/>
      <x:c r="D4" s="47"/>
      <x:c r="E4" s="47"/>
      <x:c r="F4" s="47"/>
      <x:c r="G4" s="47"/>
      <x:c r="H4" s="47"/>
      <x:c r="I4" s="47"/>
      <x:c r="J4" s="47"/>
      <x:c r="K4" s="47"/>
      <x:c r="L4" s="47"/>
      <x:c r="M4" s="47"/>
      <x:c r="N4" s="47"/>
      <x:c r="O4" s="47"/>
    </x:row>
    <x:row r="5">
      <x:c r="A5" s="47"/>
      <x:c r="B5" s="47"/>
      <x:c r="C5" s="47"/>
      <x:c r="D5" s="47"/>
      <x:c r="E5" s="47"/>
      <x:c r="F5" s="47"/>
      <x:c r="G5" s="47"/>
      <x:c r="H5" s="47"/>
      <x:c r="I5" s="47"/>
      <x:c r="J5" s="47"/>
      <x:c r="K5" s="47"/>
      <x:c r="L5" s="47"/>
      <x:c r="M5" s="47"/>
      <x:c r="N5" s="47"/>
      <x:c r="O5" s="47"/>
    </x:row>
    <x:row r="6" ht="34" customHeight="1">
      <x:c r="A6" s="15" t="str">
        <x:v>Phase</x:v>
      </x:c>
      <x:c r="B6" s="15" t="str">
        <x:v>Name</x:v>
      </x:c>
      <x:c r="C6" s="15" t="str">
        <x:v>Start week</x:v>
      </x:c>
      <x:c r="D6" s="15" t="str">
        <x:v>End week</x:v>
      </x:c>
      <x:c r="E6" s="15" t="str">
        <x:v>Candidate share</x:v>
      </x:c>
      <x:c r="F6" s="15" t="str">
        <x:v>Candidate draw (USD M)</x:v>
      </x:c>
      <x:c r="G6" s="15" t="str">
        <x:v>Proving share</x:v>
      </x:c>
      <x:c r="H6" s="15" t="str">
        <x:v>Proving draw (USD M)</x:v>
      </x:c>
      <x:c r="I6" s="15" t="str">
        <x:v>Metrology share</x:v>
      </x:c>
      <x:c r="J6" s="15" t="str">
        <x:v>Metrology draw (USD M)</x:v>
      </x:c>
      <x:c r="K6" s="15" t="str">
        <x:v>Regeneration share</x:v>
      </x:c>
      <x:c r="L6" s="15" t="str">
        <x:v>Regeneration draw (USD M)</x:v>
      </x:c>
      <x:c r="M6" s="15" t="str">
        <x:v>Total draw (USD M)</x:v>
      </x:c>
      <x:c r="N6" s="15" t="str">
        <x:v>Cumulative draw (USD M)</x:v>
      </x:c>
      <x:c r="O6" s="15" t="str">
        <x:v>Outcome-contingent draw</x:v>
      </x:c>
    </x:row>
    <x:row r="7">
      <x:c r="A7" s="47" t="str">
        <x:v>P0</x:v>
      </x:c>
      <x:c r="B7" s="47" t="str">
        <x:v>Preactivation</x:v>
      </x:c>
      <x:c r="C7" s="47" t="n">
        <x:v>0</x:v>
      </x:c>
      <x:c r="D7" s="47" t="n">
        <x:v>104</x:v>
      </x:c>
      <x:c r="E7" s="58" t="n">
        <x:v>0.25</x:v>
      </x:c>
      <x:c r="F7" s="53" t="n">
        <x:f>E7*Inputs!B27</x:f>
        <x:v>4094.166666666675</x:v>
      </x:c>
      <x:c r="G7" s="58" t="n">
        <x:v>0.4</x:v>
      </x:c>
      <x:c r="H7" s="53" t="n">
        <x:f>G7*Inputs!B29</x:f>
        <x:v>2120</x:v>
      </x:c>
      <x:c r="I7" s="58" t="n">
        <x:v>0.35</x:v>
      </x:c>
      <x:c r="J7" s="53" t="n">
        <x:f>I7*Inputs!B31</x:f>
        <x:v>752.5</x:v>
      </x:c>
      <x:c r="K7" s="58" t="n">
        <x:v>0.1</x:v>
      </x:c>
      <x:c r="L7" s="53" t="n">
        <x:f>K7*Inputs!B33</x:f>
        <x:v>121.33333333333002</x:v>
      </x:c>
      <x:c r="M7" s="53" t="n">
        <x:f>SUM(F7,H7,J7,L7)</x:f>
        <x:v>7088.0000000000055</x:v>
      </x:c>
      <x:c r="N7" s="53" t="n">
        <x:f>M7</x:f>
        <x:v>7088.0000000000055</x:v>
      </x:c>
      <x:c r="O7" s="53" t="n">
        <x:v>0</x:v>
      </x:c>
    </x:row>
    <x:row r="8">
      <x:c r="A8" s="47" t="str">
        <x:v>E1</x:v>
      </x:c>
      <x:c r="B8" s="47" t="str">
        <x:v>Epoch 1</x:v>
      </x:c>
      <x:c r="C8" s="47" t="n">
        <x:v>104</x:v>
      </x:c>
      <x:c r="D8" s="47" t="n">
        <x:v>136</x:v>
      </x:c>
      <x:c r="E8" s="58" t="n">
        <x:v>0.125</x:v>
      </x:c>
      <x:c r="F8" s="53" t="n">
        <x:f>E8*Inputs!B27</x:f>
        <x:v>2047.0833333333376</x:v>
      </x:c>
      <x:c r="G8" s="58" t="n">
        <x:v>0.08</x:v>
      </x:c>
      <x:c r="H8" s="53" t="n">
        <x:f>G8*Inputs!B29</x:f>
        <x:v>424</x:v>
      </x:c>
      <x:c r="I8" s="58" t="n">
        <x:v>0.09</x:v>
      </x:c>
      <x:c r="J8" s="53" t="n">
        <x:f>I8*Inputs!B31</x:f>
        <x:v>193.5</x:v>
      </x:c>
      <x:c r="K8" s="58" t="n">
        <x:v>0.13</x:v>
      </x:c>
      <x:c r="L8" s="53" t="n">
        <x:f>K8*Inputs!B33</x:f>
        <x:v>157.733333333329</x:v>
      </x:c>
      <x:c r="M8" s="53" t="n">
        <x:f>SUM(F8,H8,J8,L8)</x:f>
        <x:v>2822.3166666666666</x:v>
      </x:c>
      <x:c r="N8" s="53" t="n">
        <x:f>N7+M8</x:f>
        <x:v>9910.316666666673</x:v>
      </x:c>
      <x:c r="O8" s="53" t="n">
        <x:v>0</x:v>
      </x:c>
    </x:row>
    <x:row r="9">
      <x:c r="A9" s="47" t="str">
        <x:v>E2</x:v>
      </x:c>
      <x:c r="B9" s="47" t="str">
        <x:v>Epoch 2</x:v>
      </x:c>
      <x:c r="C9" s="47" t="n">
        <x:v>136</x:v>
      </x:c>
      <x:c r="D9" s="47" t="n">
        <x:v>168</x:v>
      </x:c>
      <x:c r="E9" s="58" t="n">
        <x:v>0.125</x:v>
      </x:c>
      <x:c r="F9" s="53" t="n">
        <x:f>E9*Inputs!B27</x:f>
        <x:v>2047.0833333333376</x:v>
      </x:c>
      <x:c r="G9" s="58" t="n">
        <x:v>0.08</x:v>
      </x:c>
      <x:c r="H9" s="53" t="n">
        <x:f>G9*Inputs!B29</x:f>
        <x:v>424</x:v>
      </x:c>
      <x:c r="I9" s="58" t="n">
        <x:v>0.09</x:v>
      </x:c>
      <x:c r="J9" s="53" t="n">
        <x:f>I9*Inputs!B31</x:f>
        <x:v>193.5</x:v>
      </x:c>
      <x:c r="K9" s="58" t="n">
        <x:v>0.13</x:v>
      </x:c>
      <x:c r="L9" s="53" t="n">
        <x:f>K9*Inputs!B33</x:f>
        <x:v>157.733333333329</x:v>
      </x:c>
      <x:c r="M9" s="53" t="n">
        <x:f>SUM(F9,H9,J9,L9)</x:f>
        <x:v>2822.3166666666666</x:v>
      </x:c>
      <x:c r="N9" s="53" t="n">
        <x:f>N8+M9</x:f>
        <x:v>12732.633333333339</x:v>
      </x:c>
      <x:c r="O9" s="53" t="n">
        <x:v>0</x:v>
      </x:c>
    </x:row>
    <x:row r="10">
      <x:c r="A10" s="47" t="str">
        <x:v>E3</x:v>
      </x:c>
      <x:c r="B10" s="47" t="str">
        <x:v>Epoch 3</x:v>
      </x:c>
      <x:c r="C10" s="47" t="n">
        <x:v>168</x:v>
      </x:c>
      <x:c r="D10" s="47" t="n">
        <x:v>200</x:v>
      </x:c>
      <x:c r="E10" s="58" t="n">
        <x:v>0.125</x:v>
      </x:c>
      <x:c r="F10" s="53" t="n">
        <x:f>E10*Inputs!B27</x:f>
        <x:v>2047.0833333333376</x:v>
      </x:c>
      <x:c r="G10" s="58" t="n">
        <x:v>0.08</x:v>
      </x:c>
      <x:c r="H10" s="53" t="n">
        <x:f>G10*Inputs!B29</x:f>
        <x:v>424</x:v>
      </x:c>
      <x:c r="I10" s="58" t="n">
        <x:v>0.09</x:v>
      </x:c>
      <x:c r="J10" s="53" t="n">
        <x:f>I10*Inputs!B31</x:f>
        <x:v>193.5</x:v>
      </x:c>
      <x:c r="K10" s="58" t="n">
        <x:v>0.13</x:v>
      </x:c>
      <x:c r="L10" s="53" t="n">
        <x:f>K10*Inputs!B33</x:f>
        <x:v>157.733333333329</x:v>
      </x:c>
      <x:c r="M10" s="53" t="n">
        <x:f>SUM(F10,H10,J10,L10)</x:f>
        <x:v>2822.3166666666666</x:v>
      </x:c>
      <x:c r="N10" s="53" t="n">
        <x:f>N9+M10</x:f>
        <x:v>15554.950000000004</x:v>
      </x:c>
      <x:c r="O10" s="53" t="n">
        <x:v>0</x:v>
      </x:c>
    </x:row>
    <x:row r="11">
      <x:c r="A11" s="47" t="str">
        <x:v>E4</x:v>
      </x:c>
      <x:c r="B11" s="47" t="str">
        <x:v>Epoch 4</x:v>
      </x:c>
      <x:c r="C11" s="47" t="n">
        <x:v>200</x:v>
      </x:c>
      <x:c r="D11" s="47" t="n">
        <x:v>232</x:v>
      </x:c>
      <x:c r="E11" s="58" t="n">
        <x:v>0.125</x:v>
      </x:c>
      <x:c r="F11" s="53" t="n">
        <x:f>E11*Inputs!B27</x:f>
        <x:v>2047.0833333333376</x:v>
      </x:c>
      <x:c r="G11" s="58" t="n">
        <x:v>0.08</x:v>
      </x:c>
      <x:c r="H11" s="53" t="n">
        <x:f>G11*Inputs!B29</x:f>
        <x:v>424</x:v>
      </x:c>
      <x:c r="I11" s="58" t="n">
        <x:v>0.09</x:v>
      </x:c>
      <x:c r="J11" s="53" t="n">
        <x:f>I11*Inputs!B31</x:f>
        <x:v>193.5</x:v>
      </x:c>
      <x:c r="K11" s="58" t="n">
        <x:v>0.13</x:v>
      </x:c>
      <x:c r="L11" s="53" t="n">
        <x:f>K11*Inputs!B33</x:f>
        <x:v>157.733333333329</x:v>
      </x:c>
      <x:c r="M11" s="53" t="n">
        <x:f>SUM(F11,H11,J11,L11)</x:f>
        <x:v>2822.3166666666666</x:v>
      </x:c>
      <x:c r="N11" s="53" t="n">
        <x:f>N10+M11</x:f>
        <x:v>18377.26666666667</x:v>
      </x:c>
      <x:c r="O11" s="53" t="n">
        <x:v>0</x:v>
      </x:c>
    </x:row>
    <x:row r="12">
      <x:c r="A12" s="47" t="str">
        <x:v>E5</x:v>
      </x:c>
      <x:c r="B12" s="47" t="str">
        <x:v>Epoch 5</x:v>
      </x:c>
      <x:c r="C12" s="47" t="n">
        <x:v>232</x:v>
      </x:c>
      <x:c r="D12" s="47" t="n">
        <x:v>264</x:v>
      </x:c>
      <x:c r="E12" s="58" t="n">
        <x:v>0.125</x:v>
      </x:c>
      <x:c r="F12" s="53" t="n">
        <x:f>E12*Inputs!B27</x:f>
        <x:v>2047.0833333333376</x:v>
      </x:c>
      <x:c r="G12" s="58" t="n">
        <x:v>0.08</x:v>
      </x:c>
      <x:c r="H12" s="53" t="n">
        <x:f>G12*Inputs!B29</x:f>
        <x:v>424</x:v>
      </x:c>
      <x:c r="I12" s="58" t="n">
        <x:v>0.09</x:v>
      </x:c>
      <x:c r="J12" s="53" t="n">
        <x:f>I12*Inputs!B31</x:f>
        <x:v>193.5</x:v>
      </x:c>
      <x:c r="K12" s="58" t="n">
        <x:v>0.13</x:v>
      </x:c>
      <x:c r="L12" s="53" t="n">
        <x:f>K12*Inputs!B33</x:f>
        <x:v>157.733333333329</x:v>
      </x:c>
      <x:c r="M12" s="53" t="n">
        <x:f>SUM(F12,H12,J12,L12)</x:f>
        <x:v>2822.3166666666666</x:v>
      </x:c>
      <x:c r="N12" s="53" t="n">
        <x:f>N11+M12</x:f>
        <x:v>21199.583333333336</x:v>
      </x:c>
      <x:c r="O12" s="53" t="n">
        <x:v>0</x:v>
      </x:c>
    </x:row>
    <x:row r="13">
      <x:c r="A13" s="47" t="str">
        <x:v>E6</x:v>
      </x:c>
      <x:c r="B13" s="47" t="str">
        <x:v>Epoch 6</x:v>
      </x:c>
      <x:c r="C13" s="47" t="n">
        <x:v>264</x:v>
      </x:c>
      <x:c r="D13" s="47" t="n">
        <x:v>296</x:v>
      </x:c>
      <x:c r="E13" s="58" t="n">
        <x:v>0.125</x:v>
      </x:c>
      <x:c r="F13" s="53" t="n">
        <x:f>E13*Inputs!B27</x:f>
        <x:v>2047.0833333333376</x:v>
      </x:c>
      <x:c r="G13" s="58" t="n">
        <x:v>0.08</x:v>
      </x:c>
      <x:c r="H13" s="53" t="n">
        <x:f>G13*Inputs!B29</x:f>
        <x:v>424</x:v>
      </x:c>
      <x:c r="I13" s="58" t="n">
        <x:v>0.09</x:v>
      </x:c>
      <x:c r="J13" s="53" t="n">
        <x:f>I13*Inputs!B31</x:f>
        <x:v>193.5</x:v>
      </x:c>
      <x:c r="K13" s="58" t="n">
        <x:v>0.13</x:v>
      </x:c>
      <x:c r="L13" s="53" t="n">
        <x:f>K13*Inputs!B33</x:f>
        <x:v>157.733333333329</x:v>
      </x:c>
      <x:c r="M13" s="53" t="n">
        <x:f>SUM(F13,H13,J13,L13)</x:f>
        <x:v>2822.3166666666666</x:v>
      </x:c>
      <x:c r="N13" s="53" t="n">
        <x:f>N12+M13</x:f>
        <x:v>24021.9</x:v>
      </x:c>
      <x:c r="O13" s="53" t="n">
        <x:v>0</x:v>
      </x:c>
    </x:row>
    <x:row r="14">
      <x:c r="A14" s="47" t="str">
        <x:v>P7</x:v>
      </x:c>
      <x:c r="B14" s="47" t="str">
        <x:v>Closeout</x:v>
      </x:c>
      <x:c r="C14" s="47" t="n">
        <x:v>296</x:v>
      </x:c>
      <x:c r="D14" s="47" t="n">
        <x:v>312</x:v>
      </x:c>
      <x:c r="E14" s="58" t="n">
        <x:v>0</x:v>
      </x:c>
      <x:c r="F14" s="53" t="n">
        <x:f>E14*Inputs!B27</x:f>
        <x:v>0</x:v>
      </x:c>
      <x:c r="G14" s="58" t="n">
        <x:v>0.12</x:v>
      </x:c>
      <x:c r="H14" s="53" t="n">
        <x:f>G14*Inputs!B29</x:f>
        <x:v>636</x:v>
      </x:c>
      <x:c r="I14" s="58" t="n">
        <x:v>0.11</x:v>
      </x:c>
      <x:c r="J14" s="53" t="n">
        <x:f>I14*Inputs!B31</x:f>
        <x:v>236.5</x:v>
      </x:c>
      <x:c r="K14" s="58" t="n">
        <x:v>0.12</x:v>
      </x:c>
      <x:c r="L14" s="53" t="n">
        <x:f>K14*Inputs!B33</x:f>
        <x:v>145.59999999999602</x:v>
      </x:c>
      <x:c r="M14" s="53" t="n">
        <x:f>SUM(F14,H14,J14,L14)</x:f>
        <x:v>1018.099999999996</x:v>
      </x:c>
      <x:c r="N14" s="53" t="n">
        <x:f>N13+M14</x:f>
        <x:v>25039.999999999996</x:v>
      </x:c>
      <x:c r="O14" s="53" t="n">
        <x:v>0</x:v>
      </x:c>
    </x:row>
    <x:row r="15">
      <x:c r="A15" s="47"/>
      <x:c r="B15" s="47"/>
      <x:c r="C15" s="47"/>
      <x:c r="D15" s="47"/>
      <x:c r="E15" s="47"/>
      <x:c r="F15" s="47"/>
      <x:c r="G15" s="47"/>
      <x:c r="H15" s="47"/>
      <x:c r="I15" s="47"/>
      <x:c r="J15" s="47"/>
      <x:c r="K15" s="47"/>
      <x:c r="L15" s="47"/>
      <x:c r="M15" s="47"/>
      <x:c r="N15" s="47"/>
      <x:c r="O15" s="47"/>
    </x:row>
    <x:row r="16">
      <x:c r="A16" s="47"/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</x:row>
    <x:row r="17">
      <x:c r="A17" s="47"/>
      <x:c r="B17" s="47"/>
      <x:c r="C17" s="47"/>
      <x:c r="D17" s="47"/>
      <x:c r="E17" s="47"/>
      <x:c r="F17" s="47"/>
      <x:c r="G17" s="47"/>
      <x:c r="H17" s="47"/>
      <x:c r="I17" s="47"/>
      <x:c r="J17" s="47"/>
      <x:c r="K17" s="47"/>
      <x:c r="L17" s="47"/>
      <x:c r="M17" s="47"/>
      <x:c r="N17" s="47"/>
      <x:c r="O17" s="47"/>
    </x:row>
    <x:row r="18">
      <x:c r="A18" s="47" t="str">
        <x:v>Jurisdiction</x:v>
      </x:c>
      <x:c r="B18" s="47" t="str">
        <x:v>Reservation (USD M)</x:v>
      </x:c>
      <x:c r="C18" s="47" t="str">
        <x:v>Assigned exposure (USD M)</x:v>
      </x:c>
      <x:c r="D18" s="47" t="str">
        <x:v>Headroom (USD M)</x:v>
      </x:c>
      <x:c r="E18" s="47" t="str">
        <x:v>Automatic reserve draw</x:v>
      </x:c>
      <x:c r="F18" s="47" t="str">
        <x:v>Outcome-conditioned release</x:v>
      </x:c>
      <x:c r="G18" s="47" t="str">
        <x:v>Authority state</x:v>
      </x:c>
      <x:c r="H18" s="47"/>
      <x:c r="I18" s="47"/>
      <x:c r="J18" s="47"/>
      <x:c r="K18" s="47"/>
      <x:c r="L18" s="47"/>
      <x:c r="M18" s="47"/>
      <x:c r="N18" s="47"/>
      <x:c r="O18" s="47"/>
    </x:row>
    <x:row r="19">
      <x:c r="A19" s="47" t="str">
        <x:v>Candidate</x:v>
      </x:c>
      <x:c r="B19" s="53" t="n">
        <x:f>Inputs!B26</x:f>
        <x:v>17200</x:v>
      </x:c>
      <x:c r="C19" s="53" t="n">
        <x:f>Inputs!B27</x:f>
        <x:v>16376.6666666667</x:v>
      </x:c>
      <x:c r="D19" s="53" t="n">
        <x:f>B19-C19</x:f>
        <x:v>823.3333333332994</x:v>
      </x:c>
      <x:c r="E19" s="53" t="n">
        <x:v>0</x:v>
      </x:c>
      <x:c r="F19" s="53" t="n">
        <x:v>0</x:v>
      </x:c>
      <x:c r="G19" s="47" t="str">
        <x:v>PLANNING ONLY</x:v>
      </x:c>
      <x:c r="H19" s="47"/>
      <x:c r="I19" s="47"/>
      <x:c r="J19" s="47"/>
      <x:c r="K19" s="47"/>
      <x:c r="L19" s="47"/>
      <x:c r="M19" s="47"/>
      <x:c r="N19" s="47"/>
      <x:c r="O19" s="47"/>
    </x:row>
    <x:row r="20">
      <x:c r="A20" s="47" t="str">
        <x:v>Proving</x:v>
      </x:c>
      <x:c r="B20" s="53" t="n">
        <x:f>Inputs!B28</x:f>
        <x:v>12900</x:v>
      </x:c>
      <x:c r="C20" s="53" t="n">
        <x:f>Inputs!B29</x:f>
        <x:v>5300</x:v>
      </x:c>
      <x:c r="D20" s="53" t="n">
        <x:f>B20-C20</x:f>
        <x:v>7600</x:v>
      </x:c>
      <x:c r="E20" s="53" t="n">
        <x:v>0</x:v>
      </x:c>
      <x:c r="F20" s="53" t="n">
        <x:v>0</x:v>
      </x:c>
      <x:c r="G20" s="47" t="str">
        <x:v>PLANNING ONLY</x:v>
      </x:c>
      <x:c r="H20" s="47"/>
      <x:c r="I20" s="47"/>
      <x:c r="J20" s="47"/>
      <x:c r="K20" s="47"/>
      <x:c r="L20" s="47"/>
      <x:c r="M20" s="47"/>
      <x:c r="N20" s="47"/>
      <x:c r="O20" s="47"/>
    </x:row>
    <x:row r="21">
      <x:c r="A21" s="47" t="str">
        <x:v>Metrology</x:v>
      </x:c>
      <x:c r="B21" s="53" t="n">
        <x:f>Inputs!B30</x:f>
        <x:v>8600</x:v>
      </x:c>
      <x:c r="C21" s="53" t="n">
        <x:f>Inputs!B31</x:f>
        <x:v>2150</x:v>
      </x:c>
      <x:c r="D21" s="53" t="n">
        <x:f>B21-C21</x:f>
        <x:v>6450</x:v>
      </x:c>
      <x:c r="E21" s="53" t="n">
        <x:v>0</x:v>
      </x:c>
      <x:c r="F21" s="53" t="n">
        <x:v>0</x:v>
      </x:c>
      <x:c r="G21" s="47" t="str">
        <x:v>PLANNING ONLY</x:v>
      </x:c>
      <x:c r="H21" s="47"/>
      <x:c r="I21" s="47"/>
      <x:c r="J21" s="47"/>
      <x:c r="K21" s="47"/>
      <x:c r="L21" s="47"/>
      <x:c r="M21" s="47"/>
      <x:c r="N21" s="47"/>
      <x:c r="O21" s="47"/>
    </x:row>
    <x:row r="22">
      <x:c r="A22" s="47" t="str">
        <x:v>Regeneration</x:v>
      </x:c>
      <x:c r="B22" s="53" t="n">
        <x:f>Inputs!B32</x:f>
        <x:v>4300</x:v>
      </x:c>
      <x:c r="C22" s="53" t="n">
        <x:f>Inputs!B33</x:f>
        <x:v>1213.3333333333</x:v>
      </x:c>
      <x:c r="D22" s="53" t="n">
        <x:f>B22-C22</x:f>
        <x:v>3086.6666666666997</x:v>
      </x:c>
      <x:c r="E22" s="53" t="n">
        <x:v>0</x:v>
      </x:c>
      <x:c r="F22" s="53" t="n">
        <x:v>0</x:v>
      </x:c>
      <x:c r="G22" s="47" t="str">
        <x:v>PLANNING ONLY</x:v>
      </x:c>
      <x:c r="H22" s="47"/>
      <x:c r="I22" s="47"/>
      <x:c r="J22" s="47"/>
      <x:c r="K22" s="47"/>
      <x:c r="L22" s="47"/>
      <x:c r="M22" s="47"/>
      <x:c r="N22" s="47"/>
      <x:c r="O22" s="47"/>
    </x:row>
    <x:row r="23">
      <x:c r="A23" s="47" t="str">
        <x:v>Proof wave</x:v>
      </x:c>
      <x:c r="B23" s="53" t="n">
        <x:f>SUM(B19:B22)</x:f>
        <x:v>43000</x:v>
      </x:c>
      <x:c r="C23" s="53" t="n">
        <x:f>SUM(C19:C22)</x:f>
        <x:v>25040</x:v>
      </x:c>
      <x:c r="D23" s="53" t="n">
        <x:f>SUM(D19:D22)</x:f>
        <x:v>17960</x:v>
      </x:c>
      <x:c r="E23" s="53" t="n">
        <x:v>0</x:v>
      </x:c>
      <x:c r="F23" s="53" t="n">
        <x:v>0</x:v>
      </x:c>
      <x:c r="G23" s="47" t="str">
        <x:v>NO NEW OBLIGATION</x:v>
      </x:c>
      <x:c r="H23" s="47"/>
      <x:c r="I23" s="47"/>
      <x:c r="J23" s="47"/>
      <x:c r="K23" s="47"/>
      <x:c r="L23" s="47"/>
      <x:c r="M23" s="47"/>
      <x:c r="N23" s="47"/>
      <x:c r="O23" s="47"/>
    </x:row>
  </x:sheetData>
  <x:pageMargins left="0.7" right="0.7" top="0.75" bottom="0.75" header="0.3" footer="0.3"/>
  <x:tableParts count="1">
    <x:tablePart xmlns:r="http://schemas.openxmlformats.org/officeDocument/2006/relationships" r:id="R1ef033384c6847e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34" hidden="0" customWidth="1"/>
    <x:col min="4" max="4" width="64" hidden="0" customWidth="1"/>
    <x:col min="5" max="5" width="64" hidden="0" customWidth="1"/>
    <x:col min="6" max="6" width="30" hidden="0" customWidth="1"/>
  </x:cols>
  <x:sheetData>
    <x:row r="1">
      <x:c r="A1" s="47"/>
      <x:c r="B1" s="47"/>
      <x:c r="C1" s="47"/>
      <x:c r="D1" s="47"/>
      <x:c r="E1" s="47"/>
      <x:c r="F1" s="47"/>
    </x:row>
    <x:row r="2">
      <x:c r="A2" s="55" t="str">
        <x:v>Twenty-four prohibited campaign common-control edges</x:v>
      </x:c>
      <x:c r="B2" s="47"/>
      <x:c r="C2" s="47"/>
      <x:c r="D2" s="47"/>
      <x:c r="E2" s="47"/>
      <x:c r="F2" s="47"/>
    </x:row>
    <x:row r="3">
      <x:c r="A3" s="49"/>
      <x:c r="B3" s="49"/>
      <x:c r="C3" s="49"/>
      <x:c r="D3" s="49"/>
      <x:c r="E3" s="49"/>
      <x:c r="F3" s="49"/>
    </x:row>
    <x:row r="4">
      <x:c r="A4" s="47"/>
      <x:c r="B4" s="47"/>
      <x:c r="C4" s="47"/>
      <x:c r="D4" s="47"/>
      <x:c r="E4" s="47"/>
      <x:c r="F4" s="47"/>
    </x:row>
    <x:row r="5">
      <x:c r="A5" s="47"/>
      <x:c r="B5" s="47"/>
      <x:c r="C5" s="47"/>
      <x:c r="D5" s="47"/>
      <x:c r="E5" s="47"/>
      <x:c r="F5" s="47"/>
    </x:row>
    <x:row r="6" ht="34" customHeight="1">
      <x:c r="A6" s="15" t="str">
        <x:v>Rule</x:v>
      </x:c>
      <x:c r="B6" s="15" t="str">
        <x:v>Actor or object</x:v>
      </x:c>
      <x:c r="C6" s="15" t="str">
        <x:v>Prohibited common control</x:v>
      </x:c>
      <x:c r="D6" s="15" t="str">
        <x:v>Failure mechanism</x:v>
      </x:c>
      <x:c r="E6" s="15" t="str">
        <x:v>Disposition</x:v>
      </x:c>
      <x:c r="F6" s="15" t="str">
        <x:v>State</x:v>
      </x:c>
    </x:row>
    <x:row r="7">
      <x:c r="A7" s="47" t="str">
        <x:v>CG01</x:v>
      </x:c>
      <x:c r="B7" s="51" t="str">
        <x:v>Builder B1</x:v>
      </x:c>
      <x:c r="C7" s="51" t="str">
        <x:v>Builder B2</x:v>
      </x:c>
      <x:c r="D7" s="51" t="str">
        <x:v>beneficial control, decisive debt or shared keys</x:v>
      </x:c>
      <x:c r="E7" s="51" t="str">
        <x:v>unresolved edge holds release; incurable edge terminates serial or root pair</x:v>
      </x:c>
      <x:c r="F7" s="47" t="str">
        <x:v>SPECIFIED / IDENTITY EMPTY</x:v>
      </x:c>
    </x:row>
    <x:row r="8">
      <x:c r="A8" s="47" t="str">
        <x:v>CG02</x:v>
      </x:c>
      <x:c r="B8" s="51" t="str">
        <x:v>Builder</x:v>
      </x:c>
      <x:c r="C8" s="51" t="str">
        <x:v>Public fixture</x:v>
      </x:c>
      <x:c r="D8" s="51" t="str">
        <x:v>candidate control of challenge or matched-control fixture</x:v>
      </x:c>
      <x:c r="E8" s="51" t="str">
        <x:v>unresolved edge holds release; incurable edge terminates serial or root pair</x:v>
      </x:c>
      <x:c r="F8" s="47" t="str">
        <x:v>SPECIFIED / IDENTITY EMPTY</x:v>
      </x:c>
    </x:row>
    <x:row r="9">
      <x:c r="A9" s="47" t="str">
        <x:v>CG03</x:v>
      </x:c>
      <x:c r="B9" s="51" t="str">
        <x:v>Builder</x:v>
      </x:c>
      <x:c r="C9" s="51" t="str">
        <x:v>Site operator</x:v>
      </x:c>
      <x:c r="D9" s="51" t="str">
        <x:v>candidate employment or dispatch authority over event host</x:v>
      </x:c>
      <x:c r="E9" s="51" t="str">
        <x:v>unresolved edge holds release; incurable edge terminates serial or root pair</x:v>
      </x:c>
      <x:c r="F9" s="47" t="str">
        <x:v>SPECIFIED / IDENTITY EMPTY</x:v>
      </x:c>
    </x:row>
    <x:row r="10">
      <x:c r="A10" s="47" t="str">
        <x:v>CG04</x:v>
      </x:c>
      <x:c r="B10" s="51" t="str">
        <x:v>Builder</x:v>
      </x:c>
      <x:c r="C10" s="51" t="str">
        <x:v>Primary metrology</x:v>
      </x:c>
      <x:c r="D10" s="51" t="str">
        <x:v>candidate custody of native original or calibration root</x:v>
      </x:c>
      <x:c r="E10" s="51" t="str">
        <x:v>unresolved edge holds release; incurable edge terminates serial or root pair</x:v>
      </x:c>
      <x:c r="F10" s="47" t="str">
        <x:v>SPECIFIED / IDENTITY EMPTY</x:v>
      </x:c>
    </x:row>
    <x:row r="11">
      <x:c r="A11" s="47" t="str">
        <x:v>CG05</x:v>
      </x:c>
      <x:c r="B11" s="51" t="str">
        <x:v>Builder</x:v>
      </x:c>
      <x:c r="C11" s="51" t="str">
        <x:v>Witness metrology</x:v>
      </x:c>
      <x:c r="D11" s="51" t="str">
        <x:v>candidate custody of unlike witness chain</x:v>
      </x:c>
      <x:c r="E11" s="51" t="str">
        <x:v>unresolved edge holds release; incurable edge terminates serial or root pair</x:v>
      </x:c>
      <x:c r="F11" s="47" t="str">
        <x:v>SPECIFIED / IDENTITY EMPTY</x:v>
      </x:c>
    </x:row>
    <x:row r="12">
      <x:c r="A12" s="47" t="str">
        <x:v>CG06</x:v>
      </x:c>
      <x:c r="B12" s="51" t="str">
        <x:v>Primary metrology</x:v>
      </x:c>
      <x:c r="C12" s="51" t="str">
        <x:v>Witness metrology</x:v>
      </x:c>
      <x:c r="D12" s="51" t="str">
        <x:v>same sensing, clock, power, calibration or acquisition root</x:v>
      </x:c>
      <x:c r="E12" s="51" t="str">
        <x:v>unresolved edge holds release; incurable edge terminates serial or root pair</x:v>
      </x:c>
      <x:c r="F12" s="47" t="str">
        <x:v>SPECIFIED / IDENTITY EMPTY</x:v>
      </x:c>
    </x:row>
    <x:row r="13">
      <x:c r="A13" s="47" t="str">
        <x:v>CG07</x:v>
      </x:c>
      <x:c r="B13" s="51" t="str">
        <x:v>Site N1</x:v>
      </x:c>
      <x:c r="C13" s="51" t="str">
        <x:v>Site N2</x:v>
      </x:c>
      <x:c r="D13" s="51" t="str">
        <x:v>shared hazard, utility restoration or operating command</x:v>
      </x:c>
      <x:c r="E13" s="51" t="str">
        <x:v>unresolved edge holds release; incurable edge terminates serial or root pair</x:v>
      </x:c>
      <x:c r="F13" s="47" t="str">
        <x:v>SPECIFIED / IDENTITY EMPTY</x:v>
      </x:c>
    </x:row>
    <x:row r="14">
      <x:c r="A14" s="47" t="str">
        <x:v>CG08</x:v>
      </x:c>
      <x:c r="B14" s="51" t="str">
        <x:v>Site N2</x:v>
      </x:c>
      <x:c r="C14" s="51" t="str">
        <x:v>Site N3</x:v>
      </x:c>
      <x:c r="D14" s="51" t="str">
        <x:v>shared hazard, utility restoration or operating command</x:v>
      </x:c>
      <x:c r="E14" s="51" t="str">
        <x:v>unresolved edge holds release; incurable edge terminates serial or root pair</x:v>
      </x:c>
      <x:c r="F14" s="47" t="str">
        <x:v>SPECIFIED / IDENTITY EMPTY</x:v>
      </x:c>
    </x:row>
    <x:row r="15">
      <x:c r="A15" s="47" t="str">
        <x:v>CG09</x:v>
      </x:c>
      <x:c r="B15" s="51" t="str">
        <x:v>Site N1</x:v>
      </x:c>
      <x:c r="C15" s="51" t="str">
        <x:v>Site N3</x:v>
      </x:c>
      <x:c r="D15" s="51" t="str">
        <x:v>shared hazard, utility restoration or operating command</x:v>
      </x:c>
      <x:c r="E15" s="51" t="str">
        <x:v>unresolved edge holds release; incurable edge terminates serial or root pair</x:v>
      </x:c>
      <x:c r="F15" s="47" t="str">
        <x:v>SPECIFIED / IDENTITY EMPTY</x:v>
      </x:c>
    </x:row>
    <x:row r="16">
      <x:c r="A16" s="47" t="str">
        <x:v>CG10</x:v>
      </x:c>
      <x:c r="B16" s="51" t="str">
        <x:v>Paired fixtures</x:v>
      </x:c>
      <x:c r="C16" s="51" t="str">
        <x:v>One site</x:v>
      </x:c>
      <x:c r="D16" s="51" t="str">
        <x:v>both order fixtures co-located before or after migration</x:v>
      </x:c>
      <x:c r="E16" s="51" t="str">
        <x:v>unresolved edge holds release; incurable edge terminates serial or root pair</x:v>
      </x:c>
      <x:c r="F16" s="47" t="str">
        <x:v>SPECIFIED / IDENTITY EMPTY</x:v>
      </x:c>
    </x:row>
    <x:row r="17">
      <x:c r="A17" s="47" t="str">
        <x:v>CG11</x:v>
      </x:c>
      <x:c r="B17" s="51" t="str">
        <x:v>Campaign scheduler</x:v>
      </x:c>
      <x:c r="C17" s="51" t="str">
        <x:v>Event validity</x:v>
      </x:c>
      <x:c r="D17" s="51" t="str">
        <x:v>scheduler judges its own deviation or collision</x:v>
      </x:c>
      <x:c r="E17" s="51" t="str">
        <x:v>unresolved edge holds release; incurable edge terminates serial or root pair</x:v>
      </x:c>
      <x:c r="F17" s="47" t="str">
        <x:v>SPECIFIED / IDENTITY EMPTY</x:v>
      </x:c>
    </x:row>
    <x:row r="18">
      <x:c r="A18" s="47" t="str">
        <x:v>CG12</x:v>
      </x:c>
      <x:c r="B18" s="51" t="str">
        <x:v>Campaign scheduler</x:v>
      </x:c>
      <x:c r="C18" s="51" t="str">
        <x:v>Result release</x:v>
      </x:c>
      <x:c r="D18" s="51" t="str">
        <x:v>calendar office sees comparative performance</x:v>
      </x:c>
      <x:c r="E18" s="51" t="str">
        <x:v>unresolved edge holds release; incurable edge terminates serial or root pair</x:v>
      </x:c>
      <x:c r="F18" s="47" t="str">
        <x:v>SPECIFIED / IDENTITY EMPTY</x:v>
      </x:c>
    </x:row>
    <x:row r="19">
      <x:c r="A19" s="47" t="str">
        <x:v>CG13</x:v>
      </x:c>
      <x:c r="B19" s="51" t="str">
        <x:v>Finance authority</x:v>
      </x:c>
      <x:c r="C19" s="51" t="str">
        <x:v>Sequence authority</x:v>
      </x:c>
      <x:c r="D19" s="51" t="str">
        <x:v>cash release changes order after result visibility</x:v>
      </x:c>
      <x:c r="E19" s="51" t="str">
        <x:v>unresolved edge holds release; incurable edge terminates serial or root pair</x:v>
      </x:c>
      <x:c r="F19" s="47" t="str">
        <x:v>SPECIFIED / IDENTITY EMPTY</x:v>
      </x:c>
    </x:row>
    <x:row r="20">
      <x:c r="A20" s="47" t="str">
        <x:v>CG14</x:v>
      </x:c>
      <x:c r="B20" s="51" t="str">
        <x:v>Finance authority</x:v>
      </x:c>
      <x:c r="C20" s="51" t="str">
        <x:v>Acceptance court</x:v>
      </x:c>
      <x:c r="D20" s="51" t="str">
        <x:v>payment or headroom determines outcome</x:v>
      </x:c>
      <x:c r="E20" s="51" t="str">
        <x:v>unresolved edge holds release; incurable edge terminates serial or root pair</x:v>
      </x:c>
      <x:c r="F20" s="47" t="str">
        <x:v>SPECIFIED / IDENTITY EMPTY</x:v>
      </x:c>
    </x:row>
    <x:row r="21">
      <x:c r="A21" s="47" t="str">
        <x:v>CG15</x:v>
      </x:c>
      <x:c r="B21" s="51" t="str">
        <x:v>Safety authority</x:v>
      </x:c>
      <x:c r="C21" s="51" t="str">
        <x:v>Candidate performance</x:v>
      </x:c>
      <x:c r="D21" s="51" t="str">
        <x:v>public protection credited to candidate service</x:v>
      </x:c>
      <x:c r="E21" s="51" t="str">
        <x:v>unresolved edge holds release; incurable edge terminates serial or root pair</x:v>
      </x:c>
      <x:c r="F21" s="47" t="str">
        <x:v>SPECIFIED / IDENTITY EMPTY</x:v>
      </x:c>
    </x:row>
    <x:row r="22">
      <x:c r="A22" s="47" t="str">
        <x:v>CG16</x:v>
      </x:c>
      <x:c r="B22" s="51" t="str">
        <x:v>Origin builder</x:v>
      </x:c>
      <x:c r="C22" s="51" t="str">
        <x:v>RCN team</x:v>
      </x:c>
      <x:c r="D22" s="51" t="str">
        <x:v>keys, staff, coaching or hidden setup crosses the clean boundary</x:v>
      </x:c>
      <x:c r="E22" s="51" t="str">
        <x:v>unresolved edge holds release; incurable edge terminates serial or root pair</x:v>
      </x:c>
      <x:c r="F22" s="47" t="str">
        <x:v>SPECIFIED / IDENTITY EMPTY</x:v>
      </x:c>
    </x:row>
    <x:row r="23">
      <x:c r="A23" s="47" t="str">
        <x:v>CG17</x:v>
      </x:c>
      <x:c r="B23" s="51" t="str">
        <x:v>INT team</x:v>
      </x:c>
      <x:c r="C23" s="51" t="str">
        <x:v>BRK freeze</x:v>
      </x:c>
      <x:c r="D23" s="51" t="str">
        <x:v>development repair crosses into sacrificial configuration</x:v>
      </x:c>
      <x:c r="E23" s="51" t="str">
        <x:v>unresolved edge holds release; incurable edge terminates serial or root pair</x:v>
      </x:c>
      <x:c r="F23" s="47" t="str">
        <x:v>SPECIFIED / IDENTITY EMPTY</x:v>
      </x:c>
    </x:row>
    <x:row r="24">
      <x:c r="A24" s="47" t="str">
        <x:v>CG18</x:v>
      </x:c>
      <x:c r="B24" s="51" t="str">
        <x:v>BRK exposure</x:v>
      </x:c>
      <x:c r="C24" s="51" t="str">
        <x:v>Successor title</x:v>
      </x:c>
      <x:c r="D24" s="51" t="str">
        <x:v>consumed serial is retitled or its result is overwritten</x:v>
      </x:c>
      <x:c r="E24" s="51" t="str">
        <x:v>unresolved edge holds release; incurable edge terminates serial or root pair</x:v>
      </x:c>
      <x:c r="F24" s="47" t="str">
        <x:v>SPECIFIED / IDENTITY EMPTY</x:v>
      </x:c>
    </x:row>
    <x:row r="25">
      <x:c r="A25" s="47" t="str">
        <x:v>CG19</x:v>
      </x:c>
      <x:c r="B25" s="51" t="str">
        <x:v>Receiver denominator</x:v>
      </x:c>
      <x:c r="C25" s="51" t="str">
        <x:v>Builder</x:v>
      </x:c>
      <x:c r="D25" s="51" t="str">
        <x:v>candidate changes completeness, rights or counterfactual</x:v>
      </x:c>
      <x:c r="E25" s="51" t="str">
        <x:v>unresolved edge holds release; incurable edge terminates serial or root pair</x:v>
      </x:c>
      <x:c r="F25" s="47" t="str">
        <x:v>SPECIFIED / IDENTITY EMPTY</x:v>
      </x:c>
    </x:row>
    <x:row r="26">
      <x:c r="A26" s="47" t="str">
        <x:v>CG20</x:v>
      </x:c>
      <x:c r="B26" s="51" t="str">
        <x:v>Site repair</x:v>
      </x:c>
      <x:c r="C26" s="51" t="str">
        <x:v>Event record</x:v>
      </x:c>
      <x:c r="D26" s="51" t="str">
        <x:v>facility invalidity erases observed candidate behavior</x:v>
      </x:c>
      <x:c r="E26" s="51" t="str">
        <x:v>unresolved edge holds release; incurable edge terminates serial or root pair</x:v>
      </x:c>
      <x:c r="F26" s="47" t="str">
        <x:v>SPECIFIED / IDENTITY EMPTY</x:v>
      </x:c>
    </x:row>
    <x:row r="27">
      <x:c r="A27" s="47" t="str">
        <x:v>CG21</x:v>
      </x:c>
      <x:c r="B27" s="51" t="str">
        <x:v>One epoch</x:v>
      </x:c>
      <x:c r="C27" s="51" t="str">
        <x:v>Later build configuration</x:v>
      </x:c>
      <x:c r="D27" s="51" t="str">
        <x:v>performance learning changes a frozen serial</x:v>
      </x:c>
      <x:c r="E27" s="51" t="str">
        <x:v>unresolved edge holds release; incurable edge terminates serial or root pair</x:v>
      </x:c>
      <x:c r="F27" s="47" t="str">
        <x:v>SPECIFIED / IDENTITY EMPTY</x:v>
      </x:c>
    </x:row>
    <x:row r="28">
      <x:c r="A28" s="47" t="str">
        <x:v>CG22</x:v>
      </x:c>
      <x:c r="B28" s="51" t="str">
        <x:v>Public archive</x:v>
      </x:c>
      <x:c r="C28" s="51" t="str">
        <x:v>Outcome redaction</x:v>
      </x:c>
      <x:c r="D28" s="51" t="str">
        <x:v>publication scope depends on favorable result</x:v>
      </x:c>
      <x:c r="E28" s="51" t="str">
        <x:v>unresolved edge holds release; incurable edge terminates serial or root pair</x:v>
      </x:c>
      <x:c r="F28" s="47" t="str">
        <x:v>SPECIFIED / IDENTITY EMPTY</x:v>
      </x:c>
    </x:row>
    <x:row r="29">
      <x:c r="A29" s="47" t="str">
        <x:v>CG23</x:v>
      </x:c>
      <x:c r="B29" s="51" t="str">
        <x:v>Workforce credential root</x:v>
      </x:c>
      <x:c r="C29" s="51" t="str">
        <x:v>Paired evidence roles</x:v>
      </x:c>
      <x:c r="D29" s="51" t="str">
        <x:v>one supervisor controls unlike judgment chains</x:v>
      </x:c>
      <x:c r="E29" s="51" t="str">
        <x:v>unresolved edge holds release; incurable edge terminates serial or root pair</x:v>
      </x:c>
      <x:c r="F29" s="47" t="str">
        <x:v>SPECIFIED / IDENTITY EMPTY</x:v>
      </x:c>
    </x:row>
    <x:row r="30">
      <x:c r="A30" s="47" t="str">
        <x:v>CG24</x:v>
      </x:c>
      <x:c r="B30" s="51" t="str">
        <x:v>Migration destination</x:v>
      </x:c>
      <x:c r="C30" s="51" t="str">
        <x:v>Paired fixture site</x:v>
      </x:c>
      <x:c r="D30" s="51" t="str">
        <x:v>relocation collapses fixture independence</x:v>
      </x:c>
      <x:c r="E30" s="51" t="str">
        <x:v>unresolved edge holds release; incurable edge terminates serial or root pair</x:v>
      </x:c>
      <x:c r="F30" s="47" t="str">
        <x:v>SPECIFIED / IDENTITY EMPTY</x:v>
      </x:c>
    </x:row>
  </x:sheetData>
  <x:conditionalFormatting sqref="F7:F30">
    <x:cfRule type="containsText" dxfId="81" priority="1" operator="containsText" text="HOLD"/>
    <x:cfRule type="containsText" dxfId="82" priority="2" operator="containsText" text="OPEN"/>
    <x:cfRule type="containsText" dxfId="83" priority="3" operator="containsText" text="UNBUILT"/>
    <x:cfRule type="containsText" dxfId="84" priority="4" operator="containsText" text="UNLOCATED"/>
    <x:cfRule type="containsText" dxfId="85" priority="5" operator="containsText" text="IDENTITY EMPTY"/>
    <x:cfRule type="containsText" dxfId="86" priority="6" operator="containsText" text="UNINSTALLED"/>
    <x:cfRule type="containsText" dxfId="87" priority="7" operator="containsText" text="FAIL"/>
    <x:cfRule type="containsText" dxfId="88" priority="8" operator="containsText" text="TERMINATE"/>
    <x:cfRule type="containsText" dxfId="89" priority="9" operator="containsText" text="VIOLATION"/>
  </x:conditionalFormatting>
  <x:pageMargins left="0.7" right="0.7" top="0.75" bottom="0.75" header="0.3" footer="0.3"/>
  <x:tableParts count="1">
    <x:tablePart xmlns:r="http://schemas.openxmlformats.org/officeDocument/2006/relationships" r:id="Rc907e4201ad740c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32" hidden="0" customWidth="1"/>
    <x:col min="4" max="4" width="66" hidden="0" customWidth="1"/>
    <x:col min="5" max="5" width="4" hidden="0" customWidth="1"/>
  </x:cols>
  <x:sheetData>
    <x:row r="1">
      <x:c r="A1" s="47"/>
      <x:c r="B1" s="47"/>
      <x:c r="C1" s="47"/>
      <x:c r="D1" s="47"/>
      <x:c r="E1" s="47"/>
    </x:row>
    <x:row r="2">
      <x:c r="A2" s="55" t="str">
        <x:v>Eighteen campaign nonconversion laws</x:v>
      </x:c>
      <x:c r="B2" s="47"/>
      <x:c r="C2" s="47"/>
      <x:c r="D2" s="47"/>
      <x:c r="E2" s="47"/>
    </x:row>
    <x:row r="3">
      <x:c r="A3" s="49"/>
      <x:c r="B3" s="49"/>
      <x:c r="C3" s="49"/>
      <x:c r="D3" s="49"/>
      <x:c r="E3" s="49"/>
    </x:row>
    <x:row r="4">
      <x:c r="A4" s="47"/>
      <x:c r="B4" s="47"/>
      <x:c r="C4" s="47"/>
      <x:c r="D4" s="47"/>
      <x:c r="E4" s="47"/>
    </x:row>
    <x:row r="5">
      <x:c r="A5" s="47"/>
      <x:c r="B5" s="47"/>
      <x:c r="C5" s="47"/>
      <x:c r="D5" s="47"/>
      <x:c r="E5" s="47"/>
    </x:row>
    <x:row r="6" ht="34" customHeight="1">
      <x:c r="A6" s="15" t="str">
        <x:v>Rule</x:v>
      </x:c>
      <x:c r="B6" s="15" t="str">
        <x:v>From state</x:v>
      </x:c>
      <x:c r="C6" s="15" t="str">
        <x:v>Cannot become</x:v>
      </x:c>
      <x:c r="D6" s="15" t="str">
        <x:v>Reason</x:v>
      </x:c>
      <x:c r="E6" s="47"/>
    </x:row>
    <x:row r="7">
      <x:c r="A7" s="47" t="str">
        <x:v>NC01</x:v>
      </x:c>
      <x:c r="B7" s="51" t="str">
        <x:v>site slot constituted</x:v>
      </x:c>
      <x:c r="C7" s="51" t="str">
        <x:v>site selected</x:v>
      </x:c>
      <x:c r="D7" s="51" t="str">
        <x:v>anonymous topology is not geography</x:v>
      </x:c>
      <x:c r="E7" s="47"/>
    </x:row>
    <x:row r="8">
      <x:c r="A8" s="47" t="str">
        <x:v>NC02</x:v>
      </x:c>
      <x:c r="B8" s="51" t="str">
        <x:v>fixture route specified</x:v>
      </x:c>
      <x:c r="C8" s="51" t="str">
        <x:v>fixture installed</x:v>
      </x:c>
      <x:c r="D8" s="51" t="str">
        <x:v>a migration path is not physical capacity</x:v>
      </x:c>
      <x:c r="E8" s="47"/>
    </x:row>
    <x:row r="9">
      <x:c r="A9" s="47" t="str">
        <x:v>NC03</x:v>
      </x:c>
      <x:c r="B9" s="51" t="str">
        <x:v>serial scheduled</x:v>
      </x:c>
      <x:c r="C9" s="51" t="str">
        <x:v>MAKE-eligible</x:v>
      </x:c>
      <x:c r="D9" s="51" t="str">
        <x:v>all EDR kernel and annex gates still govern</x:v>
      </x:c>
      <x:c r="E9" s="47"/>
    </x:row>
    <x:row r="10">
      <x:c r="A10" s="47" t="str">
        <x:v>NC04</x:v>
      </x:c>
      <x:c r="B10" s="51" t="str">
        <x:v>MAKE-eligible</x:v>
      </x:c>
      <x:c r="C10" s="51" t="str">
        <x:v>MAKE issued</x:v>
      </x:c>
      <x:c r="D10" s="51" t="str">
        <x:v>construction needs a separate warrant</x:v>
      </x:c>
      <x:c r="E10" s="47"/>
    </x:row>
    <x:row r="11">
      <x:c r="A11" s="47" t="str">
        <x:v>NC05</x:v>
      </x:c>
      <x:c r="B11" s="51" t="str">
        <x:v>build release week</x:v>
      </x:c>
      <x:c r="C11" s="51" t="str">
        <x:v>obligation</x:v>
      </x:c>
      <x:c r="D11" s="51" t="str">
        <x:v>calendar position carries no fiscal authority</x:v>
      </x:c>
      <x:c r="E11" s="47"/>
    </x:row>
    <x:row r="12">
      <x:c r="A12" s="47" t="str">
        <x:v>NC06</x:v>
      </x:c>
      <x:c r="B12" s="51" t="str">
        <x:v>cash-draw plan</x:v>
      </x:c>
      <x:c r="C12" s="51" t="str">
        <x:v>cash disbursed</x:v>
      </x:c>
      <x:c r="D12" s="51" t="str">
        <x:v>planning shares do not move public money</x:v>
      </x:c>
      <x:c r="E12" s="47"/>
    </x:row>
    <x:row r="13">
      <x:c r="A13" s="47" t="str">
        <x:v>NC07</x:v>
      </x:c>
      <x:c r="B13" s="51" t="str">
        <x:v>article completed</x:v>
      </x:c>
      <x:c r="C13" s="51" t="str">
        <x:v>event ready</x:v>
      </x:c>
      <x:c r="D13" s="51" t="str">
        <x:v>fixture, receiver, metrology and safeing must close</x:v>
      </x:c>
      <x:c r="E13" s="47"/>
    </x:row>
    <x:row r="14">
      <x:c r="A14" s="47" t="str">
        <x:v>NC08</x:v>
      </x:c>
      <x:c r="B14" s="51" t="str">
        <x:v>event window reached</x:v>
      </x:c>
      <x:c r="C14" s="51" t="str">
        <x:v>event valid</x:v>
      </x:c>
      <x:c r="D14" s="51" t="str">
        <x:v>the opportunity must execute under the frozen record</x:v>
      </x:c>
      <x:c r="E14" s="47"/>
    </x:row>
    <x:row r="15">
      <x:c r="A15" s="47" t="str">
        <x:v>NC09</x:v>
      </x:c>
      <x:c r="B15" s="51" t="str">
        <x:v>valid event</x:v>
      </x:c>
      <x:c r="C15" s="51" t="str">
        <x:v>candidate pass</x:v>
      </x:c>
      <x:c r="D15" s="51" t="str">
        <x:v>validity and performance remain separate judgments</x:v>
      </x:c>
      <x:c r="E15" s="47"/>
    </x:row>
    <x:row r="16">
      <x:c r="A16" s="47" t="str">
        <x:v>NC10</x:v>
      </x:c>
      <x:c r="B16" s="51" t="str">
        <x:v>correct public abort</x:v>
      </x:c>
      <x:c r="C16" s="51" t="str">
        <x:v>candidate service</x:v>
      </x:c>
      <x:c r="D16" s="51" t="str">
        <x:v>protection acts first but never earns candidate credit</x:v>
      </x:c>
      <x:c r="E16" s="47"/>
    </x:row>
    <x:row r="17">
      <x:c r="A17" s="47" t="str">
        <x:v>NC11</x:v>
      </x:c>
      <x:c r="B17" s="51" t="str">
        <x:v>facility invalidity</x:v>
      </x:c>
      <x:c r="C17" s="51" t="str">
        <x:v>record erased</x:v>
      </x:c>
      <x:c r="D17" s="51" t="str">
        <x:v>candidate behavior and causal defect remain attached</x:v>
      </x:c>
      <x:c r="E17" s="47"/>
    </x:row>
    <x:row r="18">
      <x:c r="A18" s="47" t="str">
        <x:v>NC12</x:v>
      </x:c>
      <x:c r="B18" s="51" t="str">
        <x:v>dormant window</x:v>
      </x:c>
      <x:c r="C18" s="51" t="str">
        <x:v>automatic retry</x:v>
      </x:c>
      <x:c r="D18" s="51" t="str">
        <x:v>valid adverse evidence is final</x:v>
      </x:c>
      <x:c r="E18" s="47"/>
    </x:row>
    <x:row r="19">
      <x:c r="A19" s="47" t="str">
        <x:v>NC13</x:v>
      </x:c>
      <x:c r="B19" s="51" t="str">
        <x:v>site-loss capacity</x:v>
      </x:c>
      <x:c r="C19" s="51" t="str">
        <x:v>migration authorized</x:v>
      </x:c>
      <x:c r="D19" s="51" t="str">
        <x:v>each move requires requalification and a new slot warrant</x:v>
      </x:c>
      <x:c r="E19" s="47"/>
    </x:row>
    <x:row r="20">
      <x:c r="A20" s="47" t="str">
        <x:v>NC14</x:v>
      </x:c>
      <x:c r="B20" s="51" t="str">
        <x:v>headroom available</x:v>
      </x:c>
      <x:c r="C20" s="51" t="str">
        <x:v>replacement funded</x:v>
      </x:c>
      <x:c r="D20" s="51" t="str">
        <x:v>same-jurisdiction authority must act independently</x:v>
      </x:c>
      <x:c r="E20" s="47"/>
    </x:row>
    <x:row r="21">
      <x:c r="A21" s="47" t="str">
        <x:v>NC15</x:v>
      </x:c>
      <x:c r="B21" s="51" t="str">
        <x:v>result sealed</x:v>
      </x:c>
      <x:c r="C21" s="51" t="str">
        <x:v>result absent</x:v>
      </x:c>
      <x:c r="D21" s="51" t="str">
        <x:v>escrow preserves evidence while blocking sequence effects</x:v>
      </x:c>
      <x:c r="E21" s="47"/>
    </x:row>
    <x:row r="22">
      <x:c r="A22" s="47" t="str">
        <x:v>NC16</x:v>
      </x:c>
      <x:c r="B22" s="51" t="str">
        <x:v>safety warrant issued</x:v>
      </x:c>
      <x:c r="C22" s="51" t="str">
        <x:v>performance disclosed</x:v>
      </x:c>
      <x:c r="D22" s="51" t="str">
        <x:v>only source-blind burden crosses the embargo</x:v>
      </x:c>
      <x:c r="E22" s="47"/>
    </x:row>
    <x:row r="23">
      <x:c r="A23" s="47" t="str">
        <x:v>NC17</x:v>
      </x:c>
      <x:c r="B23" s="51" t="str">
        <x:v>peak position-equivalent</x:v>
      </x:c>
      <x:c r="C23" s="51" t="str">
        <x:v>job or billet count</x:v>
      </x:c>
      <x:c r="D23" s="51" t="str">
        <x:v>workload screen is not an employment forecast</x:v>
      </x:c>
      <x:c r="E23" s="47"/>
    </x:row>
    <x:row r="24">
      <x:c r="A24" s="47" t="str">
        <x:v>NC18</x:v>
      </x:c>
      <x:c r="B24" s="51" t="str">
        <x:v>campaign architecture closed</x:v>
      </x:c>
      <x:c r="C24" s="51" t="str">
        <x:v>rendering or REP-4</x:v>
      </x:c>
      <x:c r="D24" s="51" t="str">
        <x:v>schedule and topology do not establish as-built form</x:v>
      </x:c>
      <x:c r="E24" s="47"/>
    </x:row>
  </x:sheetData>
  <x:pageMargins left="0.7" right="0.7" top="0.75" bottom="0.75" header="0.3" footer="0.3"/>
  <x:tableParts count="1">
    <x:tablePart xmlns:r="http://schemas.openxmlformats.org/officeDocument/2006/relationships" r:id="R8bb9e510be5c46df"/>
  </x:tableParts>
</x:worksheet>
</file>

<file path=xl/worksheets/sheet12.xml><?xml version="1.0" encoding="utf-8"?>
<x:worksheet xmlns:x="http://schemas.openxmlformats.org/spreadsheetml/2006/main">
  <x:sheetPr>
    <x:tabColor rgb="FF9DC3E6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4" hidden="0" customWidth="1"/>
    <x:col min="2" max="2" width="20" hidden="0" customWidth="1"/>
    <x:col min="3" max="3" width="14" hidden="0" customWidth="1"/>
    <x:col min="4" max="4" width="30" hidden="0" customWidth="1"/>
  </x:cols>
  <x:sheetData>
    <x:row r="1">
      <x:c r="A1" s="47"/>
      <x:c r="B1" s="47"/>
      <x:c r="C1" s="47"/>
      <x:c r="D1" s="47"/>
      <x:c r="E1" s="47"/>
      <x:c r="F1" s="47"/>
    </x:row>
    <x:row r="2">
      <x:c r="A2" s="55" t="str">
        <x:v>Campaign controls and inherited boundaries</x:v>
      </x:c>
      <x:c r="B2" s="47"/>
      <x:c r="C2" s="47"/>
      <x:c r="D2" s="47"/>
      <x:c r="E2" s="47"/>
      <x:c r="F2" s="47"/>
    </x:row>
    <x:row r="3">
      <x:c r="A3" s="49"/>
      <x:c r="B3" s="49"/>
      <x:c r="C3" s="49"/>
      <x:c r="D3" s="49"/>
      <x:c r="E3" s="49"/>
      <x:c r="F3" s="49"/>
    </x:row>
    <x:row r="4">
      <x:c r="A4" s="47"/>
      <x:c r="B4" s="47"/>
      <x:c r="C4" s="47"/>
      <x:c r="D4" s="47"/>
      <x:c r="E4" s="47"/>
      <x:c r="F4" s="47"/>
    </x:row>
    <x:row r="5">
      <x:c r="A5" s="47"/>
      <x:c r="B5" s="47"/>
      <x:c r="C5" s="47"/>
      <x:c r="D5" s="47"/>
      <x:c r="E5" s="47"/>
      <x:c r="F5" s="47"/>
    </x:row>
    <x:row r="6" ht="34" customHeight="1">
      <x:c r="A6" s="15" t="str">
        <x:v>Control</x:v>
      </x:c>
      <x:c r="B6" s="15" t="str">
        <x:v>Value</x:v>
      </x:c>
      <x:c r="C6" s="15" t="str">
        <x:v>Unit</x:v>
      </x:c>
      <x:c r="D6" s="15" t="str">
        <x:v>Basis</x:v>
      </x:c>
      <x:c r="E6" s="47"/>
      <x:c r="F6" s="47"/>
    </x:row>
    <x:row r="7">
      <x:c r="A7" s="47" t="str">
        <x:v>Technology orders</x:v>
      </x:c>
      <x:c r="B7" s="47" t="n">
        <x:v>24</x:v>
      </x:c>
      <x:c r="C7" s="47" t="str">
        <x:v>count</x:v>
      </x:c>
      <x:c r="D7" s="47" t="str">
        <x:v>EDR-1</x:v>
      </x:c>
      <x:c r="E7" s="47"/>
      <x:c r="F7" s="47"/>
    </x:row>
    <x:row r="8">
      <x:c r="A8" s="47" t="str">
        <x:v>Forms</x:v>
      </x:c>
      <x:c r="B8" s="47" t="n">
        <x:v>6</x:v>
      </x:c>
      <x:c r="C8" s="47" t="str">
        <x:v>count</x:v>
      </x:c>
      <x:c r="D8" s="47" t="str">
        <x:v>EDB-TC</x:v>
      </x:c>
      <x:c r="E8" s="47"/>
      <x:c r="F8" s="47"/>
    </x:row>
    <x:row r="9">
      <x:c r="A9" s="47" t="str">
        <x:v>Builder roots per order</x:v>
      </x:c>
      <x:c r="B9" s="47" t="n">
        <x:v>2</x:v>
      </x:c>
      <x:c r="C9" s="47" t="str">
        <x:v>count</x:v>
      </x:c>
      <x:c r="D9" s="47" t="str">
        <x:v>AIP-1</x:v>
      </x:c>
      <x:c r="E9" s="47"/>
      <x:c r="F9" s="47"/>
    </x:row>
    <x:row r="10">
      <x:c r="A10" s="47" t="str">
        <x:v>Roles per builder root</x:v>
      </x:c>
      <x:c r="B10" s="47" t="n">
        <x:v>3</x:v>
      </x:c>
      <x:c r="C10" s="47" t="str">
        <x:v>count</x:v>
      </x:c>
      <x:c r="D10" s="47" t="str">
        <x:v>AIP-1</x:v>
      </x:c>
      <x:c r="E10" s="47"/>
      <x:c r="F10" s="47"/>
    </x:row>
    <x:row r="11">
      <x:c r="A11" s="47" t="str">
        <x:v>Serial classes</x:v>
      </x:c>
      <x:c r="B11" s="47" t="n">
        <x:v>6</x:v>
      </x:c>
      <x:c r="C11" s="47" t="str">
        <x:v>count</x:v>
      </x:c>
      <x:c r="D11" s="47" t="str">
        <x:v>CTL-1</x:v>
      </x:c>
      <x:c r="E11" s="47"/>
      <x:c r="F11" s="47"/>
    </x:row>
    <x:row r="12">
      <x:c r="A12" s="47" t="str">
        <x:v>Site slots per form</x:v>
      </x:c>
      <x:c r="B12" s="47" t="n">
        <x:v>3</x:v>
      </x:c>
      <x:c r="C12" s="47" t="str">
        <x:v>count</x:v>
      </x:c>
      <x:c r="D12" s="47" t="str">
        <x:v>CTL-1</x:v>
      </x:c>
      <x:c r="E12" s="47"/>
      <x:c r="F12" s="47"/>
    </x:row>
    <x:row r="13">
      <x:c r="A13" s="47" t="str">
        <x:v>Campaign site slots</x:v>
      </x:c>
      <x:c r="B13" s="47" t="n">
        <x:v>18</x:v>
      </x:c>
      <x:c r="C13" s="47" t="str">
        <x:v>count</x:v>
      </x:c>
      <x:c r="D13" s="47" t="str">
        <x:v>CTL-1</x:v>
      </x:c>
      <x:c r="E13" s="47"/>
      <x:c r="F13" s="47"/>
    </x:row>
    <x:row r="14">
      <x:c r="A14" s="47" t="str">
        <x:v>Fixture cores per order</x:v>
      </x:c>
      <x:c r="B14" s="47" t="n">
        <x:v>2</x:v>
      </x:c>
      <x:c r="C14" s="47" t="str">
        <x:v>count</x:v>
      </x:c>
      <x:c r="D14" s="47" t="str">
        <x:v>AIP-1</x:v>
      </x:c>
      <x:c r="E14" s="47"/>
      <x:c r="F14" s="47"/>
    </x:row>
    <x:row r="15">
      <x:c r="A15" s="47" t="str">
        <x:v>Public fixture cores</x:v>
      </x:c>
      <x:c r="B15" s="47" t="n">
        <x:v>48</x:v>
      </x:c>
      <x:c r="C15" s="47" t="str">
        <x:v>count</x:v>
      </x:c>
      <x:c r="D15" s="47" t="str">
        <x:v>AIP-1</x:v>
      </x:c>
      <x:c r="E15" s="47"/>
      <x:c r="F15" s="47"/>
    </x:row>
    <x:row r="16">
      <x:c r="A16" s="47" t="str">
        <x:v>Event epochs</x:v>
      </x:c>
      <x:c r="B16" s="47" t="n">
        <x:v>6</x:v>
      </x:c>
      <x:c r="C16" s="47" t="str">
        <x:v>count</x:v>
      </x:c>
      <x:c r="D16" s="47" t="str">
        <x:v>CTL-1</x:v>
      </x:c>
      <x:c r="E16" s="47"/>
      <x:c r="F16" s="47"/>
    </x:row>
    <x:row r="17">
      <x:c r="A17" s="47" t="str">
        <x:v>Windows per epoch</x:v>
      </x:c>
      <x:c r="B17" s="47" t="n">
        <x:v>4</x:v>
      </x:c>
      <x:c r="C17" s="47" t="str">
        <x:v>count</x:v>
      </x:c>
      <x:c r="D17" s="47" t="str">
        <x:v>CTL-1</x:v>
      </x:c>
      <x:c r="E17" s="47"/>
      <x:c r="F17" s="47"/>
    </x:row>
    <x:row r="18">
      <x:c r="A18" s="47" t="str">
        <x:v>Active events per window</x:v>
      </x:c>
      <x:c r="B18" s="47" t="n">
        <x:v>6</x:v>
      </x:c>
      <x:c r="C18" s="47" t="str">
        <x:v>count</x:v>
      </x:c>
      <x:c r="D18" s="47" t="str">
        <x:v>CTL-1</x:v>
      </x:c>
      <x:c r="E18" s="47"/>
      <x:c r="F18" s="47"/>
    </x:row>
    <x:row r="19">
      <x:c r="A19" s="47" t="str">
        <x:v>Event window duration</x:v>
      </x:c>
      <x:c r="B19" s="47" t="n">
        <x:v>6</x:v>
      </x:c>
      <x:c r="C19" s="47" t="str">
        <x:v>weeks</x:v>
      </x:c>
      <x:c r="D19" s="47" t="str">
        <x:v>CTL-1</x:v>
      </x:c>
      <x:c r="E19" s="47"/>
      <x:c r="F19" s="47"/>
    </x:row>
    <x:row r="20">
      <x:c r="A20" s="47" t="str">
        <x:v>Reset interval per epoch</x:v>
      </x:c>
      <x:c r="B20" s="47" t="n">
        <x:v>8</x:v>
      </x:c>
      <x:c r="C20" s="47" t="str">
        <x:v>weeks</x:v>
      </x:c>
      <x:c r="D20" s="47" t="str">
        <x:v>CTL-1</x:v>
      </x:c>
      <x:c r="E20" s="47"/>
      <x:c r="F20" s="47"/>
    </x:row>
    <x:row r="21">
      <x:c r="A21" s="47" t="str">
        <x:v>Preactivation interval</x:v>
      </x:c>
      <x:c r="B21" s="47" t="n">
        <x:v>104</x:v>
      </x:c>
      <x:c r="C21" s="47" t="str">
        <x:v>weeks</x:v>
      </x:c>
      <x:c r="D21" s="47" t="str">
        <x:v>planning hypothesis</x:v>
      </x:c>
      <x:c r="E21" s="47"/>
      <x:c r="F21" s="47"/>
    </x:row>
    <x:row r="22">
      <x:c r="A22" s="47" t="str">
        <x:v>Closeout interval</x:v>
      </x:c>
      <x:c r="B22" s="47" t="n">
        <x:v>16</x:v>
      </x:c>
      <x:c r="C22" s="47" t="str">
        <x:v>weeks</x:v>
      </x:c>
      <x:c r="D22" s="47" t="str">
        <x:v>planning hypothesis</x:v>
      </x:c>
      <x:c r="E22" s="47"/>
      <x:c r="F22" s="47"/>
    </x:row>
    <x:row r="23">
      <x:c r="A23" s="47" t="str">
        <x:v>Build release spacing</x:v>
      </x:c>
      <x:c r="B23" s="47" t="n">
        <x:v>5</x:v>
      </x:c>
      <x:c r="C23" s="47" t="str">
        <x:v>weeks</x:v>
      </x:c>
      <x:c r="D23" s="47" t="str">
        <x:v>six starts before first event</x:v>
      </x:c>
      <x:c r="E23" s="47"/>
      <x:c r="F23" s="47"/>
    </x:row>
    <x:row r="24">
      <x:c r="A24" s="47" t="str">
        <x:v>Exposure per direct position-year</x:v>
      </x:c>
      <x:c r="B24" s="61" t="n">
        <x:v>0.65</x:v>
      </x:c>
      <x:c r="C24" s="47" t="str">
        <x:v>USD M</x:v>
      </x:c>
      <x:c r="D24" s="47" t="str">
        <x:v>AIP-1 workload screen</x:v>
      </x:c>
      <x:c r="E24" s="47"/>
      <x:c r="F24" s="47"/>
    </x:row>
    <x:row r="25">
      <x:c r="A25" s="47" t="str">
        <x:v>Peak-to-average position factor</x:v>
      </x:c>
      <x:c r="B25" s="57" t="n">
        <x:v>1.25</x:v>
      </x:c>
      <x:c r="C25" s="47" t="str">
        <x:v>factor</x:v>
      </x:c>
      <x:c r="D25" s="47" t="str">
        <x:v>AIP-1 workload screen</x:v>
      </x:c>
      <x:c r="E25" s="47"/>
      <x:c r="F25" s="47"/>
    </x:row>
    <x:row r="26">
      <x:c r="A26" s="47" t="str">
        <x:v>Candidate reservation</x:v>
      </x:c>
      <x:c r="B26" s="53" t="n">
        <x:v>17200</x:v>
      </x:c>
      <x:c r="C26" s="47" t="str">
        <x:v>USD M</x:v>
      </x:c>
      <x:c r="D26" s="47" t="str">
        <x:v>Pass 184</x:v>
      </x:c>
      <x:c r="E26" s="47"/>
      <x:c r="F26" s="47"/>
    </x:row>
    <x:row r="27">
      <x:c r="A27" s="47" t="str">
        <x:v>Candidate assigned exposure</x:v>
      </x:c>
      <x:c r="B27" s="53" t="n">
        <x:v>16376.6666666667</x:v>
      </x:c>
      <x:c r="C27" s="47" t="str">
        <x:v>USD M</x:v>
      </x:c>
      <x:c r="D27" s="47" t="str">
        <x:v>EDB-TC</x:v>
      </x:c>
      <x:c r="E27" s="47"/>
      <x:c r="F27" s="47"/>
    </x:row>
    <x:row r="28">
      <x:c r="A28" s="47" t="str">
        <x:v>Proving reservation</x:v>
      </x:c>
      <x:c r="B28" s="53" t="n">
        <x:v>12900</x:v>
      </x:c>
      <x:c r="C28" s="47" t="str">
        <x:v>USD M</x:v>
      </x:c>
      <x:c r="D28" s="47" t="str">
        <x:v>Pass 184</x:v>
      </x:c>
      <x:c r="E28" s="47"/>
      <x:c r="F28" s="47"/>
    </x:row>
    <x:row r="29">
      <x:c r="A29" s="47" t="str">
        <x:v>Proving assigned exposure</x:v>
      </x:c>
      <x:c r="B29" s="53" t="n">
        <x:v>5300</x:v>
      </x:c>
      <x:c r="C29" s="47" t="str">
        <x:v>USD M</x:v>
      </x:c>
      <x:c r="D29" s="47" t="str">
        <x:v>EDB-TC</x:v>
      </x:c>
      <x:c r="E29" s="47"/>
      <x:c r="F29" s="47"/>
    </x:row>
    <x:row r="30">
      <x:c r="A30" s="47" t="str">
        <x:v>Metrology reservation</x:v>
      </x:c>
      <x:c r="B30" s="53" t="n">
        <x:v>8600</x:v>
      </x:c>
      <x:c r="C30" s="47" t="str">
        <x:v>USD M</x:v>
      </x:c>
      <x:c r="D30" s="47" t="str">
        <x:v>Pass 184</x:v>
      </x:c>
      <x:c r="E30" s="47"/>
      <x:c r="F30" s="47"/>
    </x:row>
    <x:row r="31">
      <x:c r="A31" s="47" t="str">
        <x:v>Metrology assigned exposure</x:v>
      </x:c>
      <x:c r="B31" s="53" t="n">
        <x:v>2150</x:v>
      </x:c>
      <x:c r="C31" s="47" t="str">
        <x:v>USD M</x:v>
      </x:c>
      <x:c r="D31" s="47" t="str">
        <x:v>EDB-TC</x:v>
      </x:c>
      <x:c r="E31" s="47"/>
      <x:c r="F31" s="47"/>
    </x:row>
    <x:row r="32">
      <x:c r="A32" s="47" t="str">
        <x:v>Regeneration reservation</x:v>
      </x:c>
      <x:c r="B32" s="53" t="n">
        <x:v>4300</x:v>
      </x:c>
      <x:c r="C32" s="47" t="str">
        <x:v>USD M</x:v>
      </x:c>
      <x:c r="D32" s="47" t="str">
        <x:v>Pass 184</x:v>
      </x:c>
      <x:c r="E32" s="47"/>
      <x:c r="F32" s="47"/>
    </x:row>
    <x:row r="33">
      <x:c r="A33" s="47" t="str">
        <x:v>Regeneration assigned exposure</x:v>
      </x:c>
      <x:c r="B33" s="53" t="n">
        <x:v>1213.3333333333</x:v>
      </x:c>
      <x:c r="C33" s="47" t="str">
        <x:v>USD M</x:v>
      </x:c>
      <x:c r="D33" s="47" t="str">
        <x:v>EDB-TC</x:v>
      </x:c>
      <x:c r="E33" s="47"/>
      <x:c r="F33" s="47"/>
    </x:row>
    <x:row r="34">
      <x:c r="A34" s="47" t="str">
        <x:v>Accepted events</x:v>
      </x:c>
      <x:c r="B34" s="47" t="n">
        <x:v>0</x:v>
      </x:c>
      <x:c r="C34" s="47" t="str">
        <x:v>count</x:v>
      </x:c>
      <x:c r="D34" s="47" t="str">
        <x:v>authority hold</x:v>
      </x:c>
      <x:c r="E34" s="47"/>
      <x:c r="F34" s="47"/>
    </x:row>
    <x:row r="35">
      <x:c r="A35" s="47" t="str">
        <x:v>MAKE authority</x:v>
      </x:c>
      <x:c r="B35" s="47" t="n">
        <x:v>0</x:v>
      </x:c>
      <x:c r="C35" s="47" t="str">
        <x:v>binary</x:v>
      </x:c>
      <x:c r="D35" s="47" t="str">
        <x:v>authority hold</x:v>
      </x:c>
      <x:c r="E35" s="47"/>
      <x:c r="F35" s="47"/>
    </x:row>
    <x:row r="36">
      <x:c r="A36" s="47" t="str">
        <x:v>Material titles vested</x:v>
      </x:c>
      <x:c r="B36" s="47" t="n">
        <x:v>0</x:v>
      </x:c>
      <x:c r="C36" s="47" t="str">
        <x:v>count</x:v>
      </x:c>
      <x:c r="D36" s="47" t="str">
        <x:v>authority hold</x:v>
      </x:c>
      <x:c r="E36" s="47"/>
      <x:c r="F36" s="47"/>
    </x:row>
    <x:row r="37">
      <x:c r="A37" s="47" t="str">
        <x:v>Named sites</x:v>
      </x:c>
      <x:c r="B37" s="47" t="n">
        <x:v>0</x:v>
      </x:c>
      <x:c r="C37" s="47" t="str">
        <x:v>count</x:v>
      </x:c>
      <x:c r="D37" s="47" t="str">
        <x:v>source-empty</x:v>
      </x:c>
      <x:c r="E37" s="47"/>
      <x:c r="F37" s="47"/>
    </x:row>
    <x:row r="38">
      <x:c r="A38" s="47" t="str">
        <x:v>Result releases</x:v>
      </x:c>
      <x:c r="B38" s="47" t="n">
        <x:v>0</x:v>
      </x:c>
      <x:c r="C38" s="47" t="str">
        <x:v>count</x:v>
      </x:c>
      <x:c r="D38" s="47" t="str">
        <x:v>campaign unexecuted</x:v>
      </x:c>
      <x:c r="E38" s="47"/>
      <x:c r="F38" s="47"/>
    </x:row>
    <x:row r="39">
      <x:c r="A39" s="47" t="str">
        <x:v>Rendering issues</x:v>
      </x:c>
      <x:c r="B39" s="47" t="n">
        <x:v>0</x:v>
      </x:c>
      <x:c r="C39" s="47" t="str">
        <x:v>count</x:v>
      </x:c>
      <x:c r="D39" s="47" t="str">
        <x:v>no rendering in Pass 242</x:v>
      </x:c>
      <x:c r="E39" s="47"/>
      <x:c r="F39" s="47"/>
    </x:row>
    <x:row r="40">
      <x:c r="A40" s="47" t="str">
        <x:v>Named firms</x:v>
      </x:c>
      <x:c r="B40" s="47" t="n">
        <x:v>0</x:v>
      </x:c>
      <x:c r="C40" s="47" t="str">
        <x:v>count</x:v>
      </x:c>
      <x:c r="D40" s="47" t="str">
        <x:v>source-empty</x:v>
      </x:c>
      <x:c r="E40" s="47"/>
      <x:c r="F40" s="47"/>
    </x:row>
    <x:row r="41">
      <x:c r="A41" s="47" t="str">
        <x:v>MAKE-eligible serials</x:v>
      </x:c>
      <x:c r="B41" s="47" t="n">
        <x:v>0</x:v>
      </x:c>
      <x:c r="C41" s="47" t="str">
        <x:v>count</x:v>
      </x:c>
      <x:c r="D41" s="47" t="str">
        <x:v>EDR gates open</x:v>
      </x:c>
      <x:c r="E41" s="47"/>
      <x:c r="F41" s="47"/>
    </x:row>
    <x:row r="42">
      <x:c r="A42" s="47" t="str">
        <x:v>REP-2 issues</x:v>
      </x:c>
      <x:c r="B42" s="47" t="n">
        <x:v>0</x:v>
      </x:c>
      <x:c r="C42" s="47" t="str">
        <x:v>count</x:v>
      </x:c>
      <x:c r="D42" s="47" t="str">
        <x:v>unissued</x:v>
      </x:c>
      <x:c r="E42" s="47"/>
      <x:c r="F42" s="47"/>
    </x:row>
    <x:row r="43">
      <x:c r="A43" s="47" t="str">
        <x:v>REP-4 authority</x:v>
      </x:c>
      <x:c r="B43" s="47" t="n">
        <x:v>0</x:v>
      </x:c>
      <x:c r="C43" s="47" t="str">
        <x:v>binary</x:v>
      </x:c>
      <x:c r="D43" s="47" t="str">
        <x:v>as-built hold</x:v>
      </x:c>
      <x:c r="E43" s="47"/>
      <x:c r="F43" s="47"/>
    </x:row>
    <x:row r="44">
      <x:c r="A44" s="47"/>
      <x:c r="B44" s="47"/>
      <x:c r="C44" s="47"/>
      <x:c r="D44" s="47"/>
      <x:c r="E44" s="47"/>
      <x:c r="F44" s="47"/>
    </x:row>
  </x:sheetData>
  <x:pageMargins left="0.7" right="0.7" top="0.75" bottom="0.75" header="0.3" footer="0.3"/>
  <x:tableParts count="1">
    <x:tablePart xmlns:r="http://schemas.openxmlformats.org/officeDocument/2006/relationships" r:id="Ra09f77952f00467a"/>
  </x:tableParts>
</x:worksheet>
</file>

<file path=xl/worksheets/sheet1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18" hidden="0" customWidth="1"/>
    <x:col min="4" max="4" width="18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7"/>
      <x:c r="B1" s="47"/>
      <x:c r="C1" s="47"/>
      <x:c r="D1" s="47"/>
      <x:c r="E1" s="47"/>
      <x:c r="F1" s="47"/>
      <x:c r="G1" s="47"/>
    </x:row>
    <x:row r="2">
      <x:c r="A2" s="55" t="str">
        <x:v>Live input mutation protocol</x:v>
      </x:c>
      <x:c r="B2" s="47"/>
      <x:c r="C2" s="47"/>
      <x:c r="D2" s="47"/>
      <x:c r="E2" s="47"/>
      <x:c r="F2" s="47"/>
      <x:c r="G2" s="47"/>
    </x:row>
    <x:row r="3">
      <x:c r="A3" s="49"/>
      <x:c r="B3" s="49"/>
      <x:c r="C3" s="49"/>
      <x:c r="D3" s="49"/>
      <x:c r="E3" s="49"/>
      <x:c r="F3" s="49"/>
      <x:c r="G3" s="49"/>
    </x:row>
    <x:row r="4">
      <x:c r="A4" s="47"/>
      <x:c r="B4" s="47"/>
      <x:c r="C4" s="47"/>
      <x:c r="D4" s="47"/>
      <x:c r="E4" s="47"/>
      <x:c r="F4" s="47"/>
      <x:c r="G4" s="47"/>
    </x:row>
    <x:row r="5">
      <x:c r="A5" s="47"/>
      <x:c r="B5" s="47"/>
      <x:c r="C5" s="47"/>
      <x:c r="D5" s="47"/>
      <x:c r="E5" s="47"/>
      <x:c r="F5" s="47"/>
      <x:c r="G5" s="47"/>
    </x:row>
    <x:row r="6" ht="34" customHeight="1">
      <x:c r="A6" s="15" t="str">
        <x:v>Mutation</x:v>
      </x:c>
      <x:c r="B6" s="15" t="str">
        <x:v>Input</x:v>
      </x:c>
      <x:c r="C6" s="15" t="str">
        <x:v>Target cell</x:v>
      </x:c>
      <x:c r="D6" s="15" t="str">
        <x:v>Mutated value</x:v>
      </x:c>
      <x:c r="E6" s="15" t="str">
        <x:v>Expected failed audit</x:v>
      </x:c>
      <x:c r="F6" s="15" t="str">
        <x:v>Detection</x:v>
      </x:c>
      <x:c r="G6" s="15" t="str">
        <x:v>Restoration</x:v>
      </x:c>
    </x:row>
    <x:row r="7">
      <x:c r="A7" s="47" t="str">
        <x:v>M01</x:v>
      </x:c>
      <x:c r="B7" s="47" t="str">
        <x:v>Technology orders</x:v>
      </x:c>
      <x:c r="C7" s="47" t="str">
        <x:v>Inputs!B7</x:v>
      </x:c>
      <x:c r="D7" s="47" t="n">
        <x:v>23</x:v>
      </x:c>
      <x:c r="E7" s="47" t="str">
        <x:v>A01</x:v>
      </x:c>
      <x:c r="F7" s="47" t="str">
        <x:v>APPLIED / DETECTED</x:v>
      </x:c>
      <x:c r="G7" s="47" t="str">
        <x:v>RESTORED / PASS</x:v>
      </x:c>
    </x:row>
    <x:row r="8">
      <x:c r="A8" s="47" t="str">
        <x:v>M02</x:v>
      </x:c>
      <x:c r="B8" s="47" t="str">
        <x:v>Forms</x:v>
      </x:c>
      <x:c r="C8" s="47" t="str">
        <x:v>Inputs!B8</x:v>
      </x:c>
      <x:c r="D8" s="47" t="n">
        <x:v>5</x:v>
      </x:c>
      <x:c r="E8" s="47" t="str">
        <x:v>A02</x:v>
      </x:c>
      <x:c r="F8" s="47" t="str">
        <x:v>APPLIED / DETECTED</x:v>
      </x:c>
      <x:c r="G8" s="47" t="str">
        <x:v>RESTORED / PASS</x:v>
      </x:c>
    </x:row>
    <x:row r="9">
      <x:c r="A9" s="47" t="str">
        <x:v>M03</x:v>
      </x:c>
      <x:c r="B9" s="47" t="str">
        <x:v>Site slots per form</x:v>
      </x:c>
      <x:c r="C9" s="47" t="str">
        <x:v>Inputs!B12</x:v>
      </x:c>
      <x:c r="D9" s="47" t="n">
        <x:v>2</x:v>
      </x:c>
      <x:c r="E9" s="47" t="str">
        <x:v>A03</x:v>
      </x:c>
      <x:c r="F9" s="47" t="str">
        <x:v>APPLIED / DETECTED</x:v>
      </x:c>
      <x:c r="G9" s="47" t="str">
        <x:v>RESTORED / PASS</x:v>
      </x:c>
    </x:row>
    <x:row r="10">
      <x:c r="A10" s="47" t="str">
        <x:v>M04</x:v>
      </x:c>
      <x:c r="B10" s="47" t="str">
        <x:v>Fixture cores per order</x:v>
      </x:c>
      <x:c r="C10" s="47" t="str">
        <x:v>Inputs!B14</x:v>
      </x:c>
      <x:c r="D10" s="47" t="n">
        <x:v>1</x:v>
      </x:c>
      <x:c r="E10" s="47" t="str">
        <x:v>A04</x:v>
      </x:c>
      <x:c r="F10" s="47" t="str">
        <x:v>APPLIED / DETECTED</x:v>
      </x:c>
      <x:c r="G10" s="47" t="str">
        <x:v>RESTORED / PASS</x:v>
      </x:c>
    </x:row>
    <x:row r="11">
      <x:c r="A11" s="47" t="str">
        <x:v>M05</x:v>
      </x:c>
      <x:c r="B11" s="47" t="str">
        <x:v>Builder roots per order</x:v>
      </x:c>
      <x:c r="C11" s="47" t="str">
        <x:v>Inputs!B9</x:v>
      </x:c>
      <x:c r="D11" s="47" t="n">
        <x:v>1</x:v>
      </x:c>
      <x:c r="E11" s="47" t="str">
        <x:v>A11</x:v>
      </x:c>
      <x:c r="F11" s="47" t="str">
        <x:v>APPLIED / DETECTED</x:v>
      </x:c>
      <x:c r="G11" s="47" t="str">
        <x:v>RESTORED / PASS</x:v>
      </x:c>
    </x:row>
    <x:row r="12">
      <x:c r="A12" s="47" t="str">
        <x:v>M06</x:v>
      </x:c>
      <x:c r="B12" s="47" t="str">
        <x:v>Roles per builder root</x:v>
      </x:c>
      <x:c r="C12" s="47" t="str">
        <x:v>Inputs!B10</x:v>
      </x:c>
      <x:c r="D12" s="47" t="n">
        <x:v>2</x:v>
      </x:c>
      <x:c r="E12" s="47" t="str">
        <x:v>A13</x:v>
      </x:c>
      <x:c r="F12" s="47" t="str">
        <x:v>APPLIED / DETECTED</x:v>
      </x:c>
      <x:c r="G12" s="47" t="str">
        <x:v>RESTORED / PASS</x:v>
      </x:c>
    </x:row>
    <x:row r="13">
      <x:c r="A13" s="47" t="str">
        <x:v>M07</x:v>
      </x:c>
      <x:c r="B13" s="47" t="str">
        <x:v>Event epochs</x:v>
      </x:c>
      <x:c r="C13" s="47" t="str">
        <x:v>Inputs!B16</x:v>
      </x:c>
      <x:c r="D13" s="47" t="n">
        <x:v>5</x:v>
      </x:c>
      <x:c r="E13" s="47" t="str">
        <x:v>A17</x:v>
      </x:c>
      <x:c r="F13" s="47" t="str">
        <x:v>APPLIED / DETECTED</x:v>
      </x:c>
      <x:c r="G13" s="47" t="str">
        <x:v>RESTORED / PASS</x:v>
      </x:c>
    </x:row>
    <x:row r="14">
      <x:c r="A14" s="47" t="str">
        <x:v>M08</x:v>
      </x:c>
      <x:c r="B14" s="47" t="str">
        <x:v>Windows per epoch</x:v>
      </x:c>
      <x:c r="C14" s="47" t="str">
        <x:v>Inputs!B17</x:v>
      </x:c>
      <x:c r="D14" s="47" t="n">
        <x:v>3</x:v>
      </x:c>
      <x:c r="E14" s="47" t="str">
        <x:v>A24</x:v>
      </x:c>
      <x:c r="F14" s="47" t="str">
        <x:v>APPLIED / DETECTED</x:v>
      </x:c>
      <x:c r="G14" s="47" t="str">
        <x:v>RESTORED / PASS</x:v>
      </x:c>
    </x:row>
    <x:row r="15">
      <x:c r="A15" s="47" t="str">
        <x:v>M09</x:v>
      </x:c>
      <x:c r="B15" s="47" t="str">
        <x:v>Active events per window</x:v>
      </x:c>
      <x:c r="C15" s="47" t="str">
        <x:v>Inputs!B18</x:v>
      </x:c>
      <x:c r="D15" s="47" t="n">
        <x:v>5</x:v>
      </x:c>
      <x:c r="E15" s="47" t="str">
        <x:v>A25</x:v>
      </x:c>
      <x:c r="F15" s="47" t="str">
        <x:v>APPLIED / DETECTED</x:v>
      </x:c>
      <x:c r="G15" s="47" t="str">
        <x:v>RESTORED / PASS</x:v>
      </x:c>
    </x:row>
    <x:row r="16">
      <x:c r="A16" s="47" t="str">
        <x:v>M10</x:v>
      </x:c>
      <x:c r="B16" s="47" t="str">
        <x:v>Event window duration</x:v>
      </x:c>
      <x:c r="C16" s="47" t="str">
        <x:v>Inputs!B19</x:v>
      </x:c>
      <x:c r="D16" s="47" t="n">
        <x:v>5</x:v>
      </x:c>
      <x:c r="E16" s="47" t="str">
        <x:v>A40</x:v>
      </x:c>
      <x:c r="F16" s="47" t="str">
        <x:v>APPLIED / DETECTED</x:v>
      </x:c>
      <x:c r="G16" s="47" t="str">
        <x:v>RESTORED / PASS</x:v>
      </x:c>
    </x:row>
    <x:row r="17">
      <x:c r="A17" s="47" t="str">
        <x:v>M11</x:v>
      </x:c>
      <x:c r="B17" s="47" t="str">
        <x:v>Reset interval per epoch</x:v>
      </x:c>
      <x:c r="C17" s="47" t="str">
        <x:v>Inputs!B20</x:v>
      </x:c>
      <x:c r="D17" s="47" t="n">
        <x:v>7</x:v>
      </x:c>
      <x:c r="E17" s="47" t="str">
        <x:v>A40</x:v>
      </x:c>
      <x:c r="F17" s="47" t="str">
        <x:v>APPLIED / DETECTED</x:v>
      </x:c>
      <x:c r="G17" s="47" t="str">
        <x:v>RESTORED / PASS</x:v>
      </x:c>
    </x:row>
    <x:row r="18">
      <x:c r="A18" s="47" t="str">
        <x:v>M12</x:v>
      </x:c>
      <x:c r="B18" s="47" t="str">
        <x:v>Preactivation interval</x:v>
      </x:c>
      <x:c r="C18" s="47" t="str">
        <x:v>Inputs!B21</x:v>
      </x:c>
      <x:c r="D18" s="47" t="n">
        <x:v>100</x:v>
      </x:c>
      <x:c r="E18" s="47" t="str">
        <x:v>A37</x:v>
      </x:c>
      <x:c r="F18" s="47" t="str">
        <x:v>APPLIED / DETECTED</x:v>
      </x:c>
      <x:c r="G18" s="47" t="str">
        <x:v>RESTORED / PASS</x:v>
      </x:c>
    </x:row>
    <x:row r="19">
      <x:c r="A19" s="47" t="str">
        <x:v>M13</x:v>
      </x:c>
      <x:c r="B19" s="47" t="str">
        <x:v>Closeout interval</x:v>
      </x:c>
      <x:c r="C19" s="47" t="str">
        <x:v>Inputs!B22</x:v>
      </x:c>
      <x:c r="D19" s="47" t="n">
        <x:v>15</x:v>
      </x:c>
      <x:c r="E19" s="47" t="str">
        <x:v>A40</x:v>
      </x:c>
      <x:c r="F19" s="47" t="str">
        <x:v>APPLIED / DETECTED</x:v>
      </x:c>
      <x:c r="G19" s="47" t="str">
        <x:v>RESTORED / PASS</x:v>
      </x:c>
    </x:row>
    <x:row r="20">
      <x:c r="A20" s="47" t="str">
        <x:v>M14</x:v>
      </x:c>
      <x:c r="B20" s="47" t="str">
        <x:v>Build release spacing</x:v>
      </x:c>
      <x:c r="C20" s="47" t="str">
        <x:v>Inputs!B23</x:v>
      </x:c>
      <x:c r="D20" s="47" t="n">
        <x:v>6</x:v>
      </x:c>
      <x:c r="E20" s="47" t="str">
        <x:v>A38</x:v>
      </x:c>
      <x:c r="F20" s="47" t="str">
        <x:v>APPLIED / DETECTED</x:v>
      </x:c>
      <x:c r="G20" s="47" t="str">
        <x:v>RESTORED / PASS</x:v>
      </x:c>
    </x:row>
    <x:row r="21">
      <x:c r="A21" s="47" t="str">
        <x:v>M15</x:v>
      </x:c>
      <x:c r="B21" s="47" t="str">
        <x:v>Exposure per direct position-year</x:v>
      </x:c>
      <x:c r="C21" s="47" t="str">
        <x:v>Inputs!B24</x:v>
      </x:c>
      <x:c r="D21" s="47" t="n">
        <x:v>0.7</x:v>
      </x:c>
      <x:c r="E21" s="47" t="str">
        <x:v>A56</x:v>
      </x:c>
      <x:c r="F21" s="47" t="str">
        <x:v>APPLIED / DETECTED</x:v>
      </x:c>
      <x:c r="G21" s="47" t="str">
        <x:v>RESTORED / PASS</x:v>
      </x:c>
    </x:row>
    <x:row r="22">
      <x:c r="A22" s="47" t="str">
        <x:v>M16</x:v>
      </x:c>
      <x:c r="B22" s="47" t="str">
        <x:v>Peak-to-average position factor</x:v>
      </x:c>
      <x:c r="C22" s="47" t="str">
        <x:v>Inputs!B25</x:v>
      </x:c>
      <x:c r="D22" s="47" t="n">
        <x:v>1.3</x:v>
      </x:c>
      <x:c r="E22" s="47" t="str">
        <x:v>A57</x:v>
      </x:c>
      <x:c r="F22" s="47" t="str">
        <x:v>APPLIED / DETECTED</x:v>
      </x:c>
      <x:c r="G22" s="47" t="str">
        <x:v>RESTORED / PASS</x:v>
      </x:c>
    </x:row>
    <x:row r="23">
      <x:c r="A23" s="47" t="str">
        <x:v>M17</x:v>
      </x:c>
      <x:c r="B23" s="47" t="str">
        <x:v>Candidate assigned exposure</x:v>
      </x:c>
      <x:c r="C23" s="47" t="str">
        <x:v>Inputs!B27</x:v>
      </x:c>
      <x:c r="D23" s="47" t="n">
        <x:v>16400</x:v>
      </x:c>
      <x:c r="E23" s="47" t="str">
        <x:v>A41</x:v>
      </x:c>
      <x:c r="F23" s="47" t="str">
        <x:v>APPLIED / DETECTED</x:v>
      </x:c>
      <x:c r="G23" s="47" t="str">
        <x:v>RESTORED / PASS</x:v>
      </x:c>
    </x:row>
    <x:row r="24">
      <x:c r="A24" s="47" t="str">
        <x:v>M18</x:v>
      </x:c>
      <x:c r="B24" s="47" t="str">
        <x:v>Proving assigned exposure</x:v>
      </x:c>
      <x:c r="C24" s="47" t="str">
        <x:v>Inputs!B29</x:v>
      </x:c>
      <x:c r="D24" s="47" t="n">
        <x:v>5400</x:v>
      </x:c>
      <x:c r="E24" s="47" t="str">
        <x:v>A41</x:v>
      </x:c>
      <x:c r="F24" s="47" t="str">
        <x:v>APPLIED / DETECTED</x:v>
      </x:c>
      <x:c r="G24" s="47" t="str">
        <x:v>RESTORED / PASS</x:v>
      </x:c>
    </x:row>
    <x:row r="25">
      <x:c r="A25" s="47" t="str">
        <x:v>M19</x:v>
      </x:c>
      <x:c r="B25" s="47" t="str">
        <x:v>Metrology assigned exposure</x:v>
      </x:c>
      <x:c r="C25" s="47" t="str">
        <x:v>Inputs!B31</x:v>
      </x:c>
      <x:c r="D25" s="47" t="n">
        <x:v>2200</x:v>
      </x:c>
      <x:c r="E25" s="47" t="str">
        <x:v>A41</x:v>
      </x:c>
      <x:c r="F25" s="47" t="str">
        <x:v>APPLIED / DETECTED</x:v>
      </x:c>
      <x:c r="G25" s="47" t="str">
        <x:v>RESTORED / PASS</x:v>
      </x:c>
    </x:row>
    <x:row r="26">
      <x:c r="A26" s="47" t="str">
        <x:v>M20</x:v>
      </x:c>
      <x:c r="B26" s="47" t="str">
        <x:v>Regeneration assigned exposure</x:v>
      </x:c>
      <x:c r="C26" s="47" t="str">
        <x:v>Inputs!B33</x:v>
      </x:c>
      <x:c r="D26" s="47" t="n">
        <x:v>1300</x:v>
      </x:c>
      <x:c r="E26" s="47" t="str">
        <x:v>A41</x:v>
      </x:c>
      <x:c r="F26" s="47" t="str">
        <x:v>APPLIED / DETECTED</x:v>
      </x:c>
      <x:c r="G26" s="47" t="str">
        <x:v>RESTORED / PASS</x:v>
      </x:c>
    </x:row>
    <x:row r="27">
      <x:c r="A27" s="47" t="str">
        <x:v>M21</x:v>
      </x:c>
      <x:c r="B27" s="47" t="str">
        <x:v>Accepted events</x:v>
      </x:c>
      <x:c r="C27" s="47" t="str">
        <x:v>Inputs!B34</x:v>
      </x:c>
      <x:c r="D27" s="47" t="n">
        <x:v>1</x:v>
      </x:c>
      <x:c r="E27" s="47" t="str">
        <x:v>A62</x:v>
      </x:c>
      <x:c r="F27" s="47" t="str">
        <x:v>APPLIED / DETECTED</x:v>
      </x:c>
      <x:c r="G27" s="47" t="str">
        <x:v>RESTORED / PASS</x:v>
      </x:c>
    </x:row>
    <x:row r="28">
      <x:c r="A28" s="47" t="str">
        <x:v>M22</x:v>
      </x:c>
      <x:c r="B28" s="47" t="str">
        <x:v>MAKE authority</x:v>
      </x:c>
      <x:c r="C28" s="47" t="str">
        <x:v>Inputs!B35</x:v>
      </x:c>
      <x:c r="D28" s="47" t="n">
        <x:v>1</x:v>
      </x:c>
      <x:c r="E28" s="47" t="str">
        <x:v>A63</x:v>
      </x:c>
      <x:c r="F28" s="47" t="str">
        <x:v>APPLIED / DETECTED</x:v>
      </x:c>
      <x:c r="G28" s="47" t="str">
        <x:v>RESTORED / PASS</x:v>
      </x:c>
    </x:row>
    <x:row r="29">
      <x:c r="A29" s="47" t="str">
        <x:v>M23</x:v>
      </x:c>
      <x:c r="B29" s="47" t="str">
        <x:v>Material titles vested</x:v>
      </x:c>
      <x:c r="C29" s="47" t="str">
        <x:v>Inputs!B36</x:v>
      </x:c>
      <x:c r="D29" s="47" t="n">
        <x:v>1</x:v>
      </x:c>
      <x:c r="E29" s="47" t="str">
        <x:v>A64</x:v>
      </x:c>
      <x:c r="F29" s="47" t="str">
        <x:v>APPLIED / DETECTED</x:v>
      </x:c>
      <x:c r="G29" s="47" t="str">
        <x:v>RESTORED / PASS</x:v>
      </x:c>
    </x:row>
    <x:row r="30">
      <x:c r="A30" s="47" t="str">
        <x:v>M24</x:v>
      </x:c>
      <x:c r="B30" s="47" t="str">
        <x:v>Named sites</x:v>
      </x:c>
      <x:c r="C30" s="47" t="str">
        <x:v>Inputs!B37</x:v>
      </x:c>
      <x:c r="D30" s="47" t="n">
        <x:v>1</x:v>
      </x:c>
      <x:c r="E30" s="47" t="str">
        <x:v>A65</x:v>
      </x:c>
      <x:c r="F30" s="47" t="str">
        <x:v>APPLIED / DETECTED</x:v>
      </x:c>
      <x:c r="G30" s="47" t="str">
        <x:v>RESTORED / PASS</x:v>
      </x:c>
    </x:row>
    <x:row r="31">
      <x:c r="A31" s="47" t="str">
        <x:v>M25</x:v>
      </x:c>
      <x:c r="B31" s="47" t="str">
        <x:v>Result releases</x:v>
      </x:c>
      <x:c r="C31" s="47" t="str">
        <x:v>Inputs!B38</x:v>
      </x:c>
      <x:c r="D31" s="47" t="n">
        <x:v>1</x:v>
      </x:c>
      <x:c r="E31" s="47" t="str">
        <x:v>A66</x:v>
      </x:c>
      <x:c r="F31" s="47" t="str">
        <x:v>APPLIED / DETECTED</x:v>
      </x:c>
      <x:c r="G31" s="47" t="str">
        <x:v>RESTORED / PASS</x:v>
      </x:c>
    </x:row>
    <x:row r="32">
      <x:c r="A32" s="47" t="str">
        <x:v>M26</x:v>
      </x:c>
      <x:c r="B32" s="47" t="str">
        <x:v>Rendering issues</x:v>
      </x:c>
      <x:c r="C32" s="47" t="str">
        <x:v>Inputs!B39</x:v>
      </x:c>
      <x:c r="D32" s="47" t="n">
        <x:v>1</x:v>
      </x:c>
      <x:c r="E32" s="47" t="str">
        <x:v>A67</x:v>
      </x:c>
      <x:c r="F32" s="47" t="str">
        <x:v>APPLIED / DETECTED</x:v>
      </x:c>
      <x:c r="G32" s="47" t="str">
        <x:v>RESTORED / PASS</x:v>
      </x:c>
    </x:row>
  </x:sheetData>
  <x:conditionalFormatting sqref="F7:F32">
    <x:cfRule type="containsText" dxfId="99" priority="1" operator="containsText" text="HOLD"/>
    <x:cfRule type="containsText" dxfId="100" priority="2" operator="containsText" text="OPEN"/>
    <x:cfRule type="containsText" dxfId="101" priority="3" operator="containsText" text="UNBUILT"/>
    <x:cfRule type="containsText" dxfId="102" priority="4" operator="containsText" text="UNLOCATED"/>
    <x:cfRule type="containsText" dxfId="103" priority="5" operator="containsText" text="IDENTITY EMPTY"/>
    <x:cfRule type="containsText" dxfId="104" priority="6" operator="containsText" text="UNINSTALLED"/>
    <x:cfRule type="containsText" dxfId="105" priority="7" operator="containsText" text="FAIL"/>
    <x:cfRule type="containsText" dxfId="106" priority="8" operator="containsText" text="TERMINATE"/>
    <x:cfRule type="containsText" dxfId="107" priority="9" operator="containsText" text="VIOLATION"/>
  </x:conditionalFormatting>
  <x:conditionalFormatting sqref="G7:G32">
    <x:cfRule type="containsText" dxfId="108" priority="10" operator="containsText" text="HOLD"/>
    <x:cfRule type="containsText" dxfId="109" priority="11" operator="containsText" text="OPEN"/>
    <x:cfRule type="containsText" dxfId="110" priority="12" operator="containsText" text="UNBUILT"/>
    <x:cfRule type="containsText" dxfId="111" priority="13" operator="containsText" text="UNLOCATED"/>
    <x:cfRule type="containsText" dxfId="112" priority="14" operator="containsText" text="IDENTITY EMPTY"/>
    <x:cfRule type="containsText" dxfId="113" priority="15" operator="containsText" text="UNINSTALLED"/>
    <x:cfRule type="containsText" dxfId="114" priority="16" operator="containsText" text="FAIL"/>
    <x:cfRule type="containsText" dxfId="115" priority="17" operator="containsText" text="TERMINATE"/>
    <x:cfRule type="containsText" dxfId="116" priority="18" operator="containsText" text="VIOLATION"/>
  </x:conditionalFormatting>
  <x:pageMargins left="0.7" right="0.7" top="0.75" bottom="0.75" header="0.3" footer="0.3"/>
  <x:tableParts count="1">
    <x:tablePart xmlns:r="http://schemas.openxmlformats.org/officeDocument/2006/relationships" r:id="R0f372ebdfa504561"/>
  </x:tableParts>
</x:worksheet>
</file>

<file path=xl/worksheets/sheet1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52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</x:cols>
  <x:sheetData>
    <x:row r="1">
      <x:c r="A1" s="47"/>
      <x:c r="B1" s="47"/>
      <x:c r="C1" s="47"/>
      <x:c r="D1" s="47"/>
      <x:c r="E1" s="47"/>
      <x:c r="F1" s="47"/>
    </x:row>
    <x:row r="2">
      <x:c r="A2" s="55" t="str">
        <x:v>Independent terminal checks</x:v>
      </x:c>
      <x:c r="B2" s="47"/>
      <x:c r="C2" s="47"/>
      <x:c r="D2" s="47"/>
      <x:c r="E2" s="47"/>
      <x:c r="F2" s="47"/>
    </x:row>
    <x:row r="3">
      <x:c r="A3" s="49"/>
      <x:c r="B3" s="49"/>
      <x:c r="C3" s="49"/>
      <x:c r="D3" s="49"/>
      <x:c r="E3" s="49"/>
      <x:c r="F3" s="49"/>
    </x:row>
    <x:row r="4">
      <x:c r="A4" s="47"/>
      <x:c r="B4" s="47"/>
      <x:c r="C4" s="47"/>
      <x:c r="D4" s="47"/>
      <x:c r="E4" s="47"/>
      <x:c r="F4" s="47"/>
    </x:row>
    <x:row r="5">
      <x:c r="A5" s="47"/>
      <x:c r="B5" s="47"/>
      <x:c r="C5" s="47"/>
      <x:c r="D5" s="47"/>
      <x:c r="E5" s="47"/>
      <x:c r="F5" s="47"/>
    </x:row>
    <x:row r="6" ht="34" customHeight="1">
      <x:c r="A6" s="15" t="str">
        <x:v>Audit</x:v>
      </x:c>
      <x:c r="B6" s="15" t="str">
        <x:v>Test</x:v>
      </x:c>
      <x:c r="C6" s="15" t="str">
        <x:v>Actual</x:v>
      </x:c>
      <x:c r="D6" s="15" t="str">
        <x:v>Expected</x:v>
      </x:c>
      <x:c r="E6" s="15" t="str">
        <x:v>Tolerance</x:v>
      </x:c>
      <x:c r="F6" s="15" t="str">
        <x:v>Status</x:v>
      </x:c>
    </x:row>
    <x:row r="7">
      <x:c r="A7" s="47" t="str">
        <x:v>A01</x:v>
      </x:c>
      <x:c r="B7" s="47" t="str">
        <x:v>Technology-order count</x:v>
      </x:c>
      <x:c r="C7" s="62" t="n">
        <x:f>COUNTA('Fixture Lattice'!B7:B54)/2</x:f>
        <x:v>24</x:v>
      </x:c>
      <x:c r="D7" s="62" t="n">
        <x:f>Inputs!B7</x:f>
        <x:v>24</x:v>
      </x:c>
      <x:c r="E7" s="62" t="n">
        <x:v>0</x:v>
      </x:c>
      <x:c r="F7" s="47" t="str">
        <x:f>IF(ABS(C7-D7)&lt;=E7,"PASS","FAIL")</x:f>
        <x:v>PASS</x:v>
      </x:c>
    </x:row>
    <x:row r="8">
      <x:c r="A8" s="47" t="str">
        <x:v>A02</x:v>
      </x:c>
      <x:c r="B8" s="47" t="str">
        <x:v>Form count</x:v>
      </x:c>
      <x:c r="C8" s="62" t="n">
        <x:f>COUNTA('Site Lattice'!B7:B24)/3</x:f>
        <x:v>6</x:v>
      </x:c>
      <x:c r="D8" s="62" t="n">
        <x:f>Inputs!B8</x:f>
        <x:v>6</x:v>
      </x:c>
      <x:c r="E8" s="62" t="n">
        <x:v>0</x:v>
      </x:c>
      <x:c r="F8" s="47" t="str">
        <x:f>IF(ABS(C8-D8)&lt;=E8,"PASS","FAIL")</x:f>
        <x:v>PASS</x:v>
      </x:c>
    </x:row>
    <x:row r="9">
      <x:c r="A9" s="47" t="str">
        <x:v>A03</x:v>
      </x:c>
      <x:c r="B9" s="47" t="str">
        <x:v>Campaign-site count</x:v>
      </x:c>
      <x:c r="C9" s="62" t="n">
        <x:f>COUNTA('Site Lattice'!A7:A24)</x:f>
        <x:v>18</x:v>
      </x:c>
      <x:c r="D9" s="62" t="n">
        <x:f>Inputs!B8*Inputs!B12</x:f>
        <x:v>18</x:v>
      </x:c>
      <x:c r="E9" s="62" t="n">
        <x:v>0</x:v>
      </x:c>
      <x:c r="F9" s="47" t="str">
        <x:f>IF(ABS(C9-D9)&lt;=E9,"PASS","FAIL")</x:f>
        <x:v>PASS</x:v>
      </x:c>
    </x:row>
    <x:row r="10">
      <x:c r="A10" s="47" t="str">
        <x:v>A04</x:v>
      </x:c>
      <x:c r="B10" s="47" t="str">
        <x:v>Fixture-core count</x:v>
      </x:c>
      <x:c r="C10" s="62" t="n">
        <x:f>COUNTA('Fixture Lattice'!A7:A54)</x:f>
        <x:v>48</x:v>
      </x:c>
      <x:c r="D10" s="62" t="n">
        <x:f>Inputs!B7*Inputs!B14</x:f>
        <x:v>48</x:v>
      </x:c>
      <x:c r="E10" s="62" t="n">
        <x:v>0</x:v>
      </x:c>
      <x:c r="F10" s="47" t="str">
        <x:f>IF(ABS(C10-D10)&lt;=E10,"PASS","FAIL")</x:f>
        <x:v>PASS</x:v>
      </x:c>
    </x:row>
    <x:row r="11">
      <x:c r="A11" s="47" t="str">
        <x:v>A05</x:v>
      </x:c>
      <x:c r="B11" s="47" t="str">
        <x:v>F1 fixture count</x:v>
      </x:c>
      <x:c r="C11" s="62" t="n">
        <x:f>COUNTIFS('Fixture Lattice'!N7:N54,"F1")</x:f>
        <x:v>24</x:v>
      </x:c>
      <x:c r="D11" s="62" t="n">
        <x:f>24</x:f>
        <x:v>24</x:v>
      </x:c>
      <x:c r="E11" s="62" t="n">
        <x:v>0</x:v>
      </x:c>
      <x:c r="F11" s="47" t="str">
        <x:f>IF(ABS(C11-D11)&lt;=E11,"PASS","FAIL")</x:f>
        <x:v>PASS</x:v>
      </x:c>
    </x:row>
    <x:row r="12">
      <x:c r="A12" s="47" t="str">
        <x:v>A06</x:v>
      </x:c>
      <x:c r="B12" s="47" t="str">
        <x:v>F2 fixture count</x:v>
      </x:c>
      <x:c r="C12" s="62" t="n">
        <x:f>COUNTIFS('Fixture Lattice'!N7:N54,"F2")</x:f>
        <x:v>24</x:v>
      </x:c>
      <x:c r="D12" s="62" t="n">
        <x:f>24</x:f>
        <x:v>24</x:v>
      </x:c>
      <x:c r="E12" s="62" t="n">
        <x:v>0</x:v>
      </x:c>
      <x:c r="F12" s="47" t="str">
        <x:f>IF(ABS(C12-D12)&lt;=E12,"PASS","FAIL")</x:f>
        <x:v>PASS</x:v>
      </x:c>
    </x:row>
    <x:row r="13">
      <x:c r="A13" s="47" t="str">
        <x:v>A07</x:v>
      </x:c>
      <x:c r="B13" s="47" t="str">
        <x:v>Paired fixture sites are distinct</x:v>
      </x:c>
      <x:c r="C13" s="62" t="n">
        <x:f>SUM('Fixture Lattice'!K7:K54)</x:f>
        <x:v>48</x:v>
      </x:c>
      <x:c r="D13" s="62" t="n">
        <x:f>48</x:f>
        <x:v>48</x:v>
      </x:c>
      <x:c r="E13" s="62" t="n">
        <x:v>0</x:v>
      </x:c>
      <x:c r="F13" s="47" t="str">
        <x:f>IF(ABS(C13-D13)&lt;=E13,"PASS","FAIL")</x:f>
        <x:v>PASS</x:v>
      </x:c>
    </x:row>
    <x:row r="14">
      <x:c r="A14" s="47" t="str">
        <x:v>A08</x:v>
      </x:c>
      <x:c r="B14" s="47" t="str">
        <x:v>Relocation preserves paired separation</x:v>
      </x:c>
      <x:c r="C14" s="62" t="n">
        <x:f>SUM('Fixture Lattice'!L7:L54)</x:f>
        <x:v>48</x:v>
      </x:c>
      <x:c r="D14" s="62" t="n">
        <x:f>48</x:f>
        <x:v>48</x:v>
      </x:c>
      <x:c r="E14" s="62" t="n">
        <x:v>0</x:v>
      </x:c>
      <x:c r="F14" s="47" t="str">
        <x:f>IF(ABS(C14-D14)&lt;=E14,"PASS","FAIL")</x:f>
        <x:v>PASS</x:v>
      </x:c>
    </x:row>
    <x:row r="15">
      <x:c r="A15" s="47" t="str">
        <x:v>A09</x:v>
      </x:c>
      <x:c r="B15" s="47" t="str">
        <x:v>Each fixture carries three events</x:v>
      </x:c>
      <x:c r="C15" s="62" t="n">
        <x:f>COUNTIFS('Fixture Lattice'!J7:J54,3)</x:f>
        <x:v>48</x:v>
      </x:c>
      <x:c r="D15" s="62" t="n">
        <x:f>48</x:f>
        <x:v>48</x:v>
      </x:c>
      <x:c r="E15" s="62" t="n">
        <x:v>0</x:v>
      </x:c>
      <x:c r="F15" s="47" t="str">
        <x:f>IF(ABS(C15-D15)&lt;=E15,"PASS","FAIL")</x:f>
        <x:v>PASS</x:v>
      </x:c>
    </x:row>
    <x:row r="16">
      <x:c r="A16" s="47" t="str">
        <x:v>A10</x:v>
      </x:c>
      <x:c r="B16" s="47" t="str">
        <x:v>Serial-event count</x:v>
      </x:c>
      <x:c r="C16" s="62" t="n">
        <x:f>COUNTA('Serial Schedule'!A7:A150)</x:f>
        <x:v>144</x:v>
      </x:c>
      <x:c r="D16" s="62" t="n">
        <x:f>Inputs!B7*Inputs!B9*Inputs!B10</x:f>
        <x:v>144</x:v>
      </x:c>
      <x:c r="E16" s="62" t="n">
        <x:v>0</x:v>
      </x:c>
      <x:c r="F16" s="47" t="str">
        <x:f>IF(ABS(C16-D16)&lt;=E16,"PASS","FAIL")</x:f>
        <x:v>PASS</x:v>
      </x:c>
    </x:row>
    <x:row r="17">
      <x:c r="A17" s="47" t="str">
        <x:v>A11</x:v>
      </x:c>
      <x:c r="B17" s="47" t="str">
        <x:v>B1 event count</x:v>
      </x:c>
      <x:c r="C17" s="62" t="n">
        <x:f>COUNTIFS('Serial Schedule'!E7:E150,"B1")</x:f>
        <x:v>72</x:v>
      </x:c>
      <x:c r="D17" s="62" t="n">
        <x:f>COUNTA('Serial Schedule'!A7:A150)/Inputs!B9</x:f>
        <x:v>72</x:v>
      </x:c>
      <x:c r="E17" s="62" t="n">
        <x:v>0</x:v>
      </x:c>
      <x:c r="F17" s="47" t="str">
        <x:f>IF(ABS(C17-D17)&lt;=E17,"PASS","FAIL")</x:f>
        <x:v>PASS</x:v>
      </x:c>
    </x:row>
    <x:row r="18">
      <x:c r="A18" s="47" t="str">
        <x:v>A12</x:v>
      </x:c>
      <x:c r="B18" s="47" t="str">
        <x:v>B2 event count</x:v>
      </x:c>
      <x:c r="C18" s="62" t="n">
        <x:f>COUNTIFS('Serial Schedule'!E7:E150,"B2")</x:f>
        <x:v>72</x:v>
      </x:c>
      <x:c r="D18" s="62" t="n">
        <x:f>COUNTA('Serial Schedule'!A7:A150)/Inputs!B9</x:f>
        <x:v>72</x:v>
      </x:c>
      <x:c r="E18" s="62" t="n">
        <x:v>0</x:v>
      </x:c>
      <x:c r="F18" s="47" t="str">
        <x:f>IF(ABS(C18-D18)&lt;=E18,"PASS","FAIL")</x:f>
        <x:v>PASS</x:v>
      </x:c>
    </x:row>
    <x:row r="19">
      <x:c r="A19" s="47" t="str">
        <x:v>A13</x:v>
      </x:c>
      <x:c r="B19" s="47" t="str">
        <x:v>INT event count</x:v>
      </x:c>
      <x:c r="C19" s="62" t="n">
        <x:f>COUNTIFS('Serial Schedule'!F7:F150,"INT")</x:f>
        <x:v>48</x:v>
      </x:c>
      <x:c r="D19" s="62" t="n">
        <x:f>COUNTA('Serial Schedule'!A7:A150)/Inputs!B10</x:f>
        <x:v>48</x:v>
      </x:c>
      <x:c r="E19" s="62" t="n">
        <x:v>0</x:v>
      </x:c>
      <x:c r="F19" s="47" t="str">
        <x:f>IF(ABS(C19-D19)&lt;=E19,"PASS","FAIL")</x:f>
        <x:v>PASS</x:v>
      </x:c>
    </x:row>
    <x:row r="20">
      <x:c r="A20" s="47" t="str">
        <x:v>A14</x:v>
      </x:c>
      <x:c r="B20" s="47" t="str">
        <x:v>BRK event count</x:v>
      </x:c>
      <x:c r="C20" s="62" t="n">
        <x:f>COUNTIFS('Serial Schedule'!F7:F150,"BRK")</x:f>
        <x:v>48</x:v>
      </x:c>
      <x:c r="D20" s="62" t="n">
        <x:f>48</x:f>
        <x:v>48</x:v>
      </x:c>
      <x:c r="E20" s="62" t="n">
        <x:v>0</x:v>
      </x:c>
      <x:c r="F20" s="47" t="str">
        <x:f>IF(ABS(C20-D20)&lt;=E20,"PASS","FAIL")</x:f>
        <x:v>PASS</x:v>
      </x:c>
    </x:row>
    <x:row r="21">
      <x:c r="A21" s="47" t="str">
        <x:v>A15</x:v>
      </x:c>
      <x:c r="B21" s="47" t="str">
        <x:v>RCN event count</x:v>
      </x:c>
      <x:c r="C21" s="62" t="n">
        <x:f>COUNTIFS('Serial Schedule'!F7:F150,"RCN")</x:f>
        <x:v>48</x:v>
      </x:c>
      <x:c r="D21" s="62" t="n">
        <x:f>48</x:f>
        <x:v>48</x:v>
      </x:c>
      <x:c r="E21" s="62" t="n">
        <x:v>0</x:v>
      </x:c>
      <x:c r="F21" s="47" t="str">
        <x:f>IF(ABS(C21-D21)&lt;=E21,"PASS","FAIL")</x:f>
        <x:v>PASS</x:v>
      </x:c>
    </x:row>
    <x:row r="22">
      <x:c r="A22" s="47" t="str">
        <x:v>A16</x:v>
      </x:c>
      <x:c r="B22" s="47" t="str">
        <x:v>Acceptance-bearing events</x:v>
      </x:c>
      <x:c r="C22" s="62" t="n">
        <x:f>SUM('Serial Schedule'!G7:G150)</x:f>
        <x:v>96</x:v>
      </x:c>
      <x:c r="D22" s="62" t="n">
        <x:f>96</x:f>
        <x:v>96</x:v>
      </x:c>
      <x:c r="E22" s="62" t="n">
        <x:v>0</x:v>
      </x:c>
      <x:c r="F22" s="47" t="str">
        <x:f>IF(ABS(C22-D22)&lt;=E22,"PASS","FAIL")</x:f>
        <x:v>PASS</x:v>
      </x:c>
    </x:row>
    <x:row r="23">
      <x:c r="A23" s="47" t="str">
        <x:v>A17</x:v>
      </x:c>
      <x:c r="B23" s="47" t="str">
        <x:v>Epoch count</x:v>
      </x:c>
      <x:c r="C23" s="62" t="n">
        <x:f>COUNTA('Wave and Window'!A7:A12)</x:f>
        <x:v>6</x:v>
      </x:c>
      <x:c r="D23" s="62" t="n">
        <x:f>Inputs!B16</x:f>
        <x:v>6</x:v>
      </x:c>
      <x:c r="E23" s="62" t="n">
        <x:v>0</x:v>
      </x:c>
      <x:c r="F23" s="47" t="str">
        <x:f>IF(ABS(C23-D23)&lt;=E23,"PASS","FAIL")</x:f>
        <x:v>PASS</x:v>
      </x:c>
    </x:row>
    <x:row r="24">
      <x:c r="A24" s="47" t="str">
        <x:v>A18</x:v>
      </x:c>
      <x:c r="B24" s="47" t="str">
        <x:v>Every epoch carries twenty-four events</x:v>
      </x:c>
      <x:c r="C24" s="62" t="n">
        <x:f>COUNTIFS('Wave and Window'!B7:B12,24)</x:f>
        <x:v>6</x:v>
      </x:c>
      <x:c r="D24" s="62" t="n">
        <x:f>6</x:f>
        <x:v>6</x:v>
      </x:c>
      <x:c r="E24" s="62" t="n">
        <x:v>0</x:v>
      </x:c>
      <x:c r="F24" s="47" t="str">
        <x:f>IF(ABS(C24-D24)&lt;=E24,"PASS","FAIL")</x:f>
        <x:v>PASS</x:v>
      </x:c>
    </x:row>
    <x:row r="25">
      <x:c r="A25" s="47" t="str">
        <x:v>A19</x:v>
      </x:c>
      <x:c r="B25" s="47" t="str">
        <x:v>Every epoch carries twelve B1 events</x:v>
      </x:c>
      <x:c r="C25" s="62" t="n">
        <x:f>COUNTIFS('Wave and Window'!C7:C12,12)</x:f>
        <x:v>6</x:v>
      </x:c>
      <x:c r="D25" s="62" t="n">
        <x:f>6</x:f>
        <x:v>6</x:v>
      </x:c>
      <x:c r="E25" s="62" t="n">
        <x:v>0</x:v>
      </x:c>
      <x:c r="F25" s="47" t="str">
        <x:f>IF(ABS(C25-D25)&lt;=E25,"PASS","FAIL")</x:f>
        <x:v>PASS</x:v>
      </x:c>
    </x:row>
    <x:row r="26">
      <x:c r="A26" s="47" t="str">
        <x:v>A20</x:v>
      </x:c>
      <x:c r="B26" s="47" t="str">
        <x:v>Every epoch carries twelve B2 events</x:v>
      </x:c>
      <x:c r="C26" s="62" t="n">
        <x:f>COUNTIFS('Wave and Window'!D7:D12,12)</x:f>
        <x:v>6</x:v>
      </x:c>
      <x:c r="D26" s="62" t="n">
        <x:f>6</x:f>
        <x:v>6</x:v>
      </x:c>
      <x:c r="E26" s="62" t="n">
        <x:v>0</x:v>
      </x:c>
      <x:c r="F26" s="47" t="str">
        <x:f>IF(ABS(C26-D26)&lt;=E26,"PASS","FAIL")</x:f>
        <x:v>PASS</x:v>
      </x:c>
    </x:row>
    <x:row r="27">
      <x:c r="A27" s="47" t="str">
        <x:v>A21</x:v>
      </x:c>
      <x:c r="B27" s="47" t="str">
        <x:v>Every epoch-role cell carries eight events</x:v>
      </x:c>
      <x:c r="C27" s="62" t="n">
        <x:f>COUNTIFS('Wave and Window'!E7:G12,8)</x:f>
        <x:v>18</x:v>
      </x:c>
      <x:c r="D27" s="62" t="n">
        <x:f>18</x:f>
        <x:v>18</x:v>
      </x:c>
      <x:c r="E27" s="62" t="n">
        <x:v>0</x:v>
      </x:c>
      <x:c r="F27" s="47" t="str">
        <x:f>IF(ABS(C27-D27)&lt;=E27,"PASS","FAIL")</x:f>
        <x:v>PASS</x:v>
      </x:c>
    </x:row>
    <x:row r="28">
      <x:c r="A28" s="47" t="str">
        <x:v>A22</x:v>
      </x:c>
      <x:c r="B28" s="47" t="str">
        <x:v>Every epoch-class cell carries four events</x:v>
      </x:c>
      <x:c r="C28" s="62" t="n">
        <x:f>COUNTIFS('Wave and Window'!H7:M12,4)</x:f>
        <x:v>36</x:v>
      </x:c>
      <x:c r="D28" s="62" t="n">
        <x:f>36</x:f>
        <x:v>36</x:v>
      </x:c>
      <x:c r="E28" s="62" t="n">
        <x:v>0</x:v>
      </x:c>
      <x:c r="F28" s="47" t="str">
        <x:f>IF(ABS(C28-D28)&lt;=E28,"PASS","FAIL")</x:f>
        <x:v>PASS</x:v>
      </x:c>
    </x:row>
    <x:row r="29">
      <x:c r="A29" s="47" t="str">
        <x:v>A23</x:v>
      </x:c>
      <x:c r="B29" s="47" t="str">
        <x:v>Every epoch-form cell carries four events</x:v>
      </x:c>
      <x:c r="C29" s="62" t="n">
        <x:f>COUNTIFS('Wave and Window'!N7:S12,4)</x:f>
        <x:v>36</x:v>
      </x:c>
      <x:c r="D29" s="62" t="n">
        <x:f>36</x:f>
        <x:v>36</x:v>
      </x:c>
      <x:c r="E29" s="62" t="n">
        <x:v>0</x:v>
      </x:c>
      <x:c r="F29" s="47" t="str">
        <x:f>IF(ABS(C29-D29)&lt;=E29,"PASS","FAIL")</x:f>
        <x:v>PASS</x:v>
      </x:c>
    </x:row>
    <x:row r="30">
      <x:c r="A30" s="47" t="str">
        <x:v>A24</x:v>
      </x:c>
      <x:c r="B30" s="47" t="str">
        <x:v>Live-window count</x:v>
      </x:c>
      <x:c r="C30" s="62" t="n">
        <x:f>COUNTA('Wave and Window'!A19:A42)</x:f>
        <x:v>24</x:v>
      </x:c>
      <x:c r="D30" s="62" t="n">
        <x:f>Inputs!B16*Inputs!B17</x:f>
        <x:v>24</x:v>
      </x:c>
      <x:c r="E30" s="62" t="n">
        <x:v>0</x:v>
      </x:c>
      <x:c r="F30" s="47" t="str">
        <x:f>IF(ABS(C30-D30)&lt;=E30,"PASS","FAIL")</x:f>
        <x:v>PASS</x:v>
      </x:c>
    </x:row>
    <x:row r="31">
      <x:c r="A31" s="47" t="str">
        <x:v>A25</x:v>
      </x:c>
      <x:c r="B31" s="47" t="str">
        <x:v>Every window carries the active-event count</x:v>
      </x:c>
      <x:c r="C31" s="62" t="n">
        <x:f>COUNTIFS('Wave and Window'!C19:C42,Inputs!B18)</x:f>
        <x:v>24</x:v>
      </x:c>
      <x:c r="D31" s="62" t="n">
        <x:f>Inputs!B16*Inputs!B17</x:f>
        <x:v>24</x:v>
      </x:c>
      <x:c r="E31" s="62" t="n">
        <x:v>0</x:v>
      </x:c>
      <x:c r="F31" s="47" t="str">
        <x:f>IF(ABS(C31-D31)&lt;=E31,"PASS","FAIL")</x:f>
        <x:v>PASS</x:v>
      </x:c>
    </x:row>
    <x:row r="32">
      <x:c r="A32" s="47" t="str">
        <x:v>A26</x:v>
      </x:c>
      <x:c r="B32" s="47" t="str">
        <x:v>Concurrent-window capacity has no deficit</x:v>
      </x:c>
      <x:c r="C32" s="62" t="n">
        <x:f>SUM('Wave and Window'!E19:E42)</x:f>
        <x:v>0</x:v>
      </x:c>
      <x:c r="D32" s="62" t="n">
        <x:f>0</x:f>
        <x:v>0</x:v>
      </x:c>
      <x:c r="E32" s="62" t="n">
        <x:v>0</x:v>
      </x:c>
      <x:c r="F32" s="47" t="str">
        <x:f>IF(ABS(C32-D32)&lt;=E32,"PASS","FAIL")</x:f>
        <x:v>PASS</x:v>
      </x:c>
    </x:row>
    <x:row r="33">
      <x:c r="A33" s="47" t="str">
        <x:v>A27</x:v>
      </x:c>
      <x:c r="B33" s="47" t="str">
        <x:v>Site-collision excess</x:v>
      </x:c>
      <x:c r="C33" s="62" t="n">
        <x:f>SUM('Wave and Window'!F19:F42)</x:f>
        <x:v>0</x:v>
      </x:c>
      <x:c r="D33" s="62" t="n">
        <x:f>0</x:f>
        <x:v>0</x:v>
      </x:c>
      <x:c r="E33" s="62" t="n">
        <x:v>0</x:v>
      </x:c>
      <x:c r="F33" s="47" t="str">
        <x:f>IF(ABS(C33-D33)&lt;=E33,"PASS","FAIL")</x:f>
        <x:v>PASS</x:v>
      </x:c>
    </x:row>
    <x:row r="34">
      <x:c r="A34" s="47" t="str">
        <x:v>A28</x:v>
      </x:c>
      <x:c r="B34" s="47" t="str">
        <x:v>Unique order-epoch keys</x:v>
      </x:c>
      <x:c r="C34" s="62" t="n">
        <x:f>COUNTIFS('Serial Schedule'!U7:U150,1)</x:f>
        <x:v>144</x:v>
      </x:c>
      <x:c r="D34" s="62" t="n">
        <x:f>144</x:f>
        <x:v>144</x:v>
      </x:c>
      <x:c r="E34" s="62" t="n">
        <x:v>0</x:v>
      </x:c>
      <x:c r="F34" s="47" t="str">
        <x:f>IF(ABS(C34-D34)&lt;=E34,"PASS","FAIL")</x:f>
        <x:v>PASS</x:v>
      </x:c>
    </x:row>
    <x:row r="35">
      <x:c r="A35" s="47" t="str">
        <x:v>A29</x:v>
      </x:c>
      <x:c r="B35" s="47" t="str">
        <x:v>One event per site per live window</x:v>
      </x:c>
      <x:c r="C35" s="62" t="n">
        <x:f>COUNTIFS('Serial Schedule'!V7:V150,1)</x:f>
        <x:v>144</x:v>
      </x:c>
      <x:c r="D35" s="62" t="n">
        <x:f>144</x:f>
        <x:v>144</x:v>
      </x:c>
      <x:c r="E35" s="62" t="n">
        <x:v>0</x:v>
      </x:c>
      <x:c r="F35" s="47" t="str">
        <x:f>IF(ABS(C35-D35)&lt;=E35,"PASS","FAIL")</x:f>
        <x:v>PASS</x:v>
      </x:c>
    </x:row>
    <x:row r="36">
      <x:c r="A36" s="47" t="str">
        <x:v>A30</x:v>
      </x:c>
      <x:c r="B36" s="47" t="str">
        <x:v>Node-load record count</x:v>
      </x:c>
      <x:c r="C36" s="62" t="n">
        <x:f>COUNTA('Capacity and Loss'!A7:A114)</x:f>
        <x:v>108</x:v>
      </x:c>
      <x:c r="D36" s="62" t="n">
        <x:f>108</x:f>
        <x:v>108</x:v>
      </x:c>
      <x:c r="E36" s="62" t="n">
        <x:v>0</x:v>
      </x:c>
      <x:c r="F36" s="47" t="str">
        <x:f>IF(ABS(C36-D36)&lt;=E36,"PASS","FAIL")</x:f>
        <x:v>PASS</x:v>
      </x:c>
    </x:row>
    <x:row r="37">
      <x:c r="A37" s="47" t="str">
        <x:v>A31</x:v>
      </x:c>
      <x:c r="B37" s="47" t="str">
        <x:v>Node-load cases pass</x:v>
      </x:c>
      <x:c r="C37" s="62" t="n">
        <x:f>COUNTIFS('Capacity and Loss'!H7:H114,"PASS")</x:f>
        <x:v>108</x:v>
      </x:c>
      <x:c r="D37" s="62" t="n">
        <x:f>108</x:f>
        <x:v>108</x:v>
      </x:c>
      <x:c r="E37" s="62" t="n">
        <x:v>0</x:v>
      </x:c>
      <x:c r="F37" s="47" t="str">
        <x:f>IF(ABS(C37-D37)&lt;=E37,"PASS","FAIL")</x:f>
        <x:v>PASS</x:v>
      </x:c>
    </x:row>
    <x:row r="38">
      <x:c r="A38" s="47" t="str">
        <x:v>A32</x:v>
      </x:c>
      <x:c r="B38" s="47" t="str">
        <x:v>Total node-window capacity</x:v>
      </x:c>
      <x:c r="C38" s="62" t="n">
        <x:f>SUM('Capacity and Loss'!E7:E114)</x:f>
        <x:v>432</x:v>
      </x:c>
      <x:c r="D38" s="62" t="n">
        <x:f>432</x:f>
        <x:v>432</x:v>
      </x:c>
      <x:c r="E38" s="62" t="n">
        <x:v>0</x:v>
      </x:c>
      <x:c r="F38" s="47" t="str">
        <x:f>IF(ABS(C38-D38)&lt;=E38,"PASS","FAIL")</x:f>
        <x:v>PASS</x:v>
      </x:c>
    </x:row>
    <x:row r="39">
      <x:c r="A39" s="47" t="str">
        <x:v>A33</x:v>
      </x:c>
      <x:c r="B39" s="47" t="str">
        <x:v>Scheduled node-windows</x:v>
      </x:c>
      <x:c r="C39" s="62" t="n">
        <x:f>SUM('Capacity and Loss'!D7:D114)</x:f>
        <x:v>144</x:v>
      </x:c>
      <x:c r="D39" s="62" t="n">
        <x:f>144</x:f>
        <x:v>144</x:v>
      </x:c>
      <x:c r="E39" s="62" t="n">
        <x:v>0</x:v>
      </x:c>
      <x:c r="F39" s="47" t="str">
        <x:f>IF(ABS(C39-D39)&lt;=E39,"PASS","FAIL")</x:f>
        <x:v>PASS</x:v>
      </x:c>
    </x:row>
    <x:row r="40">
      <x:c r="A40" s="47" t="str">
        <x:v>A34</x:v>
      </x:c>
      <x:c r="B40" s="47" t="str">
        <x:v>Dormant node-windows</x:v>
      </x:c>
      <x:c r="C40" s="62" t="n">
        <x:f>SUM('Capacity and Loss'!F7:F114)</x:f>
        <x:v>288</x:v>
      </x:c>
      <x:c r="D40" s="62" t="n">
        <x:f>288</x:f>
        <x:v>288</x:v>
      </x:c>
      <x:c r="E40" s="62" t="n">
        <x:v>0</x:v>
      </x:c>
      <x:c r="F40" s="47" t="str">
        <x:f>IF(ABS(C40-D40)&lt;=E40,"PASS","FAIL")</x:f>
        <x:v>PASS</x:v>
      </x:c>
    </x:row>
    <x:row r="41">
      <x:c r="A41" s="47" t="str">
        <x:v>A35</x:v>
      </x:c>
      <x:c r="B41" s="47" t="str">
        <x:v>Single-site-loss case count</x:v>
      </x:c>
      <x:c r="C41" s="62" t="n">
        <x:f>COUNTA('Capacity and Loss'!A120:A227)</x:f>
        <x:v>108</x:v>
      </x:c>
      <x:c r="D41" s="62" t="n">
        <x:f>108</x:f>
        <x:v>108</x:v>
      </x:c>
      <x:c r="E41" s="62" t="n">
        <x:v>0</x:v>
      </x:c>
      <x:c r="F41" s="47" t="str">
        <x:f>IF(ABS(C41-D41)&lt;=E41,"PASS","FAIL")</x:f>
        <x:v>PASS</x:v>
      </x:c>
    </x:row>
    <x:row r="42">
      <x:c r="A42" s="47" t="str">
        <x:v>A36</x:v>
      </x:c>
      <x:c r="B42" s="47" t="str">
        <x:v>Single-site-loss cases retain capacity</x:v>
      </x:c>
      <x:c r="C42" s="62" t="n">
        <x:f>COUNTIFS('Capacity and Loss'!K120:K227,"PASS")</x:f>
        <x:v>108</x:v>
      </x:c>
      <x:c r="D42" s="62" t="n">
        <x:f>108</x:f>
        <x:v>108</x:v>
      </x:c>
      <x:c r="E42" s="62" t="n">
        <x:v>0</x:v>
      </x:c>
      <x:c r="F42" s="47" t="str">
        <x:f>IF(ABS(C42-D42)&lt;=E42,"PASS","FAIL")</x:f>
        <x:v>PASS</x:v>
      </x:c>
    </x:row>
    <x:row r="43">
      <x:c r="A43" s="47" t="str">
        <x:v>A37</x:v>
      </x:c>
      <x:c r="B43" s="47" t="str">
        <x:v>First event starts after preactivation</x:v>
      </x:c>
      <x:c r="C43" s="62" t="n">
        <x:f>MIN('Serial Schedule'!O7:O150)</x:f>
        <x:v>104</x:v>
      </x:c>
      <x:c r="D43" s="62" t="n">
        <x:f>Inputs!B21</x:f>
        <x:v>104</x:v>
      </x:c>
      <x:c r="E43" s="62" t="n">
        <x:v>0</x:v>
      </x:c>
      <x:c r="F43" s="47" t="str">
        <x:f>IF(ABS(C43-D43)&lt;=E43,"PASS","FAIL")</x:f>
        <x:v>PASS</x:v>
      </x:c>
    </x:row>
    <x:row r="44">
      <x:c r="A44" s="47" t="str">
        <x:v>A38</x:v>
      </x:c>
      <x:c r="B44" s="47" t="str">
        <x:v>Last build start precedes first event</x:v>
      </x:c>
      <x:c r="C44" s="62" t="n">
        <x:f>MAX('Serial Schedule'!I7:I150)</x:f>
        <x:v>25</x:v>
      </x:c>
      <x:c r="D44" s="62" t="n">
        <x:f>(Inputs!B16-1)*Inputs!B23</x:f>
        <x:v>25</x:v>
      </x:c>
      <x:c r="E44" s="62" t="n">
        <x:v>0</x:v>
      </x:c>
      <x:c r="F44" s="47" t="str">
        <x:f>IF(ABS(C44-D44)&lt;=E44,"PASS","FAIL")</x:f>
        <x:v>PASS</x:v>
      </x:c>
    </x:row>
    <x:row r="45">
      <x:c r="A45" s="47" t="str">
        <x:v>A39</x:v>
      </x:c>
      <x:c r="B45" s="47" t="str">
        <x:v>Every build starts before outcome opportunity</x:v>
      </x:c>
      <x:c r="C45" s="62" t="n">
        <x:f>COUNTIFS('Serial Schedule'!I7:I150,"&lt;"&amp;Inputs!B21)</x:f>
        <x:v>144</x:v>
      </x:c>
      <x:c r="D45" s="62" t="n">
        <x:f>144</x:f>
        <x:v>144</x:v>
      </x:c>
      <x:c r="E45" s="62" t="n">
        <x:v>0</x:v>
      </x:c>
      <x:c r="F45" s="47" t="str">
        <x:f>IF(ABS(C45-D45)&lt;=E45,"PASS","FAIL")</x:f>
        <x:v>PASS</x:v>
      </x:c>
    </x:row>
    <x:row r="46">
      <x:c r="A46" s="47" t="str">
        <x:v>A40</x:v>
      </x:c>
      <x:c r="B46" s="47" t="str">
        <x:v>Campaign duration in weeks</x:v>
      </x:c>
      <x:c r="C46" s="62" t="n">
        <x:f>Inputs!B21+Inputs!B16*(Inputs!B17*Inputs!B19+Inputs!B20)+Inputs!B22</x:f>
        <x:v>312</x:v>
      </x:c>
      <x:c r="D46" s="62" t="n">
        <x:f>312</x:f>
        <x:v>312</x:v>
      </x:c>
      <x:c r="E46" s="62" t="n">
        <x:v>0</x:v>
      </x:c>
      <x:c r="F46" s="47" t="str">
        <x:f>IF(ABS(C46-D46)&lt;=E46,"PASS","FAIL")</x:f>
        <x:v>PASS</x:v>
      </x:c>
    </x:row>
    <x:row r="47">
      <x:c r="A47" s="47" t="str">
        <x:v>A41</x:v>
      </x:c>
      <x:c r="B47" s="47" t="str">
        <x:v>Planning exposure</x:v>
      </x:c>
      <x:c r="C47" s="62" t="n">
        <x:f>'Fiscal Draw'!C23</x:f>
        <x:v>25040</x:v>
      </x:c>
      <x:c r="D47" s="62" t="n">
        <x:f>25040</x:f>
        <x:v>25040</x:v>
      </x:c>
      <x:c r="E47" s="62" t="n">
        <x:v>0.01</x:v>
      </x:c>
      <x:c r="F47" s="47" t="str">
        <x:f>IF(ABS(C47-D47)&lt;=E47,"PASS","FAIL")</x:f>
        <x:v>PASS</x:v>
      </x:c>
    </x:row>
    <x:row r="48">
      <x:c r="A48" s="47" t="str">
        <x:v>A42</x:v>
      </x:c>
      <x:c r="B48" s="47" t="str">
        <x:v>Candidate exposure</x:v>
      </x:c>
      <x:c r="C48" s="62" t="n">
        <x:f>'Fiscal Draw'!C19</x:f>
        <x:v>16376.6666666667</x:v>
      </x:c>
      <x:c r="D48" s="62" t="n">
        <x:f>16376.6666666667</x:f>
        <x:v>16376.6666666667</x:v>
      </x:c>
      <x:c r="E48" s="62" t="n">
        <x:v>0.01</x:v>
      </x:c>
      <x:c r="F48" s="47" t="str">
        <x:f>IF(ABS(C48-D48)&lt;=E48,"PASS","FAIL")</x:f>
        <x:v>PASS</x:v>
      </x:c>
    </x:row>
    <x:row r="49">
      <x:c r="A49" s="47" t="str">
        <x:v>A43</x:v>
      </x:c>
      <x:c r="B49" s="47" t="str">
        <x:v>Proving exposure</x:v>
      </x:c>
      <x:c r="C49" s="62" t="n">
        <x:f>'Fiscal Draw'!C20</x:f>
        <x:v>5300</x:v>
      </x:c>
      <x:c r="D49" s="62" t="n">
        <x:f>5300</x:f>
        <x:v>5300</x:v>
      </x:c>
      <x:c r="E49" s="62" t="n">
        <x:v>0.01</x:v>
      </x:c>
      <x:c r="F49" s="47" t="str">
        <x:f>IF(ABS(C49-D49)&lt;=E49,"PASS","FAIL")</x:f>
        <x:v>PASS</x:v>
      </x:c>
    </x:row>
    <x:row r="50">
      <x:c r="A50" s="47" t="str">
        <x:v>A44</x:v>
      </x:c>
      <x:c r="B50" s="47" t="str">
        <x:v>Metrology exposure</x:v>
      </x:c>
      <x:c r="C50" s="62" t="n">
        <x:f>'Fiscal Draw'!C21</x:f>
        <x:v>2150</x:v>
      </x:c>
      <x:c r="D50" s="62" t="n">
        <x:f>2150</x:f>
        <x:v>2150</x:v>
      </x:c>
      <x:c r="E50" s="62" t="n">
        <x:v>0.01</x:v>
      </x:c>
      <x:c r="F50" s="47" t="str">
        <x:f>IF(ABS(C50-D50)&lt;=E50,"PASS","FAIL")</x:f>
        <x:v>PASS</x:v>
      </x:c>
    </x:row>
    <x:row r="51">
      <x:c r="A51" s="47" t="str">
        <x:v>A45</x:v>
      </x:c>
      <x:c r="B51" s="47" t="str">
        <x:v>Regeneration exposure</x:v>
      </x:c>
      <x:c r="C51" s="62" t="n">
        <x:f>'Fiscal Draw'!C22</x:f>
        <x:v>1213.3333333333</x:v>
      </x:c>
      <x:c r="D51" s="62" t="n">
        <x:f>1213.3333333333</x:f>
        <x:v>1213.3333333333</x:v>
      </x:c>
      <x:c r="E51" s="62" t="n">
        <x:v>0.01</x:v>
      </x:c>
      <x:c r="F51" s="47" t="str">
        <x:f>IF(ABS(C51-D51)&lt;=E51,"PASS","FAIL")</x:f>
        <x:v>PASS</x:v>
      </x:c>
    </x:row>
    <x:row r="52">
      <x:c r="A52" s="47" t="str">
        <x:v>A46</x:v>
      </x:c>
      <x:c r="B52" s="47" t="str">
        <x:v>Proof-wave reservation</x:v>
      </x:c>
      <x:c r="C52" s="62" t="n">
        <x:f>'Fiscal Draw'!B23</x:f>
        <x:v>43000</x:v>
      </x:c>
      <x:c r="D52" s="62" t="n">
        <x:f>43000</x:f>
        <x:v>43000</x:v>
      </x:c>
      <x:c r="E52" s="62" t="n">
        <x:v>0.01</x:v>
      </x:c>
      <x:c r="F52" s="47" t="str">
        <x:f>IF(ABS(C52-D52)&lt;=E52,"PASS","FAIL")</x:f>
        <x:v>PASS</x:v>
      </x:c>
    </x:row>
    <x:row r="53">
      <x:c r="A53" s="47" t="str">
        <x:v>A47</x:v>
      </x:c>
      <x:c r="B53" s="47" t="str">
        <x:v>Proof-wave headroom</x:v>
      </x:c>
      <x:c r="C53" s="62" t="n">
        <x:f>'Fiscal Draw'!D23</x:f>
        <x:v>17960</x:v>
      </x:c>
      <x:c r="D53" s="62" t="n">
        <x:f>17960</x:f>
        <x:v>17960</x:v>
      </x:c>
      <x:c r="E53" s="62" t="n">
        <x:v>0.01</x:v>
      </x:c>
      <x:c r="F53" s="47" t="str">
        <x:f>IF(ABS(C53-D53)&lt;=E53,"PASS","FAIL")</x:f>
        <x:v>PASS</x:v>
      </x:c>
    </x:row>
    <x:row r="54">
      <x:c r="A54" s="47" t="str">
        <x:v>A48</x:v>
      </x:c>
      <x:c r="B54" s="47" t="str">
        <x:v>Fiscal-phase count</x:v>
      </x:c>
      <x:c r="C54" s="62" t="n">
        <x:f>COUNTA('Fiscal Draw'!A7:A14)</x:f>
        <x:v>8</x:v>
      </x:c>
      <x:c r="D54" s="62" t="n">
        <x:f>8</x:f>
        <x:v>8</x:v>
      </x:c>
      <x:c r="E54" s="62" t="n">
        <x:v>0</x:v>
      </x:c>
      <x:c r="F54" s="47" t="str">
        <x:f>IF(ABS(C54-D54)&lt;=E54,"PASS","FAIL")</x:f>
        <x:v>PASS</x:v>
      </x:c>
    </x:row>
    <x:row r="55">
      <x:c r="A55" s="47" t="str">
        <x:v>A49</x:v>
      </x:c>
      <x:c r="B55" s="47" t="str">
        <x:v>Candidate draw shares sum to one</x:v>
      </x:c>
      <x:c r="C55" s="62" t="n">
        <x:f>SUM('Fiscal Draw'!E7:E14)</x:f>
        <x:v>1</x:v>
      </x:c>
      <x:c r="D55" s="62" t="n">
        <x:f>1</x:f>
        <x:v>1</x:v>
      </x:c>
      <x:c r="E55" s="62" t="n">
        <x:v>0.000001</x:v>
      </x:c>
      <x:c r="F55" s="47" t="str">
        <x:f>IF(ABS(C55-D55)&lt;=E55,"PASS","FAIL")</x:f>
        <x:v>PASS</x:v>
      </x:c>
    </x:row>
    <x:row r="56">
      <x:c r="A56" s="47" t="str">
        <x:v>A50</x:v>
      </x:c>
      <x:c r="B56" s="47" t="str">
        <x:v>Proving draw shares sum to one</x:v>
      </x:c>
      <x:c r="C56" s="62" t="n">
        <x:f>SUM('Fiscal Draw'!G7:G14)</x:f>
        <x:v>0.9999999999999999</x:v>
      </x:c>
      <x:c r="D56" s="62" t="n">
        <x:f>1</x:f>
        <x:v>1</x:v>
      </x:c>
      <x:c r="E56" s="62" t="n">
        <x:v>0.000001</x:v>
      </x:c>
      <x:c r="F56" s="47" t="str">
        <x:f>IF(ABS(C56-D56)&lt;=E56,"PASS","FAIL")</x:f>
        <x:v>PASS</x:v>
      </x:c>
    </x:row>
    <x:row r="57">
      <x:c r="A57" s="47" t="str">
        <x:v>A51</x:v>
      </x:c>
      <x:c r="B57" s="47" t="str">
        <x:v>Metrology draw shares sum to one</x:v>
      </x:c>
      <x:c r="C57" s="62" t="n">
        <x:f>SUM('Fiscal Draw'!I7:I14)</x:f>
        <x:v>0.9999999999999998</x:v>
      </x:c>
      <x:c r="D57" s="62" t="n">
        <x:f>1</x:f>
        <x:v>1</x:v>
      </x:c>
      <x:c r="E57" s="62" t="n">
        <x:v>0.000001</x:v>
      </x:c>
      <x:c r="F57" s="47" t="str">
        <x:f>IF(ABS(C57-D57)&lt;=E57,"PASS","FAIL")</x:f>
        <x:v>PASS</x:v>
      </x:c>
    </x:row>
    <x:row r="58">
      <x:c r="A58" s="47" t="str">
        <x:v>A52</x:v>
      </x:c>
      <x:c r="B58" s="47" t="str">
        <x:v>Regeneration draw shares sum to one</x:v>
      </x:c>
      <x:c r="C58" s="62" t="n">
        <x:f>SUM('Fiscal Draw'!K7:K14)</x:f>
        <x:v>1</x:v>
      </x:c>
      <x:c r="D58" s="62" t="n">
        <x:f>1</x:f>
        <x:v>1</x:v>
      </x:c>
      <x:c r="E58" s="62" t="n">
        <x:v>0.000001</x:v>
      </x:c>
      <x:c r="F58" s="47" t="str">
        <x:f>IF(ABS(C58-D58)&lt;=E58,"PASS","FAIL")</x:f>
        <x:v>PASS</x:v>
      </x:c>
    </x:row>
    <x:row r="59">
      <x:c r="A59" s="47" t="str">
        <x:v>A53</x:v>
      </x:c>
      <x:c r="B59" s="47" t="str">
        <x:v>Fiscal draws conserve assigned exposure</x:v>
      </x:c>
      <x:c r="C59" s="62" t="n">
        <x:f>SUM('Fiscal Draw'!M7:M14)</x:f>
        <x:v>25039.999999999996</x:v>
      </x:c>
      <x:c r="D59" s="62" t="n">
        <x:f>25040</x:f>
        <x:v>25040</x:v>
      </x:c>
      <x:c r="E59" s="62" t="n">
        <x:v>0.01</x:v>
      </x:c>
      <x:c r="F59" s="47" t="str">
        <x:f>IF(ABS(C59-D59)&lt;=E59,"PASS","FAIL")</x:f>
        <x:v>PASS</x:v>
      </x:c>
    </x:row>
    <x:row r="60">
      <x:c r="A60" s="47" t="str">
        <x:v>A54</x:v>
      </x:c>
      <x:c r="B60" s="47" t="str">
        <x:v>Outcome-contingent draw remains zero</x:v>
      </x:c>
      <x:c r="C60" s="62" t="n">
        <x:f>SUM('Fiscal Draw'!O7:O14)</x:f>
        <x:v>0</x:v>
      </x:c>
      <x:c r="D60" s="62" t="n">
        <x:f>0</x:f>
        <x:v>0</x:v>
      </x:c>
      <x:c r="E60" s="62" t="n">
        <x:v>0</x:v>
      </x:c>
      <x:c r="F60" s="47" t="str">
        <x:f>IF(ABS(C60-D60)&lt;=E60,"PASS","FAIL")</x:f>
        <x:v>PASS</x:v>
      </x:c>
    </x:row>
    <x:row r="61">
      <x:c r="A61" s="47" t="str">
        <x:v>A55</x:v>
      </x:c>
      <x:c r="B61" s="47" t="str">
        <x:v>Campaign years</x:v>
      </x:c>
      <x:c r="C61" s="62" t="n">
        <x:f>Workforce!C11</x:f>
        <x:v>6</x:v>
      </x:c>
      <x:c r="D61" s="62" t="n">
        <x:f>6</x:f>
        <x:v>6</x:v>
      </x:c>
      <x:c r="E61" s="62" t="n">
        <x:v>0.000001</x:v>
      </x:c>
      <x:c r="F61" s="47" t="str">
        <x:f>IF(ABS(C61-D61)&lt;=E61,"PASS","FAIL")</x:f>
        <x:v>PASS</x:v>
      </x:c>
    </x:row>
    <x:row r="62">
      <x:c r="A62" s="47" t="str">
        <x:v>A56</x:v>
      </x:c>
      <x:c r="B62" s="47" t="str">
        <x:v>Average direct-position equivalents</x:v>
      </x:c>
      <x:c r="C62" s="62" t="n">
        <x:f>Workforce!D11</x:f>
        <x:v>6420.51282051282</x:v>
      </x:c>
      <x:c r="D62" s="62" t="n">
        <x:f>6420.51282051282</x:f>
        <x:v>6420.51282051282</x:v>
      </x:c>
      <x:c r="E62" s="62" t="n">
        <x:v>0.01</x:v>
      </x:c>
      <x:c r="F62" s="47" t="str">
        <x:f>IF(ABS(C62-D62)&lt;=E62,"PASS","FAIL")</x:f>
        <x:v>PASS</x:v>
      </x:c>
    </x:row>
    <x:row r="63">
      <x:c r="A63" s="47" t="str">
        <x:v>A57</x:v>
      </x:c>
      <x:c r="B63" s="47" t="str">
        <x:v>Peak direct-position equivalents</x:v>
      </x:c>
      <x:c r="C63" s="62" t="n">
        <x:f>Workforce!E11</x:f>
        <x:v>8025.641025641025</x:v>
      </x:c>
      <x:c r="D63" s="62" t="n">
        <x:f>8025.64102564103</x:f>
        <x:v>8025.64102564103</x:v>
      </x:c>
      <x:c r="E63" s="62" t="n">
        <x:v>0.01</x:v>
      </x:c>
      <x:c r="F63" s="47" t="str">
        <x:f>IF(ABS(C63-D63)&lt;=E63,"PASS","FAIL")</x:f>
        <x:v>PASS</x:v>
      </x:c>
    </x:row>
    <x:row r="64">
      <x:c r="A64" s="47" t="str">
        <x:v>A58</x:v>
      </x:c>
      <x:c r="B64" s="47" t="str">
        <x:v>Separated duty cells</x:v>
      </x:c>
      <x:c r="C64" s="62" t="n">
        <x:f>SUM(Workforce!B18:B23)</x:f>
        <x:v>354</x:v>
      </x:c>
      <x:c r="D64" s="62" t="n">
        <x:f>354</x:f>
        <x:v>354</x:v>
      </x:c>
      <x:c r="E64" s="62" t="n">
        <x:v>0</x:v>
      </x:c>
      <x:c r="F64" s="47" t="str">
        <x:f>IF(ABS(C64-D64)&lt;=E64,"PASS","FAIL")</x:f>
        <x:v>PASS</x:v>
      </x:c>
    </x:row>
    <x:row r="65">
      <x:c r="A65" s="47" t="str">
        <x:v>A59</x:v>
      </x:c>
      <x:c r="B65" s="47" t="str">
        <x:v>Common-control rules</x:v>
      </x:c>
      <x:c r="C65" s="62" t="n">
        <x:f>COUNTA('Control Graph'!A7:A30)</x:f>
        <x:v>24</x:v>
      </x:c>
      <x:c r="D65" s="62" t="n">
        <x:f>24</x:f>
        <x:v>24</x:v>
      </x:c>
      <x:c r="E65" s="62" t="n">
        <x:v>0</x:v>
      </x:c>
      <x:c r="F65" s="47" t="str">
        <x:f>IF(ABS(C65-D65)&lt;=E65,"PASS","FAIL")</x:f>
        <x:v>PASS</x:v>
      </x:c>
    </x:row>
    <x:row r="66">
      <x:c r="A66" s="47" t="str">
        <x:v>A60</x:v>
      </x:c>
      <x:c r="B66" s="47" t="str">
        <x:v>Common-control identities remain empty</x:v>
      </x:c>
      <x:c r="C66" s="62" t="n">
        <x:f>COUNTIFS('Control Graph'!F7:F30,"SPECIFIED / IDENTITY EMPTY")</x:f>
        <x:v>24</x:v>
      </x:c>
      <x:c r="D66" s="62" t="n">
        <x:f>24</x:f>
        <x:v>24</x:v>
      </x:c>
      <x:c r="E66" s="62" t="n">
        <x:v>0</x:v>
      </x:c>
      <x:c r="F66" s="47" t="str">
        <x:f>IF(ABS(C66-D66)&lt;=E66,"PASS","FAIL")</x:f>
        <x:v>PASS</x:v>
      </x:c>
    </x:row>
    <x:row r="67">
      <x:c r="A67" s="47" t="str">
        <x:v>A61</x:v>
      </x:c>
      <x:c r="B67" s="47" t="str">
        <x:v>Nonconversion laws</x:v>
      </x:c>
      <x:c r="C67" s="62" t="n">
        <x:f>COUNTA(Nonconversions!A7:A24)</x:f>
        <x:v>18</x:v>
      </x:c>
      <x:c r="D67" s="62" t="n">
        <x:f>18</x:f>
        <x:v>18</x:v>
      </x:c>
      <x:c r="E67" s="62" t="n">
        <x:v>0</x:v>
      </x:c>
      <x:c r="F67" s="47" t="str">
        <x:f>IF(ABS(C67-D67)&lt;=E67,"PASS","FAIL")</x:f>
        <x:v>PASS</x:v>
      </x:c>
    </x:row>
    <x:row r="68">
      <x:c r="A68" s="47" t="str">
        <x:v>A62</x:v>
      </x:c>
      <x:c r="B68" s="47" t="str">
        <x:v>Accepted events remain zero</x:v>
      </x:c>
      <x:c r="C68" s="62" t="n">
        <x:f>Inputs!B34</x:f>
        <x:v>0</x:v>
      </x:c>
      <x:c r="D68" s="62" t="n">
        <x:f>0</x:f>
        <x:v>0</x:v>
      </x:c>
      <x:c r="E68" s="62" t="n">
        <x:v>0</x:v>
      </x:c>
      <x:c r="F68" s="47" t="str">
        <x:f>IF(ABS(C68-D68)&lt;=E68,"PASS","FAIL")</x:f>
        <x:v>PASS</x:v>
      </x:c>
    </x:row>
    <x:row r="69">
      <x:c r="A69" s="47" t="str">
        <x:v>A63</x:v>
      </x:c>
      <x:c r="B69" s="47" t="str">
        <x:v>MAKE authority remains zero</x:v>
      </x:c>
      <x:c r="C69" s="62" t="n">
        <x:f>Inputs!B35</x:f>
        <x:v>0</x:v>
      </x:c>
      <x:c r="D69" s="62" t="n">
        <x:f>0</x:f>
        <x:v>0</x:v>
      </x:c>
      <x:c r="E69" s="62" t="n">
        <x:v>0</x:v>
      </x:c>
      <x:c r="F69" s="47" t="str">
        <x:f>IF(ABS(C69-D69)&lt;=E69,"PASS","FAIL")</x:f>
        <x:v>PASS</x:v>
      </x:c>
    </x:row>
    <x:row r="70">
      <x:c r="A70" s="47" t="str">
        <x:v>A64</x:v>
      </x:c>
      <x:c r="B70" s="47" t="str">
        <x:v>Material titles remain unvested</x:v>
      </x:c>
      <x:c r="C70" s="62" t="n">
        <x:f>Inputs!B36</x:f>
        <x:v>0</x:v>
      </x:c>
      <x:c r="D70" s="62" t="n">
        <x:f>0</x:f>
        <x:v>0</x:v>
      </x:c>
      <x:c r="E70" s="62" t="n">
        <x:v>0</x:v>
      </x:c>
      <x:c r="F70" s="47" t="str">
        <x:f>IF(ABS(C70-D70)&lt;=E70,"PASS","FAIL")</x:f>
        <x:v>PASS</x:v>
      </x:c>
    </x:row>
    <x:row r="71">
      <x:c r="A71" s="47" t="str">
        <x:v>A65</x:v>
      </x:c>
      <x:c r="B71" s="47" t="str">
        <x:v>Named sites remain zero</x:v>
      </x:c>
      <x:c r="C71" s="62" t="n">
        <x:f>Inputs!B37</x:f>
        <x:v>0</x:v>
      </x:c>
      <x:c r="D71" s="62" t="n">
        <x:f>0</x:f>
        <x:v>0</x:v>
      </x:c>
      <x:c r="E71" s="62" t="n">
        <x:v>0</x:v>
      </x:c>
      <x:c r="F71" s="47" t="str">
        <x:f>IF(ABS(C71-D71)&lt;=E71,"PASS","FAIL")</x:f>
        <x:v>PASS</x:v>
      </x:c>
    </x:row>
    <x:row r="72">
      <x:c r="A72" s="47" t="str">
        <x:v>A66</x:v>
      </x:c>
      <x:c r="B72" s="47" t="str">
        <x:v>Result releases remain zero</x:v>
      </x:c>
      <x:c r="C72" s="62" t="n">
        <x:f>Inputs!B38</x:f>
        <x:v>0</x:v>
      </x:c>
      <x:c r="D72" s="62" t="n">
        <x:f>0</x:f>
        <x:v>0</x:v>
      </x:c>
      <x:c r="E72" s="62" t="n">
        <x:v>0</x:v>
      </x:c>
      <x:c r="F72" s="47" t="str">
        <x:f>IF(ABS(C72-D72)&lt;=E72,"PASS","FAIL")</x:f>
        <x:v>PASS</x:v>
      </x:c>
    </x:row>
    <x:row r="73">
      <x:c r="A73" s="47" t="str">
        <x:v>A67</x:v>
      </x:c>
      <x:c r="B73" s="47" t="str">
        <x:v>Rendering issues remain zero</x:v>
      </x:c>
      <x:c r="C73" s="62" t="n">
        <x:f>Inputs!B39</x:f>
        <x:v>0</x:v>
      </x:c>
      <x:c r="D73" s="62" t="n">
        <x:f>0</x:f>
        <x:v>0</x:v>
      </x:c>
      <x:c r="E73" s="62" t="n">
        <x:v>0</x:v>
      </x:c>
      <x:c r="F73" s="47" t="str">
        <x:f>IF(ABS(C73-D73)&lt;=E73,"PASS","FAIL")</x:f>
        <x:v>PASS</x:v>
      </x:c>
    </x:row>
    <x:row r="74">
      <x:c r="A74" s="47" t="str">
        <x:v>A68</x:v>
      </x:c>
      <x:c r="B74" s="47" t="str">
        <x:v>Named firms remain zero</x:v>
      </x:c>
      <x:c r="C74" s="62" t="n">
        <x:f>Inputs!B40</x:f>
        <x:v>0</x:v>
      </x:c>
      <x:c r="D74" s="62" t="n">
        <x:f>0</x:f>
        <x:v>0</x:v>
      </x:c>
      <x:c r="E74" s="62" t="n">
        <x:v>0</x:v>
      </x:c>
      <x:c r="F74" s="47" t="str">
        <x:f>IF(ABS(C74-D74)&lt;=E74,"PASS","FAIL")</x:f>
        <x:v>PASS</x:v>
      </x:c>
    </x:row>
    <x:row r="75">
      <x:c r="A75" s="47" t="str">
        <x:v>A69</x:v>
      </x:c>
      <x:c r="B75" s="47" t="str">
        <x:v>MAKE-eligible serials remain zero</x:v>
      </x:c>
      <x:c r="C75" s="62" t="n">
        <x:f>Inputs!B41</x:f>
        <x:v>0</x:v>
      </x:c>
      <x:c r="D75" s="62" t="n">
        <x:f>0</x:f>
        <x:v>0</x:v>
      </x:c>
      <x:c r="E75" s="62" t="n">
        <x:v>0</x:v>
      </x:c>
      <x:c r="F75" s="47" t="str">
        <x:f>IF(ABS(C75-D75)&lt;=E75,"PASS","FAIL")</x:f>
        <x:v>PASS</x:v>
      </x:c>
    </x:row>
    <x:row r="76">
      <x:c r="A76" s="47" t="str">
        <x:v>A70</x:v>
      </x:c>
      <x:c r="B76" s="47" t="str">
        <x:v>REP-2 issues remain zero</x:v>
      </x:c>
      <x:c r="C76" s="62" t="n">
        <x:f>Inputs!B42</x:f>
        <x:v>0</x:v>
      </x:c>
      <x:c r="D76" s="62" t="n">
        <x:f>0</x:f>
        <x:v>0</x:v>
      </x:c>
      <x:c r="E76" s="62" t="n">
        <x:v>0</x:v>
      </x:c>
      <x:c r="F76" s="47" t="str">
        <x:f>IF(ABS(C76-D76)&lt;=E76,"PASS","FAIL")</x:f>
        <x:v>PASS</x:v>
      </x:c>
    </x:row>
    <x:row r="77">
      <x:c r="A77" s="47" t="str">
        <x:v>A71</x:v>
      </x:c>
      <x:c r="B77" s="47" t="str">
        <x:v>REP-4 authority remains zero</x:v>
      </x:c>
      <x:c r="C77" s="62" t="n">
        <x:f>Inputs!B43</x:f>
        <x:v>0</x:v>
      </x:c>
      <x:c r="D77" s="62" t="n">
        <x:f>0</x:f>
        <x:v>0</x:v>
      </x:c>
      <x:c r="E77" s="62" t="n">
        <x:v>0</x:v>
      </x:c>
      <x:c r="F77" s="47" t="str">
        <x:f>IF(ABS(C77-D77)&lt;=E77,"PASS","FAIL")</x:f>
        <x:v>PASS</x:v>
      </x:c>
    </x:row>
    <x:row r="78">
      <x:c r="A78" s="47" t="str">
        <x:v>A72</x:v>
      </x:c>
      <x:c r="B78" s="47" t="str">
        <x:v>Three-fixture nodes</x:v>
      </x:c>
      <x:c r="C78" s="62" t="n">
        <x:f>COUNTIFS('Site Lattice'!E7:E24,3)</x:f>
        <x:v>12</x:v>
      </x:c>
      <x:c r="D78" s="62" t="n">
        <x:f>12</x:f>
        <x:v>12</x:v>
      </x:c>
      <x:c r="E78" s="62" t="n">
        <x:v>0</x:v>
      </x:c>
      <x:c r="F78" s="47" t="str">
        <x:f>IF(ABS(C78-D78)&lt;=E78,"PASS","FAIL")</x:f>
        <x:v>PASS</x:v>
      </x:c>
    </x:row>
    <x:row r="79">
      <x:c r="A79" s="47" t="str">
        <x:v>A73</x:v>
      </x:c>
      <x:c r="B79" s="47" t="str">
        <x:v>Two-fixture nodes</x:v>
      </x:c>
      <x:c r="C79" s="62" t="n">
        <x:f>COUNTIFS('Site Lattice'!E7:E24,2)</x:f>
        <x:v>6</x:v>
      </x:c>
      <x:c r="D79" s="62" t="n">
        <x:f>6</x:f>
        <x:v>6</x:v>
      </x:c>
      <x:c r="E79" s="62" t="n">
        <x:v>0</x:v>
      </x:c>
      <x:c r="F79" s="47" t="str">
        <x:f>IF(ABS(C79-D79)&lt;=E79,"PASS","FAIL")</x:f>
        <x:v>PASS</x:v>
      </x:c>
    </x:row>
    <x:row r="80">
      <x:c r="A80" s="47" t="str">
        <x:v>A74</x:v>
      </x:c>
      <x:c r="B80" s="47" t="str">
        <x:v>All fixture cores remain uninstalled</x:v>
      </x:c>
      <x:c r="C80" s="62" t="n">
        <x:f>COUNTIFS('Fixture Lattice'!M7:M54,"PROGRAMMED / UNINSTALLED")</x:f>
        <x:v>48</x:v>
      </x:c>
      <x:c r="D80" s="62" t="n">
        <x:f>48</x:f>
        <x:v>48</x:v>
      </x:c>
      <x:c r="E80" s="62" t="n">
        <x:v>0</x:v>
      </x:c>
      <x:c r="F80" s="47" t="str">
        <x:f>IF(ABS(C80-D80)&lt;=E80,"PASS","FAIL")</x:f>
        <x:v>PASS</x:v>
      </x:c>
    </x:row>
    <x:row r="81">
      <x:c r="A81" s="47" t="str">
        <x:v>A75</x:v>
      </x:c>
      <x:c r="B81" s="47" t="str">
        <x:v>All events remain unbuilt</x:v>
      </x:c>
      <x:c r="C81" s="62" t="n">
        <x:f>COUNTIFS('Serial Schedule'!S7:S150,"PROGRAMMED / UNBUILT")</x:f>
        <x:v>144</x:v>
      </x:c>
      <x:c r="D81" s="62" t="n">
        <x:f>144</x:f>
        <x:v>144</x:v>
      </x:c>
      <x:c r="E81" s="62" t="n">
        <x:v>0</x:v>
      </x:c>
      <x:c r="F81" s="47" t="str">
        <x:f>IF(ABS(C81-D81)&lt;=E81,"PASS","FAIL")</x:f>
        <x:v>PASS</x:v>
      </x:c>
    </x:row>
  </x:sheetData>
  <x:conditionalFormatting sqref="F7:F81">
    <x:cfRule type="containsText" dxfId="90" priority="1" operator="containsText" text="HOLD"/>
    <x:cfRule type="containsText" dxfId="91" priority="2" operator="containsText" text="OPEN"/>
    <x:cfRule type="containsText" dxfId="92" priority="3" operator="containsText" text="UNBUILT"/>
    <x:cfRule type="containsText" dxfId="93" priority="4" operator="containsText" text="UNLOCATED"/>
    <x:cfRule type="containsText" dxfId="94" priority="5" operator="containsText" text="IDENTITY EMPTY"/>
    <x:cfRule type="containsText" dxfId="95" priority="6" operator="containsText" text="UNINSTALLED"/>
    <x:cfRule type="containsText" dxfId="96" priority="7" operator="containsText" text="FAIL"/>
    <x:cfRule type="containsText" dxfId="97" priority="8" operator="containsText" text="TERMINATE"/>
    <x:cfRule type="containsText" dxfId="98" priority="9" operator="containsText" text="VIOLATION"/>
  </x:conditionalFormatting>
  <x:pageMargins left="0.7" right="0.7" top="0.75" bottom="0.75" header="0.3" footer="0.3"/>
  <x:tableParts count="1">
    <x:tablePart xmlns:r="http://schemas.openxmlformats.org/officeDocument/2006/relationships" r:id="R1c7967a6518c45e7"/>
  </x:tableParts>
</x:worksheet>
</file>

<file path=xl/worksheets/sheet15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47"/>
      <x:c r="B1" s="47"/>
      <x:c r="C1" s="47"/>
      <x:c r="D1" s="47"/>
      <x:c r="E1" s="47"/>
      <x:c r="F1" s="47"/>
    </x:row>
    <x:row r="2">
      <x:c r="A2" s="55" t="str">
        <x:v>Method, interpretation and limits</x:v>
      </x:c>
      <x:c r="B2" s="47"/>
      <x:c r="C2" s="47"/>
      <x:c r="D2" s="47"/>
      <x:c r="E2" s="47"/>
      <x:c r="F2" s="47"/>
    </x:row>
    <x:row r="3">
      <x:c r="A3" s="49"/>
      <x:c r="B3" s="49"/>
      <x:c r="C3" s="49"/>
      <x:c r="D3" s="49"/>
      <x:c r="E3" s="49"/>
      <x:c r="F3" s="49"/>
    </x:row>
    <x:row r="4">
      <x:c r="A4" s="47"/>
      <x:c r="B4" s="47"/>
      <x:c r="C4" s="47"/>
      <x:c r="D4" s="47"/>
      <x:c r="E4" s="47"/>
      <x:c r="F4" s="47"/>
    </x:row>
    <x:row r="5">
      <x:c r="A5" s="47"/>
      <x:c r="B5" s="47"/>
      <x:c r="C5" s="47"/>
      <x:c r="D5" s="47"/>
      <x:c r="E5" s="47"/>
      <x:c r="F5" s="47"/>
    </x:row>
    <x:row r="6" ht="34" customHeight="1">
      <x:c r="A6" s="15" t="str">
        <x:v>Topic</x:v>
      </x:c>
      <x:c r="B6" s="15" t="str">
        <x:v>Explanation</x:v>
      </x:c>
      <x:c r="C6" s="47"/>
      <x:c r="D6" s="47"/>
      <x:c r="E6" s="47"/>
      <x:c r="F6" s="47"/>
    </x:row>
    <x:row r="7">
      <x:c r="A7" s="47" t="str">
        <x:v>Decision</x:v>
      </x:c>
      <x:c r="B7" s="51" t="str">
        <x:v>CTL-1 defines the physical topology, fixture crossover, six event epochs, reserve capacity, public clock, workload and planned cash sequence for cohort one.</x:v>
      </x:c>
      <x:c r="C7" s="47"/>
      <x:c r="D7" s="47"/>
      <x:c r="E7" s="47"/>
      <x:c r="F7" s="47"/>
    </x:row>
    <x:row r="8">
      <x:c r="A8" s="47" t="str">
        <x:v>Reader</x:v>
      </x:c>
      <x:c r="B8" s="51" t="str">
        <x:v>Department acquisition, Proving Service, metrology, receiver, safety, fiscal, archive and validity authorities.</x:v>
      </x:c>
      <x:c r="C8" s="47"/>
      <x:c r="D8" s="47"/>
      <x:c r="E8" s="47"/>
      <x:c r="F8" s="47"/>
    </x:row>
    <x:row r="9">
      <x:c r="A9" s="47" t="str">
        <x:v>Topology</x:v>
      </x:c>
      <x:c r="B9" s="51" t="str">
        <x:v>Six form-native federations contain three anonymous site slots each. The slots are design objects; no actual geography, site or operator is asserted.</x:v>
      </x:c>
      <x:c r="C9" s="47"/>
      <x:c r="D9" s="47"/>
      <x:c r="E9" s="47"/>
      <x:c r="F9" s="47"/>
    </x:row>
    <x:row r="10">
      <x:c r="A10" s="47" t="str">
        <x:v>Fixtures</x:v>
      </x:c>
      <x:c r="B10" s="51" t="str">
        <x:v>Each of twenty-four technology orders retains two public fixture cores on different primary nodes and one third-node relocation route.</x:v>
      </x:c>
      <x:c r="C10" s="47"/>
      <x:c r="D10" s="47"/>
      <x:c r="E10" s="47"/>
      <x:c r="F10" s="47"/>
    </x:row>
    <x:row r="11">
      <x:c r="A11" s="47" t="str">
        <x:v>Serial balance</x:v>
      </x:c>
      <x:c r="B11" s="51" t="str">
        <x:v>A six-by-six Latin square places one event from every order in every epoch and balances six serial classes across calendar position.</x:v>
      </x:c>
      <x:c r="C11" s="47"/>
      <x:c r="D11" s="47"/>
      <x:c r="E11" s="47"/>
      <x:c r="F11" s="47"/>
    </x:row>
    <x:row r="12">
      <x:c r="A12" s="47" t="str">
        <x:v>Windows</x:v>
      </x:c>
      <x:c r="B12" s="51" t="str">
        <x:v>Every epoch contains four six-week live windows and an eight-week reset. Six simultaneous events use six different sites.</x:v>
      </x:c>
      <x:c r="C12" s="47"/>
      <x:c r="D12" s="47"/>
      <x:c r="E12" s="47"/>
      <x:c r="F12" s="47"/>
    </x:row>
    <x:row r="13">
      <x:c r="A13" s="47" t="str">
        <x:v>Schedule</x:v>
      </x:c>
      <x:c r="B13" s="51" t="str">
        <x:v>The planning horizon is 312 weeks: 104 weeks of preactivation, six 32-week epochs and sixteen weeks of closeout.</x:v>
      </x:c>
      <x:c r="C13" s="47"/>
      <x:c r="D13" s="47"/>
      <x:c r="E13" s="47"/>
      <x:c r="F13" s="47"/>
    </x:row>
    <x:row r="14">
      <x:c r="A14" s="47" t="str">
        <x:v>Reserve</x:v>
      </x:c>
      <x:c r="B14" s="51" t="str">
        <x:v>The 432 node-window estate uses 144 and retains 288 dormant windows. Dormant capacity permits holds and requalification, not automatic retry.</x:v>
      </x:c>
      <x:c r="C14" s="47"/>
      <x:c r="D14" s="47"/>
      <x:c r="E14" s="47"/>
      <x:c r="F14" s="47"/>
    </x:row>
    <x:row r="15">
      <x:c r="A15" s="47" t="str">
        <x:v>Loss</x:v>
      </x:c>
      <x:c r="B15" s="51" t="str">
        <x:v>Every one of 108 site-loss by epoch cases can move affected fixture events to third-node destinations without co-locating the paired fixture or exceeding four windows per destination.</x:v>
      </x:c>
      <x:c r="C15" s="47"/>
      <x:c r="D15" s="47"/>
      <x:c r="E15" s="47"/>
      <x:c r="F15" s="47"/>
    </x:row>
    <x:row r="16">
      <x:c r="A16" s="47" t="str">
        <x:v>Disclosure</x:v>
      </x:c>
      <x:c r="B16" s="51" t="str">
        <x:v>Performance remains sealed to campaign close. Source-blind safety burdens may cross the embargo under the inherited root-epoch protocol.</x:v>
      </x:c>
      <x:c r="C16" s="47"/>
      <x:c r="D16" s="47"/>
      <x:c r="E16" s="47"/>
      <x:c r="F16" s="47"/>
    </x:row>
    <x:row r="17">
      <x:c r="A17" s="47" t="str">
        <x:v>Finance</x:v>
      </x:c>
      <x:c r="B17" s="51" t="str">
        <x:v>The USD25.0B exposure remains inside four purpose-bound jurisdictions. Phase shares are predetermined and outcome-contingent release is zero. This workbook creates no obligation.</x:v>
      </x:c>
      <x:c r="C17" s="47"/>
      <x:c r="D17" s="47"/>
      <x:c r="E17" s="47"/>
      <x:c r="F17" s="47"/>
    </x:row>
    <x:row r="18">
      <x:c r="A18" s="47" t="str">
        <x:v>Workforce</x:v>
      </x:c>
      <x:c r="B18" s="51" t="str">
        <x:v>Average and peak direct-position equivalents divide existing exposure by the six-year horizon and USD0.650M per position-year. They are workload screens, not jobs or billets.</x:v>
      </x:c>
      <x:c r="C18" s="47"/>
      <x:c r="D18" s="47"/>
      <x:c r="E18" s="47"/>
      <x:c r="F18" s="47"/>
    </x:row>
    <x:row r="19">
      <x:c r="A19" s="47" t="str">
        <x:v>Duty cells</x:v>
      </x:c>
      <x:c r="B19" s="51" t="str">
        <x:v>The 354 separation cells are accountable control appointments, not additive headcount. Actual identities, occupations and credential sources remain unassigned.</x:v>
      </x:c>
      <x:c r="C19" s="47"/>
      <x:c r="D19" s="47"/>
      <x:c r="E19" s="47"/>
      <x:c r="F19" s="47"/>
    </x:row>
    <x:row r="20">
      <x:c r="A20" s="47" t="str">
        <x:v>Precision</x:v>
      </x:c>
      <x:c r="B20" s="51" t="str">
        <x:v>Report quantities use at most three significant figures. Workbook cells retain direct arithmetic needed for reconciliation.</x:v>
      </x:c>
      <x:c r="C20" s="47"/>
      <x:c r="D20" s="47"/>
      <x:c r="E20" s="47"/>
      <x:c r="F20" s="47"/>
    </x:row>
    <x:row r="21">
      <x:c r="A21" s="47" t="str">
        <x:v>Current state</x:v>
      </x:c>
      <x:c r="B21" s="51" t="str">
        <x:v>All sites, firms, titles, articles, events, observations and results remain empty, zero, unbuilt or unissued.</x:v>
      </x:c>
      <x:c r="C21" s="47"/>
      <x:c r="D21" s="47"/>
      <x:c r="E21" s="47"/>
      <x:c r="F21" s="47"/>
    </x:row>
    <x:row r="22">
      <x:c r="A22" s="47" t="str">
        <x:v>Rendering</x:v>
      </x:c>
      <x:c r="B22" s="51" t="str">
        <x:v>No rendering is issued. Campaign topology does not establish as-built form or authorize REP-4.</x:v>
      </x:c>
      <x:c r="C22" s="47"/>
      <x:c r="D22" s="47"/>
      <x:c r="E22" s="47"/>
      <x:c r="F22" s="47"/>
    </x:row>
    <x:row r="23">
      <x:c r="A23" s="47" t="str">
        <x:v>Next branch item</x:v>
      </x:c>
      <x:c r="B23" s="51" t="str">
        <x:v>Define the simultaneous MAKE slate, material-title transaction, contract lots, payment firewall, construction acceptance and cancellation law.</x:v>
      </x:c>
      <x:c r="C23" s="47"/>
      <x:c r="D23" s="47"/>
      <x:c r="E23" s="47"/>
      <x:c r="F23" s="47"/>
    </x:row>
    <x:row r="24">
      <x:c r="A24" s="47" t="str">
        <x:v>Internal basis</x:v>
      </x:c>
      <x:c r="B24" s="51" t="str">
        <x:v>FR-04, EDR-1, EDB-TC, AIP-1, PIL-1, AVA-TC and the federated public-method grid.</x:v>
      </x:c>
      <x:c r="C24" s="47"/>
      <x:c r="D24" s="47"/>
      <x:c r="E24" s="47"/>
      <x:c r="F24" s="47"/>
    </x:row>
    <x:row r="25">
      <x:c r="A25" s="47" t="str">
        <x:v>Workbook flow</x:v>
      </x:c>
      <x:c r="B25" s="51" t="str">
        <x:v>Inputs feed schedules, capacity, workload and fiscal formulas. Audit observes them independently; no output depends on Audit.</x:v>
      </x:c>
      <x:c r="C25" s="47"/>
      <x:c r="D25" s="47"/>
      <x:c r="E25" s="47"/>
      <x:c r="F25" s="47"/>
    </x:row>
    <x:row r="26">
      <x:c r="A26" s="47" t="str">
        <x:v>Mutation protocol</x:v>
      </x:c>
      <x:c r="B26" s="51" t="str">
        <x:v>Twenty-six input changes were applied one at a time, required to fail the named audit and restored before export.</x:v>
      </x:c>
      <x:c r="C26" s="47"/>
      <x:c r="D26" s="47"/>
      <x:c r="E26" s="47"/>
      <x:c r="F26" s="47"/>
    </x:row>
    <x:row r="27">
      <x:c r="A27" s="47" t="str">
        <x:v>Limit</x:v>
      </x:c>
      <x:c r="B27" s="51" t="str">
        <x:v>This is an executable planning constitution, not a site decision, appropriation, contract, build, physical observation, accepted evidence, selected vehicle or forecast.</x:v>
      </x:c>
      <x:c r="C27" s="47"/>
      <x:c r="D27" s="47"/>
      <x:c r="E27" s="47"/>
      <x:c r="F27" s="47"/>
    </x:row>
  </x:sheetData>
  <x:pageMargins left="0.7" right="0.7" top="0.75" bottom="0.75" header="0.3" footer="0.3"/>
  <x:tableParts count="1">
    <x:tablePart xmlns:r="http://schemas.openxmlformats.org/officeDocument/2006/relationships" r:id="Rfb28cb0fba66413f"/>
  </x:tableParts>
</x:worksheet>
</file>