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964264ecd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323653be72405c"/>
    <x:sheet xmlns:r="http://schemas.openxmlformats.org/officeDocument/2006/relationships" name="Inputs" sheetId="2" r:id="Rd907b44ada4d4efc"/>
    <x:sheet xmlns:r="http://schemas.openxmlformats.org/officeDocument/2006/relationships" name="Capsule Register" sheetId="3" r:id="R80d22771fd9e4389"/>
    <x:sheet xmlns:r="http://schemas.openxmlformats.org/officeDocument/2006/relationships" name="Invariant Grammar" sheetId="4" r:id="R27c3246dc3d441b7"/>
    <x:sheet xmlns:r="http://schemas.openxmlformats.org/officeDocument/2006/relationships" name="Native Replay" sheetId="5" r:id="R0b6ad34237f149cf"/>
    <x:sheet xmlns:r="http://schemas.openxmlformats.org/officeDocument/2006/relationships" name="Clean Rebuild" sheetId="6" r:id="R72b5c3c29cff4c0c"/>
    <x:sheet xmlns:r="http://schemas.openxmlformats.org/officeDocument/2006/relationships" name="Semantic Compare" sheetId="7" r:id="Reb69b1be5f4f49ea"/>
    <x:sheet xmlns:r="http://schemas.openxmlformats.org/officeDocument/2006/relationships" name="Knowledge Firewall" sheetId="8" r:id="Reb5275b4018043ed"/>
    <x:sheet xmlns:r="http://schemas.openxmlformats.org/officeDocument/2006/relationships" name="State Law" sheetId="9" r:id="Rfdf75337f30943a3"/>
    <x:sheet xmlns:r="http://schemas.openxmlformats.org/officeDocument/2006/relationships" name="Mutations" sheetId="10" r:id="Re5998264eb8a4141"/>
    <x:sheet xmlns:r="http://schemas.openxmlformats.org/officeDocument/2006/relationships" name="Audit" sheetId="11" r:id="R8751c4f988aa45cb"/>
    <x:sheet xmlns:r="http://schemas.openxmlformats.org/officeDocument/2006/relationships" name="ReadMe" sheetId="12" r:id="Rd7793226a0c0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.0"/>
    <x:numFmt numFmtId="201" formatCode="0.000000"/>
    <x:numFmt numFmtId="202" formatCode="$#,##0.000"/>
    <x:numFmt numFmtId="203" formatCode="0.0%"/>
    <x:numFmt numFmtId="204" formatCode="$#,##0.00"/>
    <x:numFmt numFmtId="205" formatCode="0.0"/>
  </x:numFmts>
  <x:fonts count="13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17365D"/>
      <x:name val="Arial"/>
    </x:font>
    <x:font>
      <x:sz val="9"/>
      <x:color rgb="FF0000FF"/>
      <x:name val="Arial"/>
    </x:font>
    <x:font>
      <x:b/>
      <x:sz val="9"/>
      <x:color rgb="FFFFFFFF"/>
      <x:name val="Arial"/>
    </x:font>
    <x:font>
      <x:sz val="9"/>
      <x:color rgb="FF1F2937"/>
      <x:name val="Arial"/>
    </x:font>
    <x:font>
      <x:b/>
      <x:sz val="9"/>
      <x:color rgb="FF1F2937"/>
      <x:name val="Arial"/>
    </x:font>
    <x:font>
      <x:sz val="9"/>
      <x:color rgb="FF008000"/>
      <x:name val="Arial"/>
    </x:font>
    <x:font>
      <x:b/>
      <x:sz val="11"/>
      <x:color rgb="FFFFFFFF"/>
      <x:name val="Arial"/>
    </x:font>
    <x:font>
      <x:b/>
      <x:sz val="13"/>
      <x:color rgb="FF1F2937"/>
      <x:name val="Arial"/>
    </x:font>
    <x:font>
      <x:b/>
      <x:sz val="9"/>
      <x:color rgb="FF17365D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9">
    <x:border/>
    <x:border>
      <x:bottom style="thin">
        <x:color rgb="FF1F4E78"/>
      </x:bottom>
    </x:border>
    <x:border>
      <x:left style="thin">
        <x:color rgb="FFA6B7C8"/>
      </x:left>
      <x:top style="thin">
        <x:color rgb="FFA6B7C8"/>
      </x:top>
      <x:bottom style="thin">
        <x:color rgb="FFA6B7C8"/>
      </x:bottom>
    </x:border>
    <x:border>
      <x:top style="thin">
        <x:color rgb="FFA6B7C8"/>
      </x:top>
      <x:bottom style="thin">
        <x:color rgb="FFA6B7C8"/>
      </x:bottom>
    </x:border>
    <x:border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top style="double">
        <x:color rgb="FF17365D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6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0" fontId="7" fillId="2" borderId="3" xfId="0" applyNumberFormat="1" applyFont="1" applyFill="1" applyBorder="1" applyAlignment="1">
      <x:alignment vertical="center"/>
    </x:xf>
    <x:xf numFmtId="0" fontId="7" fillId="2" borderId="4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47ff9fd7a4a22" /><Relationship Type="http://schemas.openxmlformats.org/officeDocument/2006/relationships/theme" Target="/xl/theme/theme1.xml" Id="Rb879405d8eaf41e8" /><Relationship Type="http://schemas.openxmlformats.org/officeDocument/2006/relationships/sharedStrings" Target="/xl/sharedStrings.xml" Id="Re5658623140a4632" /><Relationship Type="http://schemas.openxmlformats.org/officeDocument/2006/relationships/worksheet" Target="/xl/worksheets/sheet1.xml" Id="R36323653be72405c" /><Relationship Type="http://schemas.openxmlformats.org/officeDocument/2006/relationships/worksheet" Target="/xl/worksheets/sheet2.xml" Id="Rd907b44ada4d4efc" /><Relationship Type="http://schemas.openxmlformats.org/officeDocument/2006/relationships/worksheet" Target="/xl/worksheets/sheet3.xml" Id="R80d22771fd9e4389" /><Relationship Type="http://schemas.openxmlformats.org/officeDocument/2006/relationships/worksheet" Target="/xl/worksheets/sheet4.xml" Id="R27c3246dc3d441b7" /><Relationship Type="http://schemas.openxmlformats.org/officeDocument/2006/relationships/worksheet" Target="/xl/worksheets/sheet5.xml" Id="R0b6ad34237f149cf" /><Relationship Type="http://schemas.openxmlformats.org/officeDocument/2006/relationships/worksheet" Target="/xl/worksheets/sheet6.xml" Id="R72b5c3c29cff4c0c" /><Relationship Type="http://schemas.openxmlformats.org/officeDocument/2006/relationships/worksheet" Target="/xl/worksheets/sheet7.xml" Id="Reb69b1be5f4f49ea" /><Relationship Type="http://schemas.openxmlformats.org/officeDocument/2006/relationships/worksheet" Target="/xl/worksheets/sheet8.xml" Id="Reb5275b4018043ed" /><Relationship Type="http://schemas.openxmlformats.org/officeDocument/2006/relationships/worksheet" Target="/xl/worksheets/sheet9.xml" Id="Rfdf75337f30943a3" /><Relationship Type="http://schemas.openxmlformats.org/officeDocument/2006/relationships/worksheet" Target="/xl/worksheets/sheet10.xml" Id="Re5998264eb8a4141" /><Relationship Type="http://schemas.openxmlformats.org/officeDocument/2006/relationships/worksheet" Target="/xl/worksheets/sheet11.xml" Id="R8751c4f988aa45cb" /><Relationship Type="http://schemas.openxmlformats.org/officeDocument/2006/relationships/worksheet" Target="/xl/worksheets/sheet12.xml" Id="Rd7793226a0c04a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18d9976da144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Public reconstructability estate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Ceiling</c:v>
          </c:tx>
          <c:spPr>
            <a:solidFill xmlns:a="http://schemas.openxmlformats.org/drawingml/2006/main">
              <a:srgbClr val="0F6B78"/>
            </a:solidFill>
          </c:spPr>
          <c:cat>
            <c:strRef>
              <c:f>'Summary'!$A$27:$A$33</c:f>
              <c:strCache>
                <c:ptCount val="0"/>
              </c:strCache>
            </c:strRef>
          </c:cat>
          <c:val>
            <c:numRef>
              <c:f>'Summary'!$B$27:$B$33</c:f>
              <c:numCache>
                <c:formatCode>$#,##0.0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6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18d9976da1442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2f8aef426f4a7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4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2">
      <x:c r="A2" s="83" t="str">
        <x:v>Source Capsule and Dual Reconstruction Grammar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Pass 232 decision model. Reproducibility requires two unlike reconstruction paths and never becomes physical proof.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87" t="str">
        <x:v>DECISION: ADOPT DRG-1 AS THE PUBLIC RECONSTRUCTABILITY STANDARD</x:v>
      </x:c>
      <x:c r="B6" s="87"/>
      <x:c r="C6" s="87"/>
      <x:c r="D6" s="87"/>
      <x:c r="E6" s="87"/>
      <x:c r="F6" s="87"/>
      <x:c r="G6" s="87"/>
      <x:c r="H6" s="84"/>
      <x:c r="I6" s="84"/>
      <x:c r="J6" s="84"/>
      <x:c r="K6" s="84"/>
      <x:c r="L6" s="84"/>
      <x:c r="M6" s="84"/>
      <x:c r="N6" s="84"/>
    </x:row>
    <x:row r="7">
      <x:c r="A7" s="84"/>
      <x:c r="B7" s="84"/>
      <x:c r="C7" s="84"/>
      <x:c r="D7" s="84"/>
      <x:c r="E7" s="84"/>
      <x:c r="F7" s="84"/>
      <x:c r="G7" s="84"/>
      <x:c r="H7" s="84"/>
      <x:c r="I7" s="84"/>
      <x:c r="J7" s="84"/>
      <x:c r="K7" s="84"/>
      <x:c r="L7" s="84"/>
      <x:c r="M7" s="84"/>
      <x:c r="N7" s="84"/>
    </x:row>
    <x:row r="8">
      <x:c r="A8" s="25" t="str">
        <x:v>Packages</x:v>
      </x:c>
      <x:c r="B8" s="26" t="str">
        <x:v>Capsule fields</x:v>
      </x:c>
      <x:c r="C8" s="26" t="str">
        <x:v>Invariants</x:v>
      </x:c>
      <x:c r="D8" s="26" t="str">
        <x:v>Native stages</x:v>
      </x:c>
      <x:c r="E8" s="26" t="str">
        <x:v>Clean stages</x:v>
      </x:c>
      <x:c r="F8" s="26" t="str">
        <x:v>Reproducible</x:v>
      </x:c>
      <x:c r="G8" s="27" t="str">
        <x:v>Physical evidence</x:v>
      </x:c>
      <x:c r="H8" s="84"/>
      <x:c r="I8" s="84"/>
      <x:c r="J8" s="84"/>
      <x:c r="K8" s="84"/>
      <x:c r="L8" s="84"/>
      <x:c r="M8" s="84"/>
      <x:c r="N8" s="84"/>
    </x:row>
    <x:row r="9">
      <x:c r="A9" s="88" t="n">
        <x:f>COUNTA('Semantic Compare'!A7:A36)</x:f>
        <x:v>30</x:v>
      </x:c>
      <x:c r="B9" s="88" t="n">
        <x:f>COUNTA('Capsule Register'!A7:A546)</x:f>
        <x:v>540</x:v>
      </x:c>
      <x:c r="C9" s="88" t="n">
        <x:f>COUNTA('Invariant Grammar'!A7:A186)</x:f>
        <x:v>180</x:v>
      </x:c>
      <x:c r="D9" s="88" t="n">
        <x:f>COUNTA('Native Replay'!A7:A246)</x:f>
        <x:v>240</x:v>
      </x:c>
      <x:c r="E9" s="88" t="n">
        <x:f>COUNTA('Clean Rebuild'!A7:A306)</x:f>
        <x:v>300</x:v>
      </x:c>
      <x:c r="F9" s="88" t="n">
        <x:f>COUNTIF('Semantic Compare'!N7:N36,"REPRODUCIBLE")</x:f>
        <x:v>0</x:v>
      </x:c>
      <x:c r="G9" s="88" t="n">
        <x:f>Inputs!B16</x:f>
        <x:v>0</x:v>
      </x:c>
      <x:c r="H9" s="84"/>
      <x:c r="I9" s="84"/>
      <x:c r="J9" s="84"/>
      <x:c r="K9" s="84"/>
      <x:c r="L9" s="84"/>
      <x:c r="M9" s="84"/>
      <x:c r="N9" s="84"/>
    </x:row>
    <x:row r="10">
      <x:c r="A10" s="84"/>
      <x:c r="B10" s="84"/>
      <x:c r="C10" s="84"/>
      <x:c r="D10" s="84"/>
      <x:c r="E10" s="84"/>
      <x:c r="F10" s="84"/>
      <x:c r="G10" s="84"/>
      <x:c r="H10" s="84"/>
      <x:c r="I10" s="84"/>
      <x:c r="J10" s="84"/>
      <x:c r="K10" s="84"/>
      <x:c r="L10" s="84"/>
      <x:c r="M10" s="84"/>
      <x:c r="N10" s="84"/>
    </x:row>
    <x:row r="11">
      <x:c r="A11" s="84"/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</x:row>
    <x:row r="12">
      <x:c r="A12" s="84"/>
      <x:c r="B12" s="84"/>
      <x:c r="C12" s="84"/>
      <x:c r="D12" s="84"/>
      <x:c r="E12" s="84"/>
      <x:c r="F12" s="84"/>
      <x:c r="G12" s="84"/>
      <x:c r="H12" s="84"/>
      <x:c r="I12" s="84"/>
      <x:c r="J12" s="84"/>
      <x:c r="K12" s="84"/>
      <x:c r="L12" s="84"/>
      <x:c r="M12" s="84"/>
      <x:c r="N12" s="84"/>
    </x:row>
    <x:row r="13">
      <x:c r="A13" s="89" t="str">
        <x:v>Two-path acceptance law</x:v>
      </x:c>
      <x:c r="B13" s="90" t="str">
        <x:v>Two-path acceptance law</x:v>
      </x:c>
      <x:c r="C13" s="90" t="str">
        <x:v>Two-path acceptance law</x:v>
      </x:c>
      <x:c r="D13" s="90" t="str">
        <x:v>Two-path acceptance law</x:v>
      </x:c>
      <x:c r="E13" s="90" t="str">
        <x:v>Two-path acceptance law</x:v>
      </x:c>
      <x:c r="F13" s="90" t="str">
        <x:v>Two-path acceptance law</x:v>
      </x:c>
      <x:c r="G13" s="91" t="str">
        <x:v>Two-path acceptance law</x:v>
      </x:c>
      <x:c r="H13" s="84"/>
      <x:c r="I13" s="84"/>
      <x:c r="J13" s="84"/>
      <x:c r="K13" s="84"/>
      <x:c r="L13" s="84"/>
      <x:c r="M13" s="84"/>
      <x:c r="N13" s="84"/>
    </x:row>
    <x:row r="14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  <x:c r="K14" s="84"/>
      <x:c r="L14" s="84"/>
      <x:c r="M14" s="84"/>
      <x:c r="N14" s="84"/>
    </x:row>
    <x:row r="15" ht="30" customHeight="1">
      <x:c r="A15" s="69" t="str">
        <x:v>1</x:v>
      </x:c>
      <x:c r="B15" s="70" t="str">
        <x:v>Native replay reproduces the sealed original in its own environment; it tests determinism, not independence.</x:v>
      </x:c>
      <x:c r="C15" s="70"/>
      <x:c r="D15" s="70"/>
      <x:c r="E15" s="70"/>
      <x:c r="F15" s="70"/>
      <x:c r="G15" s="70"/>
      <x:c r="H15" s="84"/>
      <x:c r="I15" s="84"/>
      <x:c r="J15" s="84"/>
      <x:c r="K15" s="84"/>
      <x:c r="L15" s="84"/>
      <x:c r="M15" s="84"/>
      <x:c r="N15" s="84"/>
    </x:row>
    <x:row r="16" ht="30" customHeight="1">
      <x:c r="A16" s="69" t="str">
        <x:v>2</x:v>
      </x:c>
      <x:c r="B16" s="70" t="str">
        <x:v>Clean reconstruction uses disjoint people, control and tools; it commits results before native output is revealed.</x:v>
      </x:c>
      <x:c r="C16" s="70"/>
      <x:c r="D16" s="70"/>
      <x:c r="E16" s="70"/>
      <x:c r="F16" s="70"/>
      <x:c r="G16" s="70"/>
      <x:c r="H16" s="84"/>
      <x:c r="I16" s="84"/>
      <x:c r="J16" s="84"/>
      <x:c r="K16" s="84"/>
      <x:c r="L16" s="84"/>
      <x:c r="M16" s="84"/>
      <x:c r="N16" s="84"/>
    </x:row>
    <x:row r="17" ht="30" customHeight="1">
      <x:c r="A17" s="69" t="str">
        <x:v>3</x:v>
      </x:c>
      <x:c r="B17" s="70" t="str">
        <x:v>Comparison is semantic across six invariants. Bit identity is neither required nor sufficient.</x:v>
      </x:c>
      <x:c r="C17" s="70"/>
      <x:c r="D17" s="70"/>
      <x:c r="E17" s="70"/>
      <x:c r="F17" s="70"/>
      <x:c r="G17" s="70"/>
      <x:c r="H17" s="84"/>
      <x:c r="I17" s="84"/>
      <x:c r="J17" s="84"/>
      <x:c r="K17" s="84"/>
      <x:c r="L17" s="84"/>
      <x:c r="M17" s="84"/>
      <x:c r="N17" s="84"/>
    </x:row>
    <x:row r="18" ht="30" customHeight="1">
      <x:c r="A18" s="69" t="str">
        <x:v>4</x:v>
      </x:c>
      <x:c r="B18" s="70" t="str">
        <x:v>The kernel standardizes identity, units, interfaces, uncertainty, causal trace and civic obligations only.</x:v>
      </x:c>
      <x:c r="C18" s="70"/>
      <x:c r="D18" s="70"/>
      <x:c r="E18" s="70"/>
      <x:c r="F18" s="70"/>
      <x:c r="G18" s="70"/>
      <x:c r="H18" s="84"/>
      <x:c r="I18" s="84"/>
      <x:c r="J18" s="84"/>
      <x:c r="K18" s="84"/>
      <x:c r="L18" s="84"/>
      <x:c r="M18" s="84"/>
      <x:c r="N18" s="84"/>
    </x:row>
    <x:row r="19" ht="30" customHeight="1">
      <x:c r="A19" s="69" t="str">
        <x:v>5</x:v>
      </x:c>
      <x:c r="B19" s="70" t="str">
        <x:v>Solver, algorithm, geometry, controller and predicted performance remain root-native and protected.</x:v>
      </x:c>
      <x:c r="C19" s="70"/>
      <x:c r="D19" s="70"/>
      <x:c r="E19" s="70"/>
      <x:c r="F19" s="70"/>
      <x:c r="G19" s="70"/>
      <x:c r="H19" s="84"/>
      <x:c r="I19" s="84"/>
      <x:c r="J19" s="84"/>
      <x:c r="K19" s="84"/>
      <x:c r="L19" s="84"/>
      <x:c r="M19" s="84"/>
      <x:c r="N19" s="84"/>
    </x:row>
    <x:row r="20" ht="30" customHeight="1">
      <x:c r="A20" s="69" t="str">
        <x:v>6</x:v>
      </x:c>
      <x:c r="B20" s="70" t="str">
        <x:v>Leakage, shared control or a required common solver terminates the affected cell; reconstruction still creates no observation.</x:v>
      </x:c>
      <x:c r="C20" s="70"/>
      <x:c r="D20" s="70"/>
      <x:c r="E20" s="70"/>
      <x:c r="F20" s="70"/>
      <x:c r="G20" s="70"/>
      <x:c r="H20" s="84"/>
      <x:c r="I20" s="84"/>
      <x:c r="J20" s="84"/>
      <x:c r="K20" s="84"/>
      <x:c r="L20" s="84"/>
      <x:c r="M20" s="84"/>
      <x:c r="N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  <x:c r="K23" s="84"/>
      <x:c r="L23" s="84"/>
      <x:c r="M23" s="84"/>
      <x:c r="N23" s="84"/>
    </x:row>
    <x:row r="24">
      <x:c r="A24" s="89" t="str">
        <x:v>Public technical estate allocation (USD millions)</x:v>
      </x:c>
      <x:c r="B24" s="90" t="str">
        <x:v>Public technical estate allocation (USD millions)</x:v>
      </x:c>
      <x:c r="C24" s="90" t="str">
        <x:v>Public technical estate allocation (USD millions)</x:v>
      </x:c>
      <x:c r="D24" s="90" t="str">
        <x:v>Public technical estate allocation (USD millions)</x:v>
      </x:c>
      <x:c r="E24" s="90" t="str">
        <x:v>Public technical estate allocation (USD millions)</x:v>
      </x:c>
      <x:c r="F24" s="90" t="str">
        <x:v>Public technical estate allocation (USD millions)</x:v>
      </x:c>
      <x:c r="G24" s="91" t="str">
        <x:v>Public technical estate allocation (USD millions)</x:v>
      </x:c>
      <x:c r="H24" s="84"/>
      <x:c r="I24" s="84"/>
      <x:c r="J24" s="84"/>
      <x:c r="K24" s="84"/>
      <x:c r="L24" s="84"/>
      <x:c r="M24" s="84"/>
      <x:c r="N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</x:row>
    <x:row r="26">
      <x:c r="A26" s="25" t="str">
        <x:v>Function</x:v>
      </x:c>
      <x:c r="B26" s="27" t="str">
        <x:v>Ceiling</x:v>
      </x:c>
      <x:c r="C26" s="84"/>
      <x:c r="D26" s="84"/>
      <x:c r="E26" s="84"/>
      <x:c r="F26" s="84"/>
      <x:c r="G26" s="84"/>
      <x:c r="H26" s="84"/>
      <x:c r="I26" s="84"/>
      <x:c r="J26" s="84"/>
      <x:c r="K26" s="84"/>
      <x:c r="L26" s="84"/>
      <x:c r="M26" s="84"/>
      <x:c r="N26" s="84"/>
    </x:row>
    <x:row r="27">
      <x:c r="A27" s="47" t="str">
        <x:f>Inputs!C30</x:f>
        <x:v>Clean-room rebuild cells</x:v>
      </x:c>
      <x:c r="B27" s="73" t="n">
        <x:f>Inputs!E30</x:f>
        <x:v>14.797750000000002</x:v>
      </x:c>
      <x:c r="C27" s="84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</x:row>
    <x:row r="28">
      <x:c r="A28" s="47" t="str">
        <x:f>Inputs!C31</x:f>
        <x:v>Root-native instruments and qualification</x:v>
      </x:c>
      <x:c r="B28" s="73" t="n">
        <x:f>Inputs!E31</x:f>
        <x:v>6.72625</x:v>
      </x:c>
      <x:c r="C28" s="84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</x:row>
    <x:row r="29">
      <x:c r="A29" s="47" t="str">
        <x:f>Inputs!C32</x:f>
        <x:v>Divergence reserve</x:v>
      </x:c>
      <x:c r="B29" s="73" t="n">
        <x:f>Inputs!E32</x:f>
        <x:v>5.381</x:v>
      </x:c>
      <x:c r="C29" s="84"/>
      <x:c r="D29" s="84"/>
      <x:c r="E29" s="84"/>
      <x:c r="F29" s="84"/>
      <x:c r="G29" s="84"/>
      <x:c r="H29" s="84"/>
      <x:c r="I29" s="84"/>
      <x:c r="J29" s="84"/>
      <x:c r="K29" s="84"/>
      <x:c r="L29" s="84"/>
      <x:c r="M29" s="84"/>
      <x:c r="N29" s="84"/>
    </x:row>
    <x:row r="30">
      <x:c r="A30" s="47" t="str">
        <x:f>Inputs!C33</x:f>
        <x:v>Public Artifact Exchange</x:v>
      </x:c>
      <x:c r="B30" s="73" t="n">
        <x:f>Inputs!E33</x:f>
        <x:v>6.457199999985001</x:v>
      </x:c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</x:row>
    <x:row r="31">
      <x:c r="A31" s="47" t="str">
        <x:f>Inputs!C34</x:f>
        <x:v>Disconnected archive</x:v>
      </x:c>
      <x:c r="B31" s="73" t="n">
        <x:f>Inputs!E34</x:f>
        <x:v>4.30479999999</x:v>
      </x:c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</x:row>
    <x:row r="32">
      <x:c r="A32" s="47" t="str">
        <x:f>Inputs!C35</x:f>
        <x:v>Cryptographic lineage</x:v>
      </x:c>
      <x:c r="B32" s="73" t="n">
        <x:f>Inputs!E35</x:f>
        <x:v>2.152399999995</x:v>
      </x:c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</x:row>
    <x:row r="33">
      <x:c r="A33" s="47" t="str">
        <x:f>Inputs!C36</x:f>
        <x:v>Semantic kernel stewardship</x:v>
      </x:c>
      <x:c r="B33" s="73" t="n">
        <x:f>Inputs!E36</x:f>
        <x:v>1.43493333333</x:v>
      </x:c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4"/>
      <x:c r="N33" s="84"/>
    </x:row>
    <x:row r="34">
      <x:c r="A34" s="76" t="str">
        <x:v>Total</x:v>
      </x:c>
      <x:c r="B34" s="77" t="n">
        <x:f>SUM(B27:B33)</x:f>
        <x:v>41.2543333333</x:v>
      </x:c>
      <x:c r="C34" s="84"/>
      <x:c r="D34" s="84"/>
      <x:c r="E34" s="84"/>
      <x:c r="F34" s="84"/>
      <x:c r="G34" s="84"/>
      <x:c r="H34" s="84"/>
      <x:c r="I34" s="84"/>
      <x:c r="J34" s="84"/>
      <x:c r="K34" s="84"/>
      <x:c r="L34" s="84"/>
      <x:c r="M34" s="84"/>
      <x:c r="N34" s="84"/>
    </x:row>
    <x:row r="35">
      <x:c r="A35" s="84"/>
      <x:c r="B35" s="84"/>
      <x:c r="C35" s="84"/>
      <x:c r="D35" s="84"/>
      <x:c r="E35" s="84"/>
      <x:c r="F35" s="84"/>
      <x:c r="G35" s="84"/>
      <x:c r="H35" s="84"/>
      <x:c r="I35" s="84"/>
      <x:c r="J35" s="84"/>
      <x:c r="K35" s="84"/>
      <x:c r="L35" s="84"/>
      <x:c r="M35" s="84"/>
      <x:c r="N35" s="84"/>
    </x:row>
    <x:row r="36">
      <x:c r="A36" s="84"/>
      <x:c r="B36" s="84"/>
      <x:c r="C36" s="84"/>
      <x:c r="D36" s="84"/>
      <x:c r="E36" s="84"/>
      <x:c r="F36" s="84"/>
      <x:c r="G36" s="84"/>
      <x:c r="H36" s="84"/>
      <x:c r="I36" s="84"/>
      <x:c r="J36" s="84"/>
      <x:c r="K36" s="84"/>
      <x:c r="L36" s="84"/>
      <x:c r="M36" s="84"/>
      <x:c r="N36" s="84"/>
    </x:row>
    <x:row r="37">
      <x:c r="A37" s="84"/>
      <x:c r="B37" s="84"/>
      <x:c r="C37" s="84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</x:row>
    <x:row r="38">
      <x:c r="A38" s="89" t="str">
        <x:v>Current authority boundary</x:v>
      </x:c>
      <x:c r="B38" s="90" t="str">
        <x:v>Current authority boundary</x:v>
      </x:c>
      <x:c r="C38" s="90" t="str">
        <x:v>Current authority boundary</x:v>
      </x:c>
      <x:c r="D38" s="90" t="str">
        <x:v>Current authority boundary</x:v>
      </x:c>
      <x:c r="E38" s="90" t="str">
        <x:v>Current authority boundary</x:v>
      </x:c>
      <x:c r="F38" s="90" t="str">
        <x:v>Current authority boundary</x:v>
      </x:c>
      <x:c r="G38" s="91" t="str">
        <x:v>Current authority boundary</x:v>
      </x:c>
      <x:c r="H38" s="84"/>
      <x:c r="I38" s="84"/>
      <x:c r="J38" s="84"/>
      <x:c r="K38" s="84"/>
      <x:c r="L38" s="84"/>
      <x:c r="M38" s="84"/>
      <x:c r="N38" s="84"/>
    </x:row>
    <x:row r="39">
      <x:c r="A39" s="84"/>
      <x:c r="B39" s="84"/>
      <x:c r="C39" s="84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</x:row>
    <x:row r="40">
      <x:c r="A40" s="92" t="str">
        <x:v>Complete capsule fields</x:v>
      </x:c>
      <x:c r="B40" s="93" t="str">
        <x:v>0 of 540</x:v>
      </x:c>
      <x:c r="C40" s="84"/>
      <x:c r="D40" s="84"/>
      <x:c r="E40" s="84"/>
      <x:c r="F40" s="84"/>
      <x:c r="G40" s="84"/>
      <x:c r="H40" s="84"/>
      <x:c r="I40" s="84"/>
      <x:c r="J40" s="84"/>
      <x:c r="K40" s="84"/>
      <x:c r="L40" s="84"/>
      <x:c r="M40" s="84"/>
      <x:c r="N40" s="84"/>
    </x:row>
    <x:row r="41">
      <x:c r="A41" s="92" t="str">
        <x:v>Native replay stages</x:v>
      </x:c>
      <x:c r="B41" s="93" t="str">
        <x:v>0 of 240</x:v>
      </x:c>
      <x:c r="C41" s="84"/>
      <x:c r="D41" s="84"/>
      <x:c r="E41" s="84"/>
      <x:c r="F41" s="84"/>
      <x:c r="G41" s="84"/>
      <x:c r="H41" s="84"/>
      <x:c r="I41" s="84"/>
      <x:c r="J41" s="84"/>
      <x:c r="K41" s="84"/>
      <x:c r="L41" s="84"/>
      <x:c r="M41" s="84"/>
      <x:c r="N41" s="84"/>
    </x:row>
    <x:row r="42">
      <x:c r="A42" s="92" t="str">
        <x:v>Clean rebuild stages</x:v>
      </x:c>
      <x:c r="B42" s="93" t="str">
        <x:v>0 of 300</x:v>
      </x:c>
      <x:c r="C42" s="84"/>
      <x:c r="D42" s="84"/>
      <x:c r="E42" s="84"/>
      <x:c r="F42" s="84"/>
      <x:c r="G42" s="84"/>
      <x:c r="H42" s="84"/>
      <x:c r="I42" s="84"/>
      <x:c r="J42" s="84"/>
      <x:c r="K42" s="84"/>
      <x:c r="L42" s="84"/>
      <x:c r="M42" s="84"/>
      <x:c r="N42" s="84"/>
    </x:row>
    <x:row r="43">
      <x:c r="A43" s="92" t="str">
        <x:v>Semantic invariant matches</x:v>
      </x:c>
      <x:c r="B43" s="93" t="str">
        <x:v>0 of 180</x:v>
      </x:c>
      <x:c r="C43" s="84"/>
      <x:c r="D43" s="84"/>
      <x:c r="E43" s="84"/>
      <x:c r="F43" s="84"/>
      <x:c r="G43" s="84"/>
      <x:c r="H43" s="84"/>
      <x:c r="I43" s="84"/>
      <x:c r="J43" s="84"/>
      <x:c r="K43" s="84"/>
      <x:c r="L43" s="84"/>
      <x:c r="M43" s="84"/>
      <x:c r="N43" s="84"/>
    </x:row>
    <x:row r="44">
      <x:c r="A44" s="92" t="str">
        <x:v>Reproducible packages</x:v>
      </x:c>
      <x:c r="B44" s="93" t="str">
        <x:v>0 of 30</x:v>
      </x:c>
      <x:c r="C44" s="84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</x:row>
    <x:row r="45">
      <x:c r="A45" s="92" t="str">
        <x:v>Accepted physical observations</x:v>
      </x:c>
      <x:c r="B45" s="93" t="str">
        <x:v>0</x:v>
      </x:c>
      <x:c r="C45" s="84"/>
      <x:c r="D45" s="84"/>
      <x:c r="E45" s="84"/>
      <x:c r="F45" s="84"/>
      <x:c r="G45" s="84"/>
      <x:c r="H45" s="84"/>
      <x:c r="I45" s="84"/>
      <x:c r="J45" s="84"/>
      <x:c r="K45" s="84"/>
      <x:c r="L45" s="84"/>
      <x:c r="M45" s="84"/>
      <x:c r="N45" s="84"/>
    </x:row>
    <x:row r="46">
      <x:c r="A46" s="92" t="str">
        <x:v>Selection, MAKE and REP-4</x:v>
      </x:c>
      <x:c r="B46" s="93" t="str">
        <x:v>0 / 0 / 0</x:v>
      </x:c>
      <x:c r="C46" s="84"/>
      <x:c r="D46" s="84"/>
      <x:c r="E46" s="84"/>
      <x:c r="F46" s="84"/>
      <x:c r="G46" s="84"/>
      <x:c r="H46" s="84"/>
      <x:c r="I46" s="84"/>
      <x:c r="J46" s="84"/>
      <x:c r="K46" s="84"/>
      <x:c r="L46" s="84"/>
      <x:c r="M46" s="84"/>
      <x:c r="N46" s="84"/>
    </x:row>
  </x:sheetData>
  <x:mergeCells>
    <x:mergeCell ref="A2:N2"/>
    <x:mergeCell ref="A4:N4"/>
    <x:mergeCell ref="A6:G6"/>
    <x:mergeCell ref="A13:G13"/>
    <x:mergeCell ref="B15:G15"/>
    <x:mergeCell ref="B16:G16"/>
    <x:mergeCell ref="B17:G17"/>
    <x:mergeCell ref="B18:G18"/>
    <x:mergeCell ref="B19:G19"/>
    <x:mergeCell ref="B20:G20"/>
    <x:mergeCell ref="A24:G24"/>
    <x:mergeCell ref="A38:G38"/>
  </x:mergeCells>
  <x:pageMargins left="0.7" right="0.7" top="0.75" bottom="0.75" header="0.3" footer="0.3"/>
  <x:drawing xmlns:r="http://schemas.openxmlformats.org/officeDocument/2006/relationships" r:id="R612f8aef426f4a71"/>
</x:worksheet>
</file>

<file path=xl/worksheets/sheet2.xml><?xml version="1.0" encoding="utf-8"?>
<x:worksheet xmlns:x="http://schemas.openxmlformats.org/spreadsheetml/2006/main">
  <x:sheetPr>
    <x:tabColor rgb="FFDCE6F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40" hidden="0" customWidth="1"/>
    <x:col min="4" max="4" width="48" hidden="0" customWidth="1"/>
    <x:col min="5" max="5" width="3" hidden="0" customWidth="1"/>
    <x:col min="6" max="6" width="18" hidden="0" customWidth="1"/>
    <x:col min="7" max="7" width="40" hidden="0" customWidth="1"/>
    <x:col min="8" max="8" width="14" hidden="0" customWidth="1"/>
  </x:cols>
  <x:sheetData>
    <x:row r="2">
      <x:c r="A2" s="83" t="str">
        <x:v>Source-capsule and dual-reconstruction inputs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Editable controls are blue. Costs are USD millions and remain inside Pass 231 reconstruction and public-escrow accounts.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89" t="str">
        <x:v>Constitutional controls</x:v>
      </x:c>
      <x:c r="B6" s="90" t="str">
        <x:v>Constitutional controls</x:v>
      </x:c>
      <x:c r="C6" s="90" t="str">
        <x:v>Constitutional controls</x:v>
      </x:c>
      <x:c r="D6" s="91" t="str">
        <x:v>Constitutional controls</x:v>
      </x:c>
      <x:c r="E6" s="84"/>
      <x:c r="F6" s="84"/>
      <x:c r="G6" s="84"/>
      <x:c r="H6" s="84"/>
      <x:c r="I6" s="84"/>
      <x:c r="J6" s="84"/>
      <x:c r="K6" s="84"/>
      <x:c r="L6" s="84"/>
      <x:c r="M6" s="84"/>
      <x:c r="N6" s="84"/>
    </x:row>
    <x:row r="7">
      <x:c r="A7" s="45" t="str">
        <x:v>Required fields per package</x:v>
      </x:c>
      <x:c r="B7" s="56" t="n">
        <x:v>18</x:v>
      </x:c>
      <x:c r="C7" s="47"/>
      <x:c r="D7" s="47"/>
      <x:c r="E7" s="47"/>
      <x:c r="F7" s="47"/>
      <x:c r="G7" s="47"/>
      <x:c r="H7" s="47"/>
      <x:c r="I7" s="84"/>
      <x:c r="J7" s="84"/>
      <x:c r="K7" s="84"/>
      <x:c r="L7" s="84"/>
      <x:c r="M7" s="84"/>
      <x:c r="N7" s="84"/>
    </x:row>
    <x:row r="8">
      <x:c r="A8" s="45" t="str">
        <x:v>Required invariants per package</x:v>
      </x:c>
      <x:c r="B8" s="56" t="n">
        <x:v>6</x:v>
      </x:c>
      <x:c r="C8" s="47"/>
      <x:c r="D8" s="47"/>
      <x:c r="E8" s="47"/>
      <x:c r="F8" s="47"/>
      <x:c r="G8" s="47"/>
      <x:c r="H8" s="47"/>
      <x:c r="I8" s="84"/>
      <x:c r="J8" s="84"/>
      <x:c r="K8" s="84"/>
      <x:c r="L8" s="84"/>
      <x:c r="M8" s="84"/>
      <x:c r="N8" s="84"/>
    </x:row>
    <x:row r="9">
      <x:c r="A9" s="45" t="str">
        <x:v>Native stages per package</x:v>
      </x:c>
      <x:c r="B9" s="56" t="n">
        <x:v>8</x:v>
      </x:c>
      <x:c r="C9" s="47"/>
      <x:c r="D9" s="47"/>
      <x:c r="E9" s="47"/>
      <x:c r="F9" s="47"/>
      <x:c r="G9" s="47"/>
      <x:c r="H9" s="47"/>
      <x:c r="I9" s="84"/>
      <x:c r="J9" s="84"/>
      <x:c r="K9" s="84"/>
      <x:c r="L9" s="84"/>
      <x:c r="M9" s="84"/>
      <x:c r="N9" s="84"/>
    </x:row>
    <x:row r="10">
      <x:c r="A10" s="45" t="str">
        <x:v>Clean stages per package</x:v>
      </x:c>
      <x:c r="B10" s="56" t="n">
        <x:v>10</x:v>
      </x:c>
      <x:c r="C10" s="47"/>
      <x:c r="D10" s="47"/>
      <x:c r="E10" s="47"/>
      <x:c r="F10" s="47"/>
      <x:c r="G10" s="47"/>
      <x:c r="H10" s="47"/>
      <x:c r="I10" s="84"/>
      <x:c r="J10" s="84"/>
      <x:c r="K10" s="84"/>
      <x:c r="L10" s="84"/>
      <x:c r="M10" s="84"/>
      <x:c r="N10" s="84"/>
    </x:row>
    <x:row r="11">
      <x:c r="A11" s="45" t="str">
        <x:v>Separate clean-room control</x:v>
      </x:c>
      <x:c r="B11" s="56" t="n">
        <x:v>1</x:v>
      </x:c>
      <x:c r="C11" s="47"/>
      <x:c r="D11" s="47"/>
      <x:c r="E11" s="47"/>
      <x:c r="F11" s="47"/>
      <x:c r="G11" s="47"/>
      <x:c r="H11" s="47"/>
      <x:c r="I11" s="84"/>
      <x:c r="J11" s="84"/>
      <x:c r="K11" s="84"/>
      <x:c r="L11" s="84"/>
      <x:c r="M11" s="84"/>
      <x:c r="N11" s="84"/>
    </x:row>
    <x:row r="12">
      <x:c r="A12" s="45" t="str">
        <x:v>Toolchain disjointness</x:v>
      </x:c>
      <x:c r="B12" s="56" t="n">
        <x:v>1</x:v>
      </x:c>
      <x:c r="C12" s="47"/>
      <x:c r="D12" s="47"/>
      <x:c r="E12" s="47"/>
      <x:c r="F12" s="47"/>
      <x:c r="G12" s="47"/>
      <x:c r="H12" s="47"/>
      <x:c r="I12" s="84"/>
      <x:c r="J12" s="84"/>
      <x:c r="K12" s="84"/>
      <x:c r="L12" s="84"/>
      <x:c r="M12" s="84"/>
      <x:c r="N12" s="84"/>
    </x:row>
    <x:row r="13">
      <x:c r="A13" s="45" t="str">
        <x:v>Sibling performance leakage</x:v>
      </x:c>
      <x:c r="B13" s="56" t="n">
        <x:v>0</x:v>
      </x:c>
      <x:c r="C13" s="47"/>
      <x:c r="D13" s="47"/>
      <x:c r="E13" s="47"/>
      <x:c r="F13" s="47"/>
      <x:c r="G13" s="47"/>
      <x:c r="H13" s="47"/>
      <x:c r="I13" s="84"/>
      <x:c r="J13" s="84"/>
      <x:c r="K13" s="84"/>
      <x:c r="L13" s="84"/>
      <x:c r="M13" s="84"/>
      <x:c r="N13" s="84"/>
    </x:row>
    <x:row r="14">
      <x:c r="A14" s="45" t="str">
        <x:v>Common solver admitted</x:v>
      </x:c>
      <x:c r="B14" s="56" t="n">
        <x:v>0</x:v>
      </x:c>
      <x:c r="C14" s="47"/>
      <x:c r="D14" s="47"/>
      <x:c r="E14" s="47"/>
      <x:c r="F14" s="47"/>
      <x:c r="G14" s="47"/>
      <x:c r="H14" s="47"/>
      <x:c r="I14" s="84"/>
      <x:c r="J14" s="84"/>
      <x:c r="K14" s="84"/>
      <x:c r="L14" s="84"/>
      <x:c r="M14" s="84"/>
      <x:c r="N14" s="84"/>
    </x:row>
    <x:row r="15">
      <x:c r="A15" s="45" t="str">
        <x:v>Physical-proof claim from reconstruction</x:v>
      </x:c>
      <x:c r="B15" s="56" t="n">
        <x:v>0</x:v>
      </x:c>
      <x:c r="C15" s="47"/>
      <x:c r="D15" s="47"/>
      <x:c r="E15" s="47"/>
      <x:c r="F15" s="47"/>
      <x:c r="G15" s="47"/>
      <x:c r="H15" s="47"/>
      <x:c r="I15" s="84"/>
      <x:c r="J15" s="84"/>
      <x:c r="K15" s="84"/>
      <x:c r="L15" s="84"/>
      <x:c r="M15" s="84"/>
      <x:c r="N15" s="84"/>
    </x:row>
    <x:row r="16">
      <x:c r="A16" s="45" t="str">
        <x:v>Accepted observations</x:v>
      </x:c>
      <x:c r="B16" s="56" t="n">
        <x:v>0</x:v>
      </x:c>
      <x:c r="C16" s="47"/>
      <x:c r="D16" s="47"/>
      <x:c r="E16" s="47"/>
      <x:c r="F16" s="47"/>
      <x:c r="G16" s="47"/>
      <x:c r="H16" s="47"/>
      <x:c r="I16" s="84"/>
      <x:c r="J16" s="84"/>
      <x:c r="K16" s="84"/>
      <x:c r="L16" s="84"/>
      <x:c r="M16" s="84"/>
      <x:c r="N16" s="84"/>
    </x:row>
    <x:row r="17">
      <x:c r="A17" s="45" t="str">
        <x:v>Paid amount</x:v>
      </x:c>
      <x:c r="B17" s="56" t="n">
        <x:v>0</x:v>
      </x:c>
      <x:c r="C17" s="47"/>
      <x:c r="D17" s="47"/>
      <x:c r="E17" s="47"/>
      <x:c r="F17" s="47"/>
      <x:c r="G17" s="47"/>
      <x:c r="H17" s="47"/>
      <x:c r="I17" s="84"/>
      <x:c r="J17" s="84"/>
      <x:c r="K17" s="84"/>
      <x:c r="L17" s="84"/>
      <x:c r="M17" s="84"/>
      <x:c r="N17" s="84"/>
    </x:row>
    <x:row r="18">
      <x:c r="A18" s="45" t="str">
        <x:v>Selected forms</x:v>
      </x:c>
      <x:c r="B18" s="56" t="n">
        <x:v>0</x:v>
      </x:c>
      <x:c r="C18" s="47"/>
      <x:c r="D18" s="47"/>
      <x:c r="E18" s="47"/>
      <x:c r="F18" s="47"/>
      <x:c r="G18" s="47"/>
      <x:c r="H18" s="47"/>
      <x:c r="I18" s="84"/>
      <x:c r="J18" s="84"/>
      <x:c r="K18" s="84"/>
      <x:c r="L18" s="84"/>
      <x:c r="M18" s="84"/>
      <x:c r="N18" s="84"/>
    </x:row>
    <x:row r="19">
      <x:c r="A19" s="45" t="str">
        <x:v>MAKE warrants</x:v>
      </x:c>
      <x:c r="B19" s="56" t="n">
        <x:v>0</x:v>
      </x:c>
      <x:c r="C19" s="47"/>
      <x:c r="D19" s="47"/>
      <x:c r="E19" s="47"/>
      <x:c r="F19" s="47"/>
      <x:c r="G19" s="47"/>
      <x:c r="H19" s="47"/>
      <x:c r="I19" s="84"/>
      <x:c r="J19" s="84"/>
      <x:c r="K19" s="84"/>
      <x:c r="L19" s="84"/>
      <x:c r="M19" s="84"/>
      <x:c r="N19" s="84"/>
    </x:row>
    <x:row r="20">
      <x:c r="A20" s="45" t="str">
        <x:v>REP-4 records</x:v>
      </x:c>
      <x:c r="B20" s="56" t="n">
        <x:v>0</x:v>
      </x:c>
      <x:c r="C20" s="47"/>
      <x:c r="D20" s="47"/>
      <x:c r="E20" s="47"/>
      <x:c r="F20" s="47"/>
      <x:c r="G20" s="47"/>
      <x:c r="H20" s="47"/>
      <x:c r="I20" s="84"/>
      <x:c r="J20" s="84"/>
      <x:c r="K20" s="84"/>
      <x:c r="L20" s="84"/>
      <x:c r="M20" s="84"/>
      <x:c r="N20" s="84"/>
    </x:row>
    <x:row r="21">
      <x:c r="A21" s="45" t="str">
        <x:v>Protected sibling reserve</x:v>
      </x:c>
      <x:c r="B21" s="57" t="n">
        <x:v>358.7333333333</x:v>
      </x:c>
      <x:c r="C21" s="47"/>
      <x:c r="D21" s="47"/>
      <x:c r="E21" s="47"/>
      <x:c r="F21" s="47"/>
      <x:c r="G21" s="47"/>
      <x:c r="H21" s="47"/>
      <x:c r="I21" s="84"/>
      <x:c r="J21" s="84"/>
      <x:c r="K21" s="84"/>
      <x:c r="L21" s="84"/>
      <x:c r="M21" s="84"/>
      <x:c r="N21" s="84"/>
    </x:row>
    <x:row r="22">
      <x:c r="A22" s="45" t="str">
        <x:v>Invalid accepted packages</x:v>
      </x:c>
      <x:c r="B22" s="56" t="n">
        <x:v>0</x:v>
      </x:c>
      <x:c r="C22" s="47"/>
      <x:c r="D22" s="47"/>
      <x:c r="E22" s="47"/>
      <x:c r="F22" s="47"/>
      <x:c r="G22" s="47"/>
      <x:c r="H22" s="47"/>
      <x:c r="I22" s="84"/>
      <x:c r="J22" s="84"/>
      <x:c r="K22" s="84"/>
      <x:c r="L22" s="84"/>
      <x:c r="M22" s="84"/>
      <x:c r="N22" s="84"/>
    </x:row>
    <x:row r="23">
      <x:c r="A23" s="45" t="str">
        <x:v>Raw performance disclosure</x:v>
      </x:c>
      <x:c r="B23" s="56" t="n">
        <x:v>0</x:v>
      </x:c>
      <x:c r="C23" s="47"/>
      <x:c r="D23" s="47"/>
      <x:c r="E23" s="47"/>
      <x:c r="F23" s="47"/>
      <x:c r="G23" s="47"/>
      <x:c r="H23" s="47"/>
      <x:c r="I23" s="84"/>
      <x:c r="J23" s="84"/>
      <x:c r="K23" s="84"/>
      <x:c r="L23" s="84"/>
      <x:c r="M23" s="84"/>
      <x:c r="N23" s="84"/>
    </x:row>
    <x:row r="24">
      <x:c r="A24" s="45" t="str">
        <x:v>Tolerance</x:v>
      </x:c>
      <x:c r="B24" s="58" t="n">
        <x:v>0.000001</x:v>
      </x:c>
      <x:c r="C24" s="47"/>
      <x:c r="D24" s="47"/>
      <x:c r="E24" s="47"/>
      <x:c r="F24" s="47"/>
      <x:c r="G24" s="47"/>
      <x:c r="H24" s="47"/>
      <x:c r="I24" s="84"/>
      <x:c r="J24" s="84"/>
      <x:c r="K24" s="84"/>
      <x:c r="L24" s="84"/>
      <x:c r="M24" s="84"/>
      <x:c r="N24" s="84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84"/>
      <x:c r="J25" s="84"/>
      <x:c r="K25" s="84"/>
      <x:c r="L25" s="84"/>
      <x:c r="M25" s="84"/>
      <x:c r="N25" s="84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84"/>
      <x:c r="J26" s="84"/>
      <x:c r="K26" s="84"/>
      <x:c r="L26" s="84"/>
      <x:c r="M26" s="84"/>
      <x:c r="N26" s="84"/>
    </x:row>
    <x:row r="27">
      <x:c r="A27" s="50" t="str">
        <x:v>Inherited accounts and internal allocation</x:v>
      </x:c>
      <x:c r="B27" s="51" t="str">
        <x:v>Inherited accounts and internal allocation</x:v>
      </x:c>
      <x:c r="C27" s="51" t="str">
        <x:v>Inherited accounts and internal allocation</x:v>
      </x:c>
      <x:c r="D27" s="51" t="str">
        <x:v>Inherited accounts and internal allocation</x:v>
      </x:c>
      <x:c r="E27" s="51" t="str">
        <x:v>Inherited accounts and internal allocation</x:v>
      </x:c>
      <x:c r="F27" s="52" t="str">
        <x:v>Inherited accounts and internal allocation</x:v>
      </x:c>
      <x:c r="G27" s="47"/>
      <x:c r="H27" s="47"/>
      <x:c r="I27" s="84"/>
      <x:c r="J27" s="84"/>
      <x:c r="K27" s="84"/>
      <x:c r="L27" s="84"/>
      <x:c r="M27" s="84"/>
      <x:c r="N27" s="84"/>
    </x:row>
    <x:row r="28">
      <x:c r="A28" s="47"/>
      <x:c r="B28" s="47"/>
      <x:c r="C28" s="47"/>
      <x:c r="D28" s="47"/>
      <x:c r="E28" s="47"/>
      <x:c r="F28" s="47"/>
      <x:c r="G28" s="47"/>
      <x:c r="H28" s="47"/>
      <x:c r="I28" s="84"/>
      <x:c r="J28" s="84"/>
      <x:c r="K28" s="84"/>
      <x:c r="L28" s="84"/>
      <x:c r="M28" s="84"/>
      <x:c r="N28" s="84"/>
    </x:row>
    <x:row r="29">
      <x:c r="A29" s="25" t="str">
        <x:v>Account</x:v>
      </x:c>
      <x:c r="B29" s="26" t="str">
        <x:v>Inherited ceiling</x:v>
      </x:c>
      <x:c r="C29" s="26" t="str">
        <x:v>Function</x:v>
      </x:c>
      <x:c r="D29" s="26" t="str">
        <x:v>Share</x:v>
      </x:c>
      <x:c r="E29" s="26" t="str">
        <x:v>Function ceiling</x:v>
      </x:c>
      <x:c r="F29" s="27" t="str">
        <x:v>Authority</x:v>
      </x:c>
      <x:c r="G29" s="47"/>
      <x:c r="H29" s="47"/>
      <x:c r="I29" s="84"/>
      <x:c r="J29" s="84"/>
      <x:c r="K29" s="84"/>
      <x:c r="L29" s="84"/>
      <x:c r="M29" s="84"/>
      <x:c r="N29" s="84"/>
    </x:row>
    <x:row r="30">
      <x:c r="A30" s="47" t="str">
        <x:v>Independent reconstruction</x:v>
      </x:c>
      <x:c r="B30" s="53" t="n">
        <x:v>26.905</x:v>
      </x:c>
      <x:c r="C30" s="47" t="str">
        <x:v>Clean-room rebuild cells</x:v>
      </x:c>
      <x:c r="D30" s="54" t="n">
        <x:v>0.55</x:v>
      </x:c>
      <x:c r="E30" s="55" t="n">
        <x:f>B30*D30</x:f>
        <x:v>14.797750000000002</x:v>
      </x:c>
      <x:c r="F30" s="47" t="str">
        <x:v>Design validity only</x:v>
      </x:c>
      <x:c r="G30" s="47"/>
      <x:c r="H30" s="47"/>
      <x:c r="I30" s="84"/>
      <x:c r="J30" s="84"/>
      <x:c r="K30" s="84"/>
      <x:c r="L30" s="84"/>
      <x:c r="M30" s="84"/>
      <x:c r="N30" s="84"/>
    </x:row>
    <x:row r="31">
      <x:c r="A31" s="47" t="str">
        <x:v>Independent reconstruction</x:v>
      </x:c>
      <x:c r="B31" s="53" t="n">
        <x:v>26.905</x:v>
      </x:c>
      <x:c r="C31" s="47" t="str">
        <x:v>Root-native instruments and qualification</x:v>
      </x:c>
      <x:c r="D31" s="54" t="n">
        <x:v>0.25</x:v>
      </x:c>
      <x:c r="E31" s="55" t="n">
        <x:f>B31*D31</x:f>
        <x:v>6.72625</x:v>
      </x:c>
      <x:c r="F31" s="47" t="str">
        <x:v>Design validity only</x:v>
      </x:c>
      <x:c r="G31" s="47"/>
      <x:c r="H31" s="47"/>
      <x:c r="I31" s="84"/>
      <x:c r="J31" s="84"/>
      <x:c r="K31" s="84"/>
      <x:c r="L31" s="84"/>
      <x:c r="M31" s="84"/>
      <x:c r="N31" s="84"/>
    </x:row>
    <x:row r="32">
      <x:c r="A32" s="47" t="str">
        <x:v>Independent reconstruction</x:v>
      </x:c>
      <x:c r="B32" s="53" t="n">
        <x:v>26.905</x:v>
      </x:c>
      <x:c r="C32" s="47" t="str">
        <x:v>Divergence reserve</x:v>
      </x:c>
      <x:c r="D32" s="54" t="n">
        <x:v>0.2</x:v>
      </x:c>
      <x:c r="E32" s="55" t="n">
        <x:f>B32*D32</x:f>
        <x:v>5.381</x:v>
      </x:c>
      <x:c r="F32" s="47" t="str">
        <x:v>Uncommitted until divergence</x:v>
      </x:c>
      <x:c r="G32" s="47"/>
      <x:c r="H32" s="47"/>
      <x:c r="I32" s="84"/>
      <x:c r="J32" s="84"/>
      <x:c r="K32" s="84"/>
      <x:c r="L32" s="84"/>
      <x:c r="M32" s="84"/>
      <x:c r="N32" s="84"/>
    </x:row>
    <x:row r="33">
      <x:c r="A33" s="47" t="str">
        <x:v>Public source escrow</x:v>
      </x:c>
      <x:c r="B33" s="53" t="n">
        <x:v>14.3493333333</x:v>
      </x:c>
      <x:c r="C33" s="47" t="str">
        <x:v>Public Artifact Exchange</x:v>
      </x:c>
      <x:c r="D33" s="54" t="n">
        <x:v>0.45</x:v>
      </x:c>
      <x:c r="E33" s="55" t="n">
        <x:f>B33*D33</x:f>
        <x:v>6.457199999985001</x:v>
      </x:c>
      <x:c r="F33" s="47" t="str">
        <x:v>Custody only</x:v>
      </x:c>
      <x:c r="G33" s="47"/>
      <x:c r="H33" s="47"/>
      <x:c r="I33" s="84"/>
      <x:c r="J33" s="84"/>
      <x:c r="K33" s="84"/>
      <x:c r="L33" s="84"/>
      <x:c r="M33" s="84"/>
      <x:c r="N33" s="84"/>
    </x:row>
    <x:row r="34">
      <x:c r="A34" s="47" t="str">
        <x:v>Public source escrow</x:v>
      </x:c>
      <x:c r="B34" s="53" t="n">
        <x:v>14.3493333333</x:v>
      </x:c>
      <x:c r="C34" s="47" t="str">
        <x:v>Disconnected archive</x:v>
      </x:c>
      <x:c r="D34" s="54" t="n">
        <x:v>0.3</x:v>
      </x:c>
      <x:c r="E34" s="55" t="n">
        <x:f>B34*D34</x:f>
        <x:v>4.30479999999</x:v>
      </x:c>
      <x:c r="F34" s="47" t="str">
        <x:v>Custody only</x:v>
      </x:c>
      <x:c r="G34" s="47"/>
      <x:c r="H34" s="47"/>
      <x:c r="I34" s="84"/>
      <x:c r="J34" s="84"/>
      <x:c r="K34" s="84"/>
      <x:c r="L34" s="84"/>
      <x:c r="M34" s="84"/>
      <x:c r="N34" s="84"/>
    </x:row>
    <x:row r="35">
      <x:c r="A35" s="47" t="str">
        <x:v>Public source escrow</x:v>
      </x:c>
      <x:c r="B35" s="53" t="n">
        <x:v>14.3493333333</x:v>
      </x:c>
      <x:c r="C35" s="47" t="str">
        <x:v>Cryptographic lineage</x:v>
      </x:c>
      <x:c r="D35" s="54" t="n">
        <x:v>0.15</x:v>
      </x:c>
      <x:c r="E35" s="55" t="n">
        <x:f>B35*D35</x:f>
        <x:v>2.152399999995</x:v>
      </x:c>
      <x:c r="F35" s="47" t="str">
        <x:v>Identity only</x:v>
      </x:c>
      <x:c r="G35" s="47"/>
      <x:c r="H35" s="47"/>
      <x:c r="I35" s="84"/>
      <x:c r="J35" s="84"/>
      <x:c r="K35" s="84"/>
      <x:c r="L35" s="84"/>
      <x:c r="M35" s="84"/>
      <x:c r="N35" s="84"/>
    </x:row>
    <x:row r="36">
      <x:c r="A36" s="47" t="str">
        <x:v>Public source escrow</x:v>
      </x:c>
      <x:c r="B36" s="53" t="n">
        <x:v>14.3493333333</x:v>
      </x:c>
      <x:c r="C36" s="47" t="str">
        <x:v>Semantic kernel stewardship</x:v>
      </x:c>
      <x:c r="D36" s="54" t="n">
        <x:v>0.1</x:v>
      </x:c>
      <x:c r="E36" s="55" t="n">
        <x:f>B36*D36</x:f>
        <x:v>1.43493333333</x:v>
      </x:c>
      <x:c r="F36" s="47" t="str">
        <x:v>Schema only</x:v>
      </x:c>
      <x:c r="G36" s="47"/>
      <x:c r="H36" s="47"/>
      <x:c r="I36" s="84"/>
      <x:c r="J36" s="84"/>
      <x:c r="K36" s="84"/>
      <x:c r="L36" s="84"/>
      <x:c r="M36" s="84"/>
      <x:c r="N36" s="84"/>
    </x:row>
    <x:row r="37">
      <x:c r="A37" s="47"/>
      <x:c r="B37" s="47"/>
      <x:c r="C37" s="47"/>
      <x:c r="D37" s="47"/>
      <x:c r="E37" s="47"/>
      <x:c r="F37" s="47"/>
      <x:c r="G37" s="47"/>
      <x:c r="H37" s="47"/>
      <x:c r="I37" s="84"/>
      <x:c r="J37" s="84"/>
      <x:c r="K37" s="84"/>
      <x:c r="L37" s="84"/>
      <x:c r="M37" s="84"/>
      <x:c r="N37" s="84"/>
    </x:row>
    <x:row r="38">
      <x:c r="A38" s="47"/>
      <x:c r="B38" s="47"/>
      <x:c r="C38" s="47"/>
      <x:c r="D38" s="47"/>
      <x:c r="E38" s="47"/>
      <x:c r="F38" s="47"/>
      <x:c r="G38" s="47"/>
      <x:c r="H38" s="47"/>
      <x:c r="I38" s="84"/>
      <x:c r="J38" s="84"/>
      <x:c r="K38" s="84"/>
      <x:c r="L38" s="84"/>
      <x:c r="M38" s="84"/>
      <x:c r="N38" s="84"/>
    </x:row>
    <x:row r="39">
      <x:c r="A39" s="50" t="str">
        <x:v>Active forms and package types</x:v>
      </x:c>
      <x:c r="B39" s="51" t="str">
        <x:v>Active forms and package types</x:v>
      </x:c>
      <x:c r="C39" s="51" t="str">
        <x:v>Active forms and package types</x:v>
      </x:c>
      <x:c r="D39" s="51" t="str">
        <x:v>Active forms and package types</x:v>
      </x:c>
      <x:c r="E39" s="51" t="str">
        <x:v>Active forms and package types</x:v>
      </x:c>
      <x:c r="F39" s="52" t="str">
        <x:v>Active forms and package types</x:v>
      </x:c>
      <x:c r="G39" s="47"/>
      <x:c r="H39" s="47"/>
      <x:c r="I39" s="84"/>
      <x:c r="J39" s="84"/>
      <x:c r="K39" s="84"/>
      <x:c r="L39" s="84"/>
      <x:c r="M39" s="84"/>
      <x:c r="N39" s="84"/>
    </x:row>
    <x:row r="40">
      <x:c r="A40" s="47"/>
      <x:c r="B40" s="47"/>
      <x:c r="C40" s="47"/>
      <x:c r="D40" s="47"/>
      <x:c r="E40" s="47"/>
      <x:c r="F40" s="47"/>
      <x:c r="G40" s="47"/>
      <x:c r="H40" s="47"/>
      <x:c r="I40" s="84"/>
      <x:c r="J40" s="84"/>
      <x:c r="K40" s="84"/>
      <x:c r="L40" s="84"/>
      <x:c r="M40" s="84"/>
      <x:c r="N40" s="84"/>
    </x:row>
    <x:row r="41">
      <x:c r="A41" s="25" t="str">
        <x:v>Root</x:v>
      </x:c>
      <x:c r="B41" s="26" t="str">
        <x:v>Form</x:v>
      </x:c>
      <x:c r="C41" s="26" t="str">
        <x:v>Mission system</x:v>
      </x:c>
      <x:c r="D41" s="27" t="str">
        <x:v>Native technical environment</x:v>
      </x:c>
      <x:c r="E41" s="47"/>
      <x:c r="F41" s="25" t="str">
        <x:v>Package</x:v>
      </x:c>
      <x:c r="G41" s="26" t="str">
        <x:v>Product</x:v>
      </x:c>
      <x:c r="H41" s="27" t="str">
        <x:v>Share of form</x:v>
      </x:c>
      <x:c r="I41" s="84"/>
      <x:c r="J41" s="84"/>
      <x:c r="K41" s="84"/>
      <x:c r="L41" s="84"/>
      <x:c r="M41" s="84"/>
      <x:c r="N41" s="84"/>
    </x:row>
    <x:row r="42">
      <x:c r="A42" s="47" t="str">
        <x:v>ET-A</x:v>
      </x:c>
      <x:c r="B42" s="47" t="str">
        <x:v>ET-A-A</x:v>
      </x:c>
      <x:c r="C42" s="47" t="str">
        <x:v>Pelagic exchange</x:v>
      </x:c>
      <x:c r="D42" s="47" t="str">
        <x:v>free-surface, trim, custody and littoral exchange</x:v>
      </x:c>
      <x:c r="E42" s="47"/>
      <x:c r="F42" s="47" t="str">
        <x:v>METHOD</x:v>
      </x:c>
      <x:c r="G42" s="47" t="str">
        <x:v>Event method and denominator</x:v>
      </x:c>
      <x:c r="H42" s="54" t="n">
        <x:v>0.2</x:v>
      </x:c>
      <x:c r="I42" s="84"/>
      <x:c r="J42" s="84"/>
      <x:c r="K42" s="84"/>
      <x:c r="L42" s="84"/>
      <x:c r="M42" s="84"/>
      <x:c r="N42" s="84"/>
    </x:row>
    <x:row r="43">
      <x:c r="A43" s="47" t="str">
        <x:v>CT-C</x:v>
      </x:c>
      <x:c r="B43" s="47" t="str">
        <x:v>CT-C-B</x:v>
      </x:c>
      <x:c r="C43" s="47" t="str">
        <x:v>Occupied-boundary infrastructure</x:v>
      </x:c>
      <x:c r="D43" s="47" t="str">
        <x:v>load path, utility insertion, egress and occupied edge</x:v>
      </x:c>
      <x:c r="E43" s="47"/>
      <x:c r="F43" s="47" t="str">
        <x:v>VALID</x:v>
      </x:c>
      <x:c r="G43" s="47" t="str">
        <x:v>Instrumentation, custody and validity</x:v>
      </x:c>
      <x:c r="H43" s="54" t="n">
        <x:v>0.25</x:v>
      </x:c>
      <x:c r="I43" s="84"/>
      <x:c r="J43" s="84"/>
      <x:c r="K43" s="84"/>
      <x:c r="L43" s="84"/>
      <x:c r="M43" s="84"/>
      <x:c r="N43" s="84"/>
    </x:row>
    <x:row r="44">
      <x:c r="A44" s="47" t="str">
        <x:v>HC-A</x:v>
      </x:c>
      <x:c r="B44" s="47" t="str">
        <x:v>HC-A-C</x:v>
      </x:c>
      <x:c r="C44" s="47" t="str">
        <x:v>Atmospheric intervention</x:v>
      </x:c>
      <x:c r="D44" s="47" t="str">
        <x:v>dispersion, control volume, attribution and downwind receptor</x:v>
      </x:c>
      <x:c r="E44" s="47"/>
      <x:c r="F44" s="47" t="str">
        <x:v>CIVIL</x:v>
      </x:c>
      <x:c r="G44" s="47" t="str">
        <x:v>Rights, receiver and residual closure</x:v>
      </x:c>
      <x:c r="H44" s="54" t="n">
        <x:v>0.15</x:v>
      </x:c>
      <x:c r="I44" s="84"/>
      <x:c r="J44" s="84"/>
      <x:c r="K44" s="84"/>
      <x:c r="L44" s="84"/>
      <x:c r="M44" s="84"/>
      <x:c r="N44" s="84"/>
    </x:row>
    <x:row r="45">
      <x:c r="A45" s="47" t="str">
        <x:v>LF-B</x:v>
      </x:c>
      <x:c r="B45" s="47" t="str">
        <x:v>LF-B-A</x:v>
      </x:c>
      <x:c r="C45" s="47" t="str">
        <x:v>Geothermal source position</x:v>
      </x:c>
      <x:c r="D45" s="47" t="str">
        <x:v>geology, well access, reservoir, brine and conversion train</x:v>
      </x:c>
      <x:c r="E45" s="47"/>
      <x:c r="F45" s="47" t="str">
        <x:v>ARTICLE</x:v>
      </x:c>
      <x:c r="G45" s="47" t="str">
        <x:v>Destructive-article engineering</x:v>
      </x:c>
      <x:c r="H45" s="54" t="n">
        <x:v>0.25</x:v>
      </x:c>
      <x:c r="I45" s="84"/>
      <x:c r="J45" s="84"/>
      <x:c r="K45" s="84"/>
      <x:c r="L45" s="84"/>
      <x:c r="M45" s="84"/>
      <x:c r="N45" s="84"/>
    </x:row>
    <x:row r="46">
      <x:c r="A46" s="47" t="str">
        <x:v>HU-A</x:v>
      </x:c>
      <x:c r="B46" s="47" t="str">
        <x:v>HU-A-B</x:v>
      </x:c>
      <x:c r="C46" s="47" t="str">
        <x:v>Clinical continuity</x:v>
      </x:c>
      <x:c r="D46" s="47" t="str">
        <x:v>care pathway, infection control, lifeline and relationship custody</x:v>
      </x:c>
      <x:c r="E46" s="47"/>
      <x:c r="F46" s="47" t="str">
        <x:v>REBUILD</x:v>
      </x:c>
      <x:c r="G46" s="47" t="str">
        <x:v>Cold reconstruction and challenge</x:v>
      </x:c>
      <x:c r="H46" s="54" t="n">
        <x:v>0.15</x:v>
      </x:c>
      <x:c r="I46" s="84"/>
      <x:c r="J46" s="84"/>
      <x:c r="K46" s="84"/>
      <x:c r="L46" s="84"/>
      <x:c r="M46" s="84"/>
      <x:c r="N46" s="84"/>
    </x:row>
    <x:row r="47">
      <x:c r="A47" s="47" t="str">
        <x:v>RT-B</x:v>
      </x:c>
      <x:c r="B47" s="47" t="str">
        <x:v>RT-B-C</x:v>
      </x:c>
      <x:c r="C47" s="47" t="str">
        <x:v>Disconnected regeneration</x:v>
      </x:c>
      <x:c r="D47" s="47" t="str">
        <x:v>process genealogy, metrology, substitution and requalification</x:v>
      </x:c>
      <x:c r="E47" s="47"/>
      <x:c r="F47" s="47"/>
      <x:c r="G47" s="47"/>
      <x:c r="H47" s="47"/>
      <x:c r="I47" s="84"/>
      <x:c r="J47" s="84"/>
      <x:c r="K47" s="84"/>
      <x:c r="L47" s="84"/>
      <x:c r="M47" s="84"/>
      <x:c r="N47" s="84"/>
    </x:row>
    <x:row r="48">
      <x:c r="A48" s="47"/>
      <x:c r="B48" s="47"/>
      <x:c r="C48" s="47"/>
      <x:c r="D48" s="47"/>
      <x:c r="E48" s="47"/>
      <x:c r="F48" s="47"/>
      <x:c r="G48" s="47"/>
      <x:c r="H48" s="47"/>
      <x:c r="I48" s="84"/>
      <x:c r="J48" s="84"/>
      <x:c r="K48" s="84"/>
      <x:c r="L48" s="84"/>
      <x:c r="M48" s="84"/>
      <x:c r="N48" s="84"/>
    </x:row>
    <x:row r="49">
      <x:c r="A49" s="47"/>
      <x:c r="B49" s="47"/>
      <x:c r="C49" s="47"/>
      <x:c r="D49" s="47"/>
      <x:c r="E49" s="47"/>
      <x:c r="F49" s="47"/>
      <x:c r="G49" s="47"/>
      <x:c r="H49" s="47"/>
      <x:c r="I49" s="84"/>
      <x:c r="J49" s="84"/>
      <x:c r="K49" s="84"/>
      <x:c r="L49" s="84"/>
      <x:c r="M49" s="84"/>
      <x:c r="N49" s="84"/>
    </x:row>
    <x:row r="50">
      <x:c r="A50" s="50" t="str">
        <x:v>Artifact Interchange Kernel boundary</x:v>
      </x:c>
      <x:c r="B50" s="51" t="str">
        <x:v>Artifact Interchange Kernel boundary</x:v>
      </x:c>
      <x:c r="C50" s="51" t="str">
        <x:v>Artifact Interchange Kernel boundary</x:v>
      </x:c>
      <x:c r="D50" s="52" t="str">
        <x:v>Artifact Interchange Kernel boundary</x:v>
      </x:c>
      <x:c r="E50" s="47"/>
      <x:c r="F50" s="47"/>
      <x:c r="G50" s="47"/>
      <x:c r="H50" s="47"/>
      <x:c r="I50" s="84"/>
      <x:c r="J50" s="84"/>
      <x:c r="K50" s="84"/>
      <x:c r="L50" s="84"/>
      <x:c r="M50" s="84"/>
      <x:c r="N50" s="84"/>
    </x:row>
    <x:row r="51">
      <x:c r="A51" s="47"/>
      <x:c r="B51" s="47"/>
      <x:c r="C51" s="47"/>
      <x:c r="D51" s="47"/>
      <x:c r="E51" s="47"/>
      <x:c r="F51" s="47"/>
      <x:c r="G51" s="47"/>
      <x:c r="H51" s="47"/>
      <x:c r="I51" s="84"/>
      <x:c r="J51" s="84"/>
      <x:c r="K51" s="84"/>
      <x:c r="L51" s="84"/>
      <x:c r="M51" s="84"/>
      <x:c r="N51" s="84"/>
    </x:row>
    <x:row r="52">
      <x:c r="A52" s="25" t="str">
        <x:v>Kernel element</x:v>
      </x:c>
      <x:c r="B52" s="26" t="str">
        <x:v>Rule</x:v>
      </x:c>
      <x:c r="C52" s="27" t="str">
        <x:v>Payload boundary</x:v>
      </x:c>
      <x:c r="D52" s="47"/>
      <x:c r="E52" s="47"/>
      <x:c r="F52" s="47"/>
      <x:c r="G52" s="47"/>
      <x:c r="H52" s="47"/>
      <x:c r="I52" s="84"/>
      <x:c r="J52" s="84"/>
      <x:c r="K52" s="84"/>
      <x:c r="L52" s="84"/>
      <x:c r="M52" s="84"/>
      <x:c r="N52" s="84"/>
    </x:row>
    <x:row r="53">
      <x:c r="A53" s="47" t="str">
        <x:v>Identity keys</x:v>
      </x:c>
      <x:c r="B53" s="47" t="str">
        <x:v>REQUIRED</x:v>
      </x:c>
      <x:c r="C53" s="47" t="str">
        <x:v>Package, configuration, root, warrant and epoch identifiers</x:v>
      </x:c>
      <x:c r="D53" s="47"/>
      <x:c r="E53" s="47"/>
      <x:c r="F53" s="47"/>
      <x:c r="G53" s="47"/>
      <x:c r="H53" s="47"/>
      <x:c r="I53" s="84"/>
      <x:c r="J53" s="84"/>
      <x:c r="K53" s="84"/>
      <x:c r="L53" s="84"/>
      <x:c r="M53" s="84"/>
      <x:c r="N53" s="84"/>
    </x:row>
    <x:row r="54">
      <x:c r="A54" s="47" t="str">
        <x:v>Units and datums</x:v>
      </x:c>
      <x:c r="B54" s="47" t="str">
        <x:v>REQUIRED</x:v>
      </x:c>
      <x:c r="C54" s="47" t="str">
        <x:v>Machine-readable quantity, unit, coordinate and datum semantics</x:v>
      </x:c>
      <x:c r="D54" s="47"/>
      <x:c r="E54" s="47"/>
      <x:c r="F54" s="47"/>
      <x:c r="G54" s="47"/>
      <x:c r="H54" s="47"/>
      <x:c r="I54" s="84"/>
      <x:c r="J54" s="84"/>
      <x:c r="K54" s="84"/>
      <x:c r="L54" s="84"/>
      <x:c r="M54" s="84"/>
      <x:c r="N54" s="84"/>
    </x:row>
    <x:row r="55">
      <x:c r="A55" s="47" t="str">
        <x:v>Boundary and interface</x:v>
      </x:c>
      <x:c r="B55" s="47" t="str">
        <x:v>REQUIRED</x:v>
      </x:c>
      <x:c r="C55" s="47" t="str">
        <x:v>Typed boundary, receiver, residual and interface obligations</x:v>
      </x:c>
      <x:c r="D55" s="47"/>
      <x:c r="E55" s="47"/>
      <x:c r="F55" s="47"/>
      <x:c r="G55" s="47"/>
      <x:c r="H55" s="47"/>
      <x:c r="I55" s="84"/>
      <x:c r="J55" s="84"/>
      <x:c r="K55" s="84"/>
      <x:c r="L55" s="84"/>
      <x:c r="M55" s="84"/>
      <x:c r="N55" s="84"/>
    </x:row>
    <x:row r="56">
      <x:c r="A56" s="47" t="str">
        <x:v>Uncertainty</x:v>
      </x:c>
      <x:c r="B56" s="47" t="str">
        <x:v>REQUIRED</x:v>
      </x:c>
      <x:c r="C56" s="47" t="str">
        <x:v>Unknown class, interval, direction and sensitivity declaration</x:v>
      </x:c>
      <x:c r="D56" s="47"/>
      <x:c r="E56" s="47"/>
      <x:c r="F56" s="47"/>
      <x:c r="G56" s="47"/>
      <x:c r="H56" s="47"/>
      <x:c r="I56" s="84"/>
      <x:c r="J56" s="84"/>
      <x:c r="K56" s="84"/>
      <x:c r="L56" s="84"/>
      <x:c r="M56" s="84"/>
      <x:c r="N56" s="84"/>
    </x:row>
    <x:row r="57">
      <x:c r="A57" s="47" t="str">
        <x:v>Causal trace</x:v>
      </x:c>
      <x:c r="B57" s="47" t="str">
        <x:v>REQUIRED</x:v>
      </x:c>
      <x:c r="C57" s="47" t="str">
        <x:v>Event, denominator, claim, safe-state and supersession relations</x:v>
      </x:c>
      <x:c r="D57" s="47"/>
      <x:c r="E57" s="47"/>
      <x:c r="F57" s="47"/>
      <x:c r="G57" s="47"/>
      <x:c r="H57" s="47"/>
      <x:c r="I57" s="84"/>
      <x:c r="J57" s="84"/>
      <x:c r="K57" s="84"/>
      <x:c r="L57" s="84"/>
      <x:c r="M57" s="84"/>
      <x:c r="N57" s="84"/>
    </x:row>
    <x:row r="58">
      <x:c r="A58" s="47" t="str">
        <x:v>Rights and access</x:v>
      </x:c>
      <x:c r="B58" s="47" t="str">
        <x:v>REQUIRED</x:v>
      </x:c>
      <x:c r="C58" s="47" t="str">
        <x:v>Access, disclosure, protected subject, expiry and custody rules</x:v>
      </x:c>
      <x:c r="D58" s="47"/>
      <x:c r="E58" s="47"/>
      <x:c r="F58" s="47"/>
      <x:c r="G58" s="47"/>
      <x:c r="H58" s="47"/>
      <x:c r="I58" s="84"/>
      <x:c r="J58" s="84"/>
      <x:c r="K58" s="84"/>
      <x:c r="L58" s="84"/>
      <x:c r="M58" s="84"/>
      <x:c r="N58" s="84"/>
    </x:row>
    <x:row r="59">
      <x:c r="A59" s="47" t="str">
        <x:v>Solver or algorithm</x:v>
      </x:c>
      <x:c r="B59" s="47" t="str">
        <x:v>PROHIBITED</x:v>
      </x:c>
      <x:c r="C59" s="47" t="str">
        <x:v>No universal numerical method or implementation language</x:v>
      </x:c>
      <x:c r="D59" s="47"/>
      <x:c r="E59" s="47"/>
      <x:c r="F59" s="47"/>
      <x:c r="G59" s="47"/>
      <x:c r="H59" s="47"/>
      <x:c r="I59" s="84"/>
      <x:c r="J59" s="84"/>
      <x:c r="K59" s="84"/>
      <x:c r="L59" s="84"/>
      <x:c r="M59" s="84"/>
      <x:c r="N59" s="84"/>
    </x:row>
    <x:row r="60">
      <x:c r="A60" s="47" t="str">
        <x:v>Geometry or controller</x:v>
      </x:c>
      <x:c r="B60" s="47" t="str">
        <x:v>PROHIBITED</x:v>
      </x:c>
      <x:c r="C60" s="47" t="str">
        <x:v>No shared form, control law or internal implementation</x:v>
      </x:c>
      <x:c r="D60" s="47"/>
      <x:c r="E60" s="47"/>
      <x:c r="F60" s="47"/>
      <x:c r="G60" s="47"/>
      <x:c r="H60" s="47"/>
      <x:c r="I60" s="84"/>
      <x:c r="J60" s="84"/>
      <x:c r="K60" s="84"/>
      <x:c r="L60" s="84"/>
      <x:c r="M60" s="84"/>
      <x:c r="N60" s="84"/>
    </x:row>
    <x:row r="61">
      <x:c r="A61" s="47" t="str">
        <x:v>Predicted performance</x:v>
      </x:c>
      <x:c r="B61" s="47" t="str">
        <x:v>PROHIBITED</x:v>
      </x:c>
      <x:c r="C61" s="47" t="str">
        <x:v>No raw output, comparative result, rank or maturity signal</x:v>
      </x:c>
      <x:c r="D61" s="47"/>
      <x:c r="E61" s="47"/>
      <x:c r="F61" s="47"/>
      <x:c r="G61" s="47"/>
      <x:c r="H61" s="47"/>
      <x:c r="I61" s="84"/>
      <x:c r="J61" s="84"/>
      <x:c r="K61" s="84"/>
      <x:c r="L61" s="84"/>
      <x:c r="M61" s="84"/>
      <x:c r="N61" s="84"/>
    </x:row>
  </x:sheetData>
  <x:mergeCells>
    <x:mergeCell ref="A2:N2"/>
    <x:mergeCell ref="A4:N4"/>
    <x:mergeCell ref="A6:D6"/>
    <x:mergeCell ref="A27:F27"/>
    <x:mergeCell ref="A39:F39"/>
    <x:mergeCell ref="A50:D5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5" hidden="0" customWidth="1"/>
    <x:col min="7" max="7" width="13" hidden="0" customWidth="1"/>
    <x:col min="8" max="8" width="42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  <x:col min="13" max="13" width="13" hidden="0" customWidth="1"/>
  </x:cols>
  <x:sheetData>
    <x:row r="2">
      <x:c r="A2" s="83" t="str">
        <x:v>Source-capsule field register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Eighteen required fields per package separate executable knowledge, physical assumptions, civic obligations and epistemic limits.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25" t="str">
        <x:v>Record</x:v>
      </x:c>
      <x:c r="B6" s="26" t="str">
        <x:v>Package</x:v>
      </x:c>
      <x:c r="C6" s="26" t="str">
        <x:v>Root</x:v>
      </x:c>
      <x:c r="D6" s="26" t="str">
        <x:v>Form</x:v>
      </x:c>
      <x:c r="E6" s="26" t="str">
        <x:v>Package type</x:v>
      </x:c>
      <x:c r="F6" s="26" t="str">
        <x:v>Field</x:v>
      </x:c>
      <x:c r="G6" s="26" t="str">
        <x:v>Family</x:v>
      </x:c>
      <x:c r="H6" s="26" t="str">
        <x:v>Required content</x:v>
      </x:c>
      <x:c r="I6" s="26" t="str">
        <x:v>Disclosure</x:v>
      </x:c>
      <x:c r="J6" s="26" t="str">
        <x:v>Required</x:v>
      </x:c>
      <x:c r="K6" s="26" t="str">
        <x:v>Supplied</x:v>
      </x:c>
      <x:c r="L6" s="26" t="str">
        <x:v>Machine readable</x:v>
      </x:c>
      <x:c r="M6" s="27" t="str">
        <x:v>State</x:v>
      </x:c>
      <x:c r="N6" s="84"/>
    </x:row>
    <x:row r="7">
      <x:c r="A7" s="47" t="str">
        <x:v>SC001</x:v>
      </x:c>
      <x:c r="B7" s="47" t="str">
        <x:v>P01</x:v>
      </x:c>
      <x:c r="C7" s="47" t="str">
        <x:v>ET-A</x:v>
      </x:c>
      <x:c r="D7" s="47" t="str">
        <x:v>ET-A-A</x:v>
      </x:c>
      <x:c r="E7" s="47" t="str">
        <x:v>METHOD</x:v>
      </x:c>
      <x:c r="F7" s="47" t="str">
        <x:v>F01</x:v>
      </x:c>
      <x:c r="G7" s="47" t="str">
        <x:v>Identity</x:v>
      </x:c>
      <x:c r="H7" s="47" t="str">
        <x:v>Package identity and warrant scope</x:v>
      </x:c>
      <x:c r="I7" s="47" t="str">
        <x:v>PUBLIC</x:v>
      </x:c>
      <x:c r="J7" s="47" t="n">
        <x:v>1</x:v>
      </x:c>
      <x:c r="K7" s="56" t="n">
        <x:v>0</x:v>
      </x:c>
      <x:c r="L7" s="56" t="n">
        <x:v>0</x:v>
      </x:c>
      <x:c r="M7" s="47" t="str">
        <x:f>IF(AND(J7=1,K7=1,L7=1),"COMPLETE","OPEN")</x:f>
        <x:v>OPEN</x:v>
      </x:c>
      <x:c r="N7" s="84"/>
    </x:row>
    <x:row r="8">
      <x:c r="A8" s="47" t="str">
        <x:v>SC002</x:v>
      </x:c>
      <x:c r="B8" s="47" t="str">
        <x:v>P01</x:v>
      </x:c>
      <x:c r="C8" s="47" t="str">
        <x:v>ET-A</x:v>
      </x:c>
      <x:c r="D8" s="47" t="str">
        <x:v>ET-A-A</x:v>
      </x:c>
      <x:c r="E8" s="47" t="str">
        <x:v>METHOD</x:v>
      </x:c>
      <x:c r="F8" s="47" t="str">
        <x:v>F02</x:v>
      </x:c>
      <x:c r="G8" s="47" t="str">
        <x:v>Identity</x:v>
      </x:c>
      <x:c r="H8" s="47" t="str">
        <x:v>Authorship, beneficial control and authority</x:v>
      </x:c>
      <x:c r="I8" s="47" t="str">
        <x:v>PUBLIC</x:v>
      </x:c>
      <x:c r="J8" s="47" t="n">
        <x:v>1</x:v>
      </x:c>
      <x:c r="K8" s="56" t="n">
        <x:v>0</x:v>
      </x:c>
      <x:c r="L8" s="56" t="n">
        <x:v>0</x:v>
      </x:c>
      <x:c r="M8" s="47" t="str">
        <x:f>IF(AND(J8=1,K8=1,L8=1),"COMPLETE","OPEN")</x:f>
        <x:v>OPEN</x:v>
      </x:c>
      <x:c r="N8" s="84"/>
    </x:row>
    <x:row r="9">
      <x:c r="A9" s="47" t="str">
        <x:v>SC003</x:v>
      </x:c>
      <x:c r="B9" s="47" t="str">
        <x:v>P01</x:v>
      </x:c>
      <x:c r="C9" s="47" t="str">
        <x:v>ET-A</x:v>
      </x:c>
      <x:c r="D9" s="47" t="str">
        <x:v>ET-A-A</x:v>
      </x:c>
      <x:c r="E9" s="47" t="str">
        <x:v>METHOD</x:v>
      </x:c>
      <x:c r="F9" s="47" t="str">
        <x:v>F03</x:v>
      </x:c>
      <x:c r="G9" s="47" t="str">
        <x:v>Identity</x:v>
      </x:c>
      <x:c r="H9" s="47" t="str">
        <x:v>Configuration and content hash</x:v>
      </x:c>
      <x:c r="I9" s="47" t="str">
        <x:v>PUBLIC</x:v>
      </x:c>
      <x:c r="J9" s="47" t="n">
        <x:v>1</x:v>
      </x:c>
      <x:c r="K9" s="56" t="n">
        <x:v>0</x:v>
      </x:c>
      <x:c r="L9" s="56" t="n">
        <x:v>0</x:v>
      </x:c>
      <x:c r="M9" s="47" t="str">
        <x:f>IF(AND(J9=1,K9=1,L9=1),"COMPLETE","OPEN")</x:f>
        <x:v>OPEN</x:v>
      </x:c>
      <x:c r="N9" s="84"/>
    </x:row>
    <x:row r="10">
      <x:c r="A10" s="47" t="str">
        <x:v>SC004</x:v>
      </x:c>
      <x:c r="B10" s="47" t="str">
        <x:v>P01</x:v>
      </x:c>
      <x:c r="C10" s="47" t="str">
        <x:v>ET-A</x:v>
      </x:c>
      <x:c r="D10" s="47" t="str">
        <x:v>ET-A-A</x:v>
      </x:c>
      <x:c r="E10" s="47" t="str">
        <x:v>METHOD</x:v>
      </x:c>
      <x:c r="F10" s="47" t="str">
        <x:v>F04</x:v>
      </x:c>
      <x:c r="G10" s="47" t="str">
        <x:v>Executable</x:v>
      </x:c>
      <x:c r="H10" s="47" t="str">
        <x:v>Native executable artifact</x:v>
      </x:c>
      <x:c r="I10" s="47" t="str">
        <x:v>ESCROW</x:v>
      </x:c>
      <x:c r="J10" s="47" t="n">
        <x:v>1</x:v>
      </x:c>
      <x:c r="K10" s="56" t="n">
        <x:v>0</x:v>
      </x:c>
      <x:c r="L10" s="56" t="n">
        <x:v>0</x:v>
      </x:c>
      <x:c r="M10" s="47" t="str">
        <x:f>IF(AND(J10=1,K10=1,L10=1),"COMPLETE","OPEN")</x:f>
        <x:v>OPEN</x:v>
      </x:c>
      <x:c r="N10" s="84"/>
    </x:row>
    <x:row r="11">
      <x:c r="A11" s="47" t="str">
        <x:v>SC005</x:v>
      </x:c>
      <x:c r="B11" s="47" t="str">
        <x:v>P01</x:v>
      </x:c>
      <x:c r="C11" s="47" t="str">
        <x:v>ET-A</x:v>
      </x:c>
      <x:c r="D11" s="47" t="str">
        <x:v>ET-A-A</x:v>
      </x:c>
      <x:c r="E11" s="47" t="str">
        <x:v>METHOD</x:v>
      </x:c>
      <x:c r="F11" s="47" t="str">
        <x:v>F05</x:v>
      </x:c>
      <x:c r="G11" s="47" t="str">
        <x:v>Executable</x:v>
      </x:c>
      <x:c r="H11" s="47" t="str">
        <x:v>Native environment and toolchain image</x:v>
      </x:c>
      <x:c r="I11" s="47" t="str">
        <x:v>ESCROW</x:v>
      </x:c>
      <x:c r="J11" s="47" t="n">
        <x:v>1</x:v>
      </x:c>
      <x:c r="K11" s="56" t="n">
        <x:v>0</x:v>
      </x:c>
      <x:c r="L11" s="56" t="n">
        <x:v>0</x:v>
      </x:c>
      <x:c r="M11" s="47" t="str">
        <x:f>IF(AND(J11=1,K11=1,L11=1),"COMPLETE","OPEN")</x:f>
        <x:v>OPEN</x:v>
      </x:c>
      <x:c r="N11" s="84"/>
    </x:row>
    <x:row r="12">
      <x:c r="A12" s="47" t="str">
        <x:v>SC006</x:v>
      </x:c>
      <x:c r="B12" s="47" t="str">
        <x:v>P01</x:v>
      </x:c>
      <x:c r="C12" s="47" t="str">
        <x:v>ET-A</x:v>
      </x:c>
      <x:c r="D12" s="47" t="str">
        <x:v>ET-A-A</x:v>
      </x:c>
      <x:c r="E12" s="47" t="str">
        <x:v>METHOD</x:v>
      </x:c>
      <x:c r="F12" s="47" t="str">
        <x:v>F06</x:v>
      </x:c>
      <x:c r="G12" s="47" t="str">
        <x:v>Executable</x:v>
      </x:c>
      <x:c r="H12" s="47" t="str">
        <x:v>Dependency bill, software bill and license rights</x:v>
      </x:c>
      <x:c r="I12" s="47" t="str">
        <x:v>PUBLIC</x:v>
      </x:c>
      <x:c r="J12" s="47" t="n">
        <x:v>1</x:v>
      </x:c>
      <x:c r="K12" s="56" t="n">
        <x:v>0</x:v>
      </x:c>
      <x:c r="L12" s="56" t="n">
        <x:v>0</x:v>
      </x:c>
      <x:c r="M12" s="47" t="str">
        <x:f>IF(AND(J12=1,K12=1,L12=1),"COMPLETE","OPEN")</x:f>
        <x:v>OPEN</x:v>
      </x:c>
      <x:c r="N12" s="84"/>
    </x:row>
    <x:row r="13">
      <x:c r="A13" s="47" t="str">
        <x:v>SC007</x:v>
      </x:c>
      <x:c r="B13" s="47" t="str">
        <x:v>P01</x:v>
      </x:c>
      <x:c r="C13" s="47" t="str">
        <x:v>ET-A</x:v>
      </x:c>
      <x:c r="D13" s="47" t="str">
        <x:v>ET-A-A</x:v>
      </x:c>
      <x:c r="E13" s="47" t="str">
        <x:v>METHOD</x:v>
      </x:c>
      <x:c r="F13" s="47" t="str">
        <x:v>F07</x:v>
      </x:c>
      <x:c r="G13" s="47" t="str">
        <x:v>Executable</x:v>
      </x:c>
      <x:c r="H13" s="47" t="str">
        <x:v>Data provenance and calibration lineage</x:v>
      </x:c>
      <x:c r="I13" s="47" t="str">
        <x:v>ESCROW</x:v>
      </x:c>
      <x:c r="J13" s="47" t="n">
        <x:v>1</x:v>
      </x:c>
      <x:c r="K13" s="56" t="n">
        <x:v>0</x:v>
      </x:c>
      <x:c r="L13" s="56" t="n">
        <x:v>0</x:v>
      </x:c>
      <x:c r="M13" s="47" t="str">
        <x:f>IF(AND(J13=1,K13=1,L13=1),"COMPLETE","OPEN")</x:f>
        <x:v>OPEN</x:v>
      </x:c>
      <x:c r="N13" s="84"/>
    </x:row>
    <x:row r="14">
      <x:c r="A14" s="47" t="str">
        <x:v>SC008</x:v>
      </x:c>
      <x:c r="B14" s="47" t="str">
        <x:v>P01</x:v>
      </x:c>
      <x:c r="C14" s="47" t="str">
        <x:v>ET-A</x:v>
      </x:c>
      <x:c r="D14" s="47" t="str">
        <x:v>ET-A-A</x:v>
      </x:c>
      <x:c r="E14" s="47" t="str">
        <x:v>METHOD</x:v>
      </x:c>
      <x:c r="F14" s="47" t="str">
        <x:v>F08</x:v>
      </x:c>
      <x:c r="G14" s="47" t="str">
        <x:v>Executable</x:v>
      </x:c>
      <x:c r="H14" s="47" t="str">
        <x:v>Random seed, solver and numerical controls</x:v>
      </x:c>
      <x:c r="I14" s="47" t="str">
        <x:v>ESCROW</x:v>
      </x:c>
      <x:c r="J14" s="47" t="n">
        <x:v>1</x:v>
      </x:c>
      <x:c r="K14" s="56" t="n">
        <x:v>0</x:v>
      </x:c>
      <x:c r="L14" s="56" t="n">
        <x:v>0</x:v>
      </x:c>
      <x:c r="M14" s="47" t="str">
        <x:f>IF(AND(J14=1,K14=1,L14=1),"COMPLETE","OPEN")</x:f>
        <x:v>OPEN</x:v>
      </x:c>
      <x:c r="N14" s="84"/>
    </x:row>
    <x:row r="15">
      <x:c r="A15" s="47" t="str">
        <x:v>SC009</x:v>
      </x:c>
      <x:c r="B15" s="47" t="str">
        <x:v>P01</x:v>
      </x:c>
      <x:c r="C15" s="47" t="str">
        <x:v>ET-A</x:v>
      </x:c>
      <x:c r="D15" s="47" t="str">
        <x:v>ET-A-A</x:v>
      </x:c>
      <x:c r="E15" s="47" t="str">
        <x:v>METHOD</x:v>
      </x:c>
      <x:c r="F15" s="47" t="str">
        <x:v>F09</x:v>
      </x:c>
      <x:c r="G15" s="47" t="str">
        <x:v>Physical</x:v>
      </x:c>
      <x:c r="H15" s="47" t="str">
        <x:v>Units, coordinates and datums</x:v>
      </x:c>
      <x:c r="I15" s="47" t="str">
        <x:v>PUBLIC</x:v>
      </x:c>
      <x:c r="J15" s="47" t="n">
        <x:v>1</x:v>
      </x:c>
      <x:c r="K15" s="56" t="n">
        <x:v>0</x:v>
      </x:c>
      <x:c r="L15" s="56" t="n">
        <x:v>0</x:v>
      </x:c>
      <x:c r="M15" s="47" t="str">
        <x:f>IF(AND(J15=1,K15=1,L15=1),"COMPLETE","OPEN")</x:f>
        <x:v>OPEN</x:v>
      </x:c>
      <x:c r="N15" s="84"/>
    </x:row>
    <x:row r="16">
      <x:c r="A16" s="47" t="str">
        <x:v>SC010</x:v>
      </x:c>
      <x:c r="B16" s="47" t="str">
        <x:v>P01</x:v>
      </x:c>
      <x:c r="C16" s="47" t="str">
        <x:v>ET-A</x:v>
      </x:c>
      <x:c r="D16" s="47" t="str">
        <x:v>ET-A-A</x:v>
      </x:c>
      <x:c r="E16" s="47" t="str">
        <x:v>METHOD</x:v>
      </x:c>
      <x:c r="F16" s="47" t="str">
        <x:v>F10</x:v>
      </x:c>
      <x:c r="G16" s="47" t="str">
        <x:v>Physical</x:v>
      </x:c>
      <x:c r="H16" s="47" t="str">
        <x:v>Material, property and constitutive sources</x:v>
      </x:c>
      <x:c r="I16" s="47" t="str">
        <x:v>PUBLIC</x:v>
      </x:c>
      <x:c r="J16" s="47" t="n">
        <x:v>1</x:v>
      </x:c>
      <x:c r="K16" s="56" t="n">
        <x:v>0</x:v>
      </x:c>
      <x:c r="L16" s="56" t="n">
        <x:v>0</x:v>
      </x:c>
      <x:c r="M16" s="47" t="str">
        <x:f>IF(AND(J16=1,K16=1,L16=1),"COMPLETE","OPEN")</x:f>
        <x:v>OPEN</x:v>
      </x:c>
      <x:c r="N16" s="84"/>
    </x:row>
    <x:row r="17">
      <x:c r="A17" s="47" t="str">
        <x:v>SC011</x:v>
      </x:c>
      <x:c r="B17" s="47" t="str">
        <x:v>P01</x:v>
      </x:c>
      <x:c r="C17" s="47" t="str">
        <x:v>ET-A</x:v>
      </x:c>
      <x:c r="D17" s="47" t="str">
        <x:v>ET-A-A</x:v>
      </x:c>
      <x:c r="E17" s="47" t="str">
        <x:v>METHOD</x:v>
      </x:c>
      <x:c r="F17" s="47" t="str">
        <x:v>F11</x:v>
      </x:c>
      <x:c r="G17" s="47" t="str">
        <x:v>Physical</x:v>
      </x:c>
      <x:c r="H17" s="47" t="str">
        <x:v>Interfaces, tolerances and boundary conditions</x:v>
      </x:c>
      <x:c r="I17" s="47" t="str">
        <x:v>PUBLIC</x:v>
      </x:c>
      <x:c r="J17" s="47" t="n">
        <x:v>1</x:v>
      </x:c>
      <x:c r="K17" s="56" t="n">
        <x:v>0</x:v>
      </x:c>
      <x:c r="L17" s="56" t="n">
        <x:v>0</x:v>
      </x:c>
      <x:c r="M17" s="47" t="str">
        <x:f>IF(AND(J17=1,K17=1,L17=1),"COMPLETE","OPEN")</x:f>
        <x:v>OPEN</x:v>
      </x:c>
      <x:c r="N17" s="84"/>
    </x:row>
    <x:row r="18">
      <x:c r="A18" s="47" t="str">
        <x:v>SC012</x:v>
      </x:c>
      <x:c r="B18" s="47" t="str">
        <x:v>P01</x:v>
      </x:c>
      <x:c r="C18" s="47" t="str">
        <x:v>ET-A</x:v>
      </x:c>
      <x:c r="D18" s="47" t="str">
        <x:v>ET-A-A</x:v>
      </x:c>
      <x:c r="E18" s="47" t="str">
        <x:v>METHOD</x:v>
      </x:c>
      <x:c r="F18" s="47" t="str">
        <x:v>F12</x:v>
      </x:c>
      <x:c r="G18" s="47" t="str">
        <x:v>Physical</x:v>
      </x:c>
      <x:c r="H18" s="47" t="str">
        <x:v>Manufacturing, process and assembly assumptions</x:v>
      </x:c>
      <x:c r="I18" s="47" t="str">
        <x:v>PUBLIC</x:v>
      </x:c>
      <x:c r="J18" s="47" t="n">
        <x:v>1</x:v>
      </x:c>
      <x:c r="K18" s="56" t="n">
        <x:v>0</x:v>
      </x:c>
      <x:c r="L18" s="56" t="n">
        <x:v>0</x:v>
      </x:c>
      <x:c r="M18" s="47" t="str">
        <x:f>IF(AND(J18=1,K18=1,L18=1),"COMPLETE","OPEN")</x:f>
        <x:v>OPEN</x:v>
      </x:c>
      <x:c r="N18" s="84"/>
    </x:row>
    <x:row r="19">
      <x:c r="A19" s="47" t="str">
        <x:v>SC013</x:v>
      </x:c>
      <x:c r="B19" s="47" t="str">
        <x:v>P01</x:v>
      </x:c>
      <x:c r="C19" s="47" t="str">
        <x:v>ET-A</x:v>
      </x:c>
      <x:c r="D19" s="47" t="str">
        <x:v>ET-A-A</x:v>
      </x:c>
      <x:c r="E19" s="47" t="str">
        <x:v>METHOD</x:v>
      </x:c>
      <x:c r="F19" s="47" t="str">
        <x:v>F13</x:v>
      </x:c>
      <x:c r="G19" s="47" t="str">
        <x:v>Civic</x:v>
      </x:c>
      <x:c r="H19" s="47" t="str">
        <x:v>Safe-state and abort logic</x:v>
      </x:c>
      <x:c r="I19" s="47" t="str">
        <x:v>PUBLIC</x:v>
      </x:c>
      <x:c r="J19" s="47" t="n">
        <x:v>1</x:v>
      </x:c>
      <x:c r="K19" s="56" t="n">
        <x:v>0</x:v>
      </x:c>
      <x:c r="L19" s="56" t="n">
        <x:v>0</x:v>
      </x:c>
      <x:c r="M19" s="47" t="str">
        <x:f>IF(AND(J19=1,K19=1,L19=1),"COMPLETE","OPEN")</x:f>
        <x:v>OPEN</x:v>
      </x:c>
      <x:c r="N19" s="84"/>
    </x:row>
    <x:row r="20">
      <x:c r="A20" s="47" t="str">
        <x:v>SC014</x:v>
      </x:c>
      <x:c r="B20" s="47" t="str">
        <x:v>P01</x:v>
      </x:c>
      <x:c r="C20" s="47" t="str">
        <x:v>ET-A</x:v>
      </x:c>
      <x:c r="D20" s="47" t="str">
        <x:v>ET-A-A</x:v>
      </x:c>
      <x:c r="E20" s="47" t="str">
        <x:v>METHOD</x:v>
      </x:c>
      <x:c r="F20" s="47" t="str">
        <x:v>F14</x:v>
      </x:c>
      <x:c r="G20" s="47" t="str">
        <x:v>Civic</x:v>
      </x:c>
      <x:c r="H20" s="47" t="str">
        <x:v>Receiver and residual dispositions</x:v>
      </x:c>
      <x:c r="I20" s="47" t="str">
        <x:v>PUBLIC</x:v>
      </x:c>
      <x:c r="J20" s="47" t="n">
        <x:v>1</x:v>
      </x:c>
      <x:c r="K20" s="56" t="n">
        <x:v>0</x:v>
      </x:c>
      <x:c r="L20" s="56" t="n">
        <x:v>0</x:v>
      </x:c>
      <x:c r="M20" s="47" t="str">
        <x:f>IF(AND(J20=1,K20=1,L20=1),"COMPLETE","OPEN")</x:f>
        <x:v>OPEN</x:v>
      </x:c>
      <x:c r="N20" s="84"/>
    </x:row>
    <x:row r="21">
      <x:c r="A21" s="47" t="str">
        <x:v>SC015</x:v>
      </x:c>
      <x:c r="B21" s="47" t="str">
        <x:v>P01</x:v>
      </x:c>
      <x:c r="C21" s="47" t="str">
        <x:v>ET-A</x:v>
      </x:c>
      <x:c r="D21" s="47" t="str">
        <x:v>ET-A-A</x:v>
      </x:c>
      <x:c r="E21" s="47" t="str">
        <x:v>METHOD</x:v>
      </x:c>
      <x:c r="F21" s="47" t="str">
        <x:v>F15</x:v>
      </x:c>
      <x:c r="G21" s="47" t="str">
        <x:v>Civic</x:v>
      </x:c>
      <x:c r="H21" s="47" t="str">
        <x:v>Rights, access and affected-population obligations</x:v>
      </x:c>
      <x:c r="I21" s="47" t="str">
        <x:v>PUBLIC</x:v>
      </x:c>
      <x:c r="J21" s="47" t="n">
        <x:v>1</x:v>
      </x:c>
      <x:c r="K21" s="56" t="n">
        <x:v>0</x:v>
      </x:c>
      <x:c r="L21" s="56" t="n">
        <x:v>0</x:v>
      </x:c>
      <x:c r="M21" s="47" t="str">
        <x:f>IF(AND(J21=1,K21=1,L21=1),"COMPLETE","OPEN")</x:f>
        <x:v>OPEN</x:v>
      </x:c>
      <x:c r="N21" s="84"/>
    </x:row>
    <x:row r="22">
      <x:c r="A22" s="47" t="str">
        <x:v>SC016</x:v>
      </x:c>
      <x:c r="B22" s="47" t="str">
        <x:v>P01</x:v>
      </x:c>
      <x:c r="C22" s="47" t="str">
        <x:v>ET-A</x:v>
      </x:c>
      <x:c r="D22" s="47" t="str">
        <x:v>ET-A-A</x:v>
      </x:c>
      <x:c r="E22" s="47" t="str">
        <x:v>METHOD</x:v>
      </x:c>
      <x:c r="F22" s="47" t="str">
        <x:v>F16</x:v>
      </x:c>
      <x:c r="G22" s="47" t="str">
        <x:v>Epistemic</x:v>
      </x:c>
      <x:c r="H22" s="47" t="str">
        <x:v>Assumptions, unknowns and uncertainty bounds</x:v>
      </x:c>
      <x:c r="I22" s="47" t="str">
        <x:v>PUBLIC</x:v>
      </x:c>
      <x:c r="J22" s="47" t="n">
        <x:v>1</x:v>
      </x:c>
      <x:c r="K22" s="56" t="n">
        <x:v>0</x:v>
      </x:c>
      <x:c r="L22" s="56" t="n">
        <x:v>0</x:v>
      </x:c>
      <x:c r="M22" s="47" t="str">
        <x:f>IF(AND(J22=1,K22=1,L22=1),"COMPLETE","OPEN")</x:f>
        <x:v>OPEN</x:v>
      </x:c>
      <x:c r="N22" s="84"/>
    </x:row>
    <x:row r="23">
      <x:c r="A23" s="47" t="str">
        <x:v>SC017</x:v>
      </x:c>
      <x:c r="B23" s="47" t="str">
        <x:v>P01</x:v>
      </x:c>
      <x:c r="C23" s="47" t="str">
        <x:v>ET-A</x:v>
      </x:c>
      <x:c r="D23" s="47" t="str">
        <x:v>ET-A-A</x:v>
      </x:c>
      <x:c r="E23" s="47" t="str">
        <x:v>METHOD</x:v>
      </x:c>
      <x:c r="F23" s="47" t="str">
        <x:v>F17</x:v>
      </x:c>
      <x:c r="G23" s="47" t="str">
        <x:v>Epistemic</x:v>
      </x:c>
      <x:c r="H23" s="47" t="str">
        <x:v>Causal event, denominator and claim trace</x:v>
      </x:c>
      <x:c r="I23" s="47" t="str">
        <x:v>PUBLIC</x:v>
      </x:c>
      <x:c r="J23" s="47" t="n">
        <x:v>1</x:v>
      </x:c>
      <x:c r="K23" s="56" t="n">
        <x:v>0</x:v>
      </x:c>
      <x:c r="L23" s="56" t="n">
        <x:v>0</x:v>
      </x:c>
      <x:c r="M23" s="47" t="str">
        <x:f>IF(AND(J23=1,K23=1,L23=1),"COMPLETE","OPEN")</x:f>
        <x:v>OPEN</x:v>
      </x:c>
      <x:c r="N23" s="84"/>
    </x:row>
    <x:row r="24">
      <x:c r="A24" s="47" t="str">
        <x:v>SC018</x:v>
      </x:c>
      <x:c r="B24" s="47" t="str">
        <x:v>P01</x:v>
      </x:c>
      <x:c r="C24" s="47" t="str">
        <x:v>ET-A</x:v>
      </x:c>
      <x:c r="D24" s="47" t="str">
        <x:v>ET-A-A</x:v>
      </x:c>
      <x:c r="E24" s="47" t="str">
        <x:v>METHOD</x:v>
      </x:c>
      <x:c r="F24" s="47" t="str">
        <x:v>F18</x:v>
      </x:c>
      <x:c r="G24" s="47" t="str">
        <x:v>Epistemic</x:v>
      </x:c>
      <x:c r="H24" s="47" t="str">
        <x:v>Acceptance, expiry, disclosure and supersession rule</x:v>
      </x:c>
      <x:c r="I24" s="47" t="str">
        <x:v>PUBLIC</x:v>
      </x:c>
      <x:c r="J24" s="47" t="n">
        <x:v>1</x:v>
      </x:c>
      <x:c r="K24" s="56" t="n">
        <x:v>0</x:v>
      </x:c>
      <x:c r="L24" s="56" t="n">
        <x:v>0</x:v>
      </x:c>
      <x:c r="M24" s="47" t="str">
        <x:f>IF(AND(J24=1,K24=1,L24=1),"COMPLETE","OPEN")</x:f>
        <x:v>OPEN</x:v>
      </x:c>
      <x:c r="N24" s="84"/>
    </x:row>
    <x:row r="25">
      <x:c r="A25" s="47" t="str">
        <x:v>SC019</x:v>
      </x:c>
      <x:c r="B25" s="47" t="str">
        <x:v>P02</x:v>
      </x:c>
      <x:c r="C25" s="47" t="str">
        <x:v>ET-A</x:v>
      </x:c>
      <x:c r="D25" s="47" t="str">
        <x:v>ET-A-A</x:v>
      </x:c>
      <x:c r="E25" s="47" t="str">
        <x:v>VALID</x:v>
      </x:c>
      <x:c r="F25" s="47" t="str">
        <x:v>F01</x:v>
      </x:c>
      <x:c r="G25" s="47" t="str">
        <x:v>Identity</x:v>
      </x:c>
      <x:c r="H25" s="47" t="str">
        <x:v>Package identity and warrant scope</x:v>
      </x:c>
      <x:c r="I25" s="47" t="str">
        <x:v>PUBLIC</x:v>
      </x:c>
      <x:c r="J25" s="47" t="n">
        <x:v>1</x:v>
      </x:c>
      <x:c r="K25" s="56" t="n">
        <x:v>0</x:v>
      </x:c>
      <x:c r="L25" s="56" t="n">
        <x:v>0</x:v>
      </x:c>
      <x:c r="M25" s="47" t="str">
        <x:f>IF(AND(J25=1,K25=1,L25=1),"COMPLETE","OPEN")</x:f>
        <x:v>OPEN</x:v>
      </x:c>
      <x:c r="N25" s="84"/>
    </x:row>
    <x:row r="26">
      <x:c r="A26" s="47" t="str">
        <x:v>SC020</x:v>
      </x:c>
      <x:c r="B26" s="47" t="str">
        <x:v>P02</x:v>
      </x:c>
      <x:c r="C26" s="47" t="str">
        <x:v>ET-A</x:v>
      </x:c>
      <x:c r="D26" s="47" t="str">
        <x:v>ET-A-A</x:v>
      </x:c>
      <x:c r="E26" s="47" t="str">
        <x:v>VALID</x:v>
      </x:c>
      <x:c r="F26" s="47" t="str">
        <x:v>F02</x:v>
      </x:c>
      <x:c r="G26" s="47" t="str">
        <x:v>Identity</x:v>
      </x:c>
      <x:c r="H26" s="47" t="str">
        <x:v>Authorship, beneficial control and authority</x:v>
      </x:c>
      <x:c r="I26" s="47" t="str">
        <x:v>PUBLIC</x:v>
      </x:c>
      <x:c r="J26" s="47" t="n">
        <x:v>1</x:v>
      </x:c>
      <x:c r="K26" s="56" t="n">
        <x:v>0</x:v>
      </x:c>
      <x:c r="L26" s="56" t="n">
        <x:v>0</x:v>
      </x:c>
      <x:c r="M26" s="47" t="str">
        <x:f>IF(AND(J26=1,K26=1,L26=1),"COMPLETE","OPEN")</x:f>
        <x:v>OPEN</x:v>
      </x:c>
      <x:c r="N26" s="84"/>
    </x:row>
    <x:row r="27">
      <x:c r="A27" s="47" t="str">
        <x:v>SC021</x:v>
      </x:c>
      <x:c r="B27" s="47" t="str">
        <x:v>P02</x:v>
      </x:c>
      <x:c r="C27" s="47" t="str">
        <x:v>ET-A</x:v>
      </x:c>
      <x:c r="D27" s="47" t="str">
        <x:v>ET-A-A</x:v>
      </x:c>
      <x:c r="E27" s="47" t="str">
        <x:v>VALID</x:v>
      </x:c>
      <x:c r="F27" s="47" t="str">
        <x:v>F03</x:v>
      </x:c>
      <x:c r="G27" s="47" t="str">
        <x:v>Identity</x:v>
      </x:c>
      <x:c r="H27" s="47" t="str">
        <x:v>Configuration and content hash</x:v>
      </x:c>
      <x:c r="I27" s="47" t="str">
        <x:v>PUBLIC</x:v>
      </x:c>
      <x:c r="J27" s="47" t="n">
        <x:v>1</x:v>
      </x:c>
      <x:c r="K27" s="56" t="n">
        <x:v>0</x:v>
      </x:c>
      <x:c r="L27" s="56" t="n">
        <x:v>0</x:v>
      </x:c>
      <x:c r="M27" s="47" t="str">
        <x:f>IF(AND(J27=1,K27=1,L27=1),"COMPLETE","OPEN")</x:f>
        <x:v>OPEN</x:v>
      </x:c>
      <x:c r="N27" s="84"/>
    </x:row>
    <x:row r="28">
      <x:c r="A28" s="47" t="str">
        <x:v>SC022</x:v>
      </x:c>
      <x:c r="B28" s="47" t="str">
        <x:v>P02</x:v>
      </x:c>
      <x:c r="C28" s="47" t="str">
        <x:v>ET-A</x:v>
      </x:c>
      <x:c r="D28" s="47" t="str">
        <x:v>ET-A-A</x:v>
      </x:c>
      <x:c r="E28" s="47" t="str">
        <x:v>VALID</x:v>
      </x:c>
      <x:c r="F28" s="47" t="str">
        <x:v>F04</x:v>
      </x:c>
      <x:c r="G28" s="47" t="str">
        <x:v>Executable</x:v>
      </x:c>
      <x:c r="H28" s="47" t="str">
        <x:v>Native executable artifact</x:v>
      </x:c>
      <x:c r="I28" s="47" t="str">
        <x:v>ESCROW</x:v>
      </x:c>
      <x:c r="J28" s="47" t="n">
        <x:v>1</x:v>
      </x:c>
      <x:c r="K28" s="56" t="n">
        <x:v>0</x:v>
      </x:c>
      <x:c r="L28" s="56" t="n">
        <x:v>0</x:v>
      </x:c>
      <x:c r="M28" s="47" t="str">
        <x:f>IF(AND(J28=1,K28=1,L28=1),"COMPLETE","OPEN")</x:f>
        <x:v>OPEN</x:v>
      </x:c>
      <x:c r="N28" s="84"/>
    </x:row>
    <x:row r="29">
      <x:c r="A29" s="47" t="str">
        <x:v>SC023</x:v>
      </x:c>
      <x:c r="B29" s="47" t="str">
        <x:v>P02</x:v>
      </x:c>
      <x:c r="C29" s="47" t="str">
        <x:v>ET-A</x:v>
      </x:c>
      <x:c r="D29" s="47" t="str">
        <x:v>ET-A-A</x:v>
      </x:c>
      <x:c r="E29" s="47" t="str">
        <x:v>VALID</x:v>
      </x:c>
      <x:c r="F29" s="47" t="str">
        <x:v>F05</x:v>
      </x:c>
      <x:c r="G29" s="47" t="str">
        <x:v>Executable</x:v>
      </x:c>
      <x:c r="H29" s="47" t="str">
        <x:v>Native environment and toolchain image</x:v>
      </x:c>
      <x:c r="I29" s="47" t="str">
        <x:v>ESCROW</x:v>
      </x:c>
      <x:c r="J29" s="47" t="n">
        <x:v>1</x:v>
      </x:c>
      <x:c r="K29" s="56" t="n">
        <x:v>0</x:v>
      </x:c>
      <x:c r="L29" s="56" t="n">
        <x:v>0</x:v>
      </x:c>
      <x:c r="M29" s="47" t="str">
        <x:f>IF(AND(J29=1,K29=1,L29=1),"COMPLETE","OPEN")</x:f>
        <x:v>OPEN</x:v>
      </x:c>
      <x:c r="N29" s="84"/>
    </x:row>
    <x:row r="30">
      <x:c r="A30" s="47" t="str">
        <x:v>SC024</x:v>
      </x:c>
      <x:c r="B30" s="47" t="str">
        <x:v>P02</x:v>
      </x:c>
      <x:c r="C30" s="47" t="str">
        <x:v>ET-A</x:v>
      </x:c>
      <x:c r="D30" s="47" t="str">
        <x:v>ET-A-A</x:v>
      </x:c>
      <x:c r="E30" s="47" t="str">
        <x:v>VALID</x:v>
      </x:c>
      <x:c r="F30" s="47" t="str">
        <x:v>F06</x:v>
      </x:c>
      <x:c r="G30" s="47" t="str">
        <x:v>Executable</x:v>
      </x:c>
      <x:c r="H30" s="47" t="str">
        <x:v>Dependency bill, software bill and license rights</x:v>
      </x:c>
      <x:c r="I30" s="47" t="str">
        <x:v>PUBLIC</x:v>
      </x:c>
      <x:c r="J30" s="47" t="n">
        <x:v>1</x:v>
      </x:c>
      <x:c r="K30" s="56" t="n">
        <x:v>0</x:v>
      </x:c>
      <x:c r="L30" s="56" t="n">
        <x:v>0</x:v>
      </x:c>
      <x:c r="M30" s="47" t="str">
        <x:f>IF(AND(J30=1,K30=1,L30=1),"COMPLETE","OPEN")</x:f>
        <x:v>OPEN</x:v>
      </x:c>
      <x:c r="N30" s="84"/>
    </x:row>
    <x:row r="31">
      <x:c r="A31" s="47" t="str">
        <x:v>SC025</x:v>
      </x:c>
      <x:c r="B31" s="47" t="str">
        <x:v>P02</x:v>
      </x:c>
      <x:c r="C31" s="47" t="str">
        <x:v>ET-A</x:v>
      </x:c>
      <x:c r="D31" s="47" t="str">
        <x:v>ET-A-A</x:v>
      </x:c>
      <x:c r="E31" s="47" t="str">
        <x:v>VALID</x:v>
      </x:c>
      <x:c r="F31" s="47" t="str">
        <x:v>F07</x:v>
      </x:c>
      <x:c r="G31" s="47" t="str">
        <x:v>Executable</x:v>
      </x:c>
      <x:c r="H31" s="47" t="str">
        <x:v>Data provenance and calibration lineage</x:v>
      </x:c>
      <x:c r="I31" s="47" t="str">
        <x:v>ESCROW</x:v>
      </x:c>
      <x:c r="J31" s="47" t="n">
        <x:v>1</x:v>
      </x:c>
      <x:c r="K31" s="56" t="n">
        <x:v>0</x:v>
      </x:c>
      <x:c r="L31" s="56" t="n">
        <x:v>0</x:v>
      </x:c>
      <x:c r="M31" s="47" t="str">
        <x:f>IF(AND(J31=1,K31=1,L31=1),"COMPLETE","OPEN")</x:f>
        <x:v>OPEN</x:v>
      </x:c>
      <x:c r="N31" s="84"/>
    </x:row>
    <x:row r="32">
      <x:c r="A32" s="47" t="str">
        <x:v>SC026</x:v>
      </x:c>
      <x:c r="B32" s="47" t="str">
        <x:v>P02</x:v>
      </x:c>
      <x:c r="C32" s="47" t="str">
        <x:v>ET-A</x:v>
      </x:c>
      <x:c r="D32" s="47" t="str">
        <x:v>ET-A-A</x:v>
      </x:c>
      <x:c r="E32" s="47" t="str">
        <x:v>VALID</x:v>
      </x:c>
      <x:c r="F32" s="47" t="str">
        <x:v>F08</x:v>
      </x:c>
      <x:c r="G32" s="47" t="str">
        <x:v>Executable</x:v>
      </x:c>
      <x:c r="H32" s="47" t="str">
        <x:v>Random seed, solver and numerical controls</x:v>
      </x:c>
      <x:c r="I32" s="47" t="str">
        <x:v>ESCROW</x:v>
      </x:c>
      <x:c r="J32" s="47" t="n">
        <x:v>1</x:v>
      </x:c>
      <x:c r="K32" s="56" t="n">
        <x:v>0</x:v>
      </x:c>
      <x:c r="L32" s="56" t="n">
        <x:v>0</x:v>
      </x:c>
      <x:c r="M32" s="47" t="str">
        <x:f>IF(AND(J32=1,K32=1,L32=1),"COMPLETE","OPEN")</x:f>
        <x:v>OPEN</x:v>
      </x:c>
      <x:c r="N32" s="84"/>
    </x:row>
    <x:row r="33">
      <x:c r="A33" s="47" t="str">
        <x:v>SC027</x:v>
      </x:c>
      <x:c r="B33" s="47" t="str">
        <x:v>P02</x:v>
      </x:c>
      <x:c r="C33" s="47" t="str">
        <x:v>ET-A</x:v>
      </x:c>
      <x:c r="D33" s="47" t="str">
        <x:v>ET-A-A</x:v>
      </x:c>
      <x:c r="E33" s="47" t="str">
        <x:v>VALID</x:v>
      </x:c>
      <x:c r="F33" s="47" t="str">
        <x:v>F09</x:v>
      </x:c>
      <x:c r="G33" s="47" t="str">
        <x:v>Physical</x:v>
      </x:c>
      <x:c r="H33" s="47" t="str">
        <x:v>Units, coordinates and datums</x:v>
      </x:c>
      <x:c r="I33" s="47" t="str">
        <x:v>PUBLIC</x:v>
      </x:c>
      <x:c r="J33" s="47" t="n">
        <x:v>1</x:v>
      </x:c>
      <x:c r="K33" s="56" t="n">
        <x:v>0</x:v>
      </x:c>
      <x:c r="L33" s="56" t="n">
        <x:v>0</x:v>
      </x:c>
      <x:c r="M33" s="47" t="str">
        <x:f>IF(AND(J33=1,K33=1,L33=1),"COMPLETE","OPEN")</x:f>
        <x:v>OPEN</x:v>
      </x:c>
      <x:c r="N33" s="84"/>
    </x:row>
    <x:row r="34">
      <x:c r="A34" s="47" t="str">
        <x:v>SC028</x:v>
      </x:c>
      <x:c r="B34" s="47" t="str">
        <x:v>P02</x:v>
      </x:c>
      <x:c r="C34" s="47" t="str">
        <x:v>ET-A</x:v>
      </x:c>
      <x:c r="D34" s="47" t="str">
        <x:v>ET-A-A</x:v>
      </x:c>
      <x:c r="E34" s="47" t="str">
        <x:v>VALID</x:v>
      </x:c>
      <x:c r="F34" s="47" t="str">
        <x:v>F10</x:v>
      </x:c>
      <x:c r="G34" s="47" t="str">
        <x:v>Physical</x:v>
      </x:c>
      <x:c r="H34" s="47" t="str">
        <x:v>Material, property and constitutive sources</x:v>
      </x:c>
      <x:c r="I34" s="47" t="str">
        <x:v>PUBLIC</x:v>
      </x:c>
      <x:c r="J34" s="47" t="n">
        <x:v>1</x:v>
      </x:c>
      <x:c r="K34" s="56" t="n">
        <x:v>0</x:v>
      </x:c>
      <x:c r="L34" s="56" t="n">
        <x:v>0</x:v>
      </x:c>
      <x:c r="M34" s="47" t="str">
        <x:f>IF(AND(J34=1,K34=1,L34=1),"COMPLETE","OPEN")</x:f>
        <x:v>OPEN</x:v>
      </x:c>
      <x:c r="N34" s="84"/>
    </x:row>
    <x:row r="35">
      <x:c r="A35" s="47" t="str">
        <x:v>SC029</x:v>
      </x:c>
      <x:c r="B35" s="47" t="str">
        <x:v>P02</x:v>
      </x:c>
      <x:c r="C35" s="47" t="str">
        <x:v>ET-A</x:v>
      </x:c>
      <x:c r="D35" s="47" t="str">
        <x:v>ET-A-A</x:v>
      </x:c>
      <x:c r="E35" s="47" t="str">
        <x:v>VALID</x:v>
      </x:c>
      <x:c r="F35" s="47" t="str">
        <x:v>F11</x:v>
      </x:c>
      <x:c r="G35" s="47" t="str">
        <x:v>Physical</x:v>
      </x:c>
      <x:c r="H35" s="47" t="str">
        <x:v>Interfaces, tolerances and boundary conditions</x:v>
      </x:c>
      <x:c r="I35" s="47" t="str">
        <x:v>PUBLIC</x:v>
      </x:c>
      <x:c r="J35" s="47" t="n">
        <x:v>1</x:v>
      </x:c>
      <x:c r="K35" s="56" t="n">
        <x:v>0</x:v>
      </x:c>
      <x:c r="L35" s="56" t="n">
        <x:v>0</x:v>
      </x:c>
      <x:c r="M35" s="47" t="str">
        <x:f>IF(AND(J35=1,K35=1,L35=1),"COMPLETE","OPEN")</x:f>
        <x:v>OPEN</x:v>
      </x:c>
      <x:c r="N35" s="84"/>
    </x:row>
    <x:row r="36">
      <x:c r="A36" s="47" t="str">
        <x:v>SC030</x:v>
      </x:c>
      <x:c r="B36" s="47" t="str">
        <x:v>P02</x:v>
      </x:c>
      <x:c r="C36" s="47" t="str">
        <x:v>ET-A</x:v>
      </x:c>
      <x:c r="D36" s="47" t="str">
        <x:v>ET-A-A</x:v>
      </x:c>
      <x:c r="E36" s="47" t="str">
        <x:v>VALID</x:v>
      </x:c>
      <x:c r="F36" s="47" t="str">
        <x:v>F12</x:v>
      </x:c>
      <x:c r="G36" s="47" t="str">
        <x:v>Physical</x:v>
      </x:c>
      <x:c r="H36" s="47" t="str">
        <x:v>Manufacturing, process and assembly assumptions</x:v>
      </x:c>
      <x:c r="I36" s="47" t="str">
        <x:v>PUBLIC</x:v>
      </x:c>
      <x:c r="J36" s="47" t="n">
        <x:v>1</x:v>
      </x:c>
      <x:c r="K36" s="56" t="n">
        <x:v>0</x:v>
      </x:c>
      <x:c r="L36" s="56" t="n">
        <x:v>0</x:v>
      </x:c>
      <x:c r="M36" s="47" t="str">
        <x:f>IF(AND(J36=1,K36=1,L36=1),"COMPLETE","OPEN")</x:f>
        <x:v>OPEN</x:v>
      </x:c>
      <x:c r="N36" s="84"/>
    </x:row>
    <x:row r="37">
      <x:c r="A37" s="47" t="str">
        <x:v>SC031</x:v>
      </x:c>
      <x:c r="B37" s="47" t="str">
        <x:v>P02</x:v>
      </x:c>
      <x:c r="C37" s="47" t="str">
        <x:v>ET-A</x:v>
      </x:c>
      <x:c r="D37" s="47" t="str">
        <x:v>ET-A-A</x:v>
      </x:c>
      <x:c r="E37" s="47" t="str">
        <x:v>VALID</x:v>
      </x:c>
      <x:c r="F37" s="47" t="str">
        <x:v>F13</x:v>
      </x:c>
      <x:c r="G37" s="47" t="str">
        <x:v>Civic</x:v>
      </x:c>
      <x:c r="H37" s="47" t="str">
        <x:v>Safe-state and abort logic</x:v>
      </x:c>
      <x:c r="I37" s="47" t="str">
        <x:v>PUBLIC</x:v>
      </x:c>
      <x:c r="J37" s="47" t="n">
        <x:v>1</x:v>
      </x:c>
      <x:c r="K37" s="56" t="n">
        <x:v>0</x:v>
      </x:c>
      <x:c r="L37" s="56" t="n">
        <x:v>0</x:v>
      </x:c>
      <x:c r="M37" s="47" t="str">
        <x:f>IF(AND(J37=1,K37=1,L37=1),"COMPLETE","OPEN")</x:f>
        <x:v>OPEN</x:v>
      </x:c>
      <x:c r="N37" s="84"/>
    </x:row>
    <x:row r="38">
      <x:c r="A38" s="47" t="str">
        <x:v>SC032</x:v>
      </x:c>
      <x:c r="B38" s="47" t="str">
        <x:v>P02</x:v>
      </x:c>
      <x:c r="C38" s="47" t="str">
        <x:v>ET-A</x:v>
      </x:c>
      <x:c r="D38" s="47" t="str">
        <x:v>ET-A-A</x:v>
      </x:c>
      <x:c r="E38" s="47" t="str">
        <x:v>VALID</x:v>
      </x:c>
      <x:c r="F38" s="47" t="str">
        <x:v>F14</x:v>
      </x:c>
      <x:c r="G38" s="47" t="str">
        <x:v>Civic</x:v>
      </x:c>
      <x:c r="H38" s="47" t="str">
        <x:v>Receiver and residual dispositions</x:v>
      </x:c>
      <x:c r="I38" s="47" t="str">
        <x:v>PUBLIC</x:v>
      </x:c>
      <x:c r="J38" s="47" t="n">
        <x:v>1</x:v>
      </x:c>
      <x:c r="K38" s="56" t="n">
        <x:v>0</x:v>
      </x:c>
      <x:c r="L38" s="56" t="n">
        <x:v>0</x:v>
      </x:c>
      <x:c r="M38" s="47" t="str">
        <x:f>IF(AND(J38=1,K38=1,L38=1),"COMPLETE","OPEN")</x:f>
        <x:v>OPEN</x:v>
      </x:c>
      <x:c r="N38" s="84"/>
    </x:row>
    <x:row r="39">
      <x:c r="A39" s="47" t="str">
        <x:v>SC033</x:v>
      </x:c>
      <x:c r="B39" s="47" t="str">
        <x:v>P02</x:v>
      </x:c>
      <x:c r="C39" s="47" t="str">
        <x:v>ET-A</x:v>
      </x:c>
      <x:c r="D39" s="47" t="str">
        <x:v>ET-A-A</x:v>
      </x:c>
      <x:c r="E39" s="47" t="str">
        <x:v>VALID</x:v>
      </x:c>
      <x:c r="F39" s="47" t="str">
        <x:v>F15</x:v>
      </x:c>
      <x:c r="G39" s="47" t="str">
        <x:v>Civic</x:v>
      </x:c>
      <x:c r="H39" s="47" t="str">
        <x:v>Rights, access and affected-population obligations</x:v>
      </x:c>
      <x:c r="I39" s="47" t="str">
        <x:v>PUBLIC</x:v>
      </x:c>
      <x:c r="J39" s="47" t="n">
        <x:v>1</x:v>
      </x:c>
      <x:c r="K39" s="56" t="n">
        <x:v>0</x:v>
      </x:c>
      <x:c r="L39" s="56" t="n">
        <x:v>0</x:v>
      </x:c>
      <x:c r="M39" s="47" t="str">
        <x:f>IF(AND(J39=1,K39=1,L39=1),"COMPLETE","OPEN")</x:f>
        <x:v>OPEN</x:v>
      </x:c>
      <x:c r="N39" s="84"/>
    </x:row>
    <x:row r="40">
      <x:c r="A40" s="47" t="str">
        <x:v>SC034</x:v>
      </x:c>
      <x:c r="B40" s="47" t="str">
        <x:v>P02</x:v>
      </x:c>
      <x:c r="C40" s="47" t="str">
        <x:v>ET-A</x:v>
      </x:c>
      <x:c r="D40" s="47" t="str">
        <x:v>ET-A-A</x:v>
      </x:c>
      <x:c r="E40" s="47" t="str">
        <x:v>VALID</x:v>
      </x:c>
      <x:c r="F40" s="47" t="str">
        <x:v>F16</x:v>
      </x:c>
      <x:c r="G40" s="47" t="str">
        <x:v>Epistemic</x:v>
      </x:c>
      <x:c r="H40" s="47" t="str">
        <x:v>Assumptions, unknowns and uncertainty bounds</x:v>
      </x:c>
      <x:c r="I40" s="47" t="str">
        <x:v>PUBLIC</x:v>
      </x:c>
      <x:c r="J40" s="47" t="n">
        <x:v>1</x:v>
      </x:c>
      <x:c r="K40" s="56" t="n">
        <x:v>0</x:v>
      </x:c>
      <x:c r="L40" s="56" t="n">
        <x:v>0</x:v>
      </x:c>
      <x:c r="M40" s="47" t="str">
        <x:f>IF(AND(J40=1,K40=1,L40=1),"COMPLETE","OPEN")</x:f>
        <x:v>OPEN</x:v>
      </x:c>
      <x:c r="N40" s="84"/>
    </x:row>
    <x:row r="41">
      <x:c r="A41" s="47" t="str">
        <x:v>SC035</x:v>
      </x:c>
      <x:c r="B41" s="47" t="str">
        <x:v>P02</x:v>
      </x:c>
      <x:c r="C41" s="47" t="str">
        <x:v>ET-A</x:v>
      </x:c>
      <x:c r="D41" s="47" t="str">
        <x:v>ET-A-A</x:v>
      </x:c>
      <x:c r="E41" s="47" t="str">
        <x:v>VALID</x:v>
      </x:c>
      <x:c r="F41" s="47" t="str">
        <x:v>F17</x:v>
      </x:c>
      <x:c r="G41" s="47" t="str">
        <x:v>Epistemic</x:v>
      </x:c>
      <x:c r="H41" s="47" t="str">
        <x:v>Causal event, denominator and claim trace</x:v>
      </x:c>
      <x:c r="I41" s="47" t="str">
        <x:v>PUBLIC</x:v>
      </x:c>
      <x:c r="J41" s="47" t="n">
        <x:v>1</x:v>
      </x:c>
      <x:c r="K41" s="56" t="n">
        <x:v>0</x:v>
      </x:c>
      <x:c r="L41" s="56" t="n">
        <x:v>0</x:v>
      </x:c>
      <x:c r="M41" s="47" t="str">
        <x:f>IF(AND(J41=1,K41=1,L41=1),"COMPLETE","OPEN")</x:f>
        <x:v>OPEN</x:v>
      </x:c>
      <x:c r="N41" s="84"/>
    </x:row>
    <x:row r="42">
      <x:c r="A42" s="47" t="str">
        <x:v>SC036</x:v>
      </x:c>
      <x:c r="B42" s="47" t="str">
        <x:v>P02</x:v>
      </x:c>
      <x:c r="C42" s="47" t="str">
        <x:v>ET-A</x:v>
      </x:c>
      <x:c r="D42" s="47" t="str">
        <x:v>ET-A-A</x:v>
      </x:c>
      <x:c r="E42" s="47" t="str">
        <x:v>VALID</x:v>
      </x:c>
      <x:c r="F42" s="47" t="str">
        <x:v>F18</x:v>
      </x:c>
      <x:c r="G42" s="47" t="str">
        <x:v>Epistemic</x:v>
      </x:c>
      <x:c r="H42" s="47" t="str">
        <x:v>Acceptance, expiry, disclosure and supersession rule</x:v>
      </x:c>
      <x:c r="I42" s="47" t="str">
        <x:v>PUBLIC</x:v>
      </x:c>
      <x:c r="J42" s="47" t="n">
        <x:v>1</x:v>
      </x:c>
      <x:c r="K42" s="56" t="n">
        <x:v>0</x:v>
      </x:c>
      <x:c r="L42" s="56" t="n">
        <x:v>0</x:v>
      </x:c>
      <x:c r="M42" s="47" t="str">
        <x:f>IF(AND(J42=1,K42=1,L42=1),"COMPLETE","OPEN")</x:f>
        <x:v>OPEN</x:v>
      </x:c>
      <x:c r="N42" s="84"/>
    </x:row>
    <x:row r="43">
      <x:c r="A43" s="47" t="str">
        <x:v>SC037</x:v>
      </x:c>
      <x:c r="B43" s="47" t="str">
        <x:v>P03</x:v>
      </x:c>
      <x:c r="C43" s="47" t="str">
        <x:v>ET-A</x:v>
      </x:c>
      <x:c r="D43" s="47" t="str">
        <x:v>ET-A-A</x:v>
      </x:c>
      <x:c r="E43" s="47" t="str">
        <x:v>CIVIL</x:v>
      </x:c>
      <x:c r="F43" s="47" t="str">
        <x:v>F01</x:v>
      </x:c>
      <x:c r="G43" s="47" t="str">
        <x:v>Identity</x:v>
      </x:c>
      <x:c r="H43" s="47" t="str">
        <x:v>Package identity and warrant scope</x:v>
      </x:c>
      <x:c r="I43" s="47" t="str">
        <x:v>PUBLIC</x:v>
      </x:c>
      <x:c r="J43" s="47" t="n">
        <x:v>1</x:v>
      </x:c>
      <x:c r="K43" s="56" t="n">
        <x:v>0</x:v>
      </x:c>
      <x:c r="L43" s="56" t="n">
        <x:v>0</x:v>
      </x:c>
      <x:c r="M43" s="47" t="str">
        <x:f>IF(AND(J43=1,K43=1,L43=1),"COMPLETE","OPEN")</x:f>
        <x:v>OPEN</x:v>
      </x:c>
      <x:c r="N43" s="84"/>
    </x:row>
    <x:row r="44">
      <x:c r="A44" s="47" t="str">
        <x:v>SC038</x:v>
      </x:c>
      <x:c r="B44" s="47" t="str">
        <x:v>P03</x:v>
      </x:c>
      <x:c r="C44" s="47" t="str">
        <x:v>ET-A</x:v>
      </x:c>
      <x:c r="D44" s="47" t="str">
        <x:v>ET-A-A</x:v>
      </x:c>
      <x:c r="E44" s="47" t="str">
        <x:v>CIVIL</x:v>
      </x:c>
      <x:c r="F44" s="47" t="str">
        <x:v>F02</x:v>
      </x:c>
      <x:c r="G44" s="47" t="str">
        <x:v>Identity</x:v>
      </x:c>
      <x:c r="H44" s="47" t="str">
        <x:v>Authorship, beneficial control and authority</x:v>
      </x:c>
      <x:c r="I44" s="47" t="str">
        <x:v>PUBLIC</x:v>
      </x:c>
      <x:c r="J44" s="47" t="n">
        <x:v>1</x:v>
      </x:c>
      <x:c r="K44" s="56" t="n">
        <x:v>0</x:v>
      </x:c>
      <x:c r="L44" s="56" t="n">
        <x:v>0</x:v>
      </x:c>
      <x:c r="M44" s="47" t="str">
        <x:f>IF(AND(J44=1,K44=1,L44=1),"COMPLETE","OPEN")</x:f>
        <x:v>OPEN</x:v>
      </x:c>
      <x:c r="N44" s="84"/>
    </x:row>
    <x:row r="45">
      <x:c r="A45" s="47" t="str">
        <x:v>SC039</x:v>
      </x:c>
      <x:c r="B45" s="47" t="str">
        <x:v>P03</x:v>
      </x:c>
      <x:c r="C45" s="47" t="str">
        <x:v>ET-A</x:v>
      </x:c>
      <x:c r="D45" s="47" t="str">
        <x:v>ET-A-A</x:v>
      </x:c>
      <x:c r="E45" s="47" t="str">
        <x:v>CIVIL</x:v>
      </x:c>
      <x:c r="F45" s="47" t="str">
        <x:v>F03</x:v>
      </x:c>
      <x:c r="G45" s="47" t="str">
        <x:v>Identity</x:v>
      </x:c>
      <x:c r="H45" s="47" t="str">
        <x:v>Configuration and content hash</x:v>
      </x:c>
      <x:c r="I45" s="47" t="str">
        <x:v>PUBLIC</x:v>
      </x:c>
      <x:c r="J45" s="47" t="n">
        <x:v>1</x:v>
      </x:c>
      <x:c r="K45" s="56" t="n">
        <x:v>0</x:v>
      </x:c>
      <x:c r="L45" s="56" t="n">
        <x:v>0</x:v>
      </x:c>
      <x:c r="M45" s="47" t="str">
        <x:f>IF(AND(J45=1,K45=1,L45=1),"COMPLETE","OPEN")</x:f>
        <x:v>OPEN</x:v>
      </x:c>
      <x:c r="N45" s="84"/>
    </x:row>
    <x:row r="46">
      <x:c r="A46" s="47" t="str">
        <x:v>SC040</x:v>
      </x:c>
      <x:c r="B46" s="47" t="str">
        <x:v>P03</x:v>
      </x:c>
      <x:c r="C46" s="47" t="str">
        <x:v>ET-A</x:v>
      </x:c>
      <x:c r="D46" s="47" t="str">
        <x:v>ET-A-A</x:v>
      </x:c>
      <x:c r="E46" s="47" t="str">
        <x:v>CIVIL</x:v>
      </x:c>
      <x:c r="F46" s="47" t="str">
        <x:v>F04</x:v>
      </x:c>
      <x:c r="G46" s="47" t="str">
        <x:v>Executable</x:v>
      </x:c>
      <x:c r="H46" s="47" t="str">
        <x:v>Native executable artifact</x:v>
      </x:c>
      <x:c r="I46" s="47" t="str">
        <x:v>ESCROW</x:v>
      </x:c>
      <x:c r="J46" s="47" t="n">
        <x:v>1</x:v>
      </x:c>
      <x:c r="K46" s="56" t="n">
        <x:v>0</x:v>
      </x:c>
      <x:c r="L46" s="56" t="n">
        <x:v>0</x:v>
      </x:c>
      <x:c r="M46" s="47" t="str">
        <x:f>IF(AND(J46=1,K46=1,L46=1),"COMPLETE","OPEN")</x:f>
        <x:v>OPEN</x:v>
      </x:c>
      <x:c r="N46" s="84"/>
    </x:row>
    <x:row r="47">
      <x:c r="A47" s="47" t="str">
        <x:v>SC041</x:v>
      </x:c>
      <x:c r="B47" s="47" t="str">
        <x:v>P03</x:v>
      </x:c>
      <x:c r="C47" s="47" t="str">
        <x:v>ET-A</x:v>
      </x:c>
      <x:c r="D47" s="47" t="str">
        <x:v>ET-A-A</x:v>
      </x:c>
      <x:c r="E47" s="47" t="str">
        <x:v>CIVIL</x:v>
      </x:c>
      <x:c r="F47" s="47" t="str">
        <x:v>F05</x:v>
      </x:c>
      <x:c r="G47" s="47" t="str">
        <x:v>Executable</x:v>
      </x:c>
      <x:c r="H47" s="47" t="str">
        <x:v>Native environment and toolchain image</x:v>
      </x:c>
      <x:c r="I47" s="47" t="str">
        <x:v>ESCROW</x:v>
      </x:c>
      <x:c r="J47" s="47" t="n">
        <x:v>1</x:v>
      </x:c>
      <x:c r="K47" s="56" t="n">
        <x:v>0</x:v>
      </x:c>
      <x:c r="L47" s="56" t="n">
        <x:v>0</x:v>
      </x:c>
      <x:c r="M47" s="47" t="str">
        <x:f>IF(AND(J47=1,K47=1,L47=1),"COMPLETE","OPEN")</x:f>
        <x:v>OPEN</x:v>
      </x:c>
      <x:c r="N47" s="84"/>
    </x:row>
    <x:row r="48">
      <x:c r="A48" s="47" t="str">
        <x:v>SC042</x:v>
      </x:c>
      <x:c r="B48" s="47" t="str">
        <x:v>P03</x:v>
      </x:c>
      <x:c r="C48" s="47" t="str">
        <x:v>ET-A</x:v>
      </x:c>
      <x:c r="D48" s="47" t="str">
        <x:v>ET-A-A</x:v>
      </x:c>
      <x:c r="E48" s="47" t="str">
        <x:v>CIVIL</x:v>
      </x:c>
      <x:c r="F48" s="47" t="str">
        <x:v>F06</x:v>
      </x:c>
      <x:c r="G48" s="47" t="str">
        <x:v>Executable</x:v>
      </x:c>
      <x:c r="H48" s="47" t="str">
        <x:v>Dependency bill, software bill and license rights</x:v>
      </x:c>
      <x:c r="I48" s="47" t="str">
        <x:v>PUBLIC</x:v>
      </x:c>
      <x:c r="J48" s="47" t="n">
        <x:v>1</x:v>
      </x:c>
      <x:c r="K48" s="56" t="n">
        <x:v>0</x:v>
      </x:c>
      <x:c r="L48" s="56" t="n">
        <x:v>0</x:v>
      </x:c>
      <x:c r="M48" s="47" t="str">
        <x:f>IF(AND(J48=1,K48=1,L48=1),"COMPLETE","OPEN")</x:f>
        <x:v>OPEN</x:v>
      </x:c>
      <x:c r="N48" s="84"/>
    </x:row>
    <x:row r="49">
      <x:c r="A49" s="47" t="str">
        <x:v>SC043</x:v>
      </x:c>
      <x:c r="B49" s="47" t="str">
        <x:v>P03</x:v>
      </x:c>
      <x:c r="C49" s="47" t="str">
        <x:v>ET-A</x:v>
      </x:c>
      <x:c r="D49" s="47" t="str">
        <x:v>ET-A-A</x:v>
      </x:c>
      <x:c r="E49" s="47" t="str">
        <x:v>CIVIL</x:v>
      </x:c>
      <x:c r="F49" s="47" t="str">
        <x:v>F07</x:v>
      </x:c>
      <x:c r="G49" s="47" t="str">
        <x:v>Executable</x:v>
      </x:c>
      <x:c r="H49" s="47" t="str">
        <x:v>Data provenance and calibration lineage</x:v>
      </x:c>
      <x:c r="I49" s="47" t="str">
        <x:v>ESCROW</x:v>
      </x:c>
      <x:c r="J49" s="47" t="n">
        <x:v>1</x:v>
      </x:c>
      <x:c r="K49" s="56" t="n">
        <x:v>0</x:v>
      </x:c>
      <x:c r="L49" s="56" t="n">
        <x:v>0</x:v>
      </x:c>
      <x:c r="M49" s="47" t="str">
        <x:f>IF(AND(J49=1,K49=1,L49=1),"COMPLETE","OPEN")</x:f>
        <x:v>OPEN</x:v>
      </x:c>
      <x:c r="N49" s="84"/>
    </x:row>
    <x:row r="50">
      <x:c r="A50" s="47" t="str">
        <x:v>SC044</x:v>
      </x:c>
      <x:c r="B50" s="47" t="str">
        <x:v>P03</x:v>
      </x:c>
      <x:c r="C50" s="47" t="str">
        <x:v>ET-A</x:v>
      </x:c>
      <x:c r="D50" s="47" t="str">
        <x:v>ET-A-A</x:v>
      </x:c>
      <x:c r="E50" s="47" t="str">
        <x:v>CIVIL</x:v>
      </x:c>
      <x:c r="F50" s="47" t="str">
        <x:v>F08</x:v>
      </x:c>
      <x:c r="G50" s="47" t="str">
        <x:v>Executable</x:v>
      </x:c>
      <x:c r="H50" s="47" t="str">
        <x:v>Random seed, solver and numerical controls</x:v>
      </x:c>
      <x:c r="I50" s="47" t="str">
        <x:v>ESCROW</x:v>
      </x:c>
      <x:c r="J50" s="47" t="n">
        <x:v>1</x:v>
      </x:c>
      <x:c r="K50" s="56" t="n">
        <x:v>0</x:v>
      </x:c>
      <x:c r="L50" s="56" t="n">
        <x:v>0</x:v>
      </x:c>
      <x:c r="M50" s="47" t="str">
        <x:f>IF(AND(J50=1,K50=1,L50=1),"COMPLETE","OPEN")</x:f>
        <x:v>OPEN</x:v>
      </x:c>
      <x:c r="N50" s="84"/>
    </x:row>
    <x:row r="51">
      <x:c r="A51" s="47" t="str">
        <x:v>SC045</x:v>
      </x:c>
      <x:c r="B51" s="47" t="str">
        <x:v>P03</x:v>
      </x:c>
      <x:c r="C51" s="47" t="str">
        <x:v>ET-A</x:v>
      </x:c>
      <x:c r="D51" s="47" t="str">
        <x:v>ET-A-A</x:v>
      </x:c>
      <x:c r="E51" s="47" t="str">
        <x:v>CIVIL</x:v>
      </x:c>
      <x:c r="F51" s="47" t="str">
        <x:v>F09</x:v>
      </x:c>
      <x:c r="G51" s="47" t="str">
        <x:v>Physical</x:v>
      </x:c>
      <x:c r="H51" s="47" t="str">
        <x:v>Units, coordinates and datums</x:v>
      </x:c>
      <x:c r="I51" s="47" t="str">
        <x:v>PUBLIC</x:v>
      </x:c>
      <x:c r="J51" s="47" t="n">
        <x:v>1</x:v>
      </x:c>
      <x:c r="K51" s="56" t="n">
        <x:v>0</x:v>
      </x:c>
      <x:c r="L51" s="56" t="n">
        <x:v>0</x:v>
      </x:c>
      <x:c r="M51" s="47" t="str">
        <x:f>IF(AND(J51=1,K51=1,L51=1),"COMPLETE","OPEN")</x:f>
        <x:v>OPEN</x:v>
      </x:c>
      <x:c r="N51" s="84"/>
    </x:row>
    <x:row r="52">
      <x:c r="A52" s="47" t="str">
        <x:v>SC046</x:v>
      </x:c>
      <x:c r="B52" s="47" t="str">
        <x:v>P03</x:v>
      </x:c>
      <x:c r="C52" s="47" t="str">
        <x:v>ET-A</x:v>
      </x:c>
      <x:c r="D52" s="47" t="str">
        <x:v>ET-A-A</x:v>
      </x:c>
      <x:c r="E52" s="47" t="str">
        <x:v>CIVIL</x:v>
      </x:c>
      <x:c r="F52" s="47" t="str">
        <x:v>F10</x:v>
      </x:c>
      <x:c r="G52" s="47" t="str">
        <x:v>Physical</x:v>
      </x:c>
      <x:c r="H52" s="47" t="str">
        <x:v>Material, property and constitutive sources</x:v>
      </x:c>
      <x:c r="I52" s="47" t="str">
        <x:v>PUBLIC</x:v>
      </x:c>
      <x:c r="J52" s="47" t="n">
        <x:v>1</x:v>
      </x:c>
      <x:c r="K52" s="56" t="n">
        <x:v>0</x:v>
      </x:c>
      <x:c r="L52" s="56" t="n">
        <x:v>0</x:v>
      </x:c>
      <x:c r="M52" s="47" t="str">
        <x:f>IF(AND(J52=1,K52=1,L52=1),"COMPLETE","OPEN")</x:f>
        <x:v>OPEN</x:v>
      </x:c>
      <x:c r="N52" s="84"/>
    </x:row>
    <x:row r="53">
      <x:c r="A53" s="47" t="str">
        <x:v>SC047</x:v>
      </x:c>
      <x:c r="B53" s="47" t="str">
        <x:v>P03</x:v>
      </x:c>
      <x:c r="C53" s="47" t="str">
        <x:v>ET-A</x:v>
      </x:c>
      <x:c r="D53" s="47" t="str">
        <x:v>ET-A-A</x:v>
      </x:c>
      <x:c r="E53" s="47" t="str">
        <x:v>CIVIL</x:v>
      </x:c>
      <x:c r="F53" s="47" t="str">
        <x:v>F11</x:v>
      </x:c>
      <x:c r="G53" s="47" t="str">
        <x:v>Physical</x:v>
      </x:c>
      <x:c r="H53" s="47" t="str">
        <x:v>Interfaces, tolerances and boundary conditions</x:v>
      </x:c>
      <x:c r="I53" s="47" t="str">
        <x:v>PUBLIC</x:v>
      </x:c>
      <x:c r="J53" s="47" t="n">
        <x:v>1</x:v>
      </x:c>
      <x:c r="K53" s="56" t="n">
        <x:v>0</x:v>
      </x:c>
      <x:c r="L53" s="56" t="n">
        <x:v>0</x:v>
      </x:c>
      <x:c r="M53" s="47" t="str">
        <x:f>IF(AND(J53=1,K53=1,L53=1),"COMPLETE","OPEN")</x:f>
        <x:v>OPEN</x:v>
      </x:c>
      <x:c r="N53" s="84"/>
    </x:row>
    <x:row r="54">
      <x:c r="A54" s="47" t="str">
        <x:v>SC048</x:v>
      </x:c>
      <x:c r="B54" s="47" t="str">
        <x:v>P03</x:v>
      </x:c>
      <x:c r="C54" s="47" t="str">
        <x:v>ET-A</x:v>
      </x:c>
      <x:c r="D54" s="47" t="str">
        <x:v>ET-A-A</x:v>
      </x:c>
      <x:c r="E54" s="47" t="str">
        <x:v>CIVIL</x:v>
      </x:c>
      <x:c r="F54" s="47" t="str">
        <x:v>F12</x:v>
      </x:c>
      <x:c r="G54" s="47" t="str">
        <x:v>Physical</x:v>
      </x:c>
      <x:c r="H54" s="47" t="str">
        <x:v>Manufacturing, process and assembly assumptions</x:v>
      </x:c>
      <x:c r="I54" s="47" t="str">
        <x:v>PUBLIC</x:v>
      </x:c>
      <x:c r="J54" s="47" t="n">
        <x:v>1</x:v>
      </x:c>
      <x:c r="K54" s="56" t="n">
        <x:v>0</x:v>
      </x:c>
      <x:c r="L54" s="56" t="n">
        <x:v>0</x:v>
      </x:c>
      <x:c r="M54" s="47" t="str">
        <x:f>IF(AND(J54=1,K54=1,L54=1),"COMPLETE","OPEN")</x:f>
        <x:v>OPEN</x:v>
      </x:c>
      <x:c r="N54" s="84"/>
    </x:row>
    <x:row r="55">
      <x:c r="A55" s="47" t="str">
        <x:v>SC049</x:v>
      </x:c>
      <x:c r="B55" s="47" t="str">
        <x:v>P03</x:v>
      </x:c>
      <x:c r="C55" s="47" t="str">
        <x:v>ET-A</x:v>
      </x:c>
      <x:c r="D55" s="47" t="str">
        <x:v>ET-A-A</x:v>
      </x:c>
      <x:c r="E55" s="47" t="str">
        <x:v>CIVIL</x:v>
      </x:c>
      <x:c r="F55" s="47" t="str">
        <x:v>F13</x:v>
      </x:c>
      <x:c r="G55" s="47" t="str">
        <x:v>Civic</x:v>
      </x:c>
      <x:c r="H55" s="47" t="str">
        <x:v>Safe-state and abort logic</x:v>
      </x:c>
      <x:c r="I55" s="47" t="str">
        <x:v>PUBLIC</x:v>
      </x:c>
      <x:c r="J55" s="47" t="n">
        <x:v>1</x:v>
      </x:c>
      <x:c r="K55" s="56" t="n">
        <x:v>0</x:v>
      </x:c>
      <x:c r="L55" s="56" t="n">
        <x:v>0</x:v>
      </x:c>
      <x:c r="M55" s="47" t="str">
        <x:f>IF(AND(J55=1,K55=1,L55=1),"COMPLETE","OPEN")</x:f>
        <x:v>OPEN</x:v>
      </x:c>
      <x:c r="N55" s="84"/>
    </x:row>
    <x:row r="56">
      <x:c r="A56" s="47" t="str">
        <x:v>SC050</x:v>
      </x:c>
      <x:c r="B56" s="47" t="str">
        <x:v>P03</x:v>
      </x:c>
      <x:c r="C56" s="47" t="str">
        <x:v>ET-A</x:v>
      </x:c>
      <x:c r="D56" s="47" t="str">
        <x:v>ET-A-A</x:v>
      </x:c>
      <x:c r="E56" s="47" t="str">
        <x:v>CIVIL</x:v>
      </x:c>
      <x:c r="F56" s="47" t="str">
        <x:v>F14</x:v>
      </x:c>
      <x:c r="G56" s="47" t="str">
        <x:v>Civic</x:v>
      </x:c>
      <x:c r="H56" s="47" t="str">
        <x:v>Receiver and residual dispositions</x:v>
      </x:c>
      <x:c r="I56" s="47" t="str">
        <x:v>PUBLIC</x:v>
      </x:c>
      <x:c r="J56" s="47" t="n">
        <x:v>1</x:v>
      </x:c>
      <x:c r="K56" s="56" t="n">
        <x:v>0</x:v>
      </x:c>
      <x:c r="L56" s="56" t="n">
        <x:v>0</x:v>
      </x:c>
      <x:c r="M56" s="47" t="str">
        <x:f>IF(AND(J56=1,K56=1,L56=1),"COMPLETE","OPEN")</x:f>
        <x:v>OPEN</x:v>
      </x:c>
      <x:c r="N56" s="84"/>
    </x:row>
    <x:row r="57">
      <x:c r="A57" s="47" t="str">
        <x:v>SC051</x:v>
      </x:c>
      <x:c r="B57" s="47" t="str">
        <x:v>P03</x:v>
      </x:c>
      <x:c r="C57" s="47" t="str">
        <x:v>ET-A</x:v>
      </x:c>
      <x:c r="D57" s="47" t="str">
        <x:v>ET-A-A</x:v>
      </x:c>
      <x:c r="E57" s="47" t="str">
        <x:v>CIVIL</x:v>
      </x:c>
      <x:c r="F57" s="47" t="str">
        <x:v>F15</x:v>
      </x:c>
      <x:c r="G57" s="47" t="str">
        <x:v>Civic</x:v>
      </x:c>
      <x:c r="H57" s="47" t="str">
        <x:v>Rights, access and affected-population obligations</x:v>
      </x:c>
      <x:c r="I57" s="47" t="str">
        <x:v>PUBLIC</x:v>
      </x:c>
      <x:c r="J57" s="47" t="n">
        <x:v>1</x:v>
      </x:c>
      <x:c r="K57" s="56" t="n">
        <x:v>0</x:v>
      </x:c>
      <x:c r="L57" s="56" t="n">
        <x:v>0</x:v>
      </x:c>
      <x:c r="M57" s="47" t="str">
        <x:f>IF(AND(J57=1,K57=1,L57=1),"COMPLETE","OPEN")</x:f>
        <x:v>OPEN</x:v>
      </x:c>
      <x:c r="N57" s="84"/>
    </x:row>
    <x:row r="58">
      <x:c r="A58" s="47" t="str">
        <x:v>SC052</x:v>
      </x:c>
      <x:c r="B58" s="47" t="str">
        <x:v>P03</x:v>
      </x:c>
      <x:c r="C58" s="47" t="str">
        <x:v>ET-A</x:v>
      </x:c>
      <x:c r="D58" s="47" t="str">
        <x:v>ET-A-A</x:v>
      </x:c>
      <x:c r="E58" s="47" t="str">
        <x:v>CIVIL</x:v>
      </x:c>
      <x:c r="F58" s="47" t="str">
        <x:v>F16</x:v>
      </x:c>
      <x:c r="G58" s="47" t="str">
        <x:v>Epistemic</x:v>
      </x:c>
      <x:c r="H58" s="47" t="str">
        <x:v>Assumptions, unknowns and uncertainty bounds</x:v>
      </x:c>
      <x:c r="I58" s="47" t="str">
        <x:v>PUBLIC</x:v>
      </x:c>
      <x:c r="J58" s="47" t="n">
        <x:v>1</x:v>
      </x:c>
      <x:c r="K58" s="56" t="n">
        <x:v>0</x:v>
      </x:c>
      <x:c r="L58" s="56" t="n">
        <x:v>0</x:v>
      </x:c>
      <x:c r="M58" s="47" t="str">
        <x:f>IF(AND(J58=1,K58=1,L58=1),"COMPLETE","OPEN")</x:f>
        <x:v>OPEN</x:v>
      </x:c>
      <x:c r="N58" s="84"/>
    </x:row>
    <x:row r="59">
      <x:c r="A59" s="47" t="str">
        <x:v>SC053</x:v>
      </x:c>
      <x:c r="B59" s="47" t="str">
        <x:v>P03</x:v>
      </x:c>
      <x:c r="C59" s="47" t="str">
        <x:v>ET-A</x:v>
      </x:c>
      <x:c r="D59" s="47" t="str">
        <x:v>ET-A-A</x:v>
      </x:c>
      <x:c r="E59" s="47" t="str">
        <x:v>CIVIL</x:v>
      </x:c>
      <x:c r="F59" s="47" t="str">
        <x:v>F17</x:v>
      </x:c>
      <x:c r="G59" s="47" t="str">
        <x:v>Epistemic</x:v>
      </x:c>
      <x:c r="H59" s="47" t="str">
        <x:v>Causal event, denominator and claim trace</x:v>
      </x:c>
      <x:c r="I59" s="47" t="str">
        <x:v>PUBLIC</x:v>
      </x:c>
      <x:c r="J59" s="47" t="n">
        <x:v>1</x:v>
      </x:c>
      <x:c r="K59" s="56" t="n">
        <x:v>0</x:v>
      </x:c>
      <x:c r="L59" s="56" t="n">
        <x:v>0</x:v>
      </x:c>
      <x:c r="M59" s="47" t="str">
        <x:f>IF(AND(J59=1,K59=1,L59=1),"COMPLETE","OPEN")</x:f>
        <x:v>OPEN</x:v>
      </x:c>
      <x:c r="N59" s="84"/>
    </x:row>
    <x:row r="60">
      <x:c r="A60" s="47" t="str">
        <x:v>SC054</x:v>
      </x:c>
      <x:c r="B60" s="47" t="str">
        <x:v>P03</x:v>
      </x:c>
      <x:c r="C60" s="47" t="str">
        <x:v>ET-A</x:v>
      </x:c>
      <x:c r="D60" s="47" t="str">
        <x:v>ET-A-A</x:v>
      </x:c>
      <x:c r="E60" s="47" t="str">
        <x:v>CIVIL</x:v>
      </x:c>
      <x:c r="F60" s="47" t="str">
        <x:v>F18</x:v>
      </x:c>
      <x:c r="G60" s="47" t="str">
        <x:v>Epistemic</x:v>
      </x:c>
      <x:c r="H60" s="47" t="str">
        <x:v>Acceptance, expiry, disclosure and supersession rule</x:v>
      </x:c>
      <x:c r="I60" s="47" t="str">
        <x:v>PUBLIC</x:v>
      </x:c>
      <x:c r="J60" s="47" t="n">
        <x:v>1</x:v>
      </x:c>
      <x:c r="K60" s="56" t="n">
        <x:v>0</x:v>
      </x:c>
      <x:c r="L60" s="56" t="n">
        <x:v>0</x:v>
      </x:c>
      <x:c r="M60" s="47" t="str">
        <x:f>IF(AND(J60=1,K60=1,L60=1),"COMPLETE","OPEN")</x:f>
        <x:v>OPEN</x:v>
      </x:c>
      <x:c r="N60" s="84"/>
    </x:row>
    <x:row r="61">
      <x:c r="A61" s="47" t="str">
        <x:v>SC055</x:v>
      </x:c>
      <x:c r="B61" s="47" t="str">
        <x:v>P04</x:v>
      </x:c>
      <x:c r="C61" s="47" t="str">
        <x:v>ET-A</x:v>
      </x:c>
      <x:c r="D61" s="47" t="str">
        <x:v>ET-A-A</x:v>
      </x:c>
      <x:c r="E61" s="47" t="str">
        <x:v>ARTICLE</x:v>
      </x:c>
      <x:c r="F61" s="47" t="str">
        <x:v>F01</x:v>
      </x:c>
      <x:c r="G61" s="47" t="str">
        <x:v>Identity</x:v>
      </x:c>
      <x:c r="H61" s="47" t="str">
        <x:v>Package identity and warrant scope</x:v>
      </x:c>
      <x:c r="I61" s="47" t="str">
        <x:v>PUBLIC</x:v>
      </x:c>
      <x:c r="J61" s="47" t="n">
        <x:v>1</x:v>
      </x:c>
      <x:c r="K61" s="56" t="n">
        <x:v>0</x:v>
      </x:c>
      <x:c r="L61" s="56" t="n">
        <x:v>0</x:v>
      </x:c>
      <x:c r="M61" s="47" t="str">
        <x:f>IF(AND(J61=1,K61=1,L61=1),"COMPLETE","OPEN")</x:f>
        <x:v>OPEN</x:v>
      </x:c>
      <x:c r="N61" s="84"/>
    </x:row>
    <x:row r="62">
      <x:c r="A62" s="47" t="str">
        <x:v>SC056</x:v>
      </x:c>
      <x:c r="B62" s="47" t="str">
        <x:v>P04</x:v>
      </x:c>
      <x:c r="C62" s="47" t="str">
        <x:v>ET-A</x:v>
      </x:c>
      <x:c r="D62" s="47" t="str">
        <x:v>ET-A-A</x:v>
      </x:c>
      <x:c r="E62" s="47" t="str">
        <x:v>ARTICLE</x:v>
      </x:c>
      <x:c r="F62" s="47" t="str">
        <x:v>F02</x:v>
      </x:c>
      <x:c r="G62" s="47" t="str">
        <x:v>Identity</x:v>
      </x:c>
      <x:c r="H62" s="47" t="str">
        <x:v>Authorship, beneficial control and authority</x:v>
      </x:c>
      <x:c r="I62" s="47" t="str">
        <x:v>PUBLIC</x:v>
      </x:c>
      <x:c r="J62" s="47" t="n">
        <x:v>1</x:v>
      </x:c>
      <x:c r="K62" s="56" t="n">
        <x:v>0</x:v>
      </x:c>
      <x:c r="L62" s="56" t="n">
        <x:v>0</x:v>
      </x:c>
      <x:c r="M62" s="47" t="str">
        <x:f>IF(AND(J62=1,K62=1,L62=1),"COMPLETE","OPEN")</x:f>
        <x:v>OPEN</x:v>
      </x:c>
      <x:c r="N62" s="84"/>
    </x:row>
    <x:row r="63">
      <x:c r="A63" s="47" t="str">
        <x:v>SC057</x:v>
      </x:c>
      <x:c r="B63" s="47" t="str">
        <x:v>P04</x:v>
      </x:c>
      <x:c r="C63" s="47" t="str">
        <x:v>ET-A</x:v>
      </x:c>
      <x:c r="D63" s="47" t="str">
        <x:v>ET-A-A</x:v>
      </x:c>
      <x:c r="E63" s="47" t="str">
        <x:v>ARTICLE</x:v>
      </x:c>
      <x:c r="F63" s="47" t="str">
        <x:v>F03</x:v>
      </x:c>
      <x:c r="G63" s="47" t="str">
        <x:v>Identity</x:v>
      </x:c>
      <x:c r="H63" s="47" t="str">
        <x:v>Configuration and content hash</x:v>
      </x:c>
      <x:c r="I63" s="47" t="str">
        <x:v>PUBLIC</x:v>
      </x:c>
      <x:c r="J63" s="47" t="n">
        <x:v>1</x:v>
      </x:c>
      <x:c r="K63" s="56" t="n">
        <x:v>0</x:v>
      </x:c>
      <x:c r="L63" s="56" t="n">
        <x:v>0</x:v>
      </x:c>
      <x:c r="M63" s="47" t="str">
        <x:f>IF(AND(J63=1,K63=1,L63=1),"COMPLETE","OPEN")</x:f>
        <x:v>OPEN</x:v>
      </x:c>
      <x:c r="N63" s="84"/>
    </x:row>
    <x:row r="64">
      <x:c r="A64" s="47" t="str">
        <x:v>SC058</x:v>
      </x:c>
      <x:c r="B64" s="47" t="str">
        <x:v>P04</x:v>
      </x:c>
      <x:c r="C64" s="47" t="str">
        <x:v>ET-A</x:v>
      </x:c>
      <x:c r="D64" s="47" t="str">
        <x:v>ET-A-A</x:v>
      </x:c>
      <x:c r="E64" s="47" t="str">
        <x:v>ARTICLE</x:v>
      </x:c>
      <x:c r="F64" s="47" t="str">
        <x:v>F04</x:v>
      </x:c>
      <x:c r="G64" s="47" t="str">
        <x:v>Executable</x:v>
      </x:c>
      <x:c r="H64" s="47" t="str">
        <x:v>Native executable artifact</x:v>
      </x:c>
      <x:c r="I64" s="47" t="str">
        <x:v>ESCROW</x:v>
      </x:c>
      <x:c r="J64" s="47" t="n">
        <x:v>1</x:v>
      </x:c>
      <x:c r="K64" s="56" t="n">
        <x:v>0</x:v>
      </x:c>
      <x:c r="L64" s="56" t="n">
        <x:v>0</x:v>
      </x:c>
      <x:c r="M64" s="47" t="str">
        <x:f>IF(AND(J64=1,K64=1,L64=1),"COMPLETE","OPEN")</x:f>
        <x:v>OPEN</x:v>
      </x:c>
      <x:c r="N64" s="84"/>
    </x:row>
    <x:row r="65">
      <x:c r="A65" s="47" t="str">
        <x:v>SC059</x:v>
      </x:c>
      <x:c r="B65" s="47" t="str">
        <x:v>P04</x:v>
      </x:c>
      <x:c r="C65" s="47" t="str">
        <x:v>ET-A</x:v>
      </x:c>
      <x:c r="D65" s="47" t="str">
        <x:v>ET-A-A</x:v>
      </x:c>
      <x:c r="E65" s="47" t="str">
        <x:v>ARTICLE</x:v>
      </x:c>
      <x:c r="F65" s="47" t="str">
        <x:v>F05</x:v>
      </x:c>
      <x:c r="G65" s="47" t="str">
        <x:v>Executable</x:v>
      </x:c>
      <x:c r="H65" s="47" t="str">
        <x:v>Native environment and toolchain image</x:v>
      </x:c>
      <x:c r="I65" s="47" t="str">
        <x:v>ESCROW</x:v>
      </x:c>
      <x:c r="J65" s="47" t="n">
        <x:v>1</x:v>
      </x:c>
      <x:c r="K65" s="56" t="n">
        <x:v>0</x:v>
      </x:c>
      <x:c r="L65" s="56" t="n">
        <x:v>0</x:v>
      </x:c>
      <x:c r="M65" s="47" t="str">
        <x:f>IF(AND(J65=1,K65=1,L65=1),"COMPLETE","OPEN")</x:f>
        <x:v>OPEN</x:v>
      </x:c>
      <x:c r="N65" s="84"/>
    </x:row>
    <x:row r="66">
      <x:c r="A66" s="47" t="str">
        <x:v>SC060</x:v>
      </x:c>
      <x:c r="B66" s="47" t="str">
        <x:v>P04</x:v>
      </x:c>
      <x:c r="C66" s="47" t="str">
        <x:v>ET-A</x:v>
      </x:c>
      <x:c r="D66" s="47" t="str">
        <x:v>ET-A-A</x:v>
      </x:c>
      <x:c r="E66" s="47" t="str">
        <x:v>ARTICLE</x:v>
      </x:c>
      <x:c r="F66" s="47" t="str">
        <x:v>F06</x:v>
      </x:c>
      <x:c r="G66" s="47" t="str">
        <x:v>Executable</x:v>
      </x:c>
      <x:c r="H66" s="47" t="str">
        <x:v>Dependency bill, software bill and license rights</x:v>
      </x:c>
      <x:c r="I66" s="47" t="str">
        <x:v>PUBLIC</x:v>
      </x:c>
      <x:c r="J66" s="47" t="n">
        <x:v>1</x:v>
      </x:c>
      <x:c r="K66" s="56" t="n">
        <x:v>0</x:v>
      </x:c>
      <x:c r="L66" s="56" t="n">
        <x:v>0</x:v>
      </x:c>
      <x:c r="M66" s="47" t="str">
        <x:f>IF(AND(J66=1,K66=1,L66=1),"COMPLETE","OPEN")</x:f>
        <x:v>OPEN</x:v>
      </x:c>
      <x:c r="N66" s="84"/>
    </x:row>
    <x:row r="67">
      <x:c r="A67" s="47" t="str">
        <x:v>SC061</x:v>
      </x:c>
      <x:c r="B67" s="47" t="str">
        <x:v>P04</x:v>
      </x:c>
      <x:c r="C67" s="47" t="str">
        <x:v>ET-A</x:v>
      </x:c>
      <x:c r="D67" s="47" t="str">
        <x:v>ET-A-A</x:v>
      </x:c>
      <x:c r="E67" s="47" t="str">
        <x:v>ARTICLE</x:v>
      </x:c>
      <x:c r="F67" s="47" t="str">
        <x:v>F07</x:v>
      </x:c>
      <x:c r="G67" s="47" t="str">
        <x:v>Executable</x:v>
      </x:c>
      <x:c r="H67" s="47" t="str">
        <x:v>Data provenance and calibration lineage</x:v>
      </x:c>
      <x:c r="I67" s="47" t="str">
        <x:v>ESCROW</x:v>
      </x:c>
      <x:c r="J67" s="47" t="n">
        <x:v>1</x:v>
      </x:c>
      <x:c r="K67" s="56" t="n">
        <x:v>0</x:v>
      </x:c>
      <x:c r="L67" s="56" t="n">
        <x:v>0</x:v>
      </x:c>
      <x:c r="M67" s="47" t="str">
        <x:f>IF(AND(J67=1,K67=1,L67=1),"COMPLETE","OPEN")</x:f>
        <x:v>OPEN</x:v>
      </x:c>
      <x:c r="N67" s="84"/>
    </x:row>
    <x:row r="68">
      <x:c r="A68" s="47" t="str">
        <x:v>SC062</x:v>
      </x:c>
      <x:c r="B68" s="47" t="str">
        <x:v>P04</x:v>
      </x:c>
      <x:c r="C68" s="47" t="str">
        <x:v>ET-A</x:v>
      </x:c>
      <x:c r="D68" s="47" t="str">
        <x:v>ET-A-A</x:v>
      </x:c>
      <x:c r="E68" s="47" t="str">
        <x:v>ARTICLE</x:v>
      </x:c>
      <x:c r="F68" s="47" t="str">
        <x:v>F08</x:v>
      </x:c>
      <x:c r="G68" s="47" t="str">
        <x:v>Executable</x:v>
      </x:c>
      <x:c r="H68" s="47" t="str">
        <x:v>Random seed, solver and numerical controls</x:v>
      </x:c>
      <x:c r="I68" s="47" t="str">
        <x:v>ESCROW</x:v>
      </x:c>
      <x:c r="J68" s="47" t="n">
        <x:v>1</x:v>
      </x:c>
      <x:c r="K68" s="56" t="n">
        <x:v>0</x:v>
      </x:c>
      <x:c r="L68" s="56" t="n">
        <x:v>0</x:v>
      </x:c>
      <x:c r="M68" s="47" t="str">
        <x:f>IF(AND(J68=1,K68=1,L68=1),"COMPLETE","OPEN")</x:f>
        <x:v>OPEN</x:v>
      </x:c>
      <x:c r="N68" s="84"/>
    </x:row>
    <x:row r="69">
      <x:c r="A69" s="47" t="str">
        <x:v>SC063</x:v>
      </x:c>
      <x:c r="B69" s="47" t="str">
        <x:v>P04</x:v>
      </x:c>
      <x:c r="C69" s="47" t="str">
        <x:v>ET-A</x:v>
      </x:c>
      <x:c r="D69" s="47" t="str">
        <x:v>ET-A-A</x:v>
      </x:c>
      <x:c r="E69" s="47" t="str">
        <x:v>ARTICLE</x:v>
      </x:c>
      <x:c r="F69" s="47" t="str">
        <x:v>F09</x:v>
      </x:c>
      <x:c r="G69" s="47" t="str">
        <x:v>Physical</x:v>
      </x:c>
      <x:c r="H69" s="47" t="str">
        <x:v>Units, coordinates and datums</x:v>
      </x:c>
      <x:c r="I69" s="47" t="str">
        <x:v>PUBLIC</x:v>
      </x:c>
      <x:c r="J69" s="47" t="n">
        <x:v>1</x:v>
      </x:c>
      <x:c r="K69" s="56" t="n">
        <x:v>0</x:v>
      </x:c>
      <x:c r="L69" s="56" t="n">
        <x:v>0</x:v>
      </x:c>
      <x:c r="M69" s="47" t="str">
        <x:f>IF(AND(J69=1,K69=1,L69=1),"COMPLETE","OPEN")</x:f>
        <x:v>OPEN</x:v>
      </x:c>
      <x:c r="N69" s="84"/>
    </x:row>
    <x:row r="70">
      <x:c r="A70" s="47" t="str">
        <x:v>SC064</x:v>
      </x:c>
      <x:c r="B70" s="47" t="str">
        <x:v>P04</x:v>
      </x:c>
      <x:c r="C70" s="47" t="str">
        <x:v>ET-A</x:v>
      </x:c>
      <x:c r="D70" s="47" t="str">
        <x:v>ET-A-A</x:v>
      </x:c>
      <x:c r="E70" s="47" t="str">
        <x:v>ARTICLE</x:v>
      </x:c>
      <x:c r="F70" s="47" t="str">
        <x:v>F10</x:v>
      </x:c>
      <x:c r="G70" s="47" t="str">
        <x:v>Physical</x:v>
      </x:c>
      <x:c r="H70" s="47" t="str">
        <x:v>Material, property and constitutive sources</x:v>
      </x:c>
      <x:c r="I70" s="47" t="str">
        <x:v>PUBLIC</x:v>
      </x:c>
      <x:c r="J70" s="47" t="n">
        <x:v>1</x:v>
      </x:c>
      <x:c r="K70" s="56" t="n">
        <x:v>0</x:v>
      </x:c>
      <x:c r="L70" s="56" t="n">
        <x:v>0</x:v>
      </x:c>
      <x:c r="M70" s="47" t="str">
        <x:f>IF(AND(J70=1,K70=1,L70=1),"COMPLETE","OPEN")</x:f>
        <x:v>OPEN</x:v>
      </x:c>
      <x:c r="N70" s="84"/>
    </x:row>
    <x:row r="71">
      <x:c r="A71" s="47" t="str">
        <x:v>SC065</x:v>
      </x:c>
      <x:c r="B71" s="47" t="str">
        <x:v>P04</x:v>
      </x:c>
      <x:c r="C71" s="47" t="str">
        <x:v>ET-A</x:v>
      </x:c>
      <x:c r="D71" s="47" t="str">
        <x:v>ET-A-A</x:v>
      </x:c>
      <x:c r="E71" s="47" t="str">
        <x:v>ARTICLE</x:v>
      </x:c>
      <x:c r="F71" s="47" t="str">
        <x:v>F11</x:v>
      </x:c>
      <x:c r="G71" s="47" t="str">
        <x:v>Physical</x:v>
      </x:c>
      <x:c r="H71" s="47" t="str">
        <x:v>Interfaces, tolerances and boundary conditions</x:v>
      </x:c>
      <x:c r="I71" s="47" t="str">
        <x:v>PUBLIC</x:v>
      </x:c>
      <x:c r="J71" s="47" t="n">
        <x:v>1</x:v>
      </x:c>
      <x:c r="K71" s="56" t="n">
        <x:v>0</x:v>
      </x:c>
      <x:c r="L71" s="56" t="n">
        <x:v>0</x:v>
      </x:c>
      <x:c r="M71" s="47" t="str">
        <x:f>IF(AND(J71=1,K71=1,L71=1),"COMPLETE","OPEN")</x:f>
        <x:v>OPEN</x:v>
      </x:c>
      <x:c r="N71" s="84"/>
    </x:row>
    <x:row r="72">
      <x:c r="A72" s="47" t="str">
        <x:v>SC066</x:v>
      </x:c>
      <x:c r="B72" s="47" t="str">
        <x:v>P04</x:v>
      </x:c>
      <x:c r="C72" s="47" t="str">
        <x:v>ET-A</x:v>
      </x:c>
      <x:c r="D72" s="47" t="str">
        <x:v>ET-A-A</x:v>
      </x:c>
      <x:c r="E72" s="47" t="str">
        <x:v>ARTICLE</x:v>
      </x:c>
      <x:c r="F72" s="47" t="str">
        <x:v>F12</x:v>
      </x:c>
      <x:c r="G72" s="47" t="str">
        <x:v>Physical</x:v>
      </x:c>
      <x:c r="H72" s="47" t="str">
        <x:v>Manufacturing, process and assembly assumptions</x:v>
      </x:c>
      <x:c r="I72" s="47" t="str">
        <x:v>PUBLIC</x:v>
      </x:c>
      <x:c r="J72" s="47" t="n">
        <x:v>1</x:v>
      </x:c>
      <x:c r="K72" s="56" t="n">
        <x:v>0</x:v>
      </x:c>
      <x:c r="L72" s="56" t="n">
        <x:v>0</x:v>
      </x:c>
      <x:c r="M72" s="47" t="str">
        <x:f>IF(AND(J72=1,K72=1,L72=1),"COMPLETE","OPEN")</x:f>
        <x:v>OPEN</x:v>
      </x:c>
      <x:c r="N72" s="84"/>
    </x:row>
    <x:row r="73">
      <x:c r="A73" s="47" t="str">
        <x:v>SC067</x:v>
      </x:c>
      <x:c r="B73" s="47" t="str">
        <x:v>P04</x:v>
      </x:c>
      <x:c r="C73" s="47" t="str">
        <x:v>ET-A</x:v>
      </x:c>
      <x:c r="D73" s="47" t="str">
        <x:v>ET-A-A</x:v>
      </x:c>
      <x:c r="E73" s="47" t="str">
        <x:v>ARTICLE</x:v>
      </x:c>
      <x:c r="F73" s="47" t="str">
        <x:v>F13</x:v>
      </x:c>
      <x:c r="G73" s="47" t="str">
        <x:v>Civic</x:v>
      </x:c>
      <x:c r="H73" s="47" t="str">
        <x:v>Safe-state and abort logic</x:v>
      </x:c>
      <x:c r="I73" s="47" t="str">
        <x:v>PUBLIC</x:v>
      </x:c>
      <x:c r="J73" s="47" t="n">
        <x:v>1</x:v>
      </x:c>
      <x:c r="K73" s="56" t="n">
        <x:v>0</x:v>
      </x:c>
      <x:c r="L73" s="56" t="n">
        <x:v>0</x:v>
      </x:c>
      <x:c r="M73" s="47" t="str">
        <x:f>IF(AND(J73=1,K73=1,L73=1),"COMPLETE","OPEN")</x:f>
        <x:v>OPEN</x:v>
      </x:c>
      <x:c r="N73" s="84"/>
    </x:row>
    <x:row r="74">
      <x:c r="A74" s="47" t="str">
        <x:v>SC068</x:v>
      </x:c>
      <x:c r="B74" s="47" t="str">
        <x:v>P04</x:v>
      </x:c>
      <x:c r="C74" s="47" t="str">
        <x:v>ET-A</x:v>
      </x:c>
      <x:c r="D74" s="47" t="str">
        <x:v>ET-A-A</x:v>
      </x:c>
      <x:c r="E74" s="47" t="str">
        <x:v>ARTICLE</x:v>
      </x:c>
      <x:c r="F74" s="47" t="str">
        <x:v>F14</x:v>
      </x:c>
      <x:c r="G74" s="47" t="str">
        <x:v>Civic</x:v>
      </x:c>
      <x:c r="H74" s="47" t="str">
        <x:v>Receiver and residual dispositions</x:v>
      </x:c>
      <x:c r="I74" s="47" t="str">
        <x:v>PUBLIC</x:v>
      </x:c>
      <x:c r="J74" s="47" t="n">
        <x:v>1</x:v>
      </x:c>
      <x:c r="K74" s="56" t="n">
        <x:v>0</x:v>
      </x:c>
      <x:c r="L74" s="56" t="n">
        <x:v>0</x:v>
      </x:c>
      <x:c r="M74" s="47" t="str">
        <x:f>IF(AND(J74=1,K74=1,L74=1),"COMPLETE","OPEN")</x:f>
        <x:v>OPEN</x:v>
      </x:c>
      <x:c r="N74" s="84"/>
    </x:row>
    <x:row r="75">
      <x:c r="A75" s="47" t="str">
        <x:v>SC069</x:v>
      </x:c>
      <x:c r="B75" s="47" t="str">
        <x:v>P04</x:v>
      </x:c>
      <x:c r="C75" s="47" t="str">
        <x:v>ET-A</x:v>
      </x:c>
      <x:c r="D75" s="47" t="str">
        <x:v>ET-A-A</x:v>
      </x:c>
      <x:c r="E75" s="47" t="str">
        <x:v>ARTICLE</x:v>
      </x:c>
      <x:c r="F75" s="47" t="str">
        <x:v>F15</x:v>
      </x:c>
      <x:c r="G75" s="47" t="str">
        <x:v>Civic</x:v>
      </x:c>
      <x:c r="H75" s="47" t="str">
        <x:v>Rights, access and affected-population obligations</x:v>
      </x:c>
      <x:c r="I75" s="47" t="str">
        <x:v>PUBLIC</x:v>
      </x:c>
      <x:c r="J75" s="47" t="n">
        <x:v>1</x:v>
      </x:c>
      <x:c r="K75" s="56" t="n">
        <x:v>0</x:v>
      </x:c>
      <x:c r="L75" s="56" t="n">
        <x:v>0</x:v>
      </x:c>
      <x:c r="M75" s="47" t="str">
        <x:f>IF(AND(J75=1,K75=1,L75=1),"COMPLETE","OPEN")</x:f>
        <x:v>OPEN</x:v>
      </x:c>
      <x:c r="N75" s="84"/>
    </x:row>
    <x:row r="76">
      <x:c r="A76" s="47" t="str">
        <x:v>SC070</x:v>
      </x:c>
      <x:c r="B76" s="47" t="str">
        <x:v>P04</x:v>
      </x:c>
      <x:c r="C76" s="47" t="str">
        <x:v>ET-A</x:v>
      </x:c>
      <x:c r="D76" s="47" t="str">
        <x:v>ET-A-A</x:v>
      </x:c>
      <x:c r="E76" s="47" t="str">
        <x:v>ARTICLE</x:v>
      </x:c>
      <x:c r="F76" s="47" t="str">
        <x:v>F16</x:v>
      </x:c>
      <x:c r="G76" s="47" t="str">
        <x:v>Epistemic</x:v>
      </x:c>
      <x:c r="H76" s="47" t="str">
        <x:v>Assumptions, unknowns and uncertainty bounds</x:v>
      </x:c>
      <x:c r="I76" s="47" t="str">
        <x:v>PUBLIC</x:v>
      </x:c>
      <x:c r="J76" s="47" t="n">
        <x:v>1</x:v>
      </x:c>
      <x:c r="K76" s="56" t="n">
        <x:v>0</x:v>
      </x:c>
      <x:c r="L76" s="56" t="n">
        <x:v>0</x:v>
      </x:c>
      <x:c r="M76" s="47" t="str">
        <x:f>IF(AND(J76=1,K76=1,L76=1),"COMPLETE","OPEN")</x:f>
        <x:v>OPEN</x:v>
      </x:c>
      <x:c r="N76" s="84"/>
    </x:row>
    <x:row r="77">
      <x:c r="A77" s="47" t="str">
        <x:v>SC071</x:v>
      </x:c>
      <x:c r="B77" s="47" t="str">
        <x:v>P04</x:v>
      </x:c>
      <x:c r="C77" s="47" t="str">
        <x:v>ET-A</x:v>
      </x:c>
      <x:c r="D77" s="47" t="str">
        <x:v>ET-A-A</x:v>
      </x:c>
      <x:c r="E77" s="47" t="str">
        <x:v>ARTICLE</x:v>
      </x:c>
      <x:c r="F77" s="47" t="str">
        <x:v>F17</x:v>
      </x:c>
      <x:c r="G77" s="47" t="str">
        <x:v>Epistemic</x:v>
      </x:c>
      <x:c r="H77" s="47" t="str">
        <x:v>Causal event, denominator and claim trace</x:v>
      </x:c>
      <x:c r="I77" s="47" t="str">
        <x:v>PUBLIC</x:v>
      </x:c>
      <x:c r="J77" s="47" t="n">
        <x:v>1</x:v>
      </x:c>
      <x:c r="K77" s="56" t="n">
        <x:v>0</x:v>
      </x:c>
      <x:c r="L77" s="56" t="n">
        <x:v>0</x:v>
      </x:c>
      <x:c r="M77" s="47" t="str">
        <x:f>IF(AND(J77=1,K77=1,L77=1),"COMPLETE","OPEN")</x:f>
        <x:v>OPEN</x:v>
      </x:c>
      <x:c r="N77" s="84"/>
    </x:row>
    <x:row r="78">
      <x:c r="A78" s="47" t="str">
        <x:v>SC072</x:v>
      </x:c>
      <x:c r="B78" s="47" t="str">
        <x:v>P04</x:v>
      </x:c>
      <x:c r="C78" s="47" t="str">
        <x:v>ET-A</x:v>
      </x:c>
      <x:c r="D78" s="47" t="str">
        <x:v>ET-A-A</x:v>
      </x:c>
      <x:c r="E78" s="47" t="str">
        <x:v>ARTICLE</x:v>
      </x:c>
      <x:c r="F78" s="47" t="str">
        <x:v>F18</x:v>
      </x:c>
      <x:c r="G78" s="47" t="str">
        <x:v>Epistemic</x:v>
      </x:c>
      <x:c r="H78" s="47" t="str">
        <x:v>Acceptance, expiry, disclosure and supersession rule</x:v>
      </x:c>
      <x:c r="I78" s="47" t="str">
        <x:v>PUBLIC</x:v>
      </x:c>
      <x:c r="J78" s="47" t="n">
        <x:v>1</x:v>
      </x:c>
      <x:c r="K78" s="56" t="n">
        <x:v>0</x:v>
      </x:c>
      <x:c r="L78" s="56" t="n">
        <x:v>0</x:v>
      </x:c>
      <x:c r="M78" s="47" t="str">
        <x:f>IF(AND(J78=1,K78=1,L78=1),"COMPLETE","OPEN")</x:f>
        <x:v>OPEN</x:v>
      </x:c>
      <x:c r="N78" s="84"/>
    </x:row>
    <x:row r="79">
      <x:c r="A79" s="47" t="str">
        <x:v>SC073</x:v>
      </x:c>
      <x:c r="B79" s="47" t="str">
        <x:v>P05</x:v>
      </x:c>
      <x:c r="C79" s="47" t="str">
        <x:v>ET-A</x:v>
      </x:c>
      <x:c r="D79" s="47" t="str">
        <x:v>ET-A-A</x:v>
      </x:c>
      <x:c r="E79" s="47" t="str">
        <x:v>REBUILD</x:v>
      </x:c>
      <x:c r="F79" s="47" t="str">
        <x:v>F01</x:v>
      </x:c>
      <x:c r="G79" s="47" t="str">
        <x:v>Identity</x:v>
      </x:c>
      <x:c r="H79" s="47" t="str">
        <x:v>Package identity and warrant scope</x:v>
      </x:c>
      <x:c r="I79" s="47" t="str">
        <x:v>PUBLIC</x:v>
      </x:c>
      <x:c r="J79" s="47" t="n">
        <x:v>1</x:v>
      </x:c>
      <x:c r="K79" s="56" t="n">
        <x:v>0</x:v>
      </x:c>
      <x:c r="L79" s="56" t="n">
        <x:v>0</x:v>
      </x:c>
      <x:c r="M79" s="47" t="str">
        <x:f>IF(AND(J79=1,K79=1,L79=1),"COMPLETE","OPEN")</x:f>
        <x:v>OPEN</x:v>
      </x:c>
      <x:c r="N79" s="84"/>
    </x:row>
    <x:row r="80">
      <x:c r="A80" s="47" t="str">
        <x:v>SC074</x:v>
      </x:c>
      <x:c r="B80" s="47" t="str">
        <x:v>P05</x:v>
      </x:c>
      <x:c r="C80" s="47" t="str">
        <x:v>ET-A</x:v>
      </x:c>
      <x:c r="D80" s="47" t="str">
        <x:v>ET-A-A</x:v>
      </x:c>
      <x:c r="E80" s="47" t="str">
        <x:v>REBUILD</x:v>
      </x:c>
      <x:c r="F80" s="47" t="str">
        <x:v>F02</x:v>
      </x:c>
      <x:c r="G80" s="47" t="str">
        <x:v>Identity</x:v>
      </x:c>
      <x:c r="H80" s="47" t="str">
        <x:v>Authorship, beneficial control and authority</x:v>
      </x:c>
      <x:c r="I80" s="47" t="str">
        <x:v>PUBLIC</x:v>
      </x:c>
      <x:c r="J80" s="47" t="n">
        <x:v>1</x:v>
      </x:c>
      <x:c r="K80" s="56" t="n">
        <x:v>0</x:v>
      </x:c>
      <x:c r="L80" s="56" t="n">
        <x:v>0</x:v>
      </x:c>
      <x:c r="M80" s="47" t="str">
        <x:f>IF(AND(J80=1,K80=1,L80=1),"COMPLETE","OPEN")</x:f>
        <x:v>OPEN</x:v>
      </x:c>
      <x:c r="N80" s="84"/>
    </x:row>
    <x:row r="81">
      <x:c r="A81" s="47" t="str">
        <x:v>SC075</x:v>
      </x:c>
      <x:c r="B81" s="47" t="str">
        <x:v>P05</x:v>
      </x:c>
      <x:c r="C81" s="47" t="str">
        <x:v>ET-A</x:v>
      </x:c>
      <x:c r="D81" s="47" t="str">
        <x:v>ET-A-A</x:v>
      </x:c>
      <x:c r="E81" s="47" t="str">
        <x:v>REBUILD</x:v>
      </x:c>
      <x:c r="F81" s="47" t="str">
        <x:v>F03</x:v>
      </x:c>
      <x:c r="G81" s="47" t="str">
        <x:v>Identity</x:v>
      </x:c>
      <x:c r="H81" s="47" t="str">
        <x:v>Configuration and content hash</x:v>
      </x:c>
      <x:c r="I81" s="47" t="str">
        <x:v>PUBLIC</x:v>
      </x:c>
      <x:c r="J81" s="47" t="n">
        <x:v>1</x:v>
      </x:c>
      <x:c r="K81" s="56" t="n">
        <x:v>0</x:v>
      </x:c>
      <x:c r="L81" s="56" t="n">
        <x:v>0</x:v>
      </x:c>
      <x:c r="M81" s="47" t="str">
        <x:f>IF(AND(J81=1,K81=1,L81=1),"COMPLETE","OPEN")</x:f>
        <x:v>OPEN</x:v>
      </x:c>
      <x:c r="N81" s="84"/>
    </x:row>
    <x:row r="82">
      <x:c r="A82" s="47" t="str">
        <x:v>SC076</x:v>
      </x:c>
      <x:c r="B82" s="47" t="str">
        <x:v>P05</x:v>
      </x:c>
      <x:c r="C82" s="47" t="str">
        <x:v>ET-A</x:v>
      </x:c>
      <x:c r="D82" s="47" t="str">
        <x:v>ET-A-A</x:v>
      </x:c>
      <x:c r="E82" s="47" t="str">
        <x:v>REBUILD</x:v>
      </x:c>
      <x:c r="F82" s="47" t="str">
        <x:v>F04</x:v>
      </x:c>
      <x:c r="G82" s="47" t="str">
        <x:v>Executable</x:v>
      </x:c>
      <x:c r="H82" s="47" t="str">
        <x:v>Native executable artifact</x:v>
      </x:c>
      <x:c r="I82" s="47" t="str">
        <x:v>ESCROW</x:v>
      </x:c>
      <x:c r="J82" s="47" t="n">
        <x:v>1</x:v>
      </x:c>
      <x:c r="K82" s="56" t="n">
        <x:v>0</x:v>
      </x:c>
      <x:c r="L82" s="56" t="n">
        <x:v>0</x:v>
      </x:c>
      <x:c r="M82" s="47" t="str">
        <x:f>IF(AND(J82=1,K82=1,L82=1),"COMPLETE","OPEN")</x:f>
        <x:v>OPEN</x:v>
      </x:c>
      <x:c r="N82" s="84"/>
    </x:row>
    <x:row r="83">
      <x:c r="A83" s="47" t="str">
        <x:v>SC077</x:v>
      </x:c>
      <x:c r="B83" s="47" t="str">
        <x:v>P05</x:v>
      </x:c>
      <x:c r="C83" s="47" t="str">
        <x:v>ET-A</x:v>
      </x:c>
      <x:c r="D83" s="47" t="str">
        <x:v>ET-A-A</x:v>
      </x:c>
      <x:c r="E83" s="47" t="str">
        <x:v>REBUILD</x:v>
      </x:c>
      <x:c r="F83" s="47" t="str">
        <x:v>F05</x:v>
      </x:c>
      <x:c r="G83" s="47" t="str">
        <x:v>Executable</x:v>
      </x:c>
      <x:c r="H83" s="47" t="str">
        <x:v>Native environment and toolchain image</x:v>
      </x:c>
      <x:c r="I83" s="47" t="str">
        <x:v>ESCROW</x:v>
      </x:c>
      <x:c r="J83" s="47" t="n">
        <x:v>1</x:v>
      </x:c>
      <x:c r="K83" s="56" t="n">
        <x:v>0</x:v>
      </x:c>
      <x:c r="L83" s="56" t="n">
        <x:v>0</x:v>
      </x:c>
      <x:c r="M83" s="47" t="str">
        <x:f>IF(AND(J83=1,K83=1,L83=1),"COMPLETE","OPEN")</x:f>
        <x:v>OPEN</x:v>
      </x:c>
      <x:c r="N83" s="84"/>
    </x:row>
    <x:row r="84">
      <x:c r="A84" s="47" t="str">
        <x:v>SC078</x:v>
      </x:c>
      <x:c r="B84" s="47" t="str">
        <x:v>P05</x:v>
      </x:c>
      <x:c r="C84" s="47" t="str">
        <x:v>ET-A</x:v>
      </x:c>
      <x:c r="D84" s="47" t="str">
        <x:v>ET-A-A</x:v>
      </x:c>
      <x:c r="E84" s="47" t="str">
        <x:v>REBUILD</x:v>
      </x:c>
      <x:c r="F84" s="47" t="str">
        <x:v>F06</x:v>
      </x:c>
      <x:c r="G84" s="47" t="str">
        <x:v>Executable</x:v>
      </x:c>
      <x:c r="H84" s="47" t="str">
        <x:v>Dependency bill, software bill and license rights</x:v>
      </x:c>
      <x:c r="I84" s="47" t="str">
        <x:v>PUBLIC</x:v>
      </x:c>
      <x:c r="J84" s="47" t="n">
        <x:v>1</x:v>
      </x:c>
      <x:c r="K84" s="56" t="n">
        <x:v>0</x:v>
      </x:c>
      <x:c r="L84" s="56" t="n">
        <x:v>0</x:v>
      </x:c>
      <x:c r="M84" s="47" t="str">
        <x:f>IF(AND(J84=1,K84=1,L84=1),"COMPLETE","OPEN")</x:f>
        <x:v>OPEN</x:v>
      </x:c>
      <x:c r="N84" s="84"/>
    </x:row>
    <x:row r="85">
      <x:c r="A85" s="47" t="str">
        <x:v>SC079</x:v>
      </x:c>
      <x:c r="B85" s="47" t="str">
        <x:v>P05</x:v>
      </x:c>
      <x:c r="C85" s="47" t="str">
        <x:v>ET-A</x:v>
      </x:c>
      <x:c r="D85" s="47" t="str">
        <x:v>ET-A-A</x:v>
      </x:c>
      <x:c r="E85" s="47" t="str">
        <x:v>REBUILD</x:v>
      </x:c>
      <x:c r="F85" s="47" t="str">
        <x:v>F07</x:v>
      </x:c>
      <x:c r="G85" s="47" t="str">
        <x:v>Executable</x:v>
      </x:c>
      <x:c r="H85" s="47" t="str">
        <x:v>Data provenance and calibration lineage</x:v>
      </x:c>
      <x:c r="I85" s="47" t="str">
        <x:v>ESCROW</x:v>
      </x:c>
      <x:c r="J85" s="47" t="n">
        <x:v>1</x:v>
      </x:c>
      <x:c r="K85" s="56" t="n">
        <x:v>0</x:v>
      </x:c>
      <x:c r="L85" s="56" t="n">
        <x:v>0</x:v>
      </x:c>
      <x:c r="M85" s="47" t="str">
        <x:f>IF(AND(J85=1,K85=1,L85=1),"COMPLETE","OPEN")</x:f>
        <x:v>OPEN</x:v>
      </x:c>
      <x:c r="N85" s="84"/>
    </x:row>
    <x:row r="86">
      <x:c r="A86" s="47" t="str">
        <x:v>SC080</x:v>
      </x:c>
      <x:c r="B86" s="47" t="str">
        <x:v>P05</x:v>
      </x:c>
      <x:c r="C86" s="47" t="str">
        <x:v>ET-A</x:v>
      </x:c>
      <x:c r="D86" s="47" t="str">
        <x:v>ET-A-A</x:v>
      </x:c>
      <x:c r="E86" s="47" t="str">
        <x:v>REBUILD</x:v>
      </x:c>
      <x:c r="F86" s="47" t="str">
        <x:v>F08</x:v>
      </x:c>
      <x:c r="G86" s="47" t="str">
        <x:v>Executable</x:v>
      </x:c>
      <x:c r="H86" s="47" t="str">
        <x:v>Random seed, solver and numerical controls</x:v>
      </x:c>
      <x:c r="I86" s="47" t="str">
        <x:v>ESCROW</x:v>
      </x:c>
      <x:c r="J86" s="47" t="n">
        <x:v>1</x:v>
      </x:c>
      <x:c r="K86" s="56" t="n">
        <x:v>0</x:v>
      </x:c>
      <x:c r="L86" s="56" t="n">
        <x:v>0</x:v>
      </x:c>
      <x:c r="M86" s="47" t="str">
        <x:f>IF(AND(J86=1,K86=1,L86=1),"COMPLETE","OPEN")</x:f>
        <x:v>OPEN</x:v>
      </x:c>
      <x:c r="N86" s="84"/>
    </x:row>
    <x:row r="87">
      <x:c r="A87" s="47" t="str">
        <x:v>SC081</x:v>
      </x:c>
      <x:c r="B87" s="47" t="str">
        <x:v>P05</x:v>
      </x:c>
      <x:c r="C87" s="47" t="str">
        <x:v>ET-A</x:v>
      </x:c>
      <x:c r="D87" s="47" t="str">
        <x:v>ET-A-A</x:v>
      </x:c>
      <x:c r="E87" s="47" t="str">
        <x:v>REBUILD</x:v>
      </x:c>
      <x:c r="F87" s="47" t="str">
        <x:v>F09</x:v>
      </x:c>
      <x:c r="G87" s="47" t="str">
        <x:v>Physical</x:v>
      </x:c>
      <x:c r="H87" s="47" t="str">
        <x:v>Units, coordinates and datums</x:v>
      </x:c>
      <x:c r="I87" s="47" t="str">
        <x:v>PUBLIC</x:v>
      </x:c>
      <x:c r="J87" s="47" t="n">
        <x:v>1</x:v>
      </x:c>
      <x:c r="K87" s="56" t="n">
        <x:v>0</x:v>
      </x:c>
      <x:c r="L87" s="56" t="n">
        <x:v>0</x:v>
      </x:c>
      <x:c r="M87" s="47" t="str">
        <x:f>IF(AND(J87=1,K87=1,L87=1),"COMPLETE","OPEN")</x:f>
        <x:v>OPEN</x:v>
      </x:c>
      <x:c r="N87" s="84"/>
    </x:row>
    <x:row r="88">
      <x:c r="A88" s="47" t="str">
        <x:v>SC082</x:v>
      </x:c>
      <x:c r="B88" s="47" t="str">
        <x:v>P05</x:v>
      </x:c>
      <x:c r="C88" s="47" t="str">
        <x:v>ET-A</x:v>
      </x:c>
      <x:c r="D88" s="47" t="str">
        <x:v>ET-A-A</x:v>
      </x:c>
      <x:c r="E88" s="47" t="str">
        <x:v>REBUILD</x:v>
      </x:c>
      <x:c r="F88" s="47" t="str">
        <x:v>F10</x:v>
      </x:c>
      <x:c r="G88" s="47" t="str">
        <x:v>Physical</x:v>
      </x:c>
      <x:c r="H88" s="47" t="str">
        <x:v>Material, property and constitutive sources</x:v>
      </x:c>
      <x:c r="I88" s="47" t="str">
        <x:v>PUBLIC</x:v>
      </x:c>
      <x:c r="J88" s="47" t="n">
        <x:v>1</x:v>
      </x:c>
      <x:c r="K88" s="56" t="n">
        <x:v>0</x:v>
      </x:c>
      <x:c r="L88" s="56" t="n">
        <x:v>0</x:v>
      </x:c>
      <x:c r="M88" s="47" t="str">
        <x:f>IF(AND(J88=1,K88=1,L88=1),"COMPLETE","OPEN")</x:f>
        <x:v>OPEN</x:v>
      </x:c>
      <x:c r="N88" s="84"/>
    </x:row>
    <x:row r="89">
      <x:c r="A89" s="47" t="str">
        <x:v>SC083</x:v>
      </x:c>
      <x:c r="B89" s="47" t="str">
        <x:v>P05</x:v>
      </x:c>
      <x:c r="C89" s="47" t="str">
        <x:v>ET-A</x:v>
      </x:c>
      <x:c r="D89" s="47" t="str">
        <x:v>ET-A-A</x:v>
      </x:c>
      <x:c r="E89" s="47" t="str">
        <x:v>REBUILD</x:v>
      </x:c>
      <x:c r="F89" s="47" t="str">
        <x:v>F11</x:v>
      </x:c>
      <x:c r="G89" s="47" t="str">
        <x:v>Physical</x:v>
      </x:c>
      <x:c r="H89" s="47" t="str">
        <x:v>Interfaces, tolerances and boundary conditions</x:v>
      </x:c>
      <x:c r="I89" s="47" t="str">
        <x:v>PUBLIC</x:v>
      </x:c>
      <x:c r="J89" s="47" t="n">
        <x:v>1</x:v>
      </x:c>
      <x:c r="K89" s="56" t="n">
        <x:v>0</x:v>
      </x:c>
      <x:c r="L89" s="56" t="n">
        <x:v>0</x:v>
      </x:c>
      <x:c r="M89" s="47" t="str">
        <x:f>IF(AND(J89=1,K89=1,L89=1),"COMPLETE","OPEN")</x:f>
        <x:v>OPEN</x:v>
      </x:c>
      <x:c r="N89" s="84"/>
    </x:row>
    <x:row r="90">
      <x:c r="A90" s="47" t="str">
        <x:v>SC084</x:v>
      </x:c>
      <x:c r="B90" s="47" t="str">
        <x:v>P05</x:v>
      </x:c>
      <x:c r="C90" s="47" t="str">
        <x:v>ET-A</x:v>
      </x:c>
      <x:c r="D90" s="47" t="str">
        <x:v>ET-A-A</x:v>
      </x:c>
      <x:c r="E90" s="47" t="str">
        <x:v>REBUILD</x:v>
      </x:c>
      <x:c r="F90" s="47" t="str">
        <x:v>F12</x:v>
      </x:c>
      <x:c r="G90" s="47" t="str">
        <x:v>Physical</x:v>
      </x:c>
      <x:c r="H90" s="47" t="str">
        <x:v>Manufacturing, process and assembly assumptions</x:v>
      </x:c>
      <x:c r="I90" s="47" t="str">
        <x:v>PUBLIC</x:v>
      </x:c>
      <x:c r="J90" s="47" t="n">
        <x:v>1</x:v>
      </x:c>
      <x:c r="K90" s="56" t="n">
        <x:v>0</x:v>
      </x:c>
      <x:c r="L90" s="56" t="n">
        <x:v>0</x:v>
      </x:c>
      <x:c r="M90" s="47" t="str">
        <x:f>IF(AND(J90=1,K90=1,L90=1),"COMPLETE","OPEN")</x:f>
        <x:v>OPEN</x:v>
      </x:c>
      <x:c r="N90" s="84"/>
    </x:row>
    <x:row r="91">
      <x:c r="A91" s="47" t="str">
        <x:v>SC085</x:v>
      </x:c>
      <x:c r="B91" s="47" t="str">
        <x:v>P05</x:v>
      </x:c>
      <x:c r="C91" s="47" t="str">
        <x:v>ET-A</x:v>
      </x:c>
      <x:c r="D91" s="47" t="str">
        <x:v>ET-A-A</x:v>
      </x:c>
      <x:c r="E91" s="47" t="str">
        <x:v>REBUILD</x:v>
      </x:c>
      <x:c r="F91" s="47" t="str">
        <x:v>F13</x:v>
      </x:c>
      <x:c r="G91" s="47" t="str">
        <x:v>Civic</x:v>
      </x:c>
      <x:c r="H91" s="47" t="str">
        <x:v>Safe-state and abort logic</x:v>
      </x:c>
      <x:c r="I91" s="47" t="str">
        <x:v>PUBLIC</x:v>
      </x:c>
      <x:c r="J91" s="47" t="n">
        <x:v>1</x:v>
      </x:c>
      <x:c r="K91" s="56" t="n">
        <x:v>0</x:v>
      </x:c>
      <x:c r="L91" s="56" t="n">
        <x:v>0</x:v>
      </x:c>
      <x:c r="M91" s="47" t="str">
        <x:f>IF(AND(J91=1,K91=1,L91=1),"COMPLETE","OPEN")</x:f>
        <x:v>OPEN</x:v>
      </x:c>
      <x:c r="N91" s="84"/>
    </x:row>
    <x:row r="92">
      <x:c r="A92" s="47" t="str">
        <x:v>SC086</x:v>
      </x:c>
      <x:c r="B92" s="47" t="str">
        <x:v>P05</x:v>
      </x:c>
      <x:c r="C92" s="47" t="str">
        <x:v>ET-A</x:v>
      </x:c>
      <x:c r="D92" s="47" t="str">
        <x:v>ET-A-A</x:v>
      </x:c>
      <x:c r="E92" s="47" t="str">
        <x:v>REBUILD</x:v>
      </x:c>
      <x:c r="F92" s="47" t="str">
        <x:v>F14</x:v>
      </x:c>
      <x:c r="G92" s="47" t="str">
        <x:v>Civic</x:v>
      </x:c>
      <x:c r="H92" s="47" t="str">
        <x:v>Receiver and residual dispositions</x:v>
      </x:c>
      <x:c r="I92" s="47" t="str">
        <x:v>PUBLIC</x:v>
      </x:c>
      <x:c r="J92" s="47" t="n">
        <x:v>1</x:v>
      </x:c>
      <x:c r="K92" s="56" t="n">
        <x:v>0</x:v>
      </x:c>
      <x:c r="L92" s="56" t="n">
        <x:v>0</x:v>
      </x:c>
      <x:c r="M92" s="47" t="str">
        <x:f>IF(AND(J92=1,K92=1,L92=1),"COMPLETE","OPEN")</x:f>
        <x:v>OPEN</x:v>
      </x:c>
      <x:c r="N92" s="84"/>
    </x:row>
    <x:row r="93">
      <x:c r="A93" s="47" t="str">
        <x:v>SC087</x:v>
      </x:c>
      <x:c r="B93" s="47" t="str">
        <x:v>P05</x:v>
      </x:c>
      <x:c r="C93" s="47" t="str">
        <x:v>ET-A</x:v>
      </x:c>
      <x:c r="D93" s="47" t="str">
        <x:v>ET-A-A</x:v>
      </x:c>
      <x:c r="E93" s="47" t="str">
        <x:v>REBUILD</x:v>
      </x:c>
      <x:c r="F93" s="47" t="str">
        <x:v>F15</x:v>
      </x:c>
      <x:c r="G93" s="47" t="str">
        <x:v>Civic</x:v>
      </x:c>
      <x:c r="H93" s="47" t="str">
        <x:v>Rights, access and affected-population obligations</x:v>
      </x:c>
      <x:c r="I93" s="47" t="str">
        <x:v>PUBLIC</x:v>
      </x:c>
      <x:c r="J93" s="47" t="n">
        <x:v>1</x:v>
      </x:c>
      <x:c r="K93" s="56" t="n">
        <x:v>0</x:v>
      </x:c>
      <x:c r="L93" s="56" t="n">
        <x:v>0</x:v>
      </x:c>
      <x:c r="M93" s="47" t="str">
        <x:f>IF(AND(J93=1,K93=1,L93=1),"COMPLETE","OPEN")</x:f>
        <x:v>OPEN</x:v>
      </x:c>
      <x:c r="N93" s="84"/>
    </x:row>
    <x:row r="94">
      <x:c r="A94" s="47" t="str">
        <x:v>SC088</x:v>
      </x:c>
      <x:c r="B94" s="47" t="str">
        <x:v>P05</x:v>
      </x:c>
      <x:c r="C94" s="47" t="str">
        <x:v>ET-A</x:v>
      </x:c>
      <x:c r="D94" s="47" t="str">
        <x:v>ET-A-A</x:v>
      </x:c>
      <x:c r="E94" s="47" t="str">
        <x:v>REBUILD</x:v>
      </x:c>
      <x:c r="F94" s="47" t="str">
        <x:v>F16</x:v>
      </x:c>
      <x:c r="G94" s="47" t="str">
        <x:v>Epistemic</x:v>
      </x:c>
      <x:c r="H94" s="47" t="str">
        <x:v>Assumptions, unknowns and uncertainty bounds</x:v>
      </x:c>
      <x:c r="I94" s="47" t="str">
        <x:v>PUBLIC</x:v>
      </x:c>
      <x:c r="J94" s="47" t="n">
        <x:v>1</x:v>
      </x:c>
      <x:c r="K94" s="56" t="n">
        <x:v>0</x:v>
      </x:c>
      <x:c r="L94" s="56" t="n">
        <x:v>0</x:v>
      </x:c>
      <x:c r="M94" s="47" t="str">
        <x:f>IF(AND(J94=1,K94=1,L94=1),"COMPLETE","OPEN")</x:f>
        <x:v>OPEN</x:v>
      </x:c>
      <x:c r="N94" s="84"/>
    </x:row>
    <x:row r="95">
      <x:c r="A95" s="47" t="str">
        <x:v>SC089</x:v>
      </x:c>
      <x:c r="B95" s="47" t="str">
        <x:v>P05</x:v>
      </x:c>
      <x:c r="C95" s="47" t="str">
        <x:v>ET-A</x:v>
      </x:c>
      <x:c r="D95" s="47" t="str">
        <x:v>ET-A-A</x:v>
      </x:c>
      <x:c r="E95" s="47" t="str">
        <x:v>REBUILD</x:v>
      </x:c>
      <x:c r="F95" s="47" t="str">
        <x:v>F17</x:v>
      </x:c>
      <x:c r="G95" s="47" t="str">
        <x:v>Epistemic</x:v>
      </x:c>
      <x:c r="H95" s="47" t="str">
        <x:v>Causal event, denominator and claim trace</x:v>
      </x:c>
      <x:c r="I95" s="47" t="str">
        <x:v>PUBLIC</x:v>
      </x:c>
      <x:c r="J95" s="47" t="n">
        <x:v>1</x:v>
      </x:c>
      <x:c r="K95" s="56" t="n">
        <x:v>0</x:v>
      </x:c>
      <x:c r="L95" s="56" t="n">
        <x:v>0</x:v>
      </x:c>
      <x:c r="M95" s="47" t="str">
        <x:f>IF(AND(J95=1,K95=1,L95=1),"COMPLETE","OPEN")</x:f>
        <x:v>OPEN</x:v>
      </x:c>
      <x:c r="N95" s="84"/>
    </x:row>
    <x:row r="96">
      <x:c r="A96" s="47" t="str">
        <x:v>SC090</x:v>
      </x:c>
      <x:c r="B96" s="47" t="str">
        <x:v>P05</x:v>
      </x:c>
      <x:c r="C96" s="47" t="str">
        <x:v>ET-A</x:v>
      </x:c>
      <x:c r="D96" s="47" t="str">
        <x:v>ET-A-A</x:v>
      </x:c>
      <x:c r="E96" s="47" t="str">
        <x:v>REBUILD</x:v>
      </x:c>
      <x:c r="F96" s="47" t="str">
        <x:v>F18</x:v>
      </x:c>
      <x:c r="G96" s="47" t="str">
        <x:v>Epistemic</x:v>
      </x:c>
      <x:c r="H96" s="47" t="str">
        <x:v>Acceptance, expiry, disclosure and supersession rule</x:v>
      </x:c>
      <x:c r="I96" s="47" t="str">
        <x:v>PUBLIC</x:v>
      </x:c>
      <x:c r="J96" s="47" t="n">
        <x:v>1</x:v>
      </x:c>
      <x:c r="K96" s="56" t="n">
        <x:v>0</x:v>
      </x:c>
      <x:c r="L96" s="56" t="n">
        <x:v>0</x:v>
      </x:c>
      <x:c r="M96" s="47" t="str">
        <x:f>IF(AND(J96=1,K96=1,L96=1),"COMPLETE","OPEN")</x:f>
        <x:v>OPEN</x:v>
      </x:c>
      <x:c r="N96" s="84"/>
    </x:row>
    <x:row r="97">
      <x:c r="A97" s="47" t="str">
        <x:v>SC091</x:v>
      </x:c>
      <x:c r="B97" s="47" t="str">
        <x:v>P06</x:v>
      </x:c>
      <x:c r="C97" s="47" t="str">
        <x:v>CT-C</x:v>
      </x:c>
      <x:c r="D97" s="47" t="str">
        <x:v>CT-C-B</x:v>
      </x:c>
      <x:c r="E97" s="47" t="str">
        <x:v>METHOD</x:v>
      </x:c>
      <x:c r="F97" s="47" t="str">
        <x:v>F01</x:v>
      </x:c>
      <x:c r="G97" s="47" t="str">
        <x:v>Identity</x:v>
      </x:c>
      <x:c r="H97" s="47" t="str">
        <x:v>Package identity and warrant scope</x:v>
      </x:c>
      <x:c r="I97" s="47" t="str">
        <x:v>PUBLIC</x:v>
      </x:c>
      <x:c r="J97" s="47" t="n">
        <x:v>1</x:v>
      </x:c>
      <x:c r="K97" s="56" t="n">
        <x:v>0</x:v>
      </x:c>
      <x:c r="L97" s="56" t="n">
        <x:v>0</x:v>
      </x:c>
      <x:c r="M97" s="47" t="str">
        <x:f>IF(AND(J97=1,K97=1,L97=1),"COMPLETE","OPEN")</x:f>
        <x:v>OPEN</x:v>
      </x:c>
      <x:c r="N97" s="84"/>
    </x:row>
    <x:row r="98">
      <x:c r="A98" s="47" t="str">
        <x:v>SC092</x:v>
      </x:c>
      <x:c r="B98" s="47" t="str">
        <x:v>P06</x:v>
      </x:c>
      <x:c r="C98" s="47" t="str">
        <x:v>CT-C</x:v>
      </x:c>
      <x:c r="D98" s="47" t="str">
        <x:v>CT-C-B</x:v>
      </x:c>
      <x:c r="E98" s="47" t="str">
        <x:v>METHOD</x:v>
      </x:c>
      <x:c r="F98" s="47" t="str">
        <x:v>F02</x:v>
      </x:c>
      <x:c r="G98" s="47" t="str">
        <x:v>Identity</x:v>
      </x:c>
      <x:c r="H98" s="47" t="str">
        <x:v>Authorship, beneficial control and authority</x:v>
      </x:c>
      <x:c r="I98" s="47" t="str">
        <x:v>PUBLIC</x:v>
      </x:c>
      <x:c r="J98" s="47" t="n">
        <x:v>1</x:v>
      </x:c>
      <x:c r="K98" s="56" t="n">
        <x:v>0</x:v>
      </x:c>
      <x:c r="L98" s="56" t="n">
        <x:v>0</x:v>
      </x:c>
      <x:c r="M98" s="47" t="str">
        <x:f>IF(AND(J98=1,K98=1,L98=1),"COMPLETE","OPEN")</x:f>
        <x:v>OPEN</x:v>
      </x:c>
      <x:c r="N98" s="84"/>
    </x:row>
    <x:row r="99">
      <x:c r="A99" s="47" t="str">
        <x:v>SC093</x:v>
      </x:c>
      <x:c r="B99" s="47" t="str">
        <x:v>P06</x:v>
      </x:c>
      <x:c r="C99" s="47" t="str">
        <x:v>CT-C</x:v>
      </x:c>
      <x:c r="D99" s="47" t="str">
        <x:v>CT-C-B</x:v>
      </x:c>
      <x:c r="E99" s="47" t="str">
        <x:v>METHOD</x:v>
      </x:c>
      <x:c r="F99" s="47" t="str">
        <x:v>F03</x:v>
      </x:c>
      <x:c r="G99" s="47" t="str">
        <x:v>Identity</x:v>
      </x:c>
      <x:c r="H99" s="47" t="str">
        <x:v>Configuration and content hash</x:v>
      </x:c>
      <x:c r="I99" s="47" t="str">
        <x:v>PUBLIC</x:v>
      </x:c>
      <x:c r="J99" s="47" t="n">
        <x:v>1</x:v>
      </x:c>
      <x:c r="K99" s="56" t="n">
        <x:v>0</x:v>
      </x:c>
      <x:c r="L99" s="56" t="n">
        <x:v>0</x:v>
      </x:c>
      <x:c r="M99" s="47" t="str">
        <x:f>IF(AND(J99=1,K99=1,L99=1),"COMPLETE","OPEN")</x:f>
        <x:v>OPEN</x:v>
      </x:c>
      <x:c r="N99" s="84"/>
    </x:row>
    <x:row r="100">
      <x:c r="A100" s="47" t="str">
        <x:v>SC094</x:v>
      </x:c>
      <x:c r="B100" s="47" t="str">
        <x:v>P06</x:v>
      </x:c>
      <x:c r="C100" s="47" t="str">
        <x:v>CT-C</x:v>
      </x:c>
      <x:c r="D100" s="47" t="str">
        <x:v>CT-C-B</x:v>
      </x:c>
      <x:c r="E100" s="47" t="str">
        <x:v>METHOD</x:v>
      </x:c>
      <x:c r="F100" s="47" t="str">
        <x:v>F04</x:v>
      </x:c>
      <x:c r="G100" s="47" t="str">
        <x:v>Executable</x:v>
      </x:c>
      <x:c r="H100" s="47" t="str">
        <x:v>Native executable artifact</x:v>
      </x:c>
      <x:c r="I100" s="47" t="str">
        <x:v>ESCROW</x:v>
      </x:c>
      <x:c r="J100" s="47" t="n">
        <x:v>1</x:v>
      </x:c>
      <x:c r="K100" s="56" t="n">
        <x:v>0</x:v>
      </x:c>
      <x:c r="L100" s="56" t="n">
        <x:v>0</x:v>
      </x:c>
      <x:c r="M100" s="47" t="str">
        <x:f>IF(AND(J100=1,K100=1,L100=1),"COMPLETE","OPEN")</x:f>
        <x:v>OPEN</x:v>
      </x:c>
      <x:c r="N100" s="84"/>
    </x:row>
    <x:row r="101">
      <x:c r="A101" s="47" t="str">
        <x:v>SC095</x:v>
      </x:c>
      <x:c r="B101" s="47" t="str">
        <x:v>P06</x:v>
      </x:c>
      <x:c r="C101" s="47" t="str">
        <x:v>CT-C</x:v>
      </x:c>
      <x:c r="D101" s="47" t="str">
        <x:v>CT-C-B</x:v>
      </x:c>
      <x:c r="E101" s="47" t="str">
        <x:v>METHOD</x:v>
      </x:c>
      <x:c r="F101" s="47" t="str">
        <x:v>F05</x:v>
      </x:c>
      <x:c r="G101" s="47" t="str">
        <x:v>Executable</x:v>
      </x:c>
      <x:c r="H101" s="47" t="str">
        <x:v>Native environment and toolchain image</x:v>
      </x:c>
      <x:c r="I101" s="47" t="str">
        <x:v>ESCROW</x:v>
      </x:c>
      <x:c r="J101" s="47" t="n">
        <x:v>1</x:v>
      </x:c>
      <x:c r="K101" s="56" t="n">
        <x:v>0</x:v>
      </x:c>
      <x:c r="L101" s="56" t="n">
        <x:v>0</x:v>
      </x:c>
      <x:c r="M101" s="47" t="str">
        <x:f>IF(AND(J101=1,K101=1,L101=1),"COMPLETE","OPEN")</x:f>
        <x:v>OPEN</x:v>
      </x:c>
      <x:c r="N101" s="84"/>
    </x:row>
    <x:row r="102">
      <x:c r="A102" s="47" t="str">
        <x:v>SC096</x:v>
      </x:c>
      <x:c r="B102" s="47" t="str">
        <x:v>P06</x:v>
      </x:c>
      <x:c r="C102" s="47" t="str">
        <x:v>CT-C</x:v>
      </x:c>
      <x:c r="D102" s="47" t="str">
        <x:v>CT-C-B</x:v>
      </x:c>
      <x:c r="E102" s="47" t="str">
        <x:v>METHOD</x:v>
      </x:c>
      <x:c r="F102" s="47" t="str">
        <x:v>F06</x:v>
      </x:c>
      <x:c r="G102" s="47" t="str">
        <x:v>Executable</x:v>
      </x:c>
      <x:c r="H102" s="47" t="str">
        <x:v>Dependency bill, software bill and license rights</x:v>
      </x:c>
      <x:c r="I102" s="47" t="str">
        <x:v>PUBLIC</x:v>
      </x:c>
      <x:c r="J102" s="47" t="n">
        <x:v>1</x:v>
      </x:c>
      <x:c r="K102" s="56" t="n">
        <x:v>0</x:v>
      </x:c>
      <x:c r="L102" s="56" t="n">
        <x:v>0</x:v>
      </x:c>
      <x:c r="M102" s="47" t="str">
        <x:f>IF(AND(J102=1,K102=1,L102=1),"COMPLETE","OPEN")</x:f>
        <x:v>OPEN</x:v>
      </x:c>
      <x:c r="N102" s="84"/>
    </x:row>
    <x:row r="103">
      <x:c r="A103" s="47" t="str">
        <x:v>SC097</x:v>
      </x:c>
      <x:c r="B103" s="47" t="str">
        <x:v>P06</x:v>
      </x:c>
      <x:c r="C103" s="47" t="str">
        <x:v>CT-C</x:v>
      </x:c>
      <x:c r="D103" s="47" t="str">
        <x:v>CT-C-B</x:v>
      </x:c>
      <x:c r="E103" s="47" t="str">
        <x:v>METHOD</x:v>
      </x:c>
      <x:c r="F103" s="47" t="str">
        <x:v>F07</x:v>
      </x:c>
      <x:c r="G103" s="47" t="str">
        <x:v>Executable</x:v>
      </x:c>
      <x:c r="H103" s="47" t="str">
        <x:v>Data provenance and calibration lineage</x:v>
      </x:c>
      <x:c r="I103" s="47" t="str">
        <x:v>ESCROW</x:v>
      </x:c>
      <x:c r="J103" s="47" t="n">
        <x:v>1</x:v>
      </x:c>
      <x:c r="K103" s="56" t="n">
        <x:v>0</x:v>
      </x:c>
      <x:c r="L103" s="56" t="n">
        <x:v>0</x:v>
      </x:c>
      <x:c r="M103" s="47" t="str">
        <x:f>IF(AND(J103=1,K103=1,L103=1),"COMPLETE","OPEN")</x:f>
        <x:v>OPEN</x:v>
      </x:c>
      <x:c r="N103" s="84"/>
    </x:row>
    <x:row r="104">
      <x:c r="A104" s="47" t="str">
        <x:v>SC098</x:v>
      </x:c>
      <x:c r="B104" s="47" t="str">
        <x:v>P06</x:v>
      </x:c>
      <x:c r="C104" s="47" t="str">
        <x:v>CT-C</x:v>
      </x:c>
      <x:c r="D104" s="47" t="str">
        <x:v>CT-C-B</x:v>
      </x:c>
      <x:c r="E104" s="47" t="str">
        <x:v>METHOD</x:v>
      </x:c>
      <x:c r="F104" s="47" t="str">
        <x:v>F08</x:v>
      </x:c>
      <x:c r="G104" s="47" t="str">
        <x:v>Executable</x:v>
      </x:c>
      <x:c r="H104" s="47" t="str">
        <x:v>Random seed, solver and numerical controls</x:v>
      </x:c>
      <x:c r="I104" s="47" t="str">
        <x:v>ESCROW</x:v>
      </x:c>
      <x:c r="J104" s="47" t="n">
        <x:v>1</x:v>
      </x:c>
      <x:c r="K104" s="56" t="n">
        <x:v>0</x:v>
      </x:c>
      <x:c r="L104" s="56" t="n">
        <x:v>0</x:v>
      </x:c>
      <x:c r="M104" s="47" t="str">
        <x:f>IF(AND(J104=1,K104=1,L104=1),"COMPLETE","OPEN")</x:f>
        <x:v>OPEN</x:v>
      </x:c>
      <x:c r="N104" s="84"/>
    </x:row>
    <x:row r="105">
      <x:c r="A105" s="47" t="str">
        <x:v>SC099</x:v>
      </x:c>
      <x:c r="B105" s="47" t="str">
        <x:v>P06</x:v>
      </x:c>
      <x:c r="C105" s="47" t="str">
        <x:v>CT-C</x:v>
      </x:c>
      <x:c r="D105" s="47" t="str">
        <x:v>CT-C-B</x:v>
      </x:c>
      <x:c r="E105" s="47" t="str">
        <x:v>METHOD</x:v>
      </x:c>
      <x:c r="F105" s="47" t="str">
        <x:v>F09</x:v>
      </x:c>
      <x:c r="G105" s="47" t="str">
        <x:v>Physical</x:v>
      </x:c>
      <x:c r="H105" s="47" t="str">
        <x:v>Units, coordinates and datums</x:v>
      </x:c>
      <x:c r="I105" s="47" t="str">
        <x:v>PUBLIC</x:v>
      </x:c>
      <x:c r="J105" s="47" t="n">
        <x:v>1</x:v>
      </x:c>
      <x:c r="K105" s="56" t="n">
        <x:v>0</x:v>
      </x:c>
      <x:c r="L105" s="56" t="n">
        <x:v>0</x:v>
      </x:c>
      <x:c r="M105" s="47" t="str">
        <x:f>IF(AND(J105=1,K105=1,L105=1),"COMPLETE","OPEN")</x:f>
        <x:v>OPEN</x:v>
      </x:c>
      <x:c r="N105" s="84"/>
    </x:row>
    <x:row r="106">
      <x:c r="A106" s="47" t="str">
        <x:v>SC100</x:v>
      </x:c>
      <x:c r="B106" s="47" t="str">
        <x:v>P06</x:v>
      </x:c>
      <x:c r="C106" s="47" t="str">
        <x:v>CT-C</x:v>
      </x:c>
      <x:c r="D106" s="47" t="str">
        <x:v>CT-C-B</x:v>
      </x:c>
      <x:c r="E106" s="47" t="str">
        <x:v>METHOD</x:v>
      </x:c>
      <x:c r="F106" s="47" t="str">
        <x:v>F10</x:v>
      </x:c>
      <x:c r="G106" s="47" t="str">
        <x:v>Physical</x:v>
      </x:c>
      <x:c r="H106" s="47" t="str">
        <x:v>Material, property and constitutive sources</x:v>
      </x:c>
      <x:c r="I106" s="47" t="str">
        <x:v>PUBLIC</x:v>
      </x:c>
      <x:c r="J106" s="47" t="n">
        <x:v>1</x:v>
      </x:c>
      <x:c r="K106" s="56" t="n">
        <x:v>0</x:v>
      </x:c>
      <x:c r="L106" s="56" t="n">
        <x:v>0</x:v>
      </x:c>
      <x:c r="M106" s="47" t="str">
        <x:f>IF(AND(J106=1,K106=1,L106=1),"COMPLETE","OPEN")</x:f>
        <x:v>OPEN</x:v>
      </x:c>
      <x:c r="N106" s="84"/>
    </x:row>
    <x:row r="107">
      <x:c r="A107" s="47" t="str">
        <x:v>SC101</x:v>
      </x:c>
      <x:c r="B107" s="47" t="str">
        <x:v>P06</x:v>
      </x:c>
      <x:c r="C107" s="47" t="str">
        <x:v>CT-C</x:v>
      </x:c>
      <x:c r="D107" s="47" t="str">
        <x:v>CT-C-B</x:v>
      </x:c>
      <x:c r="E107" s="47" t="str">
        <x:v>METHOD</x:v>
      </x:c>
      <x:c r="F107" s="47" t="str">
        <x:v>F11</x:v>
      </x:c>
      <x:c r="G107" s="47" t="str">
        <x:v>Physical</x:v>
      </x:c>
      <x:c r="H107" s="47" t="str">
        <x:v>Interfaces, tolerances and boundary conditions</x:v>
      </x:c>
      <x:c r="I107" s="47" t="str">
        <x:v>PUBLIC</x:v>
      </x:c>
      <x:c r="J107" s="47" t="n">
        <x:v>1</x:v>
      </x:c>
      <x:c r="K107" s="56" t="n">
        <x:v>0</x:v>
      </x:c>
      <x:c r="L107" s="56" t="n">
        <x:v>0</x:v>
      </x:c>
      <x:c r="M107" s="47" t="str">
        <x:f>IF(AND(J107=1,K107=1,L107=1),"COMPLETE","OPEN")</x:f>
        <x:v>OPEN</x:v>
      </x:c>
      <x:c r="N107" s="84"/>
    </x:row>
    <x:row r="108">
      <x:c r="A108" s="47" t="str">
        <x:v>SC102</x:v>
      </x:c>
      <x:c r="B108" s="47" t="str">
        <x:v>P06</x:v>
      </x:c>
      <x:c r="C108" s="47" t="str">
        <x:v>CT-C</x:v>
      </x:c>
      <x:c r="D108" s="47" t="str">
        <x:v>CT-C-B</x:v>
      </x:c>
      <x:c r="E108" s="47" t="str">
        <x:v>METHOD</x:v>
      </x:c>
      <x:c r="F108" s="47" t="str">
        <x:v>F12</x:v>
      </x:c>
      <x:c r="G108" s="47" t="str">
        <x:v>Physical</x:v>
      </x:c>
      <x:c r="H108" s="47" t="str">
        <x:v>Manufacturing, process and assembly assumptions</x:v>
      </x:c>
      <x:c r="I108" s="47" t="str">
        <x:v>PUBLIC</x:v>
      </x:c>
      <x:c r="J108" s="47" t="n">
        <x:v>1</x:v>
      </x:c>
      <x:c r="K108" s="56" t="n">
        <x:v>0</x:v>
      </x:c>
      <x:c r="L108" s="56" t="n">
        <x:v>0</x:v>
      </x:c>
      <x:c r="M108" s="47" t="str">
        <x:f>IF(AND(J108=1,K108=1,L108=1),"COMPLETE","OPEN")</x:f>
        <x:v>OPEN</x:v>
      </x:c>
      <x:c r="N108" s="84"/>
    </x:row>
    <x:row r="109">
      <x:c r="A109" s="47" t="str">
        <x:v>SC103</x:v>
      </x:c>
      <x:c r="B109" s="47" t="str">
        <x:v>P06</x:v>
      </x:c>
      <x:c r="C109" s="47" t="str">
        <x:v>CT-C</x:v>
      </x:c>
      <x:c r="D109" s="47" t="str">
        <x:v>CT-C-B</x:v>
      </x:c>
      <x:c r="E109" s="47" t="str">
        <x:v>METHOD</x:v>
      </x:c>
      <x:c r="F109" s="47" t="str">
        <x:v>F13</x:v>
      </x:c>
      <x:c r="G109" s="47" t="str">
        <x:v>Civic</x:v>
      </x:c>
      <x:c r="H109" s="47" t="str">
        <x:v>Safe-state and abort logic</x:v>
      </x:c>
      <x:c r="I109" s="47" t="str">
        <x:v>PUBLIC</x:v>
      </x:c>
      <x:c r="J109" s="47" t="n">
        <x:v>1</x:v>
      </x:c>
      <x:c r="K109" s="56" t="n">
        <x:v>0</x:v>
      </x:c>
      <x:c r="L109" s="56" t="n">
        <x:v>0</x:v>
      </x:c>
      <x:c r="M109" s="47" t="str">
        <x:f>IF(AND(J109=1,K109=1,L109=1),"COMPLETE","OPEN")</x:f>
        <x:v>OPEN</x:v>
      </x:c>
      <x:c r="N109" s="84"/>
    </x:row>
    <x:row r="110">
      <x:c r="A110" s="47" t="str">
        <x:v>SC104</x:v>
      </x:c>
      <x:c r="B110" s="47" t="str">
        <x:v>P06</x:v>
      </x:c>
      <x:c r="C110" s="47" t="str">
        <x:v>CT-C</x:v>
      </x:c>
      <x:c r="D110" s="47" t="str">
        <x:v>CT-C-B</x:v>
      </x:c>
      <x:c r="E110" s="47" t="str">
        <x:v>METHOD</x:v>
      </x:c>
      <x:c r="F110" s="47" t="str">
        <x:v>F14</x:v>
      </x:c>
      <x:c r="G110" s="47" t="str">
        <x:v>Civic</x:v>
      </x:c>
      <x:c r="H110" s="47" t="str">
        <x:v>Receiver and residual dispositions</x:v>
      </x:c>
      <x:c r="I110" s="47" t="str">
        <x:v>PUBLIC</x:v>
      </x:c>
      <x:c r="J110" s="47" t="n">
        <x:v>1</x:v>
      </x:c>
      <x:c r="K110" s="56" t="n">
        <x:v>0</x:v>
      </x:c>
      <x:c r="L110" s="56" t="n">
        <x:v>0</x:v>
      </x:c>
      <x:c r="M110" s="47" t="str">
        <x:f>IF(AND(J110=1,K110=1,L110=1),"COMPLETE","OPEN")</x:f>
        <x:v>OPEN</x:v>
      </x:c>
      <x:c r="N110" s="84"/>
    </x:row>
    <x:row r="111">
      <x:c r="A111" s="47" t="str">
        <x:v>SC105</x:v>
      </x:c>
      <x:c r="B111" s="47" t="str">
        <x:v>P06</x:v>
      </x:c>
      <x:c r="C111" s="47" t="str">
        <x:v>CT-C</x:v>
      </x:c>
      <x:c r="D111" s="47" t="str">
        <x:v>CT-C-B</x:v>
      </x:c>
      <x:c r="E111" s="47" t="str">
        <x:v>METHOD</x:v>
      </x:c>
      <x:c r="F111" s="47" t="str">
        <x:v>F15</x:v>
      </x:c>
      <x:c r="G111" s="47" t="str">
        <x:v>Civic</x:v>
      </x:c>
      <x:c r="H111" s="47" t="str">
        <x:v>Rights, access and affected-population obligations</x:v>
      </x:c>
      <x:c r="I111" s="47" t="str">
        <x:v>PUBLIC</x:v>
      </x:c>
      <x:c r="J111" s="47" t="n">
        <x:v>1</x:v>
      </x:c>
      <x:c r="K111" s="56" t="n">
        <x:v>0</x:v>
      </x:c>
      <x:c r="L111" s="56" t="n">
        <x:v>0</x:v>
      </x:c>
      <x:c r="M111" s="47" t="str">
        <x:f>IF(AND(J111=1,K111=1,L111=1),"COMPLETE","OPEN")</x:f>
        <x:v>OPEN</x:v>
      </x:c>
      <x:c r="N111" s="84"/>
    </x:row>
    <x:row r="112">
      <x:c r="A112" s="47" t="str">
        <x:v>SC106</x:v>
      </x:c>
      <x:c r="B112" s="47" t="str">
        <x:v>P06</x:v>
      </x:c>
      <x:c r="C112" s="47" t="str">
        <x:v>CT-C</x:v>
      </x:c>
      <x:c r="D112" s="47" t="str">
        <x:v>CT-C-B</x:v>
      </x:c>
      <x:c r="E112" s="47" t="str">
        <x:v>METHOD</x:v>
      </x:c>
      <x:c r="F112" s="47" t="str">
        <x:v>F16</x:v>
      </x:c>
      <x:c r="G112" s="47" t="str">
        <x:v>Epistemic</x:v>
      </x:c>
      <x:c r="H112" s="47" t="str">
        <x:v>Assumptions, unknowns and uncertainty bounds</x:v>
      </x:c>
      <x:c r="I112" s="47" t="str">
        <x:v>PUBLIC</x:v>
      </x:c>
      <x:c r="J112" s="47" t="n">
        <x:v>1</x:v>
      </x:c>
      <x:c r="K112" s="56" t="n">
        <x:v>0</x:v>
      </x:c>
      <x:c r="L112" s="56" t="n">
        <x:v>0</x:v>
      </x:c>
      <x:c r="M112" s="47" t="str">
        <x:f>IF(AND(J112=1,K112=1,L112=1),"COMPLETE","OPEN")</x:f>
        <x:v>OPEN</x:v>
      </x:c>
      <x:c r="N112" s="84"/>
    </x:row>
    <x:row r="113">
      <x:c r="A113" s="47" t="str">
        <x:v>SC107</x:v>
      </x:c>
      <x:c r="B113" s="47" t="str">
        <x:v>P06</x:v>
      </x:c>
      <x:c r="C113" s="47" t="str">
        <x:v>CT-C</x:v>
      </x:c>
      <x:c r="D113" s="47" t="str">
        <x:v>CT-C-B</x:v>
      </x:c>
      <x:c r="E113" s="47" t="str">
        <x:v>METHOD</x:v>
      </x:c>
      <x:c r="F113" s="47" t="str">
        <x:v>F17</x:v>
      </x:c>
      <x:c r="G113" s="47" t="str">
        <x:v>Epistemic</x:v>
      </x:c>
      <x:c r="H113" s="47" t="str">
        <x:v>Causal event, denominator and claim trace</x:v>
      </x:c>
      <x:c r="I113" s="47" t="str">
        <x:v>PUBLIC</x:v>
      </x:c>
      <x:c r="J113" s="47" t="n">
        <x:v>1</x:v>
      </x:c>
      <x:c r="K113" s="56" t="n">
        <x:v>0</x:v>
      </x:c>
      <x:c r="L113" s="56" t="n">
        <x:v>0</x:v>
      </x:c>
      <x:c r="M113" s="47" t="str">
        <x:f>IF(AND(J113=1,K113=1,L113=1),"COMPLETE","OPEN")</x:f>
        <x:v>OPEN</x:v>
      </x:c>
      <x:c r="N113" s="84"/>
    </x:row>
    <x:row r="114">
      <x:c r="A114" s="47" t="str">
        <x:v>SC108</x:v>
      </x:c>
      <x:c r="B114" s="47" t="str">
        <x:v>P06</x:v>
      </x:c>
      <x:c r="C114" s="47" t="str">
        <x:v>CT-C</x:v>
      </x:c>
      <x:c r="D114" s="47" t="str">
        <x:v>CT-C-B</x:v>
      </x:c>
      <x:c r="E114" s="47" t="str">
        <x:v>METHOD</x:v>
      </x:c>
      <x:c r="F114" s="47" t="str">
        <x:v>F18</x:v>
      </x:c>
      <x:c r="G114" s="47" t="str">
        <x:v>Epistemic</x:v>
      </x:c>
      <x:c r="H114" s="47" t="str">
        <x:v>Acceptance, expiry, disclosure and supersession rule</x:v>
      </x:c>
      <x:c r="I114" s="47" t="str">
        <x:v>PUBLIC</x:v>
      </x:c>
      <x:c r="J114" s="47" t="n">
        <x:v>1</x:v>
      </x:c>
      <x:c r="K114" s="56" t="n">
        <x:v>0</x:v>
      </x:c>
      <x:c r="L114" s="56" t="n">
        <x:v>0</x:v>
      </x:c>
      <x:c r="M114" s="47" t="str">
        <x:f>IF(AND(J114=1,K114=1,L114=1),"COMPLETE","OPEN")</x:f>
        <x:v>OPEN</x:v>
      </x:c>
      <x:c r="N114" s="84"/>
    </x:row>
    <x:row r="115">
      <x:c r="A115" s="47" t="str">
        <x:v>SC109</x:v>
      </x:c>
      <x:c r="B115" s="47" t="str">
        <x:v>P07</x:v>
      </x:c>
      <x:c r="C115" s="47" t="str">
        <x:v>CT-C</x:v>
      </x:c>
      <x:c r="D115" s="47" t="str">
        <x:v>CT-C-B</x:v>
      </x:c>
      <x:c r="E115" s="47" t="str">
        <x:v>VALID</x:v>
      </x:c>
      <x:c r="F115" s="47" t="str">
        <x:v>F01</x:v>
      </x:c>
      <x:c r="G115" s="47" t="str">
        <x:v>Identity</x:v>
      </x:c>
      <x:c r="H115" s="47" t="str">
        <x:v>Package identity and warrant scope</x:v>
      </x:c>
      <x:c r="I115" s="47" t="str">
        <x:v>PUBLIC</x:v>
      </x:c>
      <x:c r="J115" s="47" t="n">
        <x:v>1</x:v>
      </x:c>
      <x:c r="K115" s="56" t="n">
        <x:v>0</x:v>
      </x:c>
      <x:c r="L115" s="56" t="n">
        <x:v>0</x:v>
      </x:c>
      <x:c r="M115" s="47" t="str">
        <x:f>IF(AND(J115=1,K115=1,L115=1),"COMPLETE","OPEN")</x:f>
        <x:v>OPEN</x:v>
      </x:c>
      <x:c r="N115" s="84"/>
    </x:row>
    <x:row r="116">
      <x:c r="A116" s="47" t="str">
        <x:v>SC110</x:v>
      </x:c>
      <x:c r="B116" s="47" t="str">
        <x:v>P07</x:v>
      </x:c>
      <x:c r="C116" s="47" t="str">
        <x:v>CT-C</x:v>
      </x:c>
      <x:c r="D116" s="47" t="str">
        <x:v>CT-C-B</x:v>
      </x:c>
      <x:c r="E116" s="47" t="str">
        <x:v>VALID</x:v>
      </x:c>
      <x:c r="F116" s="47" t="str">
        <x:v>F02</x:v>
      </x:c>
      <x:c r="G116" s="47" t="str">
        <x:v>Identity</x:v>
      </x:c>
      <x:c r="H116" s="47" t="str">
        <x:v>Authorship, beneficial control and authority</x:v>
      </x:c>
      <x:c r="I116" s="47" t="str">
        <x:v>PUBLIC</x:v>
      </x:c>
      <x:c r="J116" s="47" t="n">
        <x:v>1</x:v>
      </x:c>
      <x:c r="K116" s="56" t="n">
        <x:v>0</x:v>
      </x:c>
      <x:c r="L116" s="56" t="n">
        <x:v>0</x:v>
      </x:c>
      <x:c r="M116" s="47" t="str">
        <x:f>IF(AND(J116=1,K116=1,L116=1),"COMPLETE","OPEN")</x:f>
        <x:v>OPEN</x:v>
      </x:c>
      <x:c r="N116" s="84"/>
    </x:row>
    <x:row r="117">
      <x:c r="A117" s="47" t="str">
        <x:v>SC111</x:v>
      </x:c>
      <x:c r="B117" s="47" t="str">
        <x:v>P07</x:v>
      </x:c>
      <x:c r="C117" s="47" t="str">
        <x:v>CT-C</x:v>
      </x:c>
      <x:c r="D117" s="47" t="str">
        <x:v>CT-C-B</x:v>
      </x:c>
      <x:c r="E117" s="47" t="str">
        <x:v>VALID</x:v>
      </x:c>
      <x:c r="F117" s="47" t="str">
        <x:v>F03</x:v>
      </x:c>
      <x:c r="G117" s="47" t="str">
        <x:v>Identity</x:v>
      </x:c>
      <x:c r="H117" s="47" t="str">
        <x:v>Configuration and content hash</x:v>
      </x:c>
      <x:c r="I117" s="47" t="str">
        <x:v>PUBLIC</x:v>
      </x:c>
      <x:c r="J117" s="47" t="n">
        <x:v>1</x:v>
      </x:c>
      <x:c r="K117" s="56" t="n">
        <x:v>0</x:v>
      </x:c>
      <x:c r="L117" s="56" t="n">
        <x:v>0</x:v>
      </x:c>
      <x:c r="M117" s="47" t="str">
        <x:f>IF(AND(J117=1,K117=1,L117=1),"COMPLETE","OPEN")</x:f>
        <x:v>OPEN</x:v>
      </x:c>
      <x:c r="N117" s="84"/>
    </x:row>
    <x:row r="118">
      <x:c r="A118" s="47" t="str">
        <x:v>SC112</x:v>
      </x:c>
      <x:c r="B118" s="47" t="str">
        <x:v>P07</x:v>
      </x:c>
      <x:c r="C118" s="47" t="str">
        <x:v>CT-C</x:v>
      </x:c>
      <x:c r="D118" s="47" t="str">
        <x:v>CT-C-B</x:v>
      </x:c>
      <x:c r="E118" s="47" t="str">
        <x:v>VALID</x:v>
      </x:c>
      <x:c r="F118" s="47" t="str">
        <x:v>F04</x:v>
      </x:c>
      <x:c r="G118" s="47" t="str">
        <x:v>Executable</x:v>
      </x:c>
      <x:c r="H118" s="47" t="str">
        <x:v>Native executable artifact</x:v>
      </x:c>
      <x:c r="I118" s="47" t="str">
        <x:v>ESCROW</x:v>
      </x:c>
      <x:c r="J118" s="47" t="n">
        <x:v>1</x:v>
      </x:c>
      <x:c r="K118" s="56" t="n">
        <x:v>0</x:v>
      </x:c>
      <x:c r="L118" s="56" t="n">
        <x:v>0</x:v>
      </x:c>
      <x:c r="M118" s="47" t="str">
        <x:f>IF(AND(J118=1,K118=1,L118=1),"COMPLETE","OPEN")</x:f>
        <x:v>OPEN</x:v>
      </x:c>
      <x:c r="N118" s="84"/>
    </x:row>
    <x:row r="119">
      <x:c r="A119" s="47" t="str">
        <x:v>SC113</x:v>
      </x:c>
      <x:c r="B119" s="47" t="str">
        <x:v>P07</x:v>
      </x:c>
      <x:c r="C119" s="47" t="str">
        <x:v>CT-C</x:v>
      </x:c>
      <x:c r="D119" s="47" t="str">
        <x:v>CT-C-B</x:v>
      </x:c>
      <x:c r="E119" s="47" t="str">
        <x:v>VALID</x:v>
      </x:c>
      <x:c r="F119" s="47" t="str">
        <x:v>F05</x:v>
      </x:c>
      <x:c r="G119" s="47" t="str">
        <x:v>Executable</x:v>
      </x:c>
      <x:c r="H119" s="47" t="str">
        <x:v>Native environment and toolchain image</x:v>
      </x:c>
      <x:c r="I119" s="47" t="str">
        <x:v>ESCROW</x:v>
      </x:c>
      <x:c r="J119" s="47" t="n">
        <x:v>1</x:v>
      </x:c>
      <x:c r="K119" s="56" t="n">
        <x:v>0</x:v>
      </x:c>
      <x:c r="L119" s="56" t="n">
        <x:v>0</x:v>
      </x:c>
      <x:c r="M119" s="47" t="str">
        <x:f>IF(AND(J119=1,K119=1,L119=1),"COMPLETE","OPEN")</x:f>
        <x:v>OPEN</x:v>
      </x:c>
      <x:c r="N119" s="84"/>
    </x:row>
    <x:row r="120">
      <x:c r="A120" s="47" t="str">
        <x:v>SC114</x:v>
      </x:c>
      <x:c r="B120" s="47" t="str">
        <x:v>P07</x:v>
      </x:c>
      <x:c r="C120" s="47" t="str">
        <x:v>CT-C</x:v>
      </x:c>
      <x:c r="D120" s="47" t="str">
        <x:v>CT-C-B</x:v>
      </x:c>
      <x:c r="E120" s="47" t="str">
        <x:v>VALID</x:v>
      </x:c>
      <x:c r="F120" s="47" t="str">
        <x:v>F06</x:v>
      </x:c>
      <x:c r="G120" s="47" t="str">
        <x:v>Executable</x:v>
      </x:c>
      <x:c r="H120" s="47" t="str">
        <x:v>Dependency bill, software bill and license rights</x:v>
      </x:c>
      <x:c r="I120" s="47" t="str">
        <x:v>PUBLIC</x:v>
      </x:c>
      <x:c r="J120" s="47" t="n">
        <x:v>1</x:v>
      </x:c>
      <x:c r="K120" s="56" t="n">
        <x:v>0</x:v>
      </x:c>
      <x:c r="L120" s="56" t="n">
        <x:v>0</x:v>
      </x:c>
      <x:c r="M120" s="47" t="str">
        <x:f>IF(AND(J120=1,K120=1,L120=1),"COMPLETE","OPEN")</x:f>
        <x:v>OPEN</x:v>
      </x:c>
      <x:c r="N120" s="84"/>
    </x:row>
    <x:row r="121">
      <x:c r="A121" s="47" t="str">
        <x:v>SC115</x:v>
      </x:c>
      <x:c r="B121" s="47" t="str">
        <x:v>P07</x:v>
      </x:c>
      <x:c r="C121" s="47" t="str">
        <x:v>CT-C</x:v>
      </x:c>
      <x:c r="D121" s="47" t="str">
        <x:v>CT-C-B</x:v>
      </x:c>
      <x:c r="E121" s="47" t="str">
        <x:v>VALID</x:v>
      </x:c>
      <x:c r="F121" s="47" t="str">
        <x:v>F07</x:v>
      </x:c>
      <x:c r="G121" s="47" t="str">
        <x:v>Executable</x:v>
      </x:c>
      <x:c r="H121" s="47" t="str">
        <x:v>Data provenance and calibration lineage</x:v>
      </x:c>
      <x:c r="I121" s="47" t="str">
        <x:v>ESCROW</x:v>
      </x:c>
      <x:c r="J121" s="47" t="n">
        <x:v>1</x:v>
      </x:c>
      <x:c r="K121" s="56" t="n">
        <x:v>0</x:v>
      </x:c>
      <x:c r="L121" s="56" t="n">
        <x:v>0</x:v>
      </x:c>
      <x:c r="M121" s="47" t="str">
        <x:f>IF(AND(J121=1,K121=1,L121=1),"COMPLETE","OPEN")</x:f>
        <x:v>OPEN</x:v>
      </x:c>
      <x:c r="N121" s="84"/>
    </x:row>
    <x:row r="122">
      <x:c r="A122" s="47" t="str">
        <x:v>SC116</x:v>
      </x:c>
      <x:c r="B122" s="47" t="str">
        <x:v>P07</x:v>
      </x:c>
      <x:c r="C122" s="47" t="str">
        <x:v>CT-C</x:v>
      </x:c>
      <x:c r="D122" s="47" t="str">
        <x:v>CT-C-B</x:v>
      </x:c>
      <x:c r="E122" s="47" t="str">
        <x:v>VALID</x:v>
      </x:c>
      <x:c r="F122" s="47" t="str">
        <x:v>F08</x:v>
      </x:c>
      <x:c r="G122" s="47" t="str">
        <x:v>Executable</x:v>
      </x:c>
      <x:c r="H122" s="47" t="str">
        <x:v>Random seed, solver and numerical controls</x:v>
      </x:c>
      <x:c r="I122" s="47" t="str">
        <x:v>ESCROW</x:v>
      </x:c>
      <x:c r="J122" s="47" t="n">
        <x:v>1</x:v>
      </x:c>
      <x:c r="K122" s="56" t="n">
        <x:v>0</x:v>
      </x:c>
      <x:c r="L122" s="56" t="n">
        <x:v>0</x:v>
      </x:c>
      <x:c r="M122" s="47" t="str">
        <x:f>IF(AND(J122=1,K122=1,L122=1),"COMPLETE","OPEN")</x:f>
        <x:v>OPEN</x:v>
      </x:c>
      <x:c r="N122" s="84"/>
    </x:row>
    <x:row r="123">
      <x:c r="A123" s="47" t="str">
        <x:v>SC117</x:v>
      </x:c>
      <x:c r="B123" s="47" t="str">
        <x:v>P07</x:v>
      </x:c>
      <x:c r="C123" s="47" t="str">
        <x:v>CT-C</x:v>
      </x:c>
      <x:c r="D123" s="47" t="str">
        <x:v>CT-C-B</x:v>
      </x:c>
      <x:c r="E123" s="47" t="str">
        <x:v>VALID</x:v>
      </x:c>
      <x:c r="F123" s="47" t="str">
        <x:v>F09</x:v>
      </x:c>
      <x:c r="G123" s="47" t="str">
        <x:v>Physical</x:v>
      </x:c>
      <x:c r="H123" s="47" t="str">
        <x:v>Units, coordinates and datums</x:v>
      </x:c>
      <x:c r="I123" s="47" t="str">
        <x:v>PUBLIC</x:v>
      </x:c>
      <x:c r="J123" s="47" t="n">
        <x:v>1</x:v>
      </x:c>
      <x:c r="K123" s="56" t="n">
        <x:v>0</x:v>
      </x:c>
      <x:c r="L123" s="56" t="n">
        <x:v>0</x:v>
      </x:c>
      <x:c r="M123" s="47" t="str">
        <x:f>IF(AND(J123=1,K123=1,L123=1),"COMPLETE","OPEN")</x:f>
        <x:v>OPEN</x:v>
      </x:c>
      <x:c r="N123" s="84"/>
    </x:row>
    <x:row r="124">
      <x:c r="A124" s="47" t="str">
        <x:v>SC118</x:v>
      </x:c>
      <x:c r="B124" s="47" t="str">
        <x:v>P07</x:v>
      </x:c>
      <x:c r="C124" s="47" t="str">
        <x:v>CT-C</x:v>
      </x:c>
      <x:c r="D124" s="47" t="str">
        <x:v>CT-C-B</x:v>
      </x:c>
      <x:c r="E124" s="47" t="str">
        <x:v>VALID</x:v>
      </x:c>
      <x:c r="F124" s="47" t="str">
        <x:v>F10</x:v>
      </x:c>
      <x:c r="G124" s="47" t="str">
        <x:v>Physical</x:v>
      </x:c>
      <x:c r="H124" s="47" t="str">
        <x:v>Material, property and constitutive sources</x:v>
      </x:c>
      <x:c r="I124" s="47" t="str">
        <x:v>PUBLIC</x:v>
      </x:c>
      <x:c r="J124" s="47" t="n">
        <x:v>1</x:v>
      </x:c>
      <x:c r="K124" s="56" t="n">
        <x:v>0</x:v>
      </x:c>
      <x:c r="L124" s="56" t="n">
        <x:v>0</x:v>
      </x:c>
      <x:c r="M124" s="47" t="str">
        <x:f>IF(AND(J124=1,K124=1,L124=1),"COMPLETE","OPEN")</x:f>
        <x:v>OPEN</x:v>
      </x:c>
      <x:c r="N124" s="84"/>
    </x:row>
    <x:row r="125">
      <x:c r="A125" s="47" t="str">
        <x:v>SC119</x:v>
      </x:c>
      <x:c r="B125" s="47" t="str">
        <x:v>P07</x:v>
      </x:c>
      <x:c r="C125" s="47" t="str">
        <x:v>CT-C</x:v>
      </x:c>
      <x:c r="D125" s="47" t="str">
        <x:v>CT-C-B</x:v>
      </x:c>
      <x:c r="E125" s="47" t="str">
        <x:v>VALID</x:v>
      </x:c>
      <x:c r="F125" s="47" t="str">
        <x:v>F11</x:v>
      </x:c>
      <x:c r="G125" s="47" t="str">
        <x:v>Physical</x:v>
      </x:c>
      <x:c r="H125" s="47" t="str">
        <x:v>Interfaces, tolerances and boundary conditions</x:v>
      </x:c>
      <x:c r="I125" s="47" t="str">
        <x:v>PUBLIC</x:v>
      </x:c>
      <x:c r="J125" s="47" t="n">
        <x:v>1</x:v>
      </x:c>
      <x:c r="K125" s="56" t="n">
        <x:v>0</x:v>
      </x:c>
      <x:c r="L125" s="56" t="n">
        <x:v>0</x:v>
      </x:c>
      <x:c r="M125" s="47" t="str">
        <x:f>IF(AND(J125=1,K125=1,L125=1),"COMPLETE","OPEN")</x:f>
        <x:v>OPEN</x:v>
      </x:c>
      <x:c r="N125" s="84"/>
    </x:row>
    <x:row r="126">
      <x:c r="A126" s="47" t="str">
        <x:v>SC120</x:v>
      </x:c>
      <x:c r="B126" s="47" t="str">
        <x:v>P07</x:v>
      </x:c>
      <x:c r="C126" s="47" t="str">
        <x:v>CT-C</x:v>
      </x:c>
      <x:c r="D126" s="47" t="str">
        <x:v>CT-C-B</x:v>
      </x:c>
      <x:c r="E126" s="47" t="str">
        <x:v>VALID</x:v>
      </x:c>
      <x:c r="F126" s="47" t="str">
        <x:v>F12</x:v>
      </x:c>
      <x:c r="G126" s="47" t="str">
        <x:v>Physical</x:v>
      </x:c>
      <x:c r="H126" s="47" t="str">
        <x:v>Manufacturing, process and assembly assumptions</x:v>
      </x:c>
      <x:c r="I126" s="47" t="str">
        <x:v>PUBLIC</x:v>
      </x:c>
      <x:c r="J126" s="47" t="n">
        <x:v>1</x:v>
      </x:c>
      <x:c r="K126" s="56" t="n">
        <x:v>0</x:v>
      </x:c>
      <x:c r="L126" s="56" t="n">
        <x:v>0</x:v>
      </x:c>
      <x:c r="M126" s="47" t="str">
        <x:f>IF(AND(J126=1,K126=1,L126=1),"COMPLETE","OPEN")</x:f>
        <x:v>OPEN</x:v>
      </x:c>
      <x:c r="N126" s="84"/>
    </x:row>
    <x:row r="127">
      <x:c r="A127" s="47" t="str">
        <x:v>SC121</x:v>
      </x:c>
      <x:c r="B127" s="47" t="str">
        <x:v>P07</x:v>
      </x:c>
      <x:c r="C127" s="47" t="str">
        <x:v>CT-C</x:v>
      </x:c>
      <x:c r="D127" s="47" t="str">
        <x:v>CT-C-B</x:v>
      </x:c>
      <x:c r="E127" s="47" t="str">
        <x:v>VALID</x:v>
      </x:c>
      <x:c r="F127" s="47" t="str">
        <x:v>F13</x:v>
      </x:c>
      <x:c r="G127" s="47" t="str">
        <x:v>Civic</x:v>
      </x:c>
      <x:c r="H127" s="47" t="str">
        <x:v>Safe-state and abort logic</x:v>
      </x:c>
      <x:c r="I127" s="47" t="str">
        <x:v>PUBLIC</x:v>
      </x:c>
      <x:c r="J127" s="47" t="n">
        <x:v>1</x:v>
      </x:c>
      <x:c r="K127" s="56" t="n">
        <x:v>0</x:v>
      </x:c>
      <x:c r="L127" s="56" t="n">
        <x:v>0</x:v>
      </x:c>
      <x:c r="M127" s="47" t="str">
        <x:f>IF(AND(J127=1,K127=1,L127=1),"COMPLETE","OPEN")</x:f>
        <x:v>OPEN</x:v>
      </x:c>
      <x:c r="N127" s="84"/>
    </x:row>
    <x:row r="128">
      <x:c r="A128" s="47" t="str">
        <x:v>SC122</x:v>
      </x:c>
      <x:c r="B128" s="47" t="str">
        <x:v>P07</x:v>
      </x:c>
      <x:c r="C128" s="47" t="str">
        <x:v>CT-C</x:v>
      </x:c>
      <x:c r="D128" s="47" t="str">
        <x:v>CT-C-B</x:v>
      </x:c>
      <x:c r="E128" s="47" t="str">
        <x:v>VALID</x:v>
      </x:c>
      <x:c r="F128" s="47" t="str">
        <x:v>F14</x:v>
      </x:c>
      <x:c r="G128" s="47" t="str">
        <x:v>Civic</x:v>
      </x:c>
      <x:c r="H128" s="47" t="str">
        <x:v>Receiver and residual dispositions</x:v>
      </x:c>
      <x:c r="I128" s="47" t="str">
        <x:v>PUBLIC</x:v>
      </x:c>
      <x:c r="J128" s="47" t="n">
        <x:v>1</x:v>
      </x:c>
      <x:c r="K128" s="56" t="n">
        <x:v>0</x:v>
      </x:c>
      <x:c r="L128" s="56" t="n">
        <x:v>0</x:v>
      </x:c>
      <x:c r="M128" s="47" t="str">
        <x:f>IF(AND(J128=1,K128=1,L128=1),"COMPLETE","OPEN")</x:f>
        <x:v>OPEN</x:v>
      </x:c>
      <x:c r="N128" s="84"/>
    </x:row>
    <x:row r="129">
      <x:c r="A129" s="47" t="str">
        <x:v>SC123</x:v>
      </x:c>
      <x:c r="B129" s="47" t="str">
        <x:v>P07</x:v>
      </x:c>
      <x:c r="C129" s="47" t="str">
        <x:v>CT-C</x:v>
      </x:c>
      <x:c r="D129" s="47" t="str">
        <x:v>CT-C-B</x:v>
      </x:c>
      <x:c r="E129" s="47" t="str">
        <x:v>VALID</x:v>
      </x:c>
      <x:c r="F129" s="47" t="str">
        <x:v>F15</x:v>
      </x:c>
      <x:c r="G129" s="47" t="str">
        <x:v>Civic</x:v>
      </x:c>
      <x:c r="H129" s="47" t="str">
        <x:v>Rights, access and affected-population obligations</x:v>
      </x:c>
      <x:c r="I129" s="47" t="str">
        <x:v>PUBLIC</x:v>
      </x:c>
      <x:c r="J129" s="47" t="n">
        <x:v>1</x:v>
      </x:c>
      <x:c r="K129" s="56" t="n">
        <x:v>0</x:v>
      </x:c>
      <x:c r="L129" s="56" t="n">
        <x:v>0</x:v>
      </x:c>
      <x:c r="M129" s="47" t="str">
        <x:f>IF(AND(J129=1,K129=1,L129=1),"COMPLETE","OPEN")</x:f>
        <x:v>OPEN</x:v>
      </x:c>
      <x:c r="N129" s="84"/>
    </x:row>
    <x:row r="130">
      <x:c r="A130" s="47" t="str">
        <x:v>SC124</x:v>
      </x:c>
      <x:c r="B130" s="47" t="str">
        <x:v>P07</x:v>
      </x:c>
      <x:c r="C130" s="47" t="str">
        <x:v>CT-C</x:v>
      </x:c>
      <x:c r="D130" s="47" t="str">
        <x:v>CT-C-B</x:v>
      </x:c>
      <x:c r="E130" s="47" t="str">
        <x:v>VALID</x:v>
      </x:c>
      <x:c r="F130" s="47" t="str">
        <x:v>F16</x:v>
      </x:c>
      <x:c r="G130" s="47" t="str">
        <x:v>Epistemic</x:v>
      </x:c>
      <x:c r="H130" s="47" t="str">
        <x:v>Assumptions, unknowns and uncertainty bounds</x:v>
      </x:c>
      <x:c r="I130" s="47" t="str">
        <x:v>PUBLIC</x:v>
      </x:c>
      <x:c r="J130" s="47" t="n">
        <x:v>1</x:v>
      </x:c>
      <x:c r="K130" s="56" t="n">
        <x:v>0</x:v>
      </x:c>
      <x:c r="L130" s="56" t="n">
        <x:v>0</x:v>
      </x:c>
      <x:c r="M130" s="47" t="str">
        <x:f>IF(AND(J130=1,K130=1,L130=1),"COMPLETE","OPEN")</x:f>
        <x:v>OPEN</x:v>
      </x:c>
      <x:c r="N130" s="84"/>
    </x:row>
    <x:row r="131">
      <x:c r="A131" s="47" t="str">
        <x:v>SC125</x:v>
      </x:c>
      <x:c r="B131" s="47" t="str">
        <x:v>P07</x:v>
      </x:c>
      <x:c r="C131" s="47" t="str">
        <x:v>CT-C</x:v>
      </x:c>
      <x:c r="D131" s="47" t="str">
        <x:v>CT-C-B</x:v>
      </x:c>
      <x:c r="E131" s="47" t="str">
        <x:v>VALID</x:v>
      </x:c>
      <x:c r="F131" s="47" t="str">
        <x:v>F17</x:v>
      </x:c>
      <x:c r="G131" s="47" t="str">
        <x:v>Epistemic</x:v>
      </x:c>
      <x:c r="H131" s="47" t="str">
        <x:v>Causal event, denominator and claim trace</x:v>
      </x:c>
      <x:c r="I131" s="47" t="str">
        <x:v>PUBLIC</x:v>
      </x:c>
      <x:c r="J131" s="47" t="n">
        <x:v>1</x:v>
      </x:c>
      <x:c r="K131" s="56" t="n">
        <x:v>0</x:v>
      </x:c>
      <x:c r="L131" s="56" t="n">
        <x:v>0</x:v>
      </x:c>
      <x:c r="M131" s="47" t="str">
        <x:f>IF(AND(J131=1,K131=1,L131=1),"COMPLETE","OPEN")</x:f>
        <x:v>OPEN</x:v>
      </x:c>
      <x:c r="N131" s="84"/>
    </x:row>
    <x:row r="132">
      <x:c r="A132" s="47" t="str">
        <x:v>SC126</x:v>
      </x:c>
      <x:c r="B132" s="47" t="str">
        <x:v>P07</x:v>
      </x:c>
      <x:c r="C132" s="47" t="str">
        <x:v>CT-C</x:v>
      </x:c>
      <x:c r="D132" s="47" t="str">
        <x:v>CT-C-B</x:v>
      </x:c>
      <x:c r="E132" s="47" t="str">
        <x:v>VALID</x:v>
      </x:c>
      <x:c r="F132" s="47" t="str">
        <x:v>F18</x:v>
      </x:c>
      <x:c r="G132" s="47" t="str">
        <x:v>Epistemic</x:v>
      </x:c>
      <x:c r="H132" s="47" t="str">
        <x:v>Acceptance, expiry, disclosure and supersession rule</x:v>
      </x:c>
      <x:c r="I132" s="47" t="str">
        <x:v>PUBLIC</x:v>
      </x:c>
      <x:c r="J132" s="47" t="n">
        <x:v>1</x:v>
      </x:c>
      <x:c r="K132" s="56" t="n">
        <x:v>0</x:v>
      </x:c>
      <x:c r="L132" s="56" t="n">
        <x:v>0</x:v>
      </x:c>
      <x:c r="M132" s="47" t="str">
        <x:f>IF(AND(J132=1,K132=1,L132=1),"COMPLETE","OPEN")</x:f>
        <x:v>OPEN</x:v>
      </x:c>
      <x:c r="N132" s="84"/>
    </x:row>
    <x:row r="133">
      <x:c r="A133" s="47" t="str">
        <x:v>SC127</x:v>
      </x:c>
      <x:c r="B133" s="47" t="str">
        <x:v>P08</x:v>
      </x:c>
      <x:c r="C133" s="47" t="str">
        <x:v>CT-C</x:v>
      </x:c>
      <x:c r="D133" s="47" t="str">
        <x:v>CT-C-B</x:v>
      </x:c>
      <x:c r="E133" s="47" t="str">
        <x:v>CIVIL</x:v>
      </x:c>
      <x:c r="F133" s="47" t="str">
        <x:v>F01</x:v>
      </x:c>
      <x:c r="G133" s="47" t="str">
        <x:v>Identity</x:v>
      </x:c>
      <x:c r="H133" s="47" t="str">
        <x:v>Package identity and warrant scope</x:v>
      </x:c>
      <x:c r="I133" s="47" t="str">
        <x:v>PUBLIC</x:v>
      </x:c>
      <x:c r="J133" s="47" t="n">
        <x:v>1</x:v>
      </x:c>
      <x:c r="K133" s="56" t="n">
        <x:v>0</x:v>
      </x:c>
      <x:c r="L133" s="56" t="n">
        <x:v>0</x:v>
      </x:c>
      <x:c r="M133" s="47" t="str">
        <x:f>IF(AND(J133=1,K133=1,L133=1),"COMPLETE","OPEN")</x:f>
        <x:v>OPEN</x:v>
      </x:c>
      <x:c r="N133" s="84"/>
    </x:row>
    <x:row r="134">
      <x:c r="A134" s="47" t="str">
        <x:v>SC128</x:v>
      </x:c>
      <x:c r="B134" s="47" t="str">
        <x:v>P08</x:v>
      </x:c>
      <x:c r="C134" s="47" t="str">
        <x:v>CT-C</x:v>
      </x:c>
      <x:c r="D134" s="47" t="str">
        <x:v>CT-C-B</x:v>
      </x:c>
      <x:c r="E134" s="47" t="str">
        <x:v>CIVIL</x:v>
      </x:c>
      <x:c r="F134" s="47" t="str">
        <x:v>F02</x:v>
      </x:c>
      <x:c r="G134" s="47" t="str">
        <x:v>Identity</x:v>
      </x:c>
      <x:c r="H134" s="47" t="str">
        <x:v>Authorship, beneficial control and authority</x:v>
      </x:c>
      <x:c r="I134" s="47" t="str">
        <x:v>PUBLIC</x:v>
      </x:c>
      <x:c r="J134" s="47" t="n">
        <x:v>1</x:v>
      </x:c>
      <x:c r="K134" s="56" t="n">
        <x:v>0</x:v>
      </x:c>
      <x:c r="L134" s="56" t="n">
        <x:v>0</x:v>
      </x:c>
      <x:c r="M134" s="47" t="str">
        <x:f>IF(AND(J134=1,K134=1,L134=1),"COMPLETE","OPEN")</x:f>
        <x:v>OPEN</x:v>
      </x:c>
      <x:c r="N134" s="84"/>
    </x:row>
    <x:row r="135">
      <x:c r="A135" s="47" t="str">
        <x:v>SC129</x:v>
      </x:c>
      <x:c r="B135" s="47" t="str">
        <x:v>P08</x:v>
      </x:c>
      <x:c r="C135" s="47" t="str">
        <x:v>CT-C</x:v>
      </x:c>
      <x:c r="D135" s="47" t="str">
        <x:v>CT-C-B</x:v>
      </x:c>
      <x:c r="E135" s="47" t="str">
        <x:v>CIVIL</x:v>
      </x:c>
      <x:c r="F135" s="47" t="str">
        <x:v>F03</x:v>
      </x:c>
      <x:c r="G135" s="47" t="str">
        <x:v>Identity</x:v>
      </x:c>
      <x:c r="H135" s="47" t="str">
        <x:v>Configuration and content hash</x:v>
      </x:c>
      <x:c r="I135" s="47" t="str">
        <x:v>PUBLIC</x:v>
      </x:c>
      <x:c r="J135" s="47" t="n">
        <x:v>1</x:v>
      </x:c>
      <x:c r="K135" s="56" t="n">
        <x:v>0</x:v>
      </x:c>
      <x:c r="L135" s="56" t="n">
        <x:v>0</x:v>
      </x:c>
      <x:c r="M135" s="47" t="str">
        <x:f>IF(AND(J135=1,K135=1,L135=1),"COMPLETE","OPEN")</x:f>
        <x:v>OPEN</x:v>
      </x:c>
      <x:c r="N135" s="84"/>
    </x:row>
    <x:row r="136">
      <x:c r="A136" s="47" t="str">
        <x:v>SC130</x:v>
      </x:c>
      <x:c r="B136" s="47" t="str">
        <x:v>P08</x:v>
      </x:c>
      <x:c r="C136" s="47" t="str">
        <x:v>CT-C</x:v>
      </x:c>
      <x:c r="D136" s="47" t="str">
        <x:v>CT-C-B</x:v>
      </x:c>
      <x:c r="E136" s="47" t="str">
        <x:v>CIVIL</x:v>
      </x:c>
      <x:c r="F136" s="47" t="str">
        <x:v>F04</x:v>
      </x:c>
      <x:c r="G136" s="47" t="str">
        <x:v>Executable</x:v>
      </x:c>
      <x:c r="H136" s="47" t="str">
        <x:v>Native executable artifact</x:v>
      </x:c>
      <x:c r="I136" s="47" t="str">
        <x:v>ESCROW</x:v>
      </x:c>
      <x:c r="J136" s="47" t="n">
        <x:v>1</x:v>
      </x:c>
      <x:c r="K136" s="56" t="n">
        <x:v>0</x:v>
      </x:c>
      <x:c r="L136" s="56" t="n">
        <x:v>0</x:v>
      </x:c>
      <x:c r="M136" s="47" t="str">
        <x:f>IF(AND(J136=1,K136=1,L136=1),"COMPLETE","OPEN")</x:f>
        <x:v>OPEN</x:v>
      </x:c>
      <x:c r="N136" s="84"/>
    </x:row>
    <x:row r="137">
      <x:c r="A137" s="47" t="str">
        <x:v>SC131</x:v>
      </x:c>
      <x:c r="B137" s="47" t="str">
        <x:v>P08</x:v>
      </x:c>
      <x:c r="C137" s="47" t="str">
        <x:v>CT-C</x:v>
      </x:c>
      <x:c r="D137" s="47" t="str">
        <x:v>CT-C-B</x:v>
      </x:c>
      <x:c r="E137" s="47" t="str">
        <x:v>CIVIL</x:v>
      </x:c>
      <x:c r="F137" s="47" t="str">
        <x:v>F05</x:v>
      </x:c>
      <x:c r="G137" s="47" t="str">
        <x:v>Executable</x:v>
      </x:c>
      <x:c r="H137" s="47" t="str">
        <x:v>Native environment and toolchain image</x:v>
      </x:c>
      <x:c r="I137" s="47" t="str">
        <x:v>ESCROW</x:v>
      </x:c>
      <x:c r="J137" s="47" t="n">
        <x:v>1</x:v>
      </x:c>
      <x:c r="K137" s="56" t="n">
        <x:v>0</x:v>
      </x:c>
      <x:c r="L137" s="56" t="n">
        <x:v>0</x:v>
      </x:c>
      <x:c r="M137" s="47" t="str">
        <x:f>IF(AND(J137=1,K137=1,L137=1),"COMPLETE","OPEN")</x:f>
        <x:v>OPEN</x:v>
      </x:c>
      <x:c r="N137" s="84"/>
    </x:row>
    <x:row r="138">
      <x:c r="A138" s="47" t="str">
        <x:v>SC132</x:v>
      </x:c>
      <x:c r="B138" s="47" t="str">
        <x:v>P08</x:v>
      </x:c>
      <x:c r="C138" s="47" t="str">
        <x:v>CT-C</x:v>
      </x:c>
      <x:c r="D138" s="47" t="str">
        <x:v>CT-C-B</x:v>
      </x:c>
      <x:c r="E138" s="47" t="str">
        <x:v>CIVIL</x:v>
      </x:c>
      <x:c r="F138" s="47" t="str">
        <x:v>F06</x:v>
      </x:c>
      <x:c r="G138" s="47" t="str">
        <x:v>Executable</x:v>
      </x:c>
      <x:c r="H138" s="47" t="str">
        <x:v>Dependency bill, software bill and license rights</x:v>
      </x:c>
      <x:c r="I138" s="47" t="str">
        <x:v>PUBLIC</x:v>
      </x:c>
      <x:c r="J138" s="47" t="n">
        <x:v>1</x:v>
      </x:c>
      <x:c r="K138" s="56" t="n">
        <x:v>0</x:v>
      </x:c>
      <x:c r="L138" s="56" t="n">
        <x:v>0</x:v>
      </x:c>
      <x:c r="M138" s="47" t="str">
        <x:f>IF(AND(J138=1,K138=1,L138=1),"COMPLETE","OPEN")</x:f>
        <x:v>OPEN</x:v>
      </x:c>
      <x:c r="N138" s="84"/>
    </x:row>
    <x:row r="139">
      <x:c r="A139" s="47" t="str">
        <x:v>SC133</x:v>
      </x:c>
      <x:c r="B139" s="47" t="str">
        <x:v>P08</x:v>
      </x:c>
      <x:c r="C139" s="47" t="str">
        <x:v>CT-C</x:v>
      </x:c>
      <x:c r="D139" s="47" t="str">
        <x:v>CT-C-B</x:v>
      </x:c>
      <x:c r="E139" s="47" t="str">
        <x:v>CIVIL</x:v>
      </x:c>
      <x:c r="F139" s="47" t="str">
        <x:v>F07</x:v>
      </x:c>
      <x:c r="G139" s="47" t="str">
        <x:v>Executable</x:v>
      </x:c>
      <x:c r="H139" s="47" t="str">
        <x:v>Data provenance and calibration lineage</x:v>
      </x:c>
      <x:c r="I139" s="47" t="str">
        <x:v>ESCROW</x:v>
      </x:c>
      <x:c r="J139" s="47" t="n">
        <x:v>1</x:v>
      </x:c>
      <x:c r="K139" s="56" t="n">
        <x:v>0</x:v>
      </x:c>
      <x:c r="L139" s="56" t="n">
        <x:v>0</x:v>
      </x:c>
      <x:c r="M139" s="47" t="str">
        <x:f>IF(AND(J139=1,K139=1,L139=1),"COMPLETE","OPEN")</x:f>
        <x:v>OPEN</x:v>
      </x:c>
      <x:c r="N139" s="84"/>
    </x:row>
    <x:row r="140">
      <x:c r="A140" s="47" t="str">
        <x:v>SC134</x:v>
      </x:c>
      <x:c r="B140" s="47" t="str">
        <x:v>P08</x:v>
      </x:c>
      <x:c r="C140" s="47" t="str">
        <x:v>CT-C</x:v>
      </x:c>
      <x:c r="D140" s="47" t="str">
        <x:v>CT-C-B</x:v>
      </x:c>
      <x:c r="E140" s="47" t="str">
        <x:v>CIVIL</x:v>
      </x:c>
      <x:c r="F140" s="47" t="str">
        <x:v>F08</x:v>
      </x:c>
      <x:c r="G140" s="47" t="str">
        <x:v>Executable</x:v>
      </x:c>
      <x:c r="H140" s="47" t="str">
        <x:v>Random seed, solver and numerical controls</x:v>
      </x:c>
      <x:c r="I140" s="47" t="str">
        <x:v>ESCROW</x:v>
      </x:c>
      <x:c r="J140" s="47" t="n">
        <x:v>1</x:v>
      </x:c>
      <x:c r="K140" s="56" t="n">
        <x:v>0</x:v>
      </x:c>
      <x:c r="L140" s="56" t="n">
        <x:v>0</x:v>
      </x:c>
      <x:c r="M140" s="47" t="str">
        <x:f>IF(AND(J140=1,K140=1,L140=1),"COMPLETE","OPEN")</x:f>
        <x:v>OPEN</x:v>
      </x:c>
      <x:c r="N140" s="84"/>
    </x:row>
    <x:row r="141">
      <x:c r="A141" s="47" t="str">
        <x:v>SC135</x:v>
      </x:c>
      <x:c r="B141" s="47" t="str">
        <x:v>P08</x:v>
      </x:c>
      <x:c r="C141" s="47" t="str">
        <x:v>CT-C</x:v>
      </x:c>
      <x:c r="D141" s="47" t="str">
        <x:v>CT-C-B</x:v>
      </x:c>
      <x:c r="E141" s="47" t="str">
        <x:v>CIVIL</x:v>
      </x:c>
      <x:c r="F141" s="47" t="str">
        <x:v>F09</x:v>
      </x:c>
      <x:c r="G141" s="47" t="str">
        <x:v>Physical</x:v>
      </x:c>
      <x:c r="H141" s="47" t="str">
        <x:v>Units, coordinates and datums</x:v>
      </x:c>
      <x:c r="I141" s="47" t="str">
        <x:v>PUBLIC</x:v>
      </x:c>
      <x:c r="J141" s="47" t="n">
        <x:v>1</x:v>
      </x:c>
      <x:c r="K141" s="56" t="n">
        <x:v>0</x:v>
      </x:c>
      <x:c r="L141" s="56" t="n">
        <x:v>0</x:v>
      </x:c>
      <x:c r="M141" s="47" t="str">
        <x:f>IF(AND(J141=1,K141=1,L141=1),"COMPLETE","OPEN")</x:f>
        <x:v>OPEN</x:v>
      </x:c>
      <x:c r="N141" s="84"/>
    </x:row>
    <x:row r="142">
      <x:c r="A142" s="47" t="str">
        <x:v>SC136</x:v>
      </x:c>
      <x:c r="B142" s="47" t="str">
        <x:v>P08</x:v>
      </x:c>
      <x:c r="C142" s="47" t="str">
        <x:v>CT-C</x:v>
      </x:c>
      <x:c r="D142" s="47" t="str">
        <x:v>CT-C-B</x:v>
      </x:c>
      <x:c r="E142" s="47" t="str">
        <x:v>CIVIL</x:v>
      </x:c>
      <x:c r="F142" s="47" t="str">
        <x:v>F10</x:v>
      </x:c>
      <x:c r="G142" s="47" t="str">
        <x:v>Physical</x:v>
      </x:c>
      <x:c r="H142" s="47" t="str">
        <x:v>Material, property and constitutive sources</x:v>
      </x:c>
      <x:c r="I142" s="47" t="str">
        <x:v>PUBLIC</x:v>
      </x:c>
      <x:c r="J142" s="47" t="n">
        <x:v>1</x:v>
      </x:c>
      <x:c r="K142" s="56" t="n">
        <x:v>0</x:v>
      </x:c>
      <x:c r="L142" s="56" t="n">
        <x:v>0</x:v>
      </x:c>
      <x:c r="M142" s="47" t="str">
        <x:f>IF(AND(J142=1,K142=1,L142=1),"COMPLETE","OPEN")</x:f>
        <x:v>OPEN</x:v>
      </x:c>
      <x:c r="N142" s="84"/>
    </x:row>
    <x:row r="143">
      <x:c r="A143" s="47" t="str">
        <x:v>SC137</x:v>
      </x:c>
      <x:c r="B143" s="47" t="str">
        <x:v>P08</x:v>
      </x:c>
      <x:c r="C143" s="47" t="str">
        <x:v>CT-C</x:v>
      </x:c>
      <x:c r="D143" s="47" t="str">
        <x:v>CT-C-B</x:v>
      </x:c>
      <x:c r="E143" s="47" t="str">
        <x:v>CIVIL</x:v>
      </x:c>
      <x:c r="F143" s="47" t="str">
        <x:v>F11</x:v>
      </x:c>
      <x:c r="G143" s="47" t="str">
        <x:v>Physical</x:v>
      </x:c>
      <x:c r="H143" s="47" t="str">
        <x:v>Interfaces, tolerances and boundary conditions</x:v>
      </x:c>
      <x:c r="I143" s="47" t="str">
        <x:v>PUBLIC</x:v>
      </x:c>
      <x:c r="J143" s="47" t="n">
        <x:v>1</x:v>
      </x:c>
      <x:c r="K143" s="56" t="n">
        <x:v>0</x:v>
      </x:c>
      <x:c r="L143" s="56" t="n">
        <x:v>0</x:v>
      </x:c>
      <x:c r="M143" s="47" t="str">
        <x:f>IF(AND(J143=1,K143=1,L143=1),"COMPLETE","OPEN")</x:f>
        <x:v>OPEN</x:v>
      </x:c>
      <x:c r="N143" s="84"/>
    </x:row>
    <x:row r="144">
      <x:c r="A144" s="47" t="str">
        <x:v>SC138</x:v>
      </x:c>
      <x:c r="B144" s="47" t="str">
        <x:v>P08</x:v>
      </x:c>
      <x:c r="C144" s="47" t="str">
        <x:v>CT-C</x:v>
      </x:c>
      <x:c r="D144" s="47" t="str">
        <x:v>CT-C-B</x:v>
      </x:c>
      <x:c r="E144" s="47" t="str">
        <x:v>CIVIL</x:v>
      </x:c>
      <x:c r="F144" s="47" t="str">
        <x:v>F12</x:v>
      </x:c>
      <x:c r="G144" s="47" t="str">
        <x:v>Physical</x:v>
      </x:c>
      <x:c r="H144" s="47" t="str">
        <x:v>Manufacturing, process and assembly assumptions</x:v>
      </x:c>
      <x:c r="I144" s="47" t="str">
        <x:v>PUBLIC</x:v>
      </x:c>
      <x:c r="J144" s="47" t="n">
        <x:v>1</x:v>
      </x:c>
      <x:c r="K144" s="56" t="n">
        <x:v>0</x:v>
      </x:c>
      <x:c r="L144" s="56" t="n">
        <x:v>0</x:v>
      </x:c>
      <x:c r="M144" s="47" t="str">
        <x:f>IF(AND(J144=1,K144=1,L144=1),"COMPLETE","OPEN")</x:f>
        <x:v>OPEN</x:v>
      </x:c>
      <x:c r="N144" s="84"/>
    </x:row>
    <x:row r="145">
      <x:c r="A145" s="47" t="str">
        <x:v>SC139</x:v>
      </x:c>
      <x:c r="B145" s="47" t="str">
        <x:v>P08</x:v>
      </x:c>
      <x:c r="C145" s="47" t="str">
        <x:v>CT-C</x:v>
      </x:c>
      <x:c r="D145" s="47" t="str">
        <x:v>CT-C-B</x:v>
      </x:c>
      <x:c r="E145" s="47" t="str">
        <x:v>CIVIL</x:v>
      </x:c>
      <x:c r="F145" s="47" t="str">
        <x:v>F13</x:v>
      </x:c>
      <x:c r="G145" s="47" t="str">
        <x:v>Civic</x:v>
      </x:c>
      <x:c r="H145" s="47" t="str">
        <x:v>Safe-state and abort logic</x:v>
      </x:c>
      <x:c r="I145" s="47" t="str">
        <x:v>PUBLIC</x:v>
      </x:c>
      <x:c r="J145" s="47" t="n">
        <x:v>1</x:v>
      </x:c>
      <x:c r="K145" s="56" t="n">
        <x:v>0</x:v>
      </x:c>
      <x:c r="L145" s="56" t="n">
        <x:v>0</x:v>
      </x:c>
      <x:c r="M145" s="47" t="str">
        <x:f>IF(AND(J145=1,K145=1,L145=1),"COMPLETE","OPEN")</x:f>
        <x:v>OPEN</x:v>
      </x:c>
      <x:c r="N145" s="84"/>
    </x:row>
    <x:row r="146">
      <x:c r="A146" s="47" t="str">
        <x:v>SC140</x:v>
      </x:c>
      <x:c r="B146" s="47" t="str">
        <x:v>P08</x:v>
      </x:c>
      <x:c r="C146" s="47" t="str">
        <x:v>CT-C</x:v>
      </x:c>
      <x:c r="D146" s="47" t="str">
        <x:v>CT-C-B</x:v>
      </x:c>
      <x:c r="E146" s="47" t="str">
        <x:v>CIVIL</x:v>
      </x:c>
      <x:c r="F146" s="47" t="str">
        <x:v>F14</x:v>
      </x:c>
      <x:c r="G146" s="47" t="str">
        <x:v>Civic</x:v>
      </x:c>
      <x:c r="H146" s="47" t="str">
        <x:v>Receiver and residual dispositions</x:v>
      </x:c>
      <x:c r="I146" s="47" t="str">
        <x:v>PUBLIC</x:v>
      </x:c>
      <x:c r="J146" s="47" t="n">
        <x:v>1</x:v>
      </x:c>
      <x:c r="K146" s="56" t="n">
        <x:v>0</x:v>
      </x:c>
      <x:c r="L146" s="56" t="n">
        <x:v>0</x:v>
      </x:c>
      <x:c r="M146" s="47" t="str">
        <x:f>IF(AND(J146=1,K146=1,L146=1),"COMPLETE","OPEN")</x:f>
        <x:v>OPEN</x:v>
      </x:c>
      <x:c r="N146" s="84"/>
    </x:row>
    <x:row r="147">
      <x:c r="A147" s="47" t="str">
        <x:v>SC141</x:v>
      </x:c>
      <x:c r="B147" s="47" t="str">
        <x:v>P08</x:v>
      </x:c>
      <x:c r="C147" s="47" t="str">
        <x:v>CT-C</x:v>
      </x:c>
      <x:c r="D147" s="47" t="str">
        <x:v>CT-C-B</x:v>
      </x:c>
      <x:c r="E147" s="47" t="str">
        <x:v>CIVIL</x:v>
      </x:c>
      <x:c r="F147" s="47" t="str">
        <x:v>F15</x:v>
      </x:c>
      <x:c r="G147" s="47" t="str">
        <x:v>Civic</x:v>
      </x:c>
      <x:c r="H147" s="47" t="str">
        <x:v>Rights, access and affected-population obligations</x:v>
      </x:c>
      <x:c r="I147" s="47" t="str">
        <x:v>PUBLIC</x:v>
      </x:c>
      <x:c r="J147" s="47" t="n">
        <x:v>1</x:v>
      </x:c>
      <x:c r="K147" s="56" t="n">
        <x:v>0</x:v>
      </x:c>
      <x:c r="L147" s="56" t="n">
        <x:v>0</x:v>
      </x:c>
      <x:c r="M147" s="47" t="str">
        <x:f>IF(AND(J147=1,K147=1,L147=1),"COMPLETE","OPEN")</x:f>
        <x:v>OPEN</x:v>
      </x:c>
      <x:c r="N147" s="84"/>
    </x:row>
    <x:row r="148">
      <x:c r="A148" s="47" t="str">
        <x:v>SC142</x:v>
      </x:c>
      <x:c r="B148" s="47" t="str">
        <x:v>P08</x:v>
      </x:c>
      <x:c r="C148" s="47" t="str">
        <x:v>CT-C</x:v>
      </x:c>
      <x:c r="D148" s="47" t="str">
        <x:v>CT-C-B</x:v>
      </x:c>
      <x:c r="E148" s="47" t="str">
        <x:v>CIVIL</x:v>
      </x:c>
      <x:c r="F148" s="47" t="str">
        <x:v>F16</x:v>
      </x:c>
      <x:c r="G148" s="47" t="str">
        <x:v>Epistemic</x:v>
      </x:c>
      <x:c r="H148" s="47" t="str">
        <x:v>Assumptions, unknowns and uncertainty bounds</x:v>
      </x:c>
      <x:c r="I148" s="47" t="str">
        <x:v>PUBLIC</x:v>
      </x:c>
      <x:c r="J148" s="47" t="n">
        <x:v>1</x:v>
      </x:c>
      <x:c r="K148" s="56" t="n">
        <x:v>0</x:v>
      </x:c>
      <x:c r="L148" s="56" t="n">
        <x:v>0</x:v>
      </x:c>
      <x:c r="M148" s="47" t="str">
        <x:f>IF(AND(J148=1,K148=1,L148=1),"COMPLETE","OPEN")</x:f>
        <x:v>OPEN</x:v>
      </x:c>
      <x:c r="N148" s="84"/>
    </x:row>
    <x:row r="149">
      <x:c r="A149" s="47" t="str">
        <x:v>SC143</x:v>
      </x:c>
      <x:c r="B149" s="47" t="str">
        <x:v>P08</x:v>
      </x:c>
      <x:c r="C149" s="47" t="str">
        <x:v>CT-C</x:v>
      </x:c>
      <x:c r="D149" s="47" t="str">
        <x:v>CT-C-B</x:v>
      </x:c>
      <x:c r="E149" s="47" t="str">
        <x:v>CIVIL</x:v>
      </x:c>
      <x:c r="F149" s="47" t="str">
        <x:v>F17</x:v>
      </x:c>
      <x:c r="G149" s="47" t="str">
        <x:v>Epistemic</x:v>
      </x:c>
      <x:c r="H149" s="47" t="str">
        <x:v>Causal event, denominator and claim trace</x:v>
      </x:c>
      <x:c r="I149" s="47" t="str">
        <x:v>PUBLIC</x:v>
      </x:c>
      <x:c r="J149" s="47" t="n">
        <x:v>1</x:v>
      </x:c>
      <x:c r="K149" s="56" t="n">
        <x:v>0</x:v>
      </x:c>
      <x:c r="L149" s="56" t="n">
        <x:v>0</x:v>
      </x:c>
      <x:c r="M149" s="47" t="str">
        <x:f>IF(AND(J149=1,K149=1,L149=1),"COMPLETE","OPEN")</x:f>
        <x:v>OPEN</x:v>
      </x:c>
      <x:c r="N149" s="84"/>
    </x:row>
    <x:row r="150">
      <x:c r="A150" s="47" t="str">
        <x:v>SC144</x:v>
      </x:c>
      <x:c r="B150" s="47" t="str">
        <x:v>P08</x:v>
      </x:c>
      <x:c r="C150" s="47" t="str">
        <x:v>CT-C</x:v>
      </x:c>
      <x:c r="D150" s="47" t="str">
        <x:v>CT-C-B</x:v>
      </x:c>
      <x:c r="E150" s="47" t="str">
        <x:v>CIVIL</x:v>
      </x:c>
      <x:c r="F150" s="47" t="str">
        <x:v>F18</x:v>
      </x:c>
      <x:c r="G150" s="47" t="str">
        <x:v>Epistemic</x:v>
      </x:c>
      <x:c r="H150" s="47" t="str">
        <x:v>Acceptance, expiry, disclosure and supersession rule</x:v>
      </x:c>
      <x:c r="I150" s="47" t="str">
        <x:v>PUBLIC</x:v>
      </x:c>
      <x:c r="J150" s="47" t="n">
        <x:v>1</x:v>
      </x:c>
      <x:c r="K150" s="56" t="n">
        <x:v>0</x:v>
      </x:c>
      <x:c r="L150" s="56" t="n">
        <x:v>0</x:v>
      </x:c>
      <x:c r="M150" s="47" t="str">
        <x:f>IF(AND(J150=1,K150=1,L150=1),"COMPLETE","OPEN")</x:f>
        <x:v>OPEN</x:v>
      </x:c>
      <x:c r="N150" s="84"/>
    </x:row>
    <x:row r="151">
      <x:c r="A151" s="47" t="str">
        <x:v>SC145</x:v>
      </x:c>
      <x:c r="B151" s="47" t="str">
        <x:v>P09</x:v>
      </x:c>
      <x:c r="C151" s="47" t="str">
        <x:v>CT-C</x:v>
      </x:c>
      <x:c r="D151" s="47" t="str">
        <x:v>CT-C-B</x:v>
      </x:c>
      <x:c r="E151" s="47" t="str">
        <x:v>ARTICLE</x:v>
      </x:c>
      <x:c r="F151" s="47" t="str">
        <x:v>F01</x:v>
      </x:c>
      <x:c r="G151" s="47" t="str">
        <x:v>Identity</x:v>
      </x:c>
      <x:c r="H151" s="47" t="str">
        <x:v>Package identity and warrant scope</x:v>
      </x:c>
      <x:c r="I151" s="47" t="str">
        <x:v>PUBLIC</x:v>
      </x:c>
      <x:c r="J151" s="47" t="n">
        <x:v>1</x:v>
      </x:c>
      <x:c r="K151" s="56" t="n">
        <x:v>0</x:v>
      </x:c>
      <x:c r="L151" s="56" t="n">
        <x:v>0</x:v>
      </x:c>
      <x:c r="M151" s="47" t="str">
        <x:f>IF(AND(J151=1,K151=1,L151=1),"COMPLETE","OPEN")</x:f>
        <x:v>OPEN</x:v>
      </x:c>
      <x:c r="N151" s="84"/>
    </x:row>
    <x:row r="152">
      <x:c r="A152" s="47" t="str">
        <x:v>SC146</x:v>
      </x:c>
      <x:c r="B152" s="47" t="str">
        <x:v>P09</x:v>
      </x:c>
      <x:c r="C152" s="47" t="str">
        <x:v>CT-C</x:v>
      </x:c>
      <x:c r="D152" s="47" t="str">
        <x:v>CT-C-B</x:v>
      </x:c>
      <x:c r="E152" s="47" t="str">
        <x:v>ARTICLE</x:v>
      </x:c>
      <x:c r="F152" s="47" t="str">
        <x:v>F02</x:v>
      </x:c>
      <x:c r="G152" s="47" t="str">
        <x:v>Identity</x:v>
      </x:c>
      <x:c r="H152" s="47" t="str">
        <x:v>Authorship, beneficial control and authority</x:v>
      </x:c>
      <x:c r="I152" s="47" t="str">
        <x:v>PUBLIC</x:v>
      </x:c>
      <x:c r="J152" s="47" t="n">
        <x:v>1</x:v>
      </x:c>
      <x:c r="K152" s="56" t="n">
        <x:v>0</x:v>
      </x:c>
      <x:c r="L152" s="56" t="n">
        <x:v>0</x:v>
      </x:c>
      <x:c r="M152" s="47" t="str">
        <x:f>IF(AND(J152=1,K152=1,L152=1),"COMPLETE","OPEN")</x:f>
        <x:v>OPEN</x:v>
      </x:c>
      <x:c r="N152" s="84"/>
    </x:row>
    <x:row r="153">
      <x:c r="A153" s="47" t="str">
        <x:v>SC147</x:v>
      </x:c>
      <x:c r="B153" s="47" t="str">
        <x:v>P09</x:v>
      </x:c>
      <x:c r="C153" s="47" t="str">
        <x:v>CT-C</x:v>
      </x:c>
      <x:c r="D153" s="47" t="str">
        <x:v>CT-C-B</x:v>
      </x:c>
      <x:c r="E153" s="47" t="str">
        <x:v>ARTICLE</x:v>
      </x:c>
      <x:c r="F153" s="47" t="str">
        <x:v>F03</x:v>
      </x:c>
      <x:c r="G153" s="47" t="str">
        <x:v>Identity</x:v>
      </x:c>
      <x:c r="H153" s="47" t="str">
        <x:v>Configuration and content hash</x:v>
      </x:c>
      <x:c r="I153" s="47" t="str">
        <x:v>PUBLIC</x:v>
      </x:c>
      <x:c r="J153" s="47" t="n">
        <x:v>1</x:v>
      </x:c>
      <x:c r="K153" s="56" t="n">
        <x:v>0</x:v>
      </x:c>
      <x:c r="L153" s="56" t="n">
        <x:v>0</x:v>
      </x:c>
      <x:c r="M153" s="47" t="str">
        <x:f>IF(AND(J153=1,K153=1,L153=1),"COMPLETE","OPEN")</x:f>
        <x:v>OPEN</x:v>
      </x:c>
      <x:c r="N153" s="84"/>
    </x:row>
    <x:row r="154">
      <x:c r="A154" s="47" t="str">
        <x:v>SC148</x:v>
      </x:c>
      <x:c r="B154" s="47" t="str">
        <x:v>P09</x:v>
      </x:c>
      <x:c r="C154" s="47" t="str">
        <x:v>CT-C</x:v>
      </x:c>
      <x:c r="D154" s="47" t="str">
        <x:v>CT-C-B</x:v>
      </x:c>
      <x:c r="E154" s="47" t="str">
        <x:v>ARTICLE</x:v>
      </x:c>
      <x:c r="F154" s="47" t="str">
        <x:v>F04</x:v>
      </x:c>
      <x:c r="G154" s="47" t="str">
        <x:v>Executable</x:v>
      </x:c>
      <x:c r="H154" s="47" t="str">
        <x:v>Native executable artifact</x:v>
      </x:c>
      <x:c r="I154" s="47" t="str">
        <x:v>ESCROW</x:v>
      </x:c>
      <x:c r="J154" s="47" t="n">
        <x:v>1</x:v>
      </x:c>
      <x:c r="K154" s="56" t="n">
        <x:v>0</x:v>
      </x:c>
      <x:c r="L154" s="56" t="n">
        <x:v>0</x:v>
      </x:c>
      <x:c r="M154" s="47" t="str">
        <x:f>IF(AND(J154=1,K154=1,L154=1),"COMPLETE","OPEN")</x:f>
        <x:v>OPEN</x:v>
      </x:c>
      <x:c r="N154" s="84"/>
    </x:row>
    <x:row r="155">
      <x:c r="A155" s="47" t="str">
        <x:v>SC149</x:v>
      </x:c>
      <x:c r="B155" s="47" t="str">
        <x:v>P09</x:v>
      </x:c>
      <x:c r="C155" s="47" t="str">
        <x:v>CT-C</x:v>
      </x:c>
      <x:c r="D155" s="47" t="str">
        <x:v>CT-C-B</x:v>
      </x:c>
      <x:c r="E155" s="47" t="str">
        <x:v>ARTICLE</x:v>
      </x:c>
      <x:c r="F155" s="47" t="str">
        <x:v>F05</x:v>
      </x:c>
      <x:c r="G155" s="47" t="str">
        <x:v>Executable</x:v>
      </x:c>
      <x:c r="H155" s="47" t="str">
        <x:v>Native environment and toolchain image</x:v>
      </x:c>
      <x:c r="I155" s="47" t="str">
        <x:v>ESCROW</x:v>
      </x:c>
      <x:c r="J155" s="47" t="n">
        <x:v>1</x:v>
      </x:c>
      <x:c r="K155" s="56" t="n">
        <x:v>0</x:v>
      </x:c>
      <x:c r="L155" s="56" t="n">
        <x:v>0</x:v>
      </x:c>
      <x:c r="M155" s="47" t="str">
        <x:f>IF(AND(J155=1,K155=1,L155=1),"COMPLETE","OPEN")</x:f>
        <x:v>OPEN</x:v>
      </x:c>
      <x:c r="N155" s="84"/>
    </x:row>
    <x:row r="156">
      <x:c r="A156" s="47" t="str">
        <x:v>SC150</x:v>
      </x:c>
      <x:c r="B156" s="47" t="str">
        <x:v>P09</x:v>
      </x:c>
      <x:c r="C156" s="47" t="str">
        <x:v>CT-C</x:v>
      </x:c>
      <x:c r="D156" s="47" t="str">
        <x:v>CT-C-B</x:v>
      </x:c>
      <x:c r="E156" s="47" t="str">
        <x:v>ARTICLE</x:v>
      </x:c>
      <x:c r="F156" s="47" t="str">
        <x:v>F06</x:v>
      </x:c>
      <x:c r="G156" s="47" t="str">
        <x:v>Executable</x:v>
      </x:c>
      <x:c r="H156" s="47" t="str">
        <x:v>Dependency bill, software bill and license rights</x:v>
      </x:c>
      <x:c r="I156" s="47" t="str">
        <x:v>PUBLIC</x:v>
      </x:c>
      <x:c r="J156" s="47" t="n">
        <x:v>1</x:v>
      </x:c>
      <x:c r="K156" s="56" t="n">
        <x:v>0</x:v>
      </x:c>
      <x:c r="L156" s="56" t="n">
        <x:v>0</x:v>
      </x:c>
      <x:c r="M156" s="47" t="str">
        <x:f>IF(AND(J156=1,K156=1,L156=1),"COMPLETE","OPEN")</x:f>
        <x:v>OPEN</x:v>
      </x:c>
      <x:c r="N156" s="84"/>
    </x:row>
    <x:row r="157">
      <x:c r="A157" s="47" t="str">
        <x:v>SC151</x:v>
      </x:c>
      <x:c r="B157" s="47" t="str">
        <x:v>P09</x:v>
      </x:c>
      <x:c r="C157" s="47" t="str">
        <x:v>CT-C</x:v>
      </x:c>
      <x:c r="D157" s="47" t="str">
        <x:v>CT-C-B</x:v>
      </x:c>
      <x:c r="E157" s="47" t="str">
        <x:v>ARTICLE</x:v>
      </x:c>
      <x:c r="F157" s="47" t="str">
        <x:v>F07</x:v>
      </x:c>
      <x:c r="G157" s="47" t="str">
        <x:v>Executable</x:v>
      </x:c>
      <x:c r="H157" s="47" t="str">
        <x:v>Data provenance and calibration lineage</x:v>
      </x:c>
      <x:c r="I157" s="47" t="str">
        <x:v>ESCROW</x:v>
      </x:c>
      <x:c r="J157" s="47" t="n">
        <x:v>1</x:v>
      </x:c>
      <x:c r="K157" s="56" t="n">
        <x:v>0</x:v>
      </x:c>
      <x:c r="L157" s="56" t="n">
        <x:v>0</x:v>
      </x:c>
      <x:c r="M157" s="47" t="str">
        <x:f>IF(AND(J157=1,K157=1,L157=1),"COMPLETE","OPEN")</x:f>
        <x:v>OPEN</x:v>
      </x:c>
      <x:c r="N157" s="84"/>
    </x:row>
    <x:row r="158">
      <x:c r="A158" s="47" t="str">
        <x:v>SC152</x:v>
      </x:c>
      <x:c r="B158" s="47" t="str">
        <x:v>P09</x:v>
      </x:c>
      <x:c r="C158" s="47" t="str">
        <x:v>CT-C</x:v>
      </x:c>
      <x:c r="D158" s="47" t="str">
        <x:v>CT-C-B</x:v>
      </x:c>
      <x:c r="E158" s="47" t="str">
        <x:v>ARTICLE</x:v>
      </x:c>
      <x:c r="F158" s="47" t="str">
        <x:v>F08</x:v>
      </x:c>
      <x:c r="G158" s="47" t="str">
        <x:v>Executable</x:v>
      </x:c>
      <x:c r="H158" s="47" t="str">
        <x:v>Random seed, solver and numerical controls</x:v>
      </x:c>
      <x:c r="I158" s="47" t="str">
        <x:v>ESCROW</x:v>
      </x:c>
      <x:c r="J158" s="47" t="n">
        <x:v>1</x:v>
      </x:c>
      <x:c r="K158" s="56" t="n">
        <x:v>0</x:v>
      </x:c>
      <x:c r="L158" s="56" t="n">
        <x:v>0</x:v>
      </x:c>
      <x:c r="M158" s="47" t="str">
        <x:f>IF(AND(J158=1,K158=1,L158=1),"COMPLETE","OPEN")</x:f>
        <x:v>OPEN</x:v>
      </x:c>
      <x:c r="N158" s="84"/>
    </x:row>
    <x:row r="159">
      <x:c r="A159" s="47" t="str">
        <x:v>SC153</x:v>
      </x:c>
      <x:c r="B159" s="47" t="str">
        <x:v>P09</x:v>
      </x:c>
      <x:c r="C159" s="47" t="str">
        <x:v>CT-C</x:v>
      </x:c>
      <x:c r="D159" s="47" t="str">
        <x:v>CT-C-B</x:v>
      </x:c>
      <x:c r="E159" s="47" t="str">
        <x:v>ARTICLE</x:v>
      </x:c>
      <x:c r="F159" s="47" t="str">
        <x:v>F09</x:v>
      </x:c>
      <x:c r="G159" s="47" t="str">
        <x:v>Physical</x:v>
      </x:c>
      <x:c r="H159" s="47" t="str">
        <x:v>Units, coordinates and datums</x:v>
      </x:c>
      <x:c r="I159" s="47" t="str">
        <x:v>PUBLIC</x:v>
      </x:c>
      <x:c r="J159" s="47" t="n">
        <x:v>1</x:v>
      </x:c>
      <x:c r="K159" s="56" t="n">
        <x:v>0</x:v>
      </x:c>
      <x:c r="L159" s="56" t="n">
        <x:v>0</x:v>
      </x:c>
      <x:c r="M159" s="47" t="str">
        <x:f>IF(AND(J159=1,K159=1,L159=1),"COMPLETE","OPEN")</x:f>
        <x:v>OPEN</x:v>
      </x:c>
      <x:c r="N159" s="84"/>
    </x:row>
    <x:row r="160">
      <x:c r="A160" s="47" t="str">
        <x:v>SC154</x:v>
      </x:c>
      <x:c r="B160" s="47" t="str">
        <x:v>P09</x:v>
      </x:c>
      <x:c r="C160" s="47" t="str">
        <x:v>CT-C</x:v>
      </x:c>
      <x:c r="D160" s="47" t="str">
        <x:v>CT-C-B</x:v>
      </x:c>
      <x:c r="E160" s="47" t="str">
        <x:v>ARTICLE</x:v>
      </x:c>
      <x:c r="F160" s="47" t="str">
        <x:v>F10</x:v>
      </x:c>
      <x:c r="G160" s="47" t="str">
        <x:v>Physical</x:v>
      </x:c>
      <x:c r="H160" s="47" t="str">
        <x:v>Material, property and constitutive sources</x:v>
      </x:c>
      <x:c r="I160" s="47" t="str">
        <x:v>PUBLIC</x:v>
      </x:c>
      <x:c r="J160" s="47" t="n">
        <x:v>1</x:v>
      </x:c>
      <x:c r="K160" s="56" t="n">
        <x:v>0</x:v>
      </x:c>
      <x:c r="L160" s="56" t="n">
        <x:v>0</x:v>
      </x:c>
      <x:c r="M160" s="47" t="str">
        <x:f>IF(AND(J160=1,K160=1,L160=1),"COMPLETE","OPEN")</x:f>
        <x:v>OPEN</x:v>
      </x:c>
      <x:c r="N160" s="84"/>
    </x:row>
    <x:row r="161">
      <x:c r="A161" s="47" t="str">
        <x:v>SC155</x:v>
      </x:c>
      <x:c r="B161" s="47" t="str">
        <x:v>P09</x:v>
      </x:c>
      <x:c r="C161" s="47" t="str">
        <x:v>CT-C</x:v>
      </x:c>
      <x:c r="D161" s="47" t="str">
        <x:v>CT-C-B</x:v>
      </x:c>
      <x:c r="E161" s="47" t="str">
        <x:v>ARTICLE</x:v>
      </x:c>
      <x:c r="F161" s="47" t="str">
        <x:v>F11</x:v>
      </x:c>
      <x:c r="G161" s="47" t="str">
        <x:v>Physical</x:v>
      </x:c>
      <x:c r="H161" s="47" t="str">
        <x:v>Interfaces, tolerances and boundary conditions</x:v>
      </x:c>
      <x:c r="I161" s="47" t="str">
        <x:v>PUBLIC</x:v>
      </x:c>
      <x:c r="J161" s="47" t="n">
        <x:v>1</x:v>
      </x:c>
      <x:c r="K161" s="56" t="n">
        <x:v>0</x:v>
      </x:c>
      <x:c r="L161" s="56" t="n">
        <x:v>0</x:v>
      </x:c>
      <x:c r="M161" s="47" t="str">
        <x:f>IF(AND(J161=1,K161=1,L161=1),"COMPLETE","OPEN")</x:f>
        <x:v>OPEN</x:v>
      </x:c>
      <x:c r="N161" s="84"/>
    </x:row>
    <x:row r="162">
      <x:c r="A162" s="47" t="str">
        <x:v>SC156</x:v>
      </x:c>
      <x:c r="B162" s="47" t="str">
        <x:v>P09</x:v>
      </x:c>
      <x:c r="C162" s="47" t="str">
        <x:v>CT-C</x:v>
      </x:c>
      <x:c r="D162" s="47" t="str">
        <x:v>CT-C-B</x:v>
      </x:c>
      <x:c r="E162" s="47" t="str">
        <x:v>ARTICLE</x:v>
      </x:c>
      <x:c r="F162" s="47" t="str">
        <x:v>F12</x:v>
      </x:c>
      <x:c r="G162" s="47" t="str">
        <x:v>Physical</x:v>
      </x:c>
      <x:c r="H162" s="47" t="str">
        <x:v>Manufacturing, process and assembly assumptions</x:v>
      </x:c>
      <x:c r="I162" s="47" t="str">
        <x:v>PUBLIC</x:v>
      </x:c>
      <x:c r="J162" s="47" t="n">
        <x:v>1</x:v>
      </x:c>
      <x:c r="K162" s="56" t="n">
        <x:v>0</x:v>
      </x:c>
      <x:c r="L162" s="56" t="n">
        <x:v>0</x:v>
      </x:c>
      <x:c r="M162" s="47" t="str">
        <x:f>IF(AND(J162=1,K162=1,L162=1),"COMPLETE","OPEN")</x:f>
        <x:v>OPEN</x:v>
      </x:c>
      <x:c r="N162" s="84"/>
    </x:row>
    <x:row r="163">
      <x:c r="A163" s="47" t="str">
        <x:v>SC157</x:v>
      </x:c>
      <x:c r="B163" s="47" t="str">
        <x:v>P09</x:v>
      </x:c>
      <x:c r="C163" s="47" t="str">
        <x:v>CT-C</x:v>
      </x:c>
      <x:c r="D163" s="47" t="str">
        <x:v>CT-C-B</x:v>
      </x:c>
      <x:c r="E163" s="47" t="str">
        <x:v>ARTICLE</x:v>
      </x:c>
      <x:c r="F163" s="47" t="str">
        <x:v>F13</x:v>
      </x:c>
      <x:c r="G163" s="47" t="str">
        <x:v>Civic</x:v>
      </x:c>
      <x:c r="H163" s="47" t="str">
        <x:v>Safe-state and abort logic</x:v>
      </x:c>
      <x:c r="I163" s="47" t="str">
        <x:v>PUBLIC</x:v>
      </x:c>
      <x:c r="J163" s="47" t="n">
        <x:v>1</x:v>
      </x:c>
      <x:c r="K163" s="56" t="n">
        <x:v>0</x:v>
      </x:c>
      <x:c r="L163" s="56" t="n">
        <x:v>0</x:v>
      </x:c>
      <x:c r="M163" s="47" t="str">
        <x:f>IF(AND(J163=1,K163=1,L163=1),"COMPLETE","OPEN")</x:f>
        <x:v>OPEN</x:v>
      </x:c>
      <x:c r="N163" s="84"/>
    </x:row>
    <x:row r="164">
      <x:c r="A164" s="47" t="str">
        <x:v>SC158</x:v>
      </x:c>
      <x:c r="B164" s="47" t="str">
        <x:v>P09</x:v>
      </x:c>
      <x:c r="C164" s="47" t="str">
        <x:v>CT-C</x:v>
      </x:c>
      <x:c r="D164" s="47" t="str">
        <x:v>CT-C-B</x:v>
      </x:c>
      <x:c r="E164" s="47" t="str">
        <x:v>ARTICLE</x:v>
      </x:c>
      <x:c r="F164" s="47" t="str">
        <x:v>F14</x:v>
      </x:c>
      <x:c r="G164" s="47" t="str">
        <x:v>Civic</x:v>
      </x:c>
      <x:c r="H164" s="47" t="str">
        <x:v>Receiver and residual dispositions</x:v>
      </x:c>
      <x:c r="I164" s="47" t="str">
        <x:v>PUBLIC</x:v>
      </x:c>
      <x:c r="J164" s="47" t="n">
        <x:v>1</x:v>
      </x:c>
      <x:c r="K164" s="56" t="n">
        <x:v>0</x:v>
      </x:c>
      <x:c r="L164" s="56" t="n">
        <x:v>0</x:v>
      </x:c>
      <x:c r="M164" s="47" t="str">
        <x:f>IF(AND(J164=1,K164=1,L164=1),"COMPLETE","OPEN")</x:f>
        <x:v>OPEN</x:v>
      </x:c>
      <x:c r="N164" s="84"/>
    </x:row>
    <x:row r="165">
      <x:c r="A165" s="47" t="str">
        <x:v>SC159</x:v>
      </x:c>
      <x:c r="B165" s="47" t="str">
        <x:v>P09</x:v>
      </x:c>
      <x:c r="C165" s="47" t="str">
        <x:v>CT-C</x:v>
      </x:c>
      <x:c r="D165" s="47" t="str">
        <x:v>CT-C-B</x:v>
      </x:c>
      <x:c r="E165" s="47" t="str">
        <x:v>ARTICLE</x:v>
      </x:c>
      <x:c r="F165" s="47" t="str">
        <x:v>F15</x:v>
      </x:c>
      <x:c r="G165" s="47" t="str">
        <x:v>Civic</x:v>
      </x:c>
      <x:c r="H165" s="47" t="str">
        <x:v>Rights, access and affected-population obligations</x:v>
      </x:c>
      <x:c r="I165" s="47" t="str">
        <x:v>PUBLIC</x:v>
      </x:c>
      <x:c r="J165" s="47" t="n">
        <x:v>1</x:v>
      </x:c>
      <x:c r="K165" s="56" t="n">
        <x:v>0</x:v>
      </x:c>
      <x:c r="L165" s="56" t="n">
        <x:v>0</x:v>
      </x:c>
      <x:c r="M165" s="47" t="str">
        <x:f>IF(AND(J165=1,K165=1,L165=1),"COMPLETE","OPEN")</x:f>
        <x:v>OPEN</x:v>
      </x:c>
      <x:c r="N165" s="84"/>
    </x:row>
    <x:row r="166">
      <x:c r="A166" s="47" t="str">
        <x:v>SC160</x:v>
      </x:c>
      <x:c r="B166" s="47" t="str">
        <x:v>P09</x:v>
      </x:c>
      <x:c r="C166" s="47" t="str">
        <x:v>CT-C</x:v>
      </x:c>
      <x:c r="D166" s="47" t="str">
        <x:v>CT-C-B</x:v>
      </x:c>
      <x:c r="E166" s="47" t="str">
        <x:v>ARTICLE</x:v>
      </x:c>
      <x:c r="F166" s="47" t="str">
        <x:v>F16</x:v>
      </x:c>
      <x:c r="G166" s="47" t="str">
        <x:v>Epistemic</x:v>
      </x:c>
      <x:c r="H166" s="47" t="str">
        <x:v>Assumptions, unknowns and uncertainty bounds</x:v>
      </x:c>
      <x:c r="I166" s="47" t="str">
        <x:v>PUBLIC</x:v>
      </x:c>
      <x:c r="J166" s="47" t="n">
        <x:v>1</x:v>
      </x:c>
      <x:c r="K166" s="56" t="n">
        <x:v>0</x:v>
      </x:c>
      <x:c r="L166" s="56" t="n">
        <x:v>0</x:v>
      </x:c>
      <x:c r="M166" s="47" t="str">
        <x:f>IF(AND(J166=1,K166=1,L166=1),"COMPLETE","OPEN")</x:f>
        <x:v>OPEN</x:v>
      </x:c>
      <x:c r="N166" s="84"/>
    </x:row>
    <x:row r="167">
      <x:c r="A167" s="47" t="str">
        <x:v>SC161</x:v>
      </x:c>
      <x:c r="B167" s="47" t="str">
        <x:v>P09</x:v>
      </x:c>
      <x:c r="C167" s="47" t="str">
        <x:v>CT-C</x:v>
      </x:c>
      <x:c r="D167" s="47" t="str">
        <x:v>CT-C-B</x:v>
      </x:c>
      <x:c r="E167" s="47" t="str">
        <x:v>ARTICLE</x:v>
      </x:c>
      <x:c r="F167" s="47" t="str">
        <x:v>F17</x:v>
      </x:c>
      <x:c r="G167" s="47" t="str">
        <x:v>Epistemic</x:v>
      </x:c>
      <x:c r="H167" s="47" t="str">
        <x:v>Causal event, denominator and claim trace</x:v>
      </x:c>
      <x:c r="I167" s="47" t="str">
        <x:v>PUBLIC</x:v>
      </x:c>
      <x:c r="J167" s="47" t="n">
        <x:v>1</x:v>
      </x:c>
      <x:c r="K167" s="56" t="n">
        <x:v>0</x:v>
      </x:c>
      <x:c r="L167" s="56" t="n">
        <x:v>0</x:v>
      </x:c>
      <x:c r="M167" s="47" t="str">
        <x:f>IF(AND(J167=1,K167=1,L167=1),"COMPLETE","OPEN")</x:f>
        <x:v>OPEN</x:v>
      </x:c>
      <x:c r="N167" s="84"/>
    </x:row>
    <x:row r="168">
      <x:c r="A168" s="47" t="str">
        <x:v>SC162</x:v>
      </x:c>
      <x:c r="B168" s="47" t="str">
        <x:v>P09</x:v>
      </x:c>
      <x:c r="C168" s="47" t="str">
        <x:v>CT-C</x:v>
      </x:c>
      <x:c r="D168" s="47" t="str">
        <x:v>CT-C-B</x:v>
      </x:c>
      <x:c r="E168" s="47" t="str">
        <x:v>ARTICLE</x:v>
      </x:c>
      <x:c r="F168" s="47" t="str">
        <x:v>F18</x:v>
      </x:c>
      <x:c r="G168" s="47" t="str">
        <x:v>Epistemic</x:v>
      </x:c>
      <x:c r="H168" s="47" t="str">
        <x:v>Acceptance, expiry, disclosure and supersession rule</x:v>
      </x:c>
      <x:c r="I168" s="47" t="str">
        <x:v>PUBLIC</x:v>
      </x:c>
      <x:c r="J168" s="47" t="n">
        <x:v>1</x:v>
      </x:c>
      <x:c r="K168" s="56" t="n">
        <x:v>0</x:v>
      </x:c>
      <x:c r="L168" s="56" t="n">
        <x:v>0</x:v>
      </x:c>
      <x:c r="M168" s="47" t="str">
        <x:f>IF(AND(J168=1,K168=1,L168=1),"COMPLETE","OPEN")</x:f>
        <x:v>OPEN</x:v>
      </x:c>
      <x:c r="N168" s="84"/>
    </x:row>
    <x:row r="169">
      <x:c r="A169" s="47" t="str">
        <x:v>SC163</x:v>
      </x:c>
      <x:c r="B169" s="47" t="str">
        <x:v>P10</x:v>
      </x:c>
      <x:c r="C169" s="47" t="str">
        <x:v>CT-C</x:v>
      </x:c>
      <x:c r="D169" s="47" t="str">
        <x:v>CT-C-B</x:v>
      </x:c>
      <x:c r="E169" s="47" t="str">
        <x:v>REBUILD</x:v>
      </x:c>
      <x:c r="F169" s="47" t="str">
        <x:v>F01</x:v>
      </x:c>
      <x:c r="G169" s="47" t="str">
        <x:v>Identity</x:v>
      </x:c>
      <x:c r="H169" s="47" t="str">
        <x:v>Package identity and warrant scope</x:v>
      </x:c>
      <x:c r="I169" s="47" t="str">
        <x:v>PUBLIC</x:v>
      </x:c>
      <x:c r="J169" s="47" t="n">
        <x:v>1</x:v>
      </x:c>
      <x:c r="K169" s="56" t="n">
        <x:v>0</x:v>
      </x:c>
      <x:c r="L169" s="56" t="n">
        <x:v>0</x:v>
      </x:c>
      <x:c r="M169" s="47" t="str">
        <x:f>IF(AND(J169=1,K169=1,L169=1),"COMPLETE","OPEN")</x:f>
        <x:v>OPEN</x:v>
      </x:c>
      <x:c r="N169" s="84"/>
    </x:row>
    <x:row r="170">
      <x:c r="A170" s="47" t="str">
        <x:v>SC164</x:v>
      </x:c>
      <x:c r="B170" s="47" t="str">
        <x:v>P10</x:v>
      </x:c>
      <x:c r="C170" s="47" t="str">
        <x:v>CT-C</x:v>
      </x:c>
      <x:c r="D170" s="47" t="str">
        <x:v>CT-C-B</x:v>
      </x:c>
      <x:c r="E170" s="47" t="str">
        <x:v>REBUILD</x:v>
      </x:c>
      <x:c r="F170" s="47" t="str">
        <x:v>F02</x:v>
      </x:c>
      <x:c r="G170" s="47" t="str">
        <x:v>Identity</x:v>
      </x:c>
      <x:c r="H170" s="47" t="str">
        <x:v>Authorship, beneficial control and authority</x:v>
      </x:c>
      <x:c r="I170" s="47" t="str">
        <x:v>PUBLIC</x:v>
      </x:c>
      <x:c r="J170" s="47" t="n">
        <x:v>1</x:v>
      </x:c>
      <x:c r="K170" s="56" t="n">
        <x:v>0</x:v>
      </x:c>
      <x:c r="L170" s="56" t="n">
        <x:v>0</x:v>
      </x:c>
      <x:c r="M170" s="47" t="str">
        <x:f>IF(AND(J170=1,K170=1,L170=1),"COMPLETE","OPEN")</x:f>
        <x:v>OPEN</x:v>
      </x:c>
      <x:c r="N170" s="84"/>
    </x:row>
    <x:row r="171">
      <x:c r="A171" s="47" t="str">
        <x:v>SC165</x:v>
      </x:c>
      <x:c r="B171" s="47" t="str">
        <x:v>P10</x:v>
      </x:c>
      <x:c r="C171" s="47" t="str">
        <x:v>CT-C</x:v>
      </x:c>
      <x:c r="D171" s="47" t="str">
        <x:v>CT-C-B</x:v>
      </x:c>
      <x:c r="E171" s="47" t="str">
        <x:v>REBUILD</x:v>
      </x:c>
      <x:c r="F171" s="47" t="str">
        <x:v>F03</x:v>
      </x:c>
      <x:c r="G171" s="47" t="str">
        <x:v>Identity</x:v>
      </x:c>
      <x:c r="H171" s="47" t="str">
        <x:v>Configuration and content hash</x:v>
      </x:c>
      <x:c r="I171" s="47" t="str">
        <x:v>PUBLIC</x:v>
      </x:c>
      <x:c r="J171" s="47" t="n">
        <x:v>1</x:v>
      </x:c>
      <x:c r="K171" s="56" t="n">
        <x:v>0</x:v>
      </x:c>
      <x:c r="L171" s="56" t="n">
        <x:v>0</x:v>
      </x:c>
      <x:c r="M171" s="47" t="str">
        <x:f>IF(AND(J171=1,K171=1,L171=1),"COMPLETE","OPEN")</x:f>
        <x:v>OPEN</x:v>
      </x:c>
      <x:c r="N171" s="84"/>
    </x:row>
    <x:row r="172">
      <x:c r="A172" s="47" t="str">
        <x:v>SC166</x:v>
      </x:c>
      <x:c r="B172" s="47" t="str">
        <x:v>P10</x:v>
      </x:c>
      <x:c r="C172" s="47" t="str">
        <x:v>CT-C</x:v>
      </x:c>
      <x:c r="D172" s="47" t="str">
        <x:v>CT-C-B</x:v>
      </x:c>
      <x:c r="E172" s="47" t="str">
        <x:v>REBUILD</x:v>
      </x:c>
      <x:c r="F172" s="47" t="str">
        <x:v>F04</x:v>
      </x:c>
      <x:c r="G172" s="47" t="str">
        <x:v>Executable</x:v>
      </x:c>
      <x:c r="H172" s="47" t="str">
        <x:v>Native executable artifact</x:v>
      </x:c>
      <x:c r="I172" s="47" t="str">
        <x:v>ESCROW</x:v>
      </x:c>
      <x:c r="J172" s="47" t="n">
        <x:v>1</x:v>
      </x:c>
      <x:c r="K172" s="56" t="n">
        <x:v>0</x:v>
      </x:c>
      <x:c r="L172" s="56" t="n">
        <x:v>0</x:v>
      </x:c>
      <x:c r="M172" s="47" t="str">
        <x:f>IF(AND(J172=1,K172=1,L172=1),"COMPLETE","OPEN")</x:f>
        <x:v>OPEN</x:v>
      </x:c>
      <x:c r="N172" s="84"/>
    </x:row>
    <x:row r="173">
      <x:c r="A173" s="47" t="str">
        <x:v>SC167</x:v>
      </x:c>
      <x:c r="B173" s="47" t="str">
        <x:v>P10</x:v>
      </x:c>
      <x:c r="C173" s="47" t="str">
        <x:v>CT-C</x:v>
      </x:c>
      <x:c r="D173" s="47" t="str">
        <x:v>CT-C-B</x:v>
      </x:c>
      <x:c r="E173" s="47" t="str">
        <x:v>REBUILD</x:v>
      </x:c>
      <x:c r="F173" s="47" t="str">
        <x:v>F05</x:v>
      </x:c>
      <x:c r="G173" s="47" t="str">
        <x:v>Executable</x:v>
      </x:c>
      <x:c r="H173" s="47" t="str">
        <x:v>Native environment and toolchain image</x:v>
      </x:c>
      <x:c r="I173" s="47" t="str">
        <x:v>ESCROW</x:v>
      </x:c>
      <x:c r="J173" s="47" t="n">
        <x:v>1</x:v>
      </x:c>
      <x:c r="K173" s="56" t="n">
        <x:v>0</x:v>
      </x:c>
      <x:c r="L173" s="56" t="n">
        <x:v>0</x:v>
      </x:c>
      <x:c r="M173" s="47" t="str">
        <x:f>IF(AND(J173=1,K173=1,L173=1),"COMPLETE","OPEN")</x:f>
        <x:v>OPEN</x:v>
      </x:c>
      <x:c r="N173" s="84"/>
    </x:row>
    <x:row r="174">
      <x:c r="A174" s="47" t="str">
        <x:v>SC168</x:v>
      </x:c>
      <x:c r="B174" s="47" t="str">
        <x:v>P10</x:v>
      </x:c>
      <x:c r="C174" s="47" t="str">
        <x:v>CT-C</x:v>
      </x:c>
      <x:c r="D174" s="47" t="str">
        <x:v>CT-C-B</x:v>
      </x:c>
      <x:c r="E174" s="47" t="str">
        <x:v>REBUILD</x:v>
      </x:c>
      <x:c r="F174" s="47" t="str">
        <x:v>F06</x:v>
      </x:c>
      <x:c r="G174" s="47" t="str">
        <x:v>Executable</x:v>
      </x:c>
      <x:c r="H174" s="47" t="str">
        <x:v>Dependency bill, software bill and license rights</x:v>
      </x:c>
      <x:c r="I174" s="47" t="str">
        <x:v>PUBLIC</x:v>
      </x:c>
      <x:c r="J174" s="47" t="n">
        <x:v>1</x:v>
      </x:c>
      <x:c r="K174" s="56" t="n">
        <x:v>0</x:v>
      </x:c>
      <x:c r="L174" s="56" t="n">
        <x:v>0</x:v>
      </x:c>
      <x:c r="M174" s="47" t="str">
        <x:f>IF(AND(J174=1,K174=1,L174=1),"COMPLETE","OPEN")</x:f>
        <x:v>OPEN</x:v>
      </x:c>
      <x:c r="N174" s="84"/>
    </x:row>
    <x:row r="175">
      <x:c r="A175" s="47" t="str">
        <x:v>SC169</x:v>
      </x:c>
      <x:c r="B175" s="47" t="str">
        <x:v>P10</x:v>
      </x:c>
      <x:c r="C175" s="47" t="str">
        <x:v>CT-C</x:v>
      </x:c>
      <x:c r="D175" s="47" t="str">
        <x:v>CT-C-B</x:v>
      </x:c>
      <x:c r="E175" s="47" t="str">
        <x:v>REBUILD</x:v>
      </x:c>
      <x:c r="F175" s="47" t="str">
        <x:v>F07</x:v>
      </x:c>
      <x:c r="G175" s="47" t="str">
        <x:v>Executable</x:v>
      </x:c>
      <x:c r="H175" s="47" t="str">
        <x:v>Data provenance and calibration lineage</x:v>
      </x:c>
      <x:c r="I175" s="47" t="str">
        <x:v>ESCROW</x:v>
      </x:c>
      <x:c r="J175" s="47" t="n">
        <x:v>1</x:v>
      </x:c>
      <x:c r="K175" s="56" t="n">
        <x:v>0</x:v>
      </x:c>
      <x:c r="L175" s="56" t="n">
        <x:v>0</x:v>
      </x:c>
      <x:c r="M175" s="47" t="str">
        <x:f>IF(AND(J175=1,K175=1,L175=1),"COMPLETE","OPEN")</x:f>
        <x:v>OPEN</x:v>
      </x:c>
      <x:c r="N175" s="84"/>
    </x:row>
    <x:row r="176">
      <x:c r="A176" s="47" t="str">
        <x:v>SC170</x:v>
      </x:c>
      <x:c r="B176" s="47" t="str">
        <x:v>P10</x:v>
      </x:c>
      <x:c r="C176" s="47" t="str">
        <x:v>CT-C</x:v>
      </x:c>
      <x:c r="D176" s="47" t="str">
        <x:v>CT-C-B</x:v>
      </x:c>
      <x:c r="E176" s="47" t="str">
        <x:v>REBUILD</x:v>
      </x:c>
      <x:c r="F176" s="47" t="str">
        <x:v>F08</x:v>
      </x:c>
      <x:c r="G176" s="47" t="str">
        <x:v>Executable</x:v>
      </x:c>
      <x:c r="H176" s="47" t="str">
        <x:v>Random seed, solver and numerical controls</x:v>
      </x:c>
      <x:c r="I176" s="47" t="str">
        <x:v>ESCROW</x:v>
      </x:c>
      <x:c r="J176" s="47" t="n">
        <x:v>1</x:v>
      </x:c>
      <x:c r="K176" s="56" t="n">
        <x:v>0</x:v>
      </x:c>
      <x:c r="L176" s="56" t="n">
        <x:v>0</x:v>
      </x:c>
      <x:c r="M176" s="47" t="str">
        <x:f>IF(AND(J176=1,K176=1,L176=1),"COMPLETE","OPEN")</x:f>
        <x:v>OPEN</x:v>
      </x:c>
      <x:c r="N176" s="84"/>
    </x:row>
    <x:row r="177">
      <x:c r="A177" s="47" t="str">
        <x:v>SC171</x:v>
      </x:c>
      <x:c r="B177" s="47" t="str">
        <x:v>P10</x:v>
      </x:c>
      <x:c r="C177" s="47" t="str">
        <x:v>CT-C</x:v>
      </x:c>
      <x:c r="D177" s="47" t="str">
        <x:v>CT-C-B</x:v>
      </x:c>
      <x:c r="E177" s="47" t="str">
        <x:v>REBUILD</x:v>
      </x:c>
      <x:c r="F177" s="47" t="str">
        <x:v>F09</x:v>
      </x:c>
      <x:c r="G177" s="47" t="str">
        <x:v>Physical</x:v>
      </x:c>
      <x:c r="H177" s="47" t="str">
        <x:v>Units, coordinates and datums</x:v>
      </x:c>
      <x:c r="I177" s="47" t="str">
        <x:v>PUBLIC</x:v>
      </x:c>
      <x:c r="J177" s="47" t="n">
        <x:v>1</x:v>
      </x:c>
      <x:c r="K177" s="56" t="n">
        <x:v>0</x:v>
      </x:c>
      <x:c r="L177" s="56" t="n">
        <x:v>0</x:v>
      </x:c>
      <x:c r="M177" s="47" t="str">
        <x:f>IF(AND(J177=1,K177=1,L177=1),"COMPLETE","OPEN")</x:f>
        <x:v>OPEN</x:v>
      </x:c>
      <x:c r="N177" s="84"/>
    </x:row>
    <x:row r="178">
      <x:c r="A178" s="47" t="str">
        <x:v>SC172</x:v>
      </x:c>
      <x:c r="B178" s="47" t="str">
        <x:v>P10</x:v>
      </x:c>
      <x:c r="C178" s="47" t="str">
        <x:v>CT-C</x:v>
      </x:c>
      <x:c r="D178" s="47" t="str">
        <x:v>CT-C-B</x:v>
      </x:c>
      <x:c r="E178" s="47" t="str">
        <x:v>REBUILD</x:v>
      </x:c>
      <x:c r="F178" s="47" t="str">
        <x:v>F10</x:v>
      </x:c>
      <x:c r="G178" s="47" t="str">
        <x:v>Physical</x:v>
      </x:c>
      <x:c r="H178" s="47" t="str">
        <x:v>Material, property and constitutive sources</x:v>
      </x:c>
      <x:c r="I178" s="47" t="str">
        <x:v>PUBLIC</x:v>
      </x:c>
      <x:c r="J178" s="47" t="n">
        <x:v>1</x:v>
      </x:c>
      <x:c r="K178" s="56" t="n">
        <x:v>0</x:v>
      </x:c>
      <x:c r="L178" s="56" t="n">
        <x:v>0</x:v>
      </x:c>
      <x:c r="M178" s="47" t="str">
        <x:f>IF(AND(J178=1,K178=1,L178=1),"COMPLETE","OPEN")</x:f>
        <x:v>OPEN</x:v>
      </x:c>
      <x:c r="N178" s="84"/>
    </x:row>
    <x:row r="179">
      <x:c r="A179" s="47" t="str">
        <x:v>SC173</x:v>
      </x:c>
      <x:c r="B179" s="47" t="str">
        <x:v>P10</x:v>
      </x:c>
      <x:c r="C179" s="47" t="str">
        <x:v>CT-C</x:v>
      </x:c>
      <x:c r="D179" s="47" t="str">
        <x:v>CT-C-B</x:v>
      </x:c>
      <x:c r="E179" s="47" t="str">
        <x:v>REBUILD</x:v>
      </x:c>
      <x:c r="F179" s="47" t="str">
        <x:v>F11</x:v>
      </x:c>
      <x:c r="G179" s="47" t="str">
        <x:v>Physical</x:v>
      </x:c>
      <x:c r="H179" s="47" t="str">
        <x:v>Interfaces, tolerances and boundary conditions</x:v>
      </x:c>
      <x:c r="I179" s="47" t="str">
        <x:v>PUBLIC</x:v>
      </x:c>
      <x:c r="J179" s="47" t="n">
        <x:v>1</x:v>
      </x:c>
      <x:c r="K179" s="56" t="n">
        <x:v>0</x:v>
      </x:c>
      <x:c r="L179" s="56" t="n">
        <x:v>0</x:v>
      </x:c>
      <x:c r="M179" s="47" t="str">
        <x:f>IF(AND(J179=1,K179=1,L179=1),"COMPLETE","OPEN")</x:f>
        <x:v>OPEN</x:v>
      </x:c>
      <x:c r="N179" s="84"/>
    </x:row>
    <x:row r="180">
      <x:c r="A180" s="47" t="str">
        <x:v>SC174</x:v>
      </x:c>
      <x:c r="B180" s="47" t="str">
        <x:v>P10</x:v>
      </x:c>
      <x:c r="C180" s="47" t="str">
        <x:v>CT-C</x:v>
      </x:c>
      <x:c r="D180" s="47" t="str">
        <x:v>CT-C-B</x:v>
      </x:c>
      <x:c r="E180" s="47" t="str">
        <x:v>REBUILD</x:v>
      </x:c>
      <x:c r="F180" s="47" t="str">
        <x:v>F12</x:v>
      </x:c>
      <x:c r="G180" s="47" t="str">
        <x:v>Physical</x:v>
      </x:c>
      <x:c r="H180" s="47" t="str">
        <x:v>Manufacturing, process and assembly assumptions</x:v>
      </x:c>
      <x:c r="I180" s="47" t="str">
        <x:v>PUBLIC</x:v>
      </x:c>
      <x:c r="J180" s="47" t="n">
        <x:v>1</x:v>
      </x:c>
      <x:c r="K180" s="56" t="n">
        <x:v>0</x:v>
      </x:c>
      <x:c r="L180" s="56" t="n">
        <x:v>0</x:v>
      </x:c>
      <x:c r="M180" s="47" t="str">
        <x:f>IF(AND(J180=1,K180=1,L180=1),"COMPLETE","OPEN")</x:f>
        <x:v>OPEN</x:v>
      </x:c>
      <x:c r="N180" s="84"/>
    </x:row>
    <x:row r="181">
      <x:c r="A181" s="47" t="str">
        <x:v>SC175</x:v>
      </x:c>
      <x:c r="B181" s="47" t="str">
        <x:v>P10</x:v>
      </x:c>
      <x:c r="C181" s="47" t="str">
        <x:v>CT-C</x:v>
      </x:c>
      <x:c r="D181" s="47" t="str">
        <x:v>CT-C-B</x:v>
      </x:c>
      <x:c r="E181" s="47" t="str">
        <x:v>REBUILD</x:v>
      </x:c>
      <x:c r="F181" s="47" t="str">
        <x:v>F13</x:v>
      </x:c>
      <x:c r="G181" s="47" t="str">
        <x:v>Civic</x:v>
      </x:c>
      <x:c r="H181" s="47" t="str">
        <x:v>Safe-state and abort logic</x:v>
      </x:c>
      <x:c r="I181" s="47" t="str">
        <x:v>PUBLIC</x:v>
      </x:c>
      <x:c r="J181" s="47" t="n">
        <x:v>1</x:v>
      </x:c>
      <x:c r="K181" s="56" t="n">
        <x:v>0</x:v>
      </x:c>
      <x:c r="L181" s="56" t="n">
        <x:v>0</x:v>
      </x:c>
      <x:c r="M181" s="47" t="str">
        <x:f>IF(AND(J181=1,K181=1,L181=1),"COMPLETE","OPEN")</x:f>
        <x:v>OPEN</x:v>
      </x:c>
      <x:c r="N181" s="84"/>
    </x:row>
    <x:row r="182">
      <x:c r="A182" s="47" t="str">
        <x:v>SC176</x:v>
      </x:c>
      <x:c r="B182" s="47" t="str">
        <x:v>P10</x:v>
      </x:c>
      <x:c r="C182" s="47" t="str">
        <x:v>CT-C</x:v>
      </x:c>
      <x:c r="D182" s="47" t="str">
        <x:v>CT-C-B</x:v>
      </x:c>
      <x:c r="E182" s="47" t="str">
        <x:v>REBUILD</x:v>
      </x:c>
      <x:c r="F182" s="47" t="str">
        <x:v>F14</x:v>
      </x:c>
      <x:c r="G182" s="47" t="str">
        <x:v>Civic</x:v>
      </x:c>
      <x:c r="H182" s="47" t="str">
        <x:v>Receiver and residual dispositions</x:v>
      </x:c>
      <x:c r="I182" s="47" t="str">
        <x:v>PUBLIC</x:v>
      </x:c>
      <x:c r="J182" s="47" t="n">
        <x:v>1</x:v>
      </x:c>
      <x:c r="K182" s="56" t="n">
        <x:v>0</x:v>
      </x:c>
      <x:c r="L182" s="56" t="n">
        <x:v>0</x:v>
      </x:c>
      <x:c r="M182" s="47" t="str">
        <x:f>IF(AND(J182=1,K182=1,L182=1),"COMPLETE","OPEN")</x:f>
        <x:v>OPEN</x:v>
      </x:c>
      <x:c r="N182" s="84"/>
    </x:row>
    <x:row r="183">
      <x:c r="A183" s="47" t="str">
        <x:v>SC177</x:v>
      </x:c>
      <x:c r="B183" s="47" t="str">
        <x:v>P10</x:v>
      </x:c>
      <x:c r="C183" s="47" t="str">
        <x:v>CT-C</x:v>
      </x:c>
      <x:c r="D183" s="47" t="str">
        <x:v>CT-C-B</x:v>
      </x:c>
      <x:c r="E183" s="47" t="str">
        <x:v>REBUILD</x:v>
      </x:c>
      <x:c r="F183" s="47" t="str">
        <x:v>F15</x:v>
      </x:c>
      <x:c r="G183" s="47" t="str">
        <x:v>Civic</x:v>
      </x:c>
      <x:c r="H183" s="47" t="str">
        <x:v>Rights, access and affected-population obligations</x:v>
      </x:c>
      <x:c r="I183" s="47" t="str">
        <x:v>PUBLIC</x:v>
      </x:c>
      <x:c r="J183" s="47" t="n">
        <x:v>1</x:v>
      </x:c>
      <x:c r="K183" s="56" t="n">
        <x:v>0</x:v>
      </x:c>
      <x:c r="L183" s="56" t="n">
        <x:v>0</x:v>
      </x:c>
      <x:c r="M183" s="47" t="str">
        <x:f>IF(AND(J183=1,K183=1,L183=1),"COMPLETE","OPEN")</x:f>
        <x:v>OPEN</x:v>
      </x:c>
      <x:c r="N183" s="84"/>
    </x:row>
    <x:row r="184">
      <x:c r="A184" s="47" t="str">
        <x:v>SC178</x:v>
      </x:c>
      <x:c r="B184" s="47" t="str">
        <x:v>P10</x:v>
      </x:c>
      <x:c r="C184" s="47" t="str">
        <x:v>CT-C</x:v>
      </x:c>
      <x:c r="D184" s="47" t="str">
        <x:v>CT-C-B</x:v>
      </x:c>
      <x:c r="E184" s="47" t="str">
        <x:v>REBUILD</x:v>
      </x:c>
      <x:c r="F184" s="47" t="str">
        <x:v>F16</x:v>
      </x:c>
      <x:c r="G184" s="47" t="str">
        <x:v>Epistemic</x:v>
      </x:c>
      <x:c r="H184" s="47" t="str">
        <x:v>Assumptions, unknowns and uncertainty bounds</x:v>
      </x:c>
      <x:c r="I184" s="47" t="str">
        <x:v>PUBLIC</x:v>
      </x:c>
      <x:c r="J184" s="47" t="n">
        <x:v>1</x:v>
      </x:c>
      <x:c r="K184" s="56" t="n">
        <x:v>0</x:v>
      </x:c>
      <x:c r="L184" s="56" t="n">
        <x:v>0</x:v>
      </x:c>
      <x:c r="M184" s="47" t="str">
        <x:f>IF(AND(J184=1,K184=1,L184=1),"COMPLETE","OPEN")</x:f>
        <x:v>OPEN</x:v>
      </x:c>
      <x:c r="N184" s="84"/>
    </x:row>
    <x:row r="185">
      <x:c r="A185" s="47" t="str">
        <x:v>SC179</x:v>
      </x:c>
      <x:c r="B185" s="47" t="str">
        <x:v>P10</x:v>
      </x:c>
      <x:c r="C185" s="47" t="str">
        <x:v>CT-C</x:v>
      </x:c>
      <x:c r="D185" s="47" t="str">
        <x:v>CT-C-B</x:v>
      </x:c>
      <x:c r="E185" s="47" t="str">
        <x:v>REBUILD</x:v>
      </x:c>
      <x:c r="F185" s="47" t="str">
        <x:v>F17</x:v>
      </x:c>
      <x:c r="G185" s="47" t="str">
        <x:v>Epistemic</x:v>
      </x:c>
      <x:c r="H185" s="47" t="str">
        <x:v>Causal event, denominator and claim trace</x:v>
      </x:c>
      <x:c r="I185" s="47" t="str">
        <x:v>PUBLIC</x:v>
      </x:c>
      <x:c r="J185" s="47" t="n">
        <x:v>1</x:v>
      </x:c>
      <x:c r="K185" s="56" t="n">
        <x:v>0</x:v>
      </x:c>
      <x:c r="L185" s="56" t="n">
        <x:v>0</x:v>
      </x:c>
      <x:c r="M185" s="47" t="str">
        <x:f>IF(AND(J185=1,K185=1,L185=1),"COMPLETE","OPEN")</x:f>
        <x:v>OPEN</x:v>
      </x:c>
      <x:c r="N185" s="84"/>
    </x:row>
    <x:row r="186">
      <x:c r="A186" s="47" t="str">
        <x:v>SC180</x:v>
      </x:c>
      <x:c r="B186" s="47" t="str">
        <x:v>P10</x:v>
      </x:c>
      <x:c r="C186" s="47" t="str">
        <x:v>CT-C</x:v>
      </x:c>
      <x:c r="D186" s="47" t="str">
        <x:v>CT-C-B</x:v>
      </x:c>
      <x:c r="E186" s="47" t="str">
        <x:v>REBUILD</x:v>
      </x:c>
      <x:c r="F186" s="47" t="str">
        <x:v>F18</x:v>
      </x:c>
      <x:c r="G186" s="47" t="str">
        <x:v>Epistemic</x:v>
      </x:c>
      <x:c r="H186" s="47" t="str">
        <x:v>Acceptance, expiry, disclosure and supersession rule</x:v>
      </x:c>
      <x:c r="I186" s="47" t="str">
        <x:v>PUBLIC</x:v>
      </x:c>
      <x:c r="J186" s="47" t="n">
        <x:v>1</x:v>
      </x:c>
      <x:c r="K186" s="56" t="n">
        <x:v>0</x:v>
      </x:c>
      <x:c r="L186" s="56" t="n">
        <x:v>0</x:v>
      </x:c>
      <x:c r="M186" s="47" t="str">
        <x:f>IF(AND(J186=1,K186=1,L186=1),"COMPLETE","OPEN")</x:f>
        <x:v>OPEN</x:v>
      </x:c>
      <x:c r="N186" s="84"/>
    </x:row>
    <x:row r="187">
      <x:c r="A187" s="47" t="str">
        <x:v>SC181</x:v>
      </x:c>
      <x:c r="B187" s="47" t="str">
        <x:v>P11</x:v>
      </x:c>
      <x:c r="C187" s="47" t="str">
        <x:v>HC-A</x:v>
      </x:c>
      <x:c r="D187" s="47" t="str">
        <x:v>HC-A-C</x:v>
      </x:c>
      <x:c r="E187" s="47" t="str">
        <x:v>METHOD</x:v>
      </x:c>
      <x:c r="F187" s="47" t="str">
        <x:v>F01</x:v>
      </x:c>
      <x:c r="G187" s="47" t="str">
        <x:v>Identity</x:v>
      </x:c>
      <x:c r="H187" s="47" t="str">
        <x:v>Package identity and warrant scope</x:v>
      </x:c>
      <x:c r="I187" s="47" t="str">
        <x:v>PUBLIC</x:v>
      </x:c>
      <x:c r="J187" s="47" t="n">
        <x:v>1</x:v>
      </x:c>
      <x:c r="K187" s="56" t="n">
        <x:v>0</x:v>
      </x:c>
      <x:c r="L187" s="56" t="n">
        <x:v>0</x:v>
      </x:c>
      <x:c r="M187" s="47" t="str">
        <x:f>IF(AND(J187=1,K187=1,L187=1),"COMPLETE","OPEN")</x:f>
        <x:v>OPEN</x:v>
      </x:c>
      <x:c r="N187" s="84"/>
    </x:row>
    <x:row r="188">
      <x:c r="A188" s="47" t="str">
        <x:v>SC182</x:v>
      </x:c>
      <x:c r="B188" s="47" t="str">
        <x:v>P11</x:v>
      </x:c>
      <x:c r="C188" s="47" t="str">
        <x:v>HC-A</x:v>
      </x:c>
      <x:c r="D188" s="47" t="str">
        <x:v>HC-A-C</x:v>
      </x:c>
      <x:c r="E188" s="47" t="str">
        <x:v>METHOD</x:v>
      </x:c>
      <x:c r="F188" s="47" t="str">
        <x:v>F02</x:v>
      </x:c>
      <x:c r="G188" s="47" t="str">
        <x:v>Identity</x:v>
      </x:c>
      <x:c r="H188" s="47" t="str">
        <x:v>Authorship, beneficial control and authority</x:v>
      </x:c>
      <x:c r="I188" s="47" t="str">
        <x:v>PUBLIC</x:v>
      </x:c>
      <x:c r="J188" s="47" t="n">
        <x:v>1</x:v>
      </x:c>
      <x:c r="K188" s="56" t="n">
        <x:v>0</x:v>
      </x:c>
      <x:c r="L188" s="56" t="n">
        <x:v>0</x:v>
      </x:c>
      <x:c r="M188" s="47" t="str">
        <x:f>IF(AND(J188=1,K188=1,L188=1),"COMPLETE","OPEN")</x:f>
        <x:v>OPEN</x:v>
      </x:c>
      <x:c r="N188" s="84"/>
    </x:row>
    <x:row r="189">
      <x:c r="A189" s="47" t="str">
        <x:v>SC183</x:v>
      </x:c>
      <x:c r="B189" s="47" t="str">
        <x:v>P11</x:v>
      </x:c>
      <x:c r="C189" s="47" t="str">
        <x:v>HC-A</x:v>
      </x:c>
      <x:c r="D189" s="47" t="str">
        <x:v>HC-A-C</x:v>
      </x:c>
      <x:c r="E189" s="47" t="str">
        <x:v>METHOD</x:v>
      </x:c>
      <x:c r="F189" s="47" t="str">
        <x:v>F03</x:v>
      </x:c>
      <x:c r="G189" s="47" t="str">
        <x:v>Identity</x:v>
      </x:c>
      <x:c r="H189" s="47" t="str">
        <x:v>Configuration and content hash</x:v>
      </x:c>
      <x:c r="I189" s="47" t="str">
        <x:v>PUBLIC</x:v>
      </x:c>
      <x:c r="J189" s="47" t="n">
        <x:v>1</x:v>
      </x:c>
      <x:c r="K189" s="56" t="n">
        <x:v>0</x:v>
      </x:c>
      <x:c r="L189" s="56" t="n">
        <x:v>0</x:v>
      </x:c>
      <x:c r="M189" s="47" t="str">
        <x:f>IF(AND(J189=1,K189=1,L189=1),"COMPLETE","OPEN")</x:f>
        <x:v>OPEN</x:v>
      </x:c>
      <x:c r="N189" s="84"/>
    </x:row>
    <x:row r="190">
      <x:c r="A190" s="47" t="str">
        <x:v>SC184</x:v>
      </x:c>
      <x:c r="B190" s="47" t="str">
        <x:v>P11</x:v>
      </x:c>
      <x:c r="C190" s="47" t="str">
        <x:v>HC-A</x:v>
      </x:c>
      <x:c r="D190" s="47" t="str">
        <x:v>HC-A-C</x:v>
      </x:c>
      <x:c r="E190" s="47" t="str">
        <x:v>METHOD</x:v>
      </x:c>
      <x:c r="F190" s="47" t="str">
        <x:v>F04</x:v>
      </x:c>
      <x:c r="G190" s="47" t="str">
        <x:v>Executable</x:v>
      </x:c>
      <x:c r="H190" s="47" t="str">
        <x:v>Native executable artifact</x:v>
      </x:c>
      <x:c r="I190" s="47" t="str">
        <x:v>ESCROW</x:v>
      </x:c>
      <x:c r="J190" s="47" t="n">
        <x:v>1</x:v>
      </x:c>
      <x:c r="K190" s="56" t="n">
        <x:v>0</x:v>
      </x:c>
      <x:c r="L190" s="56" t="n">
        <x:v>0</x:v>
      </x:c>
      <x:c r="M190" s="47" t="str">
        <x:f>IF(AND(J190=1,K190=1,L190=1),"COMPLETE","OPEN")</x:f>
        <x:v>OPEN</x:v>
      </x:c>
      <x:c r="N190" s="84"/>
    </x:row>
    <x:row r="191">
      <x:c r="A191" s="47" t="str">
        <x:v>SC185</x:v>
      </x:c>
      <x:c r="B191" s="47" t="str">
        <x:v>P11</x:v>
      </x:c>
      <x:c r="C191" s="47" t="str">
        <x:v>HC-A</x:v>
      </x:c>
      <x:c r="D191" s="47" t="str">
        <x:v>HC-A-C</x:v>
      </x:c>
      <x:c r="E191" s="47" t="str">
        <x:v>METHOD</x:v>
      </x:c>
      <x:c r="F191" s="47" t="str">
        <x:v>F05</x:v>
      </x:c>
      <x:c r="G191" s="47" t="str">
        <x:v>Executable</x:v>
      </x:c>
      <x:c r="H191" s="47" t="str">
        <x:v>Native environment and toolchain image</x:v>
      </x:c>
      <x:c r="I191" s="47" t="str">
        <x:v>ESCROW</x:v>
      </x:c>
      <x:c r="J191" s="47" t="n">
        <x:v>1</x:v>
      </x:c>
      <x:c r="K191" s="56" t="n">
        <x:v>0</x:v>
      </x:c>
      <x:c r="L191" s="56" t="n">
        <x:v>0</x:v>
      </x:c>
      <x:c r="M191" s="47" t="str">
        <x:f>IF(AND(J191=1,K191=1,L191=1),"COMPLETE","OPEN")</x:f>
        <x:v>OPEN</x:v>
      </x:c>
      <x:c r="N191" s="84"/>
    </x:row>
    <x:row r="192">
      <x:c r="A192" s="47" t="str">
        <x:v>SC186</x:v>
      </x:c>
      <x:c r="B192" s="47" t="str">
        <x:v>P11</x:v>
      </x:c>
      <x:c r="C192" s="47" t="str">
        <x:v>HC-A</x:v>
      </x:c>
      <x:c r="D192" s="47" t="str">
        <x:v>HC-A-C</x:v>
      </x:c>
      <x:c r="E192" s="47" t="str">
        <x:v>METHOD</x:v>
      </x:c>
      <x:c r="F192" s="47" t="str">
        <x:v>F06</x:v>
      </x:c>
      <x:c r="G192" s="47" t="str">
        <x:v>Executable</x:v>
      </x:c>
      <x:c r="H192" s="47" t="str">
        <x:v>Dependency bill, software bill and license rights</x:v>
      </x:c>
      <x:c r="I192" s="47" t="str">
        <x:v>PUBLIC</x:v>
      </x:c>
      <x:c r="J192" s="47" t="n">
        <x:v>1</x:v>
      </x:c>
      <x:c r="K192" s="56" t="n">
        <x:v>0</x:v>
      </x:c>
      <x:c r="L192" s="56" t="n">
        <x:v>0</x:v>
      </x:c>
      <x:c r="M192" s="47" t="str">
        <x:f>IF(AND(J192=1,K192=1,L192=1),"COMPLETE","OPEN")</x:f>
        <x:v>OPEN</x:v>
      </x:c>
      <x:c r="N192" s="84"/>
    </x:row>
    <x:row r="193">
      <x:c r="A193" s="47" t="str">
        <x:v>SC187</x:v>
      </x:c>
      <x:c r="B193" s="47" t="str">
        <x:v>P11</x:v>
      </x:c>
      <x:c r="C193" s="47" t="str">
        <x:v>HC-A</x:v>
      </x:c>
      <x:c r="D193" s="47" t="str">
        <x:v>HC-A-C</x:v>
      </x:c>
      <x:c r="E193" s="47" t="str">
        <x:v>METHOD</x:v>
      </x:c>
      <x:c r="F193" s="47" t="str">
        <x:v>F07</x:v>
      </x:c>
      <x:c r="G193" s="47" t="str">
        <x:v>Executable</x:v>
      </x:c>
      <x:c r="H193" s="47" t="str">
        <x:v>Data provenance and calibration lineage</x:v>
      </x:c>
      <x:c r="I193" s="47" t="str">
        <x:v>ESCROW</x:v>
      </x:c>
      <x:c r="J193" s="47" t="n">
        <x:v>1</x:v>
      </x:c>
      <x:c r="K193" s="56" t="n">
        <x:v>0</x:v>
      </x:c>
      <x:c r="L193" s="56" t="n">
        <x:v>0</x:v>
      </x:c>
      <x:c r="M193" s="47" t="str">
        <x:f>IF(AND(J193=1,K193=1,L193=1),"COMPLETE","OPEN")</x:f>
        <x:v>OPEN</x:v>
      </x:c>
      <x:c r="N193" s="84"/>
    </x:row>
    <x:row r="194">
      <x:c r="A194" s="47" t="str">
        <x:v>SC188</x:v>
      </x:c>
      <x:c r="B194" s="47" t="str">
        <x:v>P11</x:v>
      </x:c>
      <x:c r="C194" s="47" t="str">
        <x:v>HC-A</x:v>
      </x:c>
      <x:c r="D194" s="47" t="str">
        <x:v>HC-A-C</x:v>
      </x:c>
      <x:c r="E194" s="47" t="str">
        <x:v>METHOD</x:v>
      </x:c>
      <x:c r="F194" s="47" t="str">
        <x:v>F08</x:v>
      </x:c>
      <x:c r="G194" s="47" t="str">
        <x:v>Executable</x:v>
      </x:c>
      <x:c r="H194" s="47" t="str">
        <x:v>Random seed, solver and numerical controls</x:v>
      </x:c>
      <x:c r="I194" s="47" t="str">
        <x:v>ESCROW</x:v>
      </x:c>
      <x:c r="J194" s="47" t="n">
        <x:v>1</x:v>
      </x:c>
      <x:c r="K194" s="56" t="n">
        <x:v>0</x:v>
      </x:c>
      <x:c r="L194" s="56" t="n">
        <x:v>0</x:v>
      </x:c>
      <x:c r="M194" s="47" t="str">
        <x:f>IF(AND(J194=1,K194=1,L194=1),"COMPLETE","OPEN")</x:f>
        <x:v>OPEN</x:v>
      </x:c>
      <x:c r="N194" s="84"/>
    </x:row>
    <x:row r="195">
      <x:c r="A195" s="47" t="str">
        <x:v>SC189</x:v>
      </x:c>
      <x:c r="B195" s="47" t="str">
        <x:v>P11</x:v>
      </x:c>
      <x:c r="C195" s="47" t="str">
        <x:v>HC-A</x:v>
      </x:c>
      <x:c r="D195" s="47" t="str">
        <x:v>HC-A-C</x:v>
      </x:c>
      <x:c r="E195" s="47" t="str">
        <x:v>METHOD</x:v>
      </x:c>
      <x:c r="F195" s="47" t="str">
        <x:v>F09</x:v>
      </x:c>
      <x:c r="G195" s="47" t="str">
        <x:v>Physical</x:v>
      </x:c>
      <x:c r="H195" s="47" t="str">
        <x:v>Units, coordinates and datums</x:v>
      </x:c>
      <x:c r="I195" s="47" t="str">
        <x:v>PUBLIC</x:v>
      </x:c>
      <x:c r="J195" s="47" t="n">
        <x:v>1</x:v>
      </x:c>
      <x:c r="K195" s="56" t="n">
        <x:v>0</x:v>
      </x:c>
      <x:c r="L195" s="56" t="n">
        <x:v>0</x:v>
      </x:c>
      <x:c r="M195" s="47" t="str">
        <x:f>IF(AND(J195=1,K195=1,L195=1),"COMPLETE","OPEN")</x:f>
        <x:v>OPEN</x:v>
      </x:c>
      <x:c r="N195" s="84"/>
    </x:row>
    <x:row r="196">
      <x:c r="A196" s="47" t="str">
        <x:v>SC190</x:v>
      </x:c>
      <x:c r="B196" s="47" t="str">
        <x:v>P11</x:v>
      </x:c>
      <x:c r="C196" s="47" t="str">
        <x:v>HC-A</x:v>
      </x:c>
      <x:c r="D196" s="47" t="str">
        <x:v>HC-A-C</x:v>
      </x:c>
      <x:c r="E196" s="47" t="str">
        <x:v>METHOD</x:v>
      </x:c>
      <x:c r="F196" s="47" t="str">
        <x:v>F10</x:v>
      </x:c>
      <x:c r="G196" s="47" t="str">
        <x:v>Physical</x:v>
      </x:c>
      <x:c r="H196" s="47" t="str">
        <x:v>Material, property and constitutive sources</x:v>
      </x:c>
      <x:c r="I196" s="47" t="str">
        <x:v>PUBLIC</x:v>
      </x:c>
      <x:c r="J196" s="47" t="n">
        <x:v>1</x:v>
      </x:c>
      <x:c r="K196" s="56" t="n">
        <x:v>0</x:v>
      </x:c>
      <x:c r="L196" s="56" t="n">
        <x:v>0</x:v>
      </x:c>
      <x:c r="M196" s="47" t="str">
        <x:f>IF(AND(J196=1,K196=1,L196=1),"COMPLETE","OPEN")</x:f>
        <x:v>OPEN</x:v>
      </x:c>
      <x:c r="N196" s="84"/>
    </x:row>
    <x:row r="197">
      <x:c r="A197" s="47" t="str">
        <x:v>SC191</x:v>
      </x:c>
      <x:c r="B197" s="47" t="str">
        <x:v>P11</x:v>
      </x:c>
      <x:c r="C197" s="47" t="str">
        <x:v>HC-A</x:v>
      </x:c>
      <x:c r="D197" s="47" t="str">
        <x:v>HC-A-C</x:v>
      </x:c>
      <x:c r="E197" s="47" t="str">
        <x:v>METHOD</x:v>
      </x:c>
      <x:c r="F197" s="47" t="str">
        <x:v>F11</x:v>
      </x:c>
      <x:c r="G197" s="47" t="str">
        <x:v>Physical</x:v>
      </x:c>
      <x:c r="H197" s="47" t="str">
        <x:v>Interfaces, tolerances and boundary conditions</x:v>
      </x:c>
      <x:c r="I197" s="47" t="str">
        <x:v>PUBLIC</x:v>
      </x:c>
      <x:c r="J197" s="47" t="n">
        <x:v>1</x:v>
      </x:c>
      <x:c r="K197" s="56" t="n">
        <x:v>0</x:v>
      </x:c>
      <x:c r="L197" s="56" t="n">
        <x:v>0</x:v>
      </x:c>
      <x:c r="M197" s="47" t="str">
        <x:f>IF(AND(J197=1,K197=1,L197=1),"COMPLETE","OPEN")</x:f>
        <x:v>OPEN</x:v>
      </x:c>
      <x:c r="N197" s="84"/>
    </x:row>
    <x:row r="198">
      <x:c r="A198" s="47" t="str">
        <x:v>SC192</x:v>
      </x:c>
      <x:c r="B198" s="47" t="str">
        <x:v>P11</x:v>
      </x:c>
      <x:c r="C198" s="47" t="str">
        <x:v>HC-A</x:v>
      </x:c>
      <x:c r="D198" s="47" t="str">
        <x:v>HC-A-C</x:v>
      </x:c>
      <x:c r="E198" s="47" t="str">
        <x:v>METHOD</x:v>
      </x:c>
      <x:c r="F198" s="47" t="str">
        <x:v>F12</x:v>
      </x:c>
      <x:c r="G198" s="47" t="str">
        <x:v>Physical</x:v>
      </x:c>
      <x:c r="H198" s="47" t="str">
        <x:v>Manufacturing, process and assembly assumptions</x:v>
      </x:c>
      <x:c r="I198" s="47" t="str">
        <x:v>PUBLIC</x:v>
      </x:c>
      <x:c r="J198" s="47" t="n">
        <x:v>1</x:v>
      </x:c>
      <x:c r="K198" s="56" t="n">
        <x:v>0</x:v>
      </x:c>
      <x:c r="L198" s="56" t="n">
        <x:v>0</x:v>
      </x:c>
      <x:c r="M198" s="47" t="str">
        <x:f>IF(AND(J198=1,K198=1,L198=1),"COMPLETE","OPEN")</x:f>
        <x:v>OPEN</x:v>
      </x:c>
      <x:c r="N198" s="84"/>
    </x:row>
    <x:row r="199">
      <x:c r="A199" s="47" t="str">
        <x:v>SC193</x:v>
      </x:c>
      <x:c r="B199" s="47" t="str">
        <x:v>P11</x:v>
      </x:c>
      <x:c r="C199" s="47" t="str">
        <x:v>HC-A</x:v>
      </x:c>
      <x:c r="D199" s="47" t="str">
        <x:v>HC-A-C</x:v>
      </x:c>
      <x:c r="E199" s="47" t="str">
        <x:v>METHOD</x:v>
      </x:c>
      <x:c r="F199" s="47" t="str">
        <x:v>F13</x:v>
      </x:c>
      <x:c r="G199" s="47" t="str">
        <x:v>Civic</x:v>
      </x:c>
      <x:c r="H199" s="47" t="str">
        <x:v>Safe-state and abort logic</x:v>
      </x:c>
      <x:c r="I199" s="47" t="str">
        <x:v>PUBLIC</x:v>
      </x:c>
      <x:c r="J199" s="47" t="n">
        <x:v>1</x:v>
      </x:c>
      <x:c r="K199" s="56" t="n">
        <x:v>0</x:v>
      </x:c>
      <x:c r="L199" s="56" t="n">
        <x:v>0</x:v>
      </x:c>
      <x:c r="M199" s="47" t="str">
        <x:f>IF(AND(J199=1,K199=1,L199=1),"COMPLETE","OPEN")</x:f>
        <x:v>OPEN</x:v>
      </x:c>
      <x:c r="N199" s="84"/>
    </x:row>
    <x:row r="200">
      <x:c r="A200" s="47" t="str">
        <x:v>SC194</x:v>
      </x:c>
      <x:c r="B200" s="47" t="str">
        <x:v>P11</x:v>
      </x:c>
      <x:c r="C200" s="47" t="str">
        <x:v>HC-A</x:v>
      </x:c>
      <x:c r="D200" s="47" t="str">
        <x:v>HC-A-C</x:v>
      </x:c>
      <x:c r="E200" s="47" t="str">
        <x:v>METHOD</x:v>
      </x:c>
      <x:c r="F200" s="47" t="str">
        <x:v>F14</x:v>
      </x:c>
      <x:c r="G200" s="47" t="str">
        <x:v>Civic</x:v>
      </x:c>
      <x:c r="H200" s="47" t="str">
        <x:v>Receiver and residual dispositions</x:v>
      </x:c>
      <x:c r="I200" s="47" t="str">
        <x:v>PUBLIC</x:v>
      </x:c>
      <x:c r="J200" s="47" t="n">
        <x:v>1</x:v>
      </x:c>
      <x:c r="K200" s="56" t="n">
        <x:v>0</x:v>
      </x:c>
      <x:c r="L200" s="56" t="n">
        <x:v>0</x:v>
      </x:c>
      <x:c r="M200" s="47" t="str">
        <x:f>IF(AND(J200=1,K200=1,L200=1),"COMPLETE","OPEN")</x:f>
        <x:v>OPEN</x:v>
      </x:c>
      <x:c r="N200" s="84"/>
    </x:row>
    <x:row r="201">
      <x:c r="A201" s="47" t="str">
        <x:v>SC195</x:v>
      </x:c>
      <x:c r="B201" s="47" t="str">
        <x:v>P11</x:v>
      </x:c>
      <x:c r="C201" s="47" t="str">
        <x:v>HC-A</x:v>
      </x:c>
      <x:c r="D201" s="47" t="str">
        <x:v>HC-A-C</x:v>
      </x:c>
      <x:c r="E201" s="47" t="str">
        <x:v>METHOD</x:v>
      </x:c>
      <x:c r="F201" s="47" t="str">
        <x:v>F15</x:v>
      </x:c>
      <x:c r="G201" s="47" t="str">
        <x:v>Civic</x:v>
      </x:c>
      <x:c r="H201" s="47" t="str">
        <x:v>Rights, access and affected-population obligations</x:v>
      </x:c>
      <x:c r="I201" s="47" t="str">
        <x:v>PUBLIC</x:v>
      </x:c>
      <x:c r="J201" s="47" t="n">
        <x:v>1</x:v>
      </x:c>
      <x:c r="K201" s="56" t="n">
        <x:v>0</x:v>
      </x:c>
      <x:c r="L201" s="56" t="n">
        <x:v>0</x:v>
      </x:c>
      <x:c r="M201" s="47" t="str">
        <x:f>IF(AND(J201=1,K201=1,L201=1),"COMPLETE","OPEN")</x:f>
        <x:v>OPEN</x:v>
      </x:c>
      <x:c r="N201" s="84"/>
    </x:row>
    <x:row r="202">
      <x:c r="A202" s="47" t="str">
        <x:v>SC196</x:v>
      </x:c>
      <x:c r="B202" s="47" t="str">
        <x:v>P11</x:v>
      </x:c>
      <x:c r="C202" s="47" t="str">
        <x:v>HC-A</x:v>
      </x:c>
      <x:c r="D202" s="47" t="str">
        <x:v>HC-A-C</x:v>
      </x:c>
      <x:c r="E202" s="47" t="str">
        <x:v>METHOD</x:v>
      </x:c>
      <x:c r="F202" s="47" t="str">
        <x:v>F16</x:v>
      </x:c>
      <x:c r="G202" s="47" t="str">
        <x:v>Epistemic</x:v>
      </x:c>
      <x:c r="H202" s="47" t="str">
        <x:v>Assumptions, unknowns and uncertainty bounds</x:v>
      </x:c>
      <x:c r="I202" s="47" t="str">
        <x:v>PUBLIC</x:v>
      </x:c>
      <x:c r="J202" s="47" t="n">
        <x:v>1</x:v>
      </x:c>
      <x:c r="K202" s="56" t="n">
        <x:v>0</x:v>
      </x:c>
      <x:c r="L202" s="56" t="n">
        <x:v>0</x:v>
      </x:c>
      <x:c r="M202" s="47" t="str">
        <x:f>IF(AND(J202=1,K202=1,L202=1),"COMPLETE","OPEN")</x:f>
        <x:v>OPEN</x:v>
      </x:c>
      <x:c r="N202" s="84"/>
    </x:row>
    <x:row r="203">
      <x:c r="A203" s="47" t="str">
        <x:v>SC197</x:v>
      </x:c>
      <x:c r="B203" s="47" t="str">
        <x:v>P11</x:v>
      </x:c>
      <x:c r="C203" s="47" t="str">
        <x:v>HC-A</x:v>
      </x:c>
      <x:c r="D203" s="47" t="str">
        <x:v>HC-A-C</x:v>
      </x:c>
      <x:c r="E203" s="47" t="str">
        <x:v>METHOD</x:v>
      </x:c>
      <x:c r="F203" s="47" t="str">
        <x:v>F17</x:v>
      </x:c>
      <x:c r="G203" s="47" t="str">
        <x:v>Epistemic</x:v>
      </x:c>
      <x:c r="H203" s="47" t="str">
        <x:v>Causal event, denominator and claim trace</x:v>
      </x:c>
      <x:c r="I203" s="47" t="str">
        <x:v>PUBLIC</x:v>
      </x:c>
      <x:c r="J203" s="47" t="n">
        <x:v>1</x:v>
      </x:c>
      <x:c r="K203" s="56" t="n">
        <x:v>0</x:v>
      </x:c>
      <x:c r="L203" s="56" t="n">
        <x:v>0</x:v>
      </x:c>
      <x:c r="M203" s="47" t="str">
        <x:f>IF(AND(J203=1,K203=1,L203=1),"COMPLETE","OPEN")</x:f>
        <x:v>OPEN</x:v>
      </x:c>
      <x:c r="N203" s="84"/>
    </x:row>
    <x:row r="204">
      <x:c r="A204" s="47" t="str">
        <x:v>SC198</x:v>
      </x:c>
      <x:c r="B204" s="47" t="str">
        <x:v>P11</x:v>
      </x:c>
      <x:c r="C204" s="47" t="str">
        <x:v>HC-A</x:v>
      </x:c>
      <x:c r="D204" s="47" t="str">
        <x:v>HC-A-C</x:v>
      </x:c>
      <x:c r="E204" s="47" t="str">
        <x:v>METHOD</x:v>
      </x:c>
      <x:c r="F204" s="47" t="str">
        <x:v>F18</x:v>
      </x:c>
      <x:c r="G204" s="47" t="str">
        <x:v>Epistemic</x:v>
      </x:c>
      <x:c r="H204" s="47" t="str">
        <x:v>Acceptance, expiry, disclosure and supersession rule</x:v>
      </x:c>
      <x:c r="I204" s="47" t="str">
        <x:v>PUBLIC</x:v>
      </x:c>
      <x:c r="J204" s="47" t="n">
        <x:v>1</x:v>
      </x:c>
      <x:c r="K204" s="56" t="n">
        <x:v>0</x:v>
      </x:c>
      <x:c r="L204" s="56" t="n">
        <x:v>0</x:v>
      </x:c>
      <x:c r="M204" s="47" t="str">
        <x:f>IF(AND(J204=1,K204=1,L204=1),"COMPLETE","OPEN")</x:f>
        <x:v>OPEN</x:v>
      </x:c>
      <x:c r="N204" s="84"/>
    </x:row>
    <x:row r="205">
      <x:c r="A205" s="47" t="str">
        <x:v>SC199</x:v>
      </x:c>
      <x:c r="B205" s="47" t="str">
        <x:v>P12</x:v>
      </x:c>
      <x:c r="C205" s="47" t="str">
        <x:v>HC-A</x:v>
      </x:c>
      <x:c r="D205" s="47" t="str">
        <x:v>HC-A-C</x:v>
      </x:c>
      <x:c r="E205" s="47" t="str">
        <x:v>VALID</x:v>
      </x:c>
      <x:c r="F205" s="47" t="str">
        <x:v>F01</x:v>
      </x:c>
      <x:c r="G205" s="47" t="str">
        <x:v>Identity</x:v>
      </x:c>
      <x:c r="H205" s="47" t="str">
        <x:v>Package identity and warrant scope</x:v>
      </x:c>
      <x:c r="I205" s="47" t="str">
        <x:v>PUBLIC</x:v>
      </x:c>
      <x:c r="J205" s="47" t="n">
        <x:v>1</x:v>
      </x:c>
      <x:c r="K205" s="56" t="n">
        <x:v>0</x:v>
      </x:c>
      <x:c r="L205" s="56" t="n">
        <x:v>0</x:v>
      </x:c>
      <x:c r="M205" s="47" t="str">
        <x:f>IF(AND(J205=1,K205=1,L205=1),"COMPLETE","OPEN")</x:f>
        <x:v>OPEN</x:v>
      </x:c>
      <x:c r="N205" s="84"/>
    </x:row>
    <x:row r="206">
      <x:c r="A206" s="47" t="str">
        <x:v>SC200</x:v>
      </x:c>
      <x:c r="B206" s="47" t="str">
        <x:v>P12</x:v>
      </x:c>
      <x:c r="C206" s="47" t="str">
        <x:v>HC-A</x:v>
      </x:c>
      <x:c r="D206" s="47" t="str">
        <x:v>HC-A-C</x:v>
      </x:c>
      <x:c r="E206" s="47" t="str">
        <x:v>VALID</x:v>
      </x:c>
      <x:c r="F206" s="47" t="str">
        <x:v>F02</x:v>
      </x:c>
      <x:c r="G206" s="47" t="str">
        <x:v>Identity</x:v>
      </x:c>
      <x:c r="H206" s="47" t="str">
        <x:v>Authorship, beneficial control and authority</x:v>
      </x:c>
      <x:c r="I206" s="47" t="str">
        <x:v>PUBLIC</x:v>
      </x:c>
      <x:c r="J206" s="47" t="n">
        <x:v>1</x:v>
      </x:c>
      <x:c r="K206" s="56" t="n">
        <x:v>0</x:v>
      </x:c>
      <x:c r="L206" s="56" t="n">
        <x:v>0</x:v>
      </x:c>
      <x:c r="M206" s="47" t="str">
        <x:f>IF(AND(J206=1,K206=1,L206=1),"COMPLETE","OPEN")</x:f>
        <x:v>OPEN</x:v>
      </x:c>
      <x:c r="N206" s="84"/>
    </x:row>
    <x:row r="207">
      <x:c r="A207" s="47" t="str">
        <x:v>SC201</x:v>
      </x:c>
      <x:c r="B207" s="47" t="str">
        <x:v>P12</x:v>
      </x:c>
      <x:c r="C207" s="47" t="str">
        <x:v>HC-A</x:v>
      </x:c>
      <x:c r="D207" s="47" t="str">
        <x:v>HC-A-C</x:v>
      </x:c>
      <x:c r="E207" s="47" t="str">
        <x:v>VALID</x:v>
      </x:c>
      <x:c r="F207" s="47" t="str">
        <x:v>F03</x:v>
      </x:c>
      <x:c r="G207" s="47" t="str">
        <x:v>Identity</x:v>
      </x:c>
      <x:c r="H207" s="47" t="str">
        <x:v>Configuration and content hash</x:v>
      </x:c>
      <x:c r="I207" s="47" t="str">
        <x:v>PUBLIC</x:v>
      </x:c>
      <x:c r="J207" s="47" t="n">
        <x:v>1</x:v>
      </x:c>
      <x:c r="K207" s="56" t="n">
        <x:v>0</x:v>
      </x:c>
      <x:c r="L207" s="56" t="n">
        <x:v>0</x:v>
      </x:c>
      <x:c r="M207" s="47" t="str">
        <x:f>IF(AND(J207=1,K207=1,L207=1),"COMPLETE","OPEN")</x:f>
        <x:v>OPEN</x:v>
      </x:c>
      <x:c r="N207" s="84"/>
    </x:row>
    <x:row r="208">
      <x:c r="A208" s="47" t="str">
        <x:v>SC202</x:v>
      </x:c>
      <x:c r="B208" s="47" t="str">
        <x:v>P12</x:v>
      </x:c>
      <x:c r="C208" s="47" t="str">
        <x:v>HC-A</x:v>
      </x:c>
      <x:c r="D208" s="47" t="str">
        <x:v>HC-A-C</x:v>
      </x:c>
      <x:c r="E208" s="47" t="str">
        <x:v>VALID</x:v>
      </x:c>
      <x:c r="F208" s="47" t="str">
        <x:v>F04</x:v>
      </x:c>
      <x:c r="G208" s="47" t="str">
        <x:v>Executable</x:v>
      </x:c>
      <x:c r="H208" s="47" t="str">
        <x:v>Native executable artifact</x:v>
      </x:c>
      <x:c r="I208" s="47" t="str">
        <x:v>ESCROW</x:v>
      </x:c>
      <x:c r="J208" s="47" t="n">
        <x:v>1</x:v>
      </x:c>
      <x:c r="K208" s="56" t="n">
        <x:v>0</x:v>
      </x:c>
      <x:c r="L208" s="56" t="n">
        <x:v>0</x:v>
      </x:c>
      <x:c r="M208" s="47" t="str">
        <x:f>IF(AND(J208=1,K208=1,L208=1),"COMPLETE","OPEN")</x:f>
        <x:v>OPEN</x:v>
      </x:c>
      <x:c r="N208" s="84"/>
    </x:row>
    <x:row r="209">
      <x:c r="A209" s="47" t="str">
        <x:v>SC203</x:v>
      </x:c>
      <x:c r="B209" s="47" t="str">
        <x:v>P12</x:v>
      </x:c>
      <x:c r="C209" s="47" t="str">
        <x:v>HC-A</x:v>
      </x:c>
      <x:c r="D209" s="47" t="str">
        <x:v>HC-A-C</x:v>
      </x:c>
      <x:c r="E209" s="47" t="str">
        <x:v>VALID</x:v>
      </x:c>
      <x:c r="F209" s="47" t="str">
        <x:v>F05</x:v>
      </x:c>
      <x:c r="G209" s="47" t="str">
        <x:v>Executable</x:v>
      </x:c>
      <x:c r="H209" s="47" t="str">
        <x:v>Native environment and toolchain image</x:v>
      </x:c>
      <x:c r="I209" s="47" t="str">
        <x:v>ESCROW</x:v>
      </x:c>
      <x:c r="J209" s="47" t="n">
        <x:v>1</x:v>
      </x:c>
      <x:c r="K209" s="56" t="n">
        <x:v>0</x:v>
      </x:c>
      <x:c r="L209" s="56" t="n">
        <x:v>0</x:v>
      </x:c>
      <x:c r="M209" s="47" t="str">
        <x:f>IF(AND(J209=1,K209=1,L209=1),"COMPLETE","OPEN")</x:f>
        <x:v>OPEN</x:v>
      </x:c>
      <x:c r="N209" s="84"/>
    </x:row>
    <x:row r="210">
      <x:c r="A210" s="47" t="str">
        <x:v>SC204</x:v>
      </x:c>
      <x:c r="B210" s="47" t="str">
        <x:v>P12</x:v>
      </x:c>
      <x:c r="C210" s="47" t="str">
        <x:v>HC-A</x:v>
      </x:c>
      <x:c r="D210" s="47" t="str">
        <x:v>HC-A-C</x:v>
      </x:c>
      <x:c r="E210" s="47" t="str">
        <x:v>VALID</x:v>
      </x:c>
      <x:c r="F210" s="47" t="str">
        <x:v>F06</x:v>
      </x:c>
      <x:c r="G210" s="47" t="str">
        <x:v>Executable</x:v>
      </x:c>
      <x:c r="H210" s="47" t="str">
        <x:v>Dependency bill, software bill and license rights</x:v>
      </x:c>
      <x:c r="I210" s="47" t="str">
        <x:v>PUBLIC</x:v>
      </x:c>
      <x:c r="J210" s="47" t="n">
        <x:v>1</x:v>
      </x:c>
      <x:c r="K210" s="56" t="n">
        <x:v>0</x:v>
      </x:c>
      <x:c r="L210" s="56" t="n">
        <x:v>0</x:v>
      </x:c>
      <x:c r="M210" s="47" t="str">
        <x:f>IF(AND(J210=1,K210=1,L210=1),"COMPLETE","OPEN")</x:f>
        <x:v>OPEN</x:v>
      </x:c>
      <x:c r="N210" s="84"/>
    </x:row>
    <x:row r="211">
      <x:c r="A211" s="47" t="str">
        <x:v>SC205</x:v>
      </x:c>
      <x:c r="B211" s="47" t="str">
        <x:v>P12</x:v>
      </x:c>
      <x:c r="C211" s="47" t="str">
        <x:v>HC-A</x:v>
      </x:c>
      <x:c r="D211" s="47" t="str">
        <x:v>HC-A-C</x:v>
      </x:c>
      <x:c r="E211" s="47" t="str">
        <x:v>VALID</x:v>
      </x:c>
      <x:c r="F211" s="47" t="str">
        <x:v>F07</x:v>
      </x:c>
      <x:c r="G211" s="47" t="str">
        <x:v>Executable</x:v>
      </x:c>
      <x:c r="H211" s="47" t="str">
        <x:v>Data provenance and calibration lineage</x:v>
      </x:c>
      <x:c r="I211" s="47" t="str">
        <x:v>ESCROW</x:v>
      </x:c>
      <x:c r="J211" s="47" t="n">
        <x:v>1</x:v>
      </x:c>
      <x:c r="K211" s="56" t="n">
        <x:v>0</x:v>
      </x:c>
      <x:c r="L211" s="56" t="n">
        <x:v>0</x:v>
      </x:c>
      <x:c r="M211" s="47" t="str">
        <x:f>IF(AND(J211=1,K211=1,L211=1),"COMPLETE","OPEN")</x:f>
        <x:v>OPEN</x:v>
      </x:c>
      <x:c r="N211" s="84"/>
    </x:row>
    <x:row r="212">
      <x:c r="A212" s="47" t="str">
        <x:v>SC206</x:v>
      </x:c>
      <x:c r="B212" s="47" t="str">
        <x:v>P12</x:v>
      </x:c>
      <x:c r="C212" s="47" t="str">
        <x:v>HC-A</x:v>
      </x:c>
      <x:c r="D212" s="47" t="str">
        <x:v>HC-A-C</x:v>
      </x:c>
      <x:c r="E212" s="47" t="str">
        <x:v>VALID</x:v>
      </x:c>
      <x:c r="F212" s="47" t="str">
        <x:v>F08</x:v>
      </x:c>
      <x:c r="G212" s="47" t="str">
        <x:v>Executable</x:v>
      </x:c>
      <x:c r="H212" s="47" t="str">
        <x:v>Random seed, solver and numerical controls</x:v>
      </x:c>
      <x:c r="I212" s="47" t="str">
        <x:v>ESCROW</x:v>
      </x:c>
      <x:c r="J212" s="47" t="n">
        <x:v>1</x:v>
      </x:c>
      <x:c r="K212" s="56" t="n">
        <x:v>0</x:v>
      </x:c>
      <x:c r="L212" s="56" t="n">
        <x:v>0</x:v>
      </x:c>
      <x:c r="M212" s="47" t="str">
        <x:f>IF(AND(J212=1,K212=1,L212=1),"COMPLETE","OPEN")</x:f>
        <x:v>OPEN</x:v>
      </x:c>
      <x:c r="N212" s="84"/>
    </x:row>
    <x:row r="213">
      <x:c r="A213" s="47" t="str">
        <x:v>SC207</x:v>
      </x:c>
      <x:c r="B213" s="47" t="str">
        <x:v>P12</x:v>
      </x:c>
      <x:c r="C213" s="47" t="str">
        <x:v>HC-A</x:v>
      </x:c>
      <x:c r="D213" s="47" t="str">
        <x:v>HC-A-C</x:v>
      </x:c>
      <x:c r="E213" s="47" t="str">
        <x:v>VALID</x:v>
      </x:c>
      <x:c r="F213" s="47" t="str">
        <x:v>F09</x:v>
      </x:c>
      <x:c r="G213" s="47" t="str">
        <x:v>Physical</x:v>
      </x:c>
      <x:c r="H213" s="47" t="str">
        <x:v>Units, coordinates and datums</x:v>
      </x:c>
      <x:c r="I213" s="47" t="str">
        <x:v>PUBLIC</x:v>
      </x:c>
      <x:c r="J213" s="47" t="n">
        <x:v>1</x:v>
      </x:c>
      <x:c r="K213" s="56" t="n">
        <x:v>0</x:v>
      </x:c>
      <x:c r="L213" s="56" t="n">
        <x:v>0</x:v>
      </x:c>
      <x:c r="M213" s="47" t="str">
        <x:f>IF(AND(J213=1,K213=1,L213=1),"COMPLETE","OPEN")</x:f>
        <x:v>OPEN</x:v>
      </x:c>
      <x:c r="N213" s="84"/>
    </x:row>
    <x:row r="214">
      <x:c r="A214" s="47" t="str">
        <x:v>SC208</x:v>
      </x:c>
      <x:c r="B214" s="47" t="str">
        <x:v>P12</x:v>
      </x:c>
      <x:c r="C214" s="47" t="str">
        <x:v>HC-A</x:v>
      </x:c>
      <x:c r="D214" s="47" t="str">
        <x:v>HC-A-C</x:v>
      </x:c>
      <x:c r="E214" s="47" t="str">
        <x:v>VALID</x:v>
      </x:c>
      <x:c r="F214" s="47" t="str">
        <x:v>F10</x:v>
      </x:c>
      <x:c r="G214" s="47" t="str">
        <x:v>Physical</x:v>
      </x:c>
      <x:c r="H214" s="47" t="str">
        <x:v>Material, property and constitutive sources</x:v>
      </x:c>
      <x:c r="I214" s="47" t="str">
        <x:v>PUBLIC</x:v>
      </x:c>
      <x:c r="J214" s="47" t="n">
        <x:v>1</x:v>
      </x:c>
      <x:c r="K214" s="56" t="n">
        <x:v>0</x:v>
      </x:c>
      <x:c r="L214" s="56" t="n">
        <x:v>0</x:v>
      </x:c>
      <x:c r="M214" s="47" t="str">
        <x:f>IF(AND(J214=1,K214=1,L214=1),"COMPLETE","OPEN")</x:f>
        <x:v>OPEN</x:v>
      </x:c>
      <x:c r="N214" s="84"/>
    </x:row>
    <x:row r="215">
      <x:c r="A215" s="47" t="str">
        <x:v>SC209</x:v>
      </x:c>
      <x:c r="B215" s="47" t="str">
        <x:v>P12</x:v>
      </x:c>
      <x:c r="C215" s="47" t="str">
        <x:v>HC-A</x:v>
      </x:c>
      <x:c r="D215" s="47" t="str">
        <x:v>HC-A-C</x:v>
      </x:c>
      <x:c r="E215" s="47" t="str">
        <x:v>VALID</x:v>
      </x:c>
      <x:c r="F215" s="47" t="str">
        <x:v>F11</x:v>
      </x:c>
      <x:c r="G215" s="47" t="str">
        <x:v>Physical</x:v>
      </x:c>
      <x:c r="H215" s="47" t="str">
        <x:v>Interfaces, tolerances and boundary conditions</x:v>
      </x:c>
      <x:c r="I215" s="47" t="str">
        <x:v>PUBLIC</x:v>
      </x:c>
      <x:c r="J215" s="47" t="n">
        <x:v>1</x:v>
      </x:c>
      <x:c r="K215" s="56" t="n">
        <x:v>0</x:v>
      </x:c>
      <x:c r="L215" s="56" t="n">
        <x:v>0</x:v>
      </x:c>
      <x:c r="M215" s="47" t="str">
        <x:f>IF(AND(J215=1,K215=1,L215=1),"COMPLETE","OPEN")</x:f>
        <x:v>OPEN</x:v>
      </x:c>
      <x:c r="N215" s="84"/>
    </x:row>
    <x:row r="216">
      <x:c r="A216" s="47" t="str">
        <x:v>SC210</x:v>
      </x:c>
      <x:c r="B216" s="47" t="str">
        <x:v>P12</x:v>
      </x:c>
      <x:c r="C216" s="47" t="str">
        <x:v>HC-A</x:v>
      </x:c>
      <x:c r="D216" s="47" t="str">
        <x:v>HC-A-C</x:v>
      </x:c>
      <x:c r="E216" s="47" t="str">
        <x:v>VALID</x:v>
      </x:c>
      <x:c r="F216" s="47" t="str">
        <x:v>F12</x:v>
      </x:c>
      <x:c r="G216" s="47" t="str">
        <x:v>Physical</x:v>
      </x:c>
      <x:c r="H216" s="47" t="str">
        <x:v>Manufacturing, process and assembly assumptions</x:v>
      </x:c>
      <x:c r="I216" s="47" t="str">
        <x:v>PUBLIC</x:v>
      </x:c>
      <x:c r="J216" s="47" t="n">
        <x:v>1</x:v>
      </x:c>
      <x:c r="K216" s="56" t="n">
        <x:v>0</x:v>
      </x:c>
      <x:c r="L216" s="56" t="n">
        <x:v>0</x:v>
      </x:c>
      <x:c r="M216" s="47" t="str">
        <x:f>IF(AND(J216=1,K216=1,L216=1),"COMPLETE","OPEN")</x:f>
        <x:v>OPEN</x:v>
      </x:c>
      <x:c r="N216" s="84"/>
    </x:row>
    <x:row r="217">
      <x:c r="A217" s="47" t="str">
        <x:v>SC211</x:v>
      </x:c>
      <x:c r="B217" s="47" t="str">
        <x:v>P12</x:v>
      </x:c>
      <x:c r="C217" s="47" t="str">
        <x:v>HC-A</x:v>
      </x:c>
      <x:c r="D217" s="47" t="str">
        <x:v>HC-A-C</x:v>
      </x:c>
      <x:c r="E217" s="47" t="str">
        <x:v>VALID</x:v>
      </x:c>
      <x:c r="F217" s="47" t="str">
        <x:v>F13</x:v>
      </x:c>
      <x:c r="G217" s="47" t="str">
        <x:v>Civic</x:v>
      </x:c>
      <x:c r="H217" s="47" t="str">
        <x:v>Safe-state and abort logic</x:v>
      </x:c>
      <x:c r="I217" s="47" t="str">
        <x:v>PUBLIC</x:v>
      </x:c>
      <x:c r="J217" s="47" t="n">
        <x:v>1</x:v>
      </x:c>
      <x:c r="K217" s="56" t="n">
        <x:v>0</x:v>
      </x:c>
      <x:c r="L217" s="56" t="n">
        <x:v>0</x:v>
      </x:c>
      <x:c r="M217" s="47" t="str">
        <x:f>IF(AND(J217=1,K217=1,L217=1),"COMPLETE","OPEN")</x:f>
        <x:v>OPEN</x:v>
      </x:c>
      <x:c r="N217" s="84"/>
    </x:row>
    <x:row r="218">
      <x:c r="A218" s="47" t="str">
        <x:v>SC212</x:v>
      </x:c>
      <x:c r="B218" s="47" t="str">
        <x:v>P12</x:v>
      </x:c>
      <x:c r="C218" s="47" t="str">
        <x:v>HC-A</x:v>
      </x:c>
      <x:c r="D218" s="47" t="str">
        <x:v>HC-A-C</x:v>
      </x:c>
      <x:c r="E218" s="47" t="str">
        <x:v>VALID</x:v>
      </x:c>
      <x:c r="F218" s="47" t="str">
        <x:v>F14</x:v>
      </x:c>
      <x:c r="G218" s="47" t="str">
        <x:v>Civic</x:v>
      </x:c>
      <x:c r="H218" s="47" t="str">
        <x:v>Receiver and residual dispositions</x:v>
      </x:c>
      <x:c r="I218" s="47" t="str">
        <x:v>PUBLIC</x:v>
      </x:c>
      <x:c r="J218" s="47" t="n">
        <x:v>1</x:v>
      </x:c>
      <x:c r="K218" s="56" t="n">
        <x:v>0</x:v>
      </x:c>
      <x:c r="L218" s="56" t="n">
        <x:v>0</x:v>
      </x:c>
      <x:c r="M218" s="47" t="str">
        <x:f>IF(AND(J218=1,K218=1,L218=1),"COMPLETE","OPEN")</x:f>
        <x:v>OPEN</x:v>
      </x:c>
      <x:c r="N218" s="84"/>
    </x:row>
    <x:row r="219">
      <x:c r="A219" s="47" t="str">
        <x:v>SC213</x:v>
      </x:c>
      <x:c r="B219" s="47" t="str">
        <x:v>P12</x:v>
      </x:c>
      <x:c r="C219" s="47" t="str">
        <x:v>HC-A</x:v>
      </x:c>
      <x:c r="D219" s="47" t="str">
        <x:v>HC-A-C</x:v>
      </x:c>
      <x:c r="E219" s="47" t="str">
        <x:v>VALID</x:v>
      </x:c>
      <x:c r="F219" s="47" t="str">
        <x:v>F15</x:v>
      </x:c>
      <x:c r="G219" s="47" t="str">
        <x:v>Civic</x:v>
      </x:c>
      <x:c r="H219" s="47" t="str">
        <x:v>Rights, access and affected-population obligations</x:v>
      </x:c>
      <x:c r="I219" s="47" t="str">
        <x:v>PUBLIC</x:v>
      </x:c>
      <x:c r="J219" s="47" t="n">
        <x:v>1</x:v>
      </x:c>
      <x:c r="K219" s="56" t="n">
        <x:v>0</x:v>
      </x:c>
      <x:c r="L219" s="56" t="n">
        <x:v>0</x:v>
      </x:c>
      <x:c r="M219" s="47" t="str">
        <x:f>IF(AND(J219=1,K219=1,L219=1),"COMPLETE","OPEN")</x:f>
        <x:v>OPEN</x:v>
      </x:c>
      <x:c r="N219" s="84"/>
    </x:row>
    <x:row r="220">
      <x:c r="A220" s="47" t="str">
        <x:v>SC214</x:v>
      </x:c>
      <x:c r="B220" s="47" t="str">
        <x:v>P12</x:v>
      </x:c>
      <x:c r="C220" s="47" t="str">
        <x:v>HC-A</x:v>
      </x:c>
      <x:c r="D220" s="47" t="str">
        <x:v>HC-A-C</x:v>
      </x:c>
      <x:c r="E220" s="47" t="str">
        <x:v>VALID</x:v>
      </x:c>
      <x:c r="F220" s="47" t="str">
        <x:v>F16</x:v>
      </x:c>
      <x:c r="G220" s="47" t="str">
        <x:v>Epistemic</x:v>
      </x:c>
      <x:c r="H220" s="47" t="str">
        <x:v>Assumptions, unknowns and uncertainty bounds</x:v>
      </x:c>
      <x:c r="I220" s="47" t="str">
        <x:v>PUBLIC</x:v>
      </x:c>
      <x:c r="J220" s="47" t="n">
        <x:v>1</x:v>
      </x:c>
      <x:c r="K220" s="56" t="n">
        <x:v>0</x:v>
      </x:c>
      <x:c r="L220" s="56" t="n">
        <x:v>0</x:v>
      </x:c>
      <x:c r="M220" s="47" t="str">
        <x:f>IF(AND(J220=1,K220=1,L220=1),"COMPLETE","OPEN")</x:f>
        <x:v>OPEN</x:v>
      </x:c>
      <x:c r="N220" s="84"/>
    </x:row>
    <x:row r="221">
      <x:c r="A221" s="47" t="str">
        <x:v>SC215</x:v>
      </x:c>
      <x:c r="B221" s="47" t="str">
        <x:v>P12</x:v>
      </x:c>
      <x:c r="C221" s="47" t="str">
        <x:v>HC-A</x:v>
      </x:c>
      <x:c r="D221" s="47" t="str">
        <x:v>HC-A-C</x:v>
      </x:c>
      <x:c r="E221" s="47" t="str">
        <x:v>VALID</x:v>
      </x:c>
      <x:c r="F221" s="47" t="str">
        <x:v>F17</x:v>
      </x:c>
      <x:c r="G221" s="47" t="str">
        <x:v>Epistemic</x:v>
      </x:c>
      <x:c r="H221" s="47" t="str">
        <x:v>Causal event, denominator and claim trace</x:v>
      </x:c>
      <x:c r="I221" s="47" t="str">
        <x:v>PUBLIC</x:v>
      </x:c>
      <x:c r="J221" s="47" t="n">
        <x:v>1</x:v>
      </x:c>
      <x:c r="K221" s="56" t="n">
        <x:v>0</x:v>
      </x:c>
      <x:c r="L221" s="56" t="n">
        <x:v>0</x:v>
      </x:c>
      <x:c r="M221" s="47" t="str">
        <x:f>IF(AND(J221=1,K221=1,L221=1),"COMPLETE","OPEN")</x:f>
        <x:v>OPEN</x:v>
      </x:c>
      <x:c r="N221" s="84"/>
    </x:row>
    <x:row r="222">
      <x:c r="A222" s="47" t="str">
        <x:v>SC216</x:v>
      </x:c>
      <x:c r="B222" s="47" t="str">
        <x:v>P12</x:v>
      </x:c>
      <x:c r="C222" s="47" t="str">
        <x:v>HC-A</x:v>
      </x:c>
      <x:c r="D222" s="47" t="str">
        <x:v>HC-A-C</x:v>
      </x:c>
      <x:c r="E222" s="47" t="str">
        <x:v>VALID</x:v>
      </x:c>
      <x:c r="F222" s="47" t="str">
        <x:v>F18</x:v>
      </x:c>
      <x:c r="G222" s="47" t="str">
        <x:v>Epistemic</x:v>
      </x:c>
      <x:c r="H222" s="47" t="str">
        <x:v>Acceptance, expiry, disclosure and supersession rule</x:v>
      </x:c>
      <x:c r="I222" s="47" t="str">
        <x:v>PUBLIC</x:v>
      </x:c>
      <x:c r="J222" s="47" t="n">
        <x:v>1</x:v>
      </x:c>
      <x:c r="K222" s="56" t="n">
        <x:v>0</x:v>
      </x:c>
      <x:c r="L222" s="56" t="n">
        <x:v>0</x:v>
      </x:c>
      <x:c r="M222" s="47" t="str">
        <x:f>IF(AND(J222=1,K222=1,L222=1),"COMPLETE","OPEN")</x:f>
        <x:v>OPEN</x:v>
      </x:c>
      <x:c r="N222" s="84"/>
    </x:row>
    <x:row r="223">
      <x:c r="A223" s="47" t="str">
        <x:v>SC217</x:v>
      </x:c>
      <x:c r="B223" s="47" t="str">
        <x:v>P13</x:v>
      </x:c>
      <x:c r="C223" s="47" t="str">
        <x:v>HC-A</x:v>
      </x:c>
      <x:c r="D223" s="47" t="str">
        <x:v>HC-A-C</x:v>
      </x:c>
      <x:c r="E223" s="47" t="str">
        <x:v>CIVIL</x:v>
      </x:c>
      <x:c r="F223" s="47" t="str">
        <x:v>F01</x:v>
      </x:c>
      <x:c r="G223" s="47" t="str">
        <x:v>Identity</x:v>
      </x:c>
      <x:c r="H223" s="47" t="str">
        <x:v>Package identity and warrant scope</x:v>
      </x:c>
      <x:c r="I223" s="47" t="str">
        <x:v>PUBLIC</x:v>
      </x:c>
      <x:c r="J223" s="47" t="n">
        <x:v>1</x:v>
      </x:c>
      <x:c r="K223" s="56" t="n">
        <x:v>0</x:v>
      </x:c>
      <x:c r="L223" s="56" t="n">
        <x:v>0</x:v>
      </x:c>
      <x:c r="M223" s="47" t="str">
        <x:f>IF(AND(J223=1,K223=1,L223=1),"COMPLETE","OPEN")</x:f>
        <x:v>OPEN</x:v>
      </x:c>
      <x:c r="N223" s="84"/>
    </x:row>
    <x:row r="224">
      <x:c r="A224" s="47" t="str">
        <x:v>SC218</x:v>
      </x:c>
      <x:c r="B224" s="47" t="str">
        <x:v>P13</x:v>
      </x:c>
      <x:c r="C224" s="47" t="str">
        <x:v>HC-A</x:v>
      </x:c>
      <x:c r="D224" s="47" t="str">
        <x:v>HC-A-C</x:v>
      </x:c>
      <x:c r="E224" s="47" t="str">
        <x:v>CIVIL</x:v>
      </x:c>
      <x:c r="F224" s="47" t="str">
        <x:v>F02</x:v>
      </x:c>
      <x:c r="G224" s="47" t="str">
        <x:v>Identity</x:v>
      </x:c>
      <x:c r="H224" s="47" t="str">
        <x:v>Authorship, beneficial control and authority</x:v>
      </x:c>
      <x:c r="I224" s="47" t="str">
        <x:v>PUBLIC</x:v>
      </x:c>
      <x:c r="J224" s="47" t="n">
        <x:v>1</x:v>
      </x:c>
      <x:c r="K224" s="56" t="n">
        <x:v>0</x:v>
      </x:c>
      <x:c r="L224" s="56" t="n">
        <x:v>0</x:v>
      </x:c>
      <x:c r="M224" s="47" t="str">
        <x:f>IF(AND(J224=1,K224=1,L224=1),"COMPLETE","OPEN")</x:f>
        <x:v>OPEN</x:v>
      </x:c>
      <x:c r="N224" s="84"/>
    </x:row>
    <x:row r="225">
      <x:c r="A225" s="47" t="str">
        <x:v>SC219</x:v>
      </x:c>
      <x:c r="B225" s="47" t="str">
        <x:v>P13</x:v>
      </x:c>
      <x:c r="C225" s="47" t="str">
        <x:v>HC-A</x:v>
      </x:c>
      <x:c r="D225" s="47" t="str">
        <x:v>HC-A-C</x:v>
      </x:c>
      <x:c r="E225" s="47" t="str">
        <x:v>CIVIL</x:v>
      </x:c>
      <x:c r="F225" s="47" t="str">
        <x:v>F03</x:v>
      </x:c>
      <x:c r="G225" s="47" t="str">
        <x:v>Identity</x:v>
      </x:c>
      <x:c r="H225" s="47" t="str">
        <x:v>Configuration and content hash</x:v>
      </x:c>
      <x:c r="I225" s="47" t="str">
        <x:v>PUBLIC</x:v>
      </x:c>
      <x:c r="J225" s="47" t="n">
        <x:v>1</x:v>
      </x:c>
      <x:c r="K225" s="56" t="n">
        <x:v>0</x:v>
      </x:c>
      <x:c r="L225" s="56" t="n">
        <x:v>0</x:v>
      </x:c>
      <x:c r="M225" s="47" t="str">
        <x:f>IF(AND(J225=1,K225=1,L225=1),"COMPLETE","OPEN")</x:f>
        <x:v>OPEN</x:v>
      </x:c>
      <x:c r="N225" s="84"/>
    </x:row>
    <x:row r="226">
      <x:c r="A226" s="47" t="str">
        <x:v>SC220</x:v>
      </x:c>
      <x:c r="B226" s="47" t="str">
        <x:v>P13</x:v>
      </x:c>
      <x:c r="C226" s="47" t="str">
        <x:v>HC-A</x:v>
      </x:c>
      <x:c r="D226" s="47" t="str">
        <x:v>HC-A-C</x:v>
      </x:c>
      <x:c r="E226" s="47" t="str">
        <x:v>CIVIL</x:v>
      </x:c>
      <x:c r="F226" s="47" t="str">
        <x:v>F04</x:v>
      </x:c>
      <x:c r="G226" s="47" t="str">
        <x:v>Executable</x:v>
      </x:c>
      <x:c r="H226" s="47" t="str">
        <x:v>Native executable artifact</x:v>
      </x:c>
      <x:c r="I226" s="47" t="str">
        <x:v>ESCROW</x:v>
      </x:c>
      <x:c r="J226" s="47" t="n">
        <x:v>1</x:v>
      </x:c>
      <x:c r="K226" s="56" t="n">
        <x:v>0</x:v>
      </x:c>
      <x:c r="L226" s="56" t="n">
        <x:v>0</x:v>
      </x:c>
      <x:c r="M226" s="47" t="str">
        <x:f>IF(AND(J226=1,K226=1,L226=1),"COMPLETE","OPEN")</x:f>
        <x:v>OPEN</x:v>
      </x:c>
      <x:c r="N226" s="84"/>
    </x:row>
    <x:row r="227">
      <x:c r="A227" s="47" t="str">
        <x:v>SC221</x:v>
      </x:c>
      <x:c r="B227" s="47" t="str">
        <x:v>P13</x:v>
      </x:c>
      <x:c r="C227" s="47" t="str">
        <x:v>HC-A</x:v>
      </x:c>
      <x:c r="D227" s="47" t="str">
        <x:v>HC-A-C</x:v>
      </x:c>
      <x:c r="E227" s="47" t="str">
        <x:v>CIVIL</x:v>
      </x:c>
      <x:c r="F227" s="47" t="str">
        <x:v>F05</x:v>
      </x:c>
      <x:c r="G227" s="47" t="str">
        <x:v>Executable</x:v>
      </x:c>
      <x:c r="H227" s="47" t="str">
        <x:v>Native environment and toolchain image</x:v>
      </x:c>
      <x:c r="I227" s="47" t="str">
        <x:v>ESCROW</x:v>
      </x:c>
      <x:c r="J227" s="47" t="n">
        <x:v>1</x:v>
      </x:c>
      <x:c r="K227" s="56" t="n">
        <x:v>0</x:v>
      </x:c>
      <x:c r="L227" s="56" t="n">
        <x:v>0</x:v>
      </x:c>
      <x:c r="M227" s="47" t="str">
        <x:f>IF(AND(J227=1,K227=1,L227=1),"COMPLETE","OPEN")</x:f>
        <x:v>OPEN</x:v>
      </x:c>
      <x:c r="N227" s="84"/>
    </x:row>
    <x:row r="228">
      <x:c r="A228" s="47" t="str">
        <x:v>SC222</x:v>
      </x:c>
      <x:c r="B228" s="47" t="str">
        <x:v>P13</x:v>
      </x:c>
      <x:c r="C228" s="47" t="str">
        <x:v>HC-A</x:v>
      </x:c>
      <x:c r="D228" s="47" t="str">
        <x:v>HC-A-C</x:v>
      </x:c>
      <x:c r="E228" s="47" t="str">
        <x:v>CIVIL</x:v>
      </x:c>
      <x:c r="F228" s="47" t="str">
        <x:v>F06</x:v>
      </x:c>
      <x:c r="G228" s="47" t="str">
        <x:v>Executable</x:v>
      </x:c>
      <x:c r="H228" s="47" t="str">
        <x:v>Dependency bill, software bill and license rights</x:v>
      </x:c>
      <x:c r="I228" s="47" t="str">
        <x:v>PUBLIC</x:v>
      </x:c>
      <x:c r="J228" s="47" t="n">
        <x:v>1</x:v>
      </x:c>
      <x:c r="K228" s="56" t="n">
        <x:v>0</x:v>
      </x:c>
      <x:c r="L228" s="56" t="n">
        <x:v>0</x:v>
      </x:c>
      <x:c r="M228" s="47" t="str">
        <x:f>IF(AND(J228=1,K228=1,L228=1),"COMPLETE","OPEN")</x:f>
        <x:v>OPEN</x:v>
      </x:c>
      <x:c r="N228" s="84"/>
    </x:row>
    <x:row r="229">
      <x:c r="A229" s="47" t="str">
        <x:v>SC223</x:v>
      </x:c>
      <x:c r="B229" s="47" t="str">
        <x:v>P13</x:v>
      </x:c>
      <x:c r="C229" s="47" t="str">
        <x:v>HC-A</x:v>
      </x:c>
      <x:c r="D229" s="47" t="str">
        <x:v>HC-A-C</x:v>
      </x:c>
      <x:c r="E229" s="47" t="str">
        <x:v>CIVIL</x:v>
      </x:c>
      <x:c r="F229" s="47" t="str">
        <x:v>F07</x:v>
      </x:c>
      <x:c r="G229" s="47" t="str">
        <x:v>Executable</x:v>
      </x:c>
      <x:c r="H229" s="47" t="str">
        <x:v>Data provenance and calibration lineage</x:v>
      </x:c>
      <x:c r="I229" s="47" t="str">
        <x:v>ESCROW</x:v>
      </x:c>
      <x:c r="J229" s="47" t="n">
        <x:v>1</x:v>
      </x:c>
      <x:c r="K229" s="56" t="n">
        <x:v>0</x:v>
      </x:c>
      <x:c r="L229" s="56" t="n">
        <x:v>0</x:v>
      </x:c>
      <x:c r="M229" s="47" t="str">
        <x:f>IF(AND(J229=1,K229=1,L229=1),"COMPLETE","OPEN")</x:f>
        <x:v>OPEN</x:v>
      </x:c>
      <x:c r="N229" s="84"/>
    </x:row>
    <x:row r="230">
      <x:c r="A230" s="47" t="str">
        <x:v>SC224</x:v>
      </x:c>
      <x:c r="B230" s="47" t="str">
        <x:v>P13</x:v>
      </x:c>
      <x:c r="C230" s="47" t="str">
        <x:v>HC-A</x:v>
      </x:c>
      <x:c r="D230" s="47" t="str">
        <x:v>HC-A-C</x:v>
      </x:c>
      <x:c r="E230" s="47" t="str">
        <x:v>CIVIL</x:v>
      </x:c>
      <x:c r="F230" s="47" t="str">
        <x:v>F08</x:v>
      </x:c>
      <x:c r="G230" s="47" t="str">
        <x:v>Executable</x:v>
      </x:c>
      <x:c r="H230" s="47" t="str">
        <x:v>Random seed, solver and numerical controls</x:v>
      </x:c>
      <x:c r="I230" s="47" t="str">
        <x:v>ESCROW</x:v>
      </x:c>
      <x:c r="J230" s="47" t="n">
        <x:v>1</x:v>
      </x:c>
      <x:c r="K230" s="56" t="n">
        <x:v>0</x:v>
      </x:c>
      <x:c r="L230" s="56" t="n">
        <x:v>0</x:v>
      </x:c>
      <x:c r="M230" s="47" t="str">
        <x:f>IF(AND(J230=1,K230=1,L230=1),"COMPLETE","OPEN")</x:f>
        <x:v>OPEN</x:v>
      </x:c>
      <x:c r="N230" s="84"/>
    </x:row>
    <x:row r="231">
      <x:c r="A231" s="47" t="str">
        <x:v>SC225</x:v>
      </x:c>
      <x:c r="B231" s="47" t="str">
        <x:v>P13</x:v>
      </x:c>
      <x:c r="C231" s="47" t="str">
        <x:v>HC-A</x:v>
      </x:c>
      <x:c r="D231" s="47" t="str">
        <x:v>HC-A-C</x:v>
      </x:c>
      <x:c r="E231" s="47" t="str">
        <x:v>CIVIL</x:v>
      </x:c>
      <x:c r="F231" s="47" t="str">
        <x:v>F09</x:v>
      </x:c>
      <x:c r="G231" s="47" t="str">
        <x:v>Physical</x:v>
      </x:c>
      <x:c r="H231" s="47" t="str">
        <x:v>Units, coordinates and datums</x:v>
      </x:c>
      <x:c r="I231" s="47" t="str">
        <x:v>PUBLIC</x:v>
      </x:c>
      <x:c r="J231" s="47" t="n">
        <x:v>1</x:v>
      </x:c>
      <x:c r="K231" s="56" t="n">
        <x:v>0</x:v>
      </x:c>
      <x:c r="L231" s="56" t="n">
        <x:v>0</x:v>
      </x:c>
      <x:c r="M231" s="47" t="str">
        <x:f>IF(AND(J231=1,K231=1,L231=1),"COMPLETE","OPEN")</x:f>
        <x:v>OPEN</x:v>
      </x:c>
      <x:c r="N231" s="84"/>
    </x:row>
    <x:row r="232">
      <x:c r="A232" s="47" t="str">
        <x:v>SC226</x:v>
      </x:c>
      <x:c r="B232" s="47" t="str">
        <x:v>P13</x:v>
      </x:c>
      <x:c r="C232" s="47" t="str">
        <x:v>HC-A</x:v>
      </x:c>
      <x:c r="D232" s="47" t="str">
        <x:v>HC-A-C</x:v>
      </x:c>
      <x:c r="E232" s="47" t="str">
        <x:v>CIVIL</x:v>
      </x:c>
      <x:c r="F232" s="47" t="str">
        <x:v>F10</x:v>
      </x:c>
      <x:c r="G232" s="47" t="str">
        <x:v>Physical</x:v>
      </x:c>
      <x:c r="H232" s="47" t="str">
        <x:v>Material, property and constitutive sources</x:v>
      </x:c>
      <x:c r="I232" s="47" t="str">
        <x:v>PUBLIC</x:v>
      </x:c>
      <x:c r="J232" s="47" t="n">
        <x:v>1</x:v>
      </x:c>
      <x:c r="K232" s="56" t="n">
        <x:v>0</x:v>
      </x:c>
      <x:c r="L232" s="56" t="n">
        <x:v>0</x:v>
      </x:c>
      <x:c r="M232" s="47" t="str">
        <x:f>IF(AND(J232=1,K232=1,L232=1),"COMPLETE","OPEN")</x:f>
        <x:v>OPEN</x:v>
      </x:c>
      <x:c r="N232" s="84"/>
    </x:row>
    <x:row r="233">
      <x:c r="A233" s="47" t="str">
        <x:v>SC227</x:v>
      </x:c>
      <x:c r="B233" s="47" t="str">
        <x:v>P13</x:v>
      </x:c>
      <x:c r="C233" s="47" t="str">
        <x:v>HC-A</x:v>
      </x:c>
      <x:c r="D233" s="47" t="str">
        <x:v>HC-A-C</x:v>
      </x:c>
      <x:c r="E233" s="47" t="str">
        <x:v>CIVIL</x:v>
      </x:c>
      <x:c r="F233" s="47" t="str">
        <x:v>F11</x:v>
      </x:c>
      <x:c r="G233" s="47" t="str">
        <x:v>Physical</x:v>
      </x:c>
      <x:c r="H233" s="47" t="str">
        <x:v>Interfaces, tolerances and boundary conditions</x:v>
      </x:c>
      <x:c r="I233" s="47" t="str">
        <x:v>PUBLIC</x:v>
      </x:c>
      <x:c r="J233" s="47" t="n">
        <x:v>1</x:v>
      </x:c>
      <x:c r="K233" s="56" t="n">
        <x:v>0</x:v>
      </x:c>
      <x:c r="L233" s="56" t="n">
        <x:v>0</x:v>
      </x:c>
      <x:c r="M233" s="47" t="str">
        <x:f>IF(AND(J233=1,K233=1,L233=1),"COMPLETE","OPEN")</x:f>
        <x:v>OPEN</x:v>
      </x:c>
      <x:c r="N233" s="84"/>
    </x:row>
    <x:row r="234">
      <x:c r="A234" s="47" t="str">
        <x:v>SC228</x:v>
      </x:c>
      <x:c r="B234" s="47" t="str">
        <x:v>P13</x:v>
      </x:c>
      <x:c r="C234" s="47" t="str">
        <x:v>HC-A</x:v>
      </x:c>
      <x:c r="D234" s="47" t="str">
        <x:v>HC-A-C</x:v>
      </x:c>
      <x:c r="E234" s="47" t="str">
        <x:v>CIVIL</x:v>
      </x:c>
      <x:c r="F234" s="47" t="str">
        <x:v>F12</x:v>
      </x:c>
      <x:c r="G234" s="47" t="str">
        <x:v>Physical</x:v>
      </x:c>
      <x:c r="H234" s="47" t="str">
        <x:v>Manufacturing, process and assembly assumptions</x:v>
      </x:c>
      <x:c r="I234" s="47" t="str">
        <x:v>PUBLIC</x:v>
      </x:c>
      <x:c r="J234" s="47" t="n">
        <x:v>1</x:v>
      </x:c>
      <x:c r="K234" s="56" t="n">
        <x:v>0</x:v>
      </x:c>
      <x:c r="L234" s="56" t="n">
        <x:v>0</x:v>
      </x:c>
      <x:c r="M234" s="47" t="str">
        <x:f>IF(AND(J234=1,K234=1,L234=1),"COMPLETE","OPEN")</x:f>
        <x:v>OPEN</x:v>
      </x:c>
      <x:c r="N234" s="84"/>
    </x:row>
    <x:row r="235">
      <x:c r="A235" s="47" t="str">
        <x:v>SC229</x:v>
      </x:c>
      <x:c r="B235" s="47" t="str">
        <x:v>P13</x:v>
      </x:c>
      <x:c r="C235" s="47" t="str">
        <x:v>HC-A</x:v>
      </x:c>
      <x:c r="D235" s="47" t="str">
        <x:v>HC-A-C</x:v>
      </x:c>
      <x:c r="E235" s="47" t="str">
        <x:v>CIVIL</x:v>
      </x:c>
      <x:c r="F235" s="47" t="str">
        <x:v>F13</x:v>
      </x:c>
      <x:c r="G235" s="47" t="str">
        <x:v>Civic</x:v>
      </x:c>
      <x:c r="H235" s="47" t="str">
        <x:v>Safe-state and abort logic</x:v>
      </x:c>
      <x:c r="I235" s="47" t="str">
        <x:v>PUBLIC</x:v>
      </x:c>
      <x:c r="J235" s="47" t="n">
        <x:v>1</x:v>
      </x:c>
      <x:c r="K235" s="56" t="n">
        <x:v>0</x:v>
      </x:c>
      <x:c r="L235" s="56" t="n">
        <x:v>0</x:v>
      </x:c>
      <x:c r="M235" s="47" t="str">
        <x:f>IF(AND(J235=1,K235=1,L235=1),"COMPLETE","OPEN")</x:f>
        <x:v>OPEN</x:v>
      </x:c>
      <x:c r="N235" s="84"/>
    </x:row>
    <x:row r="236">
      <x:c r="A236" s="47" t="str">
        <x:v>SC230</x:v>
      </x:c>
      <x:c r="B236" s="47" t="str">
        <x:v>P13</x:v>
      </x:c>
      <x:c r="C236" s="47" t="str">
        <x:v>HC-A</x:v>
      </x:c>
      <x:c r="D236" s="47" t="str">
        <x:v>HC-A-C</x:v>
      </x:c>
      <x:c r="E236" s="47" t="str">
        <x:v>CIVIL</x:v>
      </x:c>
      <x:c r="F236" s="47" t="str">
        <x:v>F14</x:v>
      </x:c>
      <x:c r="G236" s="47" t="str">
        <x:v>Civic</x:v>
      </x:c>
      <x:c r="H236" s="47" t="str">
        <x:v>Receiver and residual dispositions</x:v>
      </x:c>
      <x:c r="I236" s="47" t="str">
        <x:v>PUBLIC</x:v>
      </x:c>
      <x:c r="J236" s="47" t="n">
        <x:v>1</x:v>
      </x:c>
      <x:c r="K236" s="56" t="n">
        <x:v>0</x:v>
      </x:c>
      <x:c r="L236" s="56" t="n">
        <x:v>0</x:v>
      </x:c>
      <x:c r="M236" s="47" t="str">
        <x:f>IF(AND(J236=1,K236=1,L236=1),"COMPLETE","OPEN")</x:f>
        <x:v>OPEN</x:v>
      </x:c>
      <x:c r="N236" s="84"/>
    </x:row>
    <x:row r="237">
      <x:c r="A237" s="47" t="str">
        <x:v>SC231</x:v>
      </x:c>
      <x:c r="B237" s="47" t="str">
        <x:v>P13</x:v>
      </x:c>
      <x:c r="C237" s="47" t="str">
        <x:v>HC-A</x:v>
      </x:c>
      <x:c r="D237" s="47" t="str">
        <x:v>HC-A-C</x:v>
      </x:c>
      <x:c r="E237" s="47" t="str">
        <x:v>CIVIL</x:v>
      </x:c>
      <x:c r="F237" s="47" t="str">
        <x:v>F15</x:v>
      </x:c>
      <x:c r="G237" s="47" t="str">
        <x:v>Civic</x:v>
      </x:c>
      <x:c r="H237" s="47" t="str">
        <x:v>Rights, access and affected-population obligations</x:v>
      </x:c>
      <x:c r="I237" s="47" t="str">
        <x:v>PUBLIC</x:v>
      </x:c>
      <x:c r="J237" s="47" t="n">
        <x:v>1</x:v>
      </x:c>
      <x:c r="K237" s="56" t="n">
        <x:v>0</x:v>
      </x:c>
      <x:c r="L237" s="56" t="n">
        <x:v>0</x:v>
      </x:c>
      <x:c r="M237" s="47" t="str">
        <x:f>IF(AND(J237=1,K237=1,L237=1),"COMPLETE","OPEN")</x:f>
        <x:v>OPEN</x:v>
      </x:c>
      <x:c r="N237" s="84"/>
    </x:row>
    <x:row r="238">
      <x:c r="A238" s="47" t="str">
        <x:v>SC232</x:v>
      </x:c>
      <x:c r="B238" s="47" t="str">
        <x:v>P13</x:v>
      </x:c>
      <x:c r="C238" s="47" t="str">
        <x:v>HC-A</x:v>
      </x:c>
      <x:c r="D238" s="47" t="str">
        <x:v>HC-A-C</x:v>
      </x:c>
      <x:c r="E238" s="47" t="str">
        <x:v>CIVIL</x:v>
      </x:c>
      <x:c r="F238" s="47" t="str">
        <x:v>F16</x:v>
      </x:c>
      <x:c r="G238" s="47" t="str">
        <x:v>Epistemic</x:v>
      </x:c>
      <x:c r="H238" s="47" t="str">
        <x:v>Assumptions, unknowns and uncertainty bounds</x:v>
      </x:c>
      <x:c r="I238" s="47" t="str">
        <x:v>PUBLIC</x:v>
      </x:c>
      <x:c r="J238" s="47" t="n">
        <x:v>1</x:v>
      </x:c>
      <x:c r="K238" s="56" t="n">
        <x:v>0</x:v>
      </x:c>
      <x:c r="L238" s="56" t="n">
        <x:v>0</x:v>
      </x:c>
      <x:c r="M238" s="47" t="str">
        <x:f>IF(AND(J238=1,K238=1,L238=1),"COMPLETE","OPEN")</x:f>
        <x:v>OPEN</x:v>
      </x:c>
      <x:c r="N238" s="84"/>
    </x:row>
    <x:row r="239">
      <x:c r="A239" s="47" t="str">
        <x:v>SC233</x:v>
      </x:c>
      <x:c r="B239" s="47" t="str">
        <x:v>P13</x:v>
      </x:c>
      <x:c r="C239" s="47" t="str">
        <x:v>HC-A</x:v>
      </x:c>
      <x:c r="D239" s="47" t="str">
        <x:v>HC-A-C</x:v>
      </x:c>
      <x:c r="E239" s="47" t="str">
        <x:v>CIVIL</x:v>
      </x:c>
      <x:c r="F239" s="47" t="str">
        <x:v>F17</x:v>
      </x:c>
      <x:c r="G239" s="47" t="str">
        <x:v>Epistemic</x:v>
      </x:c>
      <x:c r="H239" s="47" t="str">
        <x:v>Causal event, denominator and claim trace</x:v>
      </x:c>
      <x:c r="I239" s="47" t="str">
        <x:v>PUBLIC</x:v>
      </x:c>
      <x:c r="J239" s="47" t="n">
        <x:v>1</x:v>
      </x:c>
      <x:c r="K239" s="56" t="n">
        <x:v>0</x:v>
      </x:c>
      <x:c r="L239" s="56" t="n">
        <x:v>0</x:v>
      </x:c>
      <x:c r="M239" s="47" t="str">
        <x:f>IF(AND(J239=1,K239=1,L239=1),"COMPLETE","OPEN")</x:f>
        <x:v>OPEN</x:v>
      </x:c>
      <x:c r="N239" s="84"/>
    </x:row>
    <x:row r="240">
      <x:c r="A240" s="47" t="str">
        <x:v>SC234</x:v>
      </x:c>
      <x:c r="B240" s="47" t="str">
        <x:v>P13</x:v>
      </x:c>
      <x:c r="C240" s="47" t="str">
        <x:v>HC-A</x:v>
      </x:c>
      <x:c r="D240" s="47" t="str">
        <x:v>HC-A-C</x:v>
      </x:c>
      <x:c r="E240" s="47" t="str">
        <x:v>CIVIL</x:v>
      </x:c>
      <x:c r="F240" s="47" t="str">
        <x:v>F18</x:v>
      </x:c>
      <x:c r="G240" s="47" t="str">
        <x:v>Epistemic</x:v>
      </x:c>
      <x:c r="H240" s="47" t="str">
        <x:v>Acceptance, expiry, disclosure and supersession rule</x:v>
      </x:c>
      <x:c r="I240" s="47" t="str">
        <x:v>PUBLIC</x:v>
      </x:c>
      <x:c r="J240" s="47" t="n">
        <x:v>1</x:v>
      </x:c>
      <x:c r="K240" s="56" t="n">
        <x:v>0</x:v>
      </x:c>
      <x:c r="L240" s="56" t="n">
        <x:v>0</x:v>
      </x:c>
      <x:c r="M240" s="47" t="str">
        <x:f>IF(AND(J240=1,K240=1,L240=1),"COMPLETE","OPEN")</x:f>
        <x:v>OPEN</x:v>
      </x:c>
      <x:c r="N240" s="84"/>
    </x:row>
    <x:row r="241">
      <x:c r="A241" s="47" t="str">
        <x:v>SC235</x:v>
      </x:c>
      <x:c r="B241" s="47" t="str">
        <x:v>P14</x:v>
      </x:c>
      <x:c r="C241" s="47" t="str">
        <x:v>HC-A</x:v>
      </x:c>
      <x:c r="D241" s="47" t="str">
        <x:v>HC-A-C</x:v>
      </x:c>
      <x:c r="E241" s="47" t="str">
        <x:v>ARTICLE</x:v>
      </x:c>
      <x:c r="F241" s="47" t="str">
        <x:v>F01</x:v>
      </x:c>
      <x:c r="G241" s="47" t="str">
        <x:v>Identity</x:v>
      </x:c>
      <x:c r="H241" s="47" t="str">
        <x:v>Package identity and warrant scope</x:v>
      </x:c>
      <x:c r="I241" s="47" t="str">
        <x:v>PUBLIC</x:v>
      </x:c>
      <x:c r="J241" s="47" t="n">
        <x:v>1</x:v>
      </x:c>
      <x:c r="K241" s="56" t="n">
        <x:v>0</x:v>
      </x:c>
      <x:c r="L241" s="56" t="n">
        <x:v>0</x:v>
      </x:c>
      <x:c r="M241" s="47" t="str">
        <x:f>IF(AND(J241=1,K241=1,L241=1),"COMPLETE","OPEN")</x:f>
        <x:v>OPEN</x:v>
      </x:c>
      <x:c r="N241" s="84"/>
    </x:row>
    <x:row r="242">
      <x:c r="A242" s="47" t="str">
        <x:v>SC236</x:v>
      </x:c>
      <x:c r="B242" s="47" t="str">
        <x:v>P14</x:v>
      </x:c>
      <x:c r="C242" s="47" t="str">
        <x:v>HC-A</x:v>
      </x:c>
      <x:c r="D242" s="47" t="str">
        <x:v>HC-A-C</x:v>
      </x:c>
      <x:c r="E242" s="47" t="str">
        <x:v>ARTICLE</x:v>
      </x:c>
      <x:c r="F242" s="47" t="str">
        <x:v>F02</x:v>
      </x:c>
      <x:c r="G242" s="47" t="str">
        <x:v>Identity</x:v>
      </x:c>
      <x:c r="H242" s="47" t="str">
        <x:v>Authorship, beneficial control and authority</x:v>
      </x:c>
      <x:c r="I242" s="47" t="str">
        <x:v>PUBLIC</x:v>
      </x:c>
      <x:c r="J242" s="47" t="n">
        <x:v>1</x:v>
      </x:c>
      <x:c r="K242" s="56" t="n">
        <x:v>0</x:v>
      </x:c>
      <x:c r="L242" s="56" t="n">
        <x:v>0</x:v>
      </x:c>
      <x:c r="M242" s="47" t="str">
        <x:f>IF(AND(J242=1,K242=1,L242=1),"COMPLETE","OPEN")</x:f>
        <x:v>OPEN</x:v>
      </x:c>
      <x:c r="N242" s="84"/>
    </x:row>
    <x:row r="243">
      <x:c r="A243" s="47" t="str">
        <x:v>SC237</x:v>
      </x:c>
      <x:c r="B243" s="47" t="str">
        <x:v>P14</x:v>
      </x:c>
      <x:c r="C243" s="47" t="str">
        <x:v>HC-A</x:v>
      </x:c>
      <x:c r="D243" s="47" t="str">
        <x:v>HC-A-C</x:v>
      </x:c>
      <x:c r="E243" s="47" t="str">
        <x:v>ARTICLE</x:v>
      </x:c>
      <x:c r="F243" s="47" t="str">
        <x:v>F03</x:v>
      </x:c>
      <x:c r="G243" s="47" t="str">
        <x:v>Identity</x:v>
      </x:c>
      <x:c r="H243" s="47" t="str">
        <x:v>Configuration and content hash</x:v>
      </x:c>
      <x:c r="I243" s="47" t="str">
        <x:v>PUBLIC</x:v>
      </x:c>
      <x:c r="J243" s="47" t="n">
        <x:v>1</x:v>
      </x:c>
      <x:c r="K243" s="56" t="n">
        <x:v>0</x:v>
      </x:c>
      <x:c r="L243" s="56" t="n">
        <x:v>0</x:v>
      </x:c>
      <x:c r="M243" s="47" t="str">
        <x:f>IF(AND(J243=1,K243=1,L243=1),"COMPLETE","OPEN")</x:f>
        <x:v>OPEN</x:v>
      </x:c>
      <x:c r="N243" s="84"/>
    </x:row>
    <x:row r="244">
      <x:c r="A244" s="47" t="str">
        <x:v>SC238</x:v>
      </x:c>
      <x:c r="B244" s="47" t="str">
        <x:v>P14</x:v>
      </x:c>
      <x:c r="C244" s="47" t="str">
        <x:v>HC-A</x:v>
      </x:c>
      <x:c r="D244" s="47" t="str">
        <x:v>HC-A-C</x:v>
      </x:c>
      <x:c r="E244" s="47" t="str">
        <x:v>ARTICLE</x:v>
      </x:c>
      <x:c r="F244" s="47" t="str">
        <x:v>F04</x:v>
      </x:c>
      <x:c r="G244" s="47" t="str">
        <x:v>Executable</x:v>
      </x:c>
      <x:c r="H244" s="47" t="str">
        <x:v>Native executable artifact</x:v>
      </x:c>
      <x:c r="I244" s="47" t="str">
        <x:v>ESCROW</x:v>
      </x:c>
      <x:c r="J244" s="47" t="n">
        <x:v>1</x:v>
      </x:c>
      <x:c r="K244" s="56" t="n">
        <x:v>0</x:v>
      </x:c>
      <x:c r="L244" s="56" t="n">
        <x:v>0</x:v>
      </x:c>
      <x:c r="M244" s="47" t="str">
        <x:f>IF(AND(J244=1,K244=1,L244=1),"COMPLETE","OPEN")</x:f>
        <x:v>OPEN</x:v>
      </x:c>
      <x:c r="N244" s="84"/>
    </x:row>
    <x:row r="245">
      <x:c r="A245" s="47" t="str">
        <x:v>SC239</x:v>
      </x:c>
      <x:c r="B245" s="47" t="str">
        <x:v>P14</x:v>
      </x:c>
      <x:c r="C245" s="47" t="str">
        <x:v>HC-A</x:v>
      </x:c>
      <x:c r="D245" s="47" t="str">
        <x:v>HC-A-C</x:v>
      </x:c>
      <x:c r="E245" s="47" t="str">
        <x:v>ARTICLE</x:v>
      </x:c>
      <x:c r="F245" s="47" t="str">
        <x:v>F05</x:v>
      </x:c>
      <x:c r="G245" s="47" t="str">
        <x:v>Executable</x:v>
      </x:c>
      <x:c r="H245" s="47" t="str">
        <x:v>Native environment and toolchain image</x:v>
      </x:c>
      <x:c r="I245" s="47" t="str">
        <x:v>ESCROW</x:v>
      </x:c>
      <x:c r="J245" s="47" t="n">
        <x:v>1</x:v>
      </x:c>
      <x:c r="K245" s="56" t="n">
        <x:v>0</x:v>
      </x:c>
      <x:c r="L245" s="56" t="n">
        <x:v>0</x:v>
      </x:c>
      <x:c r="M245" s="47" t="str">
        <x:f>IF(AND(J245=1,K245=1,L245=1),"COMPLETE","OPEN")</x:f>
        <x:v>OPEN</x:v>
      </x:c>
      <x:c r="N245" s="84"/>
    </x:row>
    <x:row r="246">
      <x:c r="A246" s="47" t="str">
        <x:v>SC240</x:v>
      </x:c>
      <x:c r="B246" s="47" t="str">
        <x:v>P14</x:v>
      </x:c>
      <x:c r="C246" s="47" t="str">
        <x:v>HC-A</x:v>
      </x:c>
      <x:c r="D246" s="47" t="str">
        <x:v>HC-A-C</x:v>
      </x:c>
      <x:c r="E246" s="47" t="str">
        <x:v>ARTICLE</x:v>
      </x:c>
      <x:c r="F246" s="47" t="str">
        <x:v>F06</x:v>
      </x:c>
      <x:c r="G246" s="47" t="str">
        <x:v>Executable</x:v>
      </x:c>
      <x:c r="H246" s="47" t="str">
        <x:v>Dependency bill, software bill and license rights</x:v>
      </x:c>
      <x:c r="I246" s="47" t="str">
        <x:v>PUBLIC</x:v>
      </x:c>
      <x:c r="J246" s="47" t="n">
        <x:v>1</x:v>
      </x:c>
      <x:c r="K246" s="56" t="n">
        <x:v>0</x:v>
      </x:c>
      <x:c r="L246" s="56" t="n">
        <x:v>0</x:v>
      </x:c>
      <x:c r="M246" s="47" t="str">
        <x:f>IF(AND(J246=1,K246=1,L246=1),"COMPLETE","OPEN")</x:f>
        <x:v>OPEN</x:v>
      </x:c>
      <x:c r="N246" s="84"/>
    </x:row>
    <x:row r="247">
      <x:c r="A247" s="47" t="str">
        <x:v>SC241</x:v>
      </x:c>
      <x:c r="B247" s="47" t="str">
        <x:v>P14</x:v>
      </x:c>
      <x:c r="C247" s="47" t="str">
        <x:v>HC-A</x:v>
      </x:c>
      <x:c r="D247" s="47" t="str">
        <x:v>HC-A-C</x:v>
      </x:c>
      <x:c r="E247" s="47" t="str">
        <x:v>ARTICLE</x:v>
      </x:c>
      <x:c r="F247" s="47" t="str">
        <x:v>F07</x:v>
      </x:c>
      <x:c r="G247" s="47" t="str">
        <x:v>Executable</x:v>
      </x:c>
      <x:c r="H247" s="47" t="str">
        <x:v>Data provenance and calibration lineage</x:v>
      </x:c>
      <x:c r="I247" s="47" t="str">
        <x:v>ESCROW</x:v>
      </x:c>
      <x:c r="J247" s="47" t="n">
        <x:v>1</x:v>
      </x:c>
      <x:c r="K247" s="56" t="n">
        <x:v>0</x:v>
      </x:c>
      <x:c r="L247" s="56" t="n">
        <x:v>0</x:v>
      </x:c>
      <x:c r="M247" s="47" t="str">
        <x:f>IF(AND(J247=1,K247=1,L247=1),"COMPLETE","OPEN")</x:f>
        <x:v>OPEN</x:v>
      </x:c>
      <x:c r="N247" s="84"/>
    </x:row>
    <x:row r="248">
      <x:c r="A248" s="47" t="str">
        <x:v>SC242</x:v>
      </x:c>
      <x:c r="B248" s="47" t="str">
        <x:v>P14</x:v>
      </x:c>
      <x:c r="C248" s="47" t="str">
        <x:v>HC-A</x:v>
      </x:c>
      <x:c r="D248" s="47" t="str">
        <x:v>HC-A-C</x:v>
      </x:c>
      <x:c r="E248" s="47" t="str">
        <x:v>ARTICLE</x:v>
      </x:c>
      <x:c r="F248" s="47" t="str">
        <x:v>F08</x:v>
      </x:c>
      <x:c r="G248" s="47" t="str">
        <x:v>Executable</x:v>
      </x:c>
      <x:c r="H248" s="47" t="str">
        <x:v>Random seed, solver and numerical controls</x:v>
      </x:c>
      <x:c r="I248" s="47" t="str">
        <x:v>ESCROW</x:v>
      </x:c>
      <x:c r="J248" s="47" t="n">
        <x:v>1</x:v>
      </x:c>
      <x:c r="K248" s="56" t="n">
        <x:v>0</x:v>
      </x:c>
      <x:c r="L248" s="56" t="n">
        <x:v>0</x:v>
      </x:c>
      <x:c r="M248" s="47" t="str">
        <x:f>IF(AND(J248=1,K248=1,L248=1),"COMPLETE","OPEN")</x:f>
        <x:v>OPEN</x:v>
      </x:c>
      <x:c r="N248" s="84"/>
    </x:row>
    <x:row r="249">
      <x:c r="A249" s="47" t="str">
        <x:v>SC243</x:v>
      </x:c>
      <x:c r="B249" s="47" t="str">
        <x:v>P14</x:v>
      </x:c>
      <x:c r="C249" s="47" t="str">
        <x:v>HC-A</x:v>
      </x:c>
      <x:c r="D249" s="47" t="str">
        <x:v>HC-A-C</x:v>
      </x:c>
      <x:c r="E249" s="47" t="str">
        <x:v>ARTICLE</x:v>
      </x:c>
      <x:c r="F249" s="47" t="str">
        <x:v>F09</x:v>
      </x:c>
      <x:c r="G249" s="47" t="str">
        <x:v>Physical</x:v>
      </x:c>
      <x:c r="H249" s="47" t="str">
        <x:v>Units, coordinates and datums</x:v>
      </x:c>
      <x:c r="I249" s="47" t="str">
        <x:v>PUBLIC</x:v>
      </x:c>
      <x:c r="J249" s="47" t="n">
        <x:v>1</x:v>
      </x:c>
      <x:c r="K249" s="56" t="n">
        <x:v>0</x:v>
      </x:c>
      <x:c r="L249" s="56" t="n">
        <x:v>0</x:v>
      </x:c>
      <x:c r="M249" s="47" t="str">
        <x:f>IF(AND(J249=1,K249=1,L249=1),"COMPLETE","OPEN")</x:f>
        <x:v>OPEN</x:v>
      </x:c>
      <x:c r="N249" s="84"/>
    </x:row>
    <x:row r="250">
      <x:c r="A250" s="47" t="str">
        <x:v>SC244</x:v>
      </x:c>
      <x:c r="B250" s="47" t="str">
        <x:v>P14</x:v>
      </x:c>
      <x:c r="C250" s="47" t="str">
        <x:v>HC-A</x:v>
      </x:c>
      <x:c r="D250" s="47" t="str">
        <x:v>HC-A-C</x:v>
      </x:c>
      <x:c r="E250" s="47" t="str">
        <x:v>ARTICLE</x:v>
      </x:c>
      <x:c r="F250" s="47" t="str">
        <x:v>F10</x:v>
      </x:c>
      <x:c r="G250" s="47" t="str">
        <x:v>Physical</x:v>
      </x:c>
      <x:c r="H250" s="47" t="str">
        <x:v>Material, property and constitutive sources</x:v>
      </x:c>
      <x:c r="I250" s="47" t="str">
        <x:v>PUBLIC</x:v>
      </x:c>
      <x:c r="J250" s="47" t="n">
        <x:v>1</x:v>
      </x:c>
      <x:c r="K250" s="56" t="n">
        <x:v>0</x:v>
      </x:c>
      <x:c r="L250" s="56" t="n">
        <x:v>0</x:v>
      </x:c>
      <x:c r="M250" s="47" t="str">
        <x:f>IF(AND(J250=1,K250=1,L250=1),"COMPLETE","OPEN")</x:f>
        <x:v>OPEN</x:v>
      </x:c>
      <x:c r="N250" s="84"/>
    </x:row>
    <x:row r="251">
      <x:c r="A251" s="47" t="str">
        <x:v>SC245</x:v>
      </x:c>
      <x:c r="B251" s="47" t="str">
        <x:v>P14</x:v>
      </x:c>
      <x:c r="C251" s="47" t="str">
        <x:v>HC-A</x:v>
      </x:c>
      <x:c r="D251" s="47" t="str">
        <x:v>HC-A-C</x:v>
      </x:c>
      <x:c r="E251" s="47" t="str">
        <x:v>ARTICLE</x:v>
      </x:c>
      <x:c r="F251" s="47" t="str">
        <x:v>F11</x:v>
      </x:c>
      <x:c r="G251" s="47" t="str">
        <x:v>Physical</x:v>
      </x:c>
      <x:c r="H251" s="47" t="str">
        <x:v>Interfaces, tolerances and boundary conditions</x:v>
      </x:c>
      <x:c r="I251" s="47" t="str">
        <x:v>PUBLIC</x:v>
      </x:c>
      <x:c r="J251" s="47" t="n">
        <x:v>1</x:v>
      </x:c>
      <x:c r="K251" s="56" t="n">
        <x:v>0</x:v>
      </x:c>
      <x:c r="L251" s="56" t="n">
        <x:v>0</x:v>
      </x:c>
      <x:c r="M251" s="47" t="str">
        <x:f>IF(AND(J251=1,K251=1,L251=1),"COMPLETE","OPEN")</x:f>
        <x:v>OPEN</x:v>
      </x:c>
      <x:c r="N251" s="84"/>
    </x:row>
    <x:row r="252">
      <x:c r="A252" s="47" t="str">
        <x:v>SC246</x:v>
      </x:c>
      <x:c r="B252" s="47" t="str">
        <x:v>P14</x:v>
      </x:c>
      <x:c r="C252" s="47" t="str">
        <x:v>HC-A</x:v>
      </x:c>
      <x:c r="D252" s="47" t="str">
        <x:v>HC-A-C</x:v>
      </x:c>
      <x:c r="E252" s="47" t="str">
        <x:v>ARTICLE</x:v>
      </x:c>
      <x:c r="F252" s="47" t="str">
        <x:v>F12</x:v>
      </x:c>
      <x:c r="G252" s="47" t="str">
        <x:v>Physical</x:v>
      </x:c>
      <x:c r="H252" s="47" t="str">
        <x:v>Manufacturing, process and assembly assumptions</x:v>
      </x:c>
      <x:c r="I252" s="47" t="str">
        <x:v>PUBLIC</x:v>
      </x:c>
      <x:c r="J252" s="47" t="n">
        <x:v>1</x:v>
      </x:c>
      <x:c r="K252" s="56" t="n">
        <x:v>0</x:v>
      </x:c>
      <x:c r="L252" s="56" t="n">
        <x:v>0</x:v>
      </x:c>
      <x:c r="M252" s="47" t="str">
        <x:f>IF(AND(J252=1,K252=1,L252=1),"COMPLETE","OPEN")</x:f>
        <x:v>OPEN</x:v>
      </x:c>
      <x:c r="N252" s="84"/>
    </x:row>
    <x:row r="253">
      <x:c r="A253" s="47" t="str">
        <x:v>SC247</x:v>
      </x:c>
      <x:c r="B253" s="47" t="str">
        <x:v>P14</x:v>
      </x:c>
      <x:c r="C253" s="47" t="str">
        <x:v>HC-A</x:v>
      </x:c>
      <x:c r="D253" s="47" t="str">
        <x:v>HC-A-C</x:v>
      </x:c>
      <x:c r="E253" s="47" t="str">
        <x:v>ARTICLE</x:v>
      </x:c>
      <x:c r="F253" s="47" t="str">
        <x:v>F13</x:v>
      </x:c>
      <x:c r="G253" s="47" t="str">
        <x:v>Civic</x:v>
      </x:c>
      <x:c r="H253" s="47" t="str">
        <x:v>Safe-state and abort logic</x:v>
      </x:c>
      <x:c r="I253" s="47" t="str">
        <x:v>PUBLIC</x:v>
      </x:c>
      <x:c r="J253" s="47" t="n">
        <x:v>1</x:v>
      </x:c>
      <x:c r="K253" s="56" t="n">
        <x:v>0</x:v>
      </x:c>
      <x:c r="L253" s="56" t="n">
        <x:v>0</x:v>
      </x:c>
      <x:c r="M253" s="47" t="str">
        <x:f>IF(AND(J253=1,K253=1,L253=1),"COMPLETE","OPEN")</x:f>
        <x:v>OPEN</x:v>
      </x:c>
      <x:c r="N253" s="84"/>
    </x:row>
    <x:row r="254">
      <x:c r="A254" s="47" t="str">
        <x:v>SC248</x:v>
      </x:c>
      <x:c r="B254" s="47" t="str">
        <x:v>P14</x:v>
      </x:c>
      <x:c r="C254" s="47" t="str">
        <x:v>HC-A</x:v>
      </x:c>
      <x:c r="D254" s="47" t="str">
        <x:v>HC-A-C</x:v>
      </x:c>
      <x:c r="E254" s="47" t="str">
        <x:v>ARTICLE</x:v>
      </x:c>
      <x:c r="F254" s="47" t="str">
        <x:v>F14</x:v>
      </x:c>
      <x:c r="G254" s="47" t="str">
        <x:v>Civic</x:v>
      </x:c>
      <x:c r="H254" s="47" t="str">
        <x:v>Receiver and residual dispositions</x:v>
      </x:c>
      <x:c r="I254" s="47" t="str">
        <x:v>PUBLIC</x:v>
      </x:c>
      <x:c r="J254" s="47" t="n">
        <x:v>1</x:v>
      </x:c>
      <x:c r="K254" s="56" t="n">
        <x:v>0</x:v>
      </x:c>
      <x:c r="L254" s="56" t="n">
        <x:v>0</x:v>
      </x:c>
      <x:c r="M254" s="47" t="str">
        <x:f>IF(AND(J254=1,K254=1,L254=1),"COMPLETE","OPEN")</x:f>
        <x:v>OPEN</x:v>
      </x:c>
      <x:c r="N254" s="84"/>
    </x:row>
    <x:row r="255">
      <x:c r="A255" s="47" t="str">
        <x:v>SC249</x:v>
      </x:c>
      <x:c r="B255" s="47" t="str">
        <x:v>P14</x:v>
      </x:c>
      <x:c r="C255" s="47" t="str">
        <x:v>HC-A</x:v>
      </x:c>
      <x:c r="D255" s="47" t="str">
        <x:v>HC-A-C</x:v>
      </x:c>
      <x:c r="E255" s="47" t="str">
        <x:v>ARTICLE</x:v>
      </x:c>
      <x:c r="F255" s="47" t="str">
        <x:v>F15</x:v>
      </x:c>
      <x:c r="G255" s="47" t="str">
        <x:v>Civic</x:v>
      </x:c>
      <x:c r="H255" s="47" t="str">
        <x:v>Rights, access and affected-population obligations</x:v>
      </x:c>
      <x:c r="I255" s="47" t="str">
        <x:v>PUBLIC</x:v>
      </x:c>
      <x:c r="J255" s="47" t="n">
        <x:v>1</x:v>
      </x:c>
      <x:c r="K255" s="56" t="n">
        <x:v>0</x:v>
      </x:c>
      <x:c r="L255" s="56" t="n">
        <x:v>0</x:v>
      </x:c>
      <x:c r="M255" s="47" t="str">
        <x:f>IF(AND(J255=1,K255=1,L255=1),"COMPLETE","OPEN")</x:f>
        <x:v>OPEN</x:v>
      </x:c>
      <x:c r="N255" s="84"/>
    </x:row>
    <x:row r="256">
      <x:c r="A256" s="47" t="str">
        <x:v>SC250</x:v>
      </x:c>
      <x:c r="B256" s="47" t="str">
        <x:v>P14</x:v>
      </x:c>
      <x:c r="C256" s="47" t="str">
        <x:v>HC-A</x:v>
      </x:c>
      <x:c r="D256" s="47" t="str">
        <x:v>HC-A-C</x:v>
      </x:c>
      <x:c r="E256" s="47" t="str">
        <x:v>ARTICLE</x:v>
      </x:c>
      <x:c r="F256" s="47" t="str">
        <x:v>F16</x:v>
      </x:c>
      <x:c r="G256" s="47" t="str">
        <x:v>Epistemic</x:v>
      </x:c>
      <x:c r="H256" s="47" t="str">
        <x:v>Assumptions, unknowns and uncertainty bounds</x:v>
      </x:c>
      <x:c r="I256" s="47" t="str">
        <x:v>PUBLIC</x:v>
      </x:c>
      <x:c r="J256" s="47" t="n">
        <x:v>1</x:v>
      </x:c>
      <x:c r="K256" s="56" t="n">
        <x:v>0</x:v>
      </x:c>
      <x:c r="L256" s="56" t="n">
        <x:v>0</x:v>
      </x:c>
      <x:c r="M256" s="47" t="str">
        <x:f>IF(AND(J256=1,K256=1,L256=1),"COMPLETE","OPEN")</x:f>
        <x:v>OPEN</x:v>
      </x:c>
      <x:c r="N256" s="84"/>
    </x:row>
    <x:row r="257">
      <x:c r="A257" s="47" t="str">
        <x:v>SC251</x:v>
      </x:c>
      <x:c r="B257" s="47" t="str">
        <x:v>P14</x:v>
      </x:c>
      <x:c r="C257" s="47" t="str">
        <x:v>HC-A</x:v>
      </x:c>
      <x:c r="D257" s="47" t="str">
        <x:v>HC-A-C</x:v>
      </x:c>
      <x:c r="E257" s="47" t="str">
        <x:v>ARTICLE</x:v>
      </x:c>
      <x:c r="F257" s="47" t="str">
        <x:v>F17</x:v>
      </x:c>
      <x:c r="G257" s="47" t="str">
        <x:v>Epistemic</x:v>
      </x:c>
      <x:c r="H257" s="47" t="str">
        <x:v>Causal event, denominator and claim trace</x:v>
      </x:c>
      <x:c r="I257" s="47" t="str">
        <x:v>PUBLIC</x:v>
      </x:c>
      <x:c r="J257" s="47" t="n">
        <x:v>1</x:v>
      </x:c>
      <x:c r="K257" s="56" t="n">
        <x:v>0</x:v>
      </x:c>
      <x:c r="L257" s="56" t="n">
        <x:v>0</x:v>
      </x:c>
      <x:c r="M257" s="47" t="str">
        <x:f>IF(AND(J257=1,K257=1,L257=1),"COMPLETE","OPEN")</x:f>
        <x:v>OPEN</x:v>
      </x:c>
      <x:c r="N257" s="84"/>
    </x:row>
    <x:row r="258">
      <x:c r="A258" s="47" t="str">
        <x:v>SC252</x:v>
      </x:c>
      <x:c r="B258" s="47" t="str">
        <x:v>P14</x:v>
      </x:c>
      <x:c r="C258" s="47" t="str">
        <x:v>HC-A</x:v>
      </x:c>
      <x:c r="D258" s="47" t="str">
        <x:v>HC-A-C</x:v>
      </x:c>
      <x:c r="E258" s="47" t="str">
        <x:v>ARTICLE</x:v>
      </x:c>
      <x:c r="F258" s="47" t="str">
        <x:v>F18</x:v>
      </x:c>
      <x:c r="G258" s="47" t="str">
        <x:v>Epistemic</x:v>
      </x:c>
      <x:c r="H258" s="47" t="str">
        <x:v>Acceptance, expiry, disclosure and supersession rule</x:v>
      </x:c>
      <x:c r="I258" s="47" t="str">
        <x:v>PUBLIC</x:v>
      </x:c>
      <x:c r="J258" s="47" t="n">
        <x:v>1</x:v>
      </x:c>
      <x:c r="K258" s="56" t="n">
        <x:v>0</x:v>
      </x:c>
      <x:c r="L258" s="56" t="n">
        <x:v>0</x:v>
      </x:c>
      <x:c r="M258" s="47" t="str">
        <x:f>IF(AND(J258=1,K258=1,L258=1),"COMPLETE","OPEN")</x:f>
        <x:v>OPEN</x:v>
      </x:c>
      <x:c r="N258" s="84"/>
    </x:row>
    <x:row r="259">
      <x:c r="A259" s="47" t="str">
        <x:v>SC253</x:v>
      </x:c>
      <x:c r="B259" s="47" t="str">
        <x:v>P15</x:v>
      </x:c>
      <x:c r="C259" s="47" t="str">
        <x:v>HC-A</x:v>
      </x:c>
      <x:c r="D259" s="47" t="str">
        <x:v>HC-A-C</x:v>
      </x:c>
      <x:c r="E259" s="47" t="str">
        <x:v>REBUILD</x:v>
      </x:c>
      <x:c r="F259" s="47" t="str">
        <x:v>F01</x:v>
      </x:c>
      <x:c r="G259" s="47" t="str">
        <x:v>Identity</x:v>
      </x:c>
      <x:c r="H259" s="47" t="str">
        <x:v>Package identity and warrant scope</x:v>
      </x:c>
      <x:c r="I259" s="47" t="str">
        <x:v>PUBLIC</x:v>
      </x:c>
      <x:c r="J259" s="47" t="n">
        <x:v>1</x:v>
      </x:c>
      <x:c r="K259" s="56" t="n">
        <x:v>0</x:v>
      </x:c>
      <x:c r="L259" s="56" t="n">
        <x:v>0</x:v>
      </x:c>
      <x:c r="M259" s="47" t="str">
        <x:f>IF(AND(J259=1,K259=1,L259=1),"COMPLETE","OPEN")</x:f>
        <x:v>OPEN</x:v>
      </x:c>
      <x:c r="N259" s="84"/>
    </x:row>
    <x:row r="260">
      <x:c r="A260" s="47" t="str">
        <x:v>SC254</x:v>
      </x:c>
      <x:c r="B260" s="47" t="str">
        <x:v>P15</x:v>
      </x:c>
      <x:c r="C260" s="47" t="str">
        <x:v>HC-A</x:v>
      </x:c>
      <x:c r="D260" s="47" t="str">
        <x:v>HC-A-C</x:v>
      </x:c>
      <x:c r="E260" s="47" t="str">
        <x:v>REBUILD</x:v>
      </x:c>
      <x:c r="F260" s="47" t="str">
        <x:v>F02</x:v>
      </x:c>
      <x:c r="G260" s="47" t="str">
        <x:v>Identity</x:v>
      </x:c>
      <x:c r="H260" s="47" t="str">
        <x:v>Authorship, beneficial control and authority</x:v>
      </x:c>
      <x:c r="I260" s="47" t="str">
        <x:v>PUBLIC</x:v>
      </x:c>
      <x:c r="J260" s="47" t="n">
        <x:v>1</x:v>
      </x:c>
      <x:c r="K260" s="56" t="n">
        <x:v>0</x:v>
      </x:c>
      <x:c r="L260" s="56" t="n">
        <x:v>0</x:v>
      </x:c>
      <x:c r="M260" s="47" t="str">
        <x:f>IF(AND(J260=1,K260=1,L260=1),"COMPLETE","OPEN")</x:f>
        <x:v>OPEN</x:v>
      </x:c>
      <x:c r="N260" s="84"/>
    </x:row>
    <x:row r="261">
      <x:c r="A261" s="47" t="str">
        <x:v>SC255</x:v>
      </x:c>
      <x:c r="B261" s="47" t="str">
        <x:v>P15</x:v>
      </x:c>
      <x:c r="C261" s="47" t="str">
        <x:v>HC-A</x:v>
      </x:c>
      <x:c r="D261" s="47" t="str">
        <x:v>HC-A-C</x:v>
      </x:c>
      <x:c r="E261" s="47" t="str">
        <x:v>REBUILD</x:v>
      </x:c>
      <x:c r="F261" s="47" t="str">
        <x:v>F03</x:v>
      </x:c>
      <x:c r="G261" s="47" t="str">
        <x:v>Identity</x:v>
      </x:c>
      <x:c r="H261" s="47" t="str">
        <x:v>Configuration and content hash</x:v>
      </x:c>
      <x:c r="I261" s="47" t="str">
        <x:v>PUBLIC</x:v>
      </x:c>
      <x:c r="J261" s="47" t="n">
        <x:v>1</x:v>
      </x:c>
      <x:c r="K261" s="56" t="n">
        <x:v>0</x:v>
      </x:c>
      <x:c r="L261" s="56" t="n">
        <x:v>0</x:v>
      </x:c>
      <x:c r="M261" s="47" t="str">
        <x:f>IF(AND(J261=1,K261=1,L261=1),"COMPLETE","OPEN")</x:f>
        <x:v>OPEN</x:v>
      </x:c>
      <x:c r="N261" s="84"/>
    </x:row>
    <x:row r="262">
      <x:c r="A262" s="47" t="str">
        <x:v>SC256</x:v>
      </x:c>
      <x:c r="B262" s="47" t="str">
        <x:v>P15</x:v>
      </x:c>
      <x:c r="C262" s="47" t="str">
        <x:v>HC-A</x:v>
      </x:c>
      <x:c r="D262" s="47" t="str">
        <x:v>HC-A-C</x:v>
      </x:c>
      <x:c r="E262" s="47" t="str">
        <x:v>REBUILD</x:v>
      </x:c>
      <x:c r="F262" s="47" t="str">
        <x:v>F04</x:v>
      </x:c>
      <x:c r="G262" s="47" t="str">
        <x:v>Executable</x:v>
      </x:c>
      <x:c r="H262" s="47" t="str">
        <x:v>Native executable artifact</x:v>
      </x:c>
      <x:c r="I262" s="47" t="str">
        <x:v>ESCROW</x:v>
      </x:c>
      <x:c r="J262" s="47" t="n">
        <x:v>1</x:v>
      </x:c>
      <x:c r="K262" s="56" t="n">
        <x:v>0</x:v>
      </x:c>
      <x:c r="L262" s="56" t="n">
        <x:v>0</x:v>
      </x:c>
      <x:c r="M262" s="47" t="str">
        <x:f>IF(AND(J262=1,K262=1,L262=1),"COMPLETE","OPEN")</x:f>
        <x:v>OPEN</x:v>
      </x:c>
      <x:c r="N262" s="84"/>
    </x:row>
    <x:row r="263">
      <x:c r="A263" s="47" t="str">
        <x:v>SC257</x:v>
      </x:c>
      <x:c r="B263" s="47" t="str">
        <x:v>P15</x:v>
      </x:c>
      <x:c r="C263" s="47" t="str">
        <x:v>HC-A</x:v>
      </x:c>
      <x:c r="D263" s="47" t="str">
        <x:v>HC-A-C</x:v>
      </x:c>
      <x:c r="E263" s="47" t="str">
        <x:v>REBUILD</x:v>
      </x:c>
      <x:c r="F263" s="47" t="str">
        <x:v>F05</x:v>
      </x:c>
      <x:c r="G263" s="47" t="str">
        <x:v>Executable</x:v>
      </x:c>
      <x:c r="H263" s="47" t="str">
        <x:v>Native environment and toolchain image</x:v>
      </x:c>
      <x:c r="I263" s="47" t="str">
        <x:v>ESCROW</x:v>
      </x:c>
      <x:c r="J263" s="47" t="n">
        <x:v>1</x:v>
      </x:c>
      <x:c r="K263" s="56" t="n">
        <x:v>0</x:v>
      </x:c>
      <x:c r="L263" s="56" t="n">
        <x:v>0</x:v>
      </x:c>
      <x:c r="M263" s="47" t="str">
        <x:f>IF(AND(J263=1,K263=1,L263=1),"COMPLETE","OPEN")</x:f>
        <x:v>OPEN</x:v>
      </x:c>
      <x:c r="N263" s="84"/>
    </x:row>
    <x:row r="264">
      <x:c r="A264" s="47" t="str">
        <x:v>SC258</x:v>
      </x:c>
      <x:c r="B264" s="47" t="str">
        <x:v>P15</x:v>
      </x:c>
      <x:c r="C264" s="47" t="str">
        <x:v>HC-A</x:v>
      </x:c>
      <x:c r="D264" s="47" t="str">
        <x:v>HC-A-C</x:v>
      </x:c>
      <x:c r="E264" s="47" t="str">
        <x:v>REBUILD</x:v>
      </x:c>
      <x:c r="F264" s="47" t="str">
        <x:v>F06</x:v>
      </x:c>
      <x:c r="G264" s="47" t="str">
        <x:v>Executable</x:v>
      </x:c>
      <x:c r="H264" s="47" t="str">
        <x:v>Dependency bill, software bill and license rights</x:v>
      </x:c>
      <x:c r="I264" s="47" t="str">
        <x:v>PUBLIC</x:v>
      </x:c>
      <x:c r="J264" s="47" t="n">
        <x:v>1</x:v>
      </x:c>
      <x:c r="K264" s="56" t="n">
        <x:v>0</x:v>
      </x:c>
      <x:c r="L264" s="56" t="n">
        <x:v>0</x:v>
      </x:c>
      <x:c r="M264" s="47" t="str">
        <x:f>IF(AND(J264=1,K264=1,L264=1),"COMPLETE","OPEN")</x:f>
        <x:v>OPEN</x:v>
      </x:c>
      <x:c r="N264" s="84"/>
    </x:row>
    <x:row r="265">
      <x:c r="A265" s="47" t="str">
        <x:v>SC259</x:v>
      </x:c>
      <x:c r="B265" s="47" t="str">
        <x:v>P15</x:v>
      </x:c>
      <x:c r="C265" s="47" t="str">
        <x:v>HC-A</x:v>
      </x:c>
      <x:c r="D265" s="47" t="str">
        <x:v>HC-A-C</x:v>
      </x:c>
      <x:c r="E265" s="47" t="str">
        <x:v>REBUILD</x:v>
      </x:c>
      <x:c r="F265" s="47" t="str">
        <x:v>F07</x:v>
      </x:c>
      <x:c r="G265" s="47" t="str">
        <x:v>Executable</x:v>
      </x:c>
      <x:c r="H265" s="47" t="str">
        <x:v>Data provenance and calibration lineage</x:v>
      </x:c>
      <x:c r="I265" s="47" t="str">
        <x:v>ESCROW</x:v>
      </x:c>
      <x:c r="J265" s="47" t="n">
        <x:v>1</x:v>
      </x:c>
      <x:c r="K265" s="56" t="n">
        <x:v>0</x:v>
      </x:c>
      <x:c r="L265" s="56" t="n">
        <x:v>0</x:v>
      </x:c>
      <x:c r="M265" s="47" t="str">
        <x:f>IF(AND(J265=1,K265=1,L265=1),"COMPLETE","OPEN")</x:f>
        <x:v>OPEN</x:v>
      </x:c>
      <x:c r="N265" s="84"/>
    </x:row>
    <x:row r="266">
      <x:c r="A266" s="47" t="str">
        <x:v>SC260</x:v>
      </x:c>
      <x:c r="B266" s="47" t="str">
        <x:v>P15</x:v>
      </x:c>
      <x:c r="C266" s="47" t="str">
        <x:v>HC-A</x:v>
      </x:c>
      <x:c r="D266" s="47" t="str">
        <x:v>HC-A-C</x:v>
      </x:c>
      <x:c r="E266" s="47" t="str">
        <x:v>REBUILD</x:v>
      </x:c>
      <x:c r="F266" s="47" t="str">
        <x:v>F08</x:v>
      </x:c>
      <x:c r="G266" s="47" t="str">
        <x:v>Executable</x:v>
      </x:c>
      <x:c r="H266" s="47" t="str">
        <x:v>Random seed, solver and numerical controls</x:v>
      </x:c>
      <x:c r="I266" s="47" t="str">
        <x:v>ESCROW</x:v>
      </x:c>
      <x:c r="J266" s="47" t="n">
        <x:v>1</x:v>
      </x:c>
      <x:c r="K266" s="56" t="n">
        <x:v>0</x:v>
      </x:c>
      <x:c r="L266" s="56" t="n">
        <x:v>0</x:v>
      </x:c>
      <x:c r="M266" s="47" t="str">
        <x:f>IF(AND(J266=1,K266=1,L266=1),"COMPLETE","OPEN")</x:f>
        <x:v>OPEN</x:v>
      </x:c>
      <x:c r="N266" s="84"/>
    </x:row>
    <x:row r="267">
      <x:c r="A267" s="47" t="str">
        <x:v>SC261</x:v>
      </x:c>
      <x:c r="B267" s="47" t="str">
        <x:v>P15</x:v>
      </x:c>
      <x:c r="C267" s="47" t="str">
        <x:v>HC-A</x:v>
      </x:c>
      <x:c r="D267" s="47" t="str">
        <x:v>HC-A-C</x:v>
      </x:c>
      <x:c r="E267" s="47" t="str">
        <x:v>REBUILD</x:v>
      </x:c>
      <x:c r="F267" s="47" t="str">
        <x:v>F09</x:v>
      </x:c>
      <x:c r="G267" s="47" t="str">
        <x:v>Physical</x:v>
      </x:c>
      <x:c r="H267" s="47" t="str">
        <x:v>Units, coordinates and datums</x:v>
      </x:c>
      <x:c r="I267" s="47" t="str">
        <x:v>PUBLIC</x:v>
      </x:c>
      <x:c r="J267" s="47" t="n">
        <x:v>1</x:v>
      </x:c>
      <x:c r="K267" s="56" t="n">
        <x:v>0</x:v>
      </x:c>
      <x:c r="L267" s="56" t="n">
        <x:v>0</x:v>
      </x:c>
      <x:c r="M267" s="47" t="str">
        <x:f>IF(AND(J267=1,K267=1,L267=1),"COMPLETE","OPEN")</x:f>
        <x:v>OPEN</x:v>
      </x:c>
      <x:c r="N267" s="84"/>
    </x:row>
    <x:row r="268">
      <x:c r="A268" s="47" t="str">
        <x:v>SC262</x:v>
      </x:c>
      <x:c r="B268" s="47" t="str">
        <x:v>P15</x:v>
      </x:c>
      <x:c r="C268" s="47" t="str">
        <x:v>HC-A</x:v>
      </x:c>
      <x:c r="D268" s="47" t="str">
        <x:v>HC-A-C</x:v>
      </x:c>
      <x:c r="E268" s="47" t="str">
        <x:v>REBUILD</x:v>
      </x:c>
      <x:c r="F268" s="47" t="str">
        <x:v>F10</x:v>
      </x:c>
      <x:c r="G268" s="47" t="str">
        <x:v>Physical</x:v>
      </x:c>
      <x:c r="H268" s="47" t="str">
        <x:v>Material, property and constitutive sources</x:v>
      </x:c>
      <x:c r="I268" s="47" t="str">
        <x:v>PUBLIC</x:v>
      </x:c>
      <x:c r="J268" s="47" t="n">
        <x:v>1</x:v>
      </x:c>
      <x:c r="K268" s="56" t="n">
        <x:v>0</x:v>
      </x:c>
      <x:c r="L268" s="56" t="n">
        <x:v>0</x:v>
      </x:c>
      <x:c r="M268" s="47" t="str">
        <x:f>IF(AND(J268=1,K268=1,L268=1),"COMPLETE","OPEN")</x:f>
        <x:v>OPEN</x:v>
      </x:c>
      <x:c r="N268" s="84"/>
    </x:row>
    <x:row r="269">
      <x:c r="A269" s="47" t="str">
        <x:v>SC263</x:v>
      </x:c>
      <x:c r="B269" s="47" t="str">
        <x:v>P15</x:v>
      </x:c>
      <x:c r="C269" s="47" t="str">
        <x:v>HC-A</x:v>
      </x:c>
      <x:c r="D269" s="47" t="str">
        <x:v>HC-A-C</x:v>
      </x:c>
      <x:c r="E269" s="47" t="str">
        <x:v>REBUILD</x:v>
      </x:c>
      <x:c r="F269" s="47" t="str">
        <x:v>F11</x:v>
      </x:c>
      <x:c r="G269" s="47" t="str">
        <x:v>Physical</x:v>
      </x:c>
      <x:c r="H269" s="47" t="str">
        <x:v>Interfaces, tolerances and boundary conditions</x:v>
      </x:c>
      <x:c r="I269" s="47" t="str">
        <x:v>PUBLIC</x:v>
      </x:c>
      <x:c r="J269" s="47" t="n">
        <x:v>1</x:v>
      </x:c>
      <x:c r="K269" s="56" t="n">
        <x:v>0</x:v>
      </x:c>
      <x:c r="L269" s="56" t="n">
        <x:v>0</x:v>
      </x:c>
      <x:c r="M269" s="47" t="str">
        <x:f>IF(AND(J269=1,K269=1,L269=1),"COMPLETE","OPEN")</x:f>
        <x:v>OPEN</x:v>
      </x:c>
      <x:c r="N269" s="84"/>
    </x:row>
    <x:row r="270">
      <x:c r="A270" s="47" t="str">
        <x:v>SC264</x:v>
      </x:c>
      <x:c r="B270" s="47" t="str">
        <x:v>P15</x:v>
      </x:c>
      <x:c r="C270" s="47" t="str">
        <x:v>HC-A</x:v>
      </x:c>
      <x:c r="D270" s="47" t="str">
        <x:v>HC-A-C</x:v>
      </x:c>
      <x:c r="E270" s="47" t="str">
        <x:v>REBUILD</x:v>
      </x:c>
      <x:c r="F270" s="47" t="str">
        <x:v>F12</x:v>
      </x:c>
      <x:c r="G270" s="47" t="str">
        <x:v>Physical</x:v>
      </x:c>
      <x:c r="H270" s="47" t="str">
        <x:v>Manufacturing, process and assembly assumptions</x:v>
      </x:c>
      <x:c r="I270" s="47" t="str">
        <x:v>PUBLIC</x:v>
      </x:c>
      <x:c r="J270" s="47" t="n">
        <x:v>1</x:v>
      </x:c>
      <x:c r="K270" s="56" t="n">
        <x:v>0</x:v>
      </x:c>
      <x:c r="L270" s="56" t="n">
        <x:v>0</x:v>
      </x:c>
      <x:c r="M270" s="47" t="str">
        <x:f>IF(AND(J270=1,K270=1,L270=1),"COMPLETE","OPEN")</x:f>
        <x:v>OPEN</x:v>
      </x:c>
      <x:c r="N270" s="84"/>
    </x:row>
    <x:row r="271">
      <x:c r="A271" s="47" t="str">
        <x:v>SC265</x:v>
      </x:c>
      <x:c r="B271" s="47" t="str">
        <x:v>P15</x:v>
      </x:c>
      <x:c r="C271" s="47" t="str">
        <x:v>HC-A</x:v>
      </x:c>
      <x:c r="D271" s="47" t="str">
        <x:v>HC-A-C</x:v>
      </x:c>
      <x:c r="E271" s="47" t="str">
        <x:v>REBUILD</x:v>
      </x:c>
      <x:c r="F271" s="47" t="str">
        <x:v>F13</x:v>
      </x:c>
      <x:c r="G271" s="47" t="str">
        <x:v>Civic</x:v>
      </x:c>
      <x:c r="H271" s="47" t="str">
        <x:v>Safe-state and abort logic</x:v>
      </x:c>
      <x:c r="I271" s="47" t="str">
        <x:v>PUBLIC</x:v>
      </x:c>
      <x:c r="J271" s="47" t="n">
        <x:v>1</x:v>
      </x:c>
      <x:c r="K271" s="56" t="n">
        <x:v>0</x:v>
      </x:c>
      <x:c r="L271" s="56" t="n">
        <x:v>0</x:v>
      </x:c>
      <x:c r="M271" s="47" t="str">
        <x:f>IF(AND(J271=1,K271=1,L271=1),"COMPLETE","OPEN")</x:f>
        <x:v>OPEN</x:v>
      </x:c>
      <x:c r="N271" s="84"/>
    </x:row>
    <x:row r="272">
      <x:c r="A272" s="47" t="str">
        <x:v>SC266</x:v>
      </x:c>
      <x:c r="B272" s="47" t="str">
        <x:v>P15</x:v>
      </x:c>
      <x:c r="C272" s="47" t="str">
        <x:v>HC-A</x:v>
      </x:c>
      <x:c r="D272" s="47" t="str">
        <x:v>HC-A-C</x:v>
      </x:c>
      <x:c r="E272" s="47" t="str">
        <x:v>REBUILD</x:v>
      </x:c>
      <x:c r="F272" s="47" t="str">
        <x:v>F14</x:v>
      </x:c>
      <x:c r="G272" s="47" t="str">
        <x:v>Civic</x:v>
      </x:c>
      <x:c r="H272" s="47" t="str">
        <x:v>Receiver and residual dispositions</x:v>
      </x:c>
      <x:c r="I272" s="47" t="str">
        <x:v>PUBLIC</x:v>
      </x:c>
      <x:c r="J272" s="47" t="n">
        <x:v>1</x:v>
      </x:c>
      <x:c r="K272" s="56" t="n">
        <x:v>0</x:v>
      </x:c>
      <x:c r="L272" s="56" t="n">
        <x:v>0</x:v>
      </x:c>
      <x:c r="M272" s="47" t="str">
        <x:f>IF(AND(J272=1,K272=1,L272=1),"COMPLETE","OPEN")</x:f>
        <x:v>OPEN</x:v>
      </x:c>
      <x:c r="N272" s="84"/>
    </x:row>
    <x:row r="273">
      <x:c r="A273" s="47" t="str">
        <x:v>SC267</x:v>
      </x:c>
      <x:c r="B273" s="47" t="str">
        <x:v>P15</x:v>
      </x:c>
      <x:c r="C273" s="47" t="str">
        <x:v>HC-A</x:v>
      </x:c>
      <x:c r="D273" s="47" t="str">
        <x:v>HC-A-C</x:v>
      </x:c>
      <x:c r="E273" s="47" t="str">
        <x:v>REBUILD</x:v>
      </x:c>
      <x:c r="F273" s="47" t="str">
        <x:v>F15</x:v>
      </x:c>
      <x:c r="G273" s="47" t="str">
        <x:v>Civic</x:v>
      </x:c>
      <x:c r="H273" s="47" t="str">
        <x:v>Rights, access and affected-population obligations</x:v>
      </x:c>
      <x:c r="I273" s="47" t="str">
        <x:v>PUBLIC</x:v>
      </x:c>
      <x:c r="J273" s="47" t="n">
        <x:v>1</x:v>
      </x:c>
      <x:c r="K273" s="56" t="n">
        <x:v>0</x:v>
      </x:c>
      <x:c r="L273" s="56" t="n">
        <x:v>0</x:v>
      </x:c>
      <x:c r="M273" s="47" t="str">
        <x:f>IF(AND(J273=1,K273=1,L273=1),"COMPLETE","OPEN")</x:f>
        <x:v>OPEN</x:v>
      </x:c>
      <x:c r="N273" s="84"/>
    </x:row>
    <x:row r="274">
      <x:c r="A274" s="47" t="str">
        <x:v>SC268</x:v>
      </x:c>
      <x:c r="B274" s="47" t="str">
        <x:v>P15</x:v>
      </x:c>
      <x:c r="C274" s="47" t="str">
        <x:v>HC-A</x:v>
      </x:c>
      <x:c r="D274" s="47" t="str">
        <x:v>HC-A-C</x:v>
      </x:c>
      <x:c r="E274" s="47" t="str">
        <x:v>REBUILD</x:v>
      </x:c>
      <x:c r="F274" s="47" t="str">
        <x:v>F16</x:v>
      </x:c>
      <x:c r="G274" s="47" t="str">
        <x:v>Epistemic</x:v>
      </x:c>
      <x:c r="H274" s="47" t="str">
        <x:v>Assumptions, unknowns and uncertainty bounds</x:v>
      </x:c>
      <x:c r="I274" s="47" t="str">
        <x:v>PUBLIC</x:v>
      </x:c>
      <x:c r="J274" s="47" t="n">
        <x:v>1</x:v>
      </x:c>
      <x:c r="K274" s="56" t="n">
        <x:v>0</x:v>
      </x:c>
      <x:c r="L274" s="56" t="n">
        <x:v>0</x:v>
      </x:c>
      <x:c r="M274" s="47" t="str">
        <x:f>IF(AND(J274=1,K274=1,L274=1),"COMPLETE","OPEN")</x:f>
        <x:v>OPEN</x:v>
      </x:c>
      <x:c r="N274" s="84"/>
    </x:row>
    <x:row r="275">
      <x:c r="A275" s="47" t="str">
        <x:v>SC269</x:v>
      </x:c>
      <x:c r="B275" s="47" t="str">
        <x:v>P15</x:v>
      </x:c>
      <x:c r="C275" s="47" t="str">
        <x:v>HC-A</x:v>
      </x:c>
      <x:c r="D275" s="47" t="str">
        <x:v>HC-A-C</x:v>
      </x:c>
      <x:c r="E275" s="47" t="str">
        <x:v>REBUILD</x:v>
      </x:c>
      <x:c r="F275" s="47" t="str">
        <x:v>F17</x:v>
      </x:c>
      <x:c r="G275" s="47" t="str">
        <x:v>Epistemic</x:v>
      </x:c>
      <x:c r="H275" s="47" t="str">
        <x:v>Causal event, denominator and claim trace</x:v>
      </x:c>
      <x:c r="I275" s="47" t="str">
        <x:v>PUBLIC</x:v>
      </x:c>
      <x:c r="J275" s="47" t="n">
        <x:v>1</x:v>
      </x:c>
      <x:c r="K275" s="56" t="n">
        <x:v>0</x:v>
      </x:c>
      <x:c r="L275" s="56" t="n">
        <x:v>0</x:v>
      </x:c>
      <x:c r="M275" s="47" t="str">
        <x:f>IF(AND(J275=1,K275=1,L275=1),"COMPLETE","OPEN")</x:f>
        <x:v>OPEN</x:v>
      </x:c>
      <x:c r="N275" s="84"/>
    </x:row>
    <x:row r="276">
      <x:c r="A276" s="47" t="str">
        <x:v>SC270</x:v>
      </x:c>
      <x:c r="B276" s="47" t="str">
        <x:v>P15</x:v>
      </x:c>
      <x:c r="C276" s="47" t="str">
        <x:v>HC-A</x:v>
      </x:c>
      <x:c r="D276" s="47" t="str">
        <x:v>HC-A-C</x:v>
      </x:c>
      <x:c r="E276" s="47" t="str">
        <x:v>REBUILD</x:v>
      </x:c>
      <x:c r="F276" s="47" t="str">
        <x:v>F18</x:v>
      </x:c>
      <x:c r="G276" s="47" t="str">
        <x:v>Epistemic</x:v>
      </x:c>
      <x:c r="H276" s="47" t="str">
        <x:v>Acceptance, expiry, disclosure and supersession rule</x:v>
      </x:c>
      <x:c r="I276" s="47" t="str">
        <x:v>PUBLIC</x:v>
      </x:c>
      <x:c r="J276" s="47" t="n">
        <x:v>1</x:v>
      </x:c>
      <x:c r="K276" s="56" t="n">
        <x:v>0</x:v>
      </x:c>
      <x:c r="L276" s="56" t="n">
        <x:v>0</x:v>
      </x:c>
      <x:c r="M276" s="47" t="str">
        <x:f>IF(AND(J276=1,K276=1,L276=1),"COMPLETE","OPEN")</x:f>
        <x:v>OPEN</x:v>
      </x:c>
      <x:c r="N276" s="84"/>
    </x:row>
    <x:row r="277">
      <x:c r="A277" s="47" t="str">
        <x:v>SC271</x:v>
      </x:c>
      <x:c r="B277" s="47" t="str">
        <x:v>P16</x:v>
      </x:c>
      <x:c r="C277" s="47" t="str">
        <x:v>LF-B</x:v>
      </x:c>
      <x:c r="D277" s="47" t="str">
        <x:v>LF-B-A</x:v>
      </x:c>
      <x:c r="E277" s="47" t="str">
        <x:v>METHOD</x:v>
      </x:c>
      <x:c r="F277" s="47" t="str">
        <x:v>F01</x:v>
      </x:c>
      <x:c r="G277" s="47" t="str">
        <x:v>Identity</x:v>
      </x:c>
      <x:c r="H277" s="47" t="str">
        <x:v>Package identity and warrant scope</x:v>
      </x:c>
      <x:c r="I277" s="47" t="str">
        <x:v>PUBLIC</x:v>
      </x:c>
      <x:c r="J277" s="47" t="n">
        <x:v>1</x:v>
      </x:c>
      <x:c r="K277" s="56" t="n">
        <x:v>0</x:v>
      </x:c>
      <x:c r="L277" s="56" t="n">
        <x:v>0</x:v>
      </x:c>
      <x:c r="M277" s="47" t="str">
        <x:f>IF(AND(J277=1,K277=1,L277=1),"COMPLETE","OPEN")</x:f>
        <x:v>OPEN</x:v>
      </x:c>
      <x:c r="N277" s="84"/>
    </x:row>
    <x:row r="278">
      <x:c r="A278" s="47" t="str">
        <x:v>SC272</x:v>
      </x:c>
      <x:c r="B278" s="47" t="str">
        <x:v>P16</x:v>
      </x:c>
      <x:c r="C278" s="47" t="str">
        <x:v>LF-B</x:v>
      </x:c>
      <x:c r="D278" s="47" t="str">
        <x:v>LF-B-A</x:v>
      </x:c>
      <x:c r="E278" s="47" t="str">
        <x:v>METHOD</x:v>
      </x:c>
      <x:c r="F278" s="47" t="str">
        <x:v>F02</x:v>
      </x:c>
      <x:c r="G278" s="47" t="str">
        <x:v>Identity</x:v>
      </x:c>
      <x:c r="H278" s="47" t="str">
        <x:v>Authorship, beneficial control and authority</x:v>
      </x:c>
      <x:c r="I278" s="47" t="str">
        <x:v>PUBLIC</x:v>
      </x:c>
      <x:c r="J278" s="47" t="n">
        <x:v>1</x:v>
      </x:c>
      <x:c r="K278" s="56" t="n">
        <x:v>0</x:v>
      </x:c>
      <x:c r="L278" s="56" t="n">
        <x:v>0</x:v>
      </x:c>
      <x:c r="M278" s="47" t="str">
        <x:f>IF(AND(J278=1,K278=1,L278=1),"COMPLETE","OPEN")</x:f>
        <x:v>OPEN</x:v>
      </x:c>
      <x:c r="N278" s="84"/>
    </x:row>
    <x:row r="279">
      <x:c r="A279" s="47" t="str">
        <x:v>SC273</x:v>
      </x:c>
      <x:c r="B279" s="47" t="str">
        <x:v>P16</x:v>
      </x:c>
      <x:c r="C279" s="47" t="str">
        <x:v>LF-B</x:v>
      </x:c>
      <x:c r="D279" s="47" t="str">
        <x:v>LF-B-A</x:v>
      </x:c>
      <x:c r="E279" s="47" t="str">
        <x:v>METHOD</x:v>
      </x:c>
      <x:c r="F279" s="47" t="str">
        <x:v>F03</x:v>
      </x:c>
      <x:c r="G279" s="47" t="str">
        <x:v>Identity</x:v>
      </x:c>
      <x:c r="H279" s="47" t="str">
        <x:v>Configuration and content hash</x:v>
      </x:c>
      <x:c r="I279" s="47" t="str">
        <x:v>PUBLIC</x:v>
      </x:c>
      <x:c r="J279" s="47" t="n">
        <x:v>1</x:v>
      </x:c>
      <x:c r="K279" s="56" t="n">
        <x:v>0</x:v>
      </x:c>
      <x:c r="L279" s="56" t="n">
        <x:v>0</x:v>
      </x:c>
      <x:c r="M279" s="47" t="str">
        <x:f>IF(AND(J279=1,K279=1,L279=1),"COMPLETE","OPEN")</x:f>
        <x:v>OPEN</x:v>
      </x:c>
      <x:c r="N279" s="84"/>
    </x:row>
    <x:row r="280">
      <x:c r="A280" s="47" t="str">
        <x:v>SC274</x:v>
      </x:c>
      <x:c r="B280" s="47" t="str">
        <x:v>P16</x:v>
      </x:c>
      <x:c r="C280" s="47" t="str">
        <x:v>LF-B</x:v>
      </x:c>
      <x:c r="D280" s="47" t="str">
        <x:v>LF-B-A</x:v>
      </x:c>
      <x:c r="E280" s="47" t="str">
        <x:v>METHOD</x:v>
      </x:c>
      <x:c r="F280" s="47" t="str">
        <x:v>F04</x:v>
      </x:c>
      <x:c r="G280" s="47" t="str">
        <x:v>Executable</x:v>
      </x:c>
      <x:c r="H280" s="47" t="str">
        <x:v>Native executable artifact</x:v>
      </x:c>
      <x:c r="I280" s="47" t="str">
        <x:v>ESCROW</x:v>
      </x:c>
      <x:c r="J280" s="47" t="n">
        <x:v>1</x:v>
      </x:c>
      <x:c r="K280" s="56" t="n">
        <x:v>0</x:v>
      </x:c>
      <x:c r="L280" s="56" t="n">
        <x:v>0</x:v>
      </x:c>
      <x:c r="M280" s="47" t="str">
        <x:f>IF(AND(J280=1,K280=1,L280=1),"COMPLETE","OPEN")</x:f>
        <x:v>OPEN</x:v>
      </x:c>
      <x:c r="N280" s="84"/>
    </x:row>
    <x:row r="281">
      <x:c r="A281" s="47" t="str">
        <x:v>SC275</x:v>
      </x:c>
      <x:c r="B281" s="47" t="str">
        <x:v>P16</x:v>
      </x:c>
      <x:c r="C281" s="47" t="str">
        <x:v>LF-B</x:v>
      </x:c>
      <x:c r="D281" s="47" t="str">
        <x:v>LF-B-A</x:v>
      </x:c>
      <x:c r="E281" s="47" t="str">
        <x:v>METHOD</x:v>
      </x:c>
      <x:c r="F281" s="47" t="str">
        <x:v>F05</x:v>
      </x:c>
      <x:c r="G281" s="47" t="str">
        <x:v>Executable</x:v>
      </x:c>
      <x:c r="H281" s="47" t="str">
        <x:v>Native environment and toolchain image</x:v>
      </x:c>
      <x:c r="I281" s="47" t="str">
        <x:v>ESCROW</x:v>
      </x:c>
      <x:c r="J281" s="47" t="n">
        <x:v>1</x:v>
      </x:c>
      <x:c r="K281" s="56" t="n">
        <x:v>0</x:v>
      </x:c>
      <x:c r="L281" s="56" t="n">
        <x:v>0</x:v>
      </x:c>
      <x:c r="M281" s="47" t="str">
        <x:f>IF(AND(J281=1,K281=1,L281=1),"COMPLETE","OPEN")</x:f>
        <x:v>OPEN</x:v>
      </x:c>
      <x:c r="N281" s="84"/>
    </x:row>
    <x:row r="282">
      <x:c r="A282" s="47" t="str">
        <x:v>SC276</x:v>
      </x:c>
      <x:c r="B282" s="47" t="str">
        <x:v>P16</x:v>
      </x:c>
      <x:c r="C282" s="47" t="str">
        <x:v>LF-B</x:v>
      </x:c>
      <x:c r="D282" s="47" t="str">
        <x:v>LF-B-A</x:v>
      </x:c>
      <x:c r="E282" s="47" t="str">
        <x:v>METHOD</x:v>
      </x:c>
      <x:c r="F282" s="47" t="str">
        <x:v>F06</x:v>
      </x:c>
      <x:c r="G282" s="47" t="str">
        <x:v>Executable</x:v>
      </x:c>
      <x:c r="H282" s="47" t="str">
        <x:v>Dependency bill, software bill and license rights</x:v>
      </x:c>
      <x:c r="I282" s="47" t="str">
        <x:v>PUBLIC</x:v>
      </x:c>
      <x:c r="J282" s="47" t="n">
        <x:v>1</x:v>
      </x:c>
      <x:c r="K282" s="56" t="n">
        <x:v>0</x:v>
      </x:c>
      <x:c r="L282" s="56" t="n">
        <x:v>0</x:v>
      </x:c>
      <x:c r="M282" s="47" t="str">
        <x:f>IF(AND(J282=1,K282=1,L282=1),"COMPLETE","OPEN")</x:f>
        <x:v>OPEN</x:v>
      </x:c>
      <x:c r="N282" s="84"/>
    </x:row>
    <x:row r="283">
      <x:c r="A283" s="47" t="str">
        <x:v>SC277</x:v>
      </x:c>
      <x:c r="B283" s="47" t="str">
        <x:v>P16</x:v>
      </x:c>
      <x:c r="C283" s="47" t="str">
        <x:v>LF-B</x:v>
      </x:c>
      <x:c r="D283" s="47" t="str">
        <x:v>LF-B-A</x:v>
      </x:c>
      <x:c r="E283" s="47" t="str">
        <x:v>METHOD</x:v>
      </x:c>
      <x:c r="F283" s="47" t="str">
        <x:v>F07</x:v>
      </x:c>
      <x:c r="G283" s="47" t="str">
        <x:v>Executable</x:v>
      </x:c>
      <x:c r="H283" s="47" t="str">
        <x:v>Data provenance and calibration lineage</x:v>
      </x:c>
      <x:c r="I283" s="47" t="str">
        <x:v>ESCROW</x:v>
      </x:c>
      <x:c r="J283" s="47" t="n">
        <x:v>1</x:v>
      </x:c>
      <x:c r="K283" s="56" t="n">
        <x:v>0</x:v>
      </x:c>
      <x:c r="L283" s="56" t="n">
        <x:v>0</x:v>
      </x:c>
      <x:c r="M283" s="47" t="str">
        <x:f>IF(AND(J283=1,K283=1,L283=1),"COMPLETE","OPEN")</x:f>
        <x:v>OPEN</x:v>
      </x:c>
      <x:c r="N283" s="84"/>
    </x:row>
    <x:row r="284">
      <x:c r="A284" s="47" t="str">
        <x:v>SC278</x:v>
      </x:c>
      <x:c r="B284" s="47" t="str">
        <x:v>P16</x:v>
      </x:c>
      <x:c r="C284" s="47" t="str">
        <x:v>LF-B</x:v>
      </x:c>
      <x:c r="D284" s="47" t="str">
        <x:v>LF-B-A</x:v>
      </x:c>
      <x:c r="E284" s="47" t="str">
        <x:v>METHOD</x:v>
      </x:c>
      <x:c r="F284" s="47" t="str">
        <x:v>F08</x:v>
      </x:c>
      <x:c r="G284" s="47" t="str">
        <x:v>Executable</x:v>
      </x:c>
      <x:c r="H284" s="47" t="str">
        <x:v>Random seed, solver and numerical controls</x:v>
      </x:c>
      <x:c r="I284" s="47" t="str">
        <x:v>ESCROW</x:v>
      </x:c>
      <x:c r="J284" s="47" t="n">
        <x:v>1</x:v>
      </x:c>
      <x:c r="K284" s="56" t="n">
        <x:v>0</x:v>
      </x:c>
      <x:c r="L284" s="56" t="n">
        <x:v>0</x:v>
      </x:c>
      <x:c r="M284" s="47" t="str">
        <x:f>IF(AND(J284=1,K284=1,L284=1),"COMPLETE","OPEN")</x:f>
        <x:v>OPEN</x:v>
      </x:c>
      <x:c r="N284" s="84"/>
    </x:row>
    <x:row r="285">
      <x:c r="A285" s="47" t="str">
        <x:v>SC279</x:v>
      </x:c>
      <x:c r="B285" s="47" t="str">
        <x:v>P16</x:v>
      </x:c>
      <x:c r="C285" s="47" t="str">
        <x:v>LF-B</x:v>
      </x:c>
      <x:c r="D285" s="47" t="str">
        <x:v>LF-B-A</x:v>
      </x:c>
      <x:c r="E285" s="47" t="str">
        <x:v>METHOD</x:v>
      </x:c>
      <x:c r="F285" s="47" t="str">
        <x:v>F09</x:v>
      </x:c>
      <x:c r="G285" s="47" t="str">
        <x:v>Physical</x:v>
      </x:c>
      <x:c r="H285" s="47" t="str">
        <x:v>Units, coordinates and datums</x:v>
      </x:c>
      <x:c r="I285" s="47" t="str">
        <x:v>PUBLIC</x:v>
      </x:c>
      <x:c r="J285" s="47" t="n">
        <x:v>1</x:v>
      </x:c>
      <x:c r="K285" s="56" t="n">
        <x:v>0</x:v>
      </x:c>
      <x:c r="L285" s="56" t="n">
        <x:v>0</x:v>
      </x:c>
      <x:c r="M285" s="47" t="str">
        <x:f>IF(AND(J285=1,K285=1,L285=1),"COMPLETE","OPEN")</x:f>
        <x:v>OPEN</x:v>
      </x:c>
      <x:c r="N285" s="84"/>
    </x:row>
    <x:row r="286">
      <x:c r="A286" s="47" t="str">
        <x:v>SC280</x:v>
      </x:c>
      <x:c r="B286" s="47" t="str">
        <x:v>P16</x:v>
      </x:c>
      <x:c r="C286" s="47" t="str">
        <x:v>LF-B</x:v>
      </x:c>
      <x:c r="D286" s="47" t="str">
        <x:v>LF-B-A</x:v>
      </x:c>
      <x:c r="E286" s="47" t="str">
        <x:v>METHOD</x:v>
      </x:c>
      <x:c r="F286" s="47" t="str">
        <x:v>F10</x:v>
      </x:c>
      <x:c r="G286" s="47" t="str">
        <x:v>Physical</x:v>
      </x:c>
      <x:c r="H286" s="47" t="str">
        <x:v>Material, property and constitutive sources</x:v>
      </x:c>
      <x:c r="I286" s="47" t="str">
        <x:v>PUBLIC</x:v>
      </x:c>
      <x:c r="J286" s="47" t="n">
        <x:v>1</x:v>
      </x:c>
      <x:c r="K286" s="56" t="n">
        <x:v>0</x:v>
      </x:c>
      <x:c r="L286" s="56" t="n">
        <x:v>0</x:v>
      </x:c>
      <x:c r="M286" s="47" t="str">
        <x:f>IF(AND(J286=1,K286=1,L286=1),"COMPLETE","OPEN")</x:f>
        <x:v>OPEN</x:v>
      </x:c>
      <x:c r="N286" s="84"/>
    </x:row>
    <x:row r="287">
      <x:c r="A287" s="47" t="str">
        <x:v>SC281</x:v>
      </x:c>
      <x:c r="B287" s="47" t="str">
        <x:v>P16</x:v>
      </x:c>
      <x:c r="C287" s="47" t="str">
        <x:v>LF-B</x:v>
      </x:c>
      <x:c r="D287" s="47" t="str">
        <x:v>LF-B-A</x:v>
      </x:c>
      <x:c r="E287" s="47" t="str">
        <x:v>METHOD</x:v>
      </x:c>
      <x:c r="F287" s="47" t="str">
        <x:v>F11</x:v>
      </x:c>
      <x:c r="G287" s="47" t="str">
        <x:v>Physical</x:v>
      </x:c>
      <x:c r="H287" s="47" t="str">
        <x:v>Interfaces, tolerances and boundary conditions</x:v>
      </x:c>
      <x:c r="I287" s="47" t="str">
        <x:v>PUBLIC</x:v>
      </x:c>
      <x:c r="J287" s="47" t="n">
        <x:v>1</x:v>
      </x:c>
      <x:c r="K287" s="56" t="n">
        <x:v>0</x:v>
      </x:c>
      <x:c r="L287" s="56" t="n">
        <x:v>0</x:v>
      </x:c>
      <x:c r="M287" s="47" t="str">
        <x:f>IF(AND(J287=1,K287=1,L287=1),"COMPLETE","OPEN")</x:f>
        <x:v>OPEN</x:v>
      </x:c>
      <x:c r="N287" s="84"/>
    </x:row>
    <x:row r="288">
      <x:c r="A288" s="47" t="str">
        <x:v>SC282</x:v>
      </x:c>
      <x:c r="B288" s="47" t="str">
        <x:v>P16</x:v>
      </x:c>
      <x:c r="C288" s="47" t="str">
        <x:v>LF-B</x:v>
      </x:c>
      <x:c r="D288" s="47" t="str">
        <x:v>LF-B-A</x:v>
      </x:c>
      <x:c r="E288" s="47" t="str">
        <x:v>METHOD</x:v>
      </x:c>
      <x:c r="F288" s="47" t="str">
        <x:v>F12</x:v>
      </x:c>
      <x:c r="G288" s="47" t="str">
        <x:v>Physical</x:v>
      </x:c>
      <x:c r="H288" s="47" t="str">
        <x:v>Manufacturing, process and assembly assumptions</x:v>
      </x:c>
      <x:c r="I288" s="47" t="str">
        <x:v>PUBLIC</x:v>
      </x:c>
      <x:c r="J288" s="47" t="n">
        <x:v>1</x:v>
      </x:c>
      <x:c r="K288" s="56" t="n">
        <x:v>0</x:v>
      </x:c>
      <x:c r="L288" s="56" t="n">
        <x:v>0</x:v>
      </x:c>
      <x:c r="M288" s="47" t="str">
        <x:f>IF(AND(J288=1,K288=1,L288=1),"COMPLETE","OPEN")</x:f>
        <x:v>OPEN</x:v>
      </x:c>
      <x:c r="N288" s="84"/>
    </x:row>
    <x:row r="289">
      <x:c r="A289" s="47" t="str">
        <x:v>SC283</x:v>
      </x:c>
      <x:c r="B289" s="47" t="str">
        <x:v>P16</x:v>
      </x:c>
      <x:c r="C289" s="47" t="str">
        <x:v>LF-B</x:v>
      </x:c>
      <x:c r="D289" s="47" t="str">
        <x:v>LF-B-A</x:v>
      </x:c>
      <x:c r="E289" s="47" t="str">
        <x:v>METHOD</x:v>
      </x:c>
      <x:c r="F289" s="47" t="str">
        <x:v>F13</x:v>
      </x:c>
      <x:c r="G289" s="47" t="str">
        <x:v>Civic</x:v>
      </x:c>
      <x:c r="H289" s="47" t="str">
        <x:v>Safe-state and abort logic</x:v>
      </x:c>
      <x:c r="I289" s="47" t="str">
        <x:v>PUBLIC</x:v>
      </x:c>
      <x:c r="J289" s="47" t="n">
        <x:v>1</x:v>
      </x:c>
      <x:c r="K289" s="56" t="n">
        <x:v>0</x:v>
      </x:c>
      <x:c r="L289" s="56" t="n">
        <x:v>0</x:v>
      </x:c>
      <x:c r="M289" s="47" t="str">
        <x:f>IF(AND(J289=1,K289=1,L289=1),"COMPLETE","OPEN")</x:f>
        <x:v>OPEN</x:v>
      </x:c>
      <x:c r="N289" s="84"/>
    </x:row>
    <x:row r="290">
      <x:c r="A290" s="47" t="str">
        <x:v>SC284</x:v>
      </x:c>
      <x:c r="B290" s="47" t="str">
        <x:v>P16</x:v>
      </x:c>
      <x:c r="C290" s="47" t="str">
        <x:v>LF-B</x:v>
      </x:c>
      <x:c r="D290" s="47" t="str">
        <x:v>LF-B-A</x:v>
      </x:c>
      <x:c r="E290" s="47" t="str">
        <x:v>METHOD</x:v>
      </x:c>
      <x:c r="F290" s="47" t="str">
        <x:v>F14</x:v>
      </x:c>
      <x:c r="G290" s="47" t="str">
        <x:v>Civic</x:v>
      </x:c>
      <x:c r="H290" s="47" t="str">
        <x:v>Receiver and residual dispositions</x:v>
      </x:c>
      <x:c r="I290" s="47" t="str">
        <x:v>PUBLIC</x:v>
      </x:c>
      <x:c r="J290" s="47" t="n">
        <x:v>1</x:v>
      </x:c>
      <x:c r="K290" s="56" t="n">
        <x:v>0</x:v>
      </x:c>
      <x:c r="L290" s="56" t="n">
        <x:v>0</x:v>
      </x:c>
      <x:c r="M290" s="47" t="str">
        <x:f>IF(AND(J290=1,K290=1,L290=1),"COMPLETE","OPEN")</x:f>
        <x:v>OPEN</x:v>
      </x:c>
      <x:c r="N290" s="84"/>
    </x:row>
    <x:row r="291">
      <x:c r="A291" s="47" t="str">
        <x:v>SC285</x:v>
      </x:c>
      <x:c r="B291" s="47" t="str">
        <x:v>P16</x:v>
      </x:c>
      <x:c r="C291" s="47" t="str">
        <x:v>LF-B</x:v>
      </x:c>
      <x:c r="D291" s="47" t="str">
        <x:v>LF-B-A</x:v>
      </x:c>
      <x:c r="E291" s="47" t="str">
        <x:v>METHOD</x:v>
      </x:c>
      <x:c r="F291" s="47" t="str">
        <x:v>F15</x:v>
      </x:c>
      <x:c r="G291" s="47" t="str">
        <x:v>Civic</x:v>
      </x:c>
      <x:c r="H291" s="47" t="str">
        <x:v>Rights, access and affected-population obligations</x:v>
      </x:c>
      <x:c r="I291" s="47" t="str">
        <x:v>PUBLIC</x:v>
      </x:c>
      <x:c r="J291" s="47" t="n">
        <x:v>1</x:v>
      </x:c>
      <x:c r="K291" s="56" t="n">
        <x:v>0</x:v>
      </x:c>
      <x:c r="L291" s="56" t="n">
        <x:v>0</x:v>
      </x:c>
      <x:c r="M291" s="47" t="str">
        <x:f>IF(AND(J291=1,K291=1,L291=1),"COMPLETE","OPEN")</x:f>
        <x:v>OPEN</x:v>
      </x:c>
      <x:c r="N291" s="84"/>
    </x:row>
    <x:row r="292">
      <x:c r="A292" s="47" t="str">
        <x:v>SC286</x:v>
      </x:c>
      <x:c r="B292" s="47" t="str">
        <x:v>P16</x:v>
      </x:c>
      <x:c r="C292" s="47" t="str">
        <x:v>LF-B</x:v>
      </x:c>
      <x:c r="D292" s="47" t="str">
        <x:v>LF-B-A</x:v>
      </x:c>
      <x:c r="E292" s="47" t="str">
        <x:v>METHOD</x:v>
      </x:c>
      <x:c r="F292" s="47" t="str">
        <x:v>F16</x:v>
      </x:c>
      <x:c r="G292" s="47" t="str">
        <x:v>Epistemic</x:v>
      </x:c>
      <x:c r="H292" s="47" t="str">
        <x:v>Assumptions, unknowns and uncertainty bounds</x:v>
      </x:c>
      <x:c r="I292" s="47" t="str">
        <x:v>PUBLIC</x:v>
      </x:c>
      <x:c r="J292" s="47" t="n">
        <x:v>1</x:v>
      </x:c>
      <x:c r="K292" s="56" t="n">
        <x:v>0</x:v>
      </x:c>
      <x:c r="L292" s="56" t="n">
        <x:v>0</x:v>
      </x:c>
      <x:c r="M292" s="47" t="str">
        <x:f>IF(AND(J292=1,K292=1,L292=1),"COMPLETE","OPEN")</x:f>
        <x:v>OPEN</x:v>
      </x:c>
      <x:c r="N292" s="84"/>
    </x:row>
    <x:row r="293">
      <x:c r="A293" s="47" t="str">
        <x:v>SC287</x:v>
      </x:c>
      <x:c r="B293" s="47" t="str">
        <x:v>P16</x:v>
      </x:c>
      <x:c r="C293" s="47" t="str">
        <x:v>LF-B</x:v>
      </x:c>
      <x:c r="D293" s="47" t="str">
        <x:v>LF-B-A</x:v>
      </x:c>
      <x:c r="E293" s="47" t="str">
        <x:v>METHOD</x:v>
      </x:c>
      <x:c r="F293" s="47" t="str">
        <x:v>F17</x:v>
      </x:c>
      <x:c r="G293" s="47" t="str">
        <x:v>Epistemic</x:v>
      </x:c>
      <x:c r="H293" s="47" t="str">
        <x:v>Causal event, denominator and claim trace</x:v>
      </x:c>
      <x:c r="I293" s="47" t="str">
        <x:v>PUBLIC</x:v>
      </x:c>
      <x:c r="J293" s="47" t="n">
        <x:v>1</x:v>
      </x:c>
      <x:c r="K293" s="56" t="n">
        <x:v>0</x:v>
      </x:c>
      <x:c r="L293" s="56" t="n">
        <x:v>0</x:v>
      </x:c>
      <x:c r="M293" s="47" t="str">
        <x:f>IF(AND(J293=1,K293=1,L293=1),"COMPLETE","OPEN")</x:f>
        <x:v>OPEN</x:v>
      </x:c>
      <x:c r="N293" s="84"/>
    </x:row>
    <x:row r="294">
      <x:c r="A294" s="47" t="str">
        <x:v>SC288</x:v>
      </x:c>
      <x:c r="B294" s="47" t="str">
        <x:v>P16</x:v>
      </x:c>
      <x:c r="C294" s="47" t="str">
        <x:v>LF-B</x:v>
      </x:c>
      <x:c r="D294" s="47" t="str">
        <x:v>LF-B-A</x:v>
      </x:c>
      <x:c r="E294" s="47" t="str">
        <x:v>METHOD</x:v>
      </x:c>
      <x:c r="F294" s="47" t="str">
        <x:v>F18</x:v>
      </x:c>
      <x:c r="G294" s="47" t="str">
        <x:v>Epistemic</x:v>
      </x:c>
      <x:c r="H294" s="47" t="str">
        <x:v>Acceptance, expiry, disclosure and supersession rule</x:v>
      </x:c>
      <x:c r="I294" s="47" t="str">
        <x:v>PUBLIC</x:v>
      </x:c>
      <x:c r="J294" s="47" t="n">
        <x:v>1</x:v>
      </x:c>
      <x:c r="K294" s="56" t="n">
        <x:v>0</x:v>
      </x:c>
      <x:c r="L294" s="56" t="n">
        <x:v>0</x:v>
      </x:c>
      <x:c r="M294" s="47" t="str">
        <x:f>IF(AND(J294=1,K294=1,L294=1),"COMPLETE","OPEN")</x:f>
        <x:v>OPEN</x:v>
      </x:c>
      <x:c r="N294" s="84"/>
    </x:row>
    <x:row r="295">
      <x:c r="A295" s="47" t="str">
        <x:v>SC289</x:v>
      </x:c>
      <x:c r="B295" s="47" t="str">
        <x:v>P17</x:v>
      </x:c>
      <x:c r="C295" s="47" t="str">
        <x:v>LF-B</x:v>
      </x:c>
      <x:c r="D295" s="47" t="str">
        <x:v>LF-B-A</x:v>
      </x:c>
      <x:c r="E295" s="47" t="str">
        <x:v>VALID</x:v>
      </x:c>
      <x:c r="F295" s="47" t="str">
        <x:v>F01</x:v>
      </x:c>
      <x:c r="G295" s="47" t="str">
        <x:v>Identity</x:v>
      </x:c>
      <x:c r="H295" s="47" t="str">
        <x:v>Package identity and warrant scope</x:v>
      </x:c>
      <x:c r="I295" s="47" t="str">
        <x:v>PUBLIC</x:v>
      </x:c>
      <x:c r="J295" s="47" t="n">
        <x:v>1</x:v>
      </x:c>
      <x:c r="K295" s="56" t="n">
        <x:v>0</x:v>
      </x:c>
      <x:c r="L295" s="56" t="n">
        <x:v>0</x:v>
      </x:c>
      <x:c r="M295" s="47" t="str">
        <x:f>IF(AND(J295=1,K295=1,L295=1),"COMPLETE","OPEN")</x:f>
        <x:v>OPEN</x:v>
      </x:c>
      <x:c r="N295" s="84"/>
    </x:row>
    <x:row r="296">
      <x:c r="A296" s="47" t="str">
        <x:v>SC290</x:v>
      </x:c>
      <x:c r="B296" s="47" t="str">
        <x:v>P17</x:v>
      </x:c>
      <x:c r="C296" s="47" t="str">
        <x:v>LF-B</x:v>
      </x:c>
      <x:c r="D296" s="47" t="str">
        <x:v>LF-B-A</x:v>
      </x:c>
      <x:c r="E296" s="47" t="str">
        <x:v>VALID</x:v>
      </x:c>
      <x:c r="F296" s="47" t="str">
        <x:v>F02</x:v>
      </x:c>
      <x:c r="G296" s="47" t="str">
        <x:v>Identity</x:v>
      </x:c>
      <x:c r="H296" s="47" t="str">
        <x:v>Authorship, beneficial control and authority</x:v>
      </x:c>
      <x:c r="I296" s="47" t="str">
        <x:v>PUBLIC</x:v>
      </x:c>
      <x:c r="J296" s="47" t="n">
        <x:v>1</x:v>
      </x:c>
      <x:c r="K296" s="56" t="n">
        <x:v>0</x:v>
      </x:c>
      <x:c r="L296" s="56" t="n">
        <x:v>0</x:v>
      </x:c>
      <x:c r="M296" s="47" t="str">
        <x:f>IF(AND(J296=1,K296=1,L296=1),"COMPLETE","OPEN")</x:f>
        <x:v>OPEN</x:v>
      </x:c>
      <x:c r="N296" s="84"/>
    </x:row>
    <x:row r="297">
      <x:c r="A297" s="47" t="str">
        <x:v>SC291</x:v>
      </x:c>
      <x:c r="B297" s="47" t="str">
        <x:v>P17</x:v>
      </x:c>
      <x:c r="C297" s="47" t="str">
        <x:v>LF-B</x:v>
      </x:c>
      <x:c r="D297" s="47" t="str">
        <x:v>LF-B-A</x:v>
      </x:c>
      <x:c r="E297" s="47" t="str">
        <x:v>VALID</x:v>
      </x:c>
      <x:c r="F297" s="47" t="str">
        <x:v>F03</x:v>
      </x:c>
      <x:c r="G297" s="47" t="str">
        <x:v>Identity</x:v>
      </x:c>
      <x:c r="H297" s="47" t="str">
        <x:v>Configuration and content hash</x:v>
      </x:c>
      <x:c r="I297" s="47" t="str">
        <x:v>PUBLIC</x:v>
      </x:c>
      <x:c r="J297" s="47" t="n">
        <x:v>1</x:v>
      </x:c>
      <x:c r="K297" s="56" t="n">
        <x:v>0</x:v>
      </x:c>
      <x:c r="L297" s="56" t="n">
        <x:v>0</x:v>
      </x:c>
      <x:c r="M297" s="47" t="str">
        <x:f>IF(AND(J297=1,K297=1,L297=1),"COMPLETE","OPEN")</x:f>
        <x:v>OPEN</x:v>
      </x:c>
      <x:c r="N297" s="84"/>
    </x:row>
    <x:row r="298">
      <x:c r="A298" s="47" t="str">
        <x:v>SC292</x:v>
      </x:c>
      <x:c r="B298" s="47" t="str">
        <x:v>P17</x:v>
      </x:c>
      <x:c r="C298" s="47" t="str">
        <x:v>LF-B</x:v>
      </x:c>
      <x:c r="D298" s="47" t="str">
        <x:v>LF-B-A</x:v>
      </x:c>
      <x:c r="E298" s="47" t="str">
        <x:v>VALID</x:v>
      </x:c>
      <x:c r="F298" s="47" t="str">
        <x:v>F04</x:v>
      </x:c>
      <x:c r="G298" s="47" t="str">
        <x:v>Executable</x:v>
      </x:c>
      <x:c r="H298" s="47" t="str">
        <x:v>Native executable artifact</x:v>
      </x:c>
      <x:c r="I298" s="47" t="str">
        <x:v>ESCROW</x:v>
      </x:c>
      <x:c r="J298" s="47" t="n">
        <x:v>1</x:v>
      </x:c>
      <x:c r="K298" s="56" t="n">
        <x:v>0</x:v>
      </x:c>
      <x:c r="L298" s="56" t="n">
        <x:v>0</x:v>
      </x:c>
      <x:c r="M298" s="47" t="str">
        <x:f>IF(AND(J298=1,K298=1,L298=1),"COMPLETE","OPEN")</x:f>
        <x:v>OPEN</x:v>
      </x:c>
      <x:c r="N298" s="84"/>
    </x:row>
    <x:row r="299">
      <x:c r="A299" s="47" t="str">
        <x:v>SC293</x:v>
      </x:c>
      <x:c r="B299" s="47" t="str">
        <x:v>P17</x:v>
      </x:c>
      <x:c r="C299" s="47" t="str">
        <x:v>LF-B</x:v>
      </x:c>
      <x:c r="D299" s="47" t="str">
        <x:v>LF-B-A</x:v>
      </x:c>
      <x:c r="E299" s="47" t="str">
        <x:v>VALID</x:v>
      </x:c>
      <x:c r="F299" s="47" t="str">
        <x:v>F05</x:v>
      </x:c>
      <x:c r="G299" s="47" t="str">
        <x:v>Executable</x:v>
      </x:c>
      <x:c r="H299" s="47" t="str">
        <x:v>Native environment and toolchain image</x:v>
      </x:c>
      <x:c r="I299" s="47" t="str">
        <x:v>ESCROW</x:v>
      </x:c>
      <x:c r="J299" s="47" t="n">
        <x:v>1</x:v>
      </x:c>
      <x:c r="K299" s="56" t="n">
        <x:v>0</x:v>
      </x:c>
      <x:c r="L299" s="56" t="n">
        <x:v>0</x:v>
      </x:c>
      <x:c r="M299" s="47" t="str">
        <x:f>IF(AND(J299=1,K299=1,L299=1),"COMPLETE","OPEN")</x:f>
        <x:v>OPEN</x:v>
      </x:c>
      <x:c r="N299" s="84"/>
    </x:row>
    <x:row r="300">
      <x:c r="A300" s="47" t="str">
        <x:v>SC294</x:v>
      </x:c>
      <x:c r="B300" s="47" t="str">
        <x:v>P17</x:v>
      </x:c>
      <x:c r="C300" s="47" t="str">
        <x:v>LF-B</x:v>
      </x:c>
      <x:c r="D300" s="47" t="str">
        <x:v>LF-B-A</x:v>
      </x:c>
      <x:c r="E300" s="47" t="str">
        <x:v>VALID</x:v>
      </x:c>
      <x:c r="F300" s="47" t="str">
        <x:v>F06</x:v>
      </x:c>
      <x:c r="G300" s="47" t="str">
        <x:v>Executable</x:v>
      </x:c>
      <x:c r="H300" s="47" t="str">
        <x:v>Dependency bill, software bill and license rights</x:v>
      </x:c>
      <x:c r="I300" s="47" t="str">
        <x:v>PUBLIC</x:v>
      </x:c>
      <x:c r="J300" s="47" t="n">
        <x:v>1</x:v>
      </x:c>
      <x:c r="K300" s="56" t="n">
        <x:v>0</x:v>
      </x:c>
      <x:c r="L300" s="56" t="n">
        <x:v>0</x:v>
      </x:c>
      <x:c r="M300" s="47" t="str">
        <x:f>IF(AND(J300=1,K300=1,L300=1),"COMPLETE","OPEN")</x:f>
        <x:v>OPEN</x:v>
      </x:c>
      <x:c r="N300" s="84"/>
    </x:row>
    <x:row r="301">
      <x:c r="A301" s="47" t="str">
        <x:v>SC295</x:v>
      </x:c>
      <x:c r="B301" s="47" t="str">
        <x:v>P17</x:v>
      </x:c>
      <x:c r="C301" s="47" t="str">
        <x:v>LF-B</x:v>
      </x:c>
      <x:c r="D301" s="47" t="str">
        <x:v>LF-B-A</x:v>
      </x:c>
      <x:c r="E301" s="47" t="str">
        <x:v>VALID</x:v>
      </x:c>
      <x:c r="F301" s="47" t="str">
        <x:v>F07</x:v>
      </x:c>
      <x:c r="G301" s="47" t="str">
        <x:v>Executable</x:v>
      </x:c>
      <x:c r="H301" s="47" t="str">
        <x:v>Data provenance and calibration lineage</x:v>
      </x:c>
      <x:c r="I301" s="47" t="str">
        <x:v>ESCROW</x:v>
      </x:c>
      <x:c r="J301" s="47" t="n">
        <x:v>1</x:v>
      </x:c>
      <x:c r="K301" s="56" t="n">
        <x:v>0</x:v>
      </x:c>
      <x:c r="L301" s="56" t="n">
        <x:v>0</x:v>
      </x:c>
      <x:c r="M301" s="47" t="str">
        <x:f>IF(AND(J301=1,K301=1,L301=1),"COMPLETE","OPEN")</x:f>
        <x:v>OPEN</x:v>
      </x:c>
      <x:c r="N301" s="84"/>
    </x:row>
    <x:row r="302">
      <x:c r="A302" s="47" t="str">
        <x:v>SC296</x:v>
      </x:c>
      <x:c r="B302" s="47" t="str">
        <x:v>P17</x:v>
      </x:c>
      <x:c r="C302" s="47" t="str">
        <x:v>LF-B</x:v>
      </x:c>
      <x:c r="D302" s="47" t="str">
        <x:v>LF-B-A</x:v>
      </x:c>
      <x:c r="E302" s="47" t="str">
        <x:v>VALID</x:v>
      </x:c>
      <x:c r="F302" s="47" t="str">
        <x:v>F08</x:v>
      </x:c>
      <x:c r="G302" s="47" t="str">
        <x:v>Executable</x:v>
      </x:c>
      <x:c r="H302" s="47" t="str">
        <x:v>Random seed, solver and numerical controls</x:v>
      </x:c>
      <x:c r="I302" s="47" t="str">
        <x:v>ESCROW</x:v>
      </x:c>
      <x:c r="J302" s="47" t="n">
        <x:v>1</x:v>
      </x:c>
      <x:c r="K302" s="56" t="n">
        <x:v>0</x:v>
      </x:c>
      <x:c r="L302" s="56" t="n">
        <x:v>0</x:v>
      </x:c>
      <x:c r="M302" s="47" t="str">
        <x:f>IF(AND(J302=1,K302=1,L302=1),"COMPLETE","OPEN")</x:f>
        <x:v>OPEN</x:v>
      </x:c>
      <x:c r="N302" s="84"/>
    </x:row>
    <x:row r="303">
      <x:c r="A303" s="47" t="str">
        <x:v>SC297</x:v>
      </x:c>
      <x:c r="B303" s="47" t="str">
        <x:v>P17</x:v>
      </x:c>
      <x:c r="C303" s="47" t="str">
        <x:v>LF-B</x:v>
      </x:c>
      <x:c r="D303" s="47" t="str">
        <x:v>LF-B-A</x:v>
      </x:c>
      <x:c r="E303" s="47" t="str">
        <x:v>VALID</x:v>
      </x:c>
      <x:c r="F303" s="47" t="str">
        <x:v>F09</x:v>
      </x:c>
      <x:c r="G303" s="47" t="str">
        <x:v>Physical</x:v>
      </x:c>
      <x:c r="H303" s="47" t="str">
        <x:v>Units, coordinates and datums</x:v>
      </x:c>
      <x:c r="I303" s="47" t="str">
        <x:v>PUBLIC</x:v>
      </x:c>
      <x:c r="J303" s="47" t="n">
        <x:v>1</x:v>
      </x:c>
      <x:c r="K303" s="56" t="n">
        <x:v>0</x:v>
      </x:c>
      <x:c r="L303" s="56" t="n">
        <x:v>0</x:v>
      </x:c>
      <x:c r="M303" s="47" t="str">
        <x:f>IF(AND(J303=1,K303=1,L303=1),"COMPLETE","OPEN")</x:f>
        <x:v>OPEN</x:v>
      </x:c>
      <x:c r="N303" s="84"/>
    </x:row>
    <x:row r="304">
      <x:c r="A304" s="47" t="str">
        <x:v>SC298</x:v>
      </x:c>
      <x:c r="B304" s="47" t="str">
        <x:v>P17</x:v>
      </x:c>
      <x:c r="C304" s="47" t="str">
        <x:v>LF-B</x:v>
      </x:c>
      <x:c r="D304" s="47" t="str">
        <x:v>LF-B-A</x:v>
      </x:c>
      <x:c r="E304" s="47" t="str">
        <x:v>VALID</x:v>
      </x:c>
      <x:c r="F304" s="47" t="str">
        <x:v>F10</x:v>
      </x:c>
      <x:c r="G304" s="47" t="str">
        <x:v>Physical</x:v>
      </x:c>
      <x:c r="H304" s="47" t="str">
        <x:v>Material, property and constitutive sources</x:v>
      </x:c>
      <x:c r="I304" s="47" t="str">
        <x:v>PUBLIC</x:v>
      </x:c>
      <x:c r="J304" s="47" t="n">
        <x:v>1</x:v>
      </x:c>
      <x:c r="K304" s="56" t="n">
        <x:v>0</x:v>
      </x:c>
      <x:c r="L304" s="56" t="n">
        <x:v>0</x:v>
      </x:c>
      <x:c r="M304" s="47" t="str">
        <x:f>IF(AND(J304=1,K304=1,L304=1),"COMPLETE","OPEN")</x:f>
        <x:v>OPEN</x:v>
      </x:c>
      <x:c r="N304" s="84"/>
    </x:row>
    <x:row r="305">
      <x:c r="A305" s="47" t="str">
        <x:v>SC299</x:v>
      </x:c>
      <x:c r="B305" s="47" t="str">
        <x:v>P17</x:v>
      </x:c>
      <x:c r="C305" s="47" t="str">
        <x:v>LF-B</x:v>
      </x:c>
      <x:c r="D305" s="47" t="str">
        <x:v>LF-B-A</x:v>
      </x:c>
      <x:c r="E305" s="47" t="str">
        <x:v>VALID</x:v>
      </x:c>
      <x:c r="F305" s="47" t="str">
        <x:v>F11</x:v>
      </x:c>
      <x:c r="G305" s="47" t="str">
        <x:v>Physical</x:v>
      </x:c>
      <x:c r="H305" s="47" t="str">
        <x:v>Interfaces, tolerances and boundary conditions</x:v>
      </x:c>
      <x:c r="I305" s="47" t="str">
        <x:v>PUBLIC</x:v>
      </x:c>
      <x:c r="J305" s="47" t="n">
        <x:v>1</x:v>
      </x:c>
      <x:c r="K305" s="56" t="n">
        <x:v>0</x:v>
      </x:c>
      <x:c r="L305" s="56" t="n">
        <x:v>0</x:v>
      </x:c>
      <x:c r="M305" s="47" t="str">
        <x:f>IF(AND(J305=1,K305=1,L305=1),"COMPLETE","OPEN")</x:f>
        <x:v>OPEN</x:v>
      </x:c>
      <x:c r="N305" s="84"/>
    </x:row>
    <x:row r="306">
      <x:c r="A306" s="47" t="str">
        <x:v>SC300</x:v>
      </x:c>
      <x:c r="B306" s="47" t="str">
        <x:v>P17</x:v>
      </x:c>
      <x:c r="C306" s="47" t="str">
        <x:v>LF-B</x:v>
      </x:c>
      <x:c r="D306" s="47" t="str">
        <x:v>LF-B-A</x:v>
      </x:c>
      <x:c r="E306" s="47" t="str">
        <x:v>VALID</x:v>
      </x:c>
      <x:c r="F306" s="47" t="str">
        <x:v>F12</x:v>
      </x:c>
      <x:c r="G306" s="47" t="str">
        <x:v>Physical</x:v>
      </x:c>
      <x:c r="H306" s="47" t="str">
        <x:v>Manufacturing, process and assembly assumptions</x:v>
      </x:c>
      <x:c r="I306" s="47" t="str">
        <x:v>PUBLIC</x:v>
      </x:c>
      <x:c r="J306" s="47" t="n">
        <x:v>1</x:v>
      </x:c>
      <x:c r="K306" s="56" t="n">
        <x:v>0</x:v>
      </x:c>
      <x:c r="L306" s="56" t="n">
        <x:v>0</x:v>
      </x:c>
      <x:c r="M306" s="47" t="str">
        <x:f>IF(AND(J306=1,K306=1,L306=1),"COMPLETE","OPEN")</x:f>
        <x:v>OPEN</x:v>
      </x:c>
      <x:c r="N306" s="84"/>
    </x:row>
    <x:row r="307">
      <x:c r="A307" s="47" t="str">
        <x:v>SC301</x:v>
      </x:c>
      <x:c r="B307" s="47" t="str">
        <x:v>P17</x:v>
      </x:c>
      <x:c r="C307" s="47" t="str">
        <x:v>LF-B</x:v>
      </x:c>
      <x:c r="D307" s="47" t="str">
        <x:v>LF-B-A</x:v>
      </x:c>
      <x:c r="E307" s="47" t="str">
        <x:v>VALID</x:v>
      </x:c>
      <x:c r="F307" s="47" t="str">
        <x:v>F13</x:v>
      </x:c>
      <x:c r="G307" s="47" t="str">
        <x:v>Civic</x:v>
      </x:c>
      <x:c r="H307" s="47" t="str">
        <x:v>Safe-state and abort logic</x:v>
      </x:c>
      <x:c r="I307" s="47" t="str">
        <x:v>PUBLIC</x:v>
      </x:c>
      <x:c r="J307" s="47" t="n">
        <x:v>1</x:v>
      </x:c>
      <x:c r="K307" s="56" t="n">
        <x:v>0</x:v>
      </x:c>
      <x:c r="L307" s="56" t="n">
        <x:v>0</x:v>
      </x:c>
      <x:c r="M307" s="47" t="str">
        <x:f>IF(AND(J307=1,K307=1,L307=1),"COMPLETE","OPEN")</x:f>
        <x:v>OPEN</x:v>
      </x:c>
      <x:c r="N307" s="84"/>
    </x:row>
    <x:row r="308">
      <x:c r="A308" s="47" t="str">
        <x:v>SC302</x:v>
      </x:c>
      <x:c r="B308" s="47" t="str">
        <x:v>P17</x:v>
      </x:c>
      <x:c r="C308" s="47" t="str">
        <x:v>LF-B</x:v>
      </x:c>
      <x:c r="D308" s="47" t="str">
        <x:v>LF-B-A</x:v>
      </x:c>
      <x:c r="E308" s="47" t="str">
        <x:v>VALID</x:v>
      </x:c>
      <x:c r="F308" s="47" t="str">
        <x:v>F14</x:v>
      </x:c>
      <x:c r="G308" s="47" t="str">
        <x:v>Civic</x:v>
      </x:c>
      <x:c r="H308" s="47" t="str">
        <x:v>Receiver and residual dispositions</x:v>
      </x:c>
      <x:c r="I308" s="47" t="str">
        <x:v>PUBLIC</x:v>
      </x:c>
      <x:c r="J308" s="47" t="n">
        <x:v>1</x:v>
      </x:c>
      <x:c r="K308" s="56" t="n">
        <x:v>0</x:v>
      </x:c>
      <x:c r="L308" s="56" t="n">
        <x:v>0</x:v>
      </x:c>
      <x:c r="M308" s="47" t="str">
        <x:f>IF(AND(J308=1,K308=1,L308=1),"COMPLETE","OPEN")</x:f>
        <x:v>OPEN</x:v>
      </x:c>
      <x:c r="N308" s="84"/>
    </x:row>
    <x:row r="309">
      <x:c r="A309" s="47" t="str">
        <x:v>SC303</x:v>
      </x:c>
      <x:c r="B309" s="47" t="str">
        <x:v>P17</x:v>
      </x:c>
      <x:c r="C309" s="47" t="str">
        <x:v>LF-B</x:v>
      </x:c>
      <x:c r="D309" s="47" t="str">
        <x:v>LF-B-A</x:v>
      </x:c>
      <x:c r="E309" s="47" t="str">
        <x:v>VALID</x:v>
      </x:c>
      <x:c r="F309" s="47" t="str">
        <x:v>F15</x:v>
      </x:c>
      <x:c r="G309" s="47" t="str">
        <x:v>Civic</x:v>
      </x:c>
      <x:c r="H309" s="47" t="str">
        <x:v>Rights, access and affected-population obligations</x:v>
      </x:c>
      <x:c r="I309" s="47" t="str">
        <x:v>PUBLIC</x:v>
      </x:c>
      <x:c r="J309" s="47" t="n">
        <x:v>1</x:v>
      </x:c>
      <x:c r="K309" s="56" t="n">
        <x:v>0</x:v>
      </x:c>
      <x:c r="L309" s="56" t="n">
        <x:v>0</x:v>
      </x:c>
      <x:c r="M309" s="47" t="str">
        <x:f>IF(AND(J309=1,K309=1,L309=1),"COMPLETE","OPEN")</x:f>
        <x:v>OPEN</x:v>
      </x:c>
      <x:c r="N309" s="84"/>
    </x:row>
    <x:row r="310">
      <x:c r="A310" s="47" t="str">
        <x:v>SC304</x:v>
      </x:c>
      <x:c r="B310" s="47" t="str">
        <x:v>P17</x:v>
      </x:c>
      <x:c r="C310" s="47" t="str">
        <x:v>LF-B</x:v>
      </x:c>
      <x:c r="D310" s="47" t="str">
        <x:v>LF-B-A</x:v>
      </x:c>
      <x:c r="E310" s="47" t="str">
        <x:v>VALID</x:v>
      </x:c>
      <x:c r="F310" s="47" t="str">
        <x:v>F16</x:v>
      </x:c>
      <x:c r="G310" s="47" t="str">
        <x:v>Epistemic</x:v>
      </x:c>
      <x:c r="H310" s="47" t="str">
        <x:v>Assumptions, unknowns and uncertainty bounds</x:v>
      </x:c>
      <x:c r="I310" s="47" t="str">
        <x:v>PUBLIC</x:v>
      </x:c>
      <x:c r="J310" s="47" t="n">
        <x:v>1</x:v>
      </x:c>
      <x:c r="K310" s="56" t="n">
        <x:v>0</x:v>
      </x:c>
      <x:c r="L310" s="56" t="n">
        <x:v>0</x:v>
      </x:c>
      <x:c r="M310" s="47" t="str">
        <x:f>IF(AND(J310=1,K310=1,L310=1),"COMPLETE","OPEN")</x:f>
        <x:v>OPEN</x:v>
      </x:c>
      <x:c r="N310" s="84"/>
    </x:row>
    <x:row r="311">
      <x:c r="A311" s="47" t="str">
        <x:v>SC305</x:v>
      </x:c>
      <x:c r="B311" s="47" t="str">
        <x:v>P17</x:v>
      </x:c>
      <x:c r="C311" s="47" t="str">
        <x:v>LF-B</x:v>
      </x:c>
      <x:c r="D311" s="47" t="str">
        <x:v>LF-B-A</x:v>
      </x:c>
      <x:c r="E311" s="47" t="str">
        <x:v>VALID</x:v>
      </x:c>
      <x:c r="F311" s="47" t="str">
        <x:v>F17</x:v>
      </x:c>
      <x:c r="G311" s="47" t="str">
        <x:v>Epistemic</x:v>
      </x:c>
      <x:c r="H311" s="47" t="str">
        <x:v>Causal event, denominator and claim trace</x:v>
      </x:c>
      <x:c r="I311" s="47" t="str">
        <x:v>PUBLIC</x:v>
      </x:c>
      <x:c r="J311" s="47" t="n">
        <x:v>1</x:v>
      </x:c>
      <x:c r="K311" s="56" t="n">
        <x:v>0</x:v>
      </x:c>
      <x:c r="L311" s="56" t="n">
        <x:v>0</x:v>
      </x:c>
      <x:c r="M311" s="47" t="str">
        <x:f>IF(AND(J311=1,K311=1,L311=1),"COMPLETE","OPEN")</x:f>
        <x:v>OPEN</x:v>
      </x:c>
      <x:c r="N311" s="84"/>
    </x:row>
    <x:row r="312">
      <x:c r="A312" s="47" t="str">
        <x:v>SC306</x:v>
      </x:c>
      <x:c r="B312" s="47" t="str">
        <x:v>P17</x:v>
      </x:c>
      <x:c r="C312" s="47" t="str">
        <x:v>LF-B</x:v>
      </x:c>
      <x:c r="D312" s="47" t="str">
        <x:v>LF-B-A</x:v>
      </x:c>
      <x:c r="E312" s="47" t="str">
        <x:v>VALID</x:v>
      </x:c>
      <x:c r="F312" s="47" t="str">
        <x:v>F18</x:v>
      </x:c>
      <x:c r="G312" s="47" t="str">
        <x:v>Epistemic</x:v>
      </x:c>
      <x:c r="H312" s="47" t="str">
        <x:v>Acceptance, expiry, disclosure and supersession rule</x:v>
      </x:c>
      <x:c r="I312" s="47" t="str">
        <x:v>PUBLIC</x:v>
      </x:c>
      <x:c r="J312" s="47" t="n">
        <x:v>1</x:v>
      </x:c>
      <x:c r="K312" s="56" t="n">
        <x:v>0</x:v>
      </x:c>
      <x:c r="L312" s="56" t="n">
        <x:v>0</x:v>
      </x:c>
      <x:c r="M312" s="47" t="str">
        <x:f>IF(AND(J312=1,K312=1,L312=1),"COMPLETE","OPEN")</x:f>
        <x:v>OPEN</x:v>
      </x:c>
      <x:c r="N312" s="84"/>
    </x:row>
    <x:row r="313">
      <x:c r="A313" s="47" t="str">
        <x:v>SC307</x:v>
      </x:c>
      <x:c r="B313" s="47" t="str">
        <x:v>P18</x:v>
      </x:c>
      <x:c r="C313" s="47" t="str">
        <x:v>LF-B</x:v>
      </x:c>
      <x:c r="D313" s="47" t="str">
        <x:v>LF-B-A</x:v>
      </x:c>
      <x:c r="E313" s="47" t="str">
        <x:v>CIVIL</x:v>
      </x:c>
      <x:c r="F313" s="47" t="str">
        <x:v>F01</x:v>
      </x:c>
      <x:c r="G313" s="47" t="str">
        <x:v>Identity</x:v>
      </x:c>
      <x:c r="H313" s="47" t="str">
        <x:v>Package identity and warrant scope</x:v>
      </x:c>
      <x:c r="I313" s="47" t="str">
        <x:v>PUBLIC</x:v>
      </x:c>
      <x:c r="J313" s="47" t="n">
        <x:v>1</x:v>
      </x:c>
      <x:c r="K313" s="56" t="n">
        <x:v>0</x:v>
      </x:c>
      <x:c r="L313" s="56" t="n">
        <x:v>0</x:v>
      </x:c>
      <x:c r="M313" s="47" t="str">
        <x:f>IF(AND(J313=1,K313=1,L313=1),"COMPLETE","OPEN")</x:f>
        <x:v>OPEN</x:v>
      </x:c>
      <x:c r="N313" s="84"/>
    </x:row>
    <x:row r="314">
      <x:c r="A314" s="47" t="str">
        <x:v>SC308</x:v>
      </x:c>
      <x:c r="B314" s="47" t="str">
        <x:v>P18</x:v>
      </x:c>
      <x:c r="C314" s="47" t="str">
        <x:v>LF-B</x:v>
      </x:c>
      <x:c r="D314" s="47" t="str">
        <x:v>LF-B-A</x:v>
      </x:c>
      <x:c r="E314" s="47" t="str">
        <x:v>CIVIL</x:v>
      </x:c>
      <x:c r="F314" s="47" t="str">
        <x:v>F02</x:v>
      </x:c>
      <x:c r="G314" s="47" t="str">
        <x:v>Identity</x:v>
      </x:c>
      <x:c r="H314" s="47" t="str">
        <x:v>Authorship, beneficial control and authority</x:v>
      </x:c>
      <x:c r="I314" s="47" t="str">
        <x:v>PUBLIC</x:v>
      </x:c>
      <x:c r="J314" s="47" t="n">
        <x:v>1</x:v>
      </x:c>
      <x:c r="K314" s="56" t="n">
        <x:v>0</x:v>
      </x:c>
      <x:c r="L314" s="56" t="n">
        <x:v>0</x:v>
      </x:c>
      <x:c r="M314" s="47" t="str">
        <x:f>IF(AND(J314=1,K314=1,L314=1),"COMPLETE","OPEN")</x:f>
        <x:v>OPEN</x:v>
      </x:c>
      <x:c r="N314" s="84"/>
    </x:row>
    <x:row r="315">
      <x:c r="A315" s="47" t="str">
        <x:v>SC309</x:v>
      </x:c>
      <x:c r="B315" s="47" t="str">
        <x:v>P18</x:v>
      </x:c>
      <x:c r="C315" s="47" t="str">
        <x:v>LF-B</x:v>
      </x:c>
      <x:c r="D315" s="47" t="str">
        <x:v>LF-B-A</x:v>
      </x:c>
      <x:c r="E315" s="47" t="str">
        <x:v>CIVIL</x:v>
      </x:c>
      <x:c r="F315" s="47" t="str">
        <x:v>F03</x:v>
      </x:c>
      <x:c r="G315" s="47" t="str">
        <x:v>Identity</x:v>
      </x:c>
      <x:c r="H315" s="47" t="str">
        <x:v>Configuration and content hash</x:v>
      </x:c>
      <x:c r="I315" s="47" t="str">
        <x:v>PUBLIC</x:v>
      </x:c>
      <x:c r="J315" s="47" t="n">
        <x:v>1</x:v>
      </x:c>
      <x:c r="K315" s="56" t="n">
        <x:v>0</x:v>
      </x:c>
      <x:c r="L315" s="56" t="n">
        <x:v>0</x:v>
      </x:c>
      <x:c r="M315" s="47" t="str">
        <x:f>IF(AND(J315=1,K315=1,L315=1),"COMPLETE","OPEN")</x:f>
        <x:v>OPEN</x:v>
      </x:c>
      <x:c r="N315" s="84"/>
    </x:row>
    <x:row r="316">
      <x:c r="A316" s="47" t="str">
        <x:v>SC310</x:v>
      </x:c>
      <x:c r="B316" s="47" t="str">
        <x:v>P18</x:v>
      </x:c>
      <x:c r="C316" s="47" t="str">
        <x:v>LF-B</x:v>
      </x:c>
      <x:c r="D316" s="47" t="str">
        <x:v>LF-B-A</x:v>
      </x:c>
      <x:c r="E316" s="47" t="str">
        <x:v>CIVIL</x:v>
      </x:c>
      <x:c r="F316" s="47" t="str">
        <x:v>F04</x:v>
      </x:c>
      <x:c r="G316" s="47" t="str">
        <x:v>Executable</x:v>
      </x:c>
      <x:c r="H316" s="47" t="str">
        <x:v>Native executable artifact</x:v>
      </x:c>
      <x:c r="I316" s="47" t="str">
        <x:v>ESCROW</x:v>
      </x:c>
      <x:c r="J316" s="47" t="n">
        <x:v>1</x:v>
      </x:c>
      <x:c r="K316" s="56" t="n">
        <x:v>0</x:v>
      </x:c>
      <x:c r="L316" s="56" t="n">
        <x:v>0</x:v>
      </x:c>
      <x:c r="M316" s="47" t="str">
        <x:f>IF(AND(J316=1,K316=1,L316=1),"COMPLETE","OPEN")</x:f>
        <x:v>OPEN</x:v>
      </x:c>
      <x:c r="N316" s="84"/>
    </x:row>
    <x:row r="317">
      <x:c r="A317" s="47" t="str">
        <x:v>SC311</x:v>
      </x:c>
      <x:c r="B317" s="47" t="str">
        <x:v>P18</x:v>
      </x:c>
      <x:c r="C317" s="47" t="str">
        <x:v>LF-B</x:v>
      </x:c>
      <x:c r="D317" s="47" t="str">
        <x:v>LF-B-A</x:v>
      </x:c>
      <x:c r="E317" s="47" t="str">
        <x:v>CIVIL</x:v>
      </x:c>
      <x:c r="F317" s="47" t="str">
        <x:v>F05</x:v>
      </x:c>
      <x:c r="G317" s="47" t="str">
        <x:v>Executable</x:v>
      </x:c>
      <x:c r="H317" s="47" t="str">
        <x:v>Native environment and toolchain image</x:v>
      </x:c>
      <x:c r="I317" s="47" t="str">
        <x:v>ESCROW</x:v>
      </x:c>
      <x:c r="J317" s="47" t="n">
        <x:v>1</x:v>
      </x:c>
      <x:c r="K317" s="56" t="n">
        <x:v>0</x:v>
      </x:c>
      <x:c r="L317" s="56" t="n">
        <x:v>0</x:v>
      </x:c>
      <x:c r="M317" s="47" t="str">
        <x:f>IF(AND(J317=1,K317=1,L317=1),"COMPLETE","OPEN")</x:f>
        <x:v>OPEN</x:v>
      </x:c>
      <x:c r="N317" s="84"/>
    </x:row>
    <x:row r="318">
      <x:c r="A318" s="47" t="str">
        <x:v>SC312</x:v>
      </x:c>
      <x:c r="B318" s="47" t="str">
        <x:v>P18</x:v>
      </x:c>
      <x:c r="C318" s="47" t="str">
        <x:v>LF-B</x:v>
      </x:c>
      <x:c r="D318" s="47" t="str">
        <x:v>LF-B-A</x:v>
      </x:c>
      <x:c r="E318" s="47" t="str">
        <x:v>CIVIL</x:v>
      </x:c>
      <x:c r="F318" s="47" t="str">
        <x:v>F06</x:v>
      </x:c>
      <x:c r="G318" s="47" t="str">
        <x:v>Executable</x:v>
      </x:c>
      <x:c r="H318" s="47" t="str">
        <x:v>Dependency bill, software bill and license rights</x:v>
      </x:c>
      <x:c r="I318" s="47" t="str">
        <x:v>PUBLIC</x:v>
      </x:c>
      <x:c r="J318" s="47" t="n">
        <x:v>1</x:v>
      </x:c>
      <x:c r="K318" s="56" t="n">
        <x:v>0</x:v>
      </x:c>
      <x:c r="L318" s="56" t="n">
        <x:v>0</x:v>
      </x:c>
      <x:c r="M318" s="47" t="str">
        <x:f>IF(AND(J318=1,K318=1,L318=1),"COMPLETE","OPEN")</x:f>
        <x:v>OPEN</x:v>
      </x:c>
      <x:c r="N318" s="84"/>
    </x:row>
    <x:row r="319">
      <x:c r="A319" s="47" t="str">
        <x:v>SC313</x:v>
      </x:c>
      <x:c r="B319" s="47" t="str">
        <x:v>P18</x:v>
      </x:c>
      <x:c r="C319" s="47" t="str">
        <x:v>LF-B</x:v>
      </x:c>
      <x:c r="D319" s="47" t="str">
        <x:v>LF-B-A</x:v>
      </x:c>
      <x:c r="E319" s="47" t="str">
        <x:v>CIVIL</x:v>
      </x:c>
      <x:c r="F319" s="47" t="str">
        <x:v>F07</x:v>
      </x:c>
      <x:c r="G319" s="47" t="str">
        <x:v>Executable</x:v>
      </x:c>
      <x:c r="H319" s="47" t="str">
        <x:v>Data provenance and calibration lineage</x:v>
      </x:c>
      <x:c r="I319" s="47" t="str">
        <x:v>ESCROW</x:v>
      </x:c>
      <x:c r="J319" s="47" t="n">
        <x:v>1</x:v>
      </x:c>
      <x:c r="K319" s="56" t="n">
        <x:v>0</x:v>
      </x:c>
      <x:c r="L319" s="56" t="n">
        <x:v>0</x:v>
      </x:c>
      <x:c r="M319" s="47" t="str">
        <x:f>IF(AND(J319=1,K319=1,L319=1),"COMPLETE","OPEN")</x:f>
        <x:v>OPEN</x:v>
      </x:c>
      <x:c r="N319" s="84"/>
    </x:row>
    <x:row r="320">
      <x:c r="A320" s="47" t="str">
        <x:v>SC314</x:v>
      </x:c>
      <x:c r="B320" s="47" t="str">
        <x:v>P18</x:v>
      </x:c>
      <x:c r="C320" s="47" t="str">
        <x:v>LF-B</x:v>
      </x:c>
      <x:c r="D320" s="47" t="str">
        <x:v>LF-B-A</x:v>
      </x:c>
      <x:c r="E320" s="47" t="str">
        <x:v>CIVIL</x:v>
      </x:c>
      <x:c r="F320" s="47" t="str">
        <x:v>F08</x:v>
      </x:c>
      <x:c r="G320" s="47" t="str">
        <x:v>Executable</x:v>
      </x:c>
      <x:c r="H320" s="47" t="str">
        <x:v>Random seed, solver and numerical controls</x:v>
      </x:c>
      <x:c r="I320" s="47" t="str">
        <x:v>ESCROW</x:v>
      </x:c>
      <x:c r="J320" s="47" t="n">
        <x:v>1</x:v>
      </x:c>
      <x:c r="K320" s="56" t="n">
        <x:v>0</x:v>
      </x:c>
      <x:c r="L320" s="56" t="n">
        <x:v>0</x:v>
      </x:c>
      <x:c r="M320" s="47" t="str">
        <x:f>IF(AND(J320=1,K320=1,L320=1),"COMPLETE","OPEN")</x:f>
        <x:v>OPEN</x:v>
      </x:c>
      <x:c r="N320" s="84"/>
    </x:row>
    <x:row r="321">
      <x:c r="A321" s="47" t="str">
        <x:v>SC315</x:v>
      </x:c>
      <x:c r="B321" s="47" t="str">
        <x:v>P18</x:v>
      </x:c>
      <x:c r="C321" s="47" t="str">
        <x:v>LF-B</x:v>
      </x:c>
      <x:c r="D321" s="47" t="str">
        <x:v>LF-B-A</x:v>
      </x:c>
      <x:c r="E321" s="47" t="str">
        <x:v>CIVIL</x:v>
      </x:c>
      <x:c r="F321" s="47" t="str">
        <x:v>F09</x:v>
      </x:c>
      <x:c r="G321" s="47" t="str">
        <x:v>Physical</x:v>
      </x:c>
      <x:c r="H321" s="47" t="str">
        <x:v>Units, coordinates and datums</x:v>
      </x:c>
      <x:c r="I321" s="47" t="str">
        <x:v>PUBLIC</x:v>
      </x:c>
      <x:c r="J321" s="47" t="n">
        <x:v>1</x:v>
      </x:c>
      <x:c r="K321" s="56" t="n">
        <x:v>0</x:v>
      </x:c>
      <x:c r="L321" s="56" t="n">
        <x:v>0</x:v>
      </x:c>
      <x:c r="M321" s="47" t="str">
        <x:f>IF(AND(J321=1,K321=1,L321=1),"COMPLETE","OPEN")</x:f>
        <x:v>OPEN</x:v>
      </x:c>
      <x:c r="N321" s="84"/>
    </x:row>
    <x:row r="322">
      <x:c r="A322" s="47" t="str">
        <x:v>SC316</x:v>
      </x:c>
      <x:c r="B322" s="47" t="str">
        <x:v>P18</x:v>
      </x:c>
      <x:c r="C322" s="47" t="str">
        <x:v>LF-B</x:v>
      </x:c>
      <x:c r="D322" s="47" t="str">
        <x:v>LF-B-A</x:v>
      </x:c>
      <x:c r="E322" s="47" t="str">
        <x:v>CIVIL</x:v>
      </x:c>
      <x:c r="F322" s="47" t="str">
        <x:v>F10</x:v>
      </x:c>
      <x:c r="G322" s="47" t="str">
        <x:v>Physical</x:v>
      </x:c>
      <x:c r="H322" s="47" t="str">
        <x:v>Material, property and constitutive sources</x:v>
      </x:c>
      <x:c r="I322" s="47" t="str">
        <x:v>PUBLIC</x:v>
      </x:c>
      <x:c r="J322" s="47" t="n">
        <x:v>1</x:v>
      </x:c>
      <x:c r="K322" s="56" t="n">
        <x:v>0</x:v>
      </x:c>
      <x:c r="L322" s="56" t="n">
        <x:v>0</x:v>
      </x:c>
      <x:c r="M322" s="47" t="str">
        <x:f>IF(AND(J322=1,K322=1,L322=1),"COMPLETE","OPEN")</x:f>
        <x:v>OPEN</x:v>
      </x:c>
      <x:c r="N322" s="84"/>
    </x:row>
    <x:row r="323">
      <x:c r="A323" s="47" t="str">
        <x:v>SC317</x:v>
      </x:c>
      <x:c r="B323" s="47" t="str">
        <x:v>P18</x:v>
      </x:c>
      <x:c r="C323" s="47" t="str">
        <x:v>LF-B</x:v>
      </x:c>
      <x:c r="D323" s="47" t="str">
        <x:v>LF-B-A</x:v>
      </x:c>
      <x:c r="E323" s="47" t="str">
        <x:v>CIVIL</x:v>
      </x:c>
      <x:c r="F323" s="47" t="str">
        <x:v>F11</x:v>
      </x:c>
      <x:c r="G323" s="47" t="str">
        <x:v>Physical</x:v>
      </x:c>
      <x:c r="H323" s="47" t="str">
        <x:v>Interfaces, tolerances and boundary conditions</x:v>
      </x:c>
      <x:c r="I323" s="47" t="str">
        <x:v>PUBLIC</x:v>
      </x:c>
      <x:c r="J323" s="47" t="n">
        <x:v>1</x:v>
      </x:c>
      <x:c r="K323" s="56" t="n">
        <x:v>0</x:v>
      </x:c>
      <x:c r="L323" s="56" t="n">
        <x:v>0</x:v>
      </x:c>
      <x:c r="M323" s="47" t="str">
        <x:f>IF(AND(J323=1,K323=1,L323=1),"COMPLETE","OPEN")</x:f>
        <x:v>OPEN</x:v>
      </x:c>
      <x:c r="N323" s="84"/>
    </x:row>
    <x:row r="324">
      <x:c r="A324" s="47" t="str">
        <x:v>SC318</x:v>
      </x:c>
      <x:c r="B324" s="47" t="str">
        <x:v>P18</x:v>
      </x:c>
      <x:c r="C324" s="47" t="str">
        <x:v>LF-B</x:v>
      </x:c>
      <x:c r="D324" s="47" t="str">
        <x:v>LF-B-A</x:v>
      </x:c>
      <x:c r="E324" s="47" t="str">
        <x:v>CIVIL</x:v>
      </x:c>
      <x:c r="F324" s="47" t="str">
        <x:v>F12</x:v>
      </x:c>
      <x:c r="G324" s="47" t="str">
        <x:v>Physical</x:v>
      </x:c>
      <x:c r="H324" s="47" t="str">
        <x:v>Manufacturing, process and assembly assumptions</x:v>
      </x:c>
      <x:c r="I324" s="47" t="str">
        <x:v>PUBLIC</x:v>
      </x:c>
      <x:c r="J324" s="47" t="n">
        <x:v>1</x:v>
      </x:c>
      <x:c r="K324" s="56" t="n">
        <x:v>0</x:v>
      </x:c>
      <x:c r="L324" s="56" t="n">
        <x:v>0</x:v>
      </x:c>
      <x:c r="M324" s="47" t="str">
        <x:f>IF(AND(J324=1,K324=1,L324=1),"COMPLETE","OPEN")</x:f>
        <x:v>OPEN</x:v>
      </x:c>
      <x:c r="N324" s="84"/>
    </x:row>
    <x:row r="325">
      <x:c r="A325" s="47" t="str">
        <x:v>SC319</x:v>
      </x:c>
      <x:c r="B325" s="47" t="str">
        <x:v>P18</x:v>
      </x:c>
      <x:c r="C325" s="47" t="str">
        <x:v>LF-B</x:v>
      </x:c>
      <x:c r="D325" s="47" t="str">
        <x:v>LF-B-A</x:v>
      </x:c>
      <x:c r="E325" s="47" t="str">
        <x:v>CIVIL</x:v>
      </x:c>
      <x:c r="F325" s="47" t="str">
        <x:v>F13</x:v>
      </x:c>
      <x:c r="G325" s="47" t="str">
        <x:v>Civic</x:v>
      </x:c>
      <x:c r="H325" s="47" t="str">
        <x:v>Safe-state and abort logic</x:v>
      </x:c>
      <x:c r="I325" s="47" t="str">
        <x:v>PUBLIC</x:v>
      </x:c>
      <x:c r="J325" s="47" t="n">
        <x:v>1</x:v>
      </x:c>
      <x:c r="K325" s="56" t="n">
        <x:v>0</x:v>
      </x:c>
      <x:c r="L325" s="56" t="n">
        <x:v>0</x:v>
      </x:c>
      <x:c r="M325" s="47" t="str">
        <x:f>IF(AND(J325=1,K325=1,L325=1),"COMPLETE","OPEN")</x:f>
        <x:v>OPEN</x:v>
      </x:c>
      <x:c r="N325" s="84"/>
    </x:row>
    <x:row r="326">
      <x:c r="A326" s="47" t="str">
        <x:v>SC320</x:v>
      </x:c>
      <x:c r="B326" s="47" t="str">
        <x:v>P18</x:v>
      </x:c>
      <x:c r="C326" s="47" t="str">
        <x:v>LF-B</x:v>
      </x:c>
      <x:c r="D326" s="47" t="str">
        <x:v>LF-B-A</x:v>
      </x:c>
      <x:c r="E326" s="47" t="str">
        <x:v>CIVIL</x:v>
      </x:c>
      <x:c r="F326" s="47" t="str">
        <x:v>F14</x:v>
      </x:c>
      <x:c r="G326" s="47" t="str">
        <x:v>Civic</x:v>
      </x:c>
      <x:c r="H326" s="47" t="str">
        <x:v>Receiver and residual dispositions</x:v>
      </x:c>
      <x:c r="I326" s="47" t="str">
        <x:v>PUBLIC</x:v>
      </x:c>
      <x:c r="J326" s="47" t="n">
        <x:v>1</x:v>
      </x:c>
      <x:c r="K326" s="56" t="n">
        <x:v>0</x:v>
      </x:c>
      <x:c r="L326" s="56" t="n">
        <x:v>0</x:v>
      </x:c>
      <x:c r="M326" s="47" t="str">
        <x:f>IF(AND(J326=1,K326=1,L326=1),"COMPLETE","OPEN")</x:f>
        <x:v>OPEN</x:v>
      </x:c>
      <x:c r="N326" s="84"/>
    </x:row>
    <x:row r="327">
      <x:c r="A327" s="47" t="str">
        <x:v>SC321</x:v>
      </x:c>
      <x:c r="B327" s="47" t="str">
        <x:v>P18</x:v>
      </x:c>
      <x:c r="C327" s="47" t="str">
        <x:v>LF-B</x:v>
      </x:c>
      <x:c r="D327" s="47" t="str">
        <x:v>LF-B-A</x:v>
      </x:c>
      <x:c r="E327" s="47" t="str">
        <x:v>CIVIL</x:v>
      </x:c>
      <x:c r="F327" s="47" t="str">
        <x:v>F15</x:v>
      </x:c>
      <x:c r="G327" s="47" t="str">
        <x:v>Civic</x:v>
      </x:c>
      <x:c r="H327" s="47" t="str">
        <x:v>Rights, access and affected-population obligations</x:v>
      </x:c>
      <x:c r="I327" s="47" t="str">
        <x:v>PUBLIC</x:v>
      </x:c>
      <x:c r="J327" s="47" t="n">
        <x:v>1</x:v>
      </x:c>
      <x:c r="K327" s="56" t="n">
        <x:v>0</x:v>
      </x:c>
      <x:c r="L327" s="56" t="n">
        <x:v>0</x:v>
      </x:c>
      <x:c r="M327" s="47" t="str">
        <x:f>IF(AND(J327=1,K327=1,L327=1),"COMPLETE","OPEN")</x:f>
        <x:v>OPEN</x:v>
      </x:c>
      <x:c r="N327" s="84"/>
    </x:row>
    <x:row r="328">
      <x:c r="A328" s="47" t="str">
        <x:v>SC322</x:v>
      </x:c>
      <x:c r="B328" s="47" t="str">
        <x:v>P18</x:v>
      </x:c>
      <x:c r="C328" s="47" t="str">
        <x:v>LF-B</x:v>
      </x:c>
      <x:c r="D328" s="47" t="str">
        <x:v>LF-B-A</x:v>
      </x:c>
      <x:c r="E328" s="47" t="str">
        <x:v>CIVIL</x:v>
      </x:c>
      <x:c r="F328" s="47" t="str">
        <x:v>F16</x:v>
      </x:c>
      <x:c r="G328" s="47" t="str">
        <x:v>Epistemic</x:v>
      </x:c>
      <x:c r="H328" s="47" t="str">
        <x:v>Assumptions, unknowns and uncertainty bounds</x:v>
      </x:c>
      <x:c r="I328" s="47" t="str">
        <x:v>PUBLIC</x:v>
      </x:c>
      <x:c r="J328" s="47" t="n">
        <x:v>1</x:v>
      </x:c>
      <x:c r="K328" s="56" t="n">
        <x:v>0</x:v>
      </x:c>
      <x:c r="L328" s="56" t="n">
        <x:v>0</x:v>
      </x:c>
      <x:c r="M328" s="47" t="str">
        <x:f>IF(AND(J328=1,K328=1,L328=1),"COMPLETE","OPEN")</x:f>
        <x:v>OPEN</x:v>
      </x:c>
      <x:c r="N328" s="84"/>
    </x:row>
    <x:row r="329">
      <x:c r="A329" s="47" t="str">
        <x:v>SC323</x:v>
      </x:c>
      <x:c r="B329" s="47" t="str">
        <x:v>P18</x:v>
      </x:c>
      <x:c r="C329" s="47" t="str">
        <x:v>LF-B</x:v>
      </x:c>
      <x:c r="D329" s="47" t="str">
        <x:v>LF-B-A</x:v>
      </x:c>
      <x:c r="E329" s="47" t="str">
        <x:v>CIVIL</x:v>
      </x:c>
      <x:c r="F329" s="47" t="str">
        <x:v>F17</x:v>
      </x:c>
      <x:c r="G329" s="47" t="str">
        <x:v>Epistemic</x:v>
      </x:c>
      <x:c r="H329" s="47" t="str">
        <x:v>Causal event, denominator and claim trace</x:v>
      </x:c>
      <x:c r="I329" s="47" t="str">
        <x:v>PUBLIC</x:v>
      </x:c>
      <x:c r="J329" s="47" t="n">
        <x:v>1</x:v>
      </x:c>
      <x:c r="K329" s="56" t="n">
        <x:v>0</x:v>
      </x:c>
      <x:c r="L329" s="56" t="n">
        <x:v>0</x:v>
      </x:c>
      <x:c r="M329" s="47" t="str">
        <x:f>IF(AND(J329=1,K329=1,L329=1),"COMPLETE","OPEN")</x:f>
        <x:v>OPEN</x:v>
      </x:c>
      <x:c r="N329" s="84"/>
    </x:row>
    <x:row r="330">
      <x:c r="A330" s="47" t="str">
        <x:v>SC324</x:v>
      </x:c>
      <x:c r="B330" s="47" t="str">
        <x:v>P18</x:v>
      </x:c>
      <x:c r="C330" s="47" t="str">
        <x:v>LF-B</x:v>
      </x:c>
      <x:c r="D330" s="47" t="str">
        <x:v>LF-B-A</x:v>
      </x:c>
      <x:c r="E330" s="47" t="str">
        <x:v>CIVIL</x:v>
      </x:c>
      <x:c r="F330" s="47" t="str">
        <x:v>F18</x:v>
      </x:c>
      <x:c r="G330" s="47" t="str">
        <x:v>Epistemic</x:v>
      </x:c>
      <x:c r="H330" s="47" t="str">
        <x:v>Acceptance, expiry, disclosure and supersession rule</x:v>
      </x:c>
      <x:c r="I330" s="47" t="str">
        <x:v>PUBLIC</x:v>
      </x:c>
      <x:c r="J330" s="47" t="n">
        <x:v>1</x:v>
      </x:c>
      <x:c r="K330" s="56" t="n">
        <x:v>0</x:v>
      </x:c>
      <x:c r="L330" s="56" t="n">
        <x:v>0</x:v>
      </x:c>
      <x:c r="M330" s="47" t="str">
        <x:f>IF(AND(J330=1,K330=1,L330=1),"COMPLETE","OPEN")</x:f>
        <x:v>OPEN</x:v>
      </x:c>
      <x:c r="N330" s="84"/>
    </x:row>
    <x:row r="331">
      <x:c r="A331" s="47" t="str">
        <x:v>SC325</x:v>
      </x:c>
      <x:c r="B331" s="47" t="str">
        <x:v>P19</x:v>
      </x:c>
      <x:c r="C331" s="47" t="str">
        <x:v>LF-B</x:v>
      </x:c>
      <x:c r="D331" s="47" t="str">
        <x:v>LF-B-A</x:v>
      </x:c>
      <x:c r="E331" s="47" t="str">
        <x:v>ARTICLE</x:v>
      </x:c>
      <x:c r="F331" s="47" t="str">
        <x:v>F01</x:v>
      </x:c>
      <x:c r="G331" s="47" t="str">
        <x:v>Identity</x:v>
      </x:c>
      <x:c r="H331" s="47" t="str">
        <x:v>Package identity and warrant scope</x:v>
      </x:c>
      <x:c r="I331" s="47" t="str">
        <x:v>PUBLIC</x:v>
      </x:c>
      <x:c r="J331" s="47" t="n">
        <x:v>1</x:v>
      </x:c>
      <x:c r="K331" s="56" t="n">
        <x:v>0</x:v>
      </x:c>
      <x:c r="L331" s="56" t="n">
        <x:v>0</x:v>
      </x:c>
      <x:c r="M331" s="47" t="str">
        <x:f>IF(AND(J331=1,K331=1,L331=1),"COMPLETE","OPEN")</x:f>
        <x:v>OPEN</x:v>
      </x:c>
      <x:c r="N331" s="84"/>
    </x:row>
    <x:row r="332">
      <x:c r="A332" s="47" t="str">
        <x:v>SC326</x:v>
      </x:c>
      <x:c r="B332" s="47" t="str">
        <x:v>P19</x:v>
      </x:c>
      <x:c r="C332" s="47" t="str">
        <x:v>LF-B</x:v>
      </x:c>
      <x:c r="D332" s="47" t="str">
        <x:v>LF-B-A</x:v>
      </x:c>
      <x:c r="E332" s="47" t="str">
        <x:v>ARTICLE</x:v>
      </x:c>
      <x:c r="F332" s="47" t="str">
        <x:v>F02</x:v>
      </x:c>
      <x:c r="G332" s="47" t="str">
        <x:v>Identity</x:v>
      </x:c>
      <x:c r="H332" s="47" t="str">
        <x:v>Authorship, beneficial control and authority</x:v>
      </x:c>
      <x:c r="I332" s="47" t="str">
        <x:v>PUBLIC</x:v>
      </x:c>
      <x:c r="J332" s="47" t="n">
        <x:v>1</x:v>
      </x:c>
      <x:c r="K332" s="56" t="n">
        <x:v>0</x:v>
      </x:c>
      <x:c r="L332" s="56" t="n">
        <x:v>0</x:v>
      </x:c>
      <x:c r="M332" s="47" t="str">
        <x:f>IF(AND(J332=1,K332=1,L332=1),"COMPLETE","OPEN")</x:f>
        <x:v>OPEN</x:v>
      </x:c>
      <x:c r="N332" s="84"/>
    </x:row>
    <x:row r="333">
      <x:c r="A333" s="47" t="str">
        <x:v>SC327</x:v>
      </x:c>
      <x:c r="B333" s="47" t="str">
        <x:v>P19</x:v>
      </x:c>
      <x:c r="C333" s="47" t="str">
        <x:v>LF-B</x:v>
      </x:c>
      <x:c r="D333" s="47" t="str">
        <x:v>LF-B-A</x:v>
      </x:c>
      <x:c r="E333" s="47" t="str">
        <x:v>ARTICLE</x:v>
      </x:c>
      <x:c r="F333" s="47" t="str">
        <x:v>F03</x:v>
      </x:c>
      <x:c r="G333" s="47" t="str">
        <x:v>Identity</x:v>
      </x:c>
      <x:c r="H333" s="47" t="str">
        <x:v>Configuration and content hash</x:v>
      </x:c>
      <x:c r="I333" s="47" t="str">
        <x:v>PUBLIC</x:v>
      </x:c>
      <x:c r="J333" s="47" t="n">
        <x:v>1</x:v>
      </x:c>
      <x:c r="K333" s="56" t="n">
        <x:v>0</x:v>
      </x:c>
      <x:c r="L333" s="56" t="n">
        <x:v>0</x:v>
      </x:c>
      <x:c r="M333" s="47" t="str">
        <x:f>IF(AND(J333=1,K333=1,L333=1),"COMPLETE","OPEN")</x:f>
        <x:v>OPEN</x:v>
      </x:c>
      <x:c r="N333" s="84"/>
    </x:row>
    <x:row r="334">
      <x:c r="A334" s="47" t="str">
        <x:v>SC328</x:v>
      </x:c>
      <x:c r="B334" s="47" t="str">
        <x:v>P19</x:v>
      </x:c>
      <x:c r="C334" s="47" t="str">
        <x:v>LF-B</x:v>
      </x:c>
      <x:c r="D334" s="47" t="str">
        <x:v>LF-B-A</x:v>
      </x:c>
      <x:c r="E334" s="47" t="str">
        <x:v>ARTICLE</x:v>
      </x:c>
      <x:c r="F334" s="47" t="str">
        <x:v>F04</x:v>
      </x:c>
      <x:c r="G334" s="47" t="str">
        <x:v>Executable</x:v>
      </x:c>
      <x:c r="H334" s="47" t="str">
        <x:v>Native executable artifact</x:v>
      </x:c>
      <x:c r="I334" s="47" t="str">
        <x:v>ESCROW</x:v>
      </x:c>
      <x:c r="J334" s="47" t="n">
        <x:v>1</x:v>
      </x:c>
      <x:c r="K334" s="56" t="n">
        <x:v>0</x:v>
      </x:c>
      <x:c r="L334" s="56" t="n">
        <x:v>0</x:v>
      </x:c>
      <x:c r="M334" s="47" t="str">
        <x:f>IF(AND(J334=1,K334=1,L334=1),"COMPLETE","OPEN")</x:f>
        <x:v>OPEN</x:v>
      </x:c>
      <x:c r="N334" s="84"/>
    </x:row>
    <x:row r="335">
      <x:c r="A335" s="47" t="str">
        <x:v>SC329</x:v>
      </x:c>
      <x:c r="B335" s="47" t="str">
        <x:v>P19</x:v>
      </x:c>
      <x:c r="C335" s="47" t="str">
        <x:v>LF-B</x:v>
      </x:c>
      <x:c r="D335" s="47" t="str">
        <x:v>LF-B-A</x:v>
      </x:c>
      <x:c r="E335" s="47" t="str">
        <x:v>ARTICLE</x:v>
      </x:c>
      <x:c r="F335" s="47" t="str">
        <x:v>F05</x:v>
      </x:c>
      <x:c r="G335" s="47" t="str">
        <x:v>Executable</x:v>
      </x:c>
      <x:c r="H335" s="47" t="str">
        <x:v>Native environment and toolchain image</x:v>
      </x:c>
      <x:c r="I335" s="47" t="str">
        <x:v>ESCROW</x:v>
      </x:c>
      <x:c r="J335" s="47" t="n">
        <x:v>1</x:v>
      </x:c>
      <x:c r="K335" s="56" t="n">
        <x:v>0</x:v>
      </x:c>
      <x:c r="L335" s="56" t="n">
        <x:v>0</x:v>
      </x:c>
      <x:c r="M335" s="47" t="str">
        <x:f>IF(AND(J335=1,K335=1,L335=1),"COMPLETE","OPEN")</x:f>
        <x:v>OPEN</x:v>
      </x:c>
      <x:c r="N335" s="84"/>
    </x:row>
    <x:row r="336">
      <x:c r="A336" s="47" t="str">
        <x:v>SC330</x:v>
      </x:c>
      <x:c r="B336" s="47" t="str">
        <x:v>P19</x:v>
      </x:c>
      <x:c r="C336" s="47" t="str">
        <x:v>LF-B</x:v>
      </x:c>
      <x:c r="D336" s="47" t="str">
        <x:v>LF-B-A</x:v>
      </x:c>
      <x:c r="E336" s="47" t="str">
        <x:v>ARTICLE</x:v>
      </x:c>
      <x:c r="F336" s="47" t="str">
        <x:v>F06</x:v>
      </x:c>
      <x:c r="G336" s="47" t="str">
        <x:v>Executable</x:v>
      </x:c>
      <x:c r="H336" s="47" t="str">
        <x:v>Dependency bill, software bill and license rights</x:v>
      </x:c>
      <x:c r="I336" s="47" t="str">
        <x:v>PUBLIC</x:v>
      </x:c>
      <x:c r="J336" s="47" t="n">
        <x:v>1</x:v>
      </x:c>
      <x:c r="K336" s="56" t="n">
        <x:v>0</x:v>
      </x:c>
      <x:c r="L336" s="56" t="n">
        <x:v>0</x:v>
      </x:c>
      <x:c r="M336" s="47" t="str">
        <x:f>IF(AND(J336=1,K336=1,L336=1),"COMPLETE","OPEN")</x:f>
        <x:v>OPEN</x:v>
      </x:c>
      <x:c r="N336" s="84"/>
    </x:row>
    <x:row r="337">
      <x:c r="A337" s="47" t="str">
        <x:v>SC331</x:v>
      </x:c>
      <x:c r="B337" s="47" t="str">
        <x:v>P19</x:v>
      </x:c>
      <x:c r="C337" s="47" t="str">
        <x:v>LF-B</x:v>
      </x:c>
      <x:c r="D337" s="47" t="str">
        <x:v>LF-B-A</x:v>
      </x:c>
      <x:c r="E337" s="47" t="str">
        <x:v>ARTICLE</x:v>
      </x:c>
      <x:c r="F337" s="47" t="str">
        <x:v>F07</x:v>
      </x:c>
      <x:c r="G337" s="47" t="str">
        <x:v>Executable</x:v>
      </x:c>
      <x:c r="H337" s="47" t="str">
        <x:v>Data provenance and calibration lineage</x:v>
      </x:c>
      <x:c r="I337" s="47" t="str">
        <x:v>ESCROW</x:v>
      </x:c>
      <x:c r="J337" s="47" t="n">
        <x:v>1</x:v>
      </x:c>
      <x:c r="K337" s="56" t="n">
        <x:v>0</x:v>
      </x:c>
      <x:c r="L337" s="56" t="n">
        <x:v>0</x:v>
      </x:c>
      <x:c r="M337" s="47" t="str">
        <x:f>IF(AND(J337=1,K337=1,L337=1),"COMPLETE","OPEN")</x:f>
        <x:v>OPEN</x:v>
      </x:c>
      <x:c r="N337" s="84"/>
    </x:row>
    <x:row r="338">
      <x:c r="A338" s="47" t="str">
        <x:v>SC332</x:v>
      </x:c>
      <x:c r="B338" s="47" t="str">
        <x:v>P19</x:v>
      </x:c>
      <x:c r="C338" s="47" t="str">
        <x:v>LF-B</x:v>
      </x:c>
      <x:c r="D338" s="47" t="str">
        <x:v>LF-B-A</x:v>
      </x:c>
      <x:c r="E338" s="47" t="str">
        <x:v>ARTICLE</x:v>
      </x:c>
      <x:c r="F338" s="47" t="str">
        <x:v>F08</x:v>
      </x:c>
      <x:c r="G338" s="47" t="str">
        <x:v>Executable</x:v>
      </x:c>
      <x:c r="H338" s="47" t="str">
        <x:v>Random seed, solver and numerical controls</x:v>
      </x:c>
      <x:c r="I338" s="47" t="str">
        <x:v>ESCROW</x:v>
      </x:c>
      <x:c r="J338" s="47" t="n">
        <x:v>1</x:v>
      </x:c>
      <x:c r="K338" s="56" t="n">
        <x:v>0</x:v>
      </x:c>
      <x:c r="L338" s="56" t="n">
        <x:v>0</x:v>
      </x:c>
      <x:c r="M338" s="47" t="str">
        <x:f>IF(AND(J338=1,K338=1,L338=1),"COMPLETE","OPEN")</x:f>
        <x:v>OPEN</x:v>
      </x:c>
      <x:c r="N338" s="84"/>
    </x:row>
    <x:row r="339">
      <x:c r="A339" s="47" t="str">
        <x:v>SC333</x:v>
      </x:c>
      <x:c r="B339" s="47" t="str">
        <x:v>P19</x:v>
      </x:c>
      <x:c r="C339" s="47" t="str">
        <x:v>LF-B</x:v>
      </x:c>
      <x:c r="D339" s="47" t="str">
        <x:v>LF-B-A</x:v>
      </x:c>
      <x:c r="E339" s="47" t="str">
        <x:v>ARTICLE</x:v>
      </x:c>
      <x:c r="F339" s="47" t="str">
        <x:v>F09</x:v>
      </x:c>
      <x:c r="G339" s="47" t="str">
        <x:v>Physical</x:v>
      </x:c>
      <x:c r="H339" s="47" t="str">
        <x:v>Units, coordinates and datums</x:v>
      </x:c>
      <x:c r="I339" s="47" t="str">
        <x:v>PUBLIC</x:v>
      </x:c>
      <x:c r="J339" s="47" t="n">
        <x:v>1</x:v>
      </x:c>
      <x:c r="K339" s="56" t="n">
        <x:v>0</x:v>
      </x:c>
      <x:c r="L339" s="56" t="n">
        <x:v>0</x:v>
      </x:c>
      <x:c r="M339" s="47" t="str">
        <x:f>IF(AND(J339=1,K339=1,L339=1),"COMPLETE","OPEN")</x:f>
        <x:v>OPEN</x:v>
      </x:c>
      <x:c r="N339" s="84"/>
    </x:row>
    <x:row r="340">
      <x:c r="A340" s="47" t="str">
        <x:v>SC334</x:v>
      </x:c>
      <x:c r="B340" s="47" t="str">
        <x:v>P19</x:v>
      </x:c>
      <x:c r="C340" s="47" t="str">
        <x:v>LF-B</x:v>
      </x:c>
      <x:c r="D340" s="47" t="str">
        <x:v>LF-B-A</x:v>
      </x:c>
      <x:c r="E340" s="47" t="str">
        <x:v>ARTICLE</x:v>
      </x:c>
      <x:c r="F340" s="47" t="str">
        <x:v>F10</x:v>
      </x:c>
      <x:c r="G340" s="47" t="str">
        <x:v>Physical</x:v>
      </x:c>
      <x:c r="H340" s="47" t="str">
        <x:v>Material, property and constitutive sources</x:v>
      </x:c>
      <x:c r="I340" s="47" t="str">
        <x:v>PUBLIC</x:v>
      </x:c>
      <x:c r="J340" s="47" t="n">
        <x:v>1</x:v>
      </x:c>
      <x:c r="K340" s="56" t="n">
        <x:v>0</x:v>
      </x:c>
      <x:c r="L340" s="56" t="n">
        <x:v>0</x:v>
      </x:c>
      <x:c r="M340" s="47" t="str">
        <x:f>IF(AND(J340=1,K340=1,L340=1),"COMPLETE","OPEN")</x:f>
        <x:v>OPEN</x:v>
      </x:c>
      <x:c r="N340" s="84"/>
    </x:row>
    <x:row r="341">
      <x:c r="A341" s="47" t="str">
        <x:v>SC335</x:v>
      </x:c>
      <x:c r="B341" s="47" t="str">
        <x:v>P19</x:v>
      </x:c>
      <x:c r="C341" s="47" t="str">
        <x:v>LF-B</x:v>
      </x:c>
      <x:c r="D341" s="47" t="str">
        <x:v>LF-B-A</x:v>
      </x:c>
      <x:c r="E341" s="47" t="str">
        <x:v>ARTICLE</x:v>
      </x:c>
      <x:c r="F341" s="47" t="str">
        <x:v>F11</x:v>
      </x:c>
      <x:c r="G341" s="47" t="str">
        <x:v>Physical</x:v>
      </x:c>
      <x:c r="H341" s="47" t="str">
        <x:v>Interfaces, tolerances and boundary conditions</x:v>
      </x:c>
      <x:c r="I341" s="47" t="str">
        <x:v>PUBLIC</x:v>
      </x:c>
      <x:c r="J341" s="47" t="n">
        <x:v>1</x:v>
      </x:c>
      <x:c r="K341" s="56" t="n">
        <x:v>0</x:v>
      </x:c>
      <x:c r="L341" s="56" t="n">
        <x:v>0</x:v>
      </x:c>
      <x:c r="M341" s="47" t="str">
        <x:f>IF(AND(J341=1,K341=1,L341=1),"COMPLETE","OPEN")</x:f>
        <x:v>OPEN</x:v>
      </x:c>
      <x:c r="N341" s="84"/>
    </x:row>
    <x:row r="342">
      <x:c r="A342" s="47" t="str">
        <x:v>SC336</x:v>
      </x:c>
      <x:c r="B342" s="47" t="str">
        <x:v>P19</x:v>
      </x:c>
      <x:c r="C342" s="47" t="str">
        <x:v>LF-B</x:v>
      </x:c>
      <x:c r="D342" s="47" t="str">
        <x:v>LF-B-A</x:v>
      </x:c>
      <x:c r="E342" s="47" t="str">
        <x:v>ARTICLE</x:v>
      </x:c>
      <x:c r="F342" s="47" t="str">
        <x:v>F12</x:v>
      </x:c>
      <x:c r="G342" s="47" t="str">
        <x:v>Physical</x:v>
      </x:c>
      <x:c r="H342" s="47" t="str">
        <x:v>Manufacturing, process and assembly assumptions</x:v>
      </x:c>
      <x:c r="I342" s="47" t="str">
        <x:v>PUBLIC</x:v>
      </x:c>
      <x:c r="J342" s="47" t="n">
        <x:v>1</x:v>
      </x:c>
      <x:c r="K342" s="56" t="n">
        <x:v>0</x:v>
      </x:c>
      <x:c r="L342" s="56" t="n">
        <x:v>0</x:v>
      </x:c>
      <x:c r="M342" s="47" t="str">
        <x:f>IF(AND(J342=1,K342=1,L342=1),"COMPLETE","OPEN")</x:f>
        <x:v>OPEN</x:v>
      </x:c>
      <x:c r="N342" s="84"/>
    </x:row>
    <x:row r="343">
      <x:c r="A343" s="47" t="str">
        <x:v>SC337</x:v>
      </x:c>
      <x:c r="B343" s="47" t="str">
        <x:v>P19</x:v>
      </x:c>
      <x:c r="C343" s="47" t="str">
        <x:v>LF-B</x:v>
      </x:c>
      <x:c r="D343" s="47" t="str">
        <x:v>LF-B-A</x:v>
      </x:c>
      <x:c r="E343" s="47" t="str">
        <x:v>ARTICLE</x:v>
      </x:c>
      <x:c r="F343" s="47" t="str">
        <x:v>F13</x:v>
      </x:c>
      <x:c r="G343" s="47" t="str">
        <x:v>Civic</x:v>
      </x:c>
      <x:c r="H343" s="47" t="str">
        <x:v>Safe-state and abort logic</x:v>
      </x:c>
      <x:c r="I343" s="47" t="str">
        <x:v>PUBLIC</x:v>
      </x:c>
      <x:c r="J343" s="47" t="n">
        <x:v>1</x:v>
      </x:c>
      <x:c r="K343" s="56" t="n">
        <x:v>0</x:v>
      </x:c>
      <x:c r="L343" s="56" t="n">
        <x:v>0</x:v>
      </x:c>
      <x:c r="M343" s="47" t="str">
        <x:f>IF(AND(J343=1,K343=1,L343=1),"COMPLETE","OPEN")</x:f>
        <x:v>OPEN</x:v>
      </x:c>
      <x:c r="N343" s="84"/>
    </x:row>
    <x:row r="344">
      <x:c r="A344" s="47" t="str">
        <x:v>SC338</x:v>
      </x:c>
      <x:c r="B344" s="47" t="str">
        <x:v>P19</x:v>
      </x:c>
      <x:c r="C344" s="47" t="str">
        <x:v>LF-B</x:v>
      </x:c>
      <x:c r="D344" s="47" t="str">
        <x:v>LF-B-A</x:v>
      </x:c>
      <x:c r="E344" s="47" t="str">
        <x:v>ARTICLE</x:v>
      </x:c>
      <x:c r="F344" s="47" t="str">
        <x:v>F14</x:v>
      </x:c>
      <x:c r="G344" s="47" t="str">
        <x:v>Civic</x:v>
      </x:c>
      <x:c r="H344" s="47" t="str">
        <x:v>Receiver and residual dispositions</x:v>
      </x:c>
      <x:c r="I344" s="47" t="str">
        <x:v>PUBLIC</x:v>
      </x:c>
      <x:c r="J344" s="47" t="n">
        <x:v>1</x:v>
      </x:c>
      <x:c r="K344" s="56" t="n">
        <x:v>0</x:v>
      </x:c>
      <x:c r="L344" s="56" t="n">
        <x:v>0</x:v>
      </x:c>
      <x:c r="M344" s="47" t="str">
        <x:f>IF(AND(J344=1,K344=1,L344=1),"COMPLETE","OPEN")</x:f>
        <x:v>OPEN</x:v>
      </x:c>
      <x:c r="N344" s="84"/>
    </x:row>
    <x:row r="345">
      <x:c r="A345" s="47" t="str">
        <x:v>SC339</x:v>
      </x:c>
      <x:c r="B345" s="47" t="str">
        <x:v>P19</x:v>
      </x:c>
      <x:c r="C345" s="47" t="str">
        <x:v>LF-B</x:v>
      </x:c>
      <x:c r="D345" s="47" t="str">
        <x:v>LF-B-A</x:v>
      </x:c>
      <x:c r="E345" s="47" t="str">
        <x:v>ARTICLE</x:v>
      </x:c>
      <x:c r="F345" s="47" t="str">
        <x:v>F15</x:v>
      </x:c>
      <x:c r="G345" s="47" t="str">
        <x:v>Civic</x:v>
      </x:c>
      <x:c r="H345" s="47" t="str">
        <x:v>Rights, access and affected-population obligations</x:v>
      </x:c>
      <x:c r="I345" s="47" t="str">
        <x:v>PUBLIC</x:v>
      </x:c>
      <x:c r="J345" s="47" t="n">
        <x:v>1</x:v>
      </x:c>
      <x:c r="K345" s="56" t="n">
        <x:v>0</x:v>
      </x:c>
      <x:c r="L345" s="56" t="n">
        <x:v>0</x:v>
      </x:c>
      <x:c r="M345" s="47" t="str">
        <x:f>IF(AND(J345=1,K345=1,L345=1),"COMPLETE","OPEN")</x:f>
        <x:v>OPEN</x:v>
      </x:c>
      <x:c r="N345" s="84"/>
    </x:row>
    <x:row r="346">
      <x:c r="A346" s="47" t="str">
        <x:v>SC340</x:v>
      </x:c>
      <x:c r="B346" s="47" t="str">
        <x:v>P19</x:v>
      </x:c>
      <x:c r="C346" s="47" t="str">
        <x:v>LF-B</x:v>
      </x:c>
      <x:c r="D346" s="47" t="str">
        <x:v>LF-B-A</x:v>
      </x:c>
      <x:c r="E346" s="47" t="str">
        <x:v>ARTICLE</x:v>
      </x:c>
      <x:c r="F346" s="47" t="str">
        <x:v>F16</x:v>
      </x:c>
      <x:c r="G346" s="47" t="str">
        <x:v>Epistemic</x:v>
      </x:c>
      <x:c r="H346" s="47" t="str">
        <x:v>Assumptions, unknowns and uncertainty bounds</x:v>
      </x:c>
      <x:c r="I346" s="47" t="str">
        <x:v>PUBLIC</x:v>
      </x:c>
      <x:c r="J346" s="47" t="n">
        <x:v>1</x:v>
      </x:c>
      <x:c r="K346" s="56" t="n">
        <x:v>0</x:v>
      </x:c>
      <x:c r="L346" s="56" t="n">
        <x:v>0</x:v>
      </x:c>
      <x:c r="M346" s="47" t="str">
        <x:f>IF(AND(J346=1,K346=1,L346=1),"COMPLETE","OPEN")</x:f>
        <x:v>OPEN</x:v>
      </x:c>
      <x:c r="N346" s="84"/>
    </x:row>
    <x:row r="347">
      <x:c r="A347" s="47" t="str">
        <x:v>SC341</x:v>
      </x:c>
      <x:c r="B347" s="47" t="str">
        <x:v>P19</x:v>
      </x:c>
      <x:c r="C347" s="47" t="str">
        <x:v>LF-B</x:v>
      </x:c>
      <x:c r="D347" s="47" t="str">
        <x:v>LF-B-A</x:v>
      </x:c>
      <x:c r="E347" s="47" t="str">
        <x:v>ARTICLE</x:v>
      </x:c>
      <x:c r="F347" s="47" t="str">
        <x:v>F17</x:v>
      </x:c>
      <x:c r="G347" s="47" t="str">
        <x:v>Epistemic</x:v>
      </x:c>
      <x:c r="H347" s="47" t="str">
        <x:v>Causal event, denominator and claim trace</x:v>
      </x:c>
      <x:c r="I347" s="47" t="str">
        <x:v>PUBLIC</x:v>
      </x:c>
      <x:c r="J347" s="47" t="n">
        <x:v>1</x:v>
      </x:c>
      <x:c r="K347" s="56" t="n">
        <x:v>0</x:v>
      </x:c>
      <x:c r="L347" s="56" t="n">
        <x:v>0</x:v>
      </x:c>
      <x:c r="M347" s="47" t="str">
        <x:f>IF(AND(J347=1,K347=1,L347=1),"COMPLETE","OPEN")</x:f>
        <x:v>OPEN</x:v>
      </x:c>
      <x:c r="N347" s="84"/>
    </x:row>
    <x:row r="348">
      <x:c r="A348" s="47" t="str">
        <x:v>SC342</x:v>
      </x:c>
      <x:c r="B348" s="47" t="str">
        <x:v>P19</x:v>
      </x:c>
      <x:c r="C348" s="47" t="str">
        <x:v>LF-B</x:v>
      </x:c>
      <x:c r="D348" s="47" t="str">
        <x:v>LF-B-A</x:v>
      </x:c>
      <x:c r="E348" s="47" t="str">
        <x:v>ARTICLE</x:v>
      </x:c>
      <x:c r="F348" s="47" t="str">
        <x:v>F18</x:v>
      </x:c>
      <x:c r="G348" s="47" t="str">
        <x:v>Epistemic</x:v>
      </x:c>
      <x:c r="H348" s="47" t="str">
        <x:v>Acceptance, expiry, disclosure and supersession rule</x:v>
      </x:c>
      <x:c r="I348" s="47" t="str">
        <x:v>PUBLIC</x:v>
      </x:c>
      <x:c r="J348" s="47" t="n">
        <x:v>1</x:v>
      </x:c>
      <x:c r="K348" s="56" t="n">
        <x:v>0</x:v>
      </x:c>
      <x:c r="L348" s="56" t="n">
        <x:v>0</x:v>
      </x:c>
      <x:c r="M348" s="47" t="str">
        <x:f>IF(AND(J348=1,K348=1,L348=1),"COMPLETE","OPEN")</x:f>
        <x:v>OPEN</x:v>
      </x:c>
      <x:c r="N348" s="84"/>
    </x:row>
    <x:row r="349">
      <x:c r="A349" s="47" t="str">
        <x:v>SC343</x:v>
      </x:c>
      <x:c r="B349" s="47" t="str">
        <x:v>P20</x:v>
      </x:c>
      <x:c r="C349" s="47" t="str">
        <x:v>LF-B</x:v>
      </x:c>
      <x:c r="D349" s="47" t="str">
        <x:v>LF-B-A</x:v>
      </x:c>
      <x:c r="E349" s="47" t="str">
        <x:v>REBUILD</x:v>
      </x:c>
      <x:c r="F349" s="47" t="str">
        <x:v>F01</x:v>
      </x:c>
      <x:c r="G349" s="47" t="str">
        <x:v>Identity</x:v>
      </x:c>
      <x:c r="H349" s="47" t="str">
        <x:v>Package identity and warrant scope</x:v>
      </x:c>
      <x:c r="I349" s="47" t="str">
        <x:v>PUBLIC</x:v>
      </x:c>
      <x:c r="J349" s="47" t="n">
        <x:v>1</x:v>
      </x:c>
      <x:c r="K349" s="56" t="n">
        <x:v>0</x:v>
      </x:c>
      <x:c r="L349" s="56" t="n">
        <x:v>0</x:v>
      </x:c>
      <x:c r="M349" s="47" t="str">
        <x:f>IF(AND(J349=1,K349=1,L349=1),"COMPLETE","OPEN")</x:f>
        <x:v>OPEN</x:v>
      </x:c>
      <x:c r="N349" s="84"/>
    </x:row>
    <x:row r="350">
      <x:c r="A350" s="47" t="str">
        <x:v>SC344</x:v>
      </x:c>
      <x:c r="B350" s="47" t="str">
        <x:v>P20</x:v>
      </x:c>
      <x:c r="C350" s="47" t="str">
        <x:v>LF-B</x:v>
      </x:c>
      <x:c r="D350" s="47" t="str">
        <x:v>LF-B-A</x:v>
      </x:c>
      <x:c r="E350" s="47" t="str">
        <x:v>REBUILD</x:v>
      </x:c>
      <x:c r="F350" s="47" t="str">
        <x:v>F02</x:v>
      </x:c>
      <x:c r="G350" s="47" t="str">
        <x:v>Identity</x:v>
      </x:c>
      <x:c r="H350" s="47" t="str">
        <x:v>Authorship, beneficial control and authority</x:v>
      </x:c>
      <x:c r="I350" s="47" t="str">
        <x:v>PUBLIC</x:v>
      </x:c>
      <x:c r="J350" s="47" t="n">
        <x:v>1</x:v>
      </x:c>
      <x:c r="K350" s="56" t="n">
        <x:v>0</x:v>
      </x:c>
      <x:c r="L350" s="56" t="n">
        <x:v>0</x:v>
      </x:c>
      <x:c r="M350" s="47" t="str">
        <x:f>IF(AND(J350=1,K350=1,L350=1),"COMPLETE","OPEN")</x:f>
        <x:v>OPEN</x:v>
      </x:c>
      <x:c r="N350" s="84"/>
    </x:row>
    <x:row r="351">
      <x:c r="A351" s="47" t="str">
        <x:v>SC345</x:v>
      </x:c>
      <x:c r="B351" s="47" t="str">
        <x:v>P20</x:v>
      </x:c>
      <x:c r="C351" s="47" t="str">
        <x:v>LF-B</x:v>
      </x:c>
      <x:c r="D351" s="47" t="str">
        <x:v>LF-B-A</x:v>
      </x:c>
      <x:c r="E351" s="47" t="str">
        <x:v>REBUILD</x:v>
      </x:c>
      <x:c r="F351" s="47" t="str">
        <x:v>F03</x:v>
      </x:c>
      <x:c r="G351" s="47" t="str">
        <x:v>Identity</x:v>
      </x:c>
      <x:c r="H351" s="47" t="str">
        <x:v>Configuration and content hash</x:v>
      </x:c>
      <x:c r="I351" s="47" t="str">
        <x:v>PUBLIC</x:v>
      </x:c>
      <x:c r="J351" s="47" t="n">
        <x:v>1</x:v>
      </x:c>
      <x:c r="K351" s="56" t="n">
        <x:v>0</x:v>
      </x:c>
      <x:c r="L351" s="56" t="n">
        <x:v>0</x:v>
      </x:c>
      <x:c r="M351" s="47" t="str">
        <x:f>IF(AND(J351=1,K351=1,L351=1),"COMPLETE","OPEN")</x:f>
        <x:v>OPEN</x:v>
      </x:c>
      <x:c r="N351" s="84"/>
    </x:row>
    <x:row r="352">
      <x:c r="A352" s="47" t="str">
        <x:v>SC346</x:v>
      </x:c>
      <x:c r="B352" s="47" t="str">
        <x:v>P20</x:v>
      </x:c>
      <x:c r="C352" s="47" t="str">
        <x:v>LF-B</x:v>
      </x:c>
      <x:c r="D352" s="47" t="str">
        <x:v>LF-B-A</x:v>
      </x:c>
      <x:c r="E352" s="47" t="str">
        <x:v>REBUILD</x:v>
      </x:c>
      <x:c r="F352" s="47" t="str">
        <x:v>F04</x:v>
      </x:c>
      <x:c r="G352" s="47" t="str">
        <x:v>Executable</x:v>
      </x:c>
      <x:c r="H352" s="47" t="str">
        <x:v>Native executable artifact</x:v>
      </x:c>
      <x:c r="I352" s="47" t="str">
        <x:v>ESCROW</x:v>
      </x:c>
      <x:c r="J352" s="47" t="n">
        <x:v>1</x:v>
      </x:c>
      <x:c r="K352" s="56" t="n">
        <x:v>0</x:v>
      </x:c>
      <x:c r="L352" s="56" t="n">
        <x:v>0</x:v>
      </x:c>
      <x:c r="M352" s="47" t="str">
        <x:f>IF(AND(J352=1,K352=1,L352=1),"COMPLETE","OPEN")</x:f>
        <x:v>OPEN</x:v>
      </x:c>
      <x:c r="N352" s="84"/>
    </x:row>
    <x:row r="353">
      <x:c r="A353" s="47" t="str">
        <x:v>SC347</x:v>
      </x:c>
      <x:c r="B353" s="47" t="str">
        <x:v>P20</x:v>
      </x:c>
      <x:c r="C353" s="47" t="str">
        <x:v>LF-B</x:v>
      </x:c>
      <x:c r="D353" s="47" t="str">
        <x:v>LF-B-A</x:v>
      </x:c>
      <x:c r="E353" s="47" t="str">
        <x:v>REBUILD</x:v>
      </x:c>
      <x:c r="F353" s="47" t="str">
        <x:v>F05</x:v>
      </x:c>
      <x:c r="G353" s="47" t="str">
        <x:v>Executable</x:v>
      </x:c>
      <x:c r="H353" s="47" t="str">
        <x:v>Native environment and toolchain image</x:v>
      </x:c>
      <x:c r="I353" s="47" t="str">
        <x:v>ESCROW</x:v>
      </x:c>
      <x:c r="J353" s="47" t="n">
        <x:v>1</x:v>
      </x:c>
      <x:c r="K353" s="56" t="n">
        <x:v>0</x:v>
      </x:c>
      <x:c r="L353" s="56" t="n">
        <x:v>0</x:v>
      </x:c>
      <x:c r="M353" s="47" t="str">
        <x:f>IF(AND(J353=1,K353=1,L353=1),"COMPLETE","OPEN")</x:f>
        <x:v>OPEN</x:v>
      </x:c>
      <x:c r="N353" s="84"/>
    </x:row>
    <x:row r="354">
      <x:c r="A354" s="47" t="str">
        <x:v>SC348</x:v>
      </x:c>
      <x:c r="B354" s="47" t="str">
        <x:v>P20</x:v>
      </x:c>
      <x:c r="C354" s="47" t="str">
        <x:v>LF-B</x:v>
      </x:c>
      <x:c r="D354" s="47" t="str">
        <x:v>LF-B-A</x:v>
      </x:c>
      <x:c r="E354" s="47" t="str">
        <x:v>REBUILD</x:v>
      </x:c>
      <x:c r="F354" s="47" t="str">
        <x:v>F06</x:v>
      </x:c>
      <x:c r="G354" s="47" t="str">
        <x:v>Executable</x:v>
      </x:c>
      <x:c r="H354" s="47" t="str">
        <x:v>Dependency bill, software bill and license rights</x:v>
      </x:c>
      <x:c r="I354" s="47" t="str">
        <x:v>PUBLIC</x:v>
      </x:c>
      <x:c r="J354" s="47" t="n">
        <x:v>1</x:v>
      </x:c>
      <x:c r="K354" s="56" t="n">
        <x:v>0</x:v>
      </x:c>
      <x:c r="L354" s="56" t="n">
        <x:v>0</x:v>
      </x:c>
      <x:c r="M354" s="47" t="str">
        <x:f>IF(AND(J354=1,K354=1,L354=1),"COMPLETE","OPEN")</x:f>
        <x:v>OPEN</x:v>
      </x:c>
      <x:c r="N354" s="84"/>
    </x:row>
    <x:row r="355">
      <x:c r="A355" s="47" t="str">
        <x:v>SC349</x:v>
      </x:c>
      <x:c r="B355" s="47" t="str">
        <x:v>P20</x:v>
      </x:c>
      <x:c r="C355" s="47" t="str">
        <x:v>LF-B</x:v>
      </x:c>
      <x:c r="D355" s="47" t="str">
        <x:v>LF-B-A</x:v>
      </x:c>
      <x:c r="E355" s="47" t="str">
        <x:v>REBUILD</x:v>
      </x:c>
      <x:c r="F355" s="47" t="str">
        <x:v>F07</x:v>
      </x:c>
      <x:c r="G355" s="47" t="str">
        <x:v>Executable</x:v>
      </x:c>
      <x:c r="H355" s="47" t="str">
        <x:v>Data provenance and calibration lineage</x:v>
      </x:c>
      <x:c r="I355" s="47" t="str">
        <x:v>ESCROW</x:v>
      </x:c>
      <x:c r="J355" s="47" t="n">
        <x:v>1</x:v>
      </x:c>
      <x:c r="K355" s="56" t="n">
        <x:v>0</x:v>
      </x:c>
      <x:c r="L355" s="56" t="n">
        <x:v>0</x:v>
      </x:c>
      <x:c r="M355" s="47" t="str">
        <x:f>IF(AND(J355=1,K355=1,L355=1),"COMPLETE","OPEN")</x:f>
        <x:v>OPEN</x:v>
      </x:c>
      <x:c r="N355" s="84"/>
    </x:row>
    <x:row r="356">
      <x:c r="A356" s="47" t="str">
        <x:v>SC350</x:v>
      </x:c>
      <x:c r="B356" s="47" t="str">
        <x:v>P20</x:v>
      </x:c>
      <x:c r="C356" s="47" t="str">
        <x:v>LF-B</x:v>
      </x:c>
      <x:c r="D356" s="47" t="str">
        <x:v>LF-B-A</x:v>
      </x:c>
      <x:c r="E356" s="47" t="str">
        <x:v>REBUILD</x:v>
      </x:c>
      <x:c r="F356" s="47" t="str">
        <x:v>F08</x:v>
      </x:c>
      <x:c r="G356" s="47" t="str">
        <x:v>Executable</x:v>
      </x:c>
      <x:c r="H356" s="47" t="str">
        <x:v>Random seed, solver and numerical controls</x:v>
      </x:c>
      <x:c r="I356" s="47" t="str">
        <x:v>ESCROW</x:v>
      </x:c>
      <x:c r="J356" s="47" t="n">
        <x:v>1</x:v>
      </x:c>
      <x:c r="K356" s="56" t="n">
        <x:v>0</x:v>
      </x:c>
      <x:c r="L356" s="56" t="n">
        <x:v>0</x:v>
      </x:c>
      <x:c r="M356" s="47" t="str">
        <x:f>IF(AND(J356=1,K356=1,L356=1),"COMPLETE","OPEN")</x:f>
        <x:v>OPEN</x:v>
      </x:c>
      <x:c r="N356" s="84"/>
    </x:row>
    <x:row r="357">
      <x:c r="A357" s="47" t="str">
        <x:v>SC351</x:v>
      </x:c>
      <x:c r="B357" s="47" t="str">
        <x:v>P20</x:v>
      </x:c>
      <x:c r="C357" s="47" t="str">
        <x:v>LF-B</x:v>
      </x:c>
      <x:c r="D357" s="47" t="str">
        <x:v>LF-B-A</x:v>
      </x:c>
      <x:c r="E357" s="47" t="str">
        <x:v>REBUILD</x:v>
      </x:c>
      <x:c r="F357" s="47" t="str">
        <x:v>F09</x:v>
      </x:c>
      <x:c r="G357" s="47" t="str">
        <x:v>Physical</x:v>
      </x:c>
      <x:c r="H357" s="47" t="str">
        <x:v>Units, coordinates and datums</x:v>
      </x:c>
      <x:c r="I357" s="47" t="str">
        <x:v>PUBLIC</x:v>
      </x:c>
      <x:c r="J357" s="47" t="n">
        <x:v>1</x:v>
      </x:c>
      <x:c r="K357" s="56" t="n">
        <x:v>0</x:v>
      </x:c>
      <x:c r="L357" s="56" t="n">
        <x:v>0</x:v>
      </x:c>
      <x:c r="M357" s="47" t="str">
        <x:f>IF(AND(J357=1,K357=1,L357=1),"COMPLETE","OPEN")</x:f>
        <x:v>OPEN</x:v>
      </x:c>
      <x:c r="N357" s="84"/>
    </x:row>
    <x:row r="358">
      <x:c r="A358" s="47" t="str">
        <x:v>SC352</x:v>
      </x:c>
      <x:c r="B358" s="47" t="str">
        <x:v>P20</x:v>
      </x:c>
      <x:c r="C358" s="47" t="str">
        <x:v>LF-B</x:v>
      </x:c>
      <x:c r="D358" s="47" t="str">
        <x:v>LF-B-A</x:v>
      </x:c>
      <x:c r="E358" s="47" t="str">
        <x:v>REBUILD</x:v>
      </x:c>
      <x:c r="F358" s="47" t="str">
        <x:v>F10</x:v>
      </x:c>
      <x:c r="G358" s="47" t="str">
        <x:v>Physical</x:v>
      </x:c>
      <x:c r="H358" s="47" t="str">
        <x:v>Material, property and constitutive sources</x:v>
      </x:c>
      <x:c r="I358" s="47" t="str">
        <x:v>PUBLIC</x:v>
      </x:c>
      <x:c r="J358" s="47" t="n">
        <x:v>1</x:v>
      </x:c>
      <x:c r="K358" s="56" t="n">
        <x:v>0</x:v>
      </x:c>
      <x:c r="L358" s="56" t="n">
        <x:v>0</x:v>
      </x:c>
      <x:c r="M358" s="47" t="str">
        <x:f>IF(AND(J358=1,K358=1,L358=1),"COMPLETE","OPEN")</x:f>
        <x:v>OPEN</x:v>
      </x:c>
      <x:c r="N358" s="84"/>
    </x:row>
    <x:row r="359">
      <x:c r="A359" s="47" t="str">
        <x:v>SC353</x:v>
      </x:c>
      <x:c r="B359" s="47" t="str">
        <x:v>P20</x:v>
      </x:c>
      <x:c r="C359" s="47" t="str">
        <x:v>LF-B</x:v>
      </x:c>
      <x:c r="D359" s="47" t="str">
        <x:v>LF-B-A</x:v>
      </x:c>
      <x:c r="E359" s="47" t="str">
        <x:v>REBUILD</x:v>
      </x:c>
      <x:c r="F359" s="47" t="str">
        <x:v>F11</x:v>
      </x:c>
      <x:c r="G359" s="47" t="str">
        <x:v>Physical</x:v>
      </x:c>
      <x:c r="H359" s="47" t="str">
        <x:v>Interfaces, tolerances and boundary conditions</x:v>
      </x:c>
      <x:c r="I359" s="47" t="str">
        <x:v>PUBLIC</x:v>
      </x:c>
      <x:c r="J359" s="47" t="n">
        <x:v>1</x:v>
      </x:c>
      <x:c r="K359" s="56" t="n">
        <x:v>0</x:v>
      </x:c>
      <x:c r="L359" s="56" t="n">
        <x:v>0</x:v>
      </x:c>
      <x:c r="M359" s="47" t="str">
        <x:f>IF(AND(J359=1,K359=1,L359=1),"COMPLETE","OPEN")</x:f>
        <x:v>OPEN</x:v>
      </x:c>
      <x:c r="N359" s="84"/>
    </x:row>
    <x:row r="360">
      <x:c r="A360" s="47" t="str">
        <x:v>SC354</x:v>
      </x:c>
      <x:c r="B360" s="47" t="str">
        <x:v>P20</x:v>
      </x:c>
      <x:c r="C360" s="47" t="str">
        <x:v>LF-B</x:v>
      </x:c>
      <x:c r="D360" s="47" t="str">
        <x:v>LF-B-A</x:v>
      </x:c>
      <x:c r="E360" s="47" t="str">
        <x:v>REBUILD</x:v>
      </x:c>
      <x:c r="F360" s="47" t="str">
        <x:v>F12</x:v>
      </x:c>
      <x:c r="G360" s="47" t="str">
        <x:v>Physical</x:v>
      </x:c>
      <x:c r="H360" s="47" t="str">
        <x:v>Manufacturing, process and assembly assumptions</x:v>
      </x:c>
      <x:c r="I360" s="47" t="str">
        <x:v>PUBLIC</x:v>
      </x:c>
      <x:c r="J360" s="47" t="n">
        <x:v>1</x:v>
      </x:c>
      <x:c r="K360" s="56" t="n">
        <x:v>0</x:v>
      </x:c>
      <x:c r="L360" s="56" t="n">
        <x:v>0</x:v>
      </x:c>
      <x:c r="M360" s="47" t="str">
        <x:f>IF(AND(J360=1,K360=1,L360=1),"COMPLETE","OPEN")</x:f>
        <x:v>OPEN</x:v>
      </x:c>
      <x:c r="N360" s="84"/>
    </x:row>
    <x:row r="361">
      <x:c r="A361" s="47" t="str">
        <x:v>SC355</x:v>
      </x:c>
      <x:c r="B361" s="47" t="str">
        <x:v>P20</x:v>
      </x:c>
      <x:c r="C361" s="47" t="str">
        <x:v>LF-B</x:v>
      </x:c>
      <x:c r="D361" s="47" t="str">
        <x:v>LF-B-A</x:v>
      </x:c>
      <x:c r="E361" s="47" t="str">
        <x:v>REBUILD</x:v>
      </x:c>
      <x:c r="F361" s="47" t="str">
        <x:v>F13</x:v>
      </x:c>
      <x:c r="G361" s="47" t="str">
        <x:v>Civic</x:v>
      </x:c>
      <x:c r="H361" s="47" t="str">
        <x:v>Safe-state and abort logic</x:v>
      </x:c>
      <x:c r="I361" s="47" t="str">
        <x:v>PUBLIC</x:v>
      </x:c>
      <x:c r="J361" s="47" t="n">
        <x:v>1</x:v>
      </x:c>
      <x:c r="K361" s="56" t="n">
        <x:v>0</x:v>
      </x:c>
      <x:c r="L361" s="56" t="n">
        <x:v>0</x:v>
      </x:c>
      <x:c r="M361" s="47" t="str">
        <x:f>IF(AND(J361=1,K361=1,L361=1),"COMPLETE","OPEN")</x:f>
        <x:v>OPEN</x:v>
      </x:c>
      <x:c r="N361" s="84"/>
    </x:row>
    <x:row r="362">
      <x:c r="A362" s="47" t="str">
        <x:v>SC356</x:v>
      </x:c>
      <x:c r="B362" s="47" t="str">
        <x:v>P20</x:v>
      </x:c>
      <x:c r="C362" s="47" t="str">
        <x:v>LF-B</x:v>
      </x:c>
      <x:c r="D362" s="47" t="str">
        <x:v>LF-B-A</x:v>
      </x:c>
      <x:c r="E362" s="47" t="str">
        <x:v>REBUILD</x:v>
      </x:c>
      <x:c r="F362" s="47" t="str">
        <x:v>F14</x:v>
      </x:c>
      <x:c r="G362" s="47" t="str">
        <x:v>Civic</x:v>
      </x:c>
      <x:c r="H362" s="47" t="str">
        <x:v>Receiver and residual dispositions</x:v>
      </x:c>
      <x:c r="I362" s="47" t="str">
        <x:v>PUBLIC</x:v>
      </x:c>
      <x:c r="J362" s="47" t="n">
        <x:v>1</x:v>
      </x:c>
      <x:c r="K362" s="56" t="n">
        <x:v>0</x:v>
      </x:c>
      <x:c r="L362" s="56" t="n">
        <x:v>0</x:v>
      </x:c>
      <x:c r="M362" s="47" t="str">
        <x:f>IF(AND(J362=1,K362=1,L362=1),"COMPLETE","OPEN")</x:f>
        <x:v>OPEN</x:v>
      </x:c>
      <x:c r="N362" s="84"/>
    </x:row>
    <x:row r="363">
      <x:c r="A363" s="47" t="str">
        <x:v>SC357</x:v>
      </x:c>
      <x:c r="B363" s="47" t="str">
        <x:v>P20</x:v>
      </x:c>
      <x:c r="C363" s="47" t="str">
        <x:v>LF-B</x:v>
      </x:c>
      <x:c r="D363" s="47" t="str">
        <x:v>LF-B-A</x:v>
      </x:c>
      <x:c r="E363" s="47" t="str">
        <x:v>REBUILD</x:v>
      </x:c>
      <x:c r="F363" s="47" t="str">
        <x:v>F15</x:v>
      </x:c>
      <x:c r="G363" s="47" t="str">
        <x:v>Civic</x:v>
      </x:c>
      <x:c r="H363" s="47" t="str">
        <x:v>Rights, access and affected-population obligations</x:v>
      </x:c>
      <x:c r="I363" s="47" t="str">
        <x:v>PUBLIC</x:v>
      </x:c>
      <x:c r="J363" s="47" t="n">
        <x:v>1</x:v>
      </x:c>
      <x:c r="K363" s="56" t="n">
        <x:v>0</x:v>
      </x:c>
      <x:c r="L363" s="56" t="n">
        <x:v>0</x:v>
      </x:c>
      <x:c r="M363" s="47" t="str">
        <x:f>IF(AND(J363=1,K363=1,L363=1),"COMPLETE","OPEN")</x:f>
        <x:v>OPEN</x:v>
      </x:c>
      <x:c r="N363" s="84"/>
    </x:row>
    <x:row r="364">
      <x:c r="A364" s="47" t="str">
        <x:v>SC358</x:v>
      </x:c>
      <x:c r="B364" s="47" t="str">
        <x:v>P20</x:v>
      </x:c>
      <x:c r="C364" s="47" t="str">
        <x:v>LF-B</x:v>
      </x:c>
      <x:c r="D364" s="47" t="str">
        <x:v>LF-B-A</x:v>
      </x:c>
      <x:c r="E364" s="47" t="str">
        <x:v>REBUILD</x:v>
      </x:c>
      <x:c r="F364" s="47" t="str">
        <x:v>F16</x:v>
      </x:c>
      <x:c r="G364" s="47" t="str">
        <x:v>Epistemic</x:v>
      </x:c>
      <x:c r="H364" s="47" t="str">
        <x:v>Assumptions, unknowns and uncertainty bounds</x:v>
      </x:c>
      <x:c r="I364" s="47" t="str">
        <x:v>PUBLIC</x:v>
      </x:c>
      <x:c r="J364" s="47" t="n">
        <x:v>1</x:v>
      </x:c>
      <x:c r="K364" s="56" t="n">
        <x:v>0</x:v>
      </x:c>
      <x:c r="L364" s="56" t="n">
        <x:v>0</x:v>
      </x:c>
      <x:c r="M364" s="47" t="str">
        <x:f>IF(AND(J364=1,K364=1,L364=1),"COMPLETE","OPEN")</x:f>
        <x:v>OPEN</x:v>
      </x:c>
      <x:c r="N364" s="84"/>
    </x:row>
    <x:row r="365">
      <x:c r="A365" s="47" t="str">
        <x:v>SC359</x:v>
      </x:c>
      <x:c r="B365" s="47" t="str">
        <x:v>P20</x:v>
      </x:c>
      <x:c r="C365" s="47" t="str">
        <x:v>LF-B</x:v>
      </x:c>
      <x:c r="D365" s="47" t="str">
        <x:v>LF-B-A</x:v>
      </x:c>
      <x:c r="E365" s="47" t="str">
        <x:v>REBUILD</x:v>
      </x:c>
      <x:c r="F365" s="47" t="str">
        <x:v>F17</x:v>
      </x:c>
      <x:c r="G365" s="47" t="str">
        <x:v>Epistemic</x:v>
      </x:c>
      <x:c r="H365" s="47" t="str">
        <x:v>Causal event, denominator and claim trace</x:v>
      </x:c>
      <x:c r="I365" s="47" t="str">
        <x:v>PUBLIC</x:v>
      </x:c>
      <x:c r="J365" s="47" t="n">
        <x:v>1</x:v>
      </x:c>
      <x:c r="K365" s="56" t="n">
        <x:v>0</x:v>
      </x:c>
      <x:c r="L365" s="56" t="n">
        <x:v>0</x:v>
      </x:c>
      <x:c r="M365" s="47" t="str">
        <x:f>IF(AND(J365=1,K365=1,L365=1),"COMPLETE","OPEN")</x:f>
        <x:v>OPEN</x:v>
      </x:c>
      <x:c r="N365" s="84"/>
    </x:row>
    <x:row r="366">
      <x:c r="A366" s="47" t="str">
        <x:v>SC360</x:v>
      </x:c>
      <x:c r="B366" s="47" t="str">
        <x:v>P20</x:v>
      </x:c>
      <x:c r="C366" s="47" t="str">
        <x:v>LF-B</x:v>
      </x:c>
      <x:c r="D366" s="47" t="str">
        <x:v>LF-B-A</x:v>
      </x:c>
      <x:c r="E366" s="47" t="str">
        <x:v>REBUILD</x:v>
      </x:c>
      <x:c r="F366" s="47" t="str">
        <x:v>F18</x:v>
      </x:c>
      <x:c r="G366" s="47" t="str">
        <x:v>Epistemic</x:v>
      </x:c>
      <x:c r="H366" s="47" t="str">
        <x:v>Acceptance, expiry, disclosure and supersession rule</x:v>
      </x:c>
      <x:c r="I366" s="47" t="str">
        <x:v>PUBLIC</x:v>
      </x:c>
      <x:c r="J366" s="47" t="n">
        <x:v>1</x:v>
      </x:c>
      <x:c r="K366" s="56" t="n">
        <x:v>0</x:v>
      </x:c>
      <x:c r="L366" s="56" t="n">
        <x:v>0</x:v>
      </x:c>
      <x:c r="M366" s="47" t="str">
        <x:f>IF(AND(J366=1,K366=1,L366=1),"COMPLETE","OPEN")</x:f>
        <x:v>OPEN</x:v>
      </x:c>
      <x:c r="N366" s="84"/>
    </x:row>
    <x:row r="367">
      <x:c r="A367" s="47" t="str">
        <x:v>SC361</x:v>
      </x:c>
      <x:c r="B367" s="47" t="str">
        <x:v>P21</x:v>
      </x:c>
      <x:c r="C367" s="47" t="str">
        <x:v>HU-A</x:v>
      </x:c>
      <x:c r="D367" s="47" t="str">
        <x:v>HU-A-B</x:v>
      </x:c>
      <x:c r="E367" s="47" t="str">
        <x:v>METHOD</x:v>
      </x:c>
      <x:c r="F367" s="47" t="str">
        <x:v>F01</x:v>
      </x:c>
      <x:c r="G367" s="47" t="str">
        <x:v>Identity</x:v>
      </x:c>
      <x:c r="H367" s="47" t="str">
        <x:v>Package identity and warrant scope</x:v>
      </x:c>
      <x:c r="I367" s="47" t="str">
        <x:v>PUBLIC</x:v>
      </x:c>
      <x:c r="J367" s="47" t="n">
        <x:v>1</x:v>
      </x:c>
      <x:c r="K367" s="56" t="n">
        <x:v>0</x:v>
      </x:c>
      <x:c r="L367" s="56" t="n">
        <x:v>0</x:v>
      </x:c>
      <x:c r="M367" s="47" t="str">
        <x:f>IF(AND(J367=1,K367=1,L367=1),"COMPLETE","OPEN")</x:f>
        <x:v>OPEN</x:v>
      </x:c>
      <x:c r="N367" s="84"/>
    </x:row>
    <x:row r="368">
      <x:c r="A368" s="47" t="str">
        <x:v>SC362</x:v>
      </x:c>
      <x:c r="B368" s="47" t="str">
        <x:v>P21</x:v>
      </x:c>
      <x:c r="C368" s="47" t="str">
        <x:v>HU-A</x:v>
      </x:c>
      <x:c r="D368" s="47" t="str">
        <x:v>HU-A-B</x:v>
      </x:c>
      <x:c r="E368" s="47" t="str">
        <x:v>METHOD</x:v>
      </x:c>
      <x:c r="F368" s="47" t="str">
        <x:v>F02</x:v>
      </x:c>
      <x:c r="G368" s="47" t="str">
        <x:v>Identity</x:v>
      </x:c>
      <x:c r="H368" s="47" t="str">
        <x:v>Authorship, beneficial control and authority</x:v>
      </x:c>
      <x:c r="I368" s="47" t="str">
        <x:v>PUBLIC</x:v>
      </x:c>
      <x:c r="J368" s="47" t="n">
        <x:v>1</x:v>
      </x:c>
      <x:c r="K368" s="56" t="n">
        <x:v>0</x:v>
      </x:c>
      <x:c r="L368" s="56" t="n">
        <x:v>0</x:v>
      </x:c>
      <x:c r="M368" s="47" t="str">
        <x:f>IF(AND(J368=1,K368=1,L368=1),"COMPLETE","OPEN")</x:f>
        <x:v>OPEN</x:v>
      </x:c>
      <x:c r="N368" s="84"/>
    </x:row>
    <x:row r="369">
      <x:c r="A369" s="47" t="str">
        <x:v>SC363</x:v>
      </x:c>
      <x:c r="B369" s="47" t="str">
        <x:v>P21</x:v>
      </x:c>
      <x:c r="C369" s="47" t="str">
        <x:v>HU-A</x:v>
      </x:c>
      <x:c r="D369" s="47" t="str">
        <x:v>HU-A-B</x:v>
      </x:c>
      <x:c r="E369" s="47" t="str">
        <x:v>METHOD</x:v>
      </x:c>
      <x:c r="F369" s="47" t="str">
        <x:v>F03</x:v>
      </x:c>
      <x:c r="G369" s="47" t="str">
        <x:v>Identity</x:v>
      </x:c>
      <x:c r="H369" s="47" t="str">
        <x:v>Configuration and content hash</x:v>
      </x:c>
      <x:c r="I369" s="47" t="str">
        <x:v>PUBLIC</x:v>
      </x:c>
      <x:c r="J369" s="47" t="n">
        <x:v>1</x:v>
      </x:c>
      <x:c r="K369" s="56" t="n">
        <x:v>0</x:v>
      </x:c>
      <x:c r="L369" s="56" t="n">
        <x:v>0</x:v>
      </x:c>
      <x:c r="M369" s="47" t="str">
        <x:f>IF(AND(J369=1,K369=1,L369=1),"COMPLETE","OPEN")</x:f>
        <x:v>OPEN</x:v>
      </x:c>
      <x:c r="N369" s="84"/>
    </x:row>
    <x:row r="370">
      <x:c r="A370" s="47" t="str">
        <x:v>SC364</x:v>
      </x:c>
      <x:c r="B370" s="47" t="str">
        <x:v>P21</x:v>
      </x:c>
      <x:c r="C370" s="47" t="str">
        <x:v>HU-A</x:v>
      </x:c>
      <x:c r="D370" s="47" t="str">
        <x:v>HU-A-B</x:v>
      </x:c>
      <x:c r="E370" s="47" t="str">
        <x:v>METHOD</x:v>
      </x:c>
      <x:c r="F370" s="47" t="str">
        <x:v>F04</x:v>
      </x:c>
      <x:c r="G370" s="47" t="str">
        <x:v>Executable</x:v>
      </x:c>
      <x:c r="H370" s="47" t="str">
        <x:v>Native executable artifact</x:v>
      </x:c>
      <x:c r="I370" s="47" t="str">
        <x:v>ESCROW</x:v>
      </x:c>
      <x:c r="J370" s="47" t="n">
        <x:v>1</x:v>
      </x:c>
      <x:c r="K370" s="56" t="n">
        <x:v>0</x:v>
      </x:c>
      <x:c r="L370" s="56" t="n">
        <x:v>0</x:v>
      </x:c>
      <x:c r="M370" s="47" t="str">
        <x:f>IF(AND(J370=1,K370=1,L370=1),"COMPLETE","OPEN")</x:f>
        <x:v>OPEN</x:v>
      </x:c>
      <x:c r="N370" s="84"/>
    </x:row>
    <x:row r="371">
      <x:c r="A371" s="47" t="str">
        <x:v>SC365</x:v>
      </x:c>
      <x:c r="B371" s="47" t="str">
        <x:v>P21</x:v>
      </x:c>
      <x:c r="C371" s="47" t="str">
        <x:v>HU-A</x:v>
      </x:c>
      <x:c r="D371" s="47" t="str">
        <x:v>HU-A-B</x:v>
      </x:c>
      <x:c r="E371" s="47" t="str">
        <x:v>METHOD</x:v>
      </x:c>
      <x:c r="F371" s="47" t="str">
        <x:v>F05</x:v>
      </x:c>
      <x:c r="G371" s="47" t="str">
        <x:v>Executable</x:v>
      </x:c>
      <x:c r="H371" s="47" t="str">
        <x:v>Native environment and toolchain image</x:v>
      </x:c>
      <x:c r="I371" s="47" t="str">
        <x:v>ESCROW</x:v>
      </x:c>
      <x:c r="J371" s="47" t="n">
        <x:v>1</x:v>
      </x:c>
      <x:c r="K371" s="56" t="n">
        <x:v>0</x:v>
      </x:c>
      <x:c r="L371" s="56" t="n">
        <x:v>0</x:v>
      </x:c>
      <x:c r="M371" s="47" t="str">
        <x:f>IF(AND(J371=1,K371=1,L371=1),"COMPLETE","OPEN")</x:f>
        <x:v>OPEN</x:v>
      </x:c>
      <x:c r="N371" s="84"/>
    </x:row>
    <x:row r="372">
      <x:c r="A372" s="47" t="str">
        <x:v>SC366</x:v>
      </x:c>
      <x:c r="B372" s="47" t="str">
        <x:v>P21</x:v>
      </x:c>
      <x:c r="C372" s="47" t="str">
        <x:v>HU-A</x:v>
      </x:c>
      <x:c r="D372" s="47" t="str">
        <x:v>HU-A-B</x:v>
      </x:c>
      <x:c r="E372" s="47" t="str">
        <x:v>METHOD</x:v>
      </x:c>
      <x:c r="F372" s="47" t="str">
        <x:v>F06</x:v>
      </x:c>
      <x:c r="G372" s="47" t="str">
        <x:v>Executable</x:v>
      </x:c>
      <x:c r="H372" s="47" t="str">
        <x:v>Dependency bill, software bill and license rights</x:v>
      </x:c>
      <x:c r="I372" s="47" t="str">
        <x:v>PUBLIC</x:v>
      </x:c>
      <x:c r="J372" s="47" t="n">
        <x:v>1</x:v>
      </x:c>
      <x:c r="K372" s="56" t="n">
        <x:v>0</x:v>
      </x:c>
      <x:c r="L372" s="56" t="n">
        <x:v>0</x:v>
      </x:c>
      <x:c r="M372" s="47" t="str">
        <x:f>IF(AND(J372=1,K372=1,L372=1),"COMPLETE","OPEN")</x:f>
        <x:v>OPEN</x:v>
      </x:c>
      <x:c r="N372" s="84"/>
    </x:row>
    <x:row r="373">
      <x:c r="A373" s="47" t="str">
        <x:v>SC367</x:v>
      </x:c>
      <x:c r="B373" s="47" t="str">
        <x:v>P21</x:v>
      </x:c>
      <x:c r="C373" s="47" t="str">
        <x:v>HU-A</x:v>
      </x:c>
      <x:c r="D373" s="47" t="str">
        <x:v>HU-A-B</x:v>
      </x:c>
      <x:c r="E373" s="47" t="str">
        <x:v>METHOD</x:v>
      </x:c>
      <x:c r="F373" s="47" t="str">
        <x:v>F07</x:v>
      </x:c>
      <x:c r="G373" s="47" t="str">
        <x:v>Executable</x:v>
      </x:c>
      <x:c r="H373" s="47" t="str">
        <x:v>Data provenance and calibration lineage</x:v>
      </x:c>
      <x:c r="I373" s="47" t="str">
        <x:v>ESCROW</x:v>
      </x:c>
      <x:c r="J373" s="47" t="n">
        <x:v>1</x:v>
      </x:c>
      <x:c r="K373" s="56" t="n">
        <x:v>0</x:v>
      </x:c>
      <x:c r="L373" s="56" t="n">
        <x:v>0</x:v>
      </x:c>
      <x:c r="M373" s="47" t="str">
        <x:f>IF(AND(J373=1,K373=1,L373=1),"COMPLETE","OPEN")</x:f>
        <x:v>OPEN</x:v>
      </x:c>
      <x:c r="N373" s="84"/>
    </x:row>
    <x:row r="374">
      <x:c r="A374" s="47" t="str">
        <x:v>SC368</x:v>
      </x:c>
      <x:c r="B374" s="47" t="str">
        <x:v>P21</x:v>
      </x:c>
      <x:c r="C374" s="47" t="str">
        <x:v>HU-A</x:v>
      </x:c>
      <x:c r="D374" s="47" t="str">
        <x:v>HU-A-B</x:v>
      </x:c>
      <x:c r="E374" s="47" t="str">
        <x:v>METHOD</x:v>
      </x:c>
      <x:c r="F374" s="47" t="str">
        <x:v>F08</x:v>
      </x:c>
      <x:c r="G374" s="47" t="str">
        <x:v>Executable</x:v>
      </x:c>
      <x:c r="H374" s="47" t="str">
        <x:v>Random seed, solver and numerical controls</x:v>
      </x:c>
      <x:c r="I374" s="47" t="str">
        <x:v>ESCROW</x:v>
      </x:c>
      <x:c r="J374" s="47" t="n">
        <x:v>1</x:v>
      </x:c>
      <x:c r="K374" s="56" t="n">
        <x:v>0</x:v>
      </x:c>
      <x:c r="L374" s="56" t="n">
        <x:v>0</x:v>
      </x:c>
      <x:c r="M374" s="47" t="str">
        <x:f>IF(AND(J374=1,K374=1,L374=1),"COMPLETE","OPEN")</x:f>
        <x:v>OPEN</x:v>
      </x:c>
      <x:c r="N374" s="84"/>
    </x:row>
    <x:row r="375">
      <x:c r="A375" s="47" t="str">
        <x:v>SC369</x:v>
      </x:c>
      <x:c r="B375" s="47" t="str">
        <x:v>P21</x:v>
      </x:c>
      <x:c r="C375" s="47" t="str">
        <x:v>HU-A</x:v>
      </x:c>
      <x:c r="D375" s="47" t="str">
        <x:v>HU-A-B</x:v>
      </x:c>
      <x:c r="E375" s="47" t="str">
        <x:v>METHOD</x:v>
      </x:c>
      <x:c r="F375" s="47" t="str">
        <x:v>F09</x:v>
      </x:c>
      <x:c r="G375" s="47" t="str">
        <x:v>Physical</x:v>
      </x:c>
      <x:c r="H375" s="47" t="str">
        <x:v>Units, coordinates and datums</x:v>
      </x:c>
      <x:c r="I375" s="47" t="str">
        <x:v>PUBLIC</x:v>
      </x:c>
      <x:c r="J375" s="47" t="n">
        <x:v>1</x:v>
      </x:c>
      <x:c r="K375" s="56" t="n">
        <x:v>0</x:v>
      </x:c>
      <x:c r="L375" s="56" t="n">
        <x:v>0</x:v>
      </x:c>
      <x:c r="M375" s="47" t="str">
        <x:f>IF(AND(J375=1,K375=1,L375=1),"COMPLETE","OPEN")</x:f>
        <x:v>OPEN</x:v>
      </x:c>
      <x:c r="N375" s="84"/>
    </x:row>
    <x:row r="376">
      <x:c r="A376" s="47" t="str">
        <x:v>SC370</x:v>
      </x:c>
      <x:c r="B376" s="47" t="str">
        <x:v>P21</x:v>
      </x:c>
      <x:c r="C376" s="47" t="str">
        <x:v>HU-A</x:v>
      </x:c>
      <x:c r="D376" s="47" t="str">
        <x:v>HU-A-B</x:v>
      </x:c>
      <x:c r="E376" s="47" t="str">
        <x:v>METHOD</x:v>
      </x:c>
      <x:c r="F376" s="47" t="str">
        <x:v>F10</x:v>
      </x:c>
      <x:c r="G376" s="47" t="str">
        <x:v>Physical</x:v>
      </x:c>
      <x:c r="H376" s="47" t="str">
        <x:v>Material, property and constitutive sources</x:v>
      </x:c>
      <x:c r="I376" s="47" t="str">
        <x:v>PUBLIC</x:v>
      </x:c>
      <x:c r="J376" s="47" t="n">
        <x:v>1</x:v>
      </x:c>
      <x:c r="K376" s="56" t="n">
        <x:v>0</x:v>
      </x:c>
      <x:c r="L376" s="56" t="n">
        <x:v>0</x:v>
      </x:c>
      <x:c r="M376" s="47" t="str">
        <x:f>IF(AND(J376=1,K376=1,L376=1),"COMPLETE","OPEN")</x:f>
        <x:v>OPEN</x:v>
      </x:c>
      <x:c r="N376" s="84"/>
    </x:row>
    <x:row r="377">
      <x:c r="A377" s="47" t="str">
        <x:v>SC371</x:v>
      </x:c>
      <x:c r="B377" s="47" t="str">
        <x:v>P21</x:v>
      </x:c>
      <x:c r="C377" s="47" t="str">
        <x:v>HU-A</x:v>
      </x:c>
      <x:c r="D377" s="47" t="str">
        <x:v>HU-A-B</x:v>
      </x:c>
      <x:c r="E377" s="47" t="str">
        <x:v>METHOD</x:v>
      </x:c>
      <x:c r="F377" s="47" t="str">
        <x:v>F11</x:v>
      </x:c>
      <x:c r="G377" s="47" t="str">
        <x:v>Physical</x:v>
      </x:c>
      <x:c r="H377" s="47" t="str">
        <x:v>Interfaces, tolerances and boundary conditions</x:v>
      </x:c>
      <x:c r="I377" s="47" t="str">
        <x:v>PUBLIC</x:v>
      </x:c>
      <x:c r="J377" s="47" t="n">
        <x:v>1</x:v>
      </x:c>
      <x:c r="K377" s="56" t="n">
        <x:v>0</x:v>
      </x:c>
      <x:c r="L377" s="56" t="n">
        <x:v>0</x:v>
      </x:c>
      <x:c r="M377" s="47" t="str">
        <x:f>IF(AND(J377=1,K377=1,L377=1),"COMPLETE","OPEN")</x:f>
        <x:v>OPEN</x:v>
      </x:c>
      <x:c r="N377" s="84"/>
    </x:row>
    <x:row r="378">
      <x:c r="A378" s="47" t="str">
        <x:v>SC372</x:v>
      </x:c>
      <x:c r="B378" s="47" t="str">
        <x:v>P21</x:v>
      </x:c>
      <x:c r="C378" s="47" t="str">
        <x:v>HU-A</x:v>
      </x:c>
      <x:c r="D378" s="47" t="str">
        <x:v>HU-A-B</x:v>
      </x:c>
      <x:c r="E378" s="47" t="str">
        <x:v>METHOD</x:v>
      </x:c>
      <x:c r="F378" s="47" t="str">
        <x:v>F12</x:v>
      </x:c>
      <x:c r="G378" s="47" t="str">
        <x:v>Physical</x:v>
      </x:c>
      <x:c r="H378" s="47" t="str">
        <x:v>Manufacturing, process and assembly assumptions</x:v>
      </x:c>
      <x:c r="I378" s="47" t="str">
        <x:v>PUBLIC</x:v>
      </x:c>
      <x:c r="J378" s="47" t="n">
        <x:v>1</x:v>
      </x:c>
      <x:c r="K378" s="56" t="n">
        <x:v>0</x:v>
      </x:c>
      <x:c r="L378" s="56" t="n">
        <x:v>0</x:v>
      </x:c>
      <x:c r="M378" s="47" t="str">
        <x:f>IF(AND(J378=1,K378=1,L378=1),"COMPLETE","OPEN")</x:f>
        <x:v>OPEN</x:v>
      </x:c>
      <x:c r="N378" s="84"/>
    </x:row>
    <x:row r="379">
      <x:c r="A379" s="47" t="str">
        <x:v>SC373</x:v>
      </x:c>
      <x:c r="B379" s="47" t="str">
        <x:v>P21</x:v>
      </x:c>
      <x:c r="C379" s="47" t="str">
        <x:v>HU-A</x:v>
      </x:c>
      <x:c r="D379" s="47" t="str">
        <x:v>HU-A-B</x:v>
      </x:c>
      <x:c r="E379" s="47" t="str">
        <x:v>METHOD</x:v>
      </x:c>
      <x:c r="F379" s="47" t="str">
        <x:v>F13</x:v>
      </x:c>
      <x:c r="G379" s="47" t="str">
        <x:v>Civic</x:v>
      </x:c>
      <x:c r="H379" s="47" t="str">
        <x:v>Safe-state and abort logic</x:v>
      </x:c>
      <x:c r="I379" s="47" t="str">
        <x:v>PUBLIC</x:v>
      </x:c>
      <x:c r="J379" s="47" t="n">
        <x:v>1</x:v>
      </x:c>
      <x:c r="K379" s="56" t="n">
        <x:v>0</x:v>
      </x:c>
      <x:c r="L379" s="56" t="n">
        <x:v>0</x:v>
      </x:c>
      <x:c r="M379" s="47" t="str">
        <x:f>IF(AND(J379=1,K379=1,L379=1),"COMPLETE","OPEN")</x:f>
        <x:v>OPEN</x:v>
      </x:c>
      <x:c r="N379" s="84"/>
    </x:row>
    <x:row r="380">
      <x:c r="A380" s="47" t="str">
        <x:v>SC374</x:v>
      </x:c>
      <x:c r="B380" s="47" t="str">
        <x:v>P21</x:v>
      </x:c>
      <x:c r="C380" s="47" t="str">
        <x:v>HU-A</x:v>
      </x:c>
      <x:c r="D380" s="47" t="str">
        <x:v>HU-A-B</x:v>
      </x:c>
      <x:c r="E380" s="47" t="str">
        <x:v>METHOD</x:v>
      </x:c>
      <x:c r="F380" s="47" t="str">
        <x:v>F14</x:v>
      </x:c>
      <x:c r="G380" s="47" t="str">
        <x:v>Civic</x:v>
      </x:c>
      <x:c r="H380" s="47" t="str">
        <x:v>Receiver and residual dispositions</x:v>
      </x:c>
      <x:c r="I380" s="47" t="str">
        <x:v>PUBLIC</x:v>
      </x:c>
      <x:c r="J380" s="47" t="n">
        <x:v>1</x:v>
      </x:c>
      <x:c r="K380" s="56" t="n">
        <x:v>0</x:v>
      </x:c>
      <x:c r="L380" s="56" t="n">
        <x:v>0</x:v>
      </x:c>
      <x:c r="M380" s="47" t="str">
        <x:f>IF(AND(J380=1,K380=1,L380=1),"COMPLETE","OPEN")</x:f>
        <x:v>OPEN</x:v>
      </x:c>
      <x:c r="N380" s="84"/>
    </x:row>
    <x:row r="381">
      <x:c r="A381" s="47" t="str">
        <x:v>SC375</x:v>
      </x:c>
      <x:c r="B381" s="47" t="str">
        <x:v>P21</x:v>
      </x:c>
      <x:c r="C381" s="47" t="str">
        <x:v>HU-A</x:v>
      </x:c>
      <x:c r="D381" s="47" t="str">
        <x:v>HU-A-B</x:v>
      </x:c>
      <x:c r="E381" s="47" t="str">
        <x:v>METHOD</x:v>
      </x:c>
      <x:c r="F381" s="47" t="str">
        <x:v>F15</x:v>
      </x:c>
      <x:c r="G381" s="47" t="str">
        <x:v>Civic</x:v>
      </x:c>
      <x:c r="H381" s="47" t="str">
        <x:v>Rights, access and affected-population obligations</x:v>
      </x:c>
      <x:c r="I381" s="47" t="str">
        <x:v>PUBLIC</x:v>
      </x:c>
      <x:c r="J381" s="47" t="n">
        <x:v>1</x:v>
      </x:c>
      <x:c r="K381" s="56" t="n">
        <x:v>0</x:v>
      </x:c>
      <x:c r="L381" s="56" t="n">
        <x:v>0</x:v>
      </x:c>
      <x:c r="M381" s="47" t="str">
        <x:f>IF(AND(J381=1,K381=1,L381=1),"COMPLETE","OPEN")</x:f>
        <x:v>OPEN</x:v>
      </x:c>
      <x:c r="N381" s="84"/>
    </x:row>
    <x:row r="382">
      <x:c r="A382" s="47" t="str">
        <x:v>SC376</x:v>
      </x:c>
      <x:c r="B382" s="47" t="str">
        <x:v>P21</x:v>
      </x:c>
      <x:c r="C382" s="47" t="str">
        <x:v>HU-A</x:v>
      </x:c>
      <x:c r="D382" s="47" t="str">
        <x:v>HU-A-B</x:v>
      </x:c>
      <x:c r="E382" s="47" t="str">
        <x:v>METHOD</x:v>
      </x:c>
      <x:c r="F382" s="47" t="str">
        <x:v>F16</x:v>
      </x:c>
      <x:c r="G382" s="47" t="str">
        <x:v>Epistemic</x:v>
      </x:c>
      <x:c r="H382" s="47" t="str">
        <x:v>Assumptions, unknowns and uncertainty bounds</x:v>
      </x:c>
      <x:c r="I382" s="47" t="str">
        <x:v>PUBLIC</x:v>
      </x:c>
      <x:c r="J382" s="47" t="n">
        <x:v>1</x:v>
      </x:c>
      <x:c r="K382" s="56" t="n">
        <x:v>0</x:v>
      </x:c>
      <x:c r="L382" s="56" t="n">
        <x:v>0</x:v>
      </x:c>
      <x:c r="M382" s="47" t="str">
        <x:f>IF(AND(J382=1,K382=1,L382=1),"COMPLETE","OPEN")</x:f>
        <x:v>OPEN</x:v>
      </x:c>
      <x:c r="N382" s="84"/>
    </x:row>
    <x:row r="383">
      <x:c r="A383" s="47" t="str">
        <x:v>SC377</x:v>
      </x:c>
      <x:c r="B383" s="47" t="str">
        <x:v>P21</x:v>
      </x:c>
      <x:c r="C383" s="47" t="str">
        <x:v>HU-A</x:v>
      </x:c>
      <x:c r="D383" s="47" t="str">
        <x:v>HU-A-B</x:v>
      </x:c>
      <x:c r="E383" s="47" t="str">
        <x:v>METHOD</x:v>
      </x:c>
      <x:c r="F383" s="47" t="str">
        <x:v>F17</x:v>
      </x:c>
      <x:c r="G383" s="47" t="str">
        <x:v>Epistemic</x:v>
      </x:c>
      <x:c r="H383" s="47" t="str">
        <x:v>Causal event, denominator and claim trace</x:v>
      </x:c>
      <x:c r="I383" s="47" t="str">
        <x:v>PUBLIC</x:v>
      </x:c>
      <x:c r="J383" s="47" t="n">
        <x:v>1</x:v>
      </x:c>
      <x:c r="K383" s="56" t="n">
        <x:v>0</x:v>
      </x:c>
      <x:c r="L383" s="56" t="n">
        <x:v>0</x:v>
      </x:c>
      <x:c r="M383" s="47" t="str">
        <x:f>IF(AND(J383=1,K383=1,L383=1),"COMPLETE","OPEN")</x:f>
        <x:v>OPEN</x:v>
      </x:c>
      <x:c r="N383" s="84"/>
    </x:row>
    <x:row r="384">
      <x:c r="A384" s="47" t="str">
        <x:v>SC378</x:v>
      </x:c>
      <x:c r="B384" s="47" t="str">
        <x:v>P21</x:v>
      </x:c>
      <x:c r="C384" s="47" t="str">
        <x:v>HU-A</x:v>
      </x:c>
      <x:c r="D384" s="47" t="str">
        <x:v>HU-A-B</x:v>
      </x:c>
      <x:c r="E384" s="47" t="str">
        <x:v>METHOD</x:v>
      </x:c>
      <x:c r="F384" s="47" t="str">
        <x:v>F18</x:v>
      </x:c>
      <x:c r="G384" s="47" t="str">
        <x:v>Epistemic</x:v>
      </x:c>
      <x:c r="H384" s="47" t="str">
        <x:v>Acceptance, expiry, disclosure and supersession rule</x:v>
      </x:c>
      <x:c r="I384" s="47" t="str">
        <x:v>PUBLIC</x:v>
      </x:c>
      <x:c r="J384" s="47" t="n">
        <x:v>1</x:v>
      </x:c>
      <x:c r="K384" s="56" t="n">
        <x:v>0</x:v>
      </x:c>
      <x:c r="L384" s="56" t="n">
        <x:v>0</x:v>
      </x:c>
      <x:c r="M384" s="47" t="str">
        <x:f>IF(AND(J384=1,K384=1,L384=1),"COMPLETE","OPEN")</x:f>
        <x:v>OPEN</x:v>
      </x:c>
      <x:c r="N384" s="84"/>
    </x:row>
    <x:row r="385">
      <x:c r="A385" s="47" t="str">
        <x:v>SC379</x:v>
      </x:c>
      <x:c r="B385" s="47" t="str">
        <x:v>P22</x:v>
      </x:c>
      <x:c r="C385" s="47" t="str">
        <x:v>HU-A</x:v>
      </x:c>
      <x:c r="D385" s="47" t="str">
        <x:v>HU-A-B</x:v>
      </x:c>
      <x:c r="E385" s="47" t="str">
        <x:v>VALID</x:v>
      </x:c>
      <x:c r="F385" s="47" t="str">
        <x:v>F01</x:v>
      </x:c>
      <x:c r="G385" s="47" t="str">
        <x:v>Identity</x:v>
      </x:c>
      <x:c r="H385" s="47" t="str">
        <x:v>Package identity and warrant scope</x:v>
      </x:c>
      <x:c r="I385" s="47" t="str">
        <x:v>PUBLIC</x:v>
      </x:c>
      <x:c r="J385" s="47" t="n">
        <x:v>1</x:v>
      </x:c>
      <x:c r="K385" s="56" t="n">
        <x:v>0</x:v>
      </x:c>
      <x:c r="L385" s="56" t="n">
        <x:v>0</x:v>
      </x:c>
      <x:c r="M385" s="47" t="str">
        <x:f>IF(AND(J385=1,K385=1,L385=1),"COMPLETE","OPEN")</x:f>
        <x:v>OPEN</x:v>
      </x:c>
      <x:c r="N385" s="84"/>
    </x:row>
    <x:row r="386">
      <x:c r="A386" s="47" t="str">
        <x:v>SC380</x:v>
      </x:c>
      <x:c r="B386" s="47" t="str">
        <x:v>P22</x:v>
      </x:c>
      <x:c r="C386" s="47" t="str">
        <x:v>HU-A</x:v>
      </x:c>
      <x:c r="D386" s="47" t="str">
        <x:v>HU-A-B</x:v>
      </x:c>
      <x:c r="E386" s="47" t="str">
        <x:v>VALID</x:v>
      </x:c>
      <x:c r="F386" s="47" t="str">
        <x:v>F02</x:v>
      </x:c>
      <x:c r="G386" s="47" t="str">
        <x:v>Identity</x:v>
      </x:c>
      <x:c r="H386" s="47" t="str">
        <x:v>Authorship, beneficial control and authority</x:v>
      </x:c>
      <x:c r="I386" s="47" t="str">
        <x:v>PUBLIC</x:v>
      </x:c>
      <x:c r="J386" s="47" t="n">
        <x:v>1</x:v>
      </x:c>
      <x:c r="K386" s="56" t="n">
        <x:v>0</x:v>
      </x:c>
      <x:c r="L386" s="56" t="n">
        <x:v>0</x:v>
      </x:c>
      <x:c r="M386" s="47" t="str">
        <x:f>IF(AND(J386=1,K386=1,L386=1),"COMPLETE","OPEN")</x:f>
        <x:v>OPEN</x:v>
      </x:c>
      <x:c r="N386" s="84"/>
    </x:row>
    <x:row r="387">
      <x:c r="A387" s="47" t="str">
        <x:v>SC381</x:v>
      </x:c>
      <x:c r="B387" s="47" t="str">
        <x:v>P22</x:v>
      </x:c>
      <x:c r="C387" s="47" t="str">
        <x:v>HU-A</x:v>
      </x:c>
      <x:c r="D387" s="47" t="str">
        <x:v>HU-A-B</x:v>
      </x:c>
      <x:c r="E387" s="47" t="str">
        <x:v>VALID</x:v>
      </x:c>
      <x:c r="F387" s="47" t="str">
        <x:v>F03</x:v>
      </x:c>
      <x:c r="G387" s="47" t="str">
        <x:v>Identity</x:v>
      </x:c>
      <x:c r="H387" s="47" t="str">
        <x:v>Configuration and content hash</x:v>
      </x:c>
      <x:c r="I387" s="47" t="str">
        <x:v>PUBLIC</x:v>
      </x:c>
      <x:c r="J387" s="47" t="n">
        <x:v>1</x:v>
      </x:c>
      <x:c r="K387" s="56" t="n">
        <x:v>0</x:v>
      </x:c>
      <x:c r="L387" s="56" t="n">
        <x:v>0</x:v>
      </x:c>
      <x:c r="M387" s="47" t="str">
        <x:f>IF(AND(J387=1,K387=1,L387=1),"COMPLETE","OPEN")</x:f>
        <x:v>OPEN</x:v>
      </x:c>
      <x:c r="N387" s="84"/>
    </x:row>
    <x:row r="388">
      <x:c r="A388" s="47" t="str">
        <x:v>SC382</x:v>
      </x:c>
      <x:c r="B388" s="47" t="str">
        <x:v>P22</x:v>
      </x:c>
      <x:c r="C388" s="47" t="str">
        <x:v>HU-A</x:v>
      </x:c>
      <x:c r="D388" s="47" t="str">
        <x:v>HU-A-B</x:v>
      </x:c>
      <x:c r="E388" s="47" t="str">
        <x:v>VALID</x:v>
      </x:c>
      <x:c r="F388" s="47" t="str">
        <x:v>F04</x:v>
      </x:c>
      <x:c r="G388" s="47" t="str">
        <x:v>Executable</x:v>
      </x:c>
      <x:c r="H388" s="47" t="str">
        <x:v>Native executable artifact</x:v>
      </x:c>
      <x:c r="I388" s="47" t="str">
        <x:v>ESCROW</x:v>
      </x:c>
      <x:c r="J388" s="47" t="n">
        <x:v>1</x:v>
      </x:c>
      <x:c r="K388" s="56" t="n">
        <x:v>0</x:v>
      </x:c>
      <x:c r="L388" s="56" t="n">
        <x:v>0</x:v>
      </x:c>
      <x:c r="M388" s="47" t="str">
        <x:f>IF(AND(J388=1,K388=1,L388=1),"COMPLETE","OPEN")</x:f>
        <x:v>OPEN</x:v>
      </x:c>
      <x:c r="N388" s="84"/>
    </x:row>
    <x:row r="389">
      <x:c r="A389" s="47" t="str">
        <x:v>SC383</x:v>
      </x:c>
      <x:c r="B389" s="47" t="str">
        <x:v>P22</x:v>
      </x:c>
      <x:c r="C389" s="47" t="str">
        <x:v>HU-A</x:v>
      </x:c>
      <x:c r="D389" s="47" t="str">
        <x:v>HU-A-B</x:v>
      </x:c>
      <x:c r="E389" s="47" t="str">
        <x:v>VALID</x:v>
      </x:c>
      <x:c r="F389" s="47" t="str">
        <x:v>F05</x:v>
      </x:c>
      <x:c r="G389" s="47" t="str">
        <x:v>Executable</x:v>
      </x:c>
      <x:c r="H389" s="47" t="str">
        <x:v>Native environment and toolchain image</x:v>
      </x:c>
      <x:c r="I389" s="47" t="str">
        <x:v>ESCROW</x:v>
      </x:c>
      <x:c r="J389" s="47" t="n">
        <x:v>1</x:v>
      </x:c>
      <x:c r="K389" s="56" t="n">
        <x:v>0</x:v>
      </x:c>
      <x:c r="L389" s="56" t="n">
        <x:v>0</x:v>
      </x:c>
      <x:c r="M389" s="47" t="str">
        <x:f>IF(AND(J389=1,K389=1,L389=1),"COMPLETE","OPEN")</x:f>
        <x:v>OPEN</x:v>
      </x:c>
      <x:c r="N389" s="84"/>
    </x:row>
    <x:row r="390">
      <x:c r="A390" s="47" t="str">
        <x:v>SC384</x:v>
      </x:c>
      <x:c r="B390" s="47" t="str">
        <x:v>P22</x:v>
      </x:c>
      <x:c r="C390" s="47" t="str">
        <x:v>HU-A</x:v>
      </x:c>
      <x:c r="D390" s="47" t="str">
        <x:v>HU-A-B</x:v>
      </x:c>
      <x:c r="E390" s="47" t="str">
        <x:v>VALID</x:v>
      </x:c>
      <x:c r="F390" s="47" t="str">
        <x:v>F06</x:v>
      </x:c>
      <x:c r="G390" s="47" t="str">
        <x:v>Executable</x:v>
      </x:c>
      <x:c r="H390" s="47" t="str">
        <x:v>Dependency bill, software bill and license rights</x:v>
      </x:c>
      <x:c r="I390" s="47" t="str">
        <x:v>PUBLIC</x:v>
      </x:c>
      <x:c r="J390" s="47" t="n">
        <x:v>1</x:v>
      </x:c>
      <x:c r="K390" s="56" t="n">
        <x:v>0</x:v>
      </x:c>
      <x:c r="L390" s="56" t="n">
        <x:v>0</x:v>
      </x:c>
      <x:c r="M390" s="47" t="str">
        <x:f>IF(AND(J390=1,K390=1,L390=1),"COMPLETE","OPEN")</x:f>
        <x:v>OPEN</x:v>
      </x:c>
      <x:c r="N390" s="84"/>
    </x:row>
    <x:row r="391">
      <x:c r="A391" s="47" t="str">
        <x:v>SC385</x:v>
      </x:c>
      <x:c r="B391" s="47" t="str">
        <x:v>P22</x:v>
      </x:c>
      <x:c r="C391" s="47" t="str">
        <x:v>HU-A</x:v>
      </x:c>
      <x:c r="D391" s="47" t="str">
        <x:v>HU-A-B</x:v>
      </x:c>
      <x:c r="E391" s="47" t="str">
        <x:v>VALID</x:v>
      </x:c>
      <x:c r="F391" s="47" t="str">
        <x:v>F07</x:v>
      </x:c>
      <x:c r="G391" s="47" t="str">
        <x:v>Executable</x:v>
      </x:c>
      <x:c r="H391" s="47" t="str">
        <x:v>Data provenance and calibration lineage</x:v>
      </x:c>
      <x:c r="I391" s="47" t="str">
        <x:v>ESCROW</x:v>
      </x:c>
      <x:c r="J391" s="47" t="n">
        <x:v>1</x:v>
      </x:c>
      <x:c r="K391" s="56" t="n">
        <x:v>0</x:v>
      </x:c>
      <x:c r="L391" s="56" t="n">
        <x:v>0</x:v>
      </x:c>
      <x:c r="M391" s="47" t="str">
        <x:f>IF(AND(J391=1,K391=1,L391=1),"COMPLETE","OPEN")</x:f>
        <x:v>OPEN</x:v>
      </x:c>
      <x:c r="N391" s="84"/>
    </x:row>
    <x:row r="392">
      <x:c r="A392" s="47" t="str">
        <x:v>SC386</x:v>
      </x:c>
      <x:c r="B392" s="47" t="str">
        <x:v>P22</x:v>
      </x:c>
      <x:c r="C392" s="47" t="str">
        <x:v>HU-A</x:v>
      </x:c>
      <x:c r="D392" s="47" t="str">
        <x:v>HU-A-B</x:v>
      </x:c>
      <x:c r="E392" s="47" t="str">
        <x:v>VALID</x:v>
      </x:c>
      <x:c r="F392" s="47" t="str">
        <x:v>F08</x:v>
      </x:c>
      <x:c r="G392" s="47" t="str">
        <x:v>Executable</x:v>
      </x:c>
      <x:c r="H392" s="47" t="str">
        <x:v>Random seed, solver and numerical controls</x:v>
      </x:c>
      <x:c r="I392" s="47" t="str">
        <x:v>ESCROW</x:v>
      </x:c>
      <x:c r="J392" s="47" t="n">
        <x:v>1</x:v>
      </x:c>
      <x:c r="K392" s="56" t="n">
        <x:v>0</x:v>
      </x:c>
      <x:c r="L392" s="56" t="n">
        <x:v>0</x:v>
      </x:c>
      <x:c r="M392" s="47" t="str">
        <x:f>IF(AND(J392=1,K392=1,L392=1),"COMPLETE","OPEN")</x:f>
        <x:v>OPEN</x:v>
      </x:c>
      <x:c r="N392" s="84"/>
    </x:row>
    <x:row r="393">
      <x:c r="A393" s="47" t="str">
        <x:v>SC387</x:v>
      </x:c>
      <x:c r="B393" s="47" t="str">
        <x:v>P22</x:v>
      </x:c>
      <x:c r="C393" s="47" t="str">
        <x:v>HU-A</x:v>
      </x:c>
      <x:c r="D393" s="47" t="str">
        <x:v>HU-A-B</x:v>
      </x:c>
      <x:c r="E393" s="47" t="str">
        <x:v>VALID</x:v>
      </x:c>
      <x:c r="F393" s="47" t="str">
        <x:v>F09</x:v>
      </x:c>
      <x:c r="G393" s="47" t="str">
        <x:v>Physical</x:v>
      </x:c>
      <x:c r="H393" s="47" t="str">
        <x:v>Units, coordinates and datums</x:v>
      </x:c>
      <x:c r="I393" s="47" t="str">
        <x:v>PUBLIC</x:v>
      </x:c>
      <x:c r="J393" s="47" t="n">
        <x:v>1</x:v>
      </x:c>
      <x:c r="K393" s="56" t="n">
        <x:v>0</x:v>
      </x:c>
      <x:c r="L393" s="56" t="n">
        <x:v>0</x:v>
      </x:c>
      <x:c r="M393" s="47" t="str">
        <x:f>IF(AND(J393=1,K393=1,L393=1),"COMPLETE","OPEN")</x:f>
        <x:v>OPEN</x:v>
      </x:c>
      <x:c r="N393" s="84"/>
    </x:row>
    <x:row r="394">
      <x:c r="A394" s="47" t="str">
        <x:v>SC388</x:v>
      </x:c>
      <x:c r="B394" s="47" t="str">
        <x:v>P22</x:v>
      </x:c>
      <x:c r="C394" s="47" t="str">
        <x:v>HU-A</x:v>
      </x:c>
      <x:c r="D394" s="47" t="str">
        <x:v>HU-A-B</x:v>
      </x:c>
      <x:c r="E394" s="47" t="str">
        <x:v>VALID</x:v>
      </x:c>
      <x:c r="F394" s="47" t="str">
        <x:v>F10</x:v>
      </x:c>
      <x:c r="G394" s="47" t="str">
        <x:v>Physical</x:v>
      </x:c>
      <x:c r="H394" s="47" t="str">
        <x:v>Material, property and constitutive sources</x:v>
      </x:c>
      <x:c r="I394" s="47" t="str">
        <x:v>PUBLIC</x:v>
      </x:c>
      <x:c r="J394" s="47" t="n">
        <x:v>1</x:v>
      </x:c>
      <x:c r="K394" s="56" t="n">
        <x:v>0</x:v>
      </x:c>
      <x:c r="L394" s="56" t="n">
        <x:v>0</x:v>
      </x:c>
      <x:c r="M394" s="47" t="str">
        <x:f>IF(AND(J394=1,K394=1,L394=1),"COMPLETE","OPEN")</x:f>
        <x:v>OPEN</x:v>
      </x:c>
      <x:c r="N394" s="84"/>
    </x:row>
    <x:row r="395">
      <x:c r="A395" s="47" t="str">
        <x:v>SC389</x:v>
      </x:c>
      <x:c r="B395" s="47" t="str">
        <x:v>P22</x:v>
      </x:c>
      <x:c r="C395" s="47" t="str">
        <x:v>HU-A</x:v>
      </x:c>
      <x:c r="D395" s="47" t="str">
        <x:v>HU-A-B</x:v>
      </x:c>
      <x:c r="E395" s="47" t="str">
        <x:v>VALID</x:v>
      </x:c>
      <x:c r="F395" s="47" t="str">
        <x:v>F11</x:v>
      </x:c>
      <x:c r="G395" s="47" t="str">
        <x:v>Physical</x:v>
      </x:c>
      <x:c r="H395" s="47" t="str">
        <x:v>Interfaces, tolerances and boundary conditions</x:v>
      </x:c>
      <x:c r="I395" s="47" t="str">
        <x:v>PUBLIC</x:v>
      </x:c>
      <x:c r="J395" s="47" t="n">
        <x:v>1</x:v>
      </x:c>
      <x:c r="K395" s="56" t="n">
        <x:v>0</x:v>
      </x:c>
      <x:c r="L395" s="56" t="n">
        <x:v>0</x:v>
      </x:c>
      <x:c r="M395" s="47" t="str">
        <x:f>IF(AND(J395=1,K395=1,L395=1),"COMPLETE","OPEN")</x:f>
        <x:v>OPEN</x:v>
      </x:c>
      <x:c r="N395" s="84"/>
    </x:row>
    <x:row r="396">
      <x:c r="A396" s="47" t="str">
        <x:v>SC390</x:v>
      </x:c>
      <x:c r="B396" s="47" t="str">
        <x:v>P22</x:v>
      </x:c>
      <x:c r="C396" s="47" t="str">
        <x:v>HU-A</x:v>
      </x:c>
      <x:c r="D396" s="47" t="str">
        <x:v>HU-A-B</x:v>
      </x:c>
      <x:c r="E396" s="47" t="str">
        <x:v>VALID</x:v>
      </x:c>
      <x:c r="F396" s="47" t="str">
        <x:v>F12</x:v>
      </x:c>
      <x:c r="G396" s="47" t="str">
        <x:v>Physical</x:v>
      </x:c>
      <x:c r="H396" s="47" t="str">
        <x:v>Manufacturing, process and assembly assumptions</x:v>
      </x:c>
      <x:c r="I396" s="47" t="str">
        <x:v>PUBLIC</x:v>
      </x:c>
      <x:c r="J396" s="47" t="n">
        <x:v>1</x:v>
      </x:c>
      <x:c r="K396" s="56" t="n">
        <x:v>0</x:v>
      </x:c>
      <x:c r="L396" s="56" t="n">
        <x:v>0</x:v>
      </x:c>
      <x:c r="M396" s="47" t="str">
        <x:f>IF(AND(J396=1,K396=1,L396=1),"COMPLETE","OPEN")</x:f>
        <x:v>OPEN</x:v>
      </x:c>
      <x:c r="N396" s="84"/>
    </x:row>
    <x:row r="397">
      <x:c r="A397" s="47" t="str">
        <x:v>SC391</x:v>
      </x:c>
      <x:c r="B397" s="47" t="str">
        <x:v>P22</x:v>
      </x:c>
      <x:c r="C397" s="47" t="str">
        <x:v>HU-A</x:v>
      </x:c>
      <x:c r="D397" s="47" t="str">
        <x:v>HU-A-B</x:v>
      </x:c>
      <x:c r="E397" s="47" t="str">
        <x:v>VALID</x:v>
      </x:c>
      <x:c r="F397" s="47" t="str">
        <x:v>F13</x:v>
      </x:c>
      <x:c r="G397" s="47" t="str">
        <x:v>Civic</x:v>
      </x:c>
      <x:c r="H397" s="47" t="str">
        <x:v>Safe-state and abort logic</x:v>
      </x:c>
      <x:c r="I397" s="47" t="str">
        <x:v>PUBLIC</x:v>
      </x:c>
      <x:c r="J397" s="47" t="n">
        <x:v>1</x:v>
      </x:c>
      <x:c r="K397" s="56" t="n">
        <x:v>0</x:v>
      </x:c>
      <x:c r="L397" s="56" t="n">
        <x:v>0</x:v>
      </x:c>
      <x:c r="M397" s="47" t="str">
        <x:f>IF(AND(J397=1,K397=1,L397=1),"COMPLETE","OPEN")</x:f>
        <x:v>OPEN</x:v>
      </x:c>
      <x:c r="N397" s="84"/>
    </x:row>
    <x:row r="398">
      <x:c r="A398" s="47" t="str">
        <x:v>SC392</x:v>
      </x:c>
      <x:c r="B398" s="47" t="str">
        <x:v>P22</x:v>
      </x:c>
      <x:c r="C398" s="47" t="str">
        <x:v>HU-A</x:v>
      </x:c>
      <x:c r="D398" s="47" t="str">
        <x:v>HU-A-B</x:v>
      </x:c>
      <x:c r="E398" s="47" t="str">
        <x:v>VALID</x:v>
      </x:c>
      <x:c r="F398" s="47" t="str">
        <x:v>F14</x:v>
      </x:c>
      <x:c r="G398" s="47" t="str">
        <x:v>Civic</x:v>
      </x:c>
      <x:c r="H398" s="47" t="str">
        <x:v>Receiver and residual dispositions</x:v>
      </x:c>
      <x:c r="I398" s="47" t="str">
        <x:v>PUBLIC</x:v>
      </x:c>
      <x:c r="J398" s="47" t="n">
        <x:v>1</x:v>
      </x:c>
      <x:c r="K398" s="56" t="n">
        <x:v>0</x:v>
      </x:c>
      <x:c r="L398" s="56" t="n">
        <x:v>0</x:v>
      </x:c>
      <x:c r="M398" s="47" t="str">
        <x:f>IF(AND(J398=1,K398=1,L398=1),"COMPLETE","OPEN")</x:f>
        <x:v>OPEN</x:v>
      </x:c>
      <x:c r="N398" s="84"/>
    </x:row>
    <x:row r="399">
      <x:c r="A399" s="47" t="str">
        <x:v>SC393</x:v>
      </x:c>
      <x:c r="B399" s="47" t="str">
        <x:v>P22</x:v>
      </x:c>
      <x:c r="C399" s="47" t="str">
        <x:v>HU-A</x:v>
      </x:c>
      <x:c r="D399" s="47" t="str">
        <x:v>HU-A-B</x:v>
      </x:c>
      <x:c r="E399" s="47" t="str">
        <x:v>VALID</x:v>
      </x:c>
      <x:c r="F399" s="47" t="str">
        <x:v>F15</x:v>
      </x:c>
      <x:c r="G399" s="47" t="str">
        <x:v>Civic</x:v>
      </x:c>
      <x:c r="H399" s="47" t="str">
        <x:v>Rights, access and affected-population obligations</x:v>
      </x:c>
      <x:c r="I399" s="47" t="str">
        <x:v>PUBLIC</x:v>
      </x:c>
      <x:c r="J399" s="47" t="n">
        <x:v>1</x:v>
      </x:c>
      <x:c r="K399" s="56" t="n">
        <x:v>0</x:v>
      </x:c>
      <x:c r="L399" s="56" t="n">
        <x:v>0</x:v>
      </x:c>
      <x:c r="M399" s="47" t="str">
        <x:f>IF(AND(J399=1,K399=1,L399=1),"COMPLETE","OPEN")</x:f>
        <x:v>OPEN</x:v>
      </x:c>
      <x:c r="N399" s="84"/>
    </x:row>
    <x:row r="400">
      <x:c r="A400" s="47" t="str">
        <x:v>SC394</x:v>
      </x:c>
      <x:c r="B400" s="47" t="str">
        <x:v>P22</x:v>
      </x:c>
      <x:c r="C400" s="47" t="str">
        <x:v>HU-A</x:v>
      </x:c>
      <x:c r="D400" s="47" t="str">
        <x:v>HU-A-B</x:v>
      </x:c>
      <x:c r="E400" s="47" t="str">
        <x:v>VALID</x:v>
      </x:c>
      <x:c r="F400" s="47" t="str">
        <x:v>F16</x:v>
      </x:c>
      <x:c r="G400" s="47" t="str">
        <x:v>Epistemic</x:v>
      </x:c>
      <x:c r="H400" s="47" t="str">
        <x:v>Assumptions, unknowns and uncertainty bounds</x:v>
      </x:c>
      <x:c r="I400" s="47" t="str">
        <x:v>PUBLIC</x:v>
      </x:c>
      <x:c r="J400" s="47" t="n">
        <x:v>1</x:v>
      </x:c>
      <x:c r="K400" s="56" t="n">
        <x:v>0</x:v>
      </x:c>
      <x:c r="L400" s="56" t="n">
        <x:v>0</x:v>
      </x:c>
      <x:c r="M400" s="47" t="str">
        <x:f>IF(AND(J400=1,K400=1,L400=1),"COMPLETE","OPEN")</x:f>
        <x:v>OPEN</x:v>
      </x:c>
      <x:c r="N400" s="84"/>
    </x:row>
    <x:row r="401">
      <x:c r="A401" s="47" t="str">
        <x:v>SC395</x:v>
      </x:c>
      <x:c r="B401" s="47" t="str">
        <x:v>P22</x:v>
      </x:c>
      <x:c r="C401" s="47" t="str">
        <x:v>HU-A</x:v>
      </x:c>
      <x:c r="D401" s="47" t="str">
        <x:v>HU-A-B</x:v>
      </x:c>
      <x:c r="E401" s="47" t="str">
        <x:v>VALID</x:v>
      </x:c>
      <x:c r="F401" s="47" t="str">
        <x:v>F17</x:v>
      </x:c>
      <x:c r="G401" s="47" t="str">
        <x:v>Epistemic</x:v>
      </x:c>
      <x:c r="H401" s="47" t="str">
        <x:v>Causal event, denominator and claim trace</x:v>
      </x:c>
      <x:c r="I401" s="47" t="str">
        <x:v>PUBLIC</x:v>
      </x:c>
      <x:c r="J401" s="47" t="n">
        <x:v>1</x:v>
      </x:c>
      <x:c r="K401" s="56" t="n">
        <x:v>0</x:v>
      </x:c>
      <x:c r="L401" s="56" t="n">
        <x:v>0</x:v>
      </x:c>
      <x:c r="M401" s="47" t="str">
        <x:f>IF(AND(J401=1,K401=1,L401=1),"COMPLETE","OPEN")</x:f>
        <x:v>OPEN</x:v>
      </x:c>
      <x:c r="N401" s="84"/>
    </x:row>
    <x:row r="402">
      <x:c r="A402" s="47" t="str">
        <x:v>SC396</x:v>
      </x:c>
      <x:c r="B402" s="47" t="str">
        <x:v>P22</x:v>
      </x:c>
      <x:c r="C402" s="47" t="str">
        <x:v>HU-A</x:v>
      </x:c>
      <x:c r="D402" s="47" t="str">
        <x:v>HU-A-B</x:v>
      </x:c>
      <x:c r="E402" s="47" t="str">
        <x:v>VALID</x:v>
      </x:c>
      <x:c r="F402" s="47" t="str">
        <x:v>F18</x:v>
      </x:c>
      <x:c r="G402" s="47" t="str">
        <x:v>Epistemic</x:v>
      </x:c>
      <x:c r="H402" s="47" t="str">
        <x:v>Acceptance, expiry, disclosure and supersession rule</x:v>
      </x:c>
      <x:c r="I402" s="47" t="str">
        <x:v>PUBLIC</x:v>
      </x:c>
      <x:c r="J402" s="47" t="n">
        <x:v>1</x:v>
      </x:c>
      <x:c r="K402" s="56" t="n">
        <x:v>0</x:v>
      </x:c>
      <x:c r="L402" s="56" t="n">
        <x:v>0</x:v>
      </x:c>
      <x:c r="M402" s="47" t="str">
        <x:f>IF(AND(J402=1,K402=1,L402=1),"COMPLETE","OPEN")</x:f>
        <x:v>OPEN</x:v>
      </x:c>
      <x:c r="N402" s="84"/>
    </x:row>
    <x:row r="403">
      <x:c r="A403" s="47" t="str">
        <x:v>SC397</x:v>
      </x:c>
      <x:c r="B403" s="47" t="str">
        <x:v>P23</x:v>
      </x:c>
      <x:c r="C403" s="47" t="str">
        <x:v>HU-A</x:v>
      </x:c>
      <x:c r="D403" s="47" t="str">
        <x:v>HU-A-B</x:v>
      </x:c>
      <x:c r="E403" s="47" t="str">
        <x:v>CIVIL</x:v>
      </x:c>
      <x:c r="F403" s="47" t="str">
        <x:v>F01</x:v>
      </x:c>
      <x:c r="G403" s="47" t="str">
        <x:v>Identity</x:v>
      </x:c>
      <x:c r="H403" s="47" t="str">
        <x:v>Package identity and warrant scope</x:v>
      </x:c>
      <x:c r="I403" s="47" t="str">
        <x:v>PUBLIC</x:v>
      </x:c>
      <x:c r="J403" s="47" t="n">
        <x:v>1</x:v>
      </x:c>
      <x:c r="K403" s="56" t="n">
        <x:v>0</x:v>
      </x:c>
      <x:c r="L403" s="56" t="n">
        <x:v>0</x:v>
      </x:c>
      <x:c r="M403" s="47" t="str">
        <x:f>IF(AND(J403=1,K403=1,L403=1),"COMPLETE","OPEN")</x:f>
        <x:v>OPEN</x:v>
      </x:c>
      <x:c r="N403" s="84"/>
    </x:row>
    <x:row r="404">
      <x:c r="A404" s="47" t="str">
        <x:v>SC398</x:v>
      </x:c>
      <x:c r="B404" s="47" t="str">
        <x:v>P23</x:v>
      </x:c>
      <x:c r="C404" s="47" t="str">
        <x:v>HU-A</x:v>
      </x:c>
      <x:c r="D404" s="47" t="str">
        <x:v>HU-A-B</x:v>
      </x:c>
      <x:c r="E404" s="47" t="str">
        <x:v>CIVIL</x:v>
      </x:c>
      <x:c r="F404" s="47" t="str">
        <x:v>F02</x:v>
      </x:c>
      <x:c r="G404" s="47" t="str">
        <x:v>Identity</x:v>
      </x:c>
      <x:c r="H404" s="47" t="str">
        <x:v>Authorship, beneficial control and authority</x:v>
      </x:c>
      <x:c r="I404" s="47" t="str">
        <x:v>PUBLIC</x:v>
      </x:c>
      <x:c r="J404" s="47" t="n">
        <x:v>1</x:v>
      </x:c>
      <x:c r="K404" s="56" t="n">
        <x:v>0</x:v>
      </x:c>
      <x:c r="L404" s="56" t="n">
        <x:v>0</x:v>
      </x:c>
      <x:c r="M404" s="47" t="str">
        <x:f>IF(AND(J404=1,K404=1,L404=1),"COMPLETE","OPEN")</x:f>
        <x:v>OPEN</x:v>
      </x:c>
      <x:c r="N404" s="84"/>
    </x:row>
    <x:row r="405">
      <x:c r="A405" s="47" t="str">
        <x:v>SC399</x:v>
      </x:c>
      <x:c r="B405" s="47" t="str">
        <x:v>P23</x:v>
      </x:c>
      <x:c r="C405" s="47" t="str">
        <x:v>HU-A</x:v>
      </x:c>
      <x:c r="D405" s="47" t="str">
        <x:v>HU-A-B</x:v>
      </x:c>
      <x:c r="E405" s="47" t="str">
        <x:v>CIVIL</x:v>
      </x:c>
      <x:c r="F405" s="47" t="str">
        <x:v>F03</x:v>
      </x:c>
      <x:c r="G405" s="47" t="str">
        <x:v>Identity</x:v>
      </x:c>
      <x:c r="H405" s="47" t="str">
        <x:v>Configuration and content hash</x:v>
      </x:c>
      <x:c r="I405" s="47" t="str">
        <x:v>PUBLIC</x:v>
      </x:c>
      <x:c r="J405" s="47" t="n">
        <x:v>1</x:v>
      </x:c>
      <x:c r="K405" s="56" t="n">
        <x:v>0</x:v>
      </x:c>
      <x:c r="L405" s="56" t="n">
        <x:v>0</x:v>
      </x:c>
      <x:c r="M405" s="47" t="str">
        <x:f>IF(AND(J405=1,K405=1,L405=1),"COMPLETE","OPEN")</x:f>
        <x:v>OPEN</x:v>
      </x:c>
      <x:c r="N405" s="84"/>
    </x:row>
    <x:row r="406">
      <x:c r="A406" s="47" t="str">
        <x:v>SC400</x:v>
      </x:c>
      <x:c r="B406" s="47" t="str">
        <x:v>P23</x:v>
      </x:c>
      <x:c r="C406" s="47" t="str">
        <x:v>HU-A</x:v>
      </x:c>
      <x:c r="D406" s="47" t="str">
        <x:v>HU-A-B</x:v>
      </x:c>
      <x:c r="E406" s="47" t="str">
        <x:v>CIVIL</x:v>
      </x:c>
      <x:c r="F406" s="47" t="str">
        <x:v>F04</x:v>
      </x:c>
      <x:c r="G406" s="47" t="str">
        <x:v>Executable</x:v>
      </x:c>
      <x:c r="H406" s="47" t="str">
        <x:v>Native executable artifact</x:v>
      </x:c>
      <x:c r="I406" s="47" t="str">
        <x:v>ESCROW</x:v>
      </x:c>
      <x:c r="J406" s="47" t="n">
        <x:v>1</x:v>
      </x:c>
      <x:c r="K406" s="56" t="n">
        <x:v>0</x:v>
      </x:c>
      <x:c r="L406" s="56" t="n">
        <x:v>0</x:v>
      </x:c>
      <x:c r="M406" s="47" t="str">
        <x:f>IF(AND(J406=1,K406=1,L406=1),"COMPLETE","OPEN")</x:f>
        <x:v>OPEN</x:v>
      </x:c>
      <x:c r="N406" s="84"/>
    </x:row>
    <x:row r="407">
      <x:c r="A407" s="47" t="str">
        <x:v>SC401</x:v>
      </x:c>
      <x:c r="B407" s="47" t="str">
        <x:v>P23</x:v>
      </x:c>
      <x:c r="C407" s="47" t="str">
        <x:v>HU-A</x:v>
      </x:c>
      <x:c r="D407" s="47" t="str">
        <x:v>HU-A-B</x:v>
      </x:c>
      <x:c r="E407" s="47" t="str">
        <x:v>CIVIL</x:v>
      </x:c>
      <x:c r="F407" s="47" t="str">
        <x:v>F05</x:v>
      </x:c>
      <x:c r="G407" s="47" t="str">
        <x:v>Executable</x:v>
      </x:c>
      <x:c r="H407" s="47" t="str">
        <x:v>Native environment and toolchain image</x:v>
      </x:c>
      <x:c r="I407" s="47" t="str">
        <x:v>ESCROW</x:v>
      </x:c>
      <x:c r="J407" s="47" t="n">
        <x:v>1</x:v>
      </x:c>
      <x:c r="K407" s="56" t="n">
        <x:v>0</x:v>
      </x:c>
      <x:c r="L407" s="56" t="n">
        <x:v>0</x:v>
      </x:c>
      <x:c r="M407" s="47" t="str">
        <x:f>IF(AND(J407=1,K407=1,L407=1),"COMPLETE","OPEN")</x:f>
        <x:v>OPEN</x:v>
      </x:c>
      <x:c r="N407" s="84"/>
    </x:row>
    <x:row r="408">
      <x:c r="A408" s="47" t="str">
        <x:v>SC402</x:v>
      </x:c>
      <x:c r="B408" s="47" t="str">
        <x:v>P23</x:v>
      </x:c>
      <x:c r="C408" s="47" t="str">
        <x:v>HU-A</x:v>
      </x:c>
      <x:c r="D408" s="47" t="str">
        <x:v>HU-A-B</x:v>
      </x:c>
      <x:c r="E408" s="47" t="str">
        <x:v>CIVIL</x:v>
      </x:c>
      <x:c r="F408" s="47" t="str">
        <x:v>F06</x:v>
      </x:c>
      <x:c r="G408" s="47" t="str">
        <x:v>Executable</x:v>
      </x:c>
      <x:c r="H408" s="47" t="str">
        <x:v>Dependency bill, software bill and license rights</x:v>
      </x:c>
      <x:c r="I408" s="47" t="str">
        <x:v>PUBLIC</x:v>
      </x:c>
      <x:c r="J408" s="47" t="n">
        <x:v>1</x:v>
      </x:c>
      <x:c r="K408" s="56" t="n">
        <x:v>0</x:v>
      </x:c>
      <x:c r="L408" s="56" t="n">
        <x:v>0</x:v>
      </x:c>
      <x:c r="M408" s="47" t="str">
        <x:f>IF(AND(J408=1,K408=1,L408=1),"COMPLETE","OPEN")</x:f>
        <x:v>OPEN</x:v>
      </x:c>
      <x:c r="N408" s="84"/>
    </x:row>
    <x:row r="409">
      <x:c r="A409" s="47" t="str">
        <x:v>SC403</x:v>
      </x:c>
      <x:c r="B409" s="47" t="str">
        <x:v>P23</x:v>
      </x:c>
      <x:c r="C409" s="47" t="str">
        <x:v>HU-A</x:v>
      </x:c>
      <x:c r="D409" s="47" t="str">
        <x:v>HU-A-B</x:v>
      </x:c>
      <x:c r="E409" s="47" t="str">
        <x:v>CIVIL</x:v>
      </x:c>
      <x:c r="F409" s="47" t="str">
        <x:v>F07</x:v>
      </x:c>
      <x:c r="G409" s="47" t="str">
        <x:v>Executable</x:v>
      </x:c>
      <x:c r="H409" s="47" t="str">
        <x:v>Data provenance and calibration lineage</x:v>
      </x:c>
      <x:c r="I409" s="47" t="str">
        <x:v>ESCROW</x:v>
      </x:c>
      <x:c r="J409" s="47" t="n">
        <x:v>1</x:v>
      </x:c>
      <x:c r="K409" s="56" t="n">
        <x:v>0</x:v>
      </x:c>
      <x:c r="L409" s="56" t="n">
        <x:v>0</x:v>
      </x:c>
      <x:c r="M409" s="47" t="str">
        <x:f>IF(AND(J409=1,K409=1,L409=1),"COMPLETE","OPEN")</x:f>
        <x:v>OPEN</x:v>
      </x:c>
      <x:c r="N409" s="84"/>
    </x:row>
    <x:row r="410">
      <x:c r="A410" s="47" t="str">
        <x:v>SC404</x:v>
      </x:c>
      <x:c r="B410" s="47" t="str">
        <x:v>P23</x:v>
      </x:c>
      <x:c r="C410" s="47" t="str">
        <x:v>HU-A</x:v>
      </x:c>
      <x:c r="D410" s="47" t="str">
        <x:v>HU-A-B</x:v>
      </x:c>
      <x:c r="E410" s="47" t="str">
        <x:v>CIVIL</x:v>
      </x:c>
      <x:c r="F410" s="47" t="str">
        <x:v>F08</x:v>
      </x:c>
      <x:c r="G410" s="47" t="str">
        <x:v>Executable</x:v>
      </x:c>
      <x:c r="H410" s="47" t="str">
        <x:v>Random seed, solver and numerical controls</x:v>
      </x:c>
      <x:c r="I410" s="47" t="str">
        <x:v>ESCROW</x:v>
      </x:c>
      <x:c r="J410" s="47" t="n">
        <x:v>1</x:v>
      </x:c>
      <x:c r="K410" s="56" t="n">
        <x:v>0</x:v>
      </x:c>
      <x:c r="L410" s="56" t="n">
        <x:v>0</x:v>
      </x:c>
      <x:c r="M410" s="47" t="str">
        <x:f>IF(AND(J410=1,K410=1,L410=1),"COMPLETE","OPEN")</x:f>
        <x:v>OPEN</x:v>
      </x:c>
      <x:c r="N410" s="84"/>
    </x:row>
    <x:row r="411">
      <x:c r="A411" s="47" t="str">
        <x:v>SC405</x:v>
      </x:c>
      <x:c r="B411" s="47" t="str">
        <x:v>P23</x:v>
      </x:c>
      <x:c r="C411" s="47" t="str">
        <x:v>HU-A</x:v>
      </x:c>
      <x:c r="D411" s="47" t="str">
        <x:v>HU-A-B</x:v>
      </x:c>
      <x:c r="E411" s="47" t="str">
        <x:v>CIVIL</x:v>
      </x:c>
      <x:c r="F411" s="47" t="str">
        <x:v>F09</x:v>
      </x:c>
      <x:c r="G411" s="47" t="str">
        <x:v>Physical</x:v>
      </x:c>
      <x:c r="H411" s="47" t="str">
        <x:v>Units, coordinates and datums</x:v>
      </x:c>
      <x:c r="I411" s="47" t="str">
        <x:v>PUBLIC</x:v>
      </x:c>
      <x:c r="J411" s="47" t="n">
        <x:v>1</x:v>
      </x:c>
      <x:c r="K411" s="56" t="n">
        <x:v>0</x:v>
      </x:c>
      <x:c r="L411" s="56" t="n">
        <x:v>0</x:v>
      </x:c>
      <x:c r="M411" s="47" t="str">
        <x:f>IF(AND(J411=1,K411=1,L411=1),"COMPLETE","OPEN")</x:f>
        <x:v>OPEN</x:v>
      </x:c>
      <x:c r="N411" s="84"/>
    </x:row>
    <x:row r="412">
      <x:c r="A412" s="47" t="str">
        <x:v>SC406</x:v>
      </x:c>
      <x:c r="B412" s="47" t="str">
        <x:v>P23</x:v>
      </x:c>
      <x:c r="C412" s="47" t="str">
        <x:v>HU-A</x:v>
      </x:c>
      <x:c r="D412" s="47" t="str">
        <x:v>HU-A-B</x:v>
      </x:c>
      <x:c r="E412" s="47" t="str">
        <x:v>CIVIL</x:v>
      </x:c>
      <x:c r="F412" s="47" t="str">
        <x:v>F10</x:v>
      </x:c>
      <x:c r="G412" s="47" t="str">
        <x:v>Physical</x:v>
      </x:c>
      <x:c r="H412" s="47" t="str">
        <x:v>Material, property and constitutive sources</x:v>
      </x:c>
      <x:c r="I412" s="47" t="str">
        <x:v>PUBLIC</x:v>
      </x:c>
      <x:c r="J412" s="47" t="n">
        <x:v>1</x:v>
      </x:c>
      <x:c r="K412" s="56" t="n">
        <x:v>0</x:v>
      </x:c>
      <x:c r="L412" s="56" t="n">
        <x:v>0</x:v>
      </x:c>
      <x:c r="M412" s="47" t="str">
        <x:f>IF(AND(J412=1,K412=1,L412=1),"COMPLETE","OPEN")</x:f>
        <x:v>OPEN</x:v>
      </x:c>
      <x:c r="N412" s="84"/>
    </x:row>
    <x:row r="413">
      <x:c r="A413" s="47" t="str">
        <x:v>SC407</x:v>
      </x:c>
      <x:c r="B413" s="47" t="str">
        <x:v>P23</x:v>
      </x:c>
      <x:c r="C413" s="47" t="str">
        <x:v>HU-A</x:v>
      </x:c>
      <x:c r="D413" s="47" t="str">
        <x:v>HU-A-B</x:v>
      </x:c>
      <x:c r="E413" s="47" t="str">
        <x:v>CIVIL</x:v>
      </x:c>
      <x:c r="F413" s="47" t="str">
        <x:v>F11</x:v>
      </x:c>
      <x:c r="G413" s="47" t="str">
        <x:v>Physical</x:v>
      </x:c>
      <x:c r="H413" s="47" t="str">
        <x:v>Interfaces, tolerances and boundary conditions</x:v>
      </x:c>
      <x:c r="I413" s="47" t="str">
        <x:v>PUBLIC</x:v>
      </x:c>
      <x:c r="J413" s="47" t="n">
        <x:v>1</x:v>
      </x:c>
      <x:c r="K413" s="56" t="n">
        <x:v>0</x:v>
      </x:c>
      <x:c r="L413" s="56" t="n">
        <x:v>0</x:v>
      </x:c>
      <x:c r="M413" s="47" t="str">
        <x:f>IF(AND(J413=1,K413=1,L413=1),"COMPLETE","OPEN")</x:f>
        <x:v>OPEN</x:v>
      </x:c>
      <x:c r="N413" s="84"/>
    </x:row>
    <x:row r="414">
      <x:c r="A414" s="47" t="str">
        <x:v>SC408</x:v>
      </x:c>
      <x:c r="B414" s="47" t="str">
        <x:v>P23</x:v>
      </x:c>
      <x:c r="C414" s="47" t="str">
        <x:v>HU-A</x:v>
      </x:c>
      <x:c r="D414" s="47" t="str">
        <x:v>HU-A-B</x:v>
      </x:c>
      <x:c r="E414" s="47" t="str">
        <x:v>CIVIL</x:v>
      </x:c>
      <x:c r="F414" s="47" t="str">
        <x:v>F12</x:v>
      </x:c>
      <x:c r="G414" s="47" t="str">
        <x:v>Physical</x:v>
      </x:c>
      <x:c r="H414" s="47" t="str">
        <x:v>Manufacturing, process and assembly assumptions</x:v>
      </x:c>
      <x:c r="I414" s="47" t="str">
        <x:v>PUBLIC</x:v>
      </x:c>
      <x:c r="J414" s="47" t="n">
        <x:v>1</x:v>
      </x:c>
      <x:c r="K414" s="56" t="n">
        <x:v>0</x:v>
      </x:c>
      <x:c r="L414" s="56" t="n">
        <x:v>0</x:v>
      </x:c>
      <x:c r="M414" s="47" t="str">
        <x:f>IF(AND(J414=1,K414=1,L414=1),"COMPLETE","OPEN")</x:f>
        <x:v>OPEN</x:v>
      </x:c>
      <x:c r="N414" s="84"/>
    </x:row>
    <x:row r="415">
      <x:c r="A415" s="47" t="str">
        <x:v>SC409</x:v>
      </x:c>
      <x:c r="B415" s="47" t="str">
        <x:v>P23</x:v>
      </x:c>
      <x:c r="C415" s="47" t="str">
        <x:v>HU-A</x:v>
      </x:c>
      <x:c r="D415" s="47" t="str">
        <x:v>HU-A-B</x:v>
      </x:c>
      <x:c r="E415" s="47" t="str">
        <x:v>CIVIL</x:v>
      </x:c>
      <x:c r="F415" s="47" t="str">
        <x:v>F13</x:v>
      </x:c>
      <x:c r="G415" s="47" t="str">
        <x:v>Civic</x:v>
      </x:c>
      <x:c r="H415" s="47" t="str">
        <x:v>Safe-state and abort logic</x:v>
      </x:c>
      <x:c r="I415" s="47" t="str">
        <x:v>PUBLIC</x:v>
      </x:c>
      <x:c r="J415" s="47" t="n">
        <x:v>1</x:v>
      </x:c>
      <x:c r="K415" s="56" t="n">
        <x:v>0</x:v>
      </x:c>
      <x:c r="L415" s="56" t="n">
        <x:v>0</x:v>
      </x:c>
      <x:c r="M415" s="47" t="str">
        <x:f>IF(AND(J415=1,K415=1,L415=1),"COMPLETE","OPEN")</x:f>
        <x:v>OPEN</x:v>
      </x:c>
      <x:c r="N415" s="84"/>
    </x:row>
    <x:row r="416">
      <x:c r="A416" s="47" t="str">
        <x:v>SC410</x:v>
      </x:c>
      <x:c r="B416" s="47" t="str">
        <x:v>P23</x:v>
      </x:c>
      <x:c r="C416" s="47" t="str">
        <x:v>HU-A</x:v>
      </x:c>
      <x:c r="D416" s="47" t="str">
        <x:v>HU-A-B</x:v>
      </x:c>
      <x:c r="E416" s="47" t="str">
        <x:v>CIVIL</x:v>
      </x:c>
      <x:c r="F416" s="47" t="str">
        <x:v>F14</x:v>
      </x:c>
      <x:c r="G416" s="47" t="str">
        <x:v>Civic</x:v>
      </x:c>
      <x:c r="H416" s="47" t="str">
        <x:v>Receiver and residual dispositions</x:v>
      </x:c>
      <x:c r="I416" s="47" t="str">
        <x:v>PUBLIC</x:v>
      </x:c>
      <x:c r="J416" s="47" t="n">
        <x:v>1</x:v>
      </x:c>
      <x:c r="K416" s="56" t="n">
        <x:v>0</x:v>
      </x:c>
      <x:c r="L416" s="56" t="n">
        <x:v>0</x:v>
      </x:c>
      <x:c r="M416" s="47" t="str">
        <x:f>IF(AND(J416=1,K416=1,L416=1),"COMPLETE","OPEN")</x:f>
        <x:v>OPEN</x:v>
      </x:c>
      <x:c r="N416" s="84"/>
    </x:row>
    <x:row r="417">
      <x:c r="A417" s="47" t="str">
        <x:v>SC411</x:v>
      </x:c>
      <x:c r="B417" s="47" t="str">
        <x:v>P23</x:v>
      </x:c>
      <x:c r="C417" s="47" t="str">
        <x:v>HU-A</x:v>
      </x:c>
      <x:c r="D417" s="47" t="str">
        <x:v>HU-A-B</x:v>
      </x:c>
      <x:c r="E417" s="47" t="str">
        <x:v>CIVIL</x:v>
      </x:c>
      <x:c r="F417" s="47" t="str">
        <x:v>F15</x:v>
      </x:c>
      <x:c r="G417" s="47" t="str">
        <x:v>Civic</x:v>
      </x:c>
      <x:c r="H417" s="47" t="str">
        <x:v>Rights, access and affected-population obligations</x:v>
      </x:c>
      <x:c r="I417" s="47" t="str">
        <x:v>PUBLIC</x:v>
      </x:c>
      <x:c r="J417" s="47" t="n">
        <x:v>1</x:v>
      </x:c>
      <x:c r="K417" s="56" t="n">
        <x:v>0</x:v>
      </x:c>
      <x:c r="L417" s="56" t="n">
        <x:v>0</x:v>
      </x:c>
      <x:c r="M417" s="47" t="str">
        <x:f>IF(AND(J417=1,K417=1,L417=1),"COMPLETE","OPEN")</x:f>
        <x:v>OPEN</x:v>
      </x:c>
      <x:c r="N417" s="84"/>
    </x:row>
    <x:row r="418">
      <x:c r="A418" s="47" t="str">
        <x:v>SC412</x:v>
      </x:c>
      <x:c r="B418" s="47" t="str">
        <x:v>P23</x:v>
      </x:c>
      <x:c r="C418" s="47" t="str">
        <x:v>HU-A</x:v>
      </x:c>
      <x:c r="D418" s="47" t="str">
        <x:v>HU-A-B</x:v>
      </x:c>
      <x:c r="E418" s="47" t="str">
        <x:v>CIVIL</x:v>
      </x:c>
      <x:c r="F418" s="47" t="str">
        <x:v>F16</x:v>
      </x:c>
      <x:c r="G418" s="47" t="str">
        <x:v>Epistemic</x:v>
      </x:c>
      <x:c r="H418" s="47" t="str">
        <x:v>Assumptions, unknowns and uncertainty bounds</x:v>
      </x:c>
      <x:c r="I418" s="47" t="str">
        <x:v>PUBLIC</x:v>
      </x:c>
      <x:c r="J418" s="47" t="n">
        <x:v>1</x:v>
      </x:c>
      <x:c r="K418" s="56" t="n">
        <x:v>0</x:v>
      </x:c>
      <x:c r="L418" s="56" t="n">
        <x:v>0</x:v>
      </x:c>
      <x:c r="M418" s="47" t="str">
        <x:f>IF(AND(J418=1,K418=1,L418=1),"COMPLETE","OPEN")</x:f>
        <x:v>OPEN</x:v>
      </x:c>
      <x:c r="N418" s="84"/>
    </x:row>
    <x:row r="419">
      <x:c r="A419" s="47" t="str">
        <x:v>SC413</x:v>
      </x:c>
      <x:c r="B419" s="47" t="str">
        <x:v>P23</x:v>
      </x:c>
      <x:c r="C419" s="47" t="str">
        <x:v>HU-A</x:v>
      </x:c>
      <x:c r="D419" s="47" t="str">
        <x:v>HU-A-B</x:v>
      </x:c>
      <x:c r="E419" s="47" t="str">
        <x:v>CIVIL</x:v>
      </x:c>
      <x:c r="F419" s="47" t="str">
        <x:v>F17</x:v>
      </x:c>
      <x:c r="G419" s="47" t="str">
        <x:v>Epistemic</x:v>
      </x:c>
      <x:c r="H419" s="47" t="str">
        <x:v>Causal event, denominator and claim trace</x:v>
      </x:c>
      <x:c r="I419" s="47" t="str">
        <x:v>PUBLIC</x:v>
      </x:c>
      <x:c r="J419" s="47" t="n">
        <x:v>1</x:v>
      </x:c>
      <x:c r="K419" s="56" t="n">
        <x:v>0</x:v>
      </x:c>
      <x:c r="L419" s="56" t="n">
        <x:v>0</x:v>
      </x:c>
      <x:c r="M419" s="47" t="str">
        <x:f>IF(AND(J419=1,K419=1,L419=1),"COMPLETE","OPEN")</x:f>
        <x:v>OPEN</x:v>
      </x:c>
      <x:c r="N419" s="84"/>
    </x:row>
    <x:row r="420">
      <x:c r="A420" s="47" t="str">
        <x:v>SC414</x:v>
      </x:c>
      <x:c r="B420" s="47" t="str">
        <x:v>P23</x:v>
      </x:c>
      <x:c r="C420" s="47" t="str">
        <x:v>HU-A</x:v>
      </x:c>
      <x:c r="D420" s="47" t="str">
        <x:v>HU-A-B</x:v>
      </x:c>
      <x:c r="E420" s="47" t="str">
        <x:v>CIVIL</x:v>
      </x:c>
      <x:c r="F420" s="47" t="str">
        <x:v>F18</x:v>
      </x:c>
      <x:c r="G420" s="47" t="str">
        <x:v>Epistemic</x:v>
      </x:c>
      <x:c r="H420" s="47" t="str">
        <x:v>Acceptance, expiry, disclosure and supersession rule</x:v>
      </x:c>
      <x:c r="I420" s="47" t="str">
        <x:v>PUBLIC</x:v>
      </x:c>
      <x:c r="J420" s="47" t="n">
        <x:v>1</x:v>
      </x:c>
      <x:c r="K420" s="56" t="n">
        <x:v>0</x:v>
      </x:c>
      <x:c r="L420" s="56" t="n">
        <x:v>0</x:v>
      </x:c>
      <x:c r="M420" s="47" t="str">
        <x:f>IF(AND(J420=1,K420=1,L420=1),"COMPLETE","OPEN")</x:f>
        <x:v>OPEN</x:v>
      </x:c>
      <x:c r="N420" s="84"/>
    </x:row>
    <x:row r="421">
      <x:c r="A421" s="47" t="str">
        <x:v>SC415</x:v>
      </x:c>
      <x:c r="B421" s="47" t="str">
        <x:v>P24</x:v>
      </x:c>
      <x:c r="C421" s="47" t="str">
        <x:v>HU-A</x:v>
      </x:c>
      <x:c r="D421" s="47" t="str">
        <x:v>HU-A-B</x:v>
      </x:c>
      <x:c r="E421" s="47" t="str">
        <x:v>ARTICLE</x:v>
      </x:c>
      <x:c r="F421" s="47" t="str">
        <x:v>F01</x:v>
      </x:c>
      <x:c r="G421" s="47" t="str">
        <x:v>Identity</x:v>
      </x:c>
      <x:c r="H421" s="47" t="str">
        <x:v>Package identity and warrant scope</x:v>
      </x:c>
      <x:c r="I421" s="47" t="str">
        <x:v>PUBLIC</x:v>
      </x:c>
      <x:c r="J421" s="47" t="n">
        <x:v>1</x:v>
      </x:c>
      <x:c r="K421" s="56" t="n">
        <x:v>0</x:v>
      </x:c>
      <x:c r="L421" s="56" t="n">
        <x:v>0</x:v>
      </x:c>
      <x:c r="M421" s="47" t="str">
        <x:f>IF(AND(J421=1,K421=1,L421=1),"COMPLETE","OPEN")</x:f>
        <x:v>OPEN</x:v>
      </x:c>
      <x:c r="N421" s="84"/>
    </x:row>
    <x:row r="422">
      <x:c r="A422" s="47" t="str">
        <x:v>SC416</x:v>
      </x:c>
      <x:c r="B422" s="47" t="str">
        <x:v>P24</x:v>
      </x:c>
      <x:c r="C422" s="47" t="str">
        <x:v>HU-A</x:v>
      </x:c>
      <x:c r="D422" s="47" t="str">
        <x:v>HU-A-B</x:v>
      </x:c>
      <x:c r="E422" s="47" t="str">
        <x:v>ARTICLE</x:v>
      </x:c>
      <x:c r="F422" s="47" t="str">
        <x:v>F02</x:v>
      </x:c>
      <x:c r="G422" s="47" t="str">
        <x:v>Identity</x:v>
      </x:c>
      <x:c r="H422" s="47" t="str">
        <x:v>Authorship, beneficial control and authority</x:v>
      </x:c>
      <x:c r="I422" s="47" t="str">
        <x:v>PUBLIC</x:v>
      </x:c>
      <x:c r="J422" s="47" t="n">
        <x:v>1</x:v>
      </x:c>
      <x:c r="K422" s="56" t="n">
        <x:v>0</x:v>
      </x:c>
      <x:c r="L422" s="56" t="n">
        <x:v>0</x:v>
      </x:c>
      <x:c r="M422" s="47" t="str">
        <x:f>IF(AND(J422=1,K422=1,L422=1),"COMPLETE","OPEN")</x:f>
        <x:v>OPEN</x:v>
      </x:c>
      <x:c r="N422" s="84"/>
    </x:row>
    <x:row r="423">
      <x:c r="A423" s="47" t="str">
        <x:v>SC417</x:v>
      </x:c>
      <x:c r="B423" s="47" t="str">
        <x:v>P24</x:v>
      </x:c>
      <x:c r="C423" s="47" t="str">
        <x:v>HU-A</x:v>
      </x:c>
      <x:c r="D423" s="47" t="str">
        <x:v>HU-A-B</x:v>
      </x:c>
      <x:c r="E423" s="47" t="str">
        <x:v>ARTICLE</x:v>
      </x:c>
      <x:c r="F423" s="47" t="str">
        <x:v>F03</x:v>
      </x:c>
      <x:c r="G423" s="47" t="str">
        <x:v>Identity</x:v>
      </x:c>
      <x:c r="H423" s="47" t="str">
        <x:v>Configuration and content hash</x:v>
      </x:c>
      <x:c r="I423" s="47" t="str">
        <x:v>PUBLIC</x:v>
      </x:c>
      <x:c r="J423" s="47" t="n">
        <x:v>1</x:v>
      </x:c>
      <x:c r="K423" s="56" t="n">
        <x:v>0</x:v>
      </x:c>
      <x:c r="L423" s="56" t="n">
        <x:v>0</x:v>
      </x:c>
      <x:c r="M423" s="47" t="str">
        <x:f>IF(AND(J423=1,K423=1,L423=1),"COMPLETE","OPEN")</x:f>
        <x:v>OPEN</x:v>
      </x:c>
      <x:c r="N423" s="84"/>
    </x:row>
    <x:row r="424">
      <x:c r="A424" s="47" t="str">
        <x:v>SC418</x:v>
      </x:c>
      <x:c r="B424" s="47" t="str">
        <x:v>P24</x:v>
      </x:c>
      <x:c r="C424" s="47" t="str">
        <x:v>HU-A</x:v>
      </x:c>
      <x:c r="D424" s="47" t="str">
        <x:v>HU-A-B</x:v>
      </x:c>
      <x:c r="E424" s="47" t="str">
        <x:v>ARTICLE</x:v>
      </x:c>
      <x:c r="F424" s="47" t="str">
        <x:v>F04</x:v>
      </x:c>
      <x:c r="G424" s="47" t="str">
        <x:v>Executable</x:v>
      </x:c>
      <x:c r="H424" s="47" t="str">
        <x:v>Native executable artifact</x:v>
      </x:c>
      <x:c r="I424" s="47" t="str">
        <x:v>ESCROW</x:v>
      </x:c>
      <x:c r="J424" s="47" t="n">
        <x:v>1</x:v>
      </x:c>
      <x:c r="K424" s="56" t="n">
        <x:v>0</x:v>
      </x:c>
      <x:c r="L424" s="56" t="n">
        <x:v>0</x:v>
      </x:c>
      <x:c r="M424" s="47" t="str">
        <x:f>IF(AND(J424=1,K424=1,L424=1),"COMPLETE","OPEN")</x:f>
        <x:v>OPEN</x:v>
      </x:c>
      <x:c r="N424" s="84"/>
    </x:row>
    <x:row r="425">
      <x:c r="A425" s="47" t="str">
        <x:v>SC419</x:v>
      </x:c>
      <x:c r="B425" s="47" t="str">
        <x:v>P24</x:v>
      </x:c>
      <x:c r="C425" s="47" t="str">
        <x:v>HU-A</x:v>
      </x:c>
      <x:c r="D425" s="47" t="str">
        <x:v>HU-A-B</x:v>
      </x:c>
      <x:c r="E425" s="47" t="str">
        <x:v>ARTICLE</x:v>
      </x:c>
      <x:c r="F425" s="47" t="str">
        <x:v>F05</x:v>
      </x:c>
      <x:c r="G425" s="47" t="str">
        <x:v>Executable</x:v>
      </x:c>
      <x:c r="H425" s="47" t="str">
        <x:v>Native environment and toolchain image</x:v>
      </x:c>
      <x:c r="I425" s="47" t="str">
        <x:v>ESCROW</x:v>
      </x:c>
      <x:c r="J425" s="47" t="n">
        <x:v>1</x:v>
      </x:c>
      <x:c r="K425" s="56" t="n">
        <x:v>0</x:v>
      </x:c>
      <x:c r="L425" s="56" t="n">
        <x:v>0</x:v>
      </x:c>
      <x:c r="M425" s="47" t="str">
        <x:f>IF(AND(J425=1,K425=1,L425=1),"COMPLETE","OPEN")</x:f>
        <x:v>OPEN</x:v>
      </x:c>
      <x:c r="N425" s="84"/>
    </x:row>
    <x:row r="426">
      <x:c r="A426" s="47" t="str">
        <x:v>SC420</x:v>
      </x:c>
      <x:c r="B426" s="47" t="str">
        <x:v>P24</x:v>
      </x:c>
      <x:c r="C426" s="47" t="str">
        <x:v>HU-A</x:v>
      </x:c>
      <x:c r="D426" s="47" t="str">
        <x:v>HU-A-B</x:v>
      </x:c>
      <x:c r="E426" s="47" t="str">
        <x:v>ARTICLE</x:v>
      </x:c>
      <x:c r="F426" s="47" t="str">
        <x:v>F06</x:v>
      </x:c>
      <x:c r="G426" s="47" t="str">
        <x:v>Executable</x:v>
      </x:c>
      <x:c r="H426" s="47" t="str">
        <x:v>Dependency bill, software bill and license rights</x:v>
      </x:c>
      <x:c r="I426" s="47" t="str">
        <x:v>PUBLIC</x:v>
      </x:c>
      <x:c r="J426" s="47" t="n">
        <x:v>1</x:v>
      </x:c>
      <x:c r="K426" s="56" t="n">
        <x:v>0</x:v>
      </x:c>
      <x:c r="L426" s="56" t="n">
        <x:v>0</x:v>
      </x:c>
      <x:c r="M426" s="47" t="str">
        <x:f>IF(AND(J426=1,K426=1,L426=1),"COMPLETE","OPEN")</x:f>
        <x:v>OPEN</x:v>
      </x:c>
      <x:c r="N426" s="84"/>
    </x:row>
    <x:row r="427">
      <x:c r="A427" s="47" t="str">
        <x:v>SC421</x:v>
      </x:c>
      <x:c r="B427" s="47" t="str">
        <x:v>P24</x:v>
      </x:c>
      <x:c r="C427" s="47" t="str">
        <x:v>HU-A</x:v>
      </x:c>
      <x:c r="D427" s="47" t="str">
        <x:v>HU-A-B</x:v>
      </x:c>
      <x:c r="E427" s="47" t="str">
        <x:v>ARTICLE</x:v>
      </x:c>
      <x:c r="F427" s="47" t="str">
        <x:v>F07</x:v>
      </x:c>
      <x:c r="G427" s="47" t="str">
        <x:v>Executable</x:v>
      </x:c>
      <x:c r="H427" s="47" t="str">
        <x:v>Data provenance and calibration lineage</x:v>
      </x:c>
      <x:c r="I427" s="47" t="str">
        <x:v>ESCROW</x:v>
      </x:c>
      <x:c r="J427" s="47" t="n">
        <x:v>1</x:v>
      </x:c>
      <x:c r="K427" s="56" t="n">
        <x:v>0</x:v>
      </x:c>
      <x:c r="L427" s="56" t="n">
        <x:v>0</x:v>
      </x:c>
      <x:c r="M427" s="47" t="str">
        <x:f>IF(AND(J427=1,K427=1,L427=1),"COMPLETE","OPEN")</x:f>
        <x:v>OPEN</x:v>
      </x:c>
      <x:c r="N427" s="84"/>
    </x:row>
    <x:row r="428">
      <x:c r="A428" s="47" t="str">
        <x:v>SC422</x:v>
      </x:c>
      <x:c r="B428" s="47" t="str">
        <x:v>P24</x:v>
      </x:c>
      <x:c r="C428" s="47" t="str">
        <x:v>HU-A</x:v>
      </x:c>
      <x:c r="D428" s="47" t="str">
        <x:v>HU-A-B</x:v>
      </x:c>
      <x:c r="E428" s="47" t="str">
        <x:v>ARTICLE</x:v>
      </x:c>
      <x:c r="F428" s="47" t="str">
        <x:v>F08</x:v>
      </x:c>
      <x:c r="G428" s="47" t="str">
        <x:v>Executable</x:v>
      </x:c>
      <x:c r="H428" s="47" t="str">
        <x:v>Random seed, solver and numerical controls</x:v>
      </x:c>
      <x:c r="I428" s="47" t="str">
        <x:v>ESCROW</x:v>
      </x:c>
      <x:c r="J428" s="47" t="n">
        <x:v>1</x:v>
      </x:c>
      <x:c r="K428" s="56" t="n">
        <x:v>0</x:v>
      </x:c>
      <x:c r="L428" s="56" t="n">
        <x:v>0</x:v>
      </x:c>
      <x:c r="M428" s="47" t="str">
        <x:f>IF(AND(J428=1,K428=1,L428=1),"COMPLETE","OPEN")</x:f>
        <x:v>OPEN</x:v>
      </x:c>
      <x:c r="N428" s="84"/>
    </x:row>
    <x:row r="429">
      <x:c r="A429" s="47" t="str">
        <x:v>SC423</x:v>
      </x:c>
      <x:c r="B429" s="47" t="str">
        <x:v>P24</x:v>
      </x:c>
      <x:c r="C429" s="47" t="str">
        <x:v>HU-A</x:v>
      </x:c>
      <x:c r="D429" s="47" t="str">
        <x:v>HU-A-B</x:v>
      </x:c>
      <x:c r="E429" s="47" t="str">
        <x:v>ARTICLE</x:v>
      </x:c>
      <x:c r="F429" s="47" t="str">
        <x:v>F09</x:v>
      </x:c>
      <x:c r="G429" s="47" t="str">
        <x:v>Physical</x:v>
      </x:c>
      <x:c r="H429" s="47" t="str">
        <x:v>Units, coordinates and datums</x:v>
      </x:c>
      <x:c r="I429" s="47" t="str">
        <x:v>PUBLIC</x:v>
      </x:c>
      <x:c r="J429" s="47" t="n">
        <x:v>1</x:v>
      </x:c>
      <x:c r="K429" s="56" t="n">
        <x:v>0</x:v>
      </x:c>
      <x:c r="L429" s="56" t="n">
        <x:v>0</x:v>
      </x:c>
      <x:c r="M429" s="47" t="str">
        <x:f>IF(AND(J429=1,K429=1,L429=1),"COMPLETE","OPEN")</x:f>
        <x:v>OPEN</x:v>
      </x:c>
      <x:c r="N429" s="84"/>
    </x:row>
    <x:row r="430">
      <x:c r="A430" s="47" t="str">
        <x:v>SC424</x:v>
      </x:c>
      <x:c r="B430" s="47" t="str">
        <x:v>P24</x:v>
      </x:c>
      <x:c r="C430" s="47" t="str">
        <x:v>HU-A</x:v>
      </x:c>
      <x:c r="D430" s="47" t="str">
        <x:v>HU-A-B</x:v>
      </x:c>
      <x:c r="E430" s="47" t="str">
        <x:v>ARTICLE</x:v>
      </x:c>
      <x:c r="F430" s="47" t="str">
        <x:v>F10</x:v>
      </x:c>
      <x:c r="G430" s="47" t="str">
        <x:v>Physical</x:v>
      </x:c>
      <x:c r="H430" s="47" t="str">
        <x:v>Material, property and constitutive sources</x:v>
      </x:c>
      <x:c r="I430" s="47" t="str">
        <x:v>PUBLIC</x:v>
      </x:c>
      <x:c r="J430" s="47" t="n">
        <x:v>1</x:v>
      </x:c>
      <x:c r="K430" s="56" t="n">
        <x:v>0</x:v>
      </x:c>
      <x:c r="L430" s="56" t="n">
        <x:v>0</x:v>
      </x:c>
      <x:c r="M430" s="47" t="str">
        <x:f>IF(AND(J430=1,K430=1,L430=1),"COMPLETE","OPEN")</x:f>
        <x:v>OPEN</x:v>
      </x:c>
      <x:c r="N430" s="84"/>
    </x:row>
    <x:row r="431">
      <x:c r="A431" s="47" t="str">
        <x:v>SC425</x:v>
      </x:c>
      <x:c r="B431" s="47" t="str">
        <x:v>P24</x:v>
      </x:c>
      <x:c r="C431" s="47" t="str">
        <x:v>HU-A</x:v>
      </x:c>
      <x:c r="D431" s="47" t="str">
        <x:v>HU-A-B</x:v>
      </x:c>
      <x:c r="E431" s="47" t="str">
        <x:v>ARTICLE</x:v>
      </x:c>
      <x:c r="F431" s="47" t="str">
        <x:v>F11</x:v>
      </x:c>
      <x:c r="G431" s="47" t="str">
        <x:v>Physical</x:v>
      </x:c>
      <x:c r="H431" s="47" t="str">
        <x:v>Interfaces, tolerances and boundary conditions</x:v>
      </x:c>
      <x:c r="I431" s="47" t="str">
        <x:v>PUBLIC</x:v>
      </x:c>
      <x:c r="J431" s="47" t="n">
        <x:v>1</x:v>
      </x:c>
      <x:c r="K431" s="56" t="n">
        <x:v>0</x:v>
      </x:c>
      <x:c r="L431" s="56" t="n">
        <x:v>0</x:v>
      </x:c>
      <x:c r="M431" s="47" t="str">
        <x:f>IF(AND(J431=1,K431=1,L431=1),"COMPLETE","OPEN")</x:f>
        <x:v>OPEN</x:v>
      </x:c>
      <x:c r="N431" s="84"/>
    </x:row>
    <x:row r="432">
      <x:c r="A432" s="47" t="str">
        <x:v>SC426</x:v>
      </x:c>
      <x:c r="B432" s="47" t="str">
        <x:v>P24</x:v>
      </x:c>
      <x:c r="C432" s="47" t="str">
        <x:v>HU-A</x:v>
      </x:c>
      <x:c r="D432" s="47" t="str">
        <x:v>HU-A-B</x:v>
      </x:c>
      <x:c r="E432" s="47" t="str">
        <x:v>ARTICLE</x:v>
      </x:c>
      <x:c r="F432" s="47" t="str">
        <x:v>F12</x:v>
      </x:c>
      <x:c r="G432" s="47" t="str">
        <x:v>Physical</x:v>
      </x:c>
      <x:c r="H432" s="47" t="str">
        <x:v>Manufacturing, process and assembly assumptions</x:v>
      </x:c>
      <x:c r="I432" s="47" t="str">
        <x:v>PUBLIC</x:v>
      </x:c>
      <x:c r="J432" s="47" t="n">
        <x:v>1</x:v>
      </x:c>
      <x:c r="K432" s="56" t="n">
        <x:v>0</x:v>
      </x:c>
      <x:c r="L432" s="56" t="n">
        <x:v>0</x:v>
      </x:c>
      <x:c r="M432" s="47" t="str">
        <x:f>IF(AND(J432=1,K432=1,L432=1),"COMPLETE","OPEN")</x:f>
        <x:v>OPEN</x:v>
      </x:c>
      <x:c r="N432" s="84"/>
    </x:row>
    <x:row r="433">
      <x:c r="A433" s="47" t="str">
        <x:v>SC427</x:v>
      </x:c>
      <x:c r="B433" s="47" t="str">
        <x:v>P24</x:v>
      </x:c>
      <x:c r="C433" s="47" t="str">
        <x:v>HU-A</x:v>
      </x:c>
      <x:c r="D433" s="47" t="str">
        <x:v>HU-A-B</x:v>
      </x:c>
      <x:c r="E433" s="47" t="str">
        <x:v>ARTICLE</x:v>
      </x:c>
      <x:c r="F433" s="47" t="str">
        <x:v>F13</x:v>
      </x:c>
      <x:c r="G433" s="47" t="str">
        <x:v>Civic</x:v>
      </x:c>
      <x:c r="H433" s="47" t="str">
        <x:v>Safe-state and abort logic</x:v>
      </x:c>
      <x:c r="I433" s="47" t="str">
        <x:v>PUBLIC</x:v>
      </x:c>
      <x:c r="J433" s="47" t="n">
        <x:v>1</x:v>
      </x:c>
      <x:c r="K433" s="56" t="n">
        <x:v>0</x:v>
      </x:c>
      <x:c r="L433" s="56" t="n">
        <x:v>0</x:v>
      </x:c>
      <x:c r="M433" s="47" t="str">
        <x:f>IF(AND(J433=1,K433=1,L433=1),"COMPLETE","OPEN")</x:f>
        <x:v>OPEN</x:v>
      </x:c>
      <x:c r="N433" s="84"/>
    </x:row>
    <x:row r="434">
      <x:c r="A434" s="47" t="str">
        <x:v>SC428</x:v>
      </x:c>
      <x:c r="B434" s="47" t="str">
        <x:v>P24</x:v>
      </x:c>
      <x:c r="C434" s="47" t="str">
        <x:v>HU-A</x:v>
      </x:c>
      <x:c r="D434" s="47" t="str">
        <x:v>HU-A-B</x:v>
      </x:c>
      <x:c r="E434" s="47" t="str">
        <x:v>ARTICLE</x:v>
      </x:c>
      <x:c r="F434" s="47" t="str">
        <x:v>F14</x:v>
      </x:c>
      <x:c r="G434" s="47" t="str">
        <x:v>Civic</x:v>
      </x:c>
      <x:c r="H434" s="47" t="str">
        <x:v>Receiver and residual dispositions</x:v>
      </x:c>
      <x:c r="I434" s="47" t="str">
        <x:v>PUBLIC</x:v>
      </x:c>
      <x:c r="J434" s="47" t="n">
        <x:v>1</x:v>
      </x:c>
      <x:c r="K434" s="56" t="n">
        <x:v>0</x:v>
      </x:c>
      <x:c r="L434" s="56" t="n">
        <x:v>0</x:v>
      </x:c>
      <x:c r="M434" s="47" t="str">
        <x:f>IF(AND(J434=1,K434=1,L434=1),"COMPLETE","OPEN")</x:f>
        <x:v>OPEN</x:v>
      </x:c>
      <x:c r="N434" s="84"/>
    </x:row>
    <x:row r="435">
      <x:c r="A435" s="47" t="str">
        <x:v>SC429</x:v>
      </x:c>
      <x:c r="B435" s="47" t="str">
        <x:v>P24</x:v>
      </x:c>
      <x:c r="C435" s="47" t="str">
        <x:v>HU-A</x:v>
      </x:c>
      <x:c r="D435" s="47" t="str">
        <x:v>HU-A-B</x:v>
      </x:c>
      <x:c r="E435" s="47" t="str">
        <x:v>ARTICLE</x:v>
      </x:c>
      <x:c r="F435" s="47" t="str">
        <x:v>F15</x:v>
      </x:c>
      <x:c r="G435" s="47" t="str">
        <x:v>Civic</x:v>
      </x:c>
      <x:c r="H435" s="47" t="str">
        <x:v>Rights, access and affected-population obligations</x:v>
      </x:c>
      <x:c r="I435" s="47" t="str">
        <x:v>PUBLIC</x:v>
      </x:c>
      <x:c r="J435" s="47" t="n">
        <x:v>1</x:v>
      </x:c>
      <x:c r="K435" s="56" t="n">
        <x:v>0</x:v>
      </x:c>
      <x:c r="L435" s="56" t="n">
        <x:v>0</x:v>
      </x:c>
      <x:c r="M435" s="47" t="str">
        <x:f>IF(AND(J435=1,K435=1,L435=1),"COMPLETE","OPEN")</x:f>
        <x:v>OPEN</x:v>
      </x:c>
      <x:c r="N435" s="84"/>
    </x:row>
    <x:row r="436">
      <x:c r="A436" s="47" t="str">
        <x:v>SC430</x:v>
      </x:c>
      <x:c r="B436" s="47" t="str">
        <x:v>P24</x:v>
      </x:c>
      <x:c r="C436" s="47" t="str">
        <x:v>HU-A</x:v>
      </x:c>
      <x:c r="D436" s="47" t="str">
        <x:v>HU-A-B</x:v>
      </x:c>
      <x:c r="E436" s="47" t="str">
        <x:v>ARTICLE</x:v>
      </x:c>
      <x:c r="F436" s="47" t="str">
        <x:v>F16</x:v>
      </x:c>
      <x:c r="G436" s="47" t="str">
        <x:v>Epistemic</x:v>
      </x:c>
      <x:c r="H436" s="47" t="str">
        <x:v>Assumptions, unknowns and uncertainty bounds</x:v>
      </x:c>
      <x:c r="I436" s="47" t="str">
        <x:v>PUBLIC</x:v>
      </x:c>
      <x:c r="J436" s="47" t="n">
        <x:v>1</x:v>
      </x:c>
      <x:c r="K436" s="56" t="n">
        <x:v>0</x:v>
      </x:c>
      <x:c r="L436" s="56" t="n">
        <x:v>0</x:v>
      </x:c>
      <x:c r="M436" s="47" t="str">
        <x:f>IF(AND(J436=1,K436=1,L436=1),"COMPLETE","OPEN")</x:f>
        <x:v>OPEN</x:v>
      </x:c>
      <x:c r="N436" s="84"/>
    </x:row>
    <x:row r="437">
      <x:c r="A437" s="47" t="str">
        <x:v>SC431</x:v>
      </x:c>
      <x:c r="B437" s="47" t="str">
        <x:v>P24</x:v>
      </x:c>
      <x:c r="C437" s="47" t="str">
        <x:v>HU-A</x:v>
      </x:c>
      <x:c r="D437" s="47" t="str">
        <x:v>HU-A-B</x:v>
      </x:c>
      <x:c r="E437" s="47" t="str">
        <x:v>ARTICLE</x:v>
      </x:c>
      <x:c r="F437" s="47" t="str">
        <x:v>F17</x:v>
      </x:c>
      <x:c r="G437" s="47" t="str">
        <x:v>Epistemic</x:v>
      </x:c>
      <x:c r="H437" s="47" t="str">
        <x:v>Causal event, denominator and claim trace</x:v>
      </x:c>
      <x:c r="I437" s="47" t="str">
        <x:v>PUBLIC</x:v>
      </x:c>
      <x:c r="J437" s="47" t="n">
        <x:v>1</x:v>
      </x:c>
      <x:c r="K437" s="56" t="n">
        <x:v>0</x:v>
      </x:c>
      <x:c r="L437" s="56" t="n">
        <x:v>0</x:v>
      </x:c>
      <x:c r="M437" s="47" t="str">
        <x:f>IF(AND(J437=1,K437=1,L437=1),"COMPLETE","OPEN")</x:f>
        <x:v>OPEN</x:v>
      </x:c>
      <x:c r="N437" s="84"/>
    </x:row>
    <x:row r="438">
      <x:c r="A438" s="47" t="str">
        <x:v>SC432</x:v>
      </x:c>
      <x:c r="B438" s="47" t="str">
        <x:v>P24</x:v>
      </x:c>
      <x:c r="C438" s="47" t="str">
        <x:v>HU-A</x:v>
      </x:c>
      <x:c r="D438" s="47" t="str">
        <x:v>HU-A-B</x:v>
      </x:c>
      <x:c r="E438" s="47" t="str">
        <x:v>ARTICLE</x:v>
      </x:c>
      <x:c r="F438" s="47" t="str">
        <x:v>F18</x:v>
      </x:c>
      <x:c r="G438" s="47" t="str">
        <x:v>Epistemic</x:v>
      </x:c>
      <x:c r="H438" s="47" t="str">
        <x:v>Acceptance, expiry, disclosure and supersession rule</x:v>
      </x:c>
      <x:c r="I438" s="47" t="str">
        <x:v>PUBLIC</x:v>
      </x:c>
      <x:c r="J438" s="47" t="n">
        <x:v>1</x:v>
      </x:c>
      <x:c r="K438" s="56" t="n">
        <x:v>0</x:v>
      </x:c>
      <x:c r="L438" s="56" t="n">
        <x:v>0</x:v>
      </x:c>
      <x:c r="M438" s="47" t="str">
        <x:f>IF(AND(J438=1,K438=1,L438=1),"COMPLETE","OPEN")</x:f>
        <x:v>OPEN</x:v>
      </x:c>
      <x:c r="N438" s="84"/>
    </x:row>
    <x:row r="439">
      <x:c r="A439" s="47" t="str">
        <x:v>SC433</x:v>
      </x:c>
      <x:c r="B439" s="47" t="str">
        <x:v>P25</x:v>
      </x:c>
      <x:c r="C439" s="47" t="str">
        <x:v>HU-A</x:v>
      </x:c>
      <x:c r="D439" s="47" t="str">
        <x:v>HU-A-B</x:v>
      </x:c>
      <x:c r="E439" s="47" t="str">
        <x:v>REBUILD</x:v>
      </x:c>
      <x:c r="F439" s="47" t="str">
        <x:v>F01</x:v>
      </x:c>
      <x:c r="G439" s="47" t="str">
        <x:v>Identity</x:v>
      </x:c>
      <x:c r="H439" s="47" t="str">
        <x:v>Package identity and warrant scope</x:v>
      </x:c>
      <x:c r="I439" s="47" t="str">
        <x:v>PUBLIC</x:v>
      </x:c>
      <x:c r="J439" s="47" t="n">
        <x:v>1</x:v>
      </x:c>
      <x:c r="K439" s="56" t="n">
        <x:v>0</x:v>
      </x:c>
      <x:c r="L439" s="56" t="n">
        <x:v>0</x:v>
      </x:c>
      <x:c r="M439" s="47" t="str">
        <x:f>IF(AND(J439=1,K439=1,L439=1),"COMPLETE","OPEN")</x:f>
        <x:v>OPEN</x:v>
      </x:c>
      <x:c r="N439" s="84"/>
    </x:row>
    <x:row r="440">
      <x:c r="A440" s="47" t="str">
        <x:v>SC434</x:v>
      </x:c>
      <x:c r="B440" s="47" t="str">
        <x:v>P25</x:v>
      </x:c>
      <x:c r="C440" s="47" t="str">
        <x:v>HU-A</x:v>
      </x:c>
      <x:c r="D440" s="47" t="str">
        <x:v>HU-A-B</x:v>
      </x:c>
      <x:c r="E440" s="47" t="str">
        <x:v>REBUILD</x:v>
      </x:c>
      <x:c r="F440" s="47" t="str">
        <x:v>F02</x:v>
      </x:c>
      <x:c r="G440" s="47" t="str">
        <x:v>Identity</x:v>
      </x:c>
      <x:c r="H440" s="47" t="str">
        <x:v>Authorship, beneficial control and authority</x:v>
      </x:c>
      <x:c r="I440" s="47" t="str">
        <x:v>PUBLIC</x:v>
      </x:c>
      <x:c r="J440" s="47" t="n">
        <x:v>1</x:v>
      </x:c>
      <x:c r="K440" s="56" t="n">
        <x:v>0</x:v>
      </x:c>
      <x:c r="L440" s="56" t="n">
        <x:v>0</x:v>
      </x:c>
      <x:c r="M440" s="47" t="str">
        <x:f>IF(AND(J440=1,K440=1,L440=1),"COMPLETE","OPEN")</x:f>
        <x:v>OPEN</x:v>
      </x:c>
      <x:c r="N440" s="84"/>
    </x:row>
    <x:row r="441">
      <x:c r="A441" s="47" t="str">
        <x:v>SC435</x:v>
      </x:c>
      <x:c r="B441" s="47" t="str">
        <x:v>P25</x:v>
      </x:c>
      <x:c r="C441" s="47" t="str">
        <x:v>HU-A</x:v>
      </x:c>
      <x:c r="D441" s="47" t="str">
        <x:v>HU-A-B</x:v>
      </x:c>
      <x:c r="E441" s="47" t="str">
        <x:v>REBUILD</x:v>
      </x:c>
      <x:c r="F441" s="47" t="str">
        <x:v>F03</x:v>
      </x:c>
      <x:c r="G441" s="47" t="str">
        <x:v>Identity</x:v>
      </x:c>
      <x:c r="H441" s="47" t="str">
        <x:v>Configuration and content hash</x:v>
      </x:c>
      <x:c r="I441" s="47" t="str">
        <x:v>PUBLIC</x:v>
      </x:c>
      <x:c r="J441" s="47" t="n">
        <x:v>1</x:v>
      </x:c>
      <x:c r="K441" s="56" t="n">
        <x:v>0</x:v>
      </x:c>
      <x:c r="L441" s="56" t="n">
        <x:v>0</x:v>
      </x:c>
      <x:c r="M441" s="47" t="str">
        <x:f>IF(AND(J441=1,K441=1,L441=1),"COMPLETE","OPEN")</x:f>
        <x:v>OPEN</x:v>
      </x:c>
      <x:c r="N441" s="84"/>
    </x:row>
    <x:row r="442">
      <x:c r="A442" s="47" t="str">
        <x:v>SC436</x:v>
      </x:c>
      <x:c r="B442" s="47" t="str">
        <x:v>P25</x:v>
      </x:c>
      <x:c r="C442" s="47" t="str">
        <x:v>HU-A</x:v>
      </x:c>
      <x:c r="D442" s="47" t="str">
        <x:v>HU-A-B</x:v>
      </x:c>
      <x:c r="E442" s="47" t="str">
        <x:v>REBUILD</x:v>
      </x:c>
      <x:c r="F442" s="47" t="str">
        <x:v>F04</x:v>
      </x:c>
      <x:c r="G442" s="47" t="str">
        <x:v>Executable</x:v>
      </x:c>
      <x:c r="H442" s="47" t="str">
        <x:v>Native executable artifact</x:v>
      </x:c>
      <x:c r="I442" s="47" t="str">
        <x:v>ESCROW</x:v>
      </x:c>
      <x:c r="J442" s="47" t="n">
        <x:v>1</x:v>
      </x:c>
      <x:c r="K442" s="56" t="n">
        <x:v>0</x:v>
      </x:c>
      <x:c r="L442" s="56" t="n">
        <x:v>0</x:v>
      </x:c>
      <x:c r="M442" s="47" t="str">
        <x:f>IF(AND(J442=1,K442=1,L442=1),"COMPLETE","OPEN")</x:f>
        <x:v>OPEN</x:v>
      </x:c>
      <x:c r="N442" s="84"/>
    </x:row>
    <x:row r="443">
      <x:c r="A443" s="47" t="str">
        <x:v>SC437</x:v>
      </x:c>
      <x:c r="B443" s="47" t="str">
        <x:v>P25</x:v>
      </x:c>
      <x:c r="C443" s="47" t="str">
        <x:v>HU-A</x:v>
      </x:c>
      <x:c r="D443" s="47" t="str">
        <x:v>HU-A-B</x:v>
      </x:c>
      <x:c r="E443" s="47" t="str">
        <x:v>REBUILD</x:v>
      </x:c>
      <x:c r="F443" s="47" t="str">
        <x:v>F05</x:v>
      </x:c>
      <x:c r="G443" s="47" t="str">
        <x:v>Executable</x:v>
      </x:c>
      <x:c r="H443" s="47" t="str">
        <x:v>Native environment and toolchain image</x:v>
      </x:c>
      <x:c r="I443" s="47" t="str">
        <x:v>ESCROW</x:v>
      </x:c>
      <x:c r="J443" s="47" t="n">
        <x:v>1</x:v>
      </x:c>
      <x:c r="K443" s="56" t="n">
        <x:v>0</x:v>
      </x:c>
      <x:c r="L443" s="56" t="n">
        <x:v>0</x:v>
      </x:c>
      <x:c r="M443" s="47" t="str">
        <x:f>IF(AND(J443=1,K443=1,L443=1),"COMPLETE","OPEN")</x:f>
        <x:v>OPEN</x:v>
      </x:c>
      <x:c r="N443" s="84"/>
    </x:row>
    <x:row r="444">
      <x:c r="A444" s="47" t="str">
        <x:v>SC438</x:v>
      </x:c>
      <x:c r="B444" s="47" t="str">
        <x:v>P25</x:v>
      </x:c>
      <x:c r="C444" s="47" t="str">
        <x:v>HU-A</x:v>
      </x:c>
      <x:c r="D444" s="47" t="str">
        <x:v>HU-A-B</x:v>
      </x:c>
      <x:c r="E444" s="47" t="str">
        <x:v>REBUILD</x:v>
      </x:c>
      <x:c r="F444" s="47" t="str">
        <x:v>F06</x:v>
      </x:c>
      <x:c r="G444" s="47" t="str">
        <x:v>Executable</x:v>
      </x:c>
      <x:c r="H444" s="47" t="str">
        <x:v>Dependency bill, software bill and license rights</x:v>
      </x:c>
      <x:c r="I444" s="47" t="str">
        <x:v>PUBLIC</x:v>
      </x:c>
      <x:c r="J444" s="47" t="n">
        <x:v>1</x:v>
      </x:c>
      <x:c r="K444" s="56" t="n">
        <x:v>0</x:v>
      </x:c>
      <x:c r="L444" s="56" t="n">
        <x:v>0</x:v>
      </x:c>
      <x:c r="M444" s="47" t="str">
        <x:f>IF(AND(J444=1,K444=1,L444=1),"COMPLETE","OPEN")</x:f>
        <x:v>OPEN</x:v>
      </x:c>
      <x:c r="N444" s="84"/>
    </x:row>
    <x:row r="445">
      <x:c r="A445" s="47" t="str">
        <x:v>SC439</x:v>
      </x:c>
      <x:c r="B445" s="47" t="str">
        <x:v>P25</x:v>
      </x:c>
      <x:c r="C445" s="47" t="str">
        <x:v>HU-A</x:v>
      </x:c>
      <x:c r="D445" s="47" t="str">
        <x:v>HU-A-B</x:v>
      </x:c>
      <x:c r="E445" s="47" t="str">
        <x:v>REBUILD</x:v>
      </x:c>
      <x:c r="F445" s="47" t="str">
        <x:v>F07</x:v>
      </x:c>
      <x:c r="G445" s="47" t="str">
        <x:v>Executable</x:v>
      </x:c>
      <x:c r="H445" s="47" t="str">
        <x:v>Data provenance and calibration lineage</x:v>
      </x:c>
      <x:c r="I445" s="47" t="str">
        <x:v>ESCROW</x:v>
      </x:c>
      <x:c r="J445" s="47" t="n">
        <x:v>1</x:v>
      </x:c>
      <x:c r="K445" s="56" t="n">
        <x:v>0</x:v>
      </x:c>
      <x:c r="L445" s="56" t="n">
        <x:v>0</x:v>
      </x:c>
      <x:c r="M445" s="47" t="str">
        <x:f>IF(AND(J445=1,K445=1,L445=1),"COMPLETE","OPEN")</x:f>
        <x:v>OPEN</x:v>
      </x:c>
      <x:c r="N445" s="84"/>
    </x:row>
    <x:row r="446">
      <x:c r="A446" s="47" t="str">
        <x:v>SC440</x:v>
      </x:c>
      <x:c r="B446" s="47" t="str">
        <x:v>P25</x:v>
      </x:c>
      <x:c r="C446" s="47" t="str">
        <x:v>HU-A</x:v>
      </x:c>
      <x:c r="D446" s="47" t="str">
        <x:v>HU-A-B</x:v>
      </x:c>
      <x:c r="E446" s="47" t="str">
        <x:v>REBUILD</x:v>
      </x:c>
      <x:c r="F446" s="47" t="str">
        <x:v>F08</x:v>
      </x:c>
      <x:c r="G446" s="47" t="str">
        <x:v>Executable</x:v>
      </x:c>
      <x:c r="H446" s="47" t="str">
        <x:v>Random seed, solver and numerical controls</x:v>
      </x:c>
      <x:c r="I446" s="47" t="str">
        <x:v>ESCROW</x:v>
      </x:c>
      <x:c r="J446" s="47" t="n">
        <x:v>1</x:v>
      </x:c>
      <x:c r="K446" s="56" t="n">
        <x:v>0</x:v>
      </x:c>
      <x:c r="L446" s="56" t="n">
        <x:v>0</x:v>
      </x:c>
      <x:c r="M446" s="47" t="str">
        <x:f>IF(AND(J446=1,K446=1,L446=1),"COMPLETE","OPEN")</x:f>
        <x:v>OPEN</x:v>
      </x:c>
      <x:c r="N446" s="84"/>
    </x:row>
    <x:row r="447">
      <x:c r="A447" s="47" t="str">
        <x:v>SC441</x:v>
      </x:c>
      <x:c r="B447" s="47" t="str">
        <x:v>P25</x:v>
      </x:c>
      <x:c r="C447" s="47" t="str">
        <x:v>HU-A</x:v>
      </x:c>
      <x:c r="D447" s="47" t="str">
        <x:v>HU-A-B</x:v>
      </x:c>
      <x:c r="E447" s="47" t="str">
        <x:v>REBUILD</x:v>
      </x:c>
      <x:c r="F447" s="47" t="str">
        <x:v>F09</x:v>
      </x:c>
      <x:c r="G447" s="47" t="str">
        <x:v>Physical</x:v>
      </x:c>
      <x:c r="H447" s="47" t="str">
        <x:v>Units, coordinates and datums</x:v>
      </x:c>
      <x:c r="I447" s="47" t="str">
        <x:v>PUBLIC</x:v>
      </x:c>
      <x:c r="J447" s="47" t="n">
        <x:v>1</x:v>
      </x:c>
      <x:c r="K447" s="56" t="n">
        <x:v>0</x:v>
      </x:c>
      <x:c r="L447" s="56" t="n">
        <x:v>0</x:v>
      </x:c>
      <x:c r="M447" s="47" t="str">
        <x:f>IF(AND(J447=1,K447=1,L447=1),"COMPLETE","OPEN")</x:f>
        <x:v>OPEN</x:v>
      </x:c>
      <x:c r="N447" s="84"/>
    </x:row>
    <x:row r="448">
      <x:c r="A448" s="47" t="str">
        <x:v>SC442</x:v>
      </x:c>
      <x:c r="B448" s="47" t="str">
        <x:v>P25</x:v>
      </x:c>
      <x:c r="C448" s="47" t="str">
        <x:v>HU-A</x:v>
      </x:c>
      <x:c r="D448" s="47" t="str">
        <x:v>HU-A-B</x:v>
      </x:c>
      <x:c r="E448" s="47" t="str">
        <x:v>REBUILD</x:v>
      </x:c>
      <x:c r="F448" s="47" t="str">
        <x:v>F10</x:v>
      </x:c>
      <x:c r="G448" s="47" t="str">
        <x:v>Physical</x:v>
      </x:c>
      <x:c r="H448" s="47" t="str">
        <x:v>Material, property and constitutive sources</x:v>
      </x:c>
      <x:c r="I448" s="47" t="str">
        <x:v>PUBLIC</x:v>
      </x:c>
      <x:c r="J448" s="47" t="n">
        <x:v>1</x:v>
      </x:c>
      <x:c r="K448" s="56" t="n">
        <x:v>0</x:v>
      </x:c>
      <x:c r="L448" s="56" t="n">
        <x:v>0</x:v>
      </x:c>
      <x:c r="M448" s="47" t="str">
        <x:f>IF(AND(J448=1,K448=1,L448=1),"COMPLETE","OPEN")</x:f>
        <x:v>OPEN</x:v>
      </x:c>
      <x:c r="N448" s="84"/>
    </x:row>
    <x:row r="449">
      <x:c r="A449" s="47" t="str">
        <x:v>SC443</x:v>
      </x:c>
      <x:c r="B449" s="47" t="str">
        <x:v>P25</x:v>
      </x:c>
      <x:c r="C449" s="47" t="str">
        <x:v>HU-A</x:v>
      </x:c>
      <x:c r="D449" s="47" t="str">
        <x:v>HU-A-B</x:v>
      </x:c>
      <x:c r="E449" s="47" t="str">
        <x:v>REBUILD</x:v>
      </x:c>
      <x:c r="F449" s="47" t="str">
        <x:v>F11</x:v>
      </x:c>
      <x:c r="G449" s="47" t="str">
        <x:v>Physical</x:v>
      </x:c>
      <x:c r="H449" s="47" t="str">
        <x:v>Interfaces, tolerances and boundary conditions</x:v>
      </x:c>
      <x:c r="I449" s="47" t="str">
        <x:v>PUBLIC</x:v>
      </x:c>
      <x:c r="J449" s="47" t="n">
        <x:v>1</x:v>
      </x:c>
      <x:c r="K449" s="56" t="n">
        <x:v>0</x:v>
      </x:c>
      <x:c r="L449" s="56" t="n">
        <x:v>0</x:v>
      </x:c>
      <x:c r="M449" s="47" t="str">
        <x:f>IF(AND(J449=1,K449=1,L449=1),"COMPLETE","OPEN")</x:f>
        <x:v>OPEN</x:v>
      </x:c>
      <x:c r="N449" s="84"/>
    </x:row>
    <x:row r="450">
      <x:c r="A450" s="47" t="str">
        <x:v>SC444</x:v>
      </x:c>
      <x:c r="B450" s="47" t="str">
        <x:v>P25</x:v>
      </x:c>
      <x:c r="C450" s="47" t="str">
        <x:v>HU-A</x:v>
      </x:c>
      <x:c r="D450" s="47" t="str">
        <x:v>HU-A-B</x:v>
      </x:c>
      <x:c r="E450" s="47" t="str">
        <x:v>REBUILD</x:v>
      </x:c>
      <x:c r="F450" s="47" t="str">
        <x:v>F12</x:v>
      </x:c>
      <x:c r="G450" s="47" t="str">
        <x:v>Physical</x:v>
      </x:c>
      <x:c r="H450" s="47" t="str">
        <x:v>Manufacturing, process and assembly assumptions</x:v>
      </x:c>
      <x:c r="I450" s="47" t="str">
        <x:v>PUBLIC</x:v>
      </x:c>
      <x:c r="J450" s="47" t="n">
        <x:v>1</x:v>
      </x:c>
      <x:c r="K450" s="56" t="n">
        <x:v>0</x:v>
      </x:c>
      <x:c r="L450" s="56" t="n">
        <x:v>0</x:v>
      </x:c>
      <x:c r="M450" s="47" t="str">
        <x:f>IF(AND(J450=1,K450=1,L450=1),"COMPLETE","OPEN")</x:f>
        <x:v>OPEN</x:v>
      </x:c>
      <x:c r="N450" s="84"/>
    </x:row>
    <x:row r="451">
      <x:c r="A451" s="47" t="str">
        <x:v>SC445</x:v>
      </x:c>
      <x:c r="B451" s="47" t="str">
        <x:v>P25</x:v>
      </x:c>
      <x:c r="C451" s="47" t="str">
        <x:v>HU-A</x:v>
      </x:c>
      <x:c r="D451" s="47" t="str">
        <x:v>HU-A-B</x:v>
      </x:c>
      <x:c r="E451" s="47" t="str">
        <x:v>REBUILD</x:v>
      </x:c>
      <x:c r="F451" s="47" t="str">
        <x:v>F13</x:v>
      </x:c>
      <x:c r="G451" s="47" t="str">
        <x:v>Civic</x:v>
      </x:c>
      <x:c r="H451" s="47" t="str">
        <x:v>Safe-state and abort logic</x:v>
      </x:c>
      <x:c r="I451" s="47" t="str">
        <x:v>PUBLIC</x:v>
      </x:c>
      <x:c r="J451" s="47" t="n">
        <x:v>1</x:v>
      </x:c>
      <x:c r="K451" s="56" t="n">
        <x:v>0</x:v>
      </x:c>
      <x:c r="L451" s="56" t="n">
        <x:v>0</x:v>
      </x:c>
      <x:c r="M451" s="47" t="str">
        <x:f>IF(AND(J451=1,K451=1,L451=1),"COMPLETE","OPEN")</x:f>
        <x:v>OPEN</x:v>
      </x:c>
      <x:c r="N451" s="84"/>
    </x:row>
    <x:row r="452">
      <x:c r="A452" s="47" t="str">
        <x:v>SC446</x:v>
      </x:c>
      <x:c r="B452" s="47" t="str">
        <x:v>P25</x:v>
      </x:c>
      <x:c r="C452" s="47" t="str">
        <x:v>HU-A</x:v>
      </x:c>
      <x:c r="D452" s="47" t="str">
        <x:v>HU-A-B</x:v>
      </x:c>
      <x:c r="E452" s="47" t="str">
        <x:v>REBUILD</x:v>
      </x:c>
      <x:c r="F452" s="47" t="str">
        <x:v>F14</x:v>
      </x:c>
      <x:c r="G452" s="47" t="str">
        <x:v>Civic</x:v>
      </x:c>
      <x:c r="H452" s="47" t="str">
        <x:v>Receiver and residual dispositions</x:v>
      </x:c>
      <x:c r="I452" s="47" t="str">
        <x:v>PUBLIC</x:v>
      </x:c>
      <x:c r="J452" s="47" t="n">
        <x:v>1</x:v>
      </x:c>
      <x:c r="K452" s="56" t="n">
        <x:v>0</x:v>
      </x:c>
      <x:c r="L452" s="56" t="n">
        <x:v>0</x:v>
      </x:c>
      <x:c r="M452" s="47" t="str">
        <x:f>IF(AND(J452=1,K452=1,L452=1),"COMPLETE","OPEN")</x:f>
        <x:v>OPEN</x:v>
      </x:c>
      <x:c r="N452" s="84"/>
    </x:row>
    <x:row r="453">
      <x:c r="A453" s="47" t="str">
        <x:v>SC447</x:v>
      </x:c>
      <x:c r="B453" s="47" t="str">
        <x:v>P25</x:v>
      </x:c>
      <x:c r="C453" s="47" t="str">
        <x:v>HU-A</x:v>
      </x:c>
      <x:c r="D453" s="47" t="str">
        <x:v>HU-A-B</x:v>
      </x:c>
      <x:c r="E453" s="47" t="str">
        <x:v>REBUILD</x:v>
      </x:c>
      <x:c r="F453" s="47" t="str">
        <x:v>F15</x:v>
      </x:c>
      <x:c r="G453" s="47" t="str">
        <x:v>Civic</x:v>
      </x:c>
      <x:c r="H453" s="47" t="str">
        <x:v>Rights, access and affected-population obligations</x:v>
      </x:c>
      <x:c r="I453" s="47" t="str">
        <x:v>PUBLIC</x:v>
      </x:c>
      <x:c r="J453" s="47" t="n">
        <x:v>1</x:v>
      </x:c>
      <x:c r="K453" s="56" t="n">
        <x:v>0</x:v>
      </x:c>
      <x:c r="L453" s="56" t="n">
        <x:v>0</x:v>
      </x:c>
      <x:c r="M453" s="47" t="str">
        <x:f>IF(AND(J453=1,K453=1,L453=1),"COMPLETE","OPEN")</x:f>
        <x:v>OPEN</x:v>
      </x:c>
      <x:c r="N453" s="84"/>
    </x:row>
    <x:row r="454">
      <x:c r="A454" s="47" t="str">
        <x:v>SC448</x:v>
      </x:c>
      <x:c r="B454" s="47" t="str">
        <x:v>P25</x:v>
      </x:c>
      <x:c r="C454" s="47" t="str">
        <x:v>HU-A</x:v>
      </x:c>
      <x:c r="D454" s="47" t="str">
        <x:v>HU-A-B</x:v>
      </x:c>
      <x:c r="E454" s="47" t="str">
        <x:v>REBUILD</x:v>
      </x:c>
      <x:c r="F454" s="47" t="str">
        <x:v>F16</x:v>
      </x:c>
      <x:c r="G454" s="47" t="str">
        <x:v>Epistemic</x:v>
      </x:c>
      <x:c r="H454" s="47" t="str">
        <x:v>Assumptions, unknowns and uncertainty bounds</x:v>
      </x:c>
      <x:c r="I454" s="47" t="str">
        <x:v>PUBLIC</x:v>
      </x:c>
      <x:c r="J454" s="47" t="n">
        <x:v>1</x:v>
      </x:c>
      <x:c r="K454" s="56" t="n">
        <x:v>0</x:v>
      </x:c>
      <x:c r="L454" s="56" t="n">
        <x:v>0</x:v>
      </x:c>
      <x:c r="M454" s="47" t="str">
        <x:f>IF(AND(J454=1,K454=1,L454=1),"COMPLETE","OPEN")</x:f>
        <x:v>OPEN</x:v>
      </x:c>
      <x:c r="N454" s="84"/>
    </x:row>
    <x:row r="455">
      <x:c r="A455" s="47" t="str">
        <x:v>SC449</x:v>
      </x:c>
      <x:c r="B455" s="47" t="str">
        <x:v>P25</x:v>
      </x:c>
      <x:c r="C455" s="47" t="str">
        <x:v>HU-A</x:v>
      </x:c>
      <x:c r="D455" s="47" t="str">
        <x:v>HU-A-B</x:v>
      </x:c>
      <x:c r="E455" s="47" t="str">
        <x:v>REBUILD</x:v>
      </x:c>
      <x:c r="F455" s="47" t="str">
        <x:v>F17</x:v>
      </x:c>
      <x:c r="G455" s="47" t="str">
        <x:v>Epistemic</x:v>
      </x:c>
      <x:c r="H455" s="47" t="str">
        <x:v>Causal event, denominator and claim trace</x:v>
      </x:c>
      <x:c r="I455" s="47" t="str">
        <x:v>PUBLIC</x:v>
      </x:c>
      <x:c r="J455" s="47" t="n">
        <x:v>1</x:v>
      </x:c>
      <x:c r="K455" s="56" t="n">
        <x:v>0</x:v>
      </x:c>
      <x:c r="L455" s="56" t="n">
        <x:v>0</x:v>
      </x:c>
      <x:c r="M455" s="47" t="str">
        <x:f>IF(AND(J455=1,K455=1,L455=1),"COMPLETE","OPEN")</x:f>
        <x:v>OPEN</x:v>
      </x:c>
      <x:c r="N455" s="84"/>
    </x:row>
    <x:row r="456">
      <x:c r="A456" s="47" t="str">
        <x:v>SC450</x:v>
      </x:c>
      <x:c r="B456" s="47" t="str">
        <x:v>P25</x:v>
      </x:c>
      <x:c r="C456" s="47" t="str">
        <x:v>HU-A</x:v>
      </x:c>
      <x:c r="D456" s="47" t="str">
        <x:v>HU-A-B</x:v>
      </x:c>
      <x:c r="E456" s="47" t="str">
        <x:v>REBUILD</x:v>
      </x:c>
      <x:c r="F456" s="47" t="str">
        <x:v>F18</x:v>
      </x:c>
      <x:c r="G456" s="47" t="str">
        <x:v>Epistemic</x:v>
      </x:c>
      <x:c r="H456" s="47" t="str">
        <x:v>Acceptance, expiry, disclosure and supersession rule</x:v>
      </x:c>
      <x:c r="I456" s="47" t="str">
        <x:v>PUBLIC</x:v>
      </x:c>
      <x:c r="J456" s="47" t="n">
        <x:v>1</x:v>
      </x:c>
      <x:c r="K456" s="56" t="n">
        <x:v>0</x:v>
      </x:c>
      <x:c r="L456" s="56" t="n">
        <x:v>0</x:v>
      </x:c>
      <x:c r="M456" s="47" t="str">
        <x:f>IF(AND(J456=1,K456=1,L456=1),"COMPLETE","OPEN")</x:f>
        <x:v>OPEN</x:v>
      </x:c>
      <x:c r="N456" s="84"/>
    </x:row>
    <x:row r="457">
      <x:c r="A457" s="47" t="str">
        <x:v>SC451</x:v>
      </x:c>
      <x:c r="B457" s="47" t="str">
        <x:v>P26</x:v>
      </x:c>
      <x:c r="C457" s="47" t="str">
        <x:v>RT-B</x:v>
      </x:c>
      <x:c r="D457" s="47" t="str">
        <x:v>RT-B-C</x:v>
      </x:c>
      <x:c r="E457" s="47" t="str">
        <x:v>METHOD</x:v>
      </x:c>
      <x:c r="F457" s="47" t="str">
        <x:v>F01</x:v>
      </x:c>
      <x:c r="G457" s="47" t="str">
        <x:v>Identity</x:v>
      </x:c>
      <x:c r="H457" s="47" t="str">
        <x:v>Package identity and warrant scope</x:v>
      </x:c>
      <x:c r="I457" s="47" t="str">
        <x:v>PUBLIC</x:v>
      </x:c>
      <x:c r="J457" s="47" t="n">
        <x:v>1</x:v>
      </x:c>
      <x:c r="K457" s="56" t="n">
        <x:v>0</x:v>
      </x:c>
      <x:c r="L457" s="56" t="n">
        <x:v>0</x:v>
      </x:c>
      <x:c r="M457" s="47" t="str">
        <x:f>IF(AND(J457=1,K457=1,L457=1),"COMPLETE","OPEN")</x:f>
        <x:v>OPEN</x:v>
      </x:c>
      <x:c r="N457" s="84"/>
    </x:row>
    <x:row r="458">
      <x:c r="A458" s="47" t="str">
        <x:v>SC452</x:v>
      </x:c>
      <x:c r="B458" s="47" t="str">
        <x:v>P26</x:v>
      </x:c>
      <x:c r="C458" s="47" t="str">
        <x:v>RT-B</x:v>
      </x:c>
      <x:c r="D458" s="47" t="str">
        <x:v>RT-B-C</x:v>
      </x:c>
      <x:c r="E458" s="47" t="str">
        <x:v>METHOD</x:v>
      </x:c>
      <x:c r="F458" s="47" t="str">
        <x:v>F02</x:v>
      </x:c>
      <x:c r="G458" s="47" t="str">
        <x:v>Identity</x:v>
      </x:c>
      <x:c r="H458" s="47" t="str">
        <x:v>Authorship, beneficial control and authority</x:v>
      </x:c>
      <x:c r="I458" s="47" t="str">
        <x:v>PUBLIC</x:v>
      </x:c>
      <x:c r="J458" s="47" t="n">
        <x:v>1</x:v>
      </x:c>
      <x:c r="K458" s="56" t="n">
        <x:v>0</x:v>
      </x:c>
      <x:c r="L458" s="56" t="n">
        <x:v>0</x:v>
      </x:c>
      <x:c r="M458" s="47" t="str">
        <x:f>IF(AND(J458=1,K458=1,L458=1),"COMPLETE","OPEN")</x:f>
        <x:v>OPEN</x:v>
      </x:c>
      <x:c r="N458" s="84"/>
    </x:row>
    <x:row r="459">
      <x:c r="A459" s="47" t="str">
        <x:v>SC453</x:v>
      </x:c>
      <x:c r="B459" s="47" t="str">
        <x:v>P26</x:v>
      </x:c>
      <x:c r="C459" s="47" t="str">
        <x:v>RT-B</x:v>
      </x:c>
      <x:c r="D459" s="47" t="str">
        <x:v>RT-B-C</x:v>
      </x:c>
      <x:c r="E459" s="47" t="str">
        <x:v>METHOD</x:v>
      </x:c>
      <x:c r="F459" s="47" t="str">
        <x:v>F03</x:v>
      </x:c>
      <x:c r="G459" s="47" t="str">
        <x:v>Identity</x:v>
      </x:c>
      <x:c r="H459" s="47" t="str">
        <x:v>Configuration and content hash</x:v>
      </x:c>
      <x:c r="I459" s="47" t="str">
        <x:v>PUBLIC</x:v>
      </x:c>
      <x:c r="J459" s="47" t="n">
        <x:v>1</x:v>
      </x:c>
      <x:c r="K459" s="56" t="n">
        <x:v>0</x:v>
      </x:c>
      <x:c r="L459" s="56" t="n">
        <x:v>0</x:v>
      </x:c>
      <x:c r="M459" s="47" t="str">
        <x:f>IF(AND(J459=1,K459=1,L459=1),"COMPLETE","OPEN")</x:f>
        <x:v>OPEN</x:v>
      </x:c>
      <x:c r="N459" s="84"/>
    </x:row>
    <x:row r="460">
      <x:c r="A460" s="47" t="str">
        <x:v>SC454</x:v>
      </x:c>
      <x:c r="B460" s="47" t="str">
        <x:v>P26</x:v>
      </x:c>
      <x:c r="C460" s="47" t="str">
        <x:v>RT-B</x:v>
      </x:c>
      <x:c r="D460" s="47" t="str">
        <x:v>RT-B-C</x:v>
      </x:c>
      <x:c r="E460" s="47" t="str">
        <x:v>METHOD</x:v>
      </x:c>
      <x:c r="F460" s="47" t="str">
        <x:v>F04</x:v>
      </x:c>
      <x:c r="G460" s="47" t="str">
        <x:v>Executable</x:v>
      </x:c>
      <x:c r="H460" s="47" t="str">
        <x:v>Native executable artifact</x:v>
      </x:c>
      <x:c r="I460" s="47" t="str">
        <x:v>ESCROW</x:v>
      </x:c>
      <x:c r="J460" s="47" t="n">
        <x:v>1</x:v>
      </x:c>
      <x:c r="K460" s="56" t="n">
        <x:v>0</x:v>
      </x:c>
      <x:c r="L460" s="56" t="n">
        <x:v>0</x:v>
      </x:c>
      <x:c r="M460" s="47" t="str">
        <x:f>IF(AND(J460=1,K460=1,L460=1),"COMPLETE","OPEN")</x:f>
        <x:v>OPEN</x:v>
      </x:c>
      <x:c r="N460" s="84"/>
    </x:row>
    <x:row r="461">
      <x:c r="A461" s="47" t="str">
        <x:v>SC455</x:v>
      </x:c>
      <x:c r="B461" s="47" t="str">
        <x:v>P26</x:v>
      </x:c>
      <x:c r="C461" s="47" t="str">
        <x:v>RT-B</x:v>
      </x:c>
      <x:c r="D461" s="47" t="str">
        <x:v>RT-B-C</x:v>
      </x:c>
      <x:c r="E461" s="47" t="str">
        <x:v>METHOD</x:v>
      </x:c>
      <x:c r="F461" s="47" t="str">
        <x:v>F05</x:v>
      </x:c>
      <x:c r="G461" s="47" t="str">
        <x:v>Executable</x:v>
      </x:c>
      <x:c r="H461" s="47" t="str">
        <x:v>Native environment and toolchain image</x:v>
      </x:c>
      <x:c r="I461" s="47" t="str">
        <x:v>ESCROW</x:v>
      </x:c>
      <x:c r="J461" s="47" t="n">
        <x:v>1</x:v>
      </x:c>
      <x:c r="K461" s="56" t="n">
        <x:v>0</x:v>
      </x:c>
      <x:c r="L461" s="56" t="n">
        <x:v>0</x:v>
      </x:c>
      <x:c r="M461" s="47" t="str">
        <x:f>IF(AND(J461=1,K461=1,L461=1),"COMPLETE","OPEN")</x:f>
        <x:v>OPEN</x:v>
      </x:c>
      <x:c r="N461" s="84"/>
    </x:row>
    <x:row r="462">
      <x:c r="A462" s="47" t="str">
        <x:v>SC456</x:v>
      </x:c>
      <x:c r="B462" s="47" t="str">
        <x:v>P26</x:v>
      </x:c>
      <x:c r="C462" s="47" t="str">
        <x:v>RT-B</x:v>
      </x:c>
      <x:c r="D462" s="47" t="str">
        <x:v>RT-B-C</x:v>
      </x:c>
      <x:c r="E462" s="47" t="str">
        <x:v>METHOD</x:v>
      </x:c>
      <x:c r="F462" s="47" t="str">
        <x:v>F06</x:v>
      </x:c>
      <x:c r="G462" s="47" t="str">
        <x:v>Executable</x:v>
      </x:c>
      <x:c r="H462" s="47" t="str">
        <x:v>Dependency bill, software bill and license rights</x:v>
      </x:c>
      <x:c r="I462" s="47" t="str">
        <x:v>PUBLIC</x:v>
      </x:c>
      <x:c r="J462" s="47" t="n">
        <x:v>1</x:v>
      </x:c>
      <x:c r="K462" s="56" t="n">
        <x:v>0</x:v>
      </x:c>
      <x:c r="L462" s="56" t="n">
        <x:v>0</x:v>
      </x:c>
      <x:c r="M462" s="47" t="str">
        <x:f>IF(AND(J462=1,K462=1,L462=1),"COMPLETE","OPEN")</x:f>
        <x:v>OPEN</x:v>
      </x:c>
      <x:c r="N462" s="84"/>
    </x:row>
    <x:row r="463">
      <x:c r="A463" s="47" t="str">
        <x:v>SC457</x:v>
      </x:c>
      <x:c r="B463" s="47" t="str">
        <x:v>P26</x:v>
      </x:c>
      <x:c r="C463" s="47" t="str">
        <x:v>RT-B</x:v>
      </x:c>
      <x:c r="D463" s="47" t="str">
        <x:v>RT-B-C</x:v>
      </x:c>
      <x:c r="E463" s="47" t="str">
        <x:v>METHOD</x:v>
      </x:c>
      <x:c r="F463" s="47" t="str">
        <x:v>F07</x:v>
      </x:c>
      <x:c r="G463" s="47" t="str">
        <x:v>Executable</x:v>
      </x:c>
      <x:c r="H463" s="47" t="str">
        <x:v>Data provenance and calibration lineage</x:v>
      </x:c>
      <x:c r="I463" s="47" t="str">
        <x:v>ESCROW</x:v>
      </x:c>
      <x:c r="J463" s="47" t="n">
        <x:v>1</x:v>
      </x:c>
      <x:c r="K463" s="56" t="n">
        <x:v>0</x:v>
      </x:c>
      <x:c r="L463" s="56" t="n">
        <x:v>0</x:v>
      </x:c>
      <x:c r="M463" s="47" t="str">
        <x:f>IF(AND(J463=1,K463=1,L463=1),"COMPLETE","OPEN")</x:f>
        <x:v>OPEN</x:v>
      </x:c>
      <x:c r="N463" s="84"/>
    </x:row>
    <x:row r="464">
      <x:c r="A464" s="47" t="str">
        <x:v>SC458</x:v>
      </x:c>
      <x:c r="B464" s="47" t="str">
        <x:v>P26</x:v>
      </x:c>
      <x:c r="C464" s="47" t="str">
        <x:v>RT-B</x:v>
      </x:c>
      <x:c r="D464" s="47" t="str">
        <x:v>RT-B-C</x:v>
      </x:c>
      <x:c r="E464" s="47" t="str">
        <x:v>METHOD</x:v>
      </x:c>
      <x:c r="F464" s="47" t="str">
        <x:v>F08</x:v>
      </x:c>
      <x:c r="G464" s="47" t="str">
        <x:v>Executable</x:v>
      </x:c>
      <x:c r="H464" s="47" t="str">
        <x:v>Random seed, solver and numerical controls</x:v>
      </x:c>
      <x:c r="I464" s="47" t="str">
        <x:v>ESCROW</x:v>
      </x:c>
      <x:c r="J464" s="47" t="n">
        <x:v>1</x:v>
      </x:c>
      <x:c r="K464" s="56" t="n">
        <x:v>0</x:v>
      </x:c>
      <x:c r="L464" s="56" t="n">
        <x:v>0</x:v>
      </x:c>
      <x:c r="M464" s="47" t="str">
        <x:f>IF(AND(J464=1,K464=1,L464=1),"COMPLETE","OPEN")</x:f>
        <x:v>OPEN</x:v>
      </x:c>
      <x:c r="N464" s="84"/>
    </x:row>
    <x:row r="465">
      <x:c r="A465" s="47" t="str">
        <x:v>SC459</x:v>
      </x:c>
      <x:c r="B465" s="47" t="str">
        <x:v>P26</x:v>
      </x:c>
      <x:c r="C465" s="47" t="str">
        <x:v>RT-B</x:v>
      </x:c>
      <x:c r="D465" s="47" t="str">
        <x:v>RT-B-C</x:v>
      </x:c>
      <x:c r="E465" s="47" t="str">
        <x:v>METHOD</x:v>
      </x:c>
      <x:c r="F465" s="47" t="str">
        <x:v>F09</x:v>
      </x:c>
      <x:c r="G465" s="47" t="str">
        <x:v>Physical</x:v>
      </x:c>
      <x:c r="H465" s="47" t="str">
        <x:v>Units, coordinates and datums</x:v>
      </x:c>
      <x:c r="I465" s="47" t="str">
        <x:v>PUBLIC</x:v>
      </x:c>
      <x:c r="J465" s="47" t="n">
        <x:v>1</x:v>
      </x:c>
      <x:c r="K465" s="56" t="n">
        <x:v>0</x:v>
      </x:c>
      <x:c r="L465" s="56" t="n">
        <x:v>0</x:v>
      </x:c>
      <x:c r="M465" s="47" t="str">
        <x:f>IF(AND(J465=1,K465=1,L465=1),"COMPLETE","OPEN")</x:f>
        <x:v>OPEN</x:v>
      </x:c>
      <x:c r="N465" s="84"/>
    </x:row>
    <x:row r="466">
      <x:c r="A466" s="47" t="str">
        <x:v>SC460</x:v>
      </x:c>
      <x:c r="B466" s="47" t="str">
        <x:v>P26</x:v>
      </x:c>
      <x:c r="C466" s="47" t="str">
        <x:v>RT-B</x:v>
      </x:c>
      <x:c r="D466" s="47" t="str">
        <x:v>RT-B-C</x:v>
      </x:c>
      <x:c r="E466" s="47" t="str">
        <x:v>METHOD</x:v>
      </x:c>
      <x:c r="F466" s="47" t="str">
        <x:v>F10</x:v>
      </x:c>
      <x:c r="G466" s="47" t="str">
        <x:v>Physical</x:v>
      </x:c>
      <x:c r="H466" s="47" t="str">
        <x:v>Material, property and constitutive sources</x:v>
      </x:c>
      <x:c r="I466" s="47" t="str">
        <x:v>PUBLIC</x:v>
      </x:c>
      <x:c r="J466" s="47" t="n">
        <x:v>1</x:v>
      </x:c>
      <x:c r="K466" s="56" t="n">
        <x:v>0</x:v>
      </x:c>
      <x:c r="L466" s="56" t="n">
        <x:v>0</x:v>
      </x:c>
      <x:c r="M466" s="47" t="str">
        <x:f>IF(AND(J466=1,K466=1,L466=1),"COMPLETE","OPEN")</x:f>
        <x:v>OPEN</x:v>
      </x:c>
      <x:c r="N466" s="84"/>
    </x:row>
    <x:row r="467">
      <x:c r="A467" s="47" t="str">
        <x:v>SC461</x:v>
      </x:c>
      <x:c r="B467" s="47" t="str">
        <x:v>P26</x:v>
      </x:c>
      <x:c r="C467" s="47" t="str">
        <x:v>RT-B</x:v>
      </x:c>
      <x:c r="D467" s="47" t="str">
        <x:v>RT-B-C</x:v>
      </x:c>
      <x:c r="E467" s="47" t="str">
        <x:v>METHOD</x:v>
      </x:c>
      <x:c r="F467" s="47" t="str">
        <x:v>F11</x:v>
      </x:c>
      <x:c r="G467" s="47" t="str">
        <x:v>Physical</x:v>
      </x:c>
      <x:c r="H467" s="47" t="str">
        <x:v>Interfaces, tolerances and boundary conditions</x:v>
      </x:c>
      <x:c r="I467" s="47" t="str">
        <x:v>PUBLIC</x:v>
      </x:c>
      <x:c r="J467" s="47" t="n">
        <x:v>1</x:v>
      </x:c>
      <x:c r="K467" s="56" t="n">
        <x:v>0</x:v>
      </x:c>
      <x:c r="L467" s="56" t="n">
        <x:v>0</x:v>
      </x:c>
      <x:c r="M467" s="47" t="str">
        <x:f>IF(AND(J467=1,K467=1,L467=1),"COMPLETE","OPEN")</x:f>
        <x:v>OPEN</x:v>
      </x:c>
      <x:c r="N467" s="84"/>
    </x:row>
    <x:row r="468">
      <x:c r="A468" s="47" t="str">
        <x:v>SC462</x:v>
      </x:c>
      <x:c r="B468" s="47" t="str">
        <x:v>P26</x:v>
      </x:c>
      <x:c r="C468" s="47" t="str">
        <x:v>RT-B</x:v>
      </x:c>
      <x:c r="D468" s="47" t="str">
        <x:v>RT-B-C</x:v>
      </x:c>
      <x:c r="E468" s="47" t="str">
        <x:v>METHOD</x:v>
      </x:c>
      <x:c r="F468" s="47" t="str">
        <x:v>F12</x:v>
      </x:c>
      <x:c r="G468" s="47" t="str">
        <x:v>Physical</x:v>
      </x:c>
      <x:c r="H468" s="47" t="str">
        <x:v>Manufacturing, process and assembly assumptions</x:v>
      </x:c>
      <x:c r="I468" s="47" t="str">
        <x:v>PUBLIC</x:v>
      </x:c>
      <x:c r="J468" s="47" t="n">
        <x:v>1</x:v>
      </x:c>
      <x:c r="K468" s="56" t="n">
        <x:v>0</x:v>
      </x:c>
      <x:c r="L468" s="56" t="n">
        <x:v>0</x:v>
      </x:c>
      <x:c r="M468" s="47" t="str">
        <x:f>IF(AND(J468=1,K468=1,L468=1),"COMPLETE","OPEN")</x:f>
        <x:v>OPEN</x:v>
      </x:c>
      <x:c r="N468" s="84"/>
    </x:row>
    <x:row r="469">
      <x:c r="A469" s="47" t="str">
        <x:v>SC463</x:v>
      </x:c>
      <x:c r="B469" s="47" t="str">
        <x:v>P26</x:v>
      </x:c>
      <x:c r="C469" s="47" t="str">
        <x:v>RT-B</x:v>
      </x:c>
      <x:c r="D469" s="47" t="str">
        <x:v>RT-B-C</x:v>
      </x:c>
      <x:c r="E469" s="47" t="str">
        <x:v>METHOD</x:v>
      </x:c>
      <x:c r="F469" s="47" t="str">
        <x:v>F13</x:v>
      </x:c>
      <x:c r="G469" s="47" t="str">
        <x:v>Civic</x:v>
      </x:c>
      <x:c r="H469" s="47" t="str">
        <x:v>Safe-state and abort logic</x:v>
      </x:c>
      <x:c r="I469" s="47" t="str">
        <x:v>PUBLIC</x:v>
      </x:c>
      <x:c r="J469" s="47" t="n">
        <x:v>1</x:v>
      </x:c>
      <x:c r="K469" s="56" t="n">
        <x:v>0</x:v>
      </x:c>
      <x:c r="L469" s="56" t="n">
        <x:v>0</x:v>
      </x:c>
      <x:c r="M469" s="47" t="str">
        <x:f>IF(AND(J469=1,K469=1,L469=1),"COMPLETE","OPEN")</x:f>
        <x:v>OPEN</x:v>
      </x:c>
      <x:c r="N469" s="84"/>
    </x:row>
    <x:row r="470">
      <x:c r="A470" s="47" t="str">
        <x:v>SC464</x:v>
      </x:c>
      <x:c r="B470" s="47" t="str">
        <x:v>P26</x:v>
      </x:c>
      <x:c r="C470" s="47" t="str">
        <x:v>RT-B</x:v>
      </x:c>
      <x:c r="D470" s="47" t="str">
        <x:v>RT-B-C</x:v>
      </x:c>
      <x:c r="E470" s="47" t="str">
        <x:v>METHOD</x:v>
      </x:c>
      <x:c r="F470" s="47" t="str">
        <x:v>F14</x:v>
      </x:c>
      <x:c r="G470" s="47" t="str">
        <x:v>Civic</x:v>
      </x:c>
      <x:c r="H470" s="47" t="str">
        <x:v>Receiver and residual dispositions</x:v>
      </x:c>
      <x:c r="I470" s="47" t="str">
        <x:v>PUBLIC</x:v>
      </x:c>
      <x:c r="J470" s="47" t="n">
        <x:v>1</x:v>
      </x:c>
      <x:c r="K470" s="56" t="n">
        <x:v>0</x:v>
      </x:c>
      <x:c r="L470" s="56" t="n">
        <x:v>0</x:v>
      </x:c>
      <x:c r="M470" s="47" t="str">
        <x:f>IF(AND(J470=1,K470=1,L470=1),"COMPLETE","OPEN")</x:f>
        <x:v>OPEN</x:v>
      </x:c>
      <x:c r="N470" s="84"/>
    </x:row>
    <x:row r="471">
      <x:c r="A471" s="47" t="str">
        <x:v>SC465</x:v>
      </x:c>
      <x:c r="B471" s="47" t="str">
        <x:v>P26</x:v>
      </x:c>
      <x:c r="C471" s="47" t="str">
        <x:v>RT-B</x:v>
      </x:c>
      <x:c r="D471" s="47" t="str">
        <x:v>RT-B-C</x:v>
      </x:c>
      <x:c r="E471" s="47" t="str">
        <x:v>METHOD</x:v>
      </x:c>
      <x:c r="F471" s="47" t="str">
        <x:v>F15</x:v>
      </x:c>
      <x:c r="G471" s="47" t="str">
        <x:v>Civic</x:v>
      </x:c>
      <x:c r="H471" s="47" t="str">
        <x:v>Rights, access and affected-population obligations</x:v>
      </x:c>
      <x:c r="I471" s="47" t="str">
        <x:v>PUBLIC</x:v>
      </x:c>
      <x:c r="J471" s="47" t="n">
        <x:v>1</x:v>
      </x:c>
      <x:c r="K471" s="56" t="n">
        <x:v>0</x:v>
      </x:c>
      <x:c r="L471" s="56" t="n">
        <x:v>0</x:v>
      </x:c>
      <x:c r="M471" s="47" t="str">
        <x:f>IF(AND(J471=1,K471=1,L471=1),"COMPLETE","OPEN")</x:f>
        <x:v>OPEN</x:v>
      </x:c>
      <x:c r="N471" s="84"/>
    </x:row>
    <x:row r="472">
      <x:c r="A472" s="47" t="str">
        <x:v>SC466</x:v>
      </x:c>
      <x:c r="B472" s="47" t="str">
        <x:v>P26</x:v>
      </x:c>
      <x:c r="C472" s="47" t="str">
        <x:v>RT-B</x:v>
      </x:c>
      <x:c r="D472" s="47" t="str">
        <x:v>RT-B-C</x:v>
      </x:c>
      <x:c r="E472" s="47" t="str">
        <x:v>METHOD</x:v>
      </x:c>
      <x:c r="F472" s="47" t="str">
        <x:v>F16</x:v>
      </x:c>
      <x:c r="G472" s="47" t="str">
        <x:v>Epistemic</x:v>
      </x:c>
      <x:c r="H472" s="47" t="str">
        <x:v>Assumptions, unknowns and uncertainty bounds</x:v>
      </x:c>
      <x:c r="I472" s="47" t="str">
        <x:v>PUBLIC</x:v>
      </x:c>
      <x:c r="J472" s="47" t="n">
        <x:v>1</x:v>
      </x:c>
      <x:c r="K472" s="56" t="n">
        <x:v>0</x:v>
      </x:c>
      <x:c r="L472" s="56" t="n">
        <x:v>0</x:v>
      </x:c>
      <x:c r="M472" s="47" t="str">
        <x:f>IF(AND(J472=1,K472=1,L472=1),"COMPLETE","OPEN")</x:f>
        <x:v>OPEN</x:v>
      </x:c>
      <x:c r="N472" s="84"/>
    </x:row>
    <x:row r="473">
      <x:c r="A473" s="47" t="str">
        <x:v>SC467</x:v>
      </x:c>
      <x:c r="B473" s="47" t="str">
        <x:v>P26</x:v>
      </x:c>
      <x:c r="C473" s="47" t="str">
        <x:v>RT-B</x:v>
      </x:c>
      <x:c r="D473" s="47" t="str">
        <x:v>RT-B-C</x:v>
      </x:c>
      <x:c r="E473" s="47" t="str">
        <x:v>METHOD</x:v>
      </x:c>
      <x:c r="F473" s="47" t="str">
        <x:v>F17</x:v>
      </x:c>
      <x:c r="G473" s="47" t="str">
        <x:v>Epistemic</x:v>
      </x:c>
      <x:c r="H473" s="47" t="str">
        <x:v>Causal event, denominator and claim trace</x:v>
      </x:c>
      <x:c r="I473" s="47" t="str">
        <x:v>PUBLIC</x:v>
      </x:c>
      <x:c r="J473" s="47" t="n">
        <x:v>1</x:v>
      </x:c>
      <x:c r="K473" s="56" t="n">
        <x:v>0</x:v>
      </x:c>
      <x:c r="L473" s="56" t="n">
        <x:v>0</x:v>
      </x:c>
      <x:c r="M473" s="47" t="str">
        <x:f>IF(AND(J473=1,K473=1,L473=1),"COMPLETE","OPEN")</x:f>
        <x:v>OPEN</x:v>
      </x:c>
      <x:c r="N473" s="84"/>
    </x:row>
    <x:row r="474">
      <x:c r="A474" s="47" t="str">
        <x:v>SC468</x:v>
      </x:c>
      <x:c r="B474" s="47" t="str">
        <x:v>P26</x:v>
      </x:c>
      <x:c r="C474" s="47" t="str">
        <x:v>RT-B</x:v>
      </x:c>
      <x:c r="D474" s="47" t="str">
        <x:v>RT-B-C</x:v>
      </x:c>
      <x:c r="E474" s="47" t="str">
        <x:v>METHOD</x:v>
      </x:c>
      <x:c r="F474" s="47" t="str">
        <x:v>F18</x:v>
      </x:c>
      <x:c r="G474" s="47" t="str">
        <x:v>Epistemic</x:v>
      </x:c>
      <x:c r="H474" s="47" t="str">
        <x:v>Acceptance, expiry, disclosure and supersession rule</x:v>
      </x:c>
      <x:c r="I474" s="47" t="str">
        <x:v>PUBLIC</x:v>
      </x:c>
      <x:c r="J474" s="47" t="n">
        <x:v>1</x:v>
      </x:c>
      <x:c r="K474" s="56" t="n">
        <x:v>0</x:v>
      </x:c>
      <x:c r="L474" s="56" t="n">
        <x:v>0</x:v>
      </x:c>
      <x:c r="M474" s="47" t="str">
        <x:f>IF(AND(J474=1,K474=1,L474=1),"COMPLETE","OPEN")</x:f>
        <x:v>OPEN</x:v>
      </x:c>
      <x:c r="N474" s="84"/>
    </x:row>
    <x:row r="475">
      <x:c r="A475" s="47" t="str">
        <x:v>SC469</x:v>
      </x:c>
      <x:c r="B475" s="47" t="str">
        <x:v>P27</x:v>
      </x:c>
      <x:c r="C475" s="47" t="str">
        <x:v>RT-B</x:v>
      </x:c>
      <x:c r="D475" s="47" t="str">
        <x:v>RT-B-C</x:v>
      </x:c>
      <x:c r="E475" s="47" t="str">
        <x:v>VALID</x:v>
      </x:c>
      <x:c r="F475" s="47" t="str">
        <x:v>F01</x:v>
      </x:c>
      <x:c r="G475" s="47" t="str">
        <x:v>Identity</x:v>
      </x:c>
      <x:c r="H475" s="47" t="str">
        <x:v>Package identity and warrant scope</x:v>
      </x:c>
      <x:c r="I475" s="47" t="str">
        <x:v>PUBLIC</x:v>
      </x:c>
      <x:c r="J475" s="47" t="n">
        <x:v>1</x:v>
      </x:c>
      <x:c r="K475" s="56" t="n">
        <x:v>0</x:v>
      </x:c>
      <x:c r="L475" s="56" t="n">
        <x:v>0</x:v>
      </x:c>
      <x:c r="M475" s="47" t="str">
        <x:f>IF(AND(J475=1,K475=1,L475=1),"COMPLETE","OPEN")</x:f>
        <x:v>OPEN</x:v>
      </x:c>
      <x:c r="N475" s="84"/>
    </x:row>
    <x:row r="476">
      <x:c r="A476" s="47" t="str">
        <x:v>SC470</x:v>
      </x:c>
      <x:c r="B476" s="47" t="str">
        <x:v>P27</x:v>
      </x:c>
      <x:c r="C476" s="47" t="str">
        <x:v>RT-B</x:v>
      </x:c>
      <x:c r="D476" s="47" t="str">
        <x:v>RT-B-C</x:v>
      </x:c>
      <x:c r="E476" s="47" t="str">
        <x:v>VALID</x:v>
      </x:c>
      <x:c r="F476" s="47" t="str">
        <x:v>F02</x:v>
      </x:c>
      <x:c r="G476" s="47" t="str">
        <x:v>Identity</x:v>
      </x:c>
      <x:c r="H476" s="47" t="str">
        <x:v>Authorship, beneficial control and authority</x:v>
      </x:c>
      <x:c r="I476" s="47" t="str">
        <x:v>PUBLIC</x:v>
      </x:c>
      <x:c r="J476" s="47" t="n">
        <x:v>1</x:v>
      </x:c>
      <x:c r="K476" s="56" t="n">
        <x:v>0</x:v>
      </x:c>
      <x:c r="L476" s="56" t="n">
        <x:v>0</x:v>
      </x:c>
      <x:c r="M476" s="47" t="str">
        <x:f>IF(AND(J476=1,K476=1,L476=1),"COMPLETE","OPEN")</x:f>
        <x:v>OPEN</x:v>
      </x:c>
      <x:c r="N476" s="84"/>
    </x:row>
    <x:row r="477">
      <x:c r="A477" s="47" t="str">
        <x:v>SC471</x:v>
      </x:c>
      <x:c r="B477" s="47" t="str">
        <x:v>P27</x:v>
      </x:c>
      <x:c r="C477" s="47" t="str">
        <x:v>RT-B</x:v>
      </x:c>
      <x:c r="D477" s="47" t="str">
        <x:v>RT-B-C</x:v>
      </x:c>
      <x:c r="E477" s="47" t="str">
        <x:v>VALID</x:v>
      </x:c>
      <x:c r="F477" s="47" t="str">
        <x:v>F03</x:v>
      </x:c>
      <x:c r="G477" s="47" t="str">
        <x:v>Identity</x:v>
      </x:c>
      <x:c r="H477" s="47" t="str">
        <x:v>Configuration and content hash</x:v>
      </x:c>
      <x:c r="I477" s="47" t="str">
        <x:v>PUBLIC</x:v>
      </x:c>
      <x:c r="J477" s="47" t="n">
        <x:v>1</x:v>
      </x:c>
      <x:c r="K477" s="56" t="n">
        <x:v>0</x:v>
      </x:c>
      <x:c r="L477" s="56" t="n">
        <x:v>0</x:v>
      </x:c>
      <x:c r="M477" s="47" t="str">
        <x:f>IF(AND(J477=1,K477=1,L477=1),"COMPLETE","OPEN")</x:f>
        <x:v>OPEN</x:v>
      </x:c>
      <x:c r="N477" s="84"/>
    </x:row>
    <x:row r="478">
      <x:c r="A478" s="47" t="str">
        <x:v>SC472</x:v>
      </x:c>
      <x:c r="B478" s="47" t="str">
        <x:v>P27</x:v>
      </x:c>
      <x:c r="C478" s="47" t="str">
        <x:v>RT-B</x:v>
      </x:c>
      <x:c r="D478" s="47" t="str">
        <x:v>RT-B-C</x:v>
      </x:c>
      <x:c r="E478" s="47" t="str">
        <x:v>VALID</x:v>
      </x:c>
      <x:c r="F478" s="47" t="str">
        <x:v>F04</x:v>
      </x:c>
      <x:c r="G478" s="47" t="str">
        <x:v>Executable</x:v>
      </x:c>
      <x:c r="H478" s="47" t="str">
        <x:v>Native executable artifact</x:v>
      </x:c>
      <x:c r="I478" s="47" t="str">
        <x:v>ESCROW</x:v>
      </x:c>
      <x:c r="J478" s="47" t="n">
        <x:v>1</x:v>
      </x:c>
      <x:c r="K478" s="56" t="n">
        <x:v>0</x:v>
      </x:c>
      <x:c r="L478" s="56" t="n">
        <x:v>0</x:v>
      </x:c>
      <x:c r="M478" s="47" t="str">
        <x:f>IF(AND(J478=1,K478=1,L478=1),"COMPLETE","OPEN")</x:f>
        <x:v>OPEN</x:v>
      </x:c>
      <x:c r="N478" s="84"/>
    </x:row>
    <x:row r="479">
      <x:c r="A479" s="47" t="str">
        <x:v>SC473</x:v>
      </x:c>
      <x:c r="B479" s="47" t="str">
        <x:v>P27</x:v>
      </x:c>
      <x:c r="C479" s="47" t="str">
        <x:v>RT-B</x:v>
      </x:c>
      <x:c r="D479" s="47" t="str">
        <x:v>RT-B-C</x:v>
      </x:c>
      <x:c r="E479" s="47" t="str">
        <x:v>VALID</x:v>
      </x:c>
      <x:c r="F479" s="47" t="str">
        <x:v>F05</x:v>
      </x:c>
      <x:c r="G479" s="47" t="str">
        <x:v>Executable</x:v>
      </x:c>
      <x:c r="H479" s="47" t="str">
        <x:v>Native environment and toolchain image</x:v>
      </x:c>
      <x:c r="I479" s="47" t="str">
        <x:v>ESCROW</x:v>
      </x:c>
      <x:c r="J479" s="47" t="n">
        <x:v>1</x:v>
      </x:c>
      <x:c r="K479" s="56" t="n">
        <x:v>0</x:v>
      </x:c>
      <x:c r="L479" s="56" t="n">
        <x:v>0</x:v>
      </x:c>
      <x:c r="M479" s="47" t="str">
        <x:f>IF(AND(J479=1,K479=1,L479=1),"COMPLETE","OPEN")</x:f>
        <x:v>OPEN</x:v>
      </x:c>
      <x:c r="N479" s="84"/>
    </x:row>
    <x:row r="480">
      <x:c r="A480" s="47" t="str">
        <x:v>SC474</x:v>
      </x:c>
      <x:c r="B480" s="47" t="str">
        <x:v>P27</x:v>
      </x:c>
      <x:c r="C480" s="47" t="str">
        <x:v>RT-B</x:v>
      </x:c>
      <x:c r="D480" s="47" t="str">
        <x:v>RT-B-C</x:v>
      </x:c>
      <x:c r="E480" s="47" t="str">
        <x:v>VALID</x:v>
      </x:c>
      <x:c r="F480" s="47" t="str">
        <x:v>F06</x:v>
      </x:c>
      <x:c r="G480" s="47" t="str">
        <x:v>Executable</x:v>
      </x:c>
      <x:c r="H480" s="47" t="str">
        <x:v>Dependency bill, software bill and license rights</x:v>
      </x:c>
      <x:c r="I480" s="47" t="str">
        <x:v>PUBLIC</x:v>
      </x:c>
      <x:c r="J480" s="47" t="n">
        <x:v>1</x:v>
      </x:c>
      <x:c r="K480" s="56" t="n">
        <x:v>0</x:v>
      </x:c>
      <x:c r="L480" s="56" t="n">
        <x:v>0</x:v>
      </x:c>
      <x:c r="M480" s="47" t="str">
        <x:f>IF(AND(J480=1,K480=1,L480=1),"COMPLETE","OPEN")</x:f>
        <x:v>OPEN</x:v>
      </x:c>
      <x:c r="N480" s="84"/>
    </x:row>
    <x:row r="481">
      <x:c r="A481" s="47" t="str">
        <x:v>SC475</x:v>
      </x:c>
      <x:c r="B481" s="47" t="str">
        <x:v>P27</x:v>
      </x:c>
      <x:c r="C481" s="47" t="str">
        <x:v>RT-B</x:v>
      </x:c>
      <x:c r="D481" s="47" t="str">
        <x:v>RT-B-C</x:v>
      </x:c>
      <x:c r="E481" s="47" t="str">
        <x:v>VALID</x:v>
      </x:c>
      <x:c r="F481" s="47" t="str">
        <x:v>F07</x:v>
      </x:c>
      <x:c r="G481" s="47" t="str">
        <x:v>Executable</x:v>
      </x:c>
      <x:c r="H481" s="47" t="str">
        <x:v>Data provenance and calibration lineage</x:v>
      </x:c>
      <x:c r="I481" s="47" t="str">
        <x:v>ESCROW</x:v>
      </x:c>
      <x:c r="J481" s="47" t="n">
        <x:v>1</x:v>
      </x:c>
      <x:c r="K481" s="56" t="n">
        <x:v>0</x:v>
      </x:c>
      <x:c r="L481" s="56" t="n">
        <x:v>0</x:v>
      </x:c>
      <x:c r="M481" s="47" t="str">
        <x:f>IF(AND(J481=1,K481=1,L481=1),"COMPLETE","OPEN")</x:f>
        <x:v>OPEN</x:v>
      </x:c>
      <x:c r="N481" s="84"/>
    </x:row>
    <x:row r="482">
      <x:c r="A482" s="47" t="str">
        <x:v>SC476</x:v>
      </x:c>
      <x:c r="B482" s="47" t="str">
        <x:v>P27</x:v>
      </x:c>
      <x:c r="C482" s="47" t="str">
        <x:v>RT-B</x:v>
      </x:c>
      <x:c r="D482" s="47" t="str">
        <x:v>RT-B-C</x:v>
      </x:c>
      <x:c r="E482" s="47" t="str">
        <x:v>VALID</x:v>
      </x:c>
      <x:c r="F482" s="47" t="str">
        <x:v>F08</x:v>
      </x:c>
      <x:c r="G482" s="47" t="str">
        <x:v>Executable</x:v>
      </x:c>
      <x:c r="H482" s="47" t="str">
        <x:v>Random seed, solver and numerical controls</x:v>
      </x:c>
      <x:c r="I482" s="47" t="str">
        <x:v>ESCROW</x:v>
      </x:c>
      <x:c r="J482" s="47" t="n">
        <x:v>1</x:v>
      </x:c>
      <x:c r="K482" s="56" t="n">
        <x:v>0</x:v>
      </x:c>
      <x:c r="L482" s="56" t="n">
        <x:v>0</x:v>
      </x:c>
      <x:c r="M482" s="47" t="str">
        <x:f>IF(AND(J482=1,K482=1,L482=1),"COMPLETE","OPEN")</x:f>
        <x:v>OPEN</x:v>
      </x:c>
      <x:c r="N482" s="84"/>
    </x:row>
    <x:row r="483">
      <x:c r="A483" s="47" t="str">
        <x:v>SC477</x:v>
      </x:c>
      <x:c r="B483" s="47" t="str">
        <x:v>P27</x:v>
      </x:c>
      <x:c r="C483" s="47" t="str">
        <x:v>RT-B</x:v>
      </x:c>
      <x:c r="D483" s="47" t="str">
        <x:v>RT-B-C</x:v>
      </x:c>
      <x:c r="E483" s="47" t="str">
        <x:v>VALID</x:v>
      </x:c>
      <x:c r="F483" s="47" t="str">
        <x:v>F09</x:v>
      </x:c>
      <x:c r="G483" s="47" t="str">
        <x:v>Physical</x:v>
      </x:c>
      <x:c r="H483" s="47" t="str">
        <x:v>Units, coordinates and datums</x:v>
      </x:c>
      <x:c r="I483" s="47" t="str">
        <x:v>PUBLIC</x:v>
      </x:c>
      <x:c r="J483" s="47" t="n">
        <x:v>1</x:v>
      </x:c>
      <x:c r="K483" s="56" t="n">
        <x:v>0</x:v>
      </x:c>
      <x:c r="L483" s="56" t="n">
        <x:v>0</x:v>
      </x:c>
      <x:c r="M483" s="47" t="str">
        <x:f>IF(AND(J483=1,K483=1,L483=1),"COMPLETE","OPEN")</x:f>
        <x:v>OPEN</x:v>
      </x:c>
      <x:c r="N483" s="84"/>
    </x:row>
    <x:row r="484">
      <x:c r="A484" s="47" t="str">
        <x:v>SC478</x:v>
      </x:c>
      <x:c r="B484" s="47" t="str">
        <x:v>P27</x:v>
      </x:c>
      <x:c r="C484" s="47" t="str">
        <x:v>RT-B</x:v>
      </x:c>
      <x:c r="D484" s="47" t="str">
        <x:v>RT-B-C</x:v>
      </x:c>
      <x:c r="E484" s="47" t="str">
        <x:v>VALID</x:v>
      </x:c>
      <x:c r="F484" s="47" t="str">
        <x:v>F10</x:v>
      </x:c>
      <x:c r="G484" s="47" t="str">
        <x:v>Physical</x:v>
      </x:c>
      <x:c r="H484" s="47" t="str">
        <x:v>Material, property and constitutive sources</x:v>
      </x:c>
      <x:c r="I484" s="47" t="str">
        <x:v>PUBLIC</x:v>
      </x:c>
      <x:c r="J484" s="47" t="n">
        <x:v>1</x:v>
      </x:c>
      <x:c r="K484" s="56" t="n">
        <x:v>0</x:v>
      </x:c>
      <x:c r="L484" s="56" t="n">
        <x:v>0</x:v>
      </x:c>
      <x:c r="M484" s="47" t="str">
        <x:f>IF(AND(J484=1,K484=1,L484=1),"COMPLETE","OPEN")</x:f>
        <x:v>OPEN</x:v>
      </x:c>
      <x:c r="N484" s="84"/>
    </x:row>
    <x:row r="485">
      <x:c r="A485" s="47" t="str">
        <x:v>SC479</x:v>
      </x:c>
      <x:c r="B485" s="47" t="str">
        <x:v>P27</x:v>
      </x:c>
      <x:c r="C485" s="47" t="str">
        <x:v>RT-B</x:v>
      </x:c>
      <x:c r="D485" s="47" t="str">
        <x:v>RT-B-C</x:v>
      </x:c>
      <x:c r="E485" s="47" t="str">
        <x:v>VALID</x:v>
      </x:c>
      <x:c r="F485" s="47" t="str">
        <x:v>F11</x:v>
      </x:c>
      <x:c r="G485" s="47" t="str">
        <x:v>Physical</x:v>
      </x:c>
      <x:c r="H485" s="47" t="str">
        <x:v>Interfaces, tolerances and boundary conditions</x:v>
      </x:c>
      <x:c r="I485" s="47" t="str">
        <x:v>PUBLIC</x:v>
      </x:c>
      <x:c r="J485" s="47" t="n">
        <x:v>1</x:v>
      </x:c>
      <x:c r="K485" s="56" t="n">
        <x:v>0</x:v>
      </x:c>
      <x:c r="L485" s="56" t="n">
        <x:v>0</x:v>
      </x:c>
      <x:c r="M485" s="47" t="str">
        <x:f>IF(AND(J485=1,K485=1,L485=1),"COMPLETE","OPEN")</x:f>
        <x:v>OPEN</x:v>
      </x:c>
      <x:c r="N485" s="84"/>
    </x:row>
    <x:row r="486">
      <x:c r="A486" s="47" t="str">
        <x:v>SC480</x:v>
      </x:c>
      <x:c r="B486" s="47" t="str">
        <x:v>P27</x:v>
      </x:c>
      <x:c r="C486" s="47" t="str">
        <x:v>RT-B</x:v>
      </x:c>
      <x:c r="D486" s="47" t="str">
        <x:v>RT-B-C</x:v>
      </x:c>
      <x:c r="E486" s="47" t="str">
        <x:v>VALID</x:v>
      </x:c>
      <x:c r="F486" s="47" t="str">
        <x:v>F12</x:v>
      </x:c>
      <x:c r="G486" s="47" t="str">
        <x:v>Physical</x:v>
      </x:c>
      <x:c r="H486" s="47" t="str">
        <x:v>Manufacturing, process and assembly assumptions</x:v>
      </x:c>
      <x:c r="I486" s="47" t="str">
        <x:v>PUBLIC</x:v>
      </x:c>
      <x:c r="J486" s="47" t="n">
        <x:v>1</x:v>
      </x:c>
      <x:c r="K486" s="56" t="n">
        <x:v>0</x:v>
      </x:c>
      <x:c r="L486" s="56" t="n">
        <x:v>0</x:v>
      </x:c>
      <x:c r="M486" s="47" t="str">
        <x:f>IF(AND(J486=1,K486=1,L486=1),"COMPLETE","OPEN")</x:f>
        <x:v>OPEN</x:v>
      </x:c>
      <x:c r="N486" s="84"/>
    </x:row>
    <x:row r="487">
      <x:c r="A487" s="47" t="str">
        <x:v>SC481</x:v>
      </x:c>
      <x:c r="B487" s="47" t="str">
        <x:v>P27</x:v>
      </x:c>
      <x:c r="C487" s="47" t="str">
        <x:v>RT-B</x:v>
      </x:c>
      <x:c r="D487" s="47" t="str">
        <x:v>RT-B-C</x:v>
      </x:c>
      <x:c r="E487" s="47" t="str">
        <x:v>VALID</x:v>
      </x:c>
      <x:c r="F487" s="47" t="str">
        <x:v>F13</x:v>
      </x:c>
      <x:c r="G487" s="47" t="str">
        <x:v>Civic</x:v>
      </x:c>
      <x:c r="H487" s="47" t="str">
        <x:v>Safe-state and abort logic</x:v>
      </x:c>
      <x:c r="I487" s="47" t="str">
        <x:v>PUBLIC</x:v>
      </x:c>
      <x:c r="J487" s="47" t="n">
        <x:v>1</x:v>
      </x:c>
      <x:c r="K487" s="56" t="n">
        <x:v>0</x:v>
      </x:c>
      <x:c r="L487" s="56" t="n">
        <x:v>0</x:v>
      </x:c>
      <x:c r="M487" s="47" t="str">
        <x:f>IF(AND(J487=1,K487=1,L487=1),"COMPLETE","OPEN")</x:f>
        <x:v>OPEN</x:v>
      </x:c>
      <x:c r="N487" s="84"/>
    </x:row>
    <x:row r="488">
      <x:c r="A488" s="47" t="str">
        <x:v>SC482</x:v>
      </x:c>
      <x:c r="B488" s="47" t="str">
        <x:v>P27</x:v>
      </x:c>
      <x:c r="C488" s="47" t="str">
        <x:v>RT-B</x:v>
      </x:c>
      <x:c r="D488" s="47" t="str">
        <x:v>RT-B-C</x:v>
      </x:c>
      <x:c r="E488" s="47" t="str">
        <x:v>VALID</x:v>
      </x:c>
      <x:c r="F488" s="47" t="str">
        <x:v>F14</x:v>
      </x:c>
      <x:c r="G488" s="47" t="str">
        <x:v>Civic</x:v>
      </x:c>
      <x:c r="H488" s="47" t="str">
        <x:v>Receiver and residual dispositions</x:v>
      </x:c>
      <x:c r="I488" s="47" t="str">
        <x:v>PUBLIC</x:v>
      </x:c>
      <x:c r="J488" s="47" t="n">
        <x:v>1</x:v>
      </x:c>
      <x:c r="K488" s="56" t="n">
        <x:v>0</x:v>
      </x:c>
      <x:c r="L488" s="56" t="n">
        <x:v>0</x:v>
      </x:c>
      <x:c r="M488" s="47" t="str">
        <x:f>IF(AND(J488=1,K488=1,L488=1),"COMPLETE","OPEN")</x:f>
        <x:v>OPEN</x:v>
      </x:c>
      <x:c r="N488" s="84"/>
    </x:row>
    <x:row r="489">
      <x:c r="A489" s="47" t="str">
        <x:v>SC483</x:v>
      </x:c>
      <x:c r="B489" s="47" t="str">
        <x:v>P27</x:v>
      </x:c>
      <x:c r="C489" s="47" t="str">
        <x:v>RT-B</x:v>
      </x:c>
      <x:c r="D489" s="47" t="str">
        <x:v>RT-B-C</x:v>
      </x:c>
      <x:c r="E489" s="47" t="str">
        <x:v>VALID</x:v>
      </x:c>
      <x:c r="F489" s="47" t="str">
        <x:v>F15</x:v>
      </x:c>
      <x:c r="G489" s="47" t="str">
        <x:v>Civic</x:v>
      </x:c>
      <x:c r="H489" s="47" t="str">
        <x:v>Rights, access and affected-population obligations</x:v>
      </x:c>
      <x:c r="I489" s="47" t="str">
        <x:v>PUBLIC</x:v>
      </x:c>
      <x:c r="J489" s="47" t="n">
        <x:v>1</x:v>
      </x:c>
      <x:c r="K489" s="56" t="n">
        <x:v>0</x:v>
      </x:c>
      <x:c r="L489" s="56" t="n">
        <x:v>0</x:v>
      </x:c>
      <x:c r="M489" s="47" t="str">
        <x:f>IF(AND(J489=1,K489=1,L489=1),"COMPLETE","OPEN")</x:f>
        <x:v>OPEN</x:v>
      </x:c>
      <x:c r="N489" s="84"/>
    </x:row>
    <x:row r="490">
      <x:c r="A490" s="47" t="str">
        <x:v>SC484</x:v>
      </x:c>
      <x:c r="B490" s="47" t="str">
        <x:v>P27</x:v>
      </x:c>
      <x:c r="C490" s="47" t="str">
        <x:v>RT-B</x:v>
      </x:c>
      <x:c r="D490" s="47" t="str">
        <x:v>RT-B-C</x:v>
      </x:c>
      <x:c r="E490" s="47" t="str">
        <x:v>VALID</x:v>
      </x:c>
      <x:c r="F490" s="47" t="str">
        <x:v>F16</x:v>
      </x:c>
      <x:c r="G490" s="47" t="str">
        <x:v>Epistemic</x:v>
      </x:c>
      <x:c r="H490" s="47" t="str">
        <x:v>Assumptions, unknowns and uncertainty bounds</x:v>
      </x:c>
      <x:c r="I490" s="47" t="str">
        <x:v>PUBLIC</x:v>
      </x:c>
      <x:c r="J490" s="47" t="n">
        <x:v>1</x:v>
      </x:c>
      <x:c r="K490" s="56" t="n">
        <x:v>0</x:v>
      </x:c>
      <x:c r="L490" s="56" t="n">
        <x:v>0</x:v>
      </x:c>
      <x:c r="M490" s="47" t="str">
        <x:f>IF(AND(J490=1,K490=1,L490=1),"COMPLETE","OPEN")</x:f>
        <x:v>OPEN</x:v>
      </x:c>
      <x:c r="N490" s="84"/>
    </x:row>
    <x:row r="491">
      <x:c r="A491" s="47" t="str">
        <x:v>SC485</x:v>
      </x:c>
      <x:c r="B491" s="47" t="str">
        <x:v>P27</x:v>
      </x:c>
      <x:c r="C491" s="47" t="str">
        <x:v>RT-B</x:v>
      </x:c>
      <x:c r="D491" s="47" t="str">
        <x:v>RT-B-C</x:v>
      </x:c>
      <x:c r="E491" s="47" t="str">
        <x:v>VALID</x:v>
      </x:c>
      <x:c r="F491" s="47" t="str">
        <x:v>F17</x:v>
      </x:c>
      <x:c r="G491" s="47" t="str">
        <x:v>Epistemic</x:v>
      </x:c>
      <x:c r="H491" s="47" t="str">
        <x:v>Causal event, denominator and claim trace</x:v>
      </x:c>
      <x:c r="I491" s="47" t="str">
        <x:v>PUBLIC</x:v>
      </x:c>
      <x:c r="J491" s="47" t="n">
        <x:v>1</x:v>
      </x:c>
      <x:c r="K491" s="56" t="n">
        <x:v>0</x:v>
      </x:c>
      <x:c r="L491" s="56" t="n">
        <x:v>0</x:v>
      </x:c>
      <x:c r="M491" s="47" t="str">
        <x:f>IF(AND(J491=1,K491=1,L491=1),"COMPLETE","OPEN")</x:f>
        <x:v>OPEN</x:v>
      </x:c>
      <x:c r="N491" s="84"/>
    </x:row>
    <x:row r="492">
      <x:c r="A492" s="47" t="str">
        <x:v>SC486</x:v>
      </x:c>
      <x:c r="B492" s="47" t="str">
        <x:v>P27</x:v>
      </x:c>
      <x:c r="C492" s="47" t="str">
        <x:v>RT-B</x:v>
      </x:c>
      <x:c r="D492" s="47" t="str">
        <x:v>RT-B-C</x:v>
      </x:c>
      <x:c r="E492" s="47" t="str">
        <x:v>VALID</x:v>
      </x:c>
      <x:c r="F492" s="47" t="str">
        <x:v>F18</x:v>
      </x:c>
      <x:c r="G492" s="47" t="str">
        <x:v>Epistemic</x:v>
      </x:c>
      <x:c r="H492" s="47" t="str">
        <x:v>Acceptance, expiry, disclosure and supersession rule</x:v>
      </x:c>
      <x:c r="I492" s="47" t="str">
        <x:v>PUBLIC</x:v>
      </x:c>
      <x:c r="J492" s="47" t="n">
        <x:v>1</x:v>
      </x:c>
      <x:c r="K492" s="56" t="n">
        <x:v>0</x:v>
      </x:c>
      <x:c r="L492" s="56" t="n">
        <x:v>0</x:v>
      </x:c>
      <x:c r="M492" s="47" t="str">
        <x:f>IF(AND(J492=1,K492=1,L492=1),"COMPLETE","OPEN")</x:f>
        <x:v>OPEN</x:v>
      </x:c>
      <x:c r="N492" s="84"/>
    </x:row>
    <x:row r="493">
      <x:c r="A493" s="47" t="str">
        <x:v>SC487</x:v>
      </x:c>
      <x:c r="B493" s="47" t="str">
        <x:v>P28</x:v>
      </x:c>
      <x:c r="C493" s="47" t="str">
        <x:v>RT-B</x:v>
      </x:c>
      <x:c r="D493" s="47" t="str">
        <x:v>RT-B-C</x:v>
      </x:c>
      <x:c r="E493" s="47" t="str">
        <x:v>CIVIL</x:v>
      </x:c>
      <x:c r="F493" s="47" t="str">
        <x:v>F01</x:v>
      </x:c>
      <x:c r="G493" s="47" t="str">
        <x:v>Identity</x:v>
      </x:c>
      <x:c r="H493" s="47" t="str">
        <x:v>Package identity and warrant scope</x:v>
      </x:c>
      <x:c r="I493" s="47" t="str">
        <x:v>PUBLIC</x:v>
      </x:c>
      <x:c r="J493" s="47" t="n">
        <x:v>1</x:v>
      </x:c>
      <x:c r="K493" s="56" t="n">
        <x:v>0</x:v>
      </x:c>
      <x:c r="L493" s="56" t="n">
        <x:v>0</x:v>
      </x:c>
      <x:c r="M493" s="47" t="str">
        <x:f>IF(AND(J493=1,K493=1,L493=1),"COMPLETE","OPEN")</x:f>
        <x:v>OPEN</x:v>
      </x:c>
      <x:c r="N493" s="84"/>
    </x:row>
    <x:row r="494">
      <x:c r="A494" s="47" t="str">
        <x:v>SC488</x:v>
      </x:c>
      <x:c r="B494" s="47" t="str">
        <x:v>P28</x:v>
      </x:c>
      <x:c r="C494" s="47" t="str">
        <x:v>RT-B</x:v>
      </x:c>
      <x:c r="D494" s="47" t="str">
        <x:v>RT-B-C</x:v>
      </x:c>
      <x:c r="E494" s="47" t="str">
        <x:v>CIVIL</x:v>
      </x:c>
      <x:c r="F494" s="47" t="str">
        <x:v>F02</x:v>
      </x:c>
      <x:c r="G494" s="47" t="str">
        <x:v>Identity</x:v>
      </x:c>
      <x:c r="H494" s="47" t="str">
        <x:v>Authorship, beneficial control and authority</x:v>
      </x:c>
      <x:c r="I494" s="47" t="str">
        <x:v>PUBLIC</x:v>
      </x:c>
      <x:c r="J494" s="47" t="n">
        <x:v>1</x:v>
      </x:c>
      <x:c r="K494" s="56" t="n">
        <x:v>0</x:v>
      </x:c>
      <x:c r="L494" s="56" t="n">
        <x:v>0</x:v>
      </x:c>
      <x:c r="M494" s="47" t="str">
        <x:f>IF(AND(J494=1,K494=1,L494=1),"COMPLETE","OPEN")</x:f>
        <x:v>OPEN</x:v>
      </x:c>
      <x:c r="N494" s="84"/>
    </x:row>
    <x:row r="495">
      <x:c r="A495" s="47" t="str">
        <x:v>SC489</x:v>
      </x:c>
      <x:c r="B495" s="47" t="str">
        <x:v>P28</x:v>
      </x:c>
      <x:c r="C495" s="47" t="str">
        <x:v>RT-B</x:v>
      </x:c>
      <x:c r="D495" s="47" t="str">
        <x:v>RT-B-C</x:v>
      </x:c>
      <x:c r="E495" s="47" t="str">
        <x:v>CIVIL</x:v>
      </x:c>
      <x:c r="F495" s="47" t="str">
        <x:v>F03</x:v>
      </x:c>
      <x:c r="G495" s="47" t="str">
        <x:v>Identity</x:v>
      </x:c>
      <x:c r="H495" s="47" t="str">
        <x:v>Configuration and content hash</x:v>
      </x:c>
      <x:c r="I495" s="47" t="str">
        <x:v>PUBLIC</x:v>
      </x:c>
      <x:c r="J495" s="47" t="n">
        <x:v>1</x:v>
      </x:c>
      <x:c r="K495" s="56" t="n">
        <x:v>0</x:v>
      </x:c>
      <x:c r="L495" s="56" t="n">
        <x:v>0</x:v>
      </x:c>
      <x:c r="M495" s="47" t="str">
        <x:f>IF(AND(J495=1,K495=1,L495=1),"COMPLETE","OPEN")</x:f>
        <x:v>OPEN</x:v>
      </x:c>
      <x:c r="N495" s="84"/>
    </x:row>
    <x:row r="496">
      <x:c r="A496" s="47" t="str">
        <x:v>SC490</x:v>
      </x:c>
      <x:c r="B496" s="47" t="str">
        <x:v>P28</x:v>
      </x:c>
      <x:c r="C496" s="47" t="str">
        <x:v>RT-B</x:v>
      </x:c>
      <x:c r="D496" s="47" t="str">
        <x:v>RT-B-C</x:v>
      </x:c>
      <x:c r="E496" s="47" t="str">
        <x:v>CIVIL</x:v>
      </x:c>
      <x:c r="F496" s="47" t="str">
        <x:v>F04</x:v>
      </x:c>
      <x:c r="G496" s="47" t="str">
        <x:v>Executable</x:v>
      </x:c>
      <x:c r="H496" s="47" t="str">
        <x:v>Native executable artifact</x:v>
      </x:c>
      <x:c r="I496" s="47" t="str">
        <x:v>ESCROW</x:v>
      </x:c>
      <x:c r="J496" s="47" t="n">
        <x:v>1</x:v>
      </x:c>
      <x:c r="K496" s="56" t="n">
        <x:v>0</x:v>
      </x:c>
      <x:c r="L496" s="56" t="n">
        <x:v>0</x:v>
      </x:c>
      <x:c r="M496" s="47" t="str">
        <x:f>IF(AND(J496=1,K496=1,L496=1),"COMPLETE","OPEN")</x:f>
        <x:v>OPEN</x:v>
      </x:c>
      <x:c r="N496" s="84"/>
    </x:row>
    <x:row r="497">
      <x:c r="A497" s="47" t="str">
        <x:v>SC491</x:v>
      </x:c>
      <x:c r="B497" s="47" t="str">
        <x:v>P28</x:v>
      </x:c>
      <x:c r="C497" s="47" t="str">
        <x:v>RT-B</x:v>
      </x:c>
      <x:c r="D497" s="47" t="str">
        <x:v>RT-B-C</x:v>
      </x:c>
      <x:c r="E497" s="47" t="str">
        <x:v>CIVIL</x:v>
      </x:c>
      <x:c r="F497" s="47" t="str">
        <x:v>F05</x:v>
      </x:c>
      <x:c r="G497" s="47" t="str">
        <x:v>Executable</x:v>
      </x:c>
      <x:c r="H497" s="47" t="str">
        <x:v>Native environment and toolchain image</x:v>
      </x:c>
      <x:c r="I497" s="47" t="str">
        <x:v>ESCROW</x:v>
      </x:c>
      <x:c r="J497" s="47" t="n">
        <x:v>1</x:v>
      </x:c>
      <x:c r="K497" s="56" t="n">
        <x:v>0</x:v>
      </x:c>
      <x:c r="L497" s="56" t="n">
        <x:v>0</x:v>
      </x:c>
      <x:c r="M497" s="47" t="str">
        <x:f>IF(AND(J497=1,K497=1,L497=1),"COMPLETE","OPEN")</x:f>
        <x:v>OPEN</x:v>
      </x:c>
      <x:c r="N497" s="84"/>
    </x:row>
    <x:row r="498">
      <x:c r="A498" s="47" t="str">
        <x:v>SC492</x:v>
      </x:c>
      <x:c r="B498" s="47" t="str">
        <x:v>P28</x:v>
      </x:c>
      <x:c r="C498" s="47" t="str">
        <x:v>RT-B</x:v>
      </x:c>
      <x:c r="D498" s="47" t="str">
        <x:v>RT-B-C</x:v>
      </x:c>
      <x:c r="E498" s="47" t="str">
        <x:v>CIVIL</x:v>
      </x:c>
      <x:c r="F498" s="47" t="str">
        <x:v>F06</x:v>
      </x:c>
      <x:c r="G498" s="47" t="str">
        <x:v>Executable</x:v>
      </x:c>
      <x:c r="H498" s="47" t="str">
        <x:v>Dependency bill, software bill and license rights</x:v>
      </x:c>
      <x:c r="I498" s="47" t="str">
        <x:v>PUBLIC</x:v>
      </x:c>
      <x:c r="J498" s="47" t="n">
        <x:v>1</x:v>
      </x:c>
      <x:c r="K498" s="56" t="n">
        <x:v>0</x:v>
      </x:c>
      <x:c r="L498" s="56" t="n">
        <x:v>0</x:v>
      </x:c>
      <x:c r="M498" s="47" t="str">
        <x:f>IF(AND(J498=1,K498=1,L498=1),"COMPLETE","OPEN")</x:f>
        <x:v>OPEN</x:v>
      </x:c>
      <x:c r="N498" s="84"/>
    </x:row>
    <x:row r="499">
      <x:c r="A499" s="47" t="str">
        <x:v>SC493</x:v>
      </x:c>
      <x:c r="B499" s="47" t="str">
        <x:v>P28</x:v>
      </x:c>
      <x:c r="C499" s="47" t="str">
        <x:v>RT-B</x:v>
      </x:c>
      <x:c r="D499" s="47" t="str">
        <x:v>RT-B-C</x:v>
      </x:c>
      <x:c r="E499" s="47" t="str">
        <x:v>CIVIL</x:v>
      </x:c>
      <x:c r="F499" s="47" t="str">
        <x:v>F07</x:v>
      </x:c>
      <x:c r="G499" s="47" t="str">
        <x:v>Executable</x:v>
      </x:c>
      <x:c r="H499" s="47" t="str">
        <x:v>Data provenance and calibration lineage</x:v>
      </x:c>
      <x:c r="I499" s="47" t="str">
        <x:v>ESCROW</x:v>
      </x:c>
      <x:c r="J499" s="47" t="n">
        <x:v>1</x:v>
      </x:c>
      <x:c r="K499" s="56" t="n">
        <x:v>0</x:v>
      </x:c>
      <x:c r="L499" s="56" t="n">
        <x:v>0</x:v>
      </x:c>
      <x:c r="M499" s="47" t="str">
        <x:f>IF(AND(J499=1,K499=1,L499=1),"COMPLETE","OPEN")</x:f>
        <x:v>OPEN</x:v>
      </x:c>
      <x:c r="N499" s="84"/>
    </x:row>
    <x:row r="500">
      <x:c r="A500" s="47" t="str">
        <x:v>SC494</x:v>
      </x:c>
      <x:c r="B500" s="47" t="str">
        <x:v>P28</x:v>
      </x:c>
      <x:c r="C500" s="47" t="str">
        <x:v>RT-B</x:v>
      </x:c>
      <x:c r="D500" s="47" t="str">
        <x:v>RT-B-C</x:v>
      </x:c>
      <x:c r="E500" s="47" t="str">
        <x:v>CIVIL</x:v>
      </x:c>
      <x:c r="F500" s="47" t="str">
        <x:v>F08</x:v>
      </x:c>
      <x:c r="G500" s="47" t="str">
        <x:v>Executable</x:v>
      </x:c>
      <x:c r="H500" s="47" t="str">
        <x:v>Random seed, solver and numerical controls</x:v>
      </x:c>
      <x:c r="I500" s="47" t="str">
        <x:v>ESCROW</x:v>
      </x:c>
      <x:c r="J500" s="47" t="n">
        <x:v>1</x:v>
      </x:c>
      <x:c r="K500" s="56" t="n">
        <x:v>0</x:v>
      </x:c>
      <x:c r="L500" s="56" t="n">
        <x:v>0</x:v>
      </x:c>
      <x:c r="M500" s="47" t="str">
        <x:f>IF(AND(J500=1,K500=1,L500=1),"COMPLETE","OPEN")</x:f>
        <x:v>OPEN</x:v>
      </x:c>
      <x:c r="N500" s="84"/>
    </x:row>
    <x:row r="501">
      <x:c r="A501" s="47" t="str">
        <x:v>SC495</x:v>
      </x:c>
      <x:c r="B501" s="47" t="str">
        <x:v>P28</x:v>
      </x:c>
      <x:c r="C501" s="47" t="str">
        <x:v>RT-B</x:v>
      </x:c>
      <x:c r="D501" s="47" t="str">
        <x:v>RT-B-C</x:v>
      </x:c>
      <x:c r="E501" s="47" t="str">
        <x:v>CIVIL</x:v>
      </x:c>
      <x:c r="F501" s="47" t="str">
        <x:v>F09</x:v>
      </x:c>
      <x:c r="G501" s="47" t="str">
        <x:v>Physical</x:v>
      </x:c>
      <x:c r="H501" s="47" t="str">
        <x:v>Units, coordinates and datums</x:v>
      </x:c>
      <x:c r="I501" s="47" t="str">
        <x:v>PUBLIC</x:v>
      </x:c>
      <x:c r="J501" s="47" t="n">
        <x:v>1</x:v>
      </x:c>
      <x:c r="K501" s="56" t="n">
        <x:v>0</x:v>
      </x:c>
      <x:c r="L501" s="56" t="n">
        <x:v>0</x:v>
      </x:c>
      <x:c r="M501" s="47" t="str">
        <x:f>IF(AND(J501=1,K501=1,L501=1),"COMPLETE","OPEN")</x:f>
        <x:v>OPEN</x:v>
      </x:c>
      <x:c r="N501" s="84"/>
    </x:row>
    <x:row r="502">
      <x:c r="A502" s="47" t="str">
        <x:v>SC496</x:v>
      </x:c>
      <x:c r="B502" s="47" t="str">
        <x:v>P28</x:v>
      </x:c>
      <x:c r="C502" s="47" t="str">
        <x:v>RT-B</x:v>
      </x:c>
      <x:c r="D502" s="47" t="str">
        <x:v>RT-B-C</x:v>
      </x:c>
      <x:c r="E502" s="47" t="str">
        <x:v>CIVIL</x:v>
      </x:c>
      <x:c r="F502" s="47" t="str">
        <x:v>F10</x:v>
      </x:c>
      <x:c r="G502" s="47" t="str">
        <x:v>Physical</x:v>
      </x:c>
      <x:c r="H502" s="47" t="str">
        <x:v>Material, property and constitutive sources</x:v>
      </x:c>
      <x:c r="I502" s="47" t="str">
        <x:v>PUBLIC</x:v>
      </x:c>
      <x:c r="J502" s="47" t="n">
        <x:v>1</x:v>
      </x:c>
      <x:c r="K502" s="56" t="n">
        <x:v>0</x:v>
      </x:c>
      <x:c r="L502" s="56" t="n">
        <x:v>0</x:v>
      </x:c>
      <x:c r="M502" s="47" t="str">
        <x:f>IF(AND(J502=1,K502=1,L502=1),"COMPLETE","OPEN")</x:f>
        <x:v>OPEN</x:v>
      </x:c>
      <x:c r="N502" s="84"/>
    </x:row>
    <x:row r="503">
      <x:c r="A503" s="47" t="str">
        <x:v>SC497</x:v>
      </x:c>
      <x:c r="B503" s="47" t="str">
        <x:v>P28</x:v>
      </x:c>
      <x:c r="C503" s="47" t="str">
        <x:v>RT-B</x:v>
      </x:c>
      <x:c r="D503" s="47" t="str">
        <x:v>RT-B-C</x:v>
      </x:c>
      <x:c r="E503" s="47" t="str">
        <x:v>CIVIL</x:v>
      </x:c>
      <x:c r="F503" s="47" t="str">
        <x:v>F11</x:v>
      </x:c>
      <x:c r="G503" s="47" t="str">
        <x:v>Physical</x:v>
      </x:c>
      <x:c r="H503" s="47" t="str">
        <x:v>Interfaces, tolerances and boundary conditions</x:v>
      </x:c>
      <x:c r="I503" s="47" t="str">
        <x:v>PUBLIC</x:v>
      </x:c>
      <x:c r="J503" s="47" t="n">
        <x:v>1</x:v>
      </x:c>
      <x:c r="K503" s="56" t="n">
        <x:v>0</x:v>
      </x:c>
      <x:c r="L503" s="56" t="n">
        <x:v>0</x:v>
      </x:c>
      <x:c r="M503" s="47" t="str">
        <x:f>IF(AND(J503=1,K503=1,L503=1),"COMPLETE","OPEN")</x:f>
        <x:v>OPEN</x:v>
      </x:c>
      <x:c r="N503" s="84"/>
    </x:row>
    <x:row r="504">
      <x:c r="A504" s="47" t="str">
        <x:v>SC498</x:v>
      </x:c>
      <x:c r="B504" s="47" t="str">
        <x:v>P28</x:v>
      </x:c>
      <x:c r="C504" s="47" t="str">
        <x:v>RT-B</x:v>
      </x:c>
      <x:c r="D504" s="47" t="str">
        <x:v>RT-B-C</x:v>
      </x:c>
      <x:c r="E504" s="47" t="str">
        <x:v>CIVIL</x:v>
      </x:c>
      <x:c r="F504" s="47" t="str">
        <x:v>F12</x:v>
      </x:c>
      <x:c r="G504" s="47" t="str">
        <x:v>Physical</x:v>
      </x:c>
      <x:c r="H504" s="47" t="str">
        <x:v>Manufacturing, process and assembly assumptions</x:v>
      </x:c>
      <x:c r="I504" s="47" t="str">
        <x:v>PUBLIC</x:v>
      </x:c>
      <x:c r="J504" s="47" t="n">
        <x:v>1</x:v>
      </x:c>
      <x:c r="K504" s="56" t="n">
        <x:v>0</x:v>
      </x:c>
      <x:c r="L504" s="56" t="n">
        <x:v>0</x:v>
      </x:c>
      <x:c r="M504" s="47" t="str">
        <x:f>IF(AND(J504=1,K504=1,L504=1),"COMPLETE","OPEN")</x:f>
        <x:v>OPEN</x:v>
      </x:c>
      <x:c r="N504" s="84"/>
    </x:row>
    <x:row r="505">
      <x:c r="A505" s="47" t="str">
        <x:v>SC499</x:v>
      </x:c>
      <x:c r="B505" s="47" t="str">
        <x:v>P28</x:v>
      </x:c>
      <x:c r="C505" s="47" t="str">
        <x:v>RT-B</x:v>
      </x:c>
      <x:c r="D505" s="47" t="str">
        <x:v>RT-B-C</x:v>
      </x:c>
      <x:c r="E505" s="47" t="str">
        <x:v>CIVIL</x:v>
      </x:c>
      <x:c r="F505" s="47" t="str">
        <x:v>F13</x:v>
      </x:c>
      <x:c r="G505" s="47" t="str">
        <x:v>Civic</x:v>
      </x:c>
      <x:c r="H505" s="47" t="str">
        <x:v>Safe-state and abort logic</x:v>
      </x:c>
      <x:c r="I505" s="47" t="str">
        <x:v>PUBLIC</x:v>
      </x:c>
      <x:c r="J505" s="47" t="n">
        <x:v>1</x:v>
      </x:c>
      <x:c r="K505" s="56" t="n">
        <x:v>0</x:v>
      </x:c>
      <x:c r="L505" s="56" t="n">
        <x:v>0</x:v>
      </x:c>
      <x:c r="M505" s="47" t="str">
        <x:f>IF(AND(J505=1,K505=1,L505=1),"COMPLETE","OPEN")</x:f>
        <x:v>OPEN</x:v>
      </x:c>
      <x:c r="N505" s="84"/>
    </x:row>
    <x:row r="506">
      <x:c r="A506" s="47" t="str">
        <x:v>SC500</x:v>
      </x:c>
      <x:c r="B506" s="47" t="str">
        <x:v>P28</x:v>
      </x:c>
      <x:c r="C506" s="47" t="str">
        <x:v>RT-B</x:v>
      </x:c>
      <x:c r="D506" s="47" t="str">
        <x:v>RT-B-C</x:v>
      </x:c>
      <x:c r="E506" s="47" t="str">
        <x:v>CIVIL</x:v>
      </x:c>
      <x:c r="F506" s="47" t="str">
        <x:v>F14</x:v>
      </x:c>
      <x:c r="G506" s="47" t="str">
        <x:v>Civic</x:v>
      </x:c>
      <x:c r="H506" s="47" t="str">
        <x:v>Receiver and residual dispositions</x:v>
      </x:c>
      <x:c r="I506" s="47" t="str">
        <x:v>PUBLIC</x:v>
      </x:c>
      <x:c r="J506" s="47" t="n">
        <x:v>1</x:v>
      </x:c>
      <x:c r="K506" s="56" t="n">
        <x:v>0</x:v>
      </x:c>
      <x:c r="L506" s="56" t="n">
        <x:v>0</x:v>
      </x:c>
      <x:c r="M506" s="47" t="str">
        <x:f>IF(AND(J506=1,K506=1,L506=1),"COMPLETE","OPEN")</x:f>
        <x:v>OPEN</x:v>
      </x:c>
      <x:c r="N506" s="84"/>
    </x:row>
    <x:row r="507">
      <x:c r="A507" s="47" t="str">
        <x:v>SC501</x:v>
      </x:c>
      <x:c r="B507" s="47" t="str">
        <x:v>P28</x:v>
      </x:c>
      <x:c r="C507" s="47" t="str">
        <x:v>RT-B</x:v>
      </x:c>
      <x:c r="D507" s="47" t="str">
        <x:v>RT-B-C</x:v>
      </x:c>
      <x:c r="E507" s="47" t="str">
        <x:v>CIVIL</x:v>
      </x:c>
      <x:c r="F507" s="47" t="str">
        <x:v>F15</x:v>
      </x:c>
      <x:c r="G507" s="47" t="str">
        <x:v>Civic</x:v>
      </x:c>
      <x:c r="H507" s="47" t="str">
        <x:v>Rights, access and affected-population obligations</x:v>
      </x:c>
      <x:c r="I507" s="47" t="str">
        <x:v>PUBLIC</x:v>
      </x:c>
      <x:c r="J507" s="47" t="n">
        <x:v>1</x:v>
      </x:c>
      <x:c r="K507" s="56" t="n">
        <x:v>0</x:v>
      </x:c>
      <x:c r="L507" s="56" t="n">
        <x:v>0</x:v>
      </x:c>
      <x:c r="M507" s="47" t="str">
        <x:f>IF(AND(J507=1,K507=1,L507=1),"COMPLETE","OPEN")</x:f>
        <x:v>OPEN</x:v>
      </x:c>
      <x:c r="N507" s="84"/>
    </x:row>
    <x:row r="508">
      <x:c r="A508" s="47" t="str">
        <x:v>SC502</x:v>
      </x:c>
      <x:c r="B508" s="47" t="str">
        <x:v>P28</x:v>
      </x:c>
      <x:c r="C508" s="47" t="str">
        <x:v>RT-B</x:v>
      </x:c>
      <x:c r="D508" s="47" t="str">
        <x:v>RT-B-C</x:v>
      </x:c>
      <x:c r="E508" s="47" t="str">
        <x:v>CIVIL</x:v>
      </x:c>
      <x:c r="F508" s="47" t="str">
        <x:v>F16</x:v>
      </x:c>
      <x:c r="G508" s="47" t="str">
        <x:v>Epistemic</x:v>
      </x:c>
      <x:c r="H508" s="47" t="str">
        <x:v>Assumptions, unknowns and uncertainty bounds</x:v>
      </x:c>
      <x:c r="I508" s="47" t="str">
        <x:v>PUBLIC</x:v>
      </x:c>
      <x:c r="J508" s="47" t="n">
        <x:v>1</x:v>
      </x:c>
      <x:c r="K508" s="56" t="n">
        <x:v>0</x:v>
      </x:c>
      <x:c r="L508" s="56" t="n">
        <x:v>0</x:v>
      </x:c>
      <x:c r="M508" s="47" t="str">
        <x:f>IF(AND(J508=1,K508=1,L508=1),"COMPLETE","OPEN")</x:f>
        <x:v>OPEN</x:v>
      </x:c>
      <x:c r="N508" s="84"/>
    </x:row>
    <x:row r="509">
      <x:c r="A509" s="47" t="str">
        <x:v>SC503</x:v>
      </x:c>
      <x:c r="B509" s="47" t="str">
        <x:v>P28</x:v>
      </x:c>
      <x:c r="C509" s="47" t="str">
        <x:v>RT-B</x:v>
      </x:c>
      <x:c r="D509" s="47" t="str">
        <x:v>RT-B-C</x:v>
      </x:c>
      <x:c r="E509" s="47" t="str">
        <x:v>CIVIL</x:v>
      </x:c>
      <x:c r="F509" s="47" t="str">
        <x:v>F17</x:v>
      </x:c>
      <x:c r="G509" s="47" t="str">
        <x:v>Epistemic</x:v>
      </x:c>
      <x:c r="H509" s="47" t="str">
        <x:v>Causal event, denominator and claim trace</x:v>
      </x:c>
      <x:c r="I509" s="47" t="str">
        <x:v>PUBLIC</x:v>
      </x:c>
      <x:c r="J509" s="47" t="n">
        <x:v>1</x:v>
      </x:c>
      <x:c r="K509" s="56" t="n">
        <x:v>0</x:v>
      </x:c>
      <x:c r="L509" s="56" t="n">
        <x:v>0</x:v>
      </x:c>
      <x:c r="M509" s="47" t="str">
        <x:f>IF(AND(J509=1,K509=1,L509=1),"COMPLETE","OPEN")</x:f>
        <x:v>OPEN</x:v>
      </x:c>
      <x:c r="N509" s="84"/>
    </x:row>
    <x:row r="510">
      <x:c r="A510" s="47" t="str">
        <x:v>SC504</x:v>
      </x:c>
      <x:c r="B510" s="47" t="str">
        <x:v>P28</x:v>
      </x:c>
      <x:c r="C510" s="47" t="str">
        <x:v>RT-B</x:v>
      </x:c>
      <x:c r="D510" s="47" t="str">
        <x:v>RT-B-C</x:v>
      </x:c>
      <x:c r="E510" s="47" t="str">
        <x:v>CIVIL</x:v>
      </x:c>
      <x:c r="F510" s="47" t="str">
        <x:v>F18</x:v>
      </x:c>
      <x:c r="G510" s="47" t="str">
        <x:v>Epistemic</x:v>
      </x:c>
      <x:c r="H510" s="47" t="str">
        <x:v>Acceptance, expiry, disclosure and supersession rule</x:v>
      </x:c>
      <x:c r="I510" s="47" t="str">
        <x:v>PUBLIC</x:v>
      </x:c>
      <x:c r="J510" s="47" t="n">
        <x:v>1</x:v>
      </x:c>
      <x:c r="K510" s="56" t="n">
        <x:v>0</x:v>
      </x:c>
      <x:c r="L510" s="56" t="n">
        <x:v>0</x:v>
      </x:c>
      <x:c r="M510" s="47" t="str">
        <x:f>IF(AND(J510=1,K510=1,L510=1),"COMPLETE","OPEN")</x:f>
        <x:v>OPEN</x:v>
      </x:c>
      <x:c r="N510" s="84"/>
    </x:row>
    <x:row r="511">
      <x:c r="A511" s="47" t="str">
        <x:v>SC505</x:v>
      </x:c>
      <x:c r="B511" s="47" t="str">
        <x:v>P29</x:v>
      </x:c>
      <x:c r="C511" s="47" t="str">
        <x:v>RT-B</x:v>
      </x:c>
      <x:c r="D511" s="47" t="str">
        <x:v>RT-B-C</x:v>
      </x:c>
      <x:c r="E511" s="47" t="str">
        <x:v>ARTICLE</x:v>
      </x:c>
      <x:c r="F511" s="47" t="str">
        <x:v>F01</x:v>
      </x:c>
      <x:c r="G511" s="47" t="str">
        <x:v>Identity</x:v>
      </x:c>
      <x:c r="H511" s="47" t="str">
        <x:v>Package identity and warrant scope</x:v>
      </x:c>
      <x:c r="I511" s="47" t="str">
        <x:v>PUBLIC</x:v>
      </x:c>
      <x:c r="J511" s="47" t="n">
        <x:v>1</x:v>
      </x:c>
      <x:c r="K511" s="56" t="n">
        <x:v>0</x:v>
      </x:c>
      <x:c r="L511" s="56" t="n">
        <x:v>0</x:v>
      </x:c>
      <x:c r="M511" s="47" t="str">
        <x:f>IF(AND(J511=1,K511=1,L511=1),"COMPLETE","OPEN")</x:f>
        <x:v>OPEN</x:v>
      </x:c>
      <x:c r="N511" s="84"/>
    </x:row>
    <x:row r="512">
      <x:c r="A512" s="47" t="str">
        <x:v>SC506</x:v>
      </x:c>
      <x:c r="B512" s="47" t="str">
        <x:v>P29</x:v>
      </x:c>
      <x:c r="C512" s="47" t="str">
        <x:v>RT-B</x:v>
      </x:c>
      <x:c r="D512" s="47" t="str">
        <x:v>RT-B-C</x:v>
      </x:c>
      <x:c r="E512" s="47" t="str">
        <x:v>ARTICLE</x:v>
      </x:c>
      <x:c r="F512" s="47" t="str">
        <x:v>F02</x:v>
      </x:c>
      <x:c r="G512" s="47" t="str">
        <x:v>Identity</x:v>
      </x:c>
      <x:c r="H512" s="47" t="str">
        <x:v>Authorship, beneficial control and authority</x:v>
      </x:c>
      <x:c r="I512" s="47" t="str">
        <x:v>PUBLIC</x:v>
      </x:c>
      <x:c r="J512" s="47" t="n">
        <x:v>1</x:v>
      </x:c>
      <x:c r="K512" s="56" t="n">
        <x:v>0</x:v>
      </x:c>
      <x:c r="L512" s="56" t="n">
        <x:v>0</x:v>
      </x:c>
      <x:c r="M512" s="47" t="str">
        <x:f>IF(AND(J512=1,K512=1,L512=1),"COMPLETE","OPEN")</x:f>
        <x:v>OPEN</x:v>
      </x:c>
      <x:c r="N512" s="84"/>
    </x:row>
    <x:row r="513">
      <x:c r="A513" s="47" t="str">
        <x:v>SC507</x:v>
      </x:c>
      <x:c r="B513" s="47" t="str">
        <x:v>P29</x:v>
      </x:c>
      <x:c r="C513" s="47" t="str">
        <x:v>RT-B</x:v>
      </x:c>
      <x:c r="D513" s="47" t="str">
        <x:v>RT-B-C</x:v>
      </x:c>
      <x:c r="E513" s="47" t="str">
        <x:v>ARTICLE</x:v>
      </x:c>
      <x:c r="F513" s="47" t="str">
        <x:v>F03</x:v>
      </x:c>
      <x:c r="G513" s="47" t="str">
        <x:v>Identity</x:v>
      </x:c>
      <x:c r="H513" s="47" t="str">
        <x:v>Configuration and content hash</x:v>
      </x:c>
      <x:c r="I513" s="47" t="str">
        <x:v>PUBLIC</x:v>
      </x:c>
      <x:c r="J513" s="47" t="n">
        <x:v>1</x:v>
      </x:c>
      <x:c r="K513" s="56" t="n">
        <x:v>0</x:v>
      </x:c>
      <x:c r="L513" s="56" t="n">
        <x:v>0</x:v>
      </x:c>
      <x:c r="M513" s="47" t="str">
        <x:f>IF(AND(J513=1,K513=1,L513=1),"COMPLETE","OPEN")</x:f>
        <x:v>OPEN</x:v>
      </x:c>
      <x:c r="N513" s="84"/>
    </x:row>
    <x:row r="514">
      <x:c r="A514" s="47" t="str">
        <x:v>SC508</x:v>
      </x:c>
      <x:c r="B514" s="47" t="str">
        <x:v>P29</x:v>
      </x:c>
      <x:c r="C514" s="47" t="str">
        <x:v>RT-B</x:v>
      </x:c>
      <x:c r="D514" s="47" t="str">
        <x:v>RT-B-C</x:v>
      </x:c>
      <x:c r="E514" s="47" t="str">
        <x:v>ARTICLE</x:v>
      </x:c>
      <x:c r="F514" s="47" t="str">
        <x:v>F04</x:v>
      </x:c>
      <x:c r="G514" s="47" t="str">
        <x:v>Executable</x:v>
      </x:c>
      <x:c r="H514" s="47" t="str">
        <x:v>Native executable artifact</x:v>
      </x:c>
      <x:c r="I514" s="47" t="str">
        <x:v>ESCROW</x:v>
      </x:c>
      <x:c r="J514" s="47" t="n">
        <x:v>1</x:v>
      </x:c>
      <x:c r="K514" s="56" t="n">
        <x:v>0</x:v>
      </x:c>
      <x:c r="L514" s="56" t="n">
        <x:v>0</x:v>
      </x:c>
      <x:c r="M514" s="47" t="str">
        <x:f>IF(AND(J514=1,K514=1,L514=1),"COMPLETE","OPEN")</x:f>
        <x:v>OPEN</x:v>
      </x:c>
      <x:c r="N514" s="84"/>
    </x:row>
    <x:row r="515">
      <x:c r="A515" s="47" t="str">
        <x:v>SC509</x:v>
      </x:c>
      <x:c r="B515" s="47" t="str">
        <x:v>P29</x:v>
      </x:c>
      <x:c r="C515" s="47" t="str">
        <x:v>RT-B</x:v>
      </x:c>
      <x:c r="D515" s="47" t="str">
        <x:v>RT-B-C</x:v>
      </x:c>
      <x:c r="E515" s="47" t="str">
        <x:v>ARTICLE</x:v>
      </x:c>
      <x:c r="F515" s="47" t="str">
        <x:v>F05</x:v>
      </x:c>
      <x:c r="G515" s="47" t="str">
        <x:v>Executable</x:v>
      </x:c>
      <x:c r="H515" s="47" t="str">
        <x:v>Native environment and toolchain image</x:v>
      </x:c>
      <x:c r="I515" s="47" t="str">
        <x:v>ESCROW</x:v>
      </x:c>
      <x:c r="J515" s="47" t="n">
        <x:v>1</x:v>
      </x:c>
      <x:c r="K515" s="56" t="n">
        <x:v>0</x:v>
      </x:c>
      <x:c r="L515" s="56" t="n">
        <x:v>0</x:v>
      </x:c>
      <x:c r="M515" s="47" t="str">
        <x:f>IF(AND(J515=1,K515=1,L515=1),"COMPLETE","OPEN")</x:f>
        <x:v>OPEN</x:v>
      </x:c>
      <x:c r="N515" s="84"/>
    </x:row>
    <x:row r="516">
      <x:c r="A516" s="47" t="str">
        <x:v>SC510</x:v>
      </x:c>
      <x:c r="B516" s="47" t="str">
        <x:v>P29</x:v>
      </x:c>
      <x:c r="C516" s="47" t="str">
        <x:v>RT-B</x:v>
      </x:c>
      <x:c r="D516" s="47" t="str">
        <x:v>RT-B-C</x:v>
      </x:c>
      <x:c r="E516" s="47" t="str">
        <x:v>ARTICLE</x:v>
      </x:c>
      <x:c r="F516" s="47" t="str">
        <x:v>F06</x:v>
      </x:c>
      <x:c r="G516" s="47" t="str">
        <x:v>Executable</x:v>
      </x:c>
      <x:c r="H516" s="47" t="str">
        <x:v>Dependency bill, software bill and license rights</x:v>
      </x:c>
      <x:c r="I516" s="47" t="str">
        <x:v>PUBLIC</x:v>
      </x:c>
      <x:c r="J516" s="47" t="n">
        <x:v>1</x:v>
      </x:c>
      <x:c r="K516" s="56" t="n">
        <x:v>0</x:v>
      </x:c>
      <x:c r="L516" s="56" t="n">
        <x:v>0</x:v>
      </x:c>
      <x:c r="M516" s="47" t="str">
        <x:f>IF(AND(J516=1,K516=1,L516=1),"COMPLETE","OPEN")</x:f>
        <x:v>OPEN</x:v>
      </x:c>
      <x:c r="N516" s="84"/>
    </x:row>
    <x:row r="517">
      <x:c r="A517" s="47" t="str">
        <x:v>SC511</x:v>
      </x:c>
      <x:c r="B517" s="47" t="str">
        <x:v>P29</x:v>
      </x:c>
      <x:c r="C517" s="47" t="str">
        <x:v>RT-B</x:v>
      </x:c>
      <x:c r="D517" s="47" t="str">
        <x:v>RT-B-C</x:v>
      </x:c>
      <x:c r="E517" s="47" t="str">
        <x:v>ARTICLE</x:v>
      </x:c>
      <x:c r="F517" s="47" t="str">
        <x:v>F07</x:v>
      </x:c>
      <x:c r="G517" s="47" t="str">
        <x:v>Executable</x:v>
      </x:c>
      <x:c r="H517" s="47" t="str">
        <x:v>Data provenance and calibration lineage</x:v>
      </x:c>
      <x:c r="I517" s="47" t="str">
        <x:v>ESCROW</x:v>
      </x:c>
      <x:c r="J517" s="47" t="n">
        <x:v>1</x:v>
      </x:c>
      <x:c r="K517" s="56" t="n">
        <x:v>0</x:v>
      </x:c>
      <x:c r="L517" s="56" t="n">
        <x:v>0</x:v>
      </x:c>
      <x:c r="M517" s="47" t="str">
        <x:f>IF(AND(J517=1,K517=1,L517=1),"COMPLETE","OPEN")</x:f>
        <x:v>OPEN</x:v>
      </x:c>
      <x:c r="N517" s="84"/>
    </x:row>
    <x:row r="518">
      <x:c r="A518" s="47" t="str">
        <x:v>SC512</x:v>
      </x:c>
      <x:c r="B518" s="47" t="str">
        <x:v>P29</x:v>
      </x:c>
      <x:c r="C518" s="47" t="str">
        <x:v>RT-B</x:v>
      </x:c>
      <x:c r="D518" s="47" t="str">
        <x:v>RT-B-C</x:v>
      </x:c>
      <x:c r="E518" s="47" t="str">
        <x:v>ARTICLE</x:v>
      </x:c>
      <x:c r="F518" s="47" t="str">
        <x:v>F08</x:v>
      </x:c>
      <x:c r="G518" s="47" t="str">
        <x:v>Executable</x:v>
      </x:c>
      <x:c r="H518" s="47" t="str">
        <x:v>Random seed, solver and numerical controls</x:v>
      </x:c>
      <x:c r="I518" s="47" t="str">
        <x:v>ESCROW</x:v>
      </x:c>
      <x:c r="J518" s="47" t="n">
        <x:v>1</x:v>
      </x:c>
      <x:c r="K518" s="56" t="n">
        <x:v>0</x:v>
      </x:c>
      <x:c r="L518" s="56" t="n">
        <x:v>0</x:v>
      </x:c>
      <x:c r="M518" s="47" t="str">
        <x:f>IF(AND(J518=1,K518=1,L518=1),"COMPLETE","OPEN")</x:f>
        <x:v>OPEN</x:v>
      </x:c>
      <x:c r="N518" s="84"/>
    </x:row>
    <x:row r="519">
      <x:c r="A519" s="47" t="str">
        <x:v>SC513</x:v>
      </x:c>
      <x:c r="B519" s="47" t="str">
        <x:v>P29</x:v>
      </x:c>
      <x:c r="C519" s="47" t="str">
        <x:v>RT-B</x:v>
      </x:c>
      <x:c r="D519" s="47" t="str">
        <x:v>RT-B-C</x:v>
      </x:c>
      <x:c r="E519" s="47" t="str">
        <x:v>ARTICLE</x:v>
      </x:c>
      <x:c r="F519" s="47" t="str">
        <x:v>F09</x:v>
      </x:c>
      <x:c r="G519" s="47" t="str">
        <x:v>Physical</x:v>
      </x:c>
      <x:c r="H519" s="47" t="str">
        <x:v>Units, coordinates and datums</x:v>
      </x:c>
      <x:c r="I519" s="47" t="str">
        <x:v>PUBLIC</x:v>
      </x:c>
      <x:c r="J519" s="47" t="n">
        <x:v>1</x:v>
      </x:c>
      <x:c r="K519" s="56" t="n">
        <x:v>0</x:v>
      </x:c>
      <x:c r="L519" s="56" t="n">
        <x:v>0</x:v>
      </x:c>
      <x:c r="M519" s="47" t="str">
        <x:f>IF(AND(J519=1,K519=1,L519=1),"COMPLETE","OPEN")</x:f>
        <x:v>OPEN</x:v>
      </x:c>
      <x:c r="N519" s="84"/>
    </x:row>
    <x:row r="520">
      <x:c r="A520" s="47" t="str">
        <x:v>SC514</x:v>
      </x:c>
      <x:c r="B520" s="47" t="str">
        <x:v>P29</x:v>
      </x:c>
      <x:c r="C520" s="47" t="str">
        <x:v>RT-B</x:v>
      </x:c>
      <x:c r="D520" s="47" t="str">
        <x:v>RT-B-C</x:v>
      </x:c>
      <x:c r="E520" s="47" t="str">
        <x:v>ARTICLE</x:v>
      </x:c>
      <x:c r="F520" s="47" t="str">
        <x:v>F10</x:v>
      </x:c>
      <x:c r="G520" s="47" t="str">
        <x:v>Physical</x:v>
      </x:c>
      <x:c r="H520" s="47" t="str">
        <x:v>Material, property and constitutive sources</x:v>
      </x:c>
      <x:c r="I520" s="47" t="str">
        <x:v>PUBLIC</x:v>
      </x:c>
      <x:c r="J520" s="47" t="n">
        <x:v>1</x:v>
      </x:c>
      <x:c r="K520" s="56" t="n">
        <x:v>0</x:v>
      </x:c>
      <x:c r="L520" s="56" t="n">
        <x:v>0</x:v>
      </x:c>
      <x:c r="M520" s="47" t="str">
        <x:f>IF(AND(J520=1,K520=1,L520=1),"COMPLETE","OPEN")</x:f>
        <x:v>OPEN</x:v>
      </x:c>
      <x:c r="N520" s="84"/>
    </x:row>
    <x:row r="521">
      <x:c r="A521" s="47" t="str">
        <x:v>SC515</x:v>
      </x:c>
      <x:c r="B521" s="47" t="str">
        <x:v>P29</x:v>
      </x:c>
      <x:c r="C521" s="47" t="str">
        <x:v>RT-B</x:v>
      </x:c>
      <x:c r="D521" s="47" t="str">
        <x:v>RT-B-C</x:v>
      </x:c>
      <x:c r="E521" s="47" t="str">
        <x:v>ARTICLE</x:v>
      </x:c>
      <x:c r="F521" s="47" t="str">
        <x:v>F11</x:v>
      </x:c>
      <x:c r="G521" s="47" t="str">
        <x:v>Physical</x:v>
      </x:c>
      <x:c r="H521" s="47" t="str">
        <x:v>Interfaces, tolerances and boundary conditions</x:v>
      </x:c>
      <x:c r="I521" s="47" t="str">
        <x:v>PUBLIC</x:v>
      </x:c>
      <x:c r="J521" s="47" t="n">
        <x:v>1</x:v>
      </x:c>
      <x:c r="K521" s="56" t="n">
        <x:v>0</x:v>
      </x:c>
      <x:c r="L521" s="56" t="n">
        <x:v>0</x:v>
      </x:c>
      <x:c r="M521" s="47" t="str">
        <x:f>IF(AND(J521=1,K521=1,L521=1),"COMPLETE","OPEN")</x:f>
        <x:v>OPEN</x:v>
      </x:c>
      <x:c r="N521" s="84"/>
    </x:row>
    <x:row r="522">
      <x:c r="A522" s="47" t="str">
        <x:v>SC516</x:v>
      </x:c>
      <x:c r="B522" s="47" t="str">
        <x:v>P29</x:v>
      </x:c>
      <x:c r="C522" s="47" t="str">
        <x:v>RT-B</x:v>
      </x:c>
      <x:c r="D522" s="47" t="str">
        <x:v>RT-B-C</x:v>
      </x:c>
      <x:c r="E522" s="47" t="str">
        <x:v>ARTICLE</x:v>
      </x:c>
      <x:c r="F522" s="47" t="str">
        <x:v>F12</x:v>
      </x:c>
      <x:c r="G522" s="47" t="str">
        <x:v>Physical</x:v>
      </x:c>
      <x:c r="H522" s="47" t="str">
        <x:v>Manufacturing, process and assembly assumptions</x:v>
      </x:c>
      <x:c r="I522" s="47" t="str">
        <x:v>PUBLIC</x:v>
      </x:c>
      <x:c r="J522" s="47" t="n">
        <x:v>1</x:v>
      </x:c>
      <x:c r="K522" s="56" t="n">
        <x:v>0</x:v>
      </x:c>
      <x:c r="L522" s="56" t="n">
        <x:v>0</x:v>
      </x:c>
      <x:c r="M522" s="47" t="str">
        <x:f>IF(AND(J522=1,K522=1,L522=1),"COMPLETE","OPEN")</x:f>
        <x:v>OPEN</x:v>
      </x:c>
      <x:c r="N522" s="84"/>
    </x:row>
    <x:row r="523">
      <x:c r="A523" s="47" t="str">
        <x:v>SC517</x:v>
      </x:c>
      <x:c r="B523" s="47" t="str">
        <x:v>P29</x:v>
      </x:c>
      <x:c r="C523" s="47" t="str">
        <x:v>RT-B</x:v>
      </x:c>
      <x:c r="D523" s="47" t="str">
        <x:v>RT-B-C</x:v>
      </x:c>
      <x:c r="E523" s="47" t="str">
        <x:v>ARTICLE</x:v>
      </x:c>
      <x:c r="F523" s="47" t="str">
        <x:v>F13</x:v>
      </x:c>
      <x:c r="G523" s="47" t="str">
        <x:v>Civic</x:v>
      </x:c>
      <x:c r="H523" s="47" t="str">
        <x:v>Safe-state and abort logic</x:v>
      </x:c>
      <x:c r="I523" s="47" t="str">
        <x:v>PUBLIC</x:v>
      </x:c>
      <x:c r="J523" s="47" t="n">
        <x:v>1</x:v>
      </x:c>
      <x:c r="K523" s="56" t="n">
        <x:v>0</x:v>
      </x:c>
      <x:c r="L523" s="56" t="n">
        <x:v>0</x:v>
      </x:c>
      <x:c r="M523" s="47" t="str">
        <x:f>IF(AND(J523=1,K523=1,L523=1),"COMPLETE","OPEN")</x:f>
        <x:v>OPEN</x:v>
      </x:c>
      <x:c r="N523" s="84"/>
    </x:row>
    <x:row r="524">
      <x:c r="A524" s="47" t="str">
        <x:v>SC518</x:v>
      </x:c>
      <x:c r="B524" s="47" t="str">
        <x:v>P29</x:v>
      </x:c>
      <x:c r="C524" s="47" t="str">
        <x:v>RT-B</x:v>
      </x:c>
      <x:c r="D524" s="47" t="str">
        <x:v>RT-B-C</x:v>
      </x:c>
      <x:c r="E524" s="47" t="str">
        <x:v>ARTICLE</x:v>
      </x:c>
      <x:c r="F524" s="47" t="str">
        <x:v>F14</x:v>
      </x:c>
      <x:c r="G524" s="47" t="str">
        <x:v>Civic</x:v>
      </x:c>
      <x:c r="H524" s="47" t="str">
        <x:v>Receiver and residual dispositions</x:v>
      </x:c>
      <x:c r="I524" s="47" t="str">
        <x:v>PUBLIC</x:v>
      </x:c>
      <x:c r="J524" s="47" t="n">
        <x:v>1</x:v>
      </x:c>
      <x:c r="K524" s="56" t="n">
        <x:v>0</x:v>
      </x:c>
      <x:c r="L524" s="56" t="n">
        <x:v>0</x:v>
      </x:c>
      <x:c r="M524" s="47" t="str">
        <x:f>IF(AND(J524=1,K524=1,L524=1),"COMPLETE","OPEN")</x:f>
        <x:v>OPEN</x:v>
      </x:c>
      <x:c r="N524" s="84"/>
    </x:row>
    <x:row r="525">
      <x:c r="A525" s="47" t="str">
        <x:v>SC519</x:v>
      </x:c>
      <x:c r="B525" s="47" t="str">
        <x:v>P29</x:v>
      </x:c>
      <x:c r="C525" s="47" t="str">
        <x:v>RT-B</x:v>
      </x:c>
      <x:c r="D525" s="47" t="str">
        <x:v>RT-B-C</x:v>
      </x:c>
      <x:c r="E525" s="47" t="str">
        <x:v>ARTICLE</x:v>
      </x:c>
      <x:c r="F525" s="47" t="str">
        <x:v>F15</x:v>
      </x:c>
      <x:c r="G525" s="47" t="str">
        <x:v>Civic</x:v>
      </x:c>
      <x:c r="H525" s="47" t="str">
        <x:v>Rights, access and affected-population obligations</x:v>
      </x:c>
      <x:c r="I525" s="47" t="str">
        <x:v>PUBLIC</x:v>
      </x:c>
      <x:c r="J525" s="47" t="n">
        <x:v>1</x:v>
      </x:c>
      <x:c r="K525" s="56" t="n">
        <x:v>0</x:v>
      </x:c>
      <x:c r="L525" s="56" t="n">
        <x:v>0</x:v>
      </x:c>
      <x:c r="M525" s="47" t="str">
        <x:f>IF(AND(J525=1,K525=1,L525=1),"COMPLETE","OPEN")</x:f>
        <x:v>OPEN</x:v>
      </x:c>
      <x:c r="N525" s="84"/>
    </x:row>
    <x:row r="526">
      <x:c r="A526" s="47" t="str">
        <x:v>SC520</x:v>
      </x:c>
      <x:c r="B526" s="47" t="str">
        <x:v>P29</x:v>
      </x:c>
      <x:c r="C526" s="47" t="str">
        <x:v>RT-B</x:v>
      </x:c>
      <x:c r="D526" s="47" t="str">
        <x:v>RT-B-C</x:v>
      </x:c>
      <x:c r="E526" s="47" t="str">
        <x:v>ARTICLE</x:v>
      </x:c>
      <x:c r="F526" s="47" t="str">
        <x:v>F16</x:v>
      </x:c>
      <x:c r="G526" s="47" t="str">
        <x:v>Epistemic</x:v>
      </x:c>
      <x:c r="H526" s="47" t="str">
        <x:v>Assumptions, unknowns and uncertainty bounds</x:v>
      </x:c>
      <x:c r="I526" s="47" t="str">
        <x:v>PUBLIC</x:v>
      </x:c>
      <x:c r="J526" s="47" t="n">
        <x:v>1</x:v>
      </x:c>
      <x:c r="K526" s="56" t="n">
        <x:v>0</x:v>
      </x:c>
      <x:c r="L526" s="56" t="n">
        <x:v>0</x:v>
      </x:c>
      <x:c r="M526" s="47" t="str">
        <x:f>IF(AND(J526=1,K526=1,L526=1),"COMPLETE","OPEN")</x:f>
        <x:v>OPEN</x:v>
      </x:c>
      <x:c r="N526" s="84"/>
    </x:row>
    <x:row r="527">
      <x:c r="A527" s="47" t="str">
        <x:v>SC521</x:v>
      </x:c>
      <x:c r="B527" s="47" t="str">
        <x:v>P29</x:v>
      </x:c>
      <x:c r="C527" s="47" t="str">
        <x:v>RT-B</x:v>
      </x:c>
      <x:c r="D527" s="47" t="str">
        <x:v>RT-B-C</x:v>
      </x:c>
      <x:c r="E527" s="47" t="str">
        <x:v>ARTICLE</x:v>
      </x:c>
      <x:c r="F527" s="47" t="str">
        <x:v>F17</x:v>
      </x:c>
      <x:c r="G527" s="47" t="str">
        <x:v>Epistemic</x:v>
      </x:c>
      <x:c r="H527" s="47" t="str">
        <x:v>Causal event, denominator and claim trace</x:v>
      </x:c>
      <x:c r="I527" s="47" t="str">
        <x:v>PUBLIC</x:v>
      </x:c>
      <x:c r="J527" s="47" t="n">
        <x:v>1</x:v>
      </x:c>
      <x:c r="K527" s="56" t="n">
        <x:v>0</x:v>
      </x:c>
      <x:c r="L527" s="56" t="n">
        <x:v>0</x:v>
      </x:c>
      <x:c r="M527" s="47" t="str">
        <x:f>IF(AND(J527=1,K527=1,L527=1),"COMPLETE","OPEN")</x:f>
        <x:v>OPEN</x:v>
      </x:c>
      <x:c r="N527" s="84"/>
    </x:row>
    <x:row r="528">
      <x:c r="A528" s="47" t="str">
        <x:v>SC522</x:v>
      </x:c>
      <x:c r="B528" s="47" t="str">
        <x:v>P29</x:v>
      </x:c>
      <x:c r="C528" s="47" t="str">
        <x:v>RT-B</x:v>
      </x:c>
      <x:c r="D528" s="47" t="str">
        <x:v>RT-B-C</x:v>
      </x:c>
      <x:c r="E528" s="47" t="str">
        <x:v>ARTICLE</x:v>
      </x:c>
      <x:c r="F528" s="47" t="str">
        <x:v>F18</x:v>
      </x:c>
      <x:c r="G528" s="47" t="str">
        <x:v>Epistemic</x:v>
      </x:c>
      <x:c r="H528" s="47" t="str">
        <x:v>Acceptance, expiry, disclosure and supersession rule</x:v>
      </x:c>
      <x:c r="I528" s="47" t="str">
        <x:v>PUBLIC</x:v>
      </x:c>
      <x:c r="J528" s="47" t="n">
        <x:v>1</x:v>
      </x:c>
      <x:c r="K528" s="56" t="n">
        <x:v>0</x:v>
      </x:c>
      <x:c r="L528" s="56" t="n">
        <x:v>0</x:v>
      </x:c>
      <x:c r="M528" s="47" t="str">
        <x:f>IF(AND(J528=1,K528=1,L528=1),"COMPLETE","OPEN")</x:f>
        <x:v>OPEN</x:v>
      </x:c>
      <x:c r="N528" s="84"/>
    </x:row>
    <x:row r="529">
      <x:c r="A529" s="47" t="str">
        <x:v>SC523</x:v>
      </x:c>
      <x:c r="B529" s="47" t="str">
        <x:v>P30</x:v>
      </x:c>
      <x:c r="C529" s="47" t="str">
        <x:v>RT-B</x:v>
      </x:c>
      <x:c r="D529" s="47" t="str">
        <x:v>RT-B-C</x:v>
      </x:c>
      <x:c r="E529" s="47" t="str">
        <x:v>REBUILD</x:v>
      </x:c>
      <x:c r="F529" s="47" t="str">
        <x:v>F01</x:v>
      </x:c>
      <x:c r="G529" s="47" t="str">
        <x:v>Identity</x:v>
      </x:c>
      <x:c r="H529" s="47" t="str">
        <x:v>Package identity and warrant scope</x:v>
      </x:c>
      <x:c r="I529" s="47" t="str">
        <x:v>PUBLIC</x:v>
      </x:c>
      <x:c r="J529" s="47" t="n">
        <x:v>1</x:v>
      </x:c>
      <x:c r="K529" s="56" t="n">
        <x:v>0</x:v>
      </x:c>
      <x:c r="L529" s="56" t="n">
        <x:v>0</x:v>
      </x:c>
      <x:c r="M529" s="47" t="str">
        <x:f>IF(AND(J529=1,K529=1,L529=1),"COMPLETE","OPEN")</x:f>
        <x:v>OPEN</x:v>
      </x:c>
      <x:c r="N529" s="84"/>
    </x:row>
    <x:row r="530">
      <x:c r="A530" s="47" t="str">
        <x:v>SC524</x:v>
      </x:c>
      <x:c r="B530" s="47" t="str">
        <x:v>P30</x:v>
      </x:c>
      <x:c r="C530" s="47" t="str">
        <x:v>RT-B</x:v>
      </x:c>
      <x:c r="D530" s="47" t="str">
        <x:v>RT-B-C</x:v>
      </x:c>
      <x:c r="E530" s="47" t="str">
        <x:v>REBUILD</x:v>
      </x:c>
      <x:c r="F530" s="47" t="str">
        <x:v>F02</x:v>
      </x:c>
      <x:c r="G530" s="47" t="str">
        <x:v>Identity</x:v>
      </x:c>
      <x:c r="H530" s="47" t="str">
        <x:v>Authorship, beneficial control and authority</x:v>
      </x:c>
      <x:c r="I530" s="47" t="str">
        <x:v>PUBLIC</x:v>
      </x:c>
      <x:c r="J530" s="47" t="n">
        <x:v>1</x:v>
      </x:c>
      <x:c r="K530" s="56" t="n">
        <x:v>0</x:v>
      </x:c>
      <x:c r="L530" s="56" t="n">
        <x:v>0</x:v>
      </x:c>
      <x:c r="M530" s="47" t="str">
        <x:f>IF(AND(J530=1,K530=1,L530=1),"COMPLETE","OPEN")</x:f>
        <x:v>OPEN</x:v>
      </x:c>
      <x:c r="N530" s="84"/>
    </x:row>
    <x:row r="531">
      <x:c r="A531" s="47" t="str">
        <x:v>SC525</x:v>
      </x:c>
      <x:c r="B531" s="47" t="str">
        <x:v>P30</x:v>
      </x:c>
      <x:c r="C531" s="47" t="str">
        <x:v>RT-B</x:v>
      </x:c>
      <x:c r="D531" s="47" t="str">
        <x:v>RT-B-C</x:v>
      </x:c>
      <x:c r="E531" s="47" t="str">
        <x:v>REBUILD</x:v>
      </x:c>
      <x:c r="F531" s="47" t="str">
        <x:v>F03</x:v>
      </x:c>
      <x:c r="G531" s="47" t="str">
        <x:v>Identity</x:v>
      </x:c>
      <x:c r="H531" s="47" t="str">
        <x:v>Configuration and content hash</x:v>
      </x:c>
      <x:c r="I531" s="47" t="str">
        <x:v>PUBLIC</x:v>
      </x:c>
      <x:c r="J531" s="47" t="n">
        <x:v>1</x:v>
      </x:c>
      <x:c r="K531" s="56" t="n">
        <x:v>0</x:v>
      </x:c>
      <x:c r="L531" s="56" t="n">
        <x:v>0</x:v>
      </x:c>
      <x:c r="M531" s="47" t="str">
        <x:f>IF(AND(J531=1,K531=1,L531=1),"COMPLETE","OPEN")</x:f>
        <x:v>OPEN</x:v>
      </x:c>
      <x:c r="N531" s="84"/>
    </x:row>
    <x:row r="532">
      <x:c r="A532" s="47" t="str">
        <x:v>SC526</x:v>
      </x:c>
      <x:c r="B532" s="47" t="str">
        <x:v>P30</x:v>
      </x:c>
      <x:c r="C532" s="47" t="str">
        <x:v>RT-B</x:v>
      </x:c>
      <x:c r="D532" s="47" t="str">
        <x:v>RT-B-C</x:v>
      </x:c>
      <x:c r="E532" s="47" t="str">
        <x:v>REBUILD</x:v>
      </x:c>
      <x:c r="F532" s="47" t="str">
        <x:v>F04</x:v>
      </x:c>
      <x:c r="G532" s="47" t="str">
        <x:v>Executable</x:v>
      </x:c>
      <x:c r="H532" s="47" t="str">
        <x:v>Native executable artifact</x:v>
      </x:c>
      <x:c r="I532" s="47" t="str">
        <x:v>ESCROW</x:v>
      </x:c>
      <x:c r="J532" s="47" t="n">
        <x:v>1</x:v>
      </x:c>
      <x:c r="K532" s="56" t="n">
        <x:v>0</x:v>
      </x:c>
      <x:c r="L532" s="56" t="n">
        <x:v>0</x:v>
      </x:c>
      <x:c r="M532" s="47" t="str">
        <x:f>IF(AND(J532=1,K532=1,L532=1),"COMPLETE","OPEN")</x:f>
        <x:v>OPEN</x:v>
      </x:c>
      <x:c r="N532" s="84"/>
    </x:row>
    <x:row r="533">
      <x:c r="A533" s="47" t="str">
        <x:v>SC527</x:v>
      </x:c>
      <x:c r="B533" s="47" t="str">
        <x:v>P30</x:v>
      </x:c>
      <x:c r="C533" s="47" t="str">
        <x:v>RT-B</x:v>
      </x:c>
      <x:c r="D533" s="47" t="str">
        <x:v>RT-B-C</x:v>
      </x:c>
      <x:c r="E533" s="47" t="str">
        <x:v>REBUILD</x:v>
      </x:c>
      <x:c r="F533" s="47" t="str">
        <x:v>F05</x:v>
      </x:c>
      <x:c r="G533" s="47" t="str">
        <x:v>Executable</x:v>
      </x:c>
      <x:c r="H533" s="47" t="str">
        <x:v>Native environment and toolchain image</x:v>
      </x:c>
      <x:c r="I533" s="47" t="str">
        <x:v>ESCROW</x:v>
      </x:c>
      <x:c r="J533" s="47" t="n">
        <x:v>1</x:v>
      </x:c>
      <x:c r="K533" s="56" t="n">
        <x:v>0</x:v>
      </x:c>
      <x:c r="L533" s="56" t="n">
        <x:v>0</x:v>
      </x:c>
      <x:c r="M533" s="47" t="str">
        <x:f>IF(AND(J533=1,K533=1,L533=1),"COMPLETE","OPEN")</x:f>
        <x:v>OPEN</x:v>
      </x:c>
      <x:c r="N533" s="84"/>
    </x:row>
    <x:row r="534">
      <x:c r="A534" s="47" t="str">
        <x:v>SC528</x:v>
      </x:c>
      <x:c r="B534" s="47" t="str">
        <x:v>P30</x:v>
      </x:c>
      <x:c r="C534" s="47" t="str">
        <x:v>RT-B</x:v>
      </x:c>
      <x:c r="D534" s="47" t="str">
        <x:v>RT-B-C</x:v>
      </x:c>
      <x:c r="E534" s="47" t="str">
        <x:v>REBUILD</x:v>
      </x:c>
      <x:c r="F534" s="47" t="str">
        <x:v>F06</x:v>
      </x:c>
      <x:c r="G534" s="47" t="str">
        <x:v>Executable</x:v>
      </x:c>
      <x:c r="H534" s="47" t="str">
        <x:v>Dependency bill, software bill and license rights</x:v>
      </x:c>
      <x:c r="I534" s="47" t="str">
        <x:v>PUBLIC</x:v>
      </x:c>
      <x:c r="J534" s="47" t="n">
        <x:v>1</x:v>
      </x:c>
      <x:c r="K534" s="56" t="n">
        <x:v>0</x:v>
      </x:c>
      <x:c r="L534" s="56" t="n">
        <x:v>0</x:v>
      </x:c>
      <x:c r="M534" s="47" t="str">
        <x:f>IF(AND(J534=1,K534=1,L534=1),"COMPLETE","OPEN")</x:f>
        <x:v>OPEN</x:v>
      </x:c>
      <x:c r="N534" s="84"/>
    </x:row>
    <x:row r="535">
      <x:c r="A535" s="47" t="str">
        <x:v>SC529</x:v>
      </x:c>
      <x:c r="B535" s="47" t="str">
        <x:v>P30</x:v>
      </x:c>
      <x:c r="C535" s="47" t="str">
        <x:v>RT-B</x:v>
      </x:c>
      <x:c r="D535" s="47" t="str">
        <x:v>RT-B-C</x:v>
      </x:c>
      <x:c r="E535" s="47" t="str">
        <x:v>REBUILD</x:v>
      </x:c>
      <x:c r="F535" s="47" t="str">
        <x:v>F07</x:v>
      </x:c>
      <x:c r="G535" s="47" t="str">
        <x:v>Executable</x:v>
      </x:c>
      <x:c r="H535" s="47" t="str">
        <x:v>Data provenance and calibration lineage</x:v>
      </x:c>
      <x:c r="I535" s="47" t="str">
        <x:v>ESCROW</x:v>
      </x:c>
      <x:c r="J535" s="47" t="n">
        <x:v>1</x:v>
      </x:c>
      <x:c r="K535" s="56" t="n">
        <x:v>0</x:v>
      </x:c>
      <x:c r="L535" s="56" t="n">
        <x:v>0</x:v>
      </x:c>
      <x:c r="M535" s="47" t="str">
        <x:f>IF(AND(J535=1,K535=1,L535=1),"COMPLETE","OPEN")</x:f>
        <x:v>OPEN</x:v>
      </x:c>
      <x:c r="N535" s="84"/>
    </x:row>
    <x:row r="536">
      <x:c r="A536" s="47" t="str">
        <x:v>SC530</x:v>
      </x:c>
      <x:c r="B536" s="47" t="str">
        <x:v>P30</x:v>
      </x:c>
      <x:c r="C536" s="47" t="str">
        <x:v>RT-B</x:v>
      </x:c>
      <x:c r="D536" s="47" t="str">
        <x:v>RT-B-C</x:v>
      </x:c>
      <x:c r="E536" s="47" t="str">
        <x:v>REBUILD</x:v>
      </x:c>
      <x:c r="F536" s="47" t="str">
        <x:v>F08</x:v>
      </x:c>
      <x:c r="G536" s="47" t="str">
        <x:v>Executable</x:v>
      </x:c>
      <x:c r="H536" s="47" t="str">
        <x:v>Random seed, solver and numerical controls</x:v>
      </x:c>
      <x:c r="I536" s="47" t="str">
        <x:v>ESCROW</x:v>
      </x:c>
      <x:c r="J536" s="47" t="n">
        <x:v>1</x:v>
      </x:c>
      <x:c r="K536" s="56" t="n">
        <x:v>0</x:v>
      </x:c>
      <x:c r="L536" s="56" t="n">
        <x:v>0</x:v>
      </x:c>
      <x:c r="M536" s="47" t="str">
        <x:f>IF(AND(J536=1,K536=1,L536=1),"COMPLETE","OPEN")</x:f>
        <x:v>OPEN</x:v>
      </x:c>
      <x:c r="N536" s="84"/>
    </x:row>
    <x:row r="537">
      <x:c r="A537" s="47" t="str">
        <x:v>SC531</x:v>
      </x:c>
      <x:c r="B537" s="47" t="str">
        <x:v>P30</x:v>
      </x:c>
      <x:c r="C537" s="47" t="str">
        <x:v>RT-B</x:v>
      </x:c>
      <x:c r="D537" s="47" t="str">
        <x:v>RT-B-C</x:v>
      </x:c>
      <x:c r="E537" s="47" t="str">
        <x:v>REBUILD</x:v>
      </x:c>
      <x:c r="F537" s="47" t="str">
        <x:v>F09</x:v>
      </x:c>
      <x:c r="G537" s="47" t="str">
        <x:v>Physical</x:v>
      </x:c>
      <x:c r="H537" s="47" t="str">
        <x:v>Units, coordinates and datums</x:v>
      </x:c>
      <x:c r="I537" s="47" t="str">
        <x:v>PUBLIC</x:v>
      </x:c>
      <x:c r="J537" s="47" t="n">
        <x:v>1</x:v>
      </x:c>
      <x:c r="K537" s="56" t="n">
        <x:v>0</x:v>
      </x:c>
      <x:c r="L537" s="56" t="n">
        <x:v>0</x:v>
      </x:c>
      <x:c r="M537" s="47" t="str">
        <x:f>IF(AND(J537=1,K537=1,L537=1),"COMPLETE","OPEN")</x:f>
        <x:v>OPEN</x:v>
      </x:c>
      <x:c r="N537" s="84"/>
    </x:row>
    <x:row r="538">
      <x:c r="A538" s="47" t="str">
        <x:v>SC532</x:v>
      </x:c>
      <x:c r="B538" s="47" t="str">
        <x:v>P30</x:v>
      </x:c>
      <x:c r="C538" s="47" t="str">
        <x:v>RT-B</x:v>
      </x:c>
      <x:c r="D538" s="47" t="str">
        <x:v>RT-B-C</x:v>
      </x:c>
      <x:c r="E538" s="47" t="str">
        <x:v>REBUILD</x:v>
      </x:c>
      <x:c r="F538" s="47" t="str">
        <x:v>F10</x:v>
      </x:c>
      <x:c r="G538" s="47" t="str">
        <x:v>Physical</x:v>
      </x:c>
      <x:c r="H538" s="47" t="str">
        <x:v>Material, property and constitutive sources</x:v>
      </x:c>
      <x:c r="I538" s="47" t="str">
        <x:v>PUBLIC</x:v>
      </x:c>
      <x:c r="J538" s="47" t="n">
        <x:v>1</x:v>
      </x:c>
      <x:c r="K538" s="56" t="n">
        <x:v>0</x:v>
      </x:c>
      <x:c r="L538" s="56" t="n">
        <x:v>0</x:v>
      </x:c>
      <x:c r="M538" s="47" t="str">
        <x:f>IF(AND(J538=1,K538=1,L538=1),"COMPLETE","OPEN")</x:f>
        <x:v>OPEN</x:v>
      </x:c>
      <x:c r="N538" s="84"/>
    </x:row>
    <x:row r="539">
      <x:c r="A539" s="47" t="str">
        <x:v>SC533</x:v>
      </x:c>
      <x:c r="B539" s="47" t="str">
        <x:v>P30</x:v>
      </x:c>
      <x:c r="C539" s="47" t="str">
        <x:v>RT-B</x:v>
      </x:c>
      <x:c r="D539" s="47" t="str">
        <x:v>RT-B-C</x:v>
      </x:c>
      <x:c r="E539" s="47" t="str">
        <x:v>REBUILD</x:v>
      </x:c>
      <x:c r="F539" s="47" t="str">
        <x:v>F11</x:v>
      </x:c>
      <x:c r="G539" s="47" t="str">
        <x:v>Physical</x:v>
      </x:c>
      <x:c r="H539" s="47" t="str">
        <x:v>Interfaces, tolerances and boundary conditions</x:v>
      </x:c>
      <x:c r="I539" s="47" t="str">
        <x:v>PUBLIC</x:v>
      </x:c>
      <x:c r="J539" s="47" t="n">
        <x:v>1</x:v>
      </x:c>
      <x:c r="K539" s="56" t="n">
        <x:v>0</x:v>
      </x:c>
      <x:c r="L539" s="56" t="n">
        <x:v>0</x:v>
      </x:c>
      <x:c r="M539" s="47" t="str">
        <x:f>IF(AND(J539=1,K539=1,L539=1),"COMPLETE","OPEN")</x:f>
        <x:v>OPEN</x:v>
      </x:c>
      <x:c r="N539" s="84"/>
    </x:row>
    <x:row r="540">
      <x:c r="A540" s="47" t="str">
        <x:v>SC534</x:v>
      </x:c>
      <x:c r="B540" s="47" t="str">
        <x:v>P30</x:v>
      </x:c>
      <x:c r="C540" s="47" t="str">
        <x:v>RT-B</x:v>
      </x:c>
      <x:c r="D540" s="47" t="str">
        <x:v>RT-B-C</x:v>
      </x:c>
      <x:c r="E540" s="47" t="str">
        <x:v>REBUILD</x:v>
      </x:c>
      <x:c r="F540" s="47" t="str">
        <x:v>F12</x:v>
      </x:c>
      <x:c r="G540" s="47" t="str">
        <x:v>Physical</x:v>
      </x:c>
      <x:c r="H540" s="47" t="str">
        <x:v>Manufacturing, process and assembly assumptions</x:v>
      </x:c>
      <x:c r="I540" s="47" t="str">
        <x:v>PUBLIC</x:v>
      </x:c>
      <x:c r="J540" s="47" t="n">
        <x:v>1</x:v>
      </x:c>
      <x:c r="K540" s="56" t="n">
        <x:v>0</x:v>
      </x:c>
      <x:c r="L540" s="56" t="n">
        <x:v>0</x:v>
      </x:c>
      <x:c r="M540" s="47" t="str">
        <x:f>IF(AND(J540=1,K540=1,L540=1),"COMPLETE","OPEN")</x:f>
        <x:v>OPEN</x:v>
      </x:c>
      <x:c r="N540" s="84"/>
    </x:row>
    <x:row r="541">
      <x:c r="A541" s="47" t="str">
        <x:v>SC535</x:v>
      </x:c>
      <x:c r="B541" s="47" t="str">
        <x:v>P30</x:v>
      </x:c>
      <x:c r="C541" s="47" t="str">
        <x:v>RT-B</x:v>
      </x:c>
      <x:c r="D541" s="47" t="str">
        <x:v>RT-B-C</x:v>
      </x:c>
      <x:c r="E541" s="47" t="str">
        <x:v>REBUILD</x:v>
      </x:c>
      <x:c r="F541" s="47" t="str">
        <x:v>F13</x:v>
      </x:c>
      <x:c r="G541" s="47" t="str">
        <x:v>Civic</x:v>
      </x:c>
      <x:c r="H541" s="47" t="str">
        <x:v>Safe-state and abort logic</x:v>
      </x:c>
      <x:c r="I541" s="47" t="str">
        <x:v>PUBLIC</x:v>
      </x:c>
      <x:c r="J541" s="47" t="n">
        <x:v>1</x:v>
      </x:c>
      <x:c r="K541" s="56" t="n">
        <x:v>0</x:v>
      </x:c>
      <x:c r="L541" s="56" t="n">
        <x:v>0</x:v>
      </x:c>
      <x:c r="M541" s="47" t="str">
        <x:f>IF(AND(J541=1,K541=1,L541=1),"COMPLETE","OPEN")</x:f>
        <x:v>OPEN</x:v>
      </x:c>
      <x:c r="N541" s="84"/>
    </x:row>
    <x:row r="542">
      <x:c r="A542" s="47" t="str">
        <x:v>SC536</x:v>
      </x:c>
      <x:c r="B542" s="47" t="str">
        <x:v>P30</x:v>
      </x:c>
      <x:c r="C542" s="47" t="str">
        <x:v>RT-B</x:v>
      </x:c>
      <x:c r="D542" s="47" t="str">
        <x:v>RT-B-C</x:v>
      </x:c>
      <x:c r="E542" s="47" t="str">
        <x:v>REBUILD</x:v>
      </x:c>
      <x:c r="F542" s="47" t="str">
        <x:v>F14</x:v>
      </x:c>
      <x:c r="G542" s="47" t="str">
        <x:v>Civic</x:v>
      </x:c>
      <x:c r="H542" s="47" t="str">
        <x:v>Receiver and residual dispositions</x:v>
      </x:c>
      <x:c r="I542" s="47" t="str">
        <x:v>PUBLIC</x:v>
      </x:c>
      <x:c r="J542" s="47" t="n">
        <x:v>1</x:v>
      </x:c>
      <x:c r="K542" s="56" t="n">
        <x:v>0</x:v>
      </x:c>
      <x:c r="L542" s="56" t="n">
        <x:v>0</x:v>
      </x:c>
      <x:c r="M542" s="47" t="str">
        <x:f>IF(AND(J542=1,K542=1,L542=1),"COMPLETE","OPEN")</x:f>
        <x:v>OPEN</x:v>
      </x:c>
      <x:c r="N542" s="84"/>
    </x:row>
    <x:row r="543">
      <x:c r="A543" s="47" t="str">
        <x:v>SC537</x:v>
      </x:c>
      <x:c r="B543" s="47" t="str">
        <x:v>P30</x:v>
      </x:c>
      <x:c r="C543" s="47" t="str">
        <x:v>RT-B</x:v>
      </x:c>
      <x:c r="D543" s="47" t="str">
        <x:v>RT-B-C</x:v>
      </x:c>
      <x:c r="E543" s="47" t="str">
        <x:v>REBUILD</x:v>
      </x:c>
      <x:c r="F543" s="47" t="str">
        <x:v>F15</x:v>
      </x:c>
      <x:c r="G543" s="47" t="str">
        <x:v>Civic</x:v>
      </x:c>
      <x:c r="H543" s="47" t="str">
        <x:v>Rights, access and affected-population obligations</x:v>
      </x:c>
      <x:c r="I543" s="47" t="str">
        <x:v>PUBLIC</x:v>
      </x:c>
      <x:c r="J543" s="47" t="n">
        <x:v>1</x:v>
      </x:c>
      <x:c r="K543" s="56" t="n">
        <x:v>0</x:v>
      </x:c>
      <x:c r="L543" s="56" t="n">
        <x:v>0</x:v>
      </x:c>
      <x:c r="M543" s="47" t="str">
        <x:f>IF(AND(J543=1,K543=1,L543=1),"COMPLETE","OPEN")</x:f>
        <x:v>OPEN</x:v>
      </x:c>
      <x:c r="N543" s="84"/>
    </x:row>
    <x:row r="544">
      <x:c r="A544" s="47" t="str">
        <x:v>SC538</x:v>
      </x:c>
      <x:c r="B544" s="47" t="str">
        <x:v>P30</x:v>
      </x:c>
      <x:c r="C544" s="47" t="str">
        <x:v>RT-B</x:v>
      </x:c>
      <x:c r="D544" s="47" t="str">
        <x:v>RT-B-C</x:v>
      </x:c>
      <x:c r="E544" s="47" t="str">
        <x:v>REBUILD</x:v>
      </x:c>
      <x:c r="F544" s="47" t="str">
        <x:v>F16</x:v>
      </x:c>
      <x:c r="G544" s="47" t="str">
        <x:v>Epistemic</x:v>
      </x:c>
      <x:c r="H544" s="47" t="str">
        <x:v>Assumptions, unknowns and uncertainty bounds</x:v>
      </x:c>
      <x:c r="I544" s="47" t="str">
        <x:v>PUBLIC</x:v>
      </x:c>
      <x:c r="J544" s="47" t="n">
        <x:v>1</x:v>
      </x:c>
      <x:c r="K544" s="56" t="n">
        <x:v>0</x:v>
      </x:c>
      <x:c r="L544" s="56" t="n">
        <x:v>0</x:v>
      </x:c>
      <x:c r="M544" s="47" t="str">
        <x:f>IF(AND(J544=1,K544=1,L544=1),"COMPLETE","OPEN")</x:f>
        <x:v>OPEN</x:v>
      </x:c>
      <x:c r="N544" s="84"/>
    </x:row>
    <x:row r="545">
      <x:c r="A545" s="47" t="str">
        <x:v>SC539</x:v>
      </x:c>
      <x:c r="B545" s="47" t="str">
        <x:v>P30</x:v>
      </x:c>
      <x:c r="C545" s="47" t="str">
        <x:v>RT-B</x:v>
      </x:c>
      <x:c r="D545" s="47" t="str">
        <x:v>RT-B-C</x:v>
      </x:c>
      <x:c r="E545" s="47" t="str">
        <x:v>REBUILD</x:v>
      </x:c>
      <x:c r="F545" s="47" t="str">
        <x:v>F17</x:v>
      </x:c>
      <x:c r="G545" s="47" t="str">
        <x:v>Epistemic</x:v>
      </x:c>
      <x:c r="H545" s="47" t="str">
        <x:v>Causal event, denominator and claim trace</x:v>
      </x:c>
      <x:c r="I545" s="47" t="str">
        <x:v>PUBLIC</x:v>
      </x:c>
      <x:c r="J545" s="47" t="n">
        <x:v>1</x:v>
      </x:c>
      <x:c r="K545" s="56" t="n">
        <x:v>0</x:v>
      </x:c>
      <x:c r="L545" s="56" t="n">
        <x:v>0</x:v>
      </x:c>
      <x:c r="M545" s="47" t="str">
        <x:f>IF(AND(J545=1,K545=1,L545=1),"COMPLETE","OPEN")</x:f>
        <x:v>OPEN</x:v>
      </x:c>
      <x:c r="N545" s="84"/>
    </x:row>
    <x:row r="546">
      <x:c r="A546" s="47" t="str">
        <x:v>SC540</x:v>
      </x:c>
      <x:c r="B546" s="47" t="str">
        <x:v>P30</x:v>
      </x:c>
      <x:c r="C546" s="47" t="str">
        <x:v>RT-B</x:v>
      </x:c>
      <x:c r="D546" s="47" t="str">
        <x:v>RT-B-C</x:v>
      </x:c>
      <x:c r="E546" s="47" t="str">
        <x:v>REBUILD</x:v>
      </x:c>
      <x:c r="F546" s="47" t="str">
        <x:v>F18</x:v>
      </x:c>
      <x:c r="G546" s="47" t="str">
        <x:v>Epistemic</x:v>
      </x:c>
      <x:c r="H546" s="47" t="str">
        <x:v>Acceptance, expiry, disclosure and supersession rule</x:v>
      </x:c>
      <x:c r="I546" s="47" t="str">
        <x:v>PUBLIC</x:v>
      </x:c>
      <x:c r="J546" s="47" t="n">
        <x:v>1</x:v>
      </x:c>
      <x:c r="K546" s="56" t="n">
        <x:v>0</x:v>
      </x:c>
      <x:c r="L546" s="56" t="n">
        <x:v>0</x:v>
      </x:c>
      <x:c r="M546" s="47" t="str">
        <x:f>IF(AND(J546=1,K546=1,L546=1),"COMPLETE","OPEN")</x:f>
        <x:v>OPEN</x:v>
      </x:c>
      <x:c r="N546" s="84"/>
    </x:row>
  </x:sheetData>
  <x:mergeCells>
    <x:mergeCell ref="A2:N2"/>
    <x:mergeCell ref="A4:N4"/>
  </x:mergeCells>
  <x:conditionalFormatting sqref="M7:M546">
    <x:cfRule type="containsText" dxfId="0" priority="1" operator="containsText" text="OPE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5" hidden="0" customWidth="1"/>
    <x:col min="7" max="7" width="31" hidden="0" customWidth="1"/>
    <x:col min="8" max="8" width="55" hidden="0" customWidth="1"/>
    <x:col min="9" max="9" width="15" hidden="0" customWidth="1"/>
    <x:col min="10" max="10" width="15" hidden="0" customWidth="1"/>
    <x:col min="11" max="11" width="18" hidden="0" customWidth="1"/>
    <x:col min="12" max="12" width="31" hidden="0" customWidth="1"/>
  </x:cols>
  <x:sheetData>
    <x:row r="2">
      <x:c r="A2" s="83" t="str">
        <x:v>Root-native invariant grammar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The common kernel fixes meanings and acceptance relations; each root retains its own physics, methods and implementation.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25" t="str">
        <x:v>Record</x:v>
      </x:c>
      <x:c r="B6" s="26" t="str">
        <x:v>Package</x:v>
      </x:c>
      <x:c r="C6" s="26" t="str">
        <x:v>Root</x:v>
      </x:c>
      <x:c r="D6" s="26" t="str">
        <x:v>Form</x:v>
      </x:c>
      <x:c r="E6" s="26" t="str">
        <x:v>Package type</x:v>
      </x:c>
      <x:c r="F6" s="26" t="str">
        <x:v>Invariant</x:v>
      </x:c>
      <x:c r="G6" s="26" t="str">
        <x:v>Common meaning</x:v>
      </x:c>
      <x:c r="H6" s="26" t="str">
        <x:v>Root-native interpretation</x:v>
      </x:c>
      <x:c r="I6" s="26" t="str">
        <x:v>Native claim</x:v>
      </x:c>
      <x:c r="J6" s="26" t="str">
        <x:v>Clean claim</x:v>
      </x:c>
      <x:c r="K6" s="26" t="str">
        <x:v>Semantic state</x:v>
      </x:c>
      <x:c r="L6" s="27" t="str">
        <x:v>Physical proof</x:v>
      </x:c>
      <x:c r="M6" s="84"/>
      <x:c r="N6" s="84"/>
    </x:row>
    <x:row r="7">
      <x:c r="A7" s="47" t="str">
        <x:v>IG001</x:v>
      </x:c>
      <x:c r="B7" s="47" t="str">
        <x:v>P01</x:v>
      </x:c>
      <x:c r="C7" s="47" t="str">
        <x:v>ET-A</x:v>
      </x:c>
      <x:c r="D7" s="47" t="str">
        <x:v>ET-A-A</x:v>
      </x:c>
      <x:c r="E7" s="47" t="str">
        <x:v>METHOD</x:v>
      </x:c>
      <x:c r="F7" s="47" t="str">
        <x:v>I01</x:v>
      </x:c>
      <x:c r="G7" s="47" t="str">
        <x:v>Identity and boundary</x:v>
      </x:c>
      <x:c r="H7" s="47" t="str">
        <x:v>free-surface, trim, custody and littoral exchange: same configuration, system boundary and declared world</x:v>
      </x:c>
      <x:c r="I7" s="56" t="n">
        <x:v>0</x:v>
      </x:c>
      <x:c r="J7" s="56" t="n">
        <x:v>0</x:v>
      </x:c>
      <x:c r="K7" s="47" t="str">
        <x:f>IF(AND(I7=1,J7=1),"SEMANTIC MATCH","OPEN")</x:f>
        <x:v>OPEN</x:v>
      </x:c>
      <x:c r="L7" s="47" t="str">
        <x:f>IF(K7="SEMANTIC MATCH","NO—DESIGN REPRODUCIBILITY ONLY","NONE")</x:f>
        <x:v>NONE</x:v>
      </x:c>
      <x:c r="M7" s="84"/>
      <x:c r="N7" s="84"/>
    </x:row>
    <x:row r="8">
      <x:c r="A8" s="47" t="str">
        <x:v>IG002</x:v>
      </x:c>
      <x:c r="B8" s="47" t="str">
        <x:v>P01</x:v>
      </x:c>
      <x:c r="C8" s="47" t="str">
        <x:v>ET-A</x:v>
      </x:c>
      <x:c r="D8" s="47" t="str">
        <x:v>ET-A-A</x:v>
      </x:c>
      <x:c r="E8" s="47" t="str">
        <x:v>METHOD</x:v>
      </x:c>
      <x:c r="F8" s="47" t="str">
        <x:v>I02</x:v>
      </x:c>
      <x:c r="G8" s="47" t="str">
        <x:v>Conservation and causal closure</x:v>
      </x:c>
      <x:c r="H8" s="47" t="str">
        <x:v>free-surface, trim, custody and littoral exchange: same conserved accounts and causal direction</x:v>
      </x:c>
      <x:c r="I8" s="56" t="n">
        <x:v>0</x:v>
      </x:c>
      <x:c r="J8" s="56" t="n">
        <x:v>0</x:v>
      </x:c>
      <x:c r="K8" s="47" t="str">
        <x:f>IF(AND(I8=1,J8=1),"SEMANTIC MATCH","OPEN")</x:f>
        <x:v>OPEN</x:v>
      </x:c>
      <x:c r="L8" s="47" t="str">
        <x:f>IF(K8="SEMANTIC MATCH","NO—DESIGN REPRODUCIBILITY ONLY","NONE")</x:f>
        <x:v>NONE</x:v>
      </x:c>
      <x:c r="M8" s="84"/>
      <x:c r="N8" s="84"/>
    </x:row>
    <x:row r="9">
      <x:c r="A9" s="47" t="str">
        <x:v>IG003</x:v>
      </x:c>
      <x:c r="B9" s="47" t="str">
        <x:v>P01</x:v>
      </x:c>
      <x:c r="C9" s="47" t="str">
        <x:v>ET-A</x:v>
      </x:c>
      <x:c r="D9" s="47" t="str">
        <x:v>ET-A-A</x:v>
      </x:c>
      <x:c r="E9" s="47" t="str">
        <x:v>METHOD</x:v>
      </x:c>
      <x:c r="F9" s="47" t="str">
        <x:v>I03</x:v>
      </x:c>
      <x:c r="G9" s="47" t="str">
        <x:v>Interface, receiver and residual</x:v>
      </x:c>
      <x:c r="H9" s="47" t="str">
        <x:v>free-surface, trim, custody and littoral exchange: same interface obligations and terminal dispositions</x:v>
      </x:c>
      <x:c r="I9" s="56" t="n">
        <x:v>0</x:v>
      </x:c>
      <x:c r="J9" s="56" t="n">
        <x:v>0</x:v>
      </x:c>
      <x:c r="K9" s="47" t="str">
        <x:f>IF(AND(I9=1,J9=1),"SEMANTIC MATCH","OPEN")</x:f>
        <x:v>OPEN</x:v>
      </x:c>
      <x:c r="L9" s="47" t="str">
        <x:f>IF(K9="SEMANTIC MATCH","NO—DESIGN REPRODUCIBILITY ONLY","NONE")</x:f>
        <x:v>NONE</x:v>
      </x:c>
      <x:c r="M9" s="84"/>
      <x:c r="N9" s="84"/>
    </x:row>
    <x:row r="10">
      <x:c r="A10" s="47" t="str">
        <x:v>IG004</x:v>
      </x:c>
      <x:c r="B10" s="47" t="str">
        <x:v>P01</x:v>
      </x:c>
      <x:c r="C10" s="47" t="str">
        <x:v>ET-A</x:v>
      </x:c>
      <x:c r="D10" s="47" t="str">
        <x:v>ET-A-A</x:v>
      </x:c>
      <x:c r="E10" s="47" t="str">
        <x:v>METHOD</x:v>
      </x:c>
      <x:c r="F10" s="47" t="str">
        <x:v>I04</x:v>
      </x:c>
      <x:c r="G10" s="47" t="str">
        <x:v>Safe state and protected subject</x:v>
      </x:c>
      <x:c r="H10" s="47" t="str">
        <x:v>free-surface, trim, custody and littoral exchange: same protected subject, harm threshold and safe state</x:v>
      </x:c>
      <x:c r="I10" s="56" t="n">
        <x:v>0</x:v>
      </x:c>
      <x:c r="J10" s="56" t="n">
        <x:v>0</x:v>
      </x:c>
      <x:c r="K10" s="47" t="str">
        <x:f>IF(AND(I10=1,J10=1),"SEMANTIC MATCH","OPEN")</x:f>
        <x:v>OPEN</x:v>
      </x:c>
      <x:c r="L10" s="47" t="str">
        <x:f>IF(K10="SEMANTIC MATCH","NO—DESIGN REPRODUCIBILITY ONLY","NONE")</x:f>
        <x:v>NONE</x:v>
      </x:c>
      <x:c r="M10" s="84"/>
      <x:c r="N10" s="84"/>
    </x:row>
    <x:row r="11">
      <x:c r="A11" s="47" t="str">
        <x:v>IG005</x:v>
      </x:c>
      <x:c r="B11" s="47" t="str">
        <x:v>P01</x:v>
      </x:c>
      <x:c r="C11" s="47" t="str">
        <x:v>ET-A</x:v>
      </x:c>
      <x:c r="D11" s="47" t="str">
        <x:v>ET-A-A</x:v>
      </x:c>
      <x:c r="E11" s="47" t="str">
        <x:v>METHOD</x:v>
      </x:c>
      <x:c r="F11" s="47" t="str">
        <x:v>I05</x:v>
      </x:c>
      <x:c r="G11" s="47" t="str">
        <x:v>Uncertainty and sensitivity</x:v>
      </x:c>
      <x:c r="H11" s="47" t="str">
        <x:v>free-surface, trim, custody and littoral exchange: same uncertainty classes and adverse-direction test</x:v>
      </x:c>
      <x:c r="I11" s="56" t="n">
        <x:v>0</x:v>
      </x:c>
      <x:c r="J11" s="56" t="n">
        <x:v>0</x:v>
      </x:c>
      <x:c r="K11" s="47" t="str">
        <x:f>IF(AND(I11=1,J11=1),"SEMANTIC MATCH","OPEN")</x:f>
        <x:v>OPEN</x:v>
      </x:c>
      <x:c r="L11" s="47" t="str">
        <x:f>IF(K11="SEMANTIC MATCH","NO—DESIGN REPRODUCIBILITY ONLY","NONE")</x:f>
        <x:v>NONE</x:v>
      </x:c>
      <x:c r="M11" s="84"/>
      <x:c r="N11" s="84"/>
    </x:row>
    <x:row r="12">
      <x:c r="A12" s="47" t="str">
        <x:v>IG006</x:v>
      </x:c>
      <x:c r="B12" s="47" t="str">
        <x:v>P01</x:v>
      </x:c>
      <x:c r="C12" s="47" t="str">
        <x:v>ET-A</x:v>
      </x:c>
      <x:c r="D12" s="47" t="str">
        <x:v>ET-A-A</x:v>
      </x:c>
      <x:c r="E12" s="47" t="str">
        <x:v>METHOD</x:v>
      </x:c>
      <x:c r="F12" s="47" t="str">
        <x:v>I06</x:v>
      </x:c>
      <x:c r="G12" s="47" t="str">
        <x:v>Rebuild and supersession</x:v>
      </x:c>
      <x:c r="H12" s="47" t="str">
        <x:v>free-surface, trim, custody and littoral exchange: same acceptance, expiry, divergence and lineage law</x:v>
      </x:c>
      <x:c r="I12" s="56" t="n">
        <x:v>0</x:v>
      </x:c>
      <x:c r="J12" s="56" t="n">
        <x:v>0</x:v>
      </x:c>
      <x:c r="K12" s="47" t="str">
        <x:f>IF(AND(I12=1,J12=1),"SEMANTIC MATCH","OPEN")</x:f>
        <x:v>OPEN</x:v>
      </x:c>
      <x:c r="L12" s="47" t="str">
        <x:f>IF(K12="SEMANTIC MATCH","NO—DESIGN REPRODUCIBILITY ONLY","NONE")</x:f>
        <x:v>NONE</x:v>
      </x:c>
      <x:c r="M12" s="84"/>
      <x:c r="N12" s="84"/>
    </x:row>
    <x:row r="13">
      <x:c r="A13" s="47" t="str">
        <x:v>IG007</x:v>
      </x:c>
      <x:c r="B13" s="47" t="str">
        <x:v>P02</x:v>
      </x:c>
      <x:c r="C13" s="47" t="str">
        <x:v>ET-A</x:v>
      </x:c>
      <x:c r="D13" s="47" t="str">
        <x:v>ET-A-A</x:v>
      </x:c>
      <x:c r="E13" s="47" t="str">
        <x:v>VALID</x:v>
      </x:c>
      <x:c r="F13" s="47" t="str">
        <x:v>I01</x:v>
      </x:c>
      <x:c r="G13" s="47" t="str">
        <x:v>Identity and boundary</x:v>
      </x:c>
      <x:c r="H13" s="47" t="str">
        <x:v>free-surface, trim, custody and littoral exchange: same configuration, system boundary and declared world</x:v>
      </x:c>
      <x:c r="I13" s="56" t="n">
        <x:v>0</x:v>
      </x:c>
      <x:c r="J13" s="56" t="n">
        <x:v>0</x:v>
      </x:c>
      <x:c r="K13" s="47" t="str">
        <x:f>IF(AND(I13=1,J13=1),"SEMANTIC MATCH","OPEN")</x:f>
        <x:v>OPEN</x:v>
      </x:c>
      <x:c r="L13" s="47" t="str">
        <x:f>IF(K13="SEMANTIC MATCH","NO—DESIGN REPRODUCIBILITY ONLY","NONE")</x:f>
        <x:v>NONE</x:v>
      </x:c>
      <x:c r="M13" s="84"/>
      <x:c r="N13" s="84"/>
    </x:row>
    <x:row r="14">
      <x:c r="A14" s="47" t="str">
        <x:v>IG008</x:v>
      </x:c>
      <x:c r="B14" s="47" t="str">
        <x:v>P02</x:v>
      </x:c>
      <x:c r="C14" s="47" t="str">
        <x:v>ET-A</x:v>
      </x:c>
      <x:c r="D14" s="47" t="str">
        <x:v>ET-A-A</x:v>
      </x:c>
      <x:c r="E14" s="47" t="str">
        <x:v>VALID</x:v>
      </x:c>
      <x:c r="F14" s="47" t="str">
        <x:v>I02</x:v>
      </x:c>
      <x:c r="G14" s="47" t="str">
        <x:v>Conservation and causal closure</x:v>
      </x:c>
      <x:c r="H14" s="47" t="str">
        <x:v>free-surface, trim, custody and littoral exchange: same conserved accounts and causal direction</x:v>
      </x:c>
      <x:c r="I14" s="56" t="n">
        <x:v>0</x:v>
      </x:c>
      <x:c r="J14" s="56" t="n">
        <x:v>0</x:v>
      </x:c>
      <x:c r="K14" s="47" t="str">
        <x:f>IF(AND(I14=1,J14=1),"SEMANTIC MATCH","OPEN")</x:f>
        <x:v>OPEN</x:v>
      </x:c>
      <x:c r="L14" s="47" t="str">
        <x:f>IF(K14="SEMANTIC MATCH","NO—DESIGN REPRODUCIBILITY ONLY","NONE")</x:f>
        <x:v>NONE</x:v>
      </x:c>
      <x:c r="M14" s="84"/>
      <x:c r="N14" s="84"/>
    </x:row>
    <x:row r="15">
      <x:c r="A15" s="47" t="str">
        <x:v>IG009</x:v>
      </x:c>
      <x:c r="B15" s="47" t="str">
        <x:v>P02</x:v>
      </x:c>
      <x:c r="C15" s="47" t="str">
        <x:v>ET-A</x:v>
      </x:c>
      <x:c r="D15" s="47" t="str">
        <x:v>ET-A-A</x:v>
      </x:c>
      <x:c r="E15" s="47" t="str">
        <x:v>VALID</x:v>
      </x:c>
      <x:c r="F15" s="47" t="str">
        <x:v>I03</x:v>
      </x:c>
      <x:c r="G15" s="47" t="str">
        <x:v>Interface, receiver and residual</x:v>
      </x:c>
      <x:c r="H15" s="47" t="str">
        <x:v>free-surface, trim, custody and littoral exchange: same interface obligations and terminal dispositions</x:v>
      </x:c>
      <x:c r="I15" s="56" t="n">
        <x:v>0</x:v>
      </x:c>
      <x:c r="J15" s="56" t="n">
        <x:v>0</x:v>
      </x:c>
      <x:c r="K15" s="47" t="str">
        <x:f>IF(AND(I15=1,J15=1),"SEMANTIC MATCH","OPEN")</x:f>
        <x:v>OPEN</x:v>
      </x:c>
      <x:c r="L15" s="47" t="str">
        <x:f>IF(K15="SEMANTIC MATCH","NO—DESIGN REPRODUCIBILITY ONLY","NONE")</x:f>
        <x:v>NONE</x:v>
      </x:c>
      <x:c r="M15" s="84"/>
      <x:c r="N15" s="84"/>
    </x:row>
    <x:row r="16">
      <x:c r="A16" s="47" t="str">
        <x:v>IG010</x:v>
      </x:c>
      <x:c r="B16" s="47" t="str">
        <x:v>P02</x:v>
      </x:c>
      <x:c r="C16" s="47" t="str">
        <x:v>ET-A</x:v>
      </x:c>
      <x:c r="D16" s="47" t="str">
        <x:v>ET-A-A</x:v>
      </x:c>
      <x:c r="E16" s="47" t="str">
        <x:v>VALID</x:v>
      </x:c>
      <x:c r="F16" s="47" t="str">
        <x:v>I04</x:v>
      </x:c>
      <x:c r="G16" s="47" t="str">
        <x:v>Safe state and protected subject</x:v>
      </x:c>
      <x:c r="H16" s="47" t="str">
        <x:v>free-surface, trim, custody and littoral exchange: same protected subject, harm threshold and safe state</x:v>
      </x:c>
      <x:c r="I16" s="56" t="n">
        <x:v>0</x:v>
      </x:c>
      <x:c r="J16" s="56" t="n">
        <x:v>0</x:v>
      </x:c>
      <x:c r="K16" s="47" t="str">
        <x:f>IF(AND(I16=1,J16=1),"SEMANTIC MATCH","OPEN")</x:f>
        <x:v>OPEN</x:v>
      </x:c>
      <x:c r="L16" s="47" t="str">
        <x:f>IF(K16="SEMANTIC MATCH","NO—DESIGN REPRODUCIBILITY ONLY","NONE")</x:f>
        <x:v>NONE</x:v>
      </x:c>
      <x:c r="M16" s="84"/>
      <x:c r="N16" s="84"/>
    </x:row>
    <x:row r="17">
      <x:c r="A17" s="47" t="str">
        <x:v>IG011</x:v>
      </x:c>
      <x:c r="B17" s="47" t="str">
        <x:v>P02</x:v>
      </x:c>
      <x:c r="C17" s="47" t="str">
        <x:v>ET-A</x:v>
      </x:c>
      <x:c r="D17" s="47" t="str">
        <x:v>ET-A-A</x:v>
      </x:c>
      <x:c r="E17" s="47" t="str">
        <x:v>VALID</x:v>
      </x:c>
      <x:c r="F17" s="47" t="str">
        <x:v>I05</x:v>
      </x:c>
      <x:c r="G17" s="47" t="str">
        <x:v>Uncertainty and sensitivity</x:v>
      </x:c>
      <x:c r="H17" s="47" t="str">
        <x:v>free-surface, trim, custody and littoral exchange: same uncertainty classes and adverse-direction test</x:v>
      </x:c>
      <x:c r="I17" s="56" t="n">
        <x:v>0</x:v>
      </x:c>
      <x:c r="J17" s="56" t="n">
        <x:v>0</x:v>
      </x:c>
      <x:c r="K17" s="47" t="str">
        <x:f>IF(AND(I17=1,J17=1),"SEMANTIC MATCH","OPEN")</x:f>
        <x:v>OPEN</x:v>
      </x:c>
      <x:c r="L17" s="47" t="str">
        <x:f>IF(K17="SEMANTIC MATCH","NO—DESIGN REPRODUCIBILITY ONLY","NONE")</x:f>
        <x:v>NONE</x:v>
      </x:c>
      <x:c r="M17" s="84"/>
      <x:c r="N17" s="84"/>
    </x:row>
    <x:row r="18">
      <x:c r="A18" s="47" t="str">
        <x:v>IG012</x:v>
      </x:c>
      <x:c r="B18" s="47" t="str">
        <x:v>P02</x:v>
      </x:c>
      <x:c r="C18" s="47" t="str">
        <x:v>ET-A</x:v>
      </x:c>
      <x:c r="D18" s="47" t="str">
        <x:v>ET-A-A</x:v>
      </x:c>
      <x:c r="E18" s="47" t="str">
        <x:v>VALID</x:v>
      </x:c>
      <x:c r="F18" s="47" t="str">
        <x:v>I06</x:v>
      </x:c>
      <x:c r="G18" s="47" t="str">
        <x:v>Rebuild and supersession</x:v>
      </x:c>
      <x:c r="H18" s="47" t="str">
        <x:v>free-surface, trim, custody and littoral exchange: same acceptance, expiry, divergence and lineage law</x:v>
      </x:c>
      <x:c r="I18" s="56" t="n">
        <x:v>0</x:v>
      </x:c>
      <x:c r="J18" s="56" t="n">
        <x:v>0</x:v>
      </x:c>
      <x:c r="K18" s="47" t="str">
        <x:f>IF(AND(I18=1,J18=1),"SEMANTIC MATCH","OPEN")</x:f>
        <x:v>OPEN</x:v>
      </x:c>
      <x:c r="L18" s="47" t="str">
        <x:f>IF(K18="SEMANTIC MATCH","NO—DESIGN REPRODUCIBILITY ONLY","NONE")</x:f>
        <x:v>NONE</x:v>
      </x:c>
      <x:c r="M18" s="84"/>
      <x:c r="N18" s="84"/>
    </x:row>
    <x:row r="19">
      <x:c r="A19" s="47" t="str">
        <x:v>IG013</x:v>
      </x:c>
      <x:c r="B19" s="47" t="str">
        <x:v>P03</x:v>
      </x:c>
      <x:c r="C19" s="47" t="str">
        <x:v>ET-A</x:v>
      </x:c>
      <x:c r="D19" s="47" t="str">
        <x:v>ET-A-A</x:v>
      </x:c>
      <x:c r="E19" s="47" t="str">
        <x:v>CIVIL</x:v>
      </x:c>
      <x:c r="F19" s="47" t="str">
        <x:v>I01</x:v>
      </x:c>
      <x:c r="G19" s="47" t="str">
        <x:v>Identity and boundary</x:v>
      </x:c>
      <x:c r="H19" s="47" t="str">
        <x:v>free-surface, trim, custody and littoral exchange: same configuration, system boundary and declared world</x:v>
      </x:c>
      <x:c r="I19" s="56" t="n">
        <x:v>0</x:v>
      </x:c>
      <x:c r="J19" s="56" t="n">
        <x:v>0</x:v>
      </x:c>
      <x:c r="K19" s="47" t="str">
        <x:f>IF(AND(I19=1,J19=1),"SEMANTIC MATCH","OPEN")</x:f>
        <x:v>OPEN</x:v>
      </x:c>
      <x:c r="L19" s="47" t="str">
        <x:f>IF(K19="SEMANTIC MATCH","NO—DESIGN REPRODUCIBILITY ONLY","NONE")</x:f>
        <x:v>NONE</x:v>
      </x:c>
      <x:c r="M19" s="84"/>
      <x:c r="N19" s="84"/>
    </x:row>
    <x:row r="20">
      <x:c r="A20" s="47" t="str">
        <x:v>IG014</x:v>
      </x:c>
      <x:c r="B20" s="47" t="str">
        <x:v>P03</x:v>
      </x:c>
      <x:c r="C20" s="47" t="str">
        <x:v>ET-A</x:v>
      </x:c>
      <x:c r="D20" s="47" t="str">
        <x:v>ET-A-A</x:v>
      </x:c>
      <x:c r="E20" s="47" t="str">
        <x:v>CIVIL</x:v>
      </x:c>
      <x:c r="F20" s="47" t="str">
        <x:v>I02</x:v>
      </x:c>
      <x:c r="G20" s="47" t="str">
        <x:v>Conservation and causal closure</x:v>
      </x:c>
      <x:c r="H20" s="47" t="str">
        <x:v>free-surface, trim, custody and littoral exchange: same conserved accounts and causal direction</x:v>
      </x:c>
      <x:c r="I20" s="56" t="n">
        <x:v>0</x:v>
      </x:c>
      <x:c r="J20" s="56" t="n">
        <x:v>0</x:v>
      </x:c>
      <x:c r="K20" s="47" t="str">
        <x:f>IF(AND(I20=1,J20=1),"SEMANTIC MATCH","OPEN")</x:f>
        <x:v>OPEN</x:v>
      </x:c>
      <x:c r="L20" s="47" t="str">
        <x:f>IF(K20="SEMANTIC MATCH","NO—DESIGN REPRODUCIBILITY ONLY","NONE")</x:f>
        <x:v>NONE</x:v>
      </x:c>
      <x:c r="M20" s="84"/>
      <x:c r="N20" s="84"/>
    </x:row>
    <x:row r="21">
      <x:c r="A21" s="47" t="str">
        <x:v>IG015</x:v>
      </x:c>
      <x:c r="B21" s="47" t="str">
        <x:v>P03</x:v>
      </x:c>
      <x:c r="C21" s="47" t="str">
        <x:v>ET-A</x:v>
      </x:c>
      <x:c r="D21" s="47" t="str">
        <x:v>ET-A-A</x:v>
      </x:c>
      <x:c r="E21" s="47" t="str">
        <x:v>CIVIL</x:v>
      </x:c>
      <x:c r="F21" s="47" t="str">
        <x:v>I03</x:v>
      </x:c>
      <x:c r="G21" s="47" t="str">
        <x:v>Interface, receiver and residual</x:v>
      </x:c>
      <x:c r="H21" s="47" t="str">
        <x:v>free-surface, trim, custody and littoral exchange: same interface obligations and terminal dispositions</x:v>
      </x:c>
      <x:c r="I21" s="56" t="n">
        <x:v>0</x:v>
      </x:c>
      <x:c r="J21" s="56" t="n">
        <x:v>0</x:v>
      </x:c>
      <x:c r="K21" s="47" t="str">
        <x:f>IF(AND(I21=1,J21=1),"SEMANTIC MATCH","OPEN")</x:f>
        <x:v>OPEN</x:v>
      </x:c>
      <x:c r="L21" s="47" t="str">
        <x:f>IF(K21="SEMANTIC MATCH","NO—DESIGN REPRODUCIBILITY ONLY","NONE")</x:f>
        <x:v>NONE</x:v>
      </x:c>
      <x:c r="M21" s="84"/>
      <x:c r="N21" s="84"/>
    </x:row>
    <x:row r="22">
      <x:c r="A22" s="47" t="str">
        <x:v>IG016</x:v>
      </x:c>
      <x:c r="B22" s="47" t="str">
        <x:v>P03</x:v>
      </x:c>
      <x:c r="C22" s="47" t="str">
        <x:v>ET-A</x:v>
      </x:c>
      <x:c r="D22" s="47" t="str">
        <x:v>ET-A-A</x:v>
      </x:c>
      <x:c r="E22" s="47" t="str">
        <x:v>CIVIL</x:v>
      </x:c>
      <x:c r="F22" s="47" t="str">
        <x:v>I04</x:v>
      </x:c>
      <x:c r="G22" s="47" t="str">
        <x:v>Safe state and protected subject</x:v>
      </x:c>
      <x:c r="H22" s="47" t="str">
        <x:v>free-surface, trim, custody and littoral exchange: same protected subject, harm threshold and safe state</x:v>
      </x:c>
      <x:c r="I22" s="56" t="n">
        <x:v>0</x:v>
      </x:c>
      <x:c r="J22" s="56" t="n">
        <x:v>0</x:v>
      </x:c>
      <x:c r="K22" s="47" t="str">
        <x:f>IF(AND(I22=1,J22=1),"SEMANTIC MATCH","OPEN")</x:f>
        <x:v>OPEN</x:v>
      </x:c>
      <x:c r="L22" s="47" t="str">
        <x:f>IF(K22="SEMANTIC MATCH","NO—DESIGN REPRODUCIBILITY ONLY","NONE")</x:f>
        <x:v>NONE</x:v>
      </x:c>
      <x:c r="M22" s="84"/>
      <x:c r="N22" s="84"/>
    </x:row>
    <x:row r="23">
      <x:c r="A23" s="47" t="str">
        <x:v>IG017</x:v>
      </x:c>
      <x:c r="B23" s="47" t="str">
        <x:v>P03</x:v>
      </x:c>
      <x:c r="C23" s="47" t="str">
        <x:v>ET-A</x:v>
      </x:c>
      <x:c r="D23" s="47" t="str">
        <x:v>ET-A-A</x:v>
      </x:c>
      <x:c r="E23" s="47" t="str">
        <x:v>CIVIL</x:v>
      </x:c>
      <x:c r="F23" s="47" t="str">
        <x:v>I05</x:v>
      </x:c>
      <x:c r="G23" s="47" t="str">
        <x:v>Uncertainty and sensitivity</x:v>
      </x:c>
      <x:c r="H23" s="47" t="str">
        <x:v>free-surface, trim, custody and littoral exchange: same uncertainty classes and adverse-direction test</x:v>
      </x:c>
      <x:c r="I23" s="56" t="n">
        <x:v>0</x:v>
      </x:c>
      <x:c r="J23" s="56" t="n">
        <x:v>0</x:v>
      </x:c>
      <x:c r="K23" s="47" t="str">
        <x:f>IF(AND(I23=1,J23=1),"SEMANTIC MATCH","OPEN")</x:f>
        <x:v>OPEN</x:v>
      </x:c>
      <x:c r="L23" s="47" t="str">
        <x:f>IF(K23="SEMANTIC MATCH","NO—DESIGN REPRODUCIBILITY ONLY","NONE")</x:f>
        <x:v>NONE</x:v>
      </x:c>
      <x:c r="M23" s="84"/>
      <x:c r="N23" s="84"/>
    </x:row>
    <x:row r="24">
      <x:c r="A24" s="47" t="str">
        <x:v>IG018</x:v>
      </x:c>
      <x:c r="B24" s="47" t="str">
        <x:v>P03</x:v>
      </x:c>
      <x:c r="C24" s="47" t="str">
        <x:v>ET-A</x:v>
      </x:c>
      <x:c r="D24" s="47" t="str">
        <x:v>ET-A-A</x:v>
      </x:c>
      <x:c r="E24" s="47" t="str">
        <x:v>CIVIL</x:v>
      </x:c>
      <x:c r="F24" s="47" t="str">
        <x:v>I06</x:v>
      </x:c>
      <x:c r="G24" s="47" t="str">
        <x:v>Rebuild and supersession</x:v>
      </x:c>
      <x:c r="H24" s="47" t="str">
        <x:v>free-surface, trim, custody and littoral exchange: same acceptance, expiry, divergence and lineage law</x:v>
      </x:c>
      <x:c r="I24" s="56" t="n">
        <x:v>0</x:v>
      </x:c>
      <x:c r="J24" s="56" t="n">
        <x:v>0</x:v>
      </x:c>
      <x:c r="K24" s="47" t="str">
        <x:f>IF(AND(I24=1,J24=1),"SEMANTIC MATCH","OPEN")</x:f>
        <x:v>OPEN</x:v>
      </x:c>
      <x:c r="L24" s="47" t="str">
        <x:f>IF(K24="SEMANTIC MATCH","NO—DESIGN REPRODUCIBILITY ONLY","NONE")</x:f>
        <x:v>NONE</x:v>
      </x:c>
      <x:c r="M24" s="84"/>
      <x:c r="N24" s="84"/>
    </x:row>
    <x:row r="25">
      <x:c r="A25" s="47" t="str">
        <x:v>IG019</x:v>
      </x:c>
      <x:c r="B25" s="47" t="str">
        <x:v>P04</x:v>
      </x:c>
      <x:c r="C25" s="47" t="str">
        <x:v>ET-A</x:v>
      </x:c>
      <x:c r="D25" s="47" t="str">
        <x:v>ET-A-A</x:v>
      </x:c>
      <x:c r="E25" s="47" t="str">
        <x:v>ARTICLE</x:v>
      </x:c>
      <x:c r="F25" s="47" t="str">
        <x:v>I01</x:v>
      </x:c>
      <x:c r="G25" s="47" t="str">
        <x:v>Identity and boundary</x:v>
      </x:c>
      <x:c r="H25" s="47" t="str">
        <x:v>free-surface, trim, custody and littoral exchange: same configuration, system boundary and declared world</x:v>
      </x:c>
      <x:c r="I25" s="56" t="n">
        <x:v>0</x:v>
      </x:c>
      <x:c r="J25" s="56" t="n">
        <x:v>0</x:v>
      </x:c>
      <x:c r="K25" s="47" t="str">
        <x:f>IF(AND(I25=1,J25=1),"SEMANTIC MATCH","OPEN")</x:f>
        <x:v>OPEN</x:v>
      </x:c>
      <x:c r="L25" s="47" t="str">
        <x:f>IF(K25="SEMANTIC MATCH","NO—DESIGN REPRODUCIBILITY ONLY","NONE")</x:f>
        <x:v>NONE</x:v>
      </x:c>
      <x:c r="M25" s="84"/>
      <x:c r="N25" s="84"/>
    </x:row>
    <x:row r="26">
      <x:c r="A26" s="47" t="str">
        <x:v>IG020</x:v>
      </x:c>
      <x:c r="B26" s="47" t="str">
        <x:v>P04</x:v>
      </x:c>
      <x:c r="C26" s="47" t="str">
        <x:v>ET-A</x:v>
      </x:c>
      <x:c r="D26" s="47" t="str">
        <x:v>ET-A-A</x:v>
      </x:c>
      <x:c r="E26" s="47" t="str">
        <x:v>ARTICLE</x:v>
      </x:c>
      <x:c r="F26" s="47" t="str">
        <x:v>I02</x:v>
      </x:c>
      <x:c r="G26" s="47" t="str">
        <x:v>Conservation and causal closure</x:v>
      </x:c>
      <x:c r="H26" s="47" t="str">
        <x:v>free-surface, trim, custody and littoral exchange: same conserved accounts and causal direction</x:v>
      </x:c>
      <x:c r="I26" s="56" t="n">
        <x:v>0</x:v>
      </x:c>
      <x:c r="J26" s="56" t="n">
        <x:v>0</x:v>
      </x:c>
      <x:c r="K26" s="47" t="str">
        <x:f>IF(AND(I26=1,J26=1),"SEMANTIC MATCH","OPEN")</x:f>
        <x:v>OPEN</x:v>
      </x:c>
      <x:c r="L26" s="47" t="str">
        <x:f>IF(K26="SEMANTIC MATCH","NO—DESIGN REPRODUCIBILITY ONLY","NONE")</x:f>
        <x:v>NONE</x:v>
      </x:c>
      <x:c r="M26" s="84"/>
      <x:c r="N26" s="84"/>
    </x:row>
    <x:row r="27">
      <x:c r="A27" s="47" t="str">
        <x:v>IG021</x:v>
      </x:c>
      <x:c r="B27" s="47" t="str">
        <x:v>P04</x:v>
      </x:c>
      <x:c r="C27" s="47" t="str">
        <x:v>ET-A</x:v>
      </x:c>
      <x:c r="D27" s="47" t="str">
        <x:v>ET-A-A</x:v>
      </x:c>
      <x:c r="E27" s="47" t="str">
        <x:v>ARTICLE</x:v>
      </x:c>
      <x:c r="F27" s="47" t="str">
        <x:v>I03</x:v>
      </x:c>
      <x:c r="G27" s="47" t="str">
        <x:v>Interface, receiver and residual</x:v>
      </x:c>
      <x:c r="H27" s="47" t="str">
        <x:v>free-surface, trim, custody and littoral exchange: same interface obligations and terminal dispositions</x:v>
      </x:c>
      <x:c r="I27" s="56" t="n">
        <x:v>0</x:v>
      </x:c>
      <x:c r="J27" s="56" t="n">
        <x:v>0</x:v>
      </x:c>
      <x:c r="K27" s="47" t="str">
        <x:f>IF(AND(I27=1,J27=1),"SEMANTIC MATCH","OPEN")</x:f>
        <x:v>OPEN</x:v>
      </x:c>
      <x:c r="L27" s="47" t="str">
        <x:f>IF(K27="SEMANTIC MATCH","NO—DESIGN REPRODUCIBILITY ONLY","NONE")</x:f>
        <x:v>NONE</x:v>
      </x:c>
      <x:c r="M27" s="84"/>
      <x:c r="N27" s="84"/>
    </x:row>
    <x:row r="28">
      <x:c r="A28" s="47" t="str">
        <x:v>IG022</x:v>
      </x:c>
      <x:c r="B28" s="47" t="str">
        <x:v>P04</x:v>
      </x:c>
      <x:c r="C28" s="47" t="str">
        <x:v>ET-A</x:v>
      </x:c>
      <x:c r="D28" s="47" t="str">
        <x:v>ET-A-A</x:v>
      </x:c>
      <x:c r="E28" s="47" t="str">
        <x:v>ARTICLE</x:v>
      </x:c>
      <x:c r="F28" s="47" t="str">
        <x:v>I04</x:v>
      </x:c>
      <x:c r="G28" s="47" t="str">
        <x:v>Safe state and protected subject</x:v>
      </x:c>
      <x:c r="H28" s="47" t="str">
        <x:v>free-surface, trim, custody and littoral exchange: same protected subject, harm threshold and safe state</x:v>
      </x:c>
      <x:c r="I28" s="56" t="n">
        <x:v>0</x:v>
      </x:c>
      <x:c r="J28" s="56" t="n">
        <x:v>0</x:v>
      </x:c>
      <x:c r="K28" s="47" t="str">
        <x:f>IF(AND(I28=1,J28=1),"SEMANTIC MATCH","OPEN")</x:f>
        <x:v>OPEN</x:v>
      </x:c>
      <x:c r="L28" s="47" t="str">
        <x:f>IF(K28="SEMANTIC MATCH","NO—DESIGN REPRODUCIBILITY ONLY","NONE")</x:f>
        <x:v>NONE</x:v>
      </x:c>
      <x:c r="M28" s="84"/>
      <x:c r="N28" s="84"/>
    </x:row>
    <x:row r="29">
      <x:c r="A29" s="47" t="str">
        <x:v>IG023</x:v>
      </x:c>
      <x:c r="B29" s="47" t="str">
        <x:v>P04</x:v>
      </x:c>
      <x:c r="C29" s="47" t="str">
        <x:v>ET-A</x:v>
      </x:c>
      <x:c r="D29" s="47" t="str">
        <x:v>ET-A-A</x:v>
      </x:c>
      <x:c r="E29" s="47" t="str">
        <x:v>ARTICLE</x:v>
      </x:c>
      <x:c r="F29" s="47" t="str">
        <x:v>I05</x:v>
      </x:c>
      <x:c r="G29" s="47" t="str">
        <x:v>Uncertainty and sensitivity</x:v>
      </x:c>
      <x:c r="H29" s="47" t="str">
        <x:v>free-surface, trim, custody and littoral exchange: same uncertainty classes and adverse-direction test</x:v>
      </x:c>
      <x:c r="I29" s="56" t="n">
        <x:v>0</x:v>
      </x:c>
      <x:c r="J29" s="56" t="n">
        <x:v>0</x:v>
      </x:c>
      <x:c r="K29" s="47" t="str">
        <x:f>IF(AND(I29=1,J29=1),"SEMANTIC MATCH","OPEN")</x:f>
        <x:v>OPEN</x:v>
      </x:c>
      <x:c r="L29" s="47" t="str">
        <x:f>IF(K29="SEMANTIC MATCH","NO—DESIGN REPRODUCIBILITY ONLY","NONE")</x:f>
        <x:v>NONE</x:v>
      </x:c>
      <x:c r="M29" s="84"/>
      <x:c r="N29" s="84"/>
    </x:row>
    <x:row r="30">
      <x:c r="A30" s="47" t="str">
        <x:v>IG024</x:v>
      </x:c>
      <x:c r="B30" s="47" t="str">
        <x:v>P04</x:v>
      </x:c>
      <x:c r="C30" s="47" t="str">
        <x:v>ET-A</x:v>
      </x:c>
      <x:c r="D30" s="47" t="str">
        <x:v>ET-A-A</x:v>
      </x:c>
      <x:c r="E30" s="47" t="str">
        <x:v>ARTICLE</x:v>
      </x:c>
      <x:c r="F30" s="47" t="str">
        <x:v>I06</x:v>
      </x:c>
      <x:c r="G30" s="47" t="str">
        <x:v>Rebuild and supersession</x:v>
      </x:c>
      <x:c r="H30" s="47" t="str">
        <x:v>free-surface, trim, custody and littoral exchange: same acceptance, expiry, divergence and lineage law</x:v>
      </x:c>
      <x:c r="I30" s="56" t="n">
        <x:v>0</x:v>
      </x:c>
      <x:c r="J30" s="56" t="n">
        <x:v>0</x:v>
      </x:c>
      <x:c r="K30" s="47" t="str">
        <x:f>IF(AND(I30=1,J30=1),"SEMANTIC MATCH","OPEN")</x:f>
        <x:v>OPEN</x:v>
      </x:c>
      <x:c r="L30" s="47" t="str">
        <x:f>IF(K30="SEMANTIC MATCH","NO—DESIGN REPRODUCIBILITY ONLY","NONE")</x:f>
        <x:v>NONE</x:v>
      </x:c>
      <x:c r="M30" s="84"/>
      <x:c r="N30" s="84"/>
    </x:row>
    <x:row r="31">
      <x:c r="A31" s="47" t="str">
        <x:v>IG025</x:v>
      </x:c>
      <x:c r="B31" s="47" t="str">
        <x:v>P05</x:v>
      </x:c>
      <x:c r="C31" s="47" t="str">
        <x:v>ET-A</x:v>
      </x:c>
      <x:c r="D31" s="47" t="str">
        <x:v>ET-A-A</x:v>
      </x:c>
      <x:c r="E31" s="47" t="str">
        <x:v>REBUILD</x:v>
      </x:c>
      <x:c r="F31" s="47" t="str">
        <x:v>I01</x:v>
      </x:c>
      <x:c r="G31" s="47" t="str">
        <x:v>Identity and boundary</x:v>
      </x:c>
      <x:c r="H31" s="47" t="str">
        <x:v>free-surface, trim, custody and littoral exchange: same configuration, system boundary and declared world</x:v>
      </x:c>
      <x:c r="I31" s="56" t="n">
        <x:v>0</x:v>
      </x:c>
      <x:c r="J31" s="56" t="n">
        <x:v>0</x:v>
      </x:c>
      <x:c r="K31" s="47" t="str">
        <x:f>IF(AND(I31=1,J31=1),"SEMANTIC MATCH","OPEN")</x:f>
        <x:v>OPEN</x:v>
      </x:c>
      <x:c r="L31" s="47" t="str">
        <x:f>IF(K31="SEMANTIC MATCH","NO—DESIGN REPRODUCIBILITY ONLY","NONE")</x:f>
        <x:v>NONE</x:v>
      </x:c>
      <x:c r="M31" s="84"/>
      <x:c r="N31" s="84"/>
    </x:row>
    <x:row r="32">
      <x:c r="A32" s="47" t="str">
        <x:v>IG026</x:v>
      </x:c>
      <x:c r="B32" s="47" t="str">
        <x:v>P05</x:v>
      </x:c>
      <x:c r="C32" s="47" t="str">
        <x:v>ET-A</x:v>
      </x:c>
      <x:c r="D32" s="47" t="str">
        <x:v>ET-A-A</x:v>
      </x:c>
      <x:c r="E32" s="47" t="str">
        <x:v>REBUILD</x:v>
      </x:c>
      <x:c r="F32" s="47" t="str">
        <x:v>I02</x:v>
      </x:c>
      <x:c r="G32" s="47" t="str">
        <x:v>Conservation and causal closure</x:v>
      </x:c>
      <x:c r="H32" s="47" t="str">
        <x:v>free-surface, trim, custody and littoral exchange: same conserved accounts and causal direction</x:v>
      </x:c>
      <x:c r="I32" s="56" t="n">
        <x:v>0</x:v>
      </x:c>
      <x:c r="J32" s="56" t="n">
        <x:v>0</x:v>
      </x:c>
      <x:c r="K32" s="47" t="str">
        <x:f>IF(AND(I32=1,J32=1),"SEMANTIC MATCH","OPEN")</x:f>
        <x:v>OPEN</x:v>
      </x:c>
      <x:c r="L32" s="47" t="str">
        <x:f>IF(K32="SEMANTIC MATCH","NO—DESIGN REPRODUCIBILITY ONLY","NONE")</x:f>
        <x:v>NONE</x:v>
      </x:c>
      <x:c r="M32" s="84"/>
      <x:c r="N32" s="84"/>
    </x:row>
    <x:row r="33">
      <x:c r="A33" s="47" t="str">
        <x:v>IG027</x:v>
      </x:c>
      <x:c r="B33" s="47" t="str">
        <x:v>P05</x:v>
      </x:c>
      <x:c r="C33" s="47" t="str">
        <x:v>ET-A</x:v>
      </x:c>
      <x:c r="D33" s="47" t="str">
        <x:v>ET-A-A</x:v>
      </x:c>
      <x:c r="E33" s="47" t="str">
        <x:v>REBUILD</x:v>
      </x:c>
      <x:c r="F33" s="47" t="str">
        <x:v>I03</x:v>
      </x:c>
      <x:c r="G33" s="47" t="str">
        <x:v>Interface, receiver and residual</x:v>
      </x:c>
      <x:c r="H33" s="47" t="str">
        <x:v>free-surface, trim, custody and littoral exchange: same interface obligations and terminal dispositions</x:v>
      </x:c>
      <x:c r="I33" s="56" t="n">
        <x:v>0</x:v>
      </x:c>
      <x:c r="J33" s="56" t="n">
        <x:v>0</x:v>
      </x:c>
      <x:c r="K33" s="47" t="str">
        <x:f>IF(AND(I33=1,J33=1),"SEMANTIC MATCH","OPEN")</x:f>
        <x:v>OPEN</x:v>
      </x:c>
      <x:c r="L33" s="47" t="str">
        <x:f>IF(K33="SEMANTIC MATCH","NO—DESIGN REPRODUCIBILITY ONLY","NONE")</x:f>
        <x:v>NONE</x:v>
      </x:c>
      <x:c r="M33" s="84"/>
      <x:c r="N33" s="84"/>
    </x:row>
    <x:row r="34">
      <x:c r="A34" s="47" t="str">
        <x:v>IG028</x:v>
      </x:c>
      <x:c r="B34" s="47" t="str">
        <x:v>P05</x:v>
      </x:c>
      <x:c r="C34" s="47" t="str">
        <x:v>ET-A</x:v>
      </x:c>
      <x:c r="D34" s="47" t="str">
        <x:v>ET-A-A</x:v>
      </x:c>
      <x:c r="E34" s="47" t="str">
        <x:v>REBUILD</x:v>
      </x:c>
      <x:c r="F34" s="47" t="str">
        <x:v>I04</x:v>
      </x:c>
      <x:c r="G34" s="47" t="str">
        <x:v>Safe state and protected subject</x:v>
      </x:c>
      <x:c r="H34" s="47" t="str">
        <x:v>free-surface, trim, custody and littoral exchange: same protected subject, harm threshold and safe state</x:v>
      </x:c>
      <x:c r="I34" s="56" t="n">
        <x:v>0</x:v>
      </x:c>
      <x:c r="J34" s="56" t="n">
        <x:v>0</x:v>
      </x:c>
      <x:c r="K34" s="47" t="str">
        <x:f>IF(AND(I34=1,J34=1),"SEMANTIC MATCH","OPEN")</x:f>
        <x:v>OPEN</x:v>
      </x:c>
      <x:c r="L34" s="47" t="str">
        <x:f>IF(K34="SEMANTIC MATCH","NO—DESIGN REPRODUCIBILITY ONLY","NONE")</x:f>
        <x:v>NONE</x:v>
      </x:c>
      <x:c r="M34" s="84"/>
      <x:c r="N34" s="84"/>
    </x:row>
    <x:row r="35">
      <x:c r="A35" s="47" t="str">
        <x:v>IG029</x:v>
      </x:c>
      <x:c r="B35" s="47" t="str">
        <x:v>P05</x:v>
      </x:c>
      <x:c r="C35" s="47" t="str">
        <x:v>ET-A</x:v>
      </x:c>
      <x:c r="D35" s="47" t="str">
        <x:v>ET-A-A</x:v>
      </x:c>
      <x:c r="E35" s="47" t="str">
        <x:v>REBUILD</x:v>
      </x:c>
      <x:c r="F35" s="47" t="str">
        <x:v>I05</x:v>
      </x:c>
      <x:c r="G35" s="47" t="str">
        <x:v>Uncertainty and sensitivity</x:v>
      </x:c>
      <x:c r="H35" s="47" t="str">
        <x:v>free-surface, trim, custody and littoral exchange: same uncertainty classes and adverse-direction test</x:v>
      </x:c>
      <x:c r="I35" s="56" t="n">
        <x:v>0</x:v>
      </x:c>
      <x:c r="J35" s="56" t="n">
        <x:v>0</x:v>
      </x:c>
      <x:c r="K35" s="47" t="str">
        <x:f>IF(AND(I35=1,J35=1),"SEMANTIC MATCH","OPEN")</x:f>
        <x:v>OPEN</x:v>
      </x:c>
      <x:c r="L35" s="47" t="str">
        <x:f>IF(K35="SEMANTIC MATCH","NO—DESIGN REPRODUCIBILITY ONLY","NONE")</x:f>
        <x:v>NONE</x:v>
      </x:c>
      <x:c r="M35" s="84"/>
      <x:c r="N35" s="84"/>
    </x:row>
    <x:row r="36">
      <x:c r="A36" s="47" t="str">
        <x:v>IG030</x:v>
      </x:c>
      <x:c r="B36" s="47" t="str">
        <x:v>P05</x:v>
      </x:c>
      <x:c r="C36" s="47" t="str">
        <x:v>ET-A</x:v>
      </x:c>
      <x:c r="D36" s="47" t="str">
        <x:v>ET-A-A</x:v>
      </x:c>
      <x:c r="E36" s="47" t="str">
        <x:v>REBUILD</x:v>
      </x:c>
      <x:c r="F36" s="47" t="str">
        <x:v>I06</x:v>
      </x:c>
      <x:c r="G36" s="47" t="str">
        <x:v>Rebuild and supersession</x:v>
      </x:c>
      <x:c r="H36" s="47" t="str">
        <x:v>free-surface, trim, custody and littoral exchange: same acceptance, expiry, divergence and lineage law</x:v>
      </x:c>
      <x:c r="I36" s="56" t="n">
        <x:v>0</x:v>
      </x:c>
      <x:c r="J36" s="56" t="n">
        <x:v>0</x:v>
      </x:c>
      <x:c r="K36" s="47" t="str">
        <x:f>IF(AND(I36=1,J36=1),"SEMANTIC MATCH","OPEN")</x:f>
        <x:v>OPEN</x:v>
      </x:c>
      <x:c r="L36" s="47" t="str">
        <x:f>IF(K36="SEMANTIC MATCH","NO—DESIGN REPRODUCIBILITY ONLY","NONE")</x:f>
        <x:v>NONE</x:v>
      </x:c>
      <x:c r="M36" s="84"/>
      <x:c r="N36" s="84"/>
    </x:row>
    <x:row r="37">
      <x:c r="A37" s="47" t="str">
        <x:v>IG031</x:v>
      </x:c>
      <x:c r="B37" s="47" t="str">
        <x:v>P06</x:v>
      </x:c>
      <x:c r="C37" s="47" t="str">
        <x:v>CT-C</x:v>
      </x:c>
      <x:c r="D37" s="47" t="str">
        <x:v>CT-C-B</x:v>
      </x:c>
      <x:c r="E37" s="47" t="str">
        <x:v>METHOD</x:v>
      </x:c>
      <x:c r="F37" s="47" t="str">
        <x:v>I01</x:v>
      </x:c>
      <x:c r="G37" s="47" t="str">
        <x:v>Identity and boundary</x:v>
      </x:c>
      <x:c r="H37" s="47" t="str">
        <x:v>load path, utility insertion, egress and occupied edge: same configuration, system boundary and declared world</x:v>
      </x:c>
      <x:c r="I37" s="56" t="n">
        <x:v>0</x:v>
      </x:c>
      <x:c r="J37" s="56" t="n">
        <x:v>0</x:v>
      </x:c>
      <x:c r="K37" s="47" t="str">
        <x:f>IF(AND(I37=1,J37=1),"SEMANTIC MATCH","OPEN")</x:f>
        <x:v>OPEN</x:v>
      </x:c>
      <x:c r="L37" s="47" t="str">
        <x:f>IF(K37="SEMANTIC MATCH","NO—DESIGN REPRODUCIBILITY ONLY","NONE")</x:f>
        <x:v>NONE</x:v>
      </x:c>
      <x:c r="M37" s="84"/>
      <x:c r="N37" s="84"/>
    </x:row>
    <x:row r="38">
      <x:c r="A38" s="47" t="str">
        <x:v>IG032</x:v>
      </x:c>
      <x:c r="B38" s="47" t="str">
        <x:v>P06</x:v>
      </x:c>
      <x:c r="C38" s="47" t="str">
        <x:v>CT-C</x:v>
      </x:c>
      <x:c r="D38" s="47" t="str">
        <x:v>CT-C-B</x:v>
      </x:c>
      <x:c r="E38" s="47" t="str">
        <x:v>METHOD</x:v>
      </x:c>
      <x:c r="F38" s="47" t="str">
        <x:v>I02</x:v>
      </x:c>
      <x:c r="G38" s="47" t="str">
        <x:v>Conservation and causal closure</x:v>
      </x:c>
      <x:c r="H38" s="47" t="str">
        <x:v>load path, utility insertion, egress and occupied edge: same conserved accounts and causal direction</x:v>
      </x:c>
      <x:c r="I38" s="56" t="n">
        <x:v>0</x:v>
      </x:c>
      <x:c r="J38" s="56" t="n">
        <x:v>0</x:v>
      </x:c>
      <x:c r="K38" s="47" t="str">
        <x:f>IF(AND(I38=1,J38=1),"SEMANTIC MATCH","OPEN")</x:f>
        <x:v>OPEN</x:v>
      </x:c>
      <x:c r="L38" s="47" t="str">
        <x:f>IF(K38="SEMANTIC MATCH","NO—DESIGN REPRODUCIBILITY ONLY","NONE")</x:f>
        <x:v>NONE</x:v>
      </x:c>
      <x:c r="M38" s="84"/>
      <x:c r="N38" s="84"/>
    </x:row>
    <x:row r="39">
      <x:c r="A39" s="47" t="str">
        <x:v>IG033</x:v>
      </x:c>
      <x:c r="B39" s="47" t="str">
        <x:v>P06</x:v>
      </x:c>
      <x:c r="C39" s="47" t="str">
        <x:v>CT-C</x:v>
      </x:c>
      <x:c r="D39" s="47" t="str">
        <x:v>CT-C-B</x:v>
      </x:c>
      <x:c r="E39" s="47" t="str">
        <x:v>METHOD</x:v>
      </x:c>
      <x:c r="F39" s="47" t="str">
        <x:v>I03</x:v>
      </x:c>
      <x:c r="G39" s="47" t="str">
        <x:v>Interface, receiver and residual</x:v>
      </x:c>
      <x:c r="H39" s="47" t="str">
        <x:v>load path, utility insertion, egress and occupied edge: same interface obligations and terminal dispositions</x:v>
      </x:c>
      <x:c r="I39" s="56" t="n">
        <x:v>0</x:v>
      </x:c>
      <x:c r="J39" s="56" t="n">
        <x:v>0</x:v>
      </x:c>
      <x:c r="K39" s="47" t="str">
        <x:f>IF(AND(I39=1,J39=1),"SEMANTIC MATCH","OPEN")</x:f>
        <x:v>OPEN</x:v>
      </x:c>
      <x:c r="L39" s="47" t="str">
        <x:f>IF(K39="SEMANTIC MATCH","NO—DESIGN REPRODUCIBILITY ONLY","NONE")</x:f>
        <x:v>NONE</x:v>
      </x:c>
      <x:c r="M39" s="84"/>
      <x:c r="N39" s="84"/>
    </x:row>
    <x:row r="40">
      <x:c r="A40" s="47" t="str">
        <x:v>IG034</x:v>
      </x:c>
      <x:c r="B40" s="47" t="str">
        <x:v>P06</x:v>
      </x:c>
      <x:c r="C40" s="47" t="str">
        <x:v>CT-C</x:v>
      </x:c>
      <x:c r="D40" s="47" t="str">
        <x:v>CT-C-B</x:v>
      </x:c>
      <x:c r="E40" s="47" t="str">
        <x:v>METHOD</x:v>
      </x:c>
      <x:c r="F40" s="47" t="str">
        <x:v>I04</x:v>
      </x:c>
      <x:c r="G40" s="47" t="str">
        <x:v>Safe state and protected subject</x:v>
      </x:c>
      <x:c r="H40" s="47" t="str">
        <x:v>load path, utility insertion, egress and occupied edge: same protected subject, harm threshold and safe state</x:v>
      </x:c>
      <x:c r="I40" s="56" t="n">
        <x:v>0</x:v>
      </x:c>
      <x:c r="J40" s="56" t="n">
        <x:v>0</x:v>
      </x:c>
      <x:c r="K40" s="47" t="str">
        <x:f>IF(AND(I40=1,J40=1),"SEMANTIC MATCH","OPEN")</x:f>
        <x:v>OPEN</x:v>
      </x:c>
      <x:c r="L40" s="47" t="str">
        <x:f>IF(K40="SEMANTIC MATCH","NO—DESIGN REPRODUCIBILITY ONLY","NONE")</x:f>
        <x:v>NONE</x:v>
      </x:c>
      <x:c r="M40" s="84"/>
      <x:c r="N40" s="84"/>
    </x:row>
    <x:row r="41">
      <x:c r="A41" s="47" t="str">
        <x:v>IG035</x:v>
      </x:c>
      <x:c r="B41" s="47" t="str">
        <x:v>P06</x:v>
      </x:c>
      <x:c r="C41" s="47" t="str">
        <x:v>CT-C</x:v>
      </x:c>
      <x:c r="D41" s="47" t="str">
        <x:v>CT-C-B</x:v>
      </x:c>
      <x:c r="E41" s="47" t="str">
        <x:v>METHOD</x:v>
      </x:c>
      <x:c r="F41" s="47" t="str">
        <x:v>I05</x:v>
      </x:c>
      <x:c r="G41" s="47" t="str">
        <x:v>Uncertainty and sensitivity</x:v>
      </x:c>
      <x:c r="H41" s="47" t="str">
        <x:v>load path, utility insertion, egress and occupied edge: same uncertainty classes and adverse-direction test</x:v>
      </x:c>
      <x:c r="I41" s="56" t="n">
        <x:v>0</x:v>
      </x:c>
      <x:c r="J41" s="56" t="n">
        <x:v>0</x:v>
      </x:c>
      <x:c r="K41" s="47" t="str">
        <x:f>IF(AND(I41=1,J41=1),"SEMANTIC MATCH","OPEN")</x:f>
        <x:v>OPEN</x:v>
      </x:c>
      <x:c r="L41" s="47" t="str">
        <x:f>IF(K41="SEMANTIC MATCH","NO—DESIGN REPRODUCIBILITY ONLY","NONE")</x:f>
        <x:v>NONE</x:v>
      </x:c>
      <x:c r="M41" s="84"/>
      <x:c r="N41" s="84"/>
    </x:row>
    <x:row r="42">
      <x:c r="A42" s="47" t="str">
        <x:v>IG036</x:v>
      </x:c>
      <x:c r="B42" s="47" t="str">
        <x:v>P06</x:v>
      </x:c>
      <x:c r="C42" s="47" t="str">
        <x:v>CT-C</x:v>
      </x:c>
      <x:c r="D42" s="47" t="str">
        <x:v>CT-C-B</x:v>
      </x:c>
      <x:c r="E42" s="47" t="str">
        <x:v>METHOD</x:v>
      </x:c>
      <x:c r="F42" s="47" t="str">
        <x:v>I06</x:v>
      </x:c>
      <x:c r="G42" s="47" t="str">
        <x:v>Rebuild and supersession</x:v>
      </x:c>
      <x:c r="H42" s="47" t="str">
        <x:v>load path, utility insertion, egress and occupied edge: same acceptance, expiry, divergence and lineage law</x:v>
      </x:c>
      <x:c r="I42" s="56" t="n">
        <x:v>0</x:v>
      </x:c>
      <x:c r="J42" s="56" t="n">
        <x:v>0</x:v>
      </x:c>
      <x:c r="K42" s="47" t="str">
        <x:f>IF(AND(I42=1,J42=1),"SEMANTIC MATCH","OPEN")</x:f>
        <x:v>OPEN</x:v>
      </x:c>
      <x:c r="L42" s="47" t="str">
        <x:f>IF(K42="SEMANTIC MATCH","NO—DESIGN REPRODUCIBILITY ONLY","NONE")</x:f>
        <x:v>NONE</x:v>
      </x:c>
      <x:c r="M42" s="84"/>
      <x:c r="N42" s="84"/>
    </x:row>
    <x:row r="43">
      <x:c r="A43" s="47" t="str">
        <x:v>IG037</x:v>
      </x:c>
      <x:c r="B43" s="47" t="str">
        <x:v>P07</x:v>
      </x:c>
      <x:c r="C43" s="47" t="str">
        <x:v>CT-C</x:v>
      </x:c>
      <x:c r="D43" s="47" t="str">
        <x:v>CT-C-B</x:v>
      </x:c>
      <x:c r="E43" s="47" t="str">
        <x:v>VALID</x:v>
      </x:c>
      <x:c r="F43" s="47" t="str">
        <x:v>I01</x:v>
      </x:c>
      <x:c r="G43" s="47" t="str">
        <x:v>Identity and boundary</x:v>
      </x:c>
      <x:c r="H43" s="47" t="str">
        <x:v>load path, utility insertion, egress and occupied edge: same configuration, system boundary and declared world</x:v>
      </x:c>
      <x:c r="I43" s="56" t="n">
        <x:v>0</x:v>
      </x:c>
      <x:c r="J43" s="56" t="n">
        <x:v>0</x:v>
      </x:c>
      <x:c r="K43" s="47" t="str">
        <x:f>IF(AND(I43=1,J43=1),"SEMANTIC MATCH","OPEN")</x:f>
        <x:v>OPEN</x:v>
      </x:c>
      <x:c r="L43" s="47" t="str">
        <x:f>IF(K43="SEMANTIC MATCH","NO—DESIGN REPRODUCIBILITY ONLY","NONE")</x:f>
        <x:v>NONE</x:v>
      </x:c>
      <x:c r="M43" s="84"/>
      <x:c r="N43" s="84"/>
    </x:row>
    <x:row r="44">
      <x:c r="A44" s="47" t="str">
        <x:v>IG038</x:v>
      </x:c>
      <x:c r="B44" s="47" t="str">
        <x:v>P07</x:v>
      </x:c>
      <x:c r="C44" s="47" t="str">
        <x:v>CT-C</x:v>
      </x:c>
      <x:c r="D44" s="47" t="str">
        <x:v>CT-C-B</x:v>
      </x:c>
      <x:c r="E44" s="47" t="str">
        <x:v>VALID</x:v>
      </x:c>
      <x:c r="F44" s="47" t="str">
        <x:v>I02</x:v>
      </x:c>
      <x:c r="G44" s="47" t="str">
        <x:v>Conservation and causal closure</x:v>
      </x:c>
      <x:c r="H44" s="47" t="str">
        <x:v>load path, utility insertion, egress and occupied edge: same conserved accounts and causal direction</x:v>
      </x:c>
      <x:c r="I44" s="56" t="n">
        <x:v>0</x:v>
      </x:c>
      <x:c r="J44" s="56" t="n">
        <x:v>0</x:v>
      </x:c>
      <x:c r="K44" s="47" t="str">
        <x:f>IF(AND(I44=1,J44=1),"SEMANTIC MATCH","OPEN")</x:f>
        <x:v>OPEN</x:v>
      </x:c>
      <x:c r="L44" s="47" t="str">
        <x:f>IF(K44="SEMANTIC MATCH","NO—DESIGN REPRODUCIBILITY ONLY","NONE")</x:f>
        <x:v>NONE</x:v>
      </x:c>
      <x:c r="M44" s="84"/>
      <x:c r="N44" s="84"/>
    </x:row>
    <x:row r="45">
      <x:c r="A45" s="47" t="str">
        <x:v>IG039</x:v>
      </x:c>
      <x:c r="B45" s="47" t="str">
        <x:v>P07</x:v>
      </x:c>
      <x:c r="C45" s="47" t="str">
        <x:v>CT-C</x:v>
      </x:c>
      <x:c r="D45" s="47" t="str">
        <x:v>CT-C-B</x:v>
      </x:c>
      <x:c r="E45" s="47" t="str">
        <x:v>VALID</x:v>
      </x:c>
      <x:c r="F45" s="47" t="str">
        <x:v>I03</x:v>
      </x:c>
      <x:c r="G45" s="47" t="str">
        <x:v>Interface, receiver and residual</x:v>
      </x:c>
      <x:c r="H45" s="47" t="str">
        <x:v>load path, utility insertion, egress and occupied edge: same interface obligations and terminal dispositions</x:v>
      </x:c>
      <x:c r="I45" s="56" t="n">
        <x:v>0</x:v>
      </x:c>
      <x:c r="J45" s="56" t="n">
        <x:v>0</x:v>
      </x:c>
      <x:c r="K45" s="47" t="str">
        <x:f>IF(AND(I45=1,J45=1),"SEMANTIC MATCH","OPEN")</x:f>
        <x:v>OPEN</x:v>
      </x:c>
      <x:c r="L45" s="47" t="str">
        <x:f>IF(K45="SEMANTIC MATCH","NO—DESIGN REPRODUCIBILITY ONLY","NONE")</x:f>
        <x:v>NONE</x:v>
      </x:c>
      <x:c r="M45" s="84"/>
      <x:c r="N45" s="84"/>
    </x:row>
    <x:row r="46">
      <x:c r="A46" s="47" t="str">
        <x:v>IG040</x:v>
      </x:c>
      <x:c r="B46" s="47" t="str">
        <x:v>P07</x:v>
      </x:c>
      <x:c r="C46" s="47" t="str">
        <x:v>CT-C</x:v>
      </x:c>
      <x:c r="D46" s="47" t="str">
        <x:v>CT-C-B</x:v>
      </x:c>
      <x:c r="E46" s="47" t="str">
        <x:v>VALID</x:v>
      </x:c>
      <x:c r="F46" s="47" t="str">
        <x:v>I04</x:v>
      </x:c>
      <x:c r="G46" s="47" t="str">
        <x:v>Safe state and protected subject</x:v>
      </x:c>
      <x:c r="H46" s="47" t="str">
        <x:v>load path, utility insertion, egress and occupied edge: same protected subject, harm threshold and safe state</x:v>
      </x:c>
      <x:c r="I46" s="56" t="n">
        <x:v>0</x:v>
      </x:c>
      <x:c r="J46" s="56" t="n">
        <x:v>0</x:v>
      </x:c>
      <x:c r="K46" s="47" t="str">
        <x:f>IF(AND(I46=1,J46=1),"SEMANTIC MATCH","OPEN")</x:f>
        <x:v>OPEN</x:v>
      </x:c>
      <x:c r="L46" s="47" t="str">
        <x:f>IF(K46="SEMANTIC MATCH","NO—DESIGN REPRODUCIBILITY ONLY","NONE")</x:f>
        <x:v>NONE</x:v>
      </x:c>
      <x:c r="M46" s="84"/>
      <x:c r="N46" s="84"/>
    </x:row>
    <x:row r="47">
      <x:c r="A47" s="47" t="str">
        <x:v>IG041</x:v>
      </x:c>
      <x:c r="B47" s="47" t="str">
        <x:v>P07</x:v>
      </x:c>
      <x:c r="C47" s="47" t="str">
        <x:v>CT-C</x:v>
      </x:c>
      <x:c r="D47" s="47" t="str">
        <x:v>CT-C-B</x:v>
      </x:c>
      <x:c r="E47" s="47" t="str">
        <x:v>VALID</x:v>
      </x:c>
      <x:c r="F47" s="47" t="str">
        <x:v>I05</x:v>
      </x:c>
      <x:c r="G47" s="47" t="str">
        <x:v>Uncertainty and sensitivity</x:v>
      </x:c>
      <x:c r="H47" s="47" t="str">
        <x:v>load path, utility insertion, egress and occupied edge: same uncertainty classes and adverse-direction test</x:v>
      </x:c>
      <x:c r="I47" s="56" t="n">
        <x:v>0</x:v>
      </x:c>
      <x:c r="J47" s="56" t="n">
        <x:v>0</x:v>
      </x:c>
      <x:c r="K47" s="47" t="str">
        <x:f>IF(AND(I47=1,J47=1),"SEMANTIC MATCH","OPEN")</x:f>
        <x:v>OPEN</x:v>
      </x:c>
      <x:c r="L47" s="47" t="str">
        <x:f>IF(K47="SEMANTIC MATCH","NO—DESIGN REPRODUCIBILITY ONLY","NONE")</x:f>
        <x:v>NONE</x:v>
      </x:c>
      <x:c r="M47" s="84"/>
      <x:c r="N47" s="84"/>
    </x:row>
    <x:row r="48">
      <x:c r="A48" s="47" t="str">
        <x:v>IG042</x:v>
      </x:c>
      <x:c r="B48" s="47" t="str">
        <x:v>P07</x:v>
      </x:c>
      <x:c r="C48" s="47" t="str">
        <x:v>CT-C</x:v>
      </x:c>
      <x:c r="D48" s="47" t="str">
        <x:v>CT-C-B</x:v>
      </x:c>
      <x:c r="E48" s="47" t="str">
        <x:v>VALID</x:v>
      </x:c>
      <x:c r="F48" s="47" t="str">
        <x:v>I06</x:v>
      </x:c>
      <x:c r="G48" s="47" t="str">
        <x:v>Rebuild and supersession</x:v>
      </x:c>
      <x:c r="H48" s="47" t="str">
        <x:v>load path, utility insertion, egress and occupied edge: same acceptance, expiry, divergence and lineage law</x:v>
      </x:c>
      <x:c r="I48" s="56" t="n">
        <x:v>0</x:v>
      </x:c>
      <x:c r="J48" s="56" t="n">
        <x:v>0</x:v>
      </x:c>
      <x:c r="K48" s="47" t="str">
        <x:f>IF(AND(I48=1,J48=1),"SEMANTIC MATCH","OPEN")</x:f>
        <x:v>OPEN</x:v>
      </x:c>
      <x:c r="L48" s="47" t="str">
        <x:f>IF(K48="SEMANTIC MATCH","NO—DESIGN REPRODUCIBILITY ONLY","NONE")</x:f>
        <x:v>NONE</x:v>
      </x:c>
      <x:c r="M48" s="84"/>
      <x:c r="N48" s="84"/>
    </x:row>
    <x:row r="49">
      <x:c r="A49" s="47" t="str">
        <x:v>IG043</x:v>
      </x:c>
      <x:c r="B49" s="47" t="str">
        <x:v>P08</x:v>
      </x:c>
      <x:c r="C49" s="47" t="str">
        <x:v>CT-C</x:v>
      </x:c>
      <x:c r="D49" s="47" t="str">
        <x:v>CT-C-B</x:v>
      </x:c>
      <x:c r="E49" s="47" t="str">
        <x:v>CIVIL</x:v>
      </x:c>
      <x:c r="F49" s="47" t="str">
        <x:v>I01</x:v>
      </x:c>
      <x:c r="G49" s="47" t="str">
        <x:v>Identity and boundary</x:v>
      </x:c>
      <x:c r="H49" s="47" t="str">
        <x:v>load path, utility insertion, egress and occupied edge: same configuration, system boundary and declared world</x:v>
      </x:c>
      <x:c r="I49" s="56" t="n">
        <x:v>0</x:v>
      </x:c>
      <x:c r="J49" s="56" t="n">
        <x:v>0</x:v>
      </x:c>
      <x:c r="K49" s="47" t="str">
        <x:f>IF(AND(I49=1,J49=1),"SEMANTIC MATCH","OPEN")</x:f>
        <x:v>OPEN</x:v>
      </x:c>
      <x:c r="L49" s="47" t="str">
        <x:f>IF(K49="SEMANTIC MATCH","NO—DESIGN REPRODUCIBILITY ONLY","NONE")</x:f>
        <x:v>NONE</x:v>
      </x:c>
      <x:c r="M49" s="84"/>
      <x:c r="N49" s="84"/>
    </x:row>
    <x:row r="50">
      <x:c r="A50" s="47" t="str">
        <x:v>IG044</x:v>
      </x:c>
      <x:c r="B50" s="47" t="str">
        <x:v>P08</x:v>
      </x:c>
      <x:c r="C50" s="47" t="str">
        <x:v>CT-C</x:v>
      </x:c>
      <x:c r="D50" s="47" t="str">
        <x:v>CT-C-B</x:v>
      </x:c>
      <x:c r="E50" s="47" t="str">
        <x:v>CIVIL</x:v>
      </x:c>
      <x:c r="F50" s="47" t="str">
        <x:v>I02</x:v>
      </x:c>
      <x:c r="G50" s="47" t="str">
        <x:v>Conservation and causal closure</x:v>
      </x:c>
      <x:c r="H50" s="47" t="str">
        <x:v>load path, utility insertion, egress and occupied edge: same conserved accounts and causal direction</x:v>
      </x:c>
      <x:c r="I50" s="56" t="n">
        <x:v>0</x:v>
      </x:c>
      <x:c r="J50" s="56" t="n">
        <x:v>0</x:v>
      </x:c>
      <x:c r="K50" s="47" t="str">
        <x:f>IF(AND(I50=1,J50=1),"SEMANTIC MATCH","OPEN")</x:f>
        <x:v>OPEN</x:v>
      </x:c>
      <x:c r="L50" s="47" t="str">
        <x:f>IF(K50="SEMANTIC MATCH","NO—DESIGN REPRODUCIBILITY ONLY","NONE")</x:f>
        <x:v>NONE</x:v>
      </x:c>
      <x:c r="M50" s="84"/>
      <x:c r="N50" s="84"/>
    </x:row>
    <x:row r="51">
      <x:c r="A51" s="47" t="str">
        <x:v>IG045</x:v>
      </x:c>
      <x:c r="B51" s="47" t="str">
        <x:v>P08</x:v>
      </x:c>
      <x:c r="C51" s="47" t="str">
        <x:v>CT-C</x:v>
      </x:c>
      <x:c r="D51" s="47" t="str">
        <x:v>CT-C-B</x:v>
      </x:c>
      <x:c r="E51" s="47" t="str">
        <x:v>CIVIL</x:v>
      </x:c>
      <x:c r="F51" s="47" t="str">
        <x:v>I03</x:v>
      </x:c>
      <x:c r="G51" s="47" t="str">
        <x:v>Interface, receiver and residual</x:v>
      </x:c>
      <x:c r="H51" s="47" t="str">
        <x:v>load path, utility insertion, egress and occupied edge: same interface obligations and terminal dispositions</x:v>
      </x:c>
      <x:c r="I51" s="56" t="n">
        <x:v>0</x:v>
      </x:c>
      <x:c r="J51" s="56" t="n">
        <x:v>0</x:v>
      </x:c>
      <x:c r="K51" s="47" t="str">
        <x:f>IF(AND(I51=1,J51=1),"SEMANTIC MATCH","OPEN")</x:f>
        <x:v>OPEN</x:v>
      </x:c>
      <x:c r="L51" s="47" t="str">
        <x:f>IF(K51="SEMANTIC MATCH","NO—DESIGN REPRODUCIBILITY ONLY","NONE")</x:f>
        <x:v>NONE</x:v>
      </x:c>
      <x:c r="M51" s="84"/>
      <x:c r="N51" s="84"/>
    </x:row>
    <x:row r="52">
      <x:c r="A52" s="47" t="str">
        <x:v>IG046</x:v>
      </x:c>
      <x:c r="B52" s="47" t="str">
        <x:v>P08</x:v>
      </x:c>
      <x:c r="C52" s="47" t="str">
        <x:v>CT-C</x:v>
      </x:c>
      <x:c r="D52" s="47" t="str">
        <x:v>CT-C-B</x:v>
      </x:c>
      <x:c r="E52" s="47" t="str">
        <x:v>CIVIL</x:v>
      </x:c>
      <x:c r="F52" s="47" t="str">
        <x:v>I04</x:v>
      </x:c>
      <x:c r="G52" s="47" t="str">
        <x:v>Safe state and protected subject</x:v>
      </x:c>
      <x:c r="H52" s="47" t="str">
        <x:v>load path, utility insertion, egress and occupied edge: same protected subject, harm threshold and safe state</x:v>
      </x:c>
      <x:c r="I52" s="56" t="n">
        <x:v>0</x:v>
      </x:c>
      <x:c r="J52" s="56" t="n">
        <x:v>0</x:v>
      </x:c>
      <x:c r="K52" s="47" t="str">
        <x:f>IF(AND(I52=1,J52=1),"SEMANTIC MATCH","OPEN")</x:f>
        <x:v>OPEN</x:v>
      </x:c>
      <x:c r="L52" s="47" t="str">
        <x:f>IF(K52="SEMANTIC MATCH","NO—DESIGN REPRODUCIBILITY ONLY","NONE")</x:f>
        <x:v>NONE</x:v>
      </x:c>
      <x:c r="M52" s="84"/>
      <x:c r="N52" s="84"/>
    </x:row>
    <x:row r="53">
      <x:c r="A53" s="47" t="str">
        <x:v>IG047</x:v>
      </x:c>
      <x:c r="B53" s="47" t="str">
        <x:v>P08</x:v>
      </x:c>
      <x:c r="C53" s="47" t="str">
        <x:v>CT-C</x:v>
      </x:c>
      <x:c r="D53" s="47" t="str">
        <x:v>CT-C-B</x:v>
      </x:c>
      <x:c r="E53" s="47" t="str">
        <x:v>CIVIL</x:v>
      </x:c>
      <x:c r="F53" s="47" t="str">
        <x:v>I05</x:v>
      </x:c>
      <x:c r="G53" s="47" t="str">
        <x:v>Uncertainty and sensitivity</x:v>
      </x:c>
      <x:c r="H53" s="47" t="str">
        <x:v>load path, utility insertion, egress and occupied edge: same uncertainty classes and adverse-direction test</x:v>
      </x:c>
      <x:c r="I53" s="56" t="n">
        <x:v>0</x:v>
      </x:c>
      <x:c r="J53" s="56" t="n">
        <x:v>0</x:v>
      </x:c>
      <x:c r="K53" s="47" t="str">
        <x:f>IF(AND(I53=1,J53=1),"SEMANTIC MATCH","OPEN")</x:f>
        <x:v>OPEN</x:v>
      </x:c>
      <x:c r="L53" s="47" t="str">
        <x:f>IF(K53="SEMANTIC MATCH","NO—DESIGN REPRODUCIBILITY ONLY","NONE")</x:f>
        <x:v>NONE</x:v>
      </x:c>
      <x:c r="M53" s="84"/>
      <x:c r="N53" s="84"/>
    </x:row>
    <x:row r="54">
      <x:c r="A54" s="47" t="str">
        <x:v>IG048</x:v>
      </x:c>
      <x:c r="B54" s="47" t="str">
        <x:v>P08</x:v>
      </x:c>
      <x:c r="C54" s="47" t="str">
        <x:v>CT-C</x:v>
      </x:c>
      <x:c r="D54" s="47" t="str">
        <x:v>CT-C-B</x:v>
      </x:c>
      <x:c r="E54" s="47" t="str">
        <x:v>CIVIL</x:v>
      </x:c>
      <x:c r="F54" s="47" t="str">
        <x:v>I06</x:v>
      </x:c>
      <x:c r="G54" s="47" t="str">
        <x:v>Rebuild and supersession</x:v>
      </x:c>
      <x:c r="H54" s="47" t="str">
        <x:v>load path, utility insertion, egress and occupied edge: same acceptance, expiry, divergence and lineage law</x:v>
      </x:c>
      <x:c r="I54" s="56" t="n">
        <x:v>0</x:v>
      </x:c>
      <x:c r="J54" s="56" t="n">
        <x:v>0</x:v>
      </x:c>
      <x:c r="K54" s="47" t="str">
        <x:f>IF(AND(I54=1,J54=1),"SEMANTIC MATCH","OPEN")</x:f>
        <x:v>OPEN</x:v>
      </x:c>
      <x:c r="L54" s="47" t="str">
        <x:f>IF(K54="SEMANTIC MATCH","NO—DESIGN REPRODUCIBILITY ONLY","NONE")</x:f>
        <x:v>NONE</x:v>
      </x:c>
      <x:c r="M54" s="84"/>
      <x:c r="N54" s="84"/>
    </x:row>
    <x:row r="55">
      <x:c r="A55" s="47" t="str">
        <x:v>IG049</x:v>
      </x:c>
      <x:c r="B55" s="47" t="str">
        <x:v>P09</x:v>
      </x:c>
      <x:c r="C55" s="47" t="str">
        <x:v>CT-C</x:v>
      </x:c>
      <x:c r="D55" s="47" t="str">
        <x:v>CT-C-B</x:v>
      </x:c>
      <x:c r="E55" s="47" t="str">
        <x:v>ARTICLE</x:v>
      </x:c>
      <x:c r="F55" s="47" t="str">
        <x:v>I01</x:v>
      </x:c>
      <x:c r="G55" s="47" t="str">
        <x:v>Identity and boundary</x:v>
      </x:c>
      <x:c r="H55" s="47" t="str">
        <x:v>load path, utility insertion, egress and occupied edge: same configuration, system boundary and declared world</x:v>
      </x:c>
      <x:c r="I55" s="56" t="n">
        <x:v>0</x:v>
      </x:c>
      <x:c r="J55" s="56" t="n">
        <x:v>0</x:v>
      </x:c>
      <x:c r="K55" s="47" t="str">
        <x:f>IF(AND(I55=1,J55=1),"SEMANTIC MATCH","OPEN")</x:f>
        <x:v>OPEN</x:v>
      </x:c>
      <x:c r="L55" s="47" t="str">
        <x:f>IF(K55="SEMANTIC MATCH","NO—DESIGN REPRODUCIBILITY ONLY","NONE")</x:f>
        <x:v>NONE</x:v>
      </x:c>
      <x:c r="M55" s="84"/>
      <x:c r="N55" s="84"/>
    </x:row>
    <x:row r="56">
      <x:c r="A56" s="47" t="str">
        <x:v>IG050</x:v>
      </x:c>
      <x:c r="B56" s="47" t="str">
        <x:v>P09</x:v>
      </x:c>
      <x:c r="C56" s="47" t="str">
        <x:v>CT-C</x:v>
      </x:c>
      <x:c r="D56" s="47" t="str">
        <x:v>CT-C-B</x:v>
      </x:c>
      <x:c r="E56" s="47" t="str">
        <x:v>ARTICLE</x:v>
      </x:c>
      <x:c r="F56" s="47" t="str">
        <x:v>I02</x:v>
      </x:c>
      <x:c r="G56" s="47" t="str">
        <x:v>Conservation and causal closure</x:v>
      </x:c>
      <x:c r="H56" s="47" t="str">
        <x:v>load path, utility insertion, egress and occupied edge: same conserved accounts and causal direction</x:v>
      </x:c>
      <x:c r="I56" s="56" t="n">
        <x:v>0</x:v>
      </x:c>
      <x:c r="J56" s="56" t="n">
        <x:v>0</x:v>
      </x:c>
      <x:c r="K56" s="47" t="str">
        <x:f>IF(AND(I56=1,J56=1),"SEMANTIC MATCH","OPEN")</x:f>
        <x:v>OPEN</x:v>
      </x:c>
      <x:c r="L56" s="47" t="str">
        <x:f>IF(K56="SEMANTIC MATCH","NO—DESIGN REPRODUCIBILITY ONLY","NONE")</x:f>
        <x:v>NONE</x:v>
      </x:c>
      <x:c r="M56" s="84"/>
      <x:c r="N56" s="84"/>
    </x:row>
    <x:row r="57">
      <x:c r="A57" s="47" t="str">
        <x:v>IG051</x:v>
      </x:c>
      <x:c r="B57" s="47" t="str">
        <x:v>P09</x:v>
      </x:c>
      <x:c r="C57" s="47" t="str">
        <x:v>CT-C</x:v>
      </x:c>
      <x:c r="D57" s="47" t="str">
        <x:v>CT-C-B</x:v>
      </x:c>
      <x:c r="E57" s="47" t="str">
        <x:v>ARTICLE</x:v>
      </x:c>
      <x:c r="F57" s="47" t="str">
        <x:v>I03</x:v>
      </x:c>
      <x:c r="G57" s="47" t="str">
        <x:v>Interface, receiver and residual</x:v>
      </x:c>
      <x:c r="H57" s="47" t="str">
        <x:v>load path, utility insertion, egress and occupied edge: same interface obligations and terminal dispositions</x:v>
      </x:c>
      <x:c r="I57" s="56" t="n">
        <x:v>0</x:v>
      </x:c>
      <x:c r="J57" s="56" t="n">
        <x:v>0</x:v>
      </x:c>
      <x:c r="K57" s="47" t="str">
        <x:f>IF(AND(I57=1,J57=1),"SEMANTIC MATCH","OPEN")</x:f>
        <x:v>OPEN</x:v>
      </x:c>
      <x:c r="L57" s="47" t="str">
        <x:f>IF(K57="SEMANTIC MATCH","NO—DESIGN REPRODUCIBILITY ONLY","NONE")</x:f>
        <x:v>NONE</x:v>
      </x:c>
      <x:c r="M57" s="84"/>
      <x:c r="N57" s="84"/>
    </x:row>
    <x:row r="58">
      <x:c r="A58" s="47" t="str">
        <x:v>IG052</x:v>
      </x:c>
      <x:c r="B58" s="47" t="str">
        <x:v>P09</x:v>
      </x:c>
      <x:c r="C58" s="47" t="str">
        <x:v>CT-C</x:v>
      </x:c>
      <x:c r="D58" s="47" t="str">
        <x:v>CT-C-B</x:v>
      </x:c>
      <x:c r="E58" s="47" t="str">
        <x:v>ARTICLE</x:v>
      </x:c>
      <x:c r="F58" s="47" t="str">
        <x:v>I04</x:v>
      </x:c>
      <x:c r="G58" s="47" t="str">
        <x:v>Safe state and protected subject</x:v>
      </x:c>
      <x:c r="H58" s="47" t="str">
        <x:v>load path, utility insertion, egress and occupied edge: same protected subject, harm threshold and safe state</x:v>
      </x:c>
      <x:c r="I58" s="56" t="n">
        <x:v>0</x:v>
      </x:c>
      <x:c r="J58" s="56" t="n">
        <x:v>0</x:v>
      </x:c>
      <x:c r="K58" s="47" t="str">
        <x:f>IF(AND(I58=1,J58=1),"SEMANTIC MATCH","OPEN")</x:f>
        <x:v>OPEN</x:v>
      </x:c>
      <x:c r="L58" s="47" t="str">
        <x:f>IF(K58="SEMANTIC MATCH","NO—DESIGN REPRODUCIBILITY ONLY","NONE")</x:f>
        <x:v>NONE</x:v>
      </x:c>
      <x:c r="M58" s="84"/>
      <x:c r="N58" s="84"/>
    </x:row>
    <x:row r="59">
      <x:c r="A59" s="47" t="str">
        <x:v>IG053</x:v>
      </x:c>
      <x:c r="B59" s="47" t="str">
        <x:v>P09</x:v>
      </x:c>
      <x:c r="C59" s="47" t="str">
        <x:v>CT-C</x:v>
      </x:c>
      <x:c r="D59" s="47" t="str">
        <x:v>CT-C-B</x:v>
      </x:c>
      <x:c r="E59" s="47" t="str">
        <x:v>ARTICLE</x:v>
      </x:c>
      <x:c r="F59" s="47" t="str">
        <x:v>I05</x:v>
      </x:c>
      <x:c r="G59" s="47" t="str">
        <x:v>Uncertainty and sensitivity</x:v>
      </x:c>
      <x:c r="H59" s="47" t="str">
        <x:v>load path, utility insertion, egress and occupied edge: same uncertainty classes and adverse-direction test</x:v>
      </x:c>
      <x:c r="I59" s="56" t="n">
        <x:v>0</x:v>
      </x:c>
      <x:c r="J59" s="56" t="n">
        <x:v>0</x:v>
      </x:c>
      <x:c r="K59" s="47" t="str">
        <x:f>IF(AND(I59=1,J59=1),"SEMANTIC MATCH","OPEN")</x:f>
        <x:v>OPEN</x:v>
      </x:c>
      <x:c r="L59" s="47" t="str">
        <x:f>IF(K59="SEMANTIC MATCH","NO—DESIGN REPRODUCIBILITY ONLY","NONE")</x:f>
        <x:v>NONE</x:v>
      </x:c>
      <x:c r="M59" s="84"/>
      <x:c r="N59" s="84"/>
    </x:row>
    <x:row r="60">
      <x:c r="A60" s="47" t="str">
        <x:v>IG054</x:v>
      </x:c>
      <x:c r="B60" s="47" t="str">
        <x:v>P09</x:v>
      </x:c>
      <x:c r="C60" s="47" t="str">
        <x:v>CT-C</x:v>
      </x:c>
      <x:c r="D60" s="47" t="str">
        <x:v>CT-C-B</x:v>
      </x:c>
      <x:c r="E60" s="47" t="str">
        <x:v>ARTICLE</x:v>
      </x:c>
      <x:c r="F60" s="47" t="str">
        <x:v>I06</x:v>
      </x:c>
      <x:c r="G60" s="47" t="str">
        <x:v>Rebuild and supersession</x:v>
      </x:c>
      <x:c r="H60" s="47" t="str">
        <x:v>load path, utility insertion, egress and occupied edge: same acceptance, expiry, divergence and lineage law</x:v>
      </x:c>
      <x:c r="I60" s="56" t="n">
        <x:v>0</x:v>
      </x:c>
      <x:c r="J60" s="56" t="n">
        <x:v>0</x:v>
      </x:c>
      <x:c r="K60" s="47" t="str">
        <x:f>IF(AND(I60=1,J60=1),"SEMANTIC MATCH","OPEN")</x:f>
        <x:v>OPEN</x:v>
      </x:c>
      <x:c r="L60" s="47" t="str">
        <x:f>IF(K60="SEMANTIC MATCH","NO—DESIGN REPRODUCIBILITY ONLY","NONE")</x:f>
        <x:v>NONE</x:v>
      </x:c>
      <x:c r="M60" s="84"/>
      <x:c r="N60" s="84"/>
    </x:row>
    <x:row r="61">
      <x:c r="A61" s="47" t="str">
        <x:v>IG055</x:v>
      </x:c>
      <x:c r="B61" s="47" t="str">
        <x:v>P10</x:v>
      </x:c>
      <x:c r="C61" s="47" t="str">
        <x:v>CT-C</x:v>
      </x:c>
      <x:c r="D61" s="47" t="str">
        <x:v>CT-C-B</x:v>
      </x:c>
      <x:c r="E61" s="47" t="str">
        <x:v>REBUILD</x:v>
      </x:c>
      <x:c r="F61" s="47" t="str">
        <x:v>I01</x:v>
      </x:c>
      <x:c r="G61" s="47" t="str">
        <x:v>Identity and boundary</x:v>
      </x:c>
      <x:c r="H61" s="47" t="str">
        <x:v>load path, utility insertion, egress and occupied edge: same configuration, system boundary and declared world</x:v>
      </x:c>
      <x:c r="I61" s="56" t="n">
        <x:v>0</x:v>
      </x:c>
      <x:c r="J61" s="56" t="n">
        <x:v>0</x:v>
      </x:c>
      <x:c r="K61" s="47" t="str">
        <x:f>IF(AND(I61=1,J61=1),"SEMANTIC MATCH","OPEN")</x:f>
        <x:v>OPEN</x:v>
      </x:c>
      <x:c r="L61" s="47" t="str">
        <x:f>IF(K61="SEMANTIC MATCH","NO—DESIGN REPRODUCIBILITY ONLY","NONE")</x:f>
        <x:v>NONE</x:v>
      </x:c>
      <x:c r="M61" s="84"/>
      <x:c r="N61" s="84"/>
    </x:row>
    <x:row r="62">
      <x:c r="A62" s="47" t="str">
        <x:v>IG056</x:v>
      </x:c>
      <x:c r="B62" s="47" t="str">
        <x:v>P10</x:v>
      </x:c>
      <x:c r="C62" s="47" t="str">
        <x:v>CT-C</x:v>
      </x:c>
      <x:c r="D62" s="47" t="str">
        <x:v>CT-C-B</x:v>
      </x:c>
      <x:c r="E62" s="47" t="str">
        <x:v>REBUILD</x:v>
      </x:c>
      <x:c r="F62" s="47" t="str">
        <x:v>I02</x:v>
      </x:c>
      <x:c r="G62" s="47" t="str">
        <x:v>Conservation and causal closure</x:v>
      </x:c>
      <x:c r="H62" s="47" t="str">
        <x:v>load path, utility insertion, egress and occupied edge: same conserved accounts and causal direction</x:v>
      </x:c>
      <x:c r="I62" s="56" t="n">
        <x:v>0</x:v>
      </x:c>
      <x:c r="J62" s="56" t="n">
        <x:v>0</x:v>
      </x:c>
      <x:c r="K62" s="47" t="str">
        <x:f>IF(AND(I62=1,J62=1),"SEMANTIC MATCH","OPEN")</x:f>
        <x:v>OPEN</x:v>
      </x:c>
      <x:c r="L62" s="47" t="str">
        <x:f>IF(K62="SEMANTIC MATCH","NO—DESIGN REPRODUCIBILITY ONLY","NONE")</x:f>
        <x:v>NONE</x:v>
      </x:c>
      <x:c r="M62" s="84"/>
      <x:c r="N62" s="84"/>
    </x:row>
    <x:row r="63">
      <x:c r="A63" s="47" t="str">
        <x:v>IG057</x:v>
      </x:c>
      <x:c r="B63" s="47" t="str">
        <x:v>P10</x:v>
      </x:c>
      <x:c r="C63" s="47" t="str">
        <x:v>CT-C</x:v>
      </x:c>
      <x:c r="D63" s="47" t="str">
        <x:v>CT-C-B</x:v>
      </x:c>
      <x:c r="E63" s="47" t="str">
        <x:v>REBUILD</x:v>
      </x:c>
      <x:c r="F63" s="47" t="str">
        <x:v>I03</x:v>
      </x:c>
      <x:c r="G63" s="47" t="str">
        <x:v>Interface, receiver and residual</x:v>
      </x:c>
      <x:c r="H63" s="47" t="str">
        <x:v>load path, utility insertion, egress and occupied edge: same interface obligations and terminal dispositions</x:v>
      </x:c>
      <x:c r="I63" s="56" t="n">
        <x:v>0</x:v>
      </x:c>
      <x:c r="J63" s="56" t="n">
        <x:v>0</x:v>
      </x:c>
      <x:c r="K63" s="47" t="str">
        <x:f>IF(AND(I63=1,J63=1),"SEMANTIC MATCH","OPEN")</x:f>
        <x:v>OPEN</x:v>
      </x:c>
      <x:c r="L63" s="47" t="str">
        <x:f>IF(K63="SEMANTIC MATCH","NO—DESIGN REPRODUCIBILITY ONLY","NONE")</x:f>
        <x:v>NONE</x:v>
      </x:c>
      <x:c r="M63" s="84"/>
      <x:c r="N63" s="84"/>
    </x:row>
    <x:row r="64">
      <x:c r="A64" s="47" t="str">
        <x:v>IG058</x:v>
      </x:c>
      <x:c r="B64" s="47" t="str">
        <x:v>P10</x:v>
      </x:c>
      <x:c r="C64" s="47" t="str">
        <x:v>CT-C</x:v>
      </x:c>
      <x:c r="D64" s="47" t="str">
        <x:v>CT-C-B</x:v>
      </x:c>
      <x:c r="E64" s="47" t="str">
        <x:v>REBUILD</x:v>
      </x:c>
      <x:c r="F64" s="47" t="str">
        <x:v>I04</x:v>
      </x:c>
      <x:c r="G64" s="47" t="str">
        <x:v>Safe state and protected subject</x:v>
      </x:c>
      <x:c r="H64" s="47" t="str">
        <x:v>load path, utility insertion, egress and occupied edge: same protected subject, harm threshold and safe state</x:v>
      </x:c>
      <x:c r="I64" s="56" t="n">
        <x:v>0</x:v>
      </x:c>
      <x:c r="J64" s="56" t="n">
        <x:v>0</x:v>
      </x:c>
      <x:c r="K64" s="47" t="str">
        <x:f>IF(AND(I64=1,J64=1),"SEMANTIC MATCH","OPEN")</x:f>
        <x:v>OPEN</x:v>
      </x:c>
      <x:c r="L64" s="47" t="str">
        <x:f>IF(K64="SEMANTIC MATCH","NO—DESIGN REPRODUCIBILITY ONLY","NONE")</x:f>
        <x:v>NONE</x:v>
      </x:c>
      <x:c r="M64" s="84"/>
      <x:c r="N64" s="84"/>
    </x:row>
    <x:row r="65">
      <x:c r="A65" s="47" t="str">
        <x:v>IG059</x:v>
      </x:c>
      <x:c r="B65" s="47" t="str">
        <x:v>P10</x:v>
      </x:c>
      <x:c r="C65" s="47" t="str">
        <x:v>CT-C</x:v>
      </x:c>
      <x:c r="D65" s="47" t="str">
        <x:v>CT-C-B</x:v>
      </x:c>
      <x:c r="E65" s="47" t="str">
        <x:v>REBUILD</x:v>
      </x:c>
      <x:c r="F65" s="47" t="str">
        <x:v>I05</x:v>
      </x:c>
      <x:c r="G65" s="47" t="str">
        <x:v>Uncertainty and sensitivity</x:v>
      </x:c>
      <x:c r="H65" s="47" t="str">
        <x:v>load path, utility insertion, egress and occupied edge: same uncertainty classes and adverse-direction test</x:v>
      </x:c>
      <x:c r="I65" s="56" t="n">
        <x:v>0</x:v>
      </x:c>
      <x:c r="J65" s="56" t="n">
        <x:v>0</x:v>
      </x:c>
      <x:c r="K65" s="47" t="str">
        <x:f>IF(AND(I65=1,J65=1),"SEMANTIC MATCH","OPEN")</x:f>
        <x:v>OPEN</x:v>
      </x:c>
      <x:c r="L65" s="47" t="str">
        <x:f>IF(K65="SEMANTIC MATCH","NO—DESIGN REPRODUCIBILITY ONLY","NONE")</x:f>
        <x:v>NONE</x:v>
      </x:c>
      <x:c r="M65" s="84"/>
      <x:c r="N65" s="84"/>
    </x:row>
    <x:row r="66">
      <x:c r="A66" s="47" t="str">
        <x:v>IG060</x:v>
      </x:c>
      <x:c r="B66" s="47" t="str">
        <x:v>P10</x:v>
      </x:c>
      <x:c r="C66" s="47" t="str">
        <x:v>CT-C</x:v>
      </x:c>
      <x:c r="D66" s="47" t="str">
        <x:v>CT-C-B</x:v>
      </x:c>
      <x:c r="E66" s="47" t="str">
        <x:v>REBUILD</x:v>
      </x:c>
      <x:c r="F66" s="47" t="str">
        <x:v>I06</x:v>
      </x:c>
      <x:c r="G66" s="47" t="str">
        <x:v>Rebuild and supersession</x:v>
      </x:c>
      <x:c r="H66" s="47" t="str">
        <x:v>load path, utility insertion, egress and occupied edge: same acceptance, expiry, divergence and lineage law</x:v>
      </x:c>
      <x:c r="I66" s="56" t="n">
        <x:v>0</x:v>
      </x:c>
      <x:c r="J66" s="56" t="n">
        <x:v>0</x:v>
      </x:c>
      <x:c r="K66" s="47" t="str">
        <x:f>IF(AND(I66=1,J66=1),"SEMANTIC MATCH","OPEN")</x:f>
        <x:v>OPEN</x:v>
      </x:c>
      <x:c r="L66" s="47" t="str">
        <x:f>IF(K66="SEMANTIC MATCH","NO—DESIGN REPRODUCIBILITY ONLY","NONE")</x:f>
        <x:v>NONE</x:v>
      </x:c>
      <x:c r="M66" s="84"/>
      <x:c r="N66" s="84"/>
    </x:row>
    <x:row r="67">
      <x:c r="A67" s="47" t="str">
        <x:v>IG061</x:v>
      </x:c>
      <x:c r="B67" s="47" t="str">
        <x:v>P11</x:v>
      </x:c>
      <x:c r="C67" s="47" t="str">
        <x:v>HC-A</x:v>
      </x:c>
      <x:c r="D67" s="47" t="str">
        <x:v>HC-A-C</x:v>
      </x:c>
      <x:c r="E67" s="47" t="str">
        <x:v>METHOD</x:v>
      </x:c>
      <x:c r="F67" s="47" t="str">
        <x:v>I01</x:v>
      </x:c>
      <x:c r="G67" s="47" t="str">
        <x:v>Identity and boundary</x:v>
      </x:c>
      <x:c r="H67" s="47" t="str">
        <x:v>dispersion, control volume, attribution and downwind receptor: same configuration, system boundary and declared world</x:v>
      </x:c>
      <x:c r="I67" s="56" t="n">
        <x:v>0</x:v>
      </x:c>
      <x:c r="J67" s="56" t="n">
        <x:v>0</x:v>
      </x:c>
      <x:c r="K67" s="47" t="str">
        <x:f>IF(AND(I67=1,J67=1),"SEMANTIC MATCH","OPEN")</x:f>
        <x:v>OPEN</x:v>
      </x:c>
      <x:c r="L67" s="47" t="str">
        <x:f>IF(K67="SEMANTIC MATCH","NO—DESIGN REPRODUCIBILITY ONLY","NONE")</x:f>
        <x:v>NONE</x:v>
      </x:c>
      <x:c r="M67" s="84"/>
      <x:c r="N67" s="84"/>
    </x:row>
    <x:row r="68">
      <x:c r="A68" s="47" t="str">
        <x:v>IG062</x:v>
      </x:c>
      <x:c r="B68" s="47" t="str">
        <x:v>P11</x:v>
      </x:c>
      <x:c r="C68" s="47" t="str">
        <x:v>HC-A</x:v>
      </x:c>
      <x:c r="D68" s="47" t="str">
        <x:v>HC-A-C</x:v>
      </x:c>
      <x:c r="E68" s="47" t="str">
        <x:v>METHOD</x:v>
      </x:c>
      <x:c r="F68" s="47" t="str">
        <x:v>I02</x:v>
      </x:c>
      <x:c r="G68" s="47" t="str">
        <x:v>Conservation and causal closure</x:v>
      </x:c>
      <x:c r="H68" s="47" t="str">
        <x:v>dispersion, control volume, attribution and downwind receptor: same conserved accounts and causal direction</x:v>
      </x:c>
      <x:c r="I68" s="56" t="n">
        <x:v>0</x:v>
      </x:c>
      <x:c r="J68" s="56" t="n">
        <x:v>0</x:v>
      </x:c>
      <x:c r="K68" s="47" t="str">
        <x:f>IF(AND(I68=1,J68=1),"SEMANTIC MATCH","OPEN")</x:f>
        <x:v>OPEN</x:v>
      </x:c>
      <x:c r="L68" s="47" t="str">
        <x:f>IF(K68="SEMANTIC MATCH","NO—DESIGN REPRODUCIBILITY ONLY","NONE")</x:f>
        <x:v>NONE</x:v>
      </x:c>
      <x:c r="M68" s="84"/>
      <x:c r="N68" s="84"/>
    </x:row>
    <x:row r="69">
      <x:c r="A69" s="47" t="str">
        <x:v>IG063</x:v>
      </x:c>
      <x:c r="B69" s="47" t="str">
        <x:v>P11</x:v>
      </x:c>
      <x:c r="C69" s="47" t="str">
        <x:v>HC-A</x:v>
      </x:c>
      <x:c r="D69" s="47" t="str">
        <x:v>HC-A-C</x:v>
      </x:c>
      <x:c r="E69" s="47" t="str">
        <x:v>METHOD</x:v>
      </x:c>
      <x:c r="F69" s="47" t="str">
        <x:v>I03</x:v>
      </x:c>
      <x:c r="G69" s="47" t="str">
        <x:v>Interface, receiver and residual</x:v>
      </x:c>
      <x:c r="H69" s="47" t="str">
        <x:v>dispersion, control volume, attribution and downwind receptor: same interface obligations and terminal dispositions</x:v>
      </x:c>
      <x:c r="I69" s="56" t="n">
        <x:v>0</x:v>
      </x:c>
      <x:c r="J69" s="56" t="n">
        <x:v>0</x:v>
      </x:c>
      <x:c r="K69" s="47" t="str">
        <x:f>IF(AND(I69=1,J69=1),"SEMANTIC MATCH","OPEN")</x:f>
        <x:v>OPEN</x:v>
      </x:c>
      <x:c r="L69" s="47" t="str">
        <x:f>IF(K69="SEMANTIC MATCH","NO—DESIGN REPRODUCIBILITY ONLY","NONE")</x:f>
        <x:v>NONE</x:v>
      </x:c>
      <x:c r="M69" s="84"/>
      <x:c r="N69" s="84"/>
    </x:row>
    <x:row r="70">
      <x:c r="A70" s="47" t="str">
        <x:v>IG064</x:v>
      </x:c>
      <x:c r="B70" s="47" t="str">
        <x:v>P11</x:v>
      </x:c>
      <x:c r="C70" s="47" t="str">
        <x:v>HC-A</x:v>
      </x:c>
      <x:c r="D70" s="47" t="str">
        <x:v>HC-A-C</x:v>
      </x:c>
      <x:c r="E70" s="47" t="str">
        <x:v>METHOD</x:v>
      </x:c>
      <x:c r="F70" s="47" t="str">
        <x:v>I04</x:v>
      </x:c>
      <x:c r="G70" s="47" t="str">
        <x:v>Safe state and protected subject</x:v>
      </x:c>
      <x:c r="H70" s="47" t="str">
        <x:v>dispersion, control volume, attribution and downwind receptor: same protected subject, harm threshold and safe state</x:v>
      </x:c>
      <x:c r="I70" s="56" t="n">
        <x:v>0</x:v>
      </x:c>
      <x:c r="J70" s="56" t="n">
        <x:v>0</x:v>
      </x:c>
      <x:c r="K70" s="47" t="str">
        <x:f>IF(AND(I70=1,J70=1),"SEMANTIC MATCH","OPEN")</x:f>
        <x:v>OPEN</x:v>
      </x:c>
      <x:c r="L70" s="47" t="str">
        <x:f>IF(K70="SEMANTIC MATCH","NO—DESIGN REPRODUCIBILITY ONLY","NONE")</x:f>
        <x:v>NONE</x:v>
      </x:c>
      <x:c r="M70" s="84"/>
      <x:c r="N70" s="84"/>
    </x:row>
    <x:row r="71">
      <x:c r="A71" s="47" t="str">
        <x:v>IG065</x:v>
      </x:c>
      <x:c r="B71" s="47" t="str">
        <x:v>P11</x:v>
      </x:c>
      <x:c r="C71" s="47" t="str">
        <x:v>HC-A</x:v>
      </x:c>
      <x:c r="D71" s="47" t="str">
        <x:v>HC-A-C</x:v>
      </x:c>
      <x:c r="E71" s="47" t="str">
        <x:v>METHOD</x:v>
      </x:c>
      <x:c r="F71" s="47" t="str">
        <x:v>I05</x:v>
      </x:c>
      <x:c r="G71" s="47" t="str">
        <x:v>Uncertainty and sensitivity</x:v>
      </x:c>
      <x:c r="H71" s="47" t="str">
        <x:v>dispersion, control volume, attribution and downwind receptor: same uncertainty classes and adverse-direction test</x:v>
      </x:c>
      <x:c r="I71" s="56" t="n">
        <x:v>0</x:v>
      </x:c>
      <x:c r="J71" s="56" t="n">
        <x:v>0</x:v>
      </x:c>
      <x:c r="K71" s="47" t="str">
        <x:f>IF(AND(I71=1,J71=1),"SEMANTIC MATCH","OPEN")</x:f>
        <x:v>OPEN</x:v>
      </x:c>
      <x:c r="L71" s="47" t="str">
        <x:f>IF(K71="SEMANTIC MATCH","NO—DESIGN REPRODUCIBILITY ONLY","NONE")</x:f>
        <x:v>NONE</x:v>
      </x:c>
      <x:c r="M71" s="84"/>
      <x:c r="N71" s="84"/>
    </x:row>
    <x:row r="72">
      <x:c r="A72" s="47" t="str">
        <x:v>IG066</x:v>
      </x:c>
      <x:c r="B72" s="47" t="str">
        <x:v>P11</x:v>
      </x:c>
      <x:c r="C72" s="47" t="str">
        <x:v>HC-A</x:v>
      </x:c>
      <x:c r="D72" s="47" t="str">
        <x:v>HC-A-C</x:v>
      </x:c>
      <x:c r="E72" s="47" t="str">
        <x:v>METHOD</x:v>
      </x:c>
      <x:c r="F72" s="47" t="str">
        <x:v>I06</x:v>
      </x:c>
      <x:c r="G72" s="47" t="str">
        <x:v>Rebuild and supersession</x:v>
      </x:c>
      <x:c r="H72" s="47" t="str">
        <x:v>dispersion, control volume, attribution and downwind receptor: same acceptance, expiry, divergence and lineage law</x:v>
      </x:c>
      <x:c r="I72" s="56" t="n">
        <x:v>0</x:v>
      </x:c>
      <x:c r="J72" s="56" t="n">
        <x:v>0</x:v>
      </x:c>
      <x:c r="K72" s="47" t="str">
        <x:f>IF(AND(I72=1,J72=1),"SEMANTIC MATCH","OPEN")</x:f>
        <x:v>OPEN</x:v>
      </x:c>
      <x:c r="L72" s="47" t="str">
        <x:f>IF(K72="SEMANTIC MATCH","NO—DESIGN REPRODUCIBILITY ONLY","NONE")</x:f>
        <x:v>NONE</x:v>
      </x:c>
      <x:c r="M72" s="84"/>
      <x:c r="N72" s="84"/>
    </x:row>
    <x:row r="73">
      <x:c r="A73" s="47" t="str">
        <x:v>IG067</x:v>
      </x:c>
      <x:c r="B73" s="47" t="str">
        <x:v>P12</x:v>
      </x:c>
      <x:c r="C73" s="47" t="str">
        <x:v>HC-A</x:v>
      </x:c>
      <x:c r="D73" s="47" t="str">
        <x:v>HC-A-C</x:v>
      </x:c>
      <x:c r="E73" s="47" t="str">
        <x:v>VALID</x:v>
      </x:c>
      <x:c r="F73" s="47" t="str">
        <x:v>I01</x:v>
      </x:c>
      <x:c r="G73" s="47" t="str">
        <x:v>Identity and boundary</x:v>
      </x:c>
      <x:c r="H73" s="47" t="str">
        <x:v>dispersion, control volume, attribution and downwind receptor: same configuration, system boundary and declared world</x:v>
      </x:c>
      <x:c r="I73" s="56" t="n">
        <x:v>0</x:v>
      </x:c>
      <x:c r="J73" s="56" t="n">
        <x:v>0</x:v>
      </x:c>
      <x:c r="K73" s="47" t="str">
        <x:f>IF(AND(I73=1,J73=1),"SEMANTIC MATCH","OPEN")</x:f>
        <x:v>OPEN</x:v>
      </x:c>
      <x:c r="L73" s="47" t="str">
        <x:f>IF(K73="SEMANTIC MATCH","NO—DESIGN REPRODUCIBILITY ONLY","NONE")</x:f>
        <x:v>NONE</x:v>
      </x:c>
      <x:c r="M73" s="84"/>
      <x:c r="N73" s="84"/>
    </x:row>
    <x:row r="74">
      <x:c r="A74" s="47" t="str">
        <x:v>IG068</x:v>
      </x:c>
      <x:c r="B74" s="47" t="str">
        <x:v>P12</x:v>
      </x:c>
      <x:c r="C74" s="47" t="str">
        <x:v>HC-A</x:v>
      </x:c>
      <x:c r="D74" s="47" t="str">
        <x:v>HC-A-C</x:v>
      </x:c>
      <x:c r="E74" s="47" t="str">
        <x:v>VALID</x:v>
      </x:c>
      <x:c r="F74" s="47" t="str">
        <x:v>I02</x:v>
      </x:c>
      <x:c r="G74" s="47" t="str">
        <x:v>Conservation and causal closure</x:v>
      </x:c>
      <x:c r="H74" s="47" t="str">
        <x:v>dispersion, control volume, attribution and downwind receptor: same conserved accounts and causal direction</x:v>
      </x:c>
      <x:c r="I74" s="56" t="n">
        <x:v>0</x:v>
      </x:c>
      <x:c r="J74" s="56" t="n">
        <x:v>0</x:v>
      </x:c>
      <x:c r="K74" s="47" t="str">
        <x:f>IF(AND(I74=1,J74=1),"SEMANTIC MATCH","OPEN")</x:f>
        <x:v>OPEN</x:v>
      </x:c>
      <x:c r="L74" s="47" t="str">
        <x:f>IF(K74="SEMANTIC MATCH","NO—DESIGN REPRODUCIBILITY ONLY","NONE")</x:f>
        <x:v>NONE</x:v>
      </x:c>
      <x:c r="M74" s="84"/>
      <x:c r="N74" s="84"/>
    </x:row>
    <x:row r="75">
      <x:c r="A75" s="47" t="str">
        <x:v>IG069</x:v>
      </x:c>
      <x:c r="B75" s="47" t="str">
        <x:v>P12</x:v>
      </x:c>
      <x:c r="C75" s="47" t="str">
        <x:v>HC-A</x:v>
      </x:c>
      <x:c r="D75" s="47" t="str">
        <x:v>HC-A-C</x:v>
      </x:c>
      <x:c r="E75" s="47" t="str">
        <x:v>VALID</x:v>
      </x:c>
      <x:c r="F75" s="47" t="str">
        <x:v>I03</x:v>
      </x:c>
      <x:c r="G75" s="47" t="str">
        <x:v>Interface, receiver and residual</x:v>
      </x:c>
      <x:c r="H75" s="47" t="str">
        <x:v>dispersion, control volume, attribution and downwind receptor: same interface obligations and terminal dispositions</x:v>
      </x:c>
      <x:c r="I75" s="56" t="n">
        <x:v>0</x:v>
      </x:c>
      <x:c r="J75" s="56" t="n">
        <x:v>0</x:v>
      </x:c>
      <x:c r="K75" s="47" t="str">
        <x:f>IF(AND(I75=1,J75=1),"SEMANTIC MATCH","OPEN")</x:f>
        <x:v>OPEN</x:v>
      </x:c>
      <x:c r="L75" s="47" t="str">
        <x:f>IF(K75="SEMANTIC MATCH","NO—DESIGN REPRODUCIBILITY ONLY","NONE")</x:f>
        <x:v>NONE</x:v>
      </x:c>
      <x:c r="M75" s="84"/>
      <x:c r="N75" s="84"/>
    </x:row>
    <x:row r="76">
      <x:c r="A76" s="47" t="str">
        <x:v>IG070</x:v>
      </x:c>
      <x:c r="B76" s="47" t="str">
        <x:v>P12</x:v>
      </x:c>
      <x:c r="C76" s="47" t="str">
        <x:v>HC-A</x:v>
      </x:c>
      <x:c r="D76" s="47" t="str">
        <x:v>HC-A-C</x:v>
      </x:c>
      <x:c r="E76" s="47" t="str">
        <x:v>VALID</x:v>
      </x:c>
      <x:c r="F76" s="47" t="str">
        <x:v>I04</x:v>
      </x:c>
      <x:c r="G76" s="47" t="str">
        <x:v>Safe state and protected subject</x:v>
      </x:c>
      <x:c r="H76" s="47" t="str">
        <x:v>dispersion, control volume, attribution and downwind receptor: same protected subject, harm threshold and safe state</x:v>
      </x:c>
      <x:c r="I76" s="56" t="n">
        <x:v>0</x:v>
      </x:c>
      <x:c r="J76" s="56" t="n">
        <x:v>0</x:v>
      </x:c>
      <x:c r="K76" s="47" t="str">
        <x:f>IF(AND(I76=1,J76=1),"SEMANTIC MATCH","OPEN")</x:f>
        <x:v>OPEN</x:v>
      </x:c>
      <x:c r="L76" s="47" t="str">
        <x:f>IF(K76="SEMANTIC MATCH","NO—DESIGN REPRODUCIBILITY ONLY","NONE")</x:f>
        <x:v>NONE</x:v>
      </x:c>
      <x:c r="M76" s="84"/>
      <x:c r="N76" s="84"/>
    </x:row>
    <x:row r="77">
      <x:c r="A77" s="47" t="str">
        <x:v>IG071</x:v>
      </x:c>
      <x:c r="B77" s="47" t="str">
        <x:v>P12</x:v>
      </x:c>
      <x:c r="C77" s="47" t="str">
        <x:v>HC-A</x:v>
      </x:c>
      <x:c r="D77" s="47" t="str">
        <x:v>HC-A-C</x:v>
      </x:c>
      <x:c r="E77" s="47" t="str">
        <x:v>VALID</x:v>
      </x:c>
      <x:c r="F77" s="47" t="str">
        <x:v>I05</x:v>
      </x:c>
      <x:c r="G77" s="47" t="str">
        <x:v>Uncertainty and sensitivity</x:v>
      </x:c>
      <x:c r="H77" s="47" t="str">
        <x:v>dispersion, control volume, attribution and downwind receptor: same uncertainty classes and adverse-direction test</x:v>
      </x:c>
      <x:c r="I77" s="56" t="n">
        <x:v>0</x:v>
      </x:c>
      <x:c r="J77" s="56" t="n">
        <x:v>0</x:v>
      </x:c>
      <x:c r="K77" s="47" t="str">
        <x:f>IF(AND(I77=1,J77=1),"SEMANTIC MATCH","OPEN")</x:f>
        <x:v>OPEN</x:v>
      </x:c>
      <x:c r="L77" s="47" t="str">
        <x:f>IF(K77="SEMANTIC MATCH","NO—DESIGN REPRODUCIBILITY ONLY","NONE")</x:f>
        <x:v>NONE</x:v>
      </x:c>
      <x:c r="M77" s="84"/>
      <x:c r="N77" s="84"/>
    </x:row>
    <x:row r="78">
      <x:c r="A78" s="47" t="str">
        <x:v>IG072</x:v>
      </x:c>
      <x:c r="B78" s="47" t="str">
        <x:v>P12</x:v>
      </x:c>
      <x:c r="C78" s="47" t="str">
        <x:v>HC-A</x:v>
      </x:c>
      <x:c r="D78" s="47" t="str">
        <x:v>HC-A-C</x:v>
      </x:c>
      <x:c r="E78" s="47" t="str">
        <x:v>VALID</x:v>
      </x:c>
      <x:c r="F78" s="47" t="str">
        <x:v>I06</x:v>
      </x:c>
      <x:c r="G78" s="47" t="str">
        <x:v>Rebuild and supersession</x:v>
      </x:c>
      <x:c r="H78" s="47" t="str">
        <x:v>dispersion, control volume, attribution and downwind receptor: same acceptance, expiry, divergence and lineage law</x:v>
      </x:c>
      <x:c r="I78" s="56" t="n">
        <x:v>0</x:v>
      </x:c>
      <x:c r="J78" s="56" t="n">
        <x:v>0</x:v>
      </x:c>
      <x:c r="K78" s="47" t="str">
        <x:f>IF(AND(I78=1,J78=1),"SEMANTIC MATCH","OPEN")</x:f>
        <x:v>OPEN</x:v>
      </x:c>
      <x:c r="L78" s="47" t="str">
        <x:f>IF(K78="SEMANTIC MATCH","NO—DESIGN REPRODUCIBILITY ONLY","NONE")</x:f>
        <x:v>NONE</x:v>
      </x:c>
      <x:c r="M78" s="84"/>
      <x:c r="N78" s="84"/>
    </x:row>
    <x:row r="79">
      <x:c r="A79" s="47" t="str">
        <x:v>IG073</x:v>
      </x:c>
      <x:c r="B79" s="47" t="str">
        <x:v>P13</x:v>
      </x:c>
      <x:c r="C79" s="47" t="str">
        <x:v>HC-A</x:v>
      </x:c>
      <x:c r="D79" s="47" t="str">
        <x:v>HC-A-C</x:v>
      </x:c>
      <x:c r="E79" s="47" t="str">
        <x:v>CIVIL</x:v>
      </x:c>
      <x:c r="F79" s="47" t="str">
        <x:v>I01</x:v>
      </x:c>
      <x:c r="G79" s="47" t="str">
        <x:v>Identity and boundary</x:v>
      </x:c>
      <x:c r="H79" s="47" t="str">
        <x:v>dispersion, control volume, attribution and downwind receptor: same configuration, system boundary and declared world</x:v>
      </x:c>
      <x:c r="I79" s="56" t="n">
        <x:v>0</x:v>
      </x:c>
      <x:c r="J79" s="56" t="n">
        <x:v>0</x:v>
      </x:c>
      <x:c r="K79" s="47" t="str">
        <x:f>IF(AND(I79=1,J79=1),"SEMANTIC MATCH","OPEN")</x:f>
        <x:v>OPEN</x:v>
      </x:c>
      <x:c r="L79" s="47" t="str">
        <x:f>IF(K79="SEMANTIC MATCH","NO—DESIGN REPRODUCIBILITY ONLY","NONE")</x:f>
        <x:v>NONE</x:v>
      </x:c>
      <x:c r="M79" s="84"/>
      <x:c r="N79" s="84"/>
    </x:row>
    <x:row r="80">
      <x:c r="A80" s="47" t="str">
        <x:v>IG074</x:v>
      </x:c>
      <x:c r="B80" s="47" t="str">
        <x:v>P13</x:v>
      </x:c>
      <x:c r="C80" s="47" t="str">
        <x:v>HC-A</x:v>
      </x:c>
      <x:c r="D80" s="47" t="str">
        <x:v>HC-A-C</x:v>
      </x:c>
      <x:c r="E80" s="47" t="str">
        <x:v>CIVIL</x:v>
      </x:c>
      <x:c r="F80" s="47" t="str">
        <x:v>I02</x:v>
      </x:c>
      <x:c r="G80" s="47" t="str">
        <x:v>Conservation and causal closure</x:v>
      </x:c>
      <x:c r="H80" s="47" t="str">
        <x:v>dispersion, control volume, attribution and downwind receptor: same conserved accounts and causal direction</x:v>
      </x:c>
      <x:c r="I80" s="56" t="n">
        <x:v>0</x:v>
      </x:c>
      <x:c r="J80" s="56" t="n">
        <x:v>0</x:v>
      </x:c>
      <x:c r="K80" s="47" t="str">
        <x:f>IF(AND(I80=1,J80=1),"SEMANTIC MATCH","OPEN")</x:f>
        <x:v>OPEN</x:v>
      </x:c>
      <x:c r="L80" s="47" t="str">
        <x:f>IF(K80="SEMANTIC MATCH","NO—DESIGN REPRODUCIBILITY ONLY","NONE")</x:f>
        <x:v>NONE</x:v>
      </x:c>
      <x:c r="M80" s="84"/>
      <x:c r="N80" s="84"/>
    </x:row>
    <x:row r="81">
      <x:c r="A81" s="47" t="str">
        <x:v>IG075</x:v>
      </x:c>
      <x:c r="B81" s="47" t="str">
        <x:v>P13</x:v>
      </x:c>
      <x:c r="C81" s="47" t="str">
        <x:v>HC-A</x:v>
      </x:c>
      <x:c r="D81" s="47" t="str">
        <x:v>HC-A-C</x:v>
      </x:c>
      <x:c r="E81" s="47" t="str">
        <x:v>CIVIL</x:v>
      </x:c>
      <x:c r="F81" s="47" t="str">
        <x:v>I03</x:v>
      </x:c>
      <x:c r="G81" s="47" t="str">
        <x:v>Interface, receiver and residual</x:v>
      </x:c>
      <x:c r="H81" s="47" t="str">
        <x:v>dispersion, control volume, attribution and downwind receptor: same interface obligations and terminal dispositions</x:v>
      </x:c>
      <x:c r="I81" s="56" t="n">
        <x:v>0</x:v>
      </x:c>
      <x:c r="J81" s="56" t="n">
        <x:v>0</x:v>
      </x:c>
      <x:c r="K81" s="47" t="str">
        <x:f>IF(AND(I81=1,J81=1),"SEMANTIC MATCH","OPEN")</x:f>
        <x:v>OPEN</x:v>
      </x:c>
      <x:c r="L81" s="47" t="str">
        <x:f>IF(K81="SEMANTIC MATCH","NO—DESIGN REPRODUCIBILITY ONLY","NONE")</x:f>
        <x:v>NONE</x:v>
      </x:c>
      <x:c r="M81" s="84"/>
      <x:c r="N81" s="84"/>
    </x:row>
    <x:row r="82">
      <x:c r="A82" s="47" t="str">
        <x:v>IG076</x:v>
      </x:c>
      <x:c r="B82" s="47" t="str">
        <x:v>P13</x:v>
      </x:c>
      <x:c r="C82" s="47" t="str">
        <x:v>HC-A</x:v>
      </x:c>
      <x:c r="D82" s="47" t="str">
        <x:v>HC-A-C</x:v>
      </x:c>
      <x:c r="E82" s="47" t="str">
        <x:v>CIVIL</x:v>
      </x:c>
      <x:c r="F82" s="47" t="str">
        <x:v>I04</x:v>
      </x:c>
      <x:c r="G82" s="47" t="str">
        <x:v>Safe state and protected subject</x:v>
      </x:c>
      <x:c r="H82" s="47" t="str">
        <x:v>dispersion, control volume, attribution and downwind receptor: same protected subject, harm threshold and safe state</x:v>
      </x:c>
      <x:c r="I82" s="56" t="n">
        <x:v>0</x:v>
      </x:c>
      <x:c r="J82" s="56" t="n">
        <x:v>0</x:v>
      </x:c>
      <x:c r="K82" s="47" t="str">
        <x:f>IF(AND(I82=1,J82=1),"SEMANTIC MATCH","OPEN")</x:f>
        <x:v>OPEN</x:v>
      </x:c>
      <x:c r="L82" s="47" t="str">
        <x:f>IF(K82="SEMANTIC MATCH","NO—DESIGN REPRODUCIBILITY ONLY","NONE")</x:f>
        <x:v>NONE</x:v>
      </x:c>
      <x:c r="M82" s="84"/>
      <x:c r="N82" s="84"/>
    </x:row>
    <x:row r="83">
      <x:c r="A83" s="47" t="str">
        <x:v>IG077</x:v>
      </x:c>
      <x:c r="B83" s="47" t="str">
        <x:v>P13</x:v>
      </x:c>
      <x:c r="C83" s="47" t="str">
        <x:v>HC-A</x:v>
      </x:c>
      <x:c r="D83" s="47" t="str">
        <x:v>HC-A-C</x:v>
      </x:c>
      <x:c r="E83" s="47" t="str">
        <x:v>CIVIL</x:v>
      </x:c>
      <x:c r="F83" s="47" t="str">
        <x:v>I05</x:v>
      </x:c>
      <x:c r="G83" s="47" t="str">
        <x:v>Uncertainty and sensitivity</x:v>
      </x:c>
      <x:c r="H83" s="47" t="str">
        <x:v>dispersion, control volume, attribution and downwind receptor: same uncertainty classes and adverse-direction test</x:v>
      </x:c>
      <x:c r="I83" s="56" t="n">
        <x:v>0</x:v>
      </x:c>
      <x:c r="J83" s="56" t="n">
        <x:v>0</x:v>
      </x:c>
      <x:c r="K83" s="47" t="str">
        <x:f>IF(AND(I83=1,J83=1),"SEMANTIC MATCH","OPEN")</x:f>
        <x:v>OPEN</x:v>
      </x:c>
      <x:c r="L83" s="47" t="str">
        <x:f>IF(K83="SEMANTIC MATCH","NO—DESIGN REPRODUCIBILITY ONLY","NONE")</x:f>
        <x:v>NONE</x:v>
      </x:c>
      <x:c r="M83" s="84"/>
      <x:c r="N83" s="84"/>
    </x:row>
    <x:row r="84">
      <x:c r="A84" s="47" t="str">
        <x:v>IG078</x:v>
      </x:c>
      <x:c r="B84" s="47" t="str">
        <x:v>P13</x:v>
      </x:c>
      <x:c r="C84" s="47" t="str">
        <x:v>HC-A</x:v>
      </x:c>
      <x:c r="D84" s="47" t="str">
        <x:v>HC-A-C</x:v>
      </x:c>
      <x:c r="E84" s="47" t="str">
        <x:v>CIVIL</x:v>
      </x:c>
      <x:c r="F84" s="47" t="str">
        <x:v>I06</x:v>
      </x:c>
      <x:c r="G84" s="47" t="str">
        <x:v>Rebuild and supersession</x:v>
      </x:c>
      <x:c r="H84" s="47" t="str">
        <x:v>dispersion, control volume, attribution and downwind receptor: same acceptance, expiry, divergence and lineage law</x:v>
      </x:c>
      <x:c r="I84" s="56" t="n">
        <x:v>0</x:v>
      </x:c>
      <x:c r="J84" s="56" t="n">
        <x:v>0</x:v>
      </x:c>
      <x:c r="K84" s="47" t="str">
        <x:f>IF(AND(I84=1,J84=1),"SEMANTIC MATCH","OPEN")</x:f>
        <x:v>OPEN</x:v>
      </x:c>
      <x:c r="L84" s="47" t="str">
        <x:f>IF(K84="SEMANTIC MATCH","NO—DESIGN REPRODUCIBILITY ONLY","NONE")</x:f>
        <x:v>NONE</x:v>
      </x:c>
      <x:c r="M84" s="84"/>
      <x:c r="N84" s="84"/>
    </x:row>
    <x:row r="85">
      <x:c r="A85" s="47" t="str">
        <x:v>IG079</x:v>
      </x:c>
      <x:c r="B85" s="47" t="str">
        <x:v>P14</x:v>
      </x:c>
      <x:c r="C85" s="47" t="str">
        <x:v>HC-A</x:v>
      </x:c>
      <x:c r="D85" s="47" t="str">
        <x:v>HC-A-C</x:v>
      </x:c>
      <x:c r="E85" s="47" t="str">
        <x:v>ARTICLE</x:v>
      </x:c>
      <x:c r="F85" s="47" t="str">
        <x:v>I01</x:v>
      </x:c>
      <x:c r="G85" s="47" t="str">
        <x:v>Identity and boundary</x:v>
      </x:c>
      <x:c r="H85" s="47" t="str">
        <x:v>dispersion, control volume, attribution and downwind receptor: same configuration, system boundary and declared world</x:v>
      </x:c>
      <x:c r="I85" s="56" t="n">
        <x:v>0</x:v>
      </x:c>
      <x:c r="J85" s="56" t="n">
        <x:v>0</x:v>
      </x:c>
      <x:c r="K85" s="47" t="str">
        <x:f>IF(AND(I85=1,J85=1),"SEMANTIC MATCH","OPEN")</x:f>
        <x:v>OPEN</x:v>
      </x:c>
      <x:c r="L85" s="47" t="str">
        <x:f>IF(K85="SEMANTIC MATCH","NO—DESIGN REPRODUCIBILITY ONLY","NONE")</x:f>
        <x:v>NONE</x:v>
      </x:c>
      <x:c r="M85" s="84"/>
      <x:c r="N85" s="84"/>
    </x:row>
    <x:row r="86">
      <x:c r="A86" s="47" t="str">
        <x:v>IG080</x:v>
      </x:c>
      <x:c r="B86" s="47" t="str">
        <x:v>P14</x:v>
      </x:c>
      <x:c r="C86" s="47" t="str">
        <x:v>HC-A</x:v>
      </x:c>
      <x:c r="D86" s="47" t="str">
        <x:v>HC-A-C</x:v>
      </x:c>
      <x:c r="E86" s="47" t="str">
        <x:v>ARTICLE</x:v>
      </x:c>
      <x:c r="F86" s="47" t="str">
        <x:v>I02</x:v>
      </x:c>
      <x:c r="G86" s="47" t="str">
        <x:v>Conservation and causal closure</x:v>
      </x:c>
      <x:c r="H86" s="47" t="str">
        <x:v>dispersion, control volume, attribution and downwind receptor: same conserved accounts and causal direction</x:v>
      </x:c>
      <x:c r="I86" s="56" t="n">
        <x:v>0</x:v>
      </x:c>
      <x:c r="J86" s="56" t="n">
        <x:v>0</x:v>
      </x:c>
      <x:c r="K86" s="47" t="str">
        <x:f>IF(AND(I86=1,J86=1),"SEMANTIC MATCH","OPEN")</x:f>
        <x:v>OPEN</x:v>
      </x:c>
      <x:c r="L86" s="47" t="str">
        <x:f>IF(K86="SEMANTIC MATCH","NO—DESIGN REPRODUCIBILITY ONLY","NONE")</x:f>
        <x:v>NONE</x:v>
      </x:c>
      <x:c r="M86" s="84"/>
      <x:c r="N86" s="84"/>
    </x:row>
    <x:row r="87">
      <x:c r="A87" s="47" t="str">
        <x:v>IG081</x:v>
      </x:c>
      <x:c r="B87" s="47" t="str">
        <x:v>P14</x:v>
      </x:c>
      <x:c r="C87" s="47" t="str">
        <x:v>HC-A</x:v>
      </x:c>
      <x:c r="D87" s="47" t="str">
        <x:v>HC-A-C</x:v>
      </x:c>
      <x:c r="E87" s="47" t="str">
        <x:v>ARTICLE</x:v>
      </x:c>
      <x:c r="F87" s="47" t="str">
        <x:v>I03</x:v>
      </x:c>
      <x:c r="G87" s="47" t="str">
        <x:v>Interface, receiver and residual</x:v>
      </x:c>
      <x:c r="H87" s="47" t="str">
        <x:v>dispersion, control volume, attribution and downwind receptor: same interface obligations and terminal dispositions</x:v>
      </x:c>
      <x:c r="I87" s="56" t="n">
        <x:v>0</x:v>
      </x:c>
      <x:c r="J87" s="56" t="n">
        <x:v>0</x:v>
      </x:c>
      <x:c r="K87" s="47" t="str">
        <x:f>IF(AND(I87=1,J87=1),"SEMANTIC MATCH","OPEN")</x:f>
        <x:v>OPEN</x:v>
      </x:c>
      <x:c r="L87" s="47" t="str">
        <x:f>IF(K87="SEMANTIC MATCH","NO—DESIGN REPRODUCIBILITY ONLY","NONE")</x:f>
        <x:v>NONE</x:v>
      </x:c>
      <x:c r="M87" s="84"/>
      <x:c r="N87" s="84"/>
    </x:row>
    <x:row r="88">
      <x:c r="A88" s="47" t="str">
        <x:v>IG082</x:v>
      </x:c>
      <x:c r="B88" s="47" t="str">
        <x:v>P14</x:v>
      </x:c>
      <x:c r="C88" s="47" t="str">
        <x:v>HC-A</x:v>
      </x:c>
      <x:c r="D88" s="47" t="str">
        <x:v>HC-A-C</x:v>
      </x:c>
      <x:c r="E88" s="47" t="str">
        <x:v>ARTICLE</x:v>
      </x:c>
      <x:c r="F88" s="47" t="str">
        <x:v>I04</x:v>
      </x:c>
      <x:c r="G88" s="47" t="str">
        <x:v>Safe state and protected subject</x:v>
      </x:c>
      <x:c r="H88" s="47" t="str">
        <x:v>dispersion, control volume, attribution and downwind receptor: same protected subject, harm threshold and safe state</x:v>
      </x:c>
      <x:c r="I88" s="56" t="n">
        <x:v>0</x:v>
      </x:c>
      <x:c r="J88" s="56" t="n">
        <x:v>0</x:v>
      </x:c>
      <x:c r="K88" s="47" t="str">
        <x:f>IF(AND(I88=1,J88=1),"SEMANTIC MATCH","OPEN")</x:f>
        <x:v>OPEN</x:v>
      </x:c>
      <x:c r="L88" s="47" t="str">
        <x:f>IF(K88="SEMANTIC MATCH","NO—DESIGN REPRODUCIBILITY ONLY","NONE")</x:f>
        <x:v>NONE</x:v>
      </x:c>
      <x:c r="M88" s="84"/>
      <x:c r="N88" s="84"/>
    </x:row>
    <x:row r="89">
      <x:c r="A89" s="47" t="str">
        <x:v>IG083</x:v>
      </x:c>
      <x:c r="B89" s="47" t="str">
        <x:v>P14</x:v>
      </x:c>
      <x:c r="C89" s="47" t="str">
        <x:v>HC-A</x:v>
      </x:c>
      <x:c r="D89" s="47" t="str">
        <x:v>HC-A-C</x:v>
      </x:c>
      <x:c r="E89" s="47" t="str">
        <x:v>ARTICLE</x:v>
      </x:c>
      <x:c r="F89" s="47" t="str">
        <x:v>I05</x:v>
      </x:c>
      <x:c r="G89" s="47" t="str">
        <x:v>Uncertainty and sensitivity</x:v>
      </x:c>
      <x:c r="H89" s="47" t="str">
        <x:v>dispersion, control volume, attribution and downwind receptor: same uncertainty classes and adverse-direction test</x:v>
      </x:c>
      <x:c r="I89" s="56" t="n">
        <x:v>0</x:v>
      </x:c>
      <x:c r="J89" s="56" t="n">
        <x:v>0</x:v>
      </x:c>
      <x:c r="K89" s="47" t="str">
        <x:f>IF(AND(I89=1,J89=1),"SEMANTIC MATCH","OPEN")</x:f>
        <x:v>OPEN</x:v>
      </x:c>
      <x:c r="L89" s="47" t="str">
        <x:f>IF(K89="SEMANTIC MATCH","NO—DESIGN REPRODUCIBILITY ONLY","NONE")</x:f>
        <x:v>NONE</x:v>
      </x:c>
      <x:c r="M89" s="84"/>
      <x:c r="N89" s="84"/>
    </x:row>
    <x:row r="90">
      <x:c r="A90" s="47" t="str">
        <x:v>IG084</x:v>
      </x:c>
      <x:c r="B90" s="47" t="str">
        <x:v>P14</x:v>
      </x:c>
      <x:c r="C90" s="47" t="str">
        <x:v>HC-A</x:v>
      </x:c>
      <x:c r="D90" s="47" t="str">
        <x:v>HC-A-C</x:v>
      </x:c>
      <x:c r="E90" s="47" t="str">
        <x:v>ARTICLE</x:v>
      </x:c>
      <x:c r="F90" s="47" t="str">
        <x:v>I06</x:v>
      </x:c>
      <x:c r="G90" s="47" t="str">
        <x:v>Rebuild and supersession</x:v>
      </x:c>
      <x:c r="H90" s="47" t="str">
        <x:v>dispersion, control volume, attribution and downwind receptor: same acceptance, expiry, divergence and lineage law</x:v>
      </x:c>
      <x:c r="I90" s="56" t="n">
        <x:v>0</x:v>
      </x:c>
      <x:c r="J90" s="56" t="n">
        <x:v>0</x:v>
      </x:c>
      <x:c r="K90" s="47" t="str">
        <x:f>IF(AND(I90=1,J90=1),"SEMANTIC MATCH","OPEN")</x:f>
        <x:v>OPEN</x:v>
      </x:c>
      <x:c r="L90" s="47" t="str">
        <x:f>IF(K90="SEMANTIC MATCH","NO—DESIGN REPRODUCIBILITY ONLY","NONE")</x:f>
        <x:v>NONE</x:v>
      </x:c>
      <x:c r="M90" s="84"/>
      <x:c r="N90" s="84"/>
    </x:row>
    <x:row r="91">
      <x:c r="A91" s="47" t="str">
        <x:v>IG085</x:v>
      </x:c>
      <x:c r="B91" s="47" t="str">
        <x:v>P15</x:v>
      </x:c>
      <x:c r="C91" s="47" t="str">
        <x:v>HC-A</x:v>
      </x:c>
      <x:c r="D91" s="47" t="str">
        <x:v>HC-A-C</x:v>
      </x:c>
      <x:c r="E91" s="47" t="str">
        <x:v>REBUILD</x:v>
      </x:c>
      <x:c r="F91" s="47" t="str">
        <x:v>I01</x:v>
      </x:c>
      <x:c r="G91" s="47" t="str">
        <x:v>Identity and boundary</x:v>
      </x:c>
      <x:c r="H91" s="47" t="str">
        <x:v>dispersion, control volume, attribution and downwind receptor: same configuration, system boundary and declared world</x:v>
      </x:c>
      <x:c r="I91" s="56" t="n">
        <x:v>0</x:v>
      </x:c>
      <x:c r="J91" s="56" t="n">
        <x:v>0</x:v>
      </x:c>
      <x:c r="K91" s="47" t="str">
        <x:f>IF(AND(I91=1,J91=1),"SEMANTIC MATCH","OPEN")</x:f>
        <x:v>OPEN</x:v>
      </x:c>
      <x:c r="L91" s="47" t="str">
        <x:f>IF(K91="SEMANTIC MATCH","NO—DESIGN REPRODUCIBILITY ONLY","NONE")</x:f>
        <x:v>NONE</x:v>
      </x:c>
      <x:c r="M91" s="84"/>
      <x:c r="N91" s="84"/>
    </x:row>
    <x:row r="92">
      <x:c r="A92" s="47" t="str">
        <x:v>IG086</x:v>
      </x:c>
      <x:c r="B92" s="47" t="str">
        <x:v>P15</x:v>
      </x:c>
      <x:c r="C92" s="47" t="str">
        <x:v>HC-A</x:v>
      </x:c>
      <x:c r="D92" s="47" t="str">
        <x:v>HC-A-C</x:v>
      </x:c>
      <x:c r="E92" s="47" t="str">
        <x:v>REBUILD</x:v>
      </x:c>
      <x:c r="F92" s="47" t="str">
        <x:v>I02</x:v>
      </x:c>
      <x:c r="G92" s="47" t="str">
        <x:v>Conservation and causal closure</x:v>
      </x:c>
      <x:c r="H92" s="47" t="str">
        <x:v>dispersion, control volume, attribution and downwind receptor: same conserved accounts and causal direction</x:v>
      </x:c>
      <x:c r="I92" s="56" t="n">
        <x:v>0</x:v>
      </x:c>
      <x:c r="J92" s="56" t="n">
        <x:v>0</x:v>
      </x:c>
      <x:c r="K92" s="47" t="str">
        <x:f>IF(AND(I92=1,J92=1),"SEMANTIC MATCH","OPEN")</x:f>
        <x:v>OPEN</x:v>
      </x:c>
      <x:c r="L92" s="47" t="str">
        <x:f>IF(K92="SEMANTIC MATCH","NO—DESIGN REPRODUCIBILITY ONLY","NONE")</x:f>
        <x:v>NONE</x:v>
      </x:c>
      <x:c r="M92" s="84"/>
      <x:c r="N92" s="84"/>
    </x:row>
    <x:row r="93">
      <x:c r="A93" s="47" t="str">
        <x:v>IG087</x:v>
      </x:c>
      <x:c r="B93" s="47" t="str">
        <x:v>P15</x:v>
      </x:c>
      <x:c r="C93" s="47" t="str">
        <x:v>HC-A</x:v>
      </x:c>
      <x:c r="D93" s="47" t="str">
        <x:v>HC-A-C</x:v>
      </x:c>
      <x:c r="E93" s="47" t="str">
        <x:v>REBUILD</x:v>
      </x:c>
      <x:c r="F93" s="47" t="str">
        <x:v>I03</x:v>
      </x:c>
      <x:c r="G93" s="47" t="str">
        <x:v>Interface, receiver and residual</x:v>
      </x:c>
      <x:c r="H93" s="47" t="str">
        <x:v>dispersion, control volume, attribution and downwind receptor: same interface obligations and terminal dispositions</x:v>
      </x:c>
      <x:c r="I93" s="56" t="n">
        <x:v>0</x:v>
      </x:c>
      <x:c r="J93" s="56" t="n">
        <x:v>0</x:v>
      </x:c>
      <x:c r="K93" s="47" t="str">
        <x:f>IF(AND(I93=1,J93=1),"SEMANTIC MATCH","OPEN")</x:f>
        <x:v>OPEN</x:v>
      </x:c>
      <x:c r="L93" s="47" t="str">
        <x:f>IF(K93="SEMANTIC MATCH","NO—DESIGN REPRODUCIBILITY ONLY","NONE")</x:f>
        <x:v>NONE</x:v>
      </x:c>
      <x:c r="M93" s="84"/>
      <x:c r="N93" s="84"/>
    </x:row>
    <x:row r="94">
      <x:c r="A94" s="47" t="str">
        <x:v>IG088</x:v>
      </x:c>
      <x:c r="B94" s="47" t="str">
        <x:v>P15</x:v>
      </x:c>
      <x:c r="C94" s="47" t="str">
        <x:v>HC-A</x:v>
      </x:c>
      <x:c r="D94" s="47" t="str">
        <x:v>HC-A-C</x:v>
      </x:c>
      <x:c r="E94" s="47" t="str">
        <x:v>REBUILD</x:v>
      </x:c>
      <x:c r="F94" s="47" t="str">
        <x:v>I04</x:v>
      </x:c>
      <x:c r="G94" s="47" t="str">
        <x:v>Safe state and protected subject</x:v>
      </x:c>
      <x:c r="H94" s="47" t="str">
        <x:v>dispersion, control volume, attribution and downwind receptor: same protected subject, harm threshold and safe state</x:v>
      </x:c>
      <x:c r="I94" s="56" t="n">
        <x:v>0</x:v>
      </x:c>
      <x:c r="J94" s="56" t="n">
        <x:v>0</x:v>
      </x:c>
      <x:c r="K94" s="47" t="str">
        <x:f>IF(AND(I94=1,J94=1),"SEMANTIC MATCH","OPEN")</x:f>
        <x:v>OPEN</x:v>
      </x:c>
      <x:c r="L94" s="47" t="str">
        <x:f>IF(K94="SEMANTIC MATCH","NO—DESIGN REPRODUCIBILITY ONLY","NONE")</x:f>
        <x:v>NONE</x:v>
      </x:c>
      <x:c r="M94" s="84"/>
      <x:c r="N94" s="84"/>
    </x:row>
    <x:row r="95">
      <x:c r="A95" s="47" t="str">
        <x:v>IG089</x:v>
      </x:c>
      <x:c r="B95" s="47" t="str">
        <x:v>P15</x:v>
      </x:c>
      <x:c r="C95" s="47" t="str">
        <x:v>HC-A</x:v>
      </x:c>
      <x:c r="D95" s="47" t="str">
        <x:v>HC-A-C</x:v>
      </x:c>
      <x:c r="E95" s="47" t="str">
        <x:v>REBUILD</x:v>
      </x:c>
      <x:c r="F95" s="47" t="str">
        <x:v>I05</x:v>
      </x:c>
      <x:c r="G95" s="47" t="str">
        <x:v>Uncertainty and sensitivity</x:v>
      </x:c>
      <x:c r="H95" s="47" t="str">
        <x:v>dispersion, control volume, attribution and downwind receptor: same uncertainty classes and adverse-direction test</x:v>
      </x:c>
      <x:c r="I95" s="56" t="n">
        <x:v>0</x:v>
      </x:c>
      <x:c r="J95" s="56" t="n">
        <x:v>0</x:v>
      </x:c>
      <x:c r="K95" s="47" t="str">
        <x:f>IF(AND(I95=1,J95=1),"SEMANTIC MATCH","OPEN")</x:f>
        <x:v>OPEN</x:v>
      </x:c>
      <x:c r="L95" s="47" t="str">
        <x:f>IF(K95="SEMANTIC MATCH","NO—DESIGN REPRODUCIBILITY ONLY","NONE")</x:f>
        <x:v>NONE</x:v>
      </x:c>
      <x:c r="M95" s="84"/>
      <x:c r="N95" s="84"/>
    </x:row>
    <x:row r="96">
      <x:c r="A96" s="47" t="str">
        <x:v>IG090</x:v>
      </x:c>
      <x:c r="B96" s="47" t="str">
        <x:v>P15</x:v>
      </x:c>
      <x:c r="C96" s="47" t="str">
        <x:v>HC-A</x:v>
      </x:c>
      <x:c r="D96" s="47" t="str">
        <x:v>HC-A-C</x:v>
      </x:c>
      <x:c r="E96" s="47" t="str">
        <x:v>REBUILD</x:v>
      </x:c>
      <x:c r="F96" s="47" t="str">
        <x:v>I06</x:v>
      </x:c>
      <x:c r="G96" s="47" t="str">
        <x:v>Rebuild and supersession</x:v>
      </x:c>
      <x:c r="H96" s="47" t="str">
        <x:v>dispersion, control volume, attribution and downwind receptor: same acceptance, expiry, divergence and lineage law</x:v>
      </x:c>
      <x:c r="I96" s="56" t="n">
        <x:v>0</x:v>
      </x:c>
      <x:c r="J96" s="56" t="n">
        <x:v>0</x:v>
      </x:c>
      <x:c r="K96" s="47" t="str">
        <x:f>IF(AND(I96=1,J96=1),"SEMANTIC MATCH","OPEN")</x:f>
        <x:v>OPEN</x:v>
      </x:c>
      <x:c r="L96" s="47" t="str">
        <x:f>IF(K96="SEMANTIC MATCH","NO—DESIGN REPRODUCIBILITY ONLY","NONE")</x:f>
        <x:v>NONE</x:v>
      </x:c>
      <x:c r="M96" s="84"/>
      <x:c r="N96" s="84"/>
    </x:row>
    <x:row r="97">
      <x:c r="A97" s="47" t="str">
        <x:v>IG091</x:v>
      </x:c>
      <x:c r="B97" s="47" t="str">
        <x:v>P16</x:v>
      </x:c>
      <x:c r="C97" s="47" t="str">
        <x:v>LF-B</x:v>
      </x:c>
      <x:c r="D97" s="47" t="str">
        <x:v>LF-B-A</x:v>
      </x:c>
      <x:c r="E97" s="47" t="str">
        <x:v>METHOD</x:v>
      </x:c>
      <x:c r="F97" s="47" t="str">
        <x:v>I01</x:v>
      </x:c>
      <x:c r="G97" s="47" t="str">
        <x:v>Identity and boundary</x:v>
      </x:c>
      <x:c r="H97" s="47" t="str">
        <x:v>geology, well access, reservoir, brine and conversion train: same configuration, system boundary and declared world</x:v>
      </x:c>
      <x:c r="I97" s="56" t="n">
        <x:v>0</x:v>
      </x:c>
      <x:c r="J97" s="56" t="n">
        <x:v>0</x:v>
      </x:c>
      <x:c r="K97" s="47" t="str">
        <x:f>IF(AND(I97=1,J97=1),"SEMANTIC MATCH","OPEN")</x:f>
        <x:v>OPEN</x:v>
      </x:c>
      <x:c r="L97" s="47" t="str">
        <x:f>IF(K97="SEMANTIC MATCH","NO—DESIGN REPRODUCIBILITY ONLY","NONE")</x:f>
        <x:v>NONE</x:v>
      </x:c>
      <x:c r="M97" s="84"/>
      <x:c r="N97" s="84"/>
    </x:row>
    <x:row r="98">
      <x:c r="A98" s="47" t="str">
        <x:v>IG092</x:v>
      </x:c>
      <x:c r="B98" s="47" t="str">
        <x:v>P16</x:v>
      </x:c>
      <x:c r="C98" s="47" t="str">
        <x:v>LF-B</x:v>
      </x:c>
      <x:c r="D98" s="47" t="str">
        <x:v>LF-B-A</x:v>
      </x:c>
      <x:c r="E98" s="47" t="str">
        <x:v>METHOD</x:v>
      </x:c>
      <x:c r="F98" s="47" t="str">
        <x:v>I02</x:v>
      </x:c>
      <x:c r="G98" s="47" t="str">
        <x:v>Conservation and causal closure</x:v>
      </x:c>
      <x:c r="H98" s="47" t="str">
        <x:v>geology, well access, reservoir, brine and conversion train: same conserved accounts and causal direction</x:v>
      </x:c>
      <x:c r="I98" s="56" t="n">
        <x:v>0</x:v>
      </x:c>
      <x:c r="J98" s="56" t="n">
        <x:v>0</x:v>
      </x:c>
      <x:c r="K98" s="47" t="str">
        <x:f>IF(AND(I98=1,J98=1),"SEMANTIC MATCH","OPEN")</x:f>
        <x:v>OPEN</x:v>
      </x:c>
      <x:c r="L98" s="47" t="str">
        <x:f>IF(K98="SEMANTIC MATCH","NO—DESIGN REPRODUCIBILITY ONLY","NONE")</x:f>
        <x:v>NONE</x:v>
      </x:c>
      <x:c r="M98" s="84"/>
      <x:c r="N98" s="84"/>
    </x:row>
    <x:row r="99">
      <x:c r="A99" s="47" t="str">
        <x:v>IG093</x:v>
      </x:c>
      <x:c r="B99" s="47" t="str">
        <x:v>P16</x:v>
      </x:c>
      <x:c r="C99" s="47" t="str">
        <x:v>LF-B</x:v>
      </x:c>
      <x:c r="D99" s="47" t="str">
        <x:v>LF-B-A</x:v>
      </x:c>
      <x:c r="E99" s="47" t="str">
        <x:v>METHOD</x:v>
      </x:c>
      <x:c r="F99" s="47" t="str">
        <x:v>I03</x:v>
      </x:c>
      <x:c r="G99" s="47" t="str">
        <x:v>Interface, receiver and residual</x:v>
      </x:c>
      <x:c r="H99" s="47" t="str">
        <x:v>geology, well access, reservoir, brine and conversion train: same interface obligations and terminal dispositions</x:v>
      </x:c>
      <x:c r="I99" s="56" t="n">
        <x:v>0</x:v>
      </x:c>
      <x:c r="J99" s="56" t="n">
        <x:v>0</x:v>
      </x:c>
      <x:c r="K99" s="47" t="str">
        <x:f>IF(AND(I99=1,J99=1),"SEMANTIC MATCH","OPEN")</x:f>
        <x:v>OPEN</x:v>
      </x:c>
      <x:c r="L99" s="47" t="str">
        <x:f>IF(K99="SEMANTIC MATCH","NO—DESIGN REPRODUCIBILITY ONLY","NONE")</x:f>
        <x:v>NONE</x:v>
      </x:c>
      <x:c r="M99" s="84"/>
      <x:c r="N99" s="84"/>
    </x:row>
    <x:row r="100">
      <x:c r="A100" s="47" t="str">
        <x:v>IG094</x:v>
      </x:c>
      <x:c r="B100" s="47" t="str">
        <x:v>P16</x:v>
      </x:c>
      <x:c r="C100" s="47" t="str">
        <x:v>LF-B</x:v>
      </x:c>
      <x:c r="D100" s="47" t="str">
        <x:v>LF-B-A</x:v>
      </x:c>
      <x:c r="E100" s="47" t="str">
        <x:v>METHOD</x:v>
      </x:c>
      <x:c r="F100" s="47" t="str">
        <x:v>I04</x:v>
      </x:c>
      <x:c r="G100" s="47" t="str">
        <x:v>Safe state and protected subject</x:v>
      </x:c>
      <x:c r="H100" s="47" t="str">
        <x:v>geology, well access, reservoir, brine and conversion train: same protected subject, harm threshold and safe state</x:v>
      </x:c>
      <x:c r="I100" s="56" t="n">
        <x:v>0</x:v>
      </x:c>
      <x:c r="J100" s="56" t="n">
        <x:v>0</x:v>
      </x:c>
      <x:c r="K100" s="47" t="str">
        <x:f>IF(AND(I100=1,J100=1),"SEMANTIC MATCH","OPEN")</x:f>
        <x:v>OPEN</x:v>
      </x:c>
      <x:c r="L100" s="47" t="str">
        <x:f>IF(K100="SEMANTIC MATCH","NO—DESIGN REPRODUCIBILITY ONLY","NONE")</x:f>
        <x:v>NONE</x:v>
      </x:c>
      <x:c r="M100" s="84"/>
      <x:c r="N100" s="84"/>
    </x:row>
    <x:row r="101">
      <x:c r="A101" s="47" t="str">
        <x:v>IG095</x:v>
      </x:c>
      <x:c r="B101" s="47" t="str">
        <x:v>P16</x:v>
      </x:c>
      <x:c r="C101" s="47" t="str">
        <x:v>LF-B</x:v>
      </x:c>
      <x:c r="D101" s="47" t="str">
        <x:v>LF-B-A</x:v>
      </x:c>
      <x:c r="E101" s="47" t="str">
        <x:v>METHOD</x:v>
      </x:c>
      <x:c r="F101" s="47" t="str">
        <x:v>I05</x:v>
      </x:c>
      <x:c r="G101" s="47" t="str">
        <x:v>Uncertainty and sensitivity</x:v>
      </x:c>
      <x:c r="H101" s="47" t="str">
        <x:v>geology, well access, reservoir, brine and conversion train: same uncertainty classes and adverse-direction test</x:v>
      </x:c>
      <x:c r="I101" s="56" t="n">
        <x:v>0</x:v>
      </x:c>
      <x:c r="J101" s="56" t="n">
        <x:v>0</x:v>
      </x:c>
      <x:c r="K101" s="47" t="str">
        <x:f>IF(AND(I101=1,J101=1),"SEMANTIC MATCH","OPEN")</x:f>
        <x:v>OPEN</x:v>
      </x:c>
      <x:c r="L101" s="47" t="str">
        <x:f>IF(K101="SEMANTIC MATCH","NO—DESIGN REPRODUCIBILITY ONLY","NONE")</x:f>
        <x:v>NONE</x:v>
      </x:c>
      <x:c r="M101" s="84"/>
      <x:c r="N101" s="84"/>
    </x:row>
    <x:row r="102">
      <x:c r="A102" s="47" t="str">
        <x:v>IG096</x:v>
      </x:c>
      <x:c r="B102" s="47" t="str">
        <x:v>P16</x:v>
      </x:c>
      <x:c r="C102" s="47" t="str">
        <x:v>LF-B</x:v>
      </x:c>
      <x:c r="D102" s="47" t="str">
        <x:v>LF-B-A</x:v>
      </x:c>
      <x:c r="E102" s="47" t="str">
        <x:v>METHOD</x:v>
      </x:c>
      <x:c r="F102" s="47" t="str">
        <x:v>I06</x:v>
      </x:c>
      <x:c r="G102" s="47" t="str">
        <x:v>Rebuild and supersession</x:v>
      </x:c>
      <x:c r="H102" s="47" t="str">
        <x:v>geology, well access, reservoir, brine and conversion train: same acceptance, expiry, divergence and lineage law</x:v>
      </x:c>
      <x:c r="I102" s="56" t="n">
        <x:v>0</x:v>
      </x:c>
      <x:c r="J102" s="56" t="n">
        <x:v>0</x:v>
      </x:c>
      <x:c r="K102" s="47" t="str">
        <x:f>IF(AND(I102=1,J102=1),"SEMANTIC MATCH","OPEN")</x:f>
        <x:v>OPEN</x:v>
      </x:c>
      <x:c r="L102" s="47" t="str">
        <x:f>IF(K102="SEMANTIC MATCH","NO—DESIGN REPRODUCIBILITY ONLY","NONE")</x:f>
        <x:v>NONE</x:v>
      </x:c>
      <x:c r="M102" s="84"/>
      <x:c r="N102" s="84"/>
    </x:row>
    <x:row r="103">
      <x:c r="A103" s="47" t="str">
        <x:v>IG097</x:v>
      </x:c>
      <x:c r="B103" s="47" t="str">
        <x:v>P17</x:v>
      </x:c>
      <x:c r="C103" s="47" t="str">
        <x:v>LF-B</x:v>
      </x:c>
      <x:c r="D103" s="47" t="str">
        <x:v>LF-B-A</x:v>
      </x:c>
      <x:c r="E103" s="47" t="str">
        <x:v>VALID</x:v>
      </x:c>
      <x:c r="F103" s="47" t="str">
        <x:v>I01</x:v>
      </x:c>
      <x:c r="G103" s="47" t="str">
        <x:v>Identity and boundary</x:v>
      </x:c>
      <x:c r="H103" s="47" t="str">
        <x:v>geology, well access, reservoir, brine and conversion train: same configuration, system boundary and declared world</x:v>
      </x:c>
      <x:c r="I103" s="56" t="n">
        <x:v>0</x:v>
      </x:c>
      <x:c r="J103" s="56" t="n">
        <x:v>0</x:v>
      </x:c>
      <x:c r="K103" s="47" t="str">
        <x:f>IF(AND(I103=1,J103=1),"SEMANTIC MATCH","OPEN")</x:f>
        <x:v>OPEN</x:v>
      </x:c>
      <x:c r="L103" s="47" t="str">
        <x:f>IF(K103="SEMANTIC MATCH","NO—DESIGN REPRODUCIBILITY ONLY","NONE")</x:f>
        <x:v>NONE</x:v>
      </x:c>
      <x:c r="M103" s="84"/>
      <x:c r="N103" s="84"/>
    </x:row>
    <x:row r="104">
      <x:c r="A104" s="47" t="str">
        <x:v>IG098</x:v>
      </x:c>
      <x:c r="B104" s="47" t="str">
        <x:v>P17</x:v>
      </x:c>
      <x:c r="C104" s="47" t="str">
        <x:v>LF-B</x:v>
      </x:c>
      <x:c r="D104" s="47" t="str">
        <x:v>LF-B-A</x:v>
      </x:c>
      <x:c r="E104" s="47" t="str">
        <x:v>VALID</x:v>
      </x:c>
      <x:c r="F104" s="47" t="str">
        <x:v>I02</x:v>
      </x:c>
      <x:c r="G104" s="47" t="str">
        <x:v>Conservation and causal closure</x:v>
      </x:c>
      <x:c r="H104" s="47" t="str">
        <x:v>geology, well access, reservoir, brine and conversion train: same conserved accounts and causal direction</x:v>
      </x:c>
      <x:c r="I104" s="56" t="n">
        <x:v>0</x:v>
      </x:c>
      <x:c r="J104" s="56" t="n">
        <x:v>0</x:v>
      </x:c>
      <x:c r="K104" s="47" t="str">
        <x:f>IF(AND(I104=1,J104=1),"SEMANTIC MATCH","OPEN")</x:f>
        <x:v>OPEN</x:v>
      </x:c>
      <x:c r="L104" s="47" t="str">
        <x:f>IF(K104="SEMANTIC MATCH","NO—DESIGN REPRODUCIBILITY ONLY","NONE")</x:f>
        <x:v>NONE</x:v>
      </x:c>
      <x:c r="M104" s="84"/>
      <x:c r="N104" s="84"/>
    </x:row>
    <x:row r="105">
      <x:c r="A105" s="47" t="str">
        <x:v>IG099</x:v>
      </x:c>
      <x:c r="B105" s="47" t="str">
        <x:v>P17</x:v>
      </x:c>
      <x:c r="C105" s="47" t="str">
        <x:v>LF-B</x:v>
      </x:c>
      <x:c r="D105" s="47" t="str">
        <x:v>LF-B-A</x:v>
      </x:c>
      <x:c r="E105" s="47" t="str">
        <x:v>VALID</x:v>
      </x:c>
      <x:c r="F105" s="47" t="str">
        <x:v>I03</x:v>
      </x:c>
      <x:c r="G105" s="47" t="str">
        <x:v>Interface, receiver and residual</x:v>
      </x:c>
      <x:c r="H105" s="47" t="str">
        <x:v>geology, well access, reservoir, brine and conversion train: same interface obligations and terminal dispositions</x:v>
      </x:c>
      <x:c r="I105" s="56" t="n">
        <x:v>0</x:v>
      </x:c>
      <x:c r="J105" s="56" t="n">
        <x:v>0</x:v>
      </x:c>
      <x:c r="K105" s="47" t="str">
        <x:f>IF(AND(I105=1,J105=1),"SEMANTIC MATCH","OPEN")</x:f>
        <x:v>OPEN</x:v>
      </x:c>
      <x:c r="L105" s="47" t="str">
        <x:f>IF(K105="SEMANTIC MATCH","NO—DESIGN REPRODUCIBILITY ONLY","NONE")</x:f>
        <x:v>NONE</x:v>
      </x:c>
      <x:c r="M105" s="84"/>
      <x:c r="N105" s="84"/>
    </x:row>
    <x:row r="106">
      <x:c r="A106" s="47" t="str">
        <x:v>IG100</x:v>
      </x:c>
      <x:c r="B106" s="47" t="str">
        <x:v>P17</x:v>
      </x:c>
      <x:c r="C106" s="47" t="str">
        <x:v>LF-B</x:v>
      </x:c>
      <x:c r="D106" s="47" t="str">
        <x:v>LF-B-A</x:v>
      </x:c>
      <x:c r="E106" s="47" t="str">
        <x:v>VALID</x:v>
      </x:c>
      <x:c r="F106" s="47" t="str">
        <x:v>I04</x:v>
      </x:c>
      <x:c r="G106" s="47" t="str">
        <x:v>Safe state and protected subject</x:v>
      </x:c>
      <x:c r="H106" s="47" t="str">
        <x:v>geology, well access, reservoir, brine and conversion train: same protected subject, harm threshold and safe state</x:v>
      </x:c>
      <x:c r="I106" s="56" t="n">
        <x:v>0</x:v>
      </x:c>
      <x:c r="J106" s="56" t="n">
        <x:v>0</x:v>
      </x:c>
      <x:c r="K106" s="47" t="str">
        <x:f>IF(AND(I106=1,J106=1),"SEMANTIC MATCH","OPEN")</x:f>
        <x:v>OPEN</x:v>
      </x:c>
      <x:c r="L106" s="47" t="str">
        <x:f>IF(K106="SEMANTIC MATCH","NO—DESIGN REPRODUCIBILITY ONLY","NONE")</x:f>
        <x:v>NONE</x:v>
      </x:c>
      <x:c r="M106" s="84"/>
      <x:c r="N106" s="84"/>
    </x:row>
    <x:row r="107">
      <x:c r="A107" s="47" t="str">
        <x:v>IG101</x:v>
      </x:c>
      <x:c r="B107" s="47" t="str">
        <x:v>P17</x:v>
      </x:c>
      <x:c r="C107" s="47" t="str">
        <x:v>LF-B</x:v>
      </x:c>
      <x:c r="D107" s="47" t="str">
        <x:v>LF-B-A</x:v>
      </x:c>
      <x:c r="E107" s="47" t="str">
        <x:v>VALID</x:v>
      </x:c>
      <x:c r="F107" s="47" t="str">
        <x:v>I05</x:v>
      </x:c>
      <x:c r="G107" s="47" t="str">
        <x:v>Uncertainty and sensitivity</x:v>
      </x:c>
      <x:c r="H107" s="47" t="str">
        <x:v>geology, well access, reservoir, brine and conversion train: same uncertainty classes and adverse-direction test</x:v>
      </x:c>
      <x:c r="I107" s="56" t="n">
        <x:v>0</x:v>
      </x:c>
      <x:c r="J107" s="56" t="n">
        <x:v>0</x:v>
      </x:c>
      <x:c r="K107" s="47" t="str">
        <x:f>IF(AND(I107=1,J107=1),"SEMANTIC MATCH","OPEN")</x:f>
        <x:v>OPEN</x:v>
      </x:c>
      <x:c r="L107" s="47" t="str">
        <x:f>IF(K107="SEMANTIC MATCH","NO—DESIGN REPRODUCIBILITY ONLY","NONE")</x:f>
        <x:v>NONE</x:v>
      </x:c>
      <x:c r="M107" s="84"/>
      <x:c r="N107" s="84"/>
    </x:row>
    <x:row r="108">
      <x:c r="A108" s="47" t="str">
        <x:v>IG102</x:v>
      </x:c>
      <x:c r="B108" s="47" t="str">
        <x:v>P17</x:v>
      </x:c>
      <x:c r="C108" s="47" t="str">
        <x:v>LF-B</x:v>
      </x:c>
      <x:c r="D108" s="47" t="str">
        <x:v>LF-B-A</x:v>
      </x:c>
      <x:c r="E108" s="47" t="str">
        <x:v>VALID</x:v>
      </x:c>
      <x:c r="F108" s="47" t="str">
        <x:v>I06</x:v>
      </x:c>
      <x:c r="G108" s="47" t="str">
        <x:v>Rebuild and supersession</x:v>
      </x:c>
      <x:c r="H108" s="47" t="str">
        <x:v>geology, well access, reservoir, brine and conversion train: same acceptance, expiry, divergence and lineage law</x:v>
      </x:c>
      <x:c r="I108" s="56" t="n">
        <x:v>0</x:v>
      </x:c>
      <x:c r="J108" s="56" t="n">
        <x:v>0</x:v>
      </x:c>
      <x:c r="K108" s="47" t="str">
        <x:f>IF(AND(I108=1,J108=1),"SEMANTIC MATCH","OPEN")</x:f>
        <x:v>OPEN</x:v>
      </x:c>
      <x:c r="L108" s="47" t="str">
        <x:f>IF(K108="SEMANTIC MATCH","NO—DESIGN REPRODUCIBILITY ONLY","NONE")</x:f>
        <x:v>NONE</x:v>
      </x:c>
      <x:c r="M108" s="84"/>
      <x:c r="N108" s="84"/>
    </x:row>
    <x:row r="109">
      <x:c r="A109" s="47" t="str">
        <x:v>IG103</x:v>
      </x:c>
      <x:c r="B109" s="47" t="str">
        <x:v>P18</x:v>
      </x:c>
      <x:c r="C109" s="47" t="str">
        <x:v>LF-B</x:v>
      </x:c>
      <x:c r="D109" s="47" t="str">
        <x:v>LF-B-A</x:v>
      </x:c>
      <x:c r="E109" s="47" t="str">
        <x:v>CIVIL</x:v>
      </x:c>
      <x:c r="F109" s="47" t="str">
        <x:v>I01</x:v>
      </x:c>
      <x:c r="G109" s="47" t="str">
        <x:v>Identity and boundary</x:v>
      </x:c>
      <x:c r="H109" s="47" t="str">
        <x:v>geology, well access, reservoir, brine and conversion train: same configuration, system boundary and declared world</x:v>
      </x:c>
      <x:c r="I109" s="56" t="n">
        <x:v>0</x:v>
      </x:c>
      <x:c r="J109" s="56" t="n">
        <x:v>0</x:v>
      </x:c>
      <x:c r="K109" s="47" t="str">
        <x:f>IF(AND(I109=1,J109=1),"SEMANTIC MATCH","OPEN")</x:f>
        <x:v>OPEN</x:v>
      </x:c>
      <x:c r="L109" s="47" t="str">
        <x:f>IF(K109="SEMANTIC MATCH","NO—DESIGN REPRODUCIBILITY ONLY","NONE")</x:f>
        <x:v>NONE</x:v>
      </x:c>
      <x:c r="M109" s="84"/>
      <x:c r="N109" s="84"/>
    </x:row>
    <x:row r="110">
      <x:c r="A110" s="47" t="str">
        <x:v>IG104</x:v>
      </x:c>
      <x:c r="B110" s="47" t="str">
        <x:v>P18</x:v>
      </x:c>
      <x:c r="C110" s="47" t="str">
        <x:v>LF-B</x:v>
      </x:c>
      <x:c r="D110" s="47" t="str">
        <x:v>LF-B-A</x:v>
      </x:c>
      <x:c r="E110" s="47" t="str">
        <x:v>CIVIL</x:v>
      </x:c>
      <x:c r="F110" s="47" t="str">
        <x:v>I02</x:v>
      </x:c>
      <x:c r="G110" s="47" t="str">
        <x:v>Conservation and causal closure</x:v>
      </x:c>
      <x:c r="H110" s="47" t="str">
        <x:v>geology, well access, reservoir, brine and conversion train: same conserved accounts and causal direction</x:v>
      </x:c>
      <x:c r="I110" s="56" t="n">
        <x:v>0</x:v>
      </x:c>
      <x:c r="J110" s="56" t="n">
        <x:v>0</x:v>
      </x:c>
      <x:c r="K110" s="47" t="str">
        <x:f>IF(AND(I110=1,J110=1),"SEMANTIC MATCH","OPEN")</x:f>
        <x:v>OPEN</x:v>
      </x:c>
      <x:c r="L110" s="47" t="str">
        <x:f>IF(K110="SEMANTIC MATCH","NO—DESIGN REPRODUCIBILITY ONLY","NONE")</x:f>
        <x:v>NONE</x:v>
      </x:c>
      <x:c r="M110" s="84"/>
      <x:c r="N110" s="84"/>
    </x:row>
    <x:row r="111">
      <x:c r="A111" s="47" t="str">
        <x:v>IG105</x:v>
      </x:c>
      <x:c r="B111" s="47" t="str">
        <x:v>P18</x:v>
      </x:c>
      <x:c r="C111" s="47" t="str">
        <x:v>LF-B</x:v>
      </x:c>
      <x:c r="D111" s="47" t="str">
        <x:v>LF-B-A</x:v>
      </x:c>
      <x:c r="E111" s="47" t="str">
        <x:v>CIVIL</x:v>
      </x:c>
      <x:c r="F111" s="47" t="str">
        <x:v>I03</x:v>
      </x:c>
      <x:c r="G111" s="47" t="str">
        <x:v>Interface, receiver and residual</x:v>
      </x:c>
      <x:c r="H111" s="47" t="str">
        <x:v>geology, well access, reservoir, brine and conversion train: same interface obligations and terminal dispositions</x:v>
      </x:c>
      <x:c r="I111" s="56" t="n">
        <x:v>0</x:v>
      </x:c>
      <x:c r="J111" s="56" t="n">
        <x:v>0</x:v>
      </x:c>
      <x:c r="K111" s="47" t="str">
        <x:f>IF(AND(I111=1,J111=1),"SEMANTIC MATCH","OPEN")</x:f>
        <x:v>OPEN</x:v>
      </x:c>
      <x:c r="L111" s="47" t="str">
        <x:f>IF(K111="SEMANTIC MATCH","NO—DESIGN REPRODUCIBILITY ONLY","NONE")</x:f>
        <x:v>NONE</x:v>
      </x:c>
      <x:c r="M111" s="84"/>
      <x:c r="N111" s="84"/>
    </x:row>
    <x:row r="112">
      <x:c r="A112" s="47" t="str">
        <x:v>IG106</x:v>
      </x:c>
      <x:c r="B112" s="47" t="str">
        <x:v>P18</x:v>
      </x:c>
      <x:c r="C112" s="47" t="str">
        <x:v>LF-B</x:v>
      </x:c>
      <x:c r="D112" s="47" t="str">
        <x:v>LF-B-A</x:v>
      </x:c>
      <x:c r="E112" s="47" t="str">
        <x:v>CIVIL</x:v>
      </x:c>
      <x:c r="F112" s="47" t="str">
        <x:v>I04</x:v>
      </x:c>
      <x:c r="G112" s="47" t="str">
        <x:v>Safe state and protected subject</x:v>
      </x:c>
      <x:c r="H112" s="47" t="str">
        <x:v>geology, well access, reservoir, brine and conversion train: same protected subject, harm threshold and safe state</x:v>
      </x:c>
      <x:c r="I112" s="56" t="n">
        <x:v>0</x:v>
      </x:c>
      <x:c r="J112" s="56" t="n">
        <x:v>0</x:v>
      </x:c>
      <x:c r="K112" s="47" t="str">
        <x:f>IF(AND(I112=1,J112=1),"SEMANTIC MATCH","OPEN")</x:f>
        <x:v>OPEN</x:v>
      </x:c>
      <x:c r="L112" s="47" t="str">
        <x:f>IF(K112="SEMANTIC MATCH","NO—DESIGN REPRODUCIBILITY ONLY","NONE")</x:f>
        <x:v>NONE</x:v>
      </x:c>
      <x:c r="M112" s="84"/>
      <x:c r="N112" s="84"/>
    </x:row>
    <x:row r="113">
      <x:c r="A113" s="47" t="str">
        <x:v>IG107</x:v>
      </x:c>
      <x:c r="B113" s="47" t="str">
        <x:v>P18</x:v>
      </x:c>
      <x:c r="C113" s="47" t="str">
        <x:v>LF-B</x:v>
      </x:c>
      <x:c r="D113" s="47" t="str">
        <x:v>LF-B-A</x:v>
      </x:c>
      <x:c r="E113" s="47" t="str">
        <x:v>CIVIL</x:v>
      </x:c>
      <x:c r="F113" s="47" t="str">
        <x:v>I05</x:v>
      </x:c>
      <x:c r="G113" s="47" t="str">
        <x:v>Uncertainty and sensitivity</x:v>
      </x:c>
      <x:c r="H113" s="47" t="str">
        <x:v>geology, well access, reservoir, brine and conversion train: same uncertainty classes and adverse-direction test</x:v>
      </x:c>
      <x:c r="I113" s="56" t="n">
        <x:v>0</x:v>
      </x:c>
      <x:c r="J113" s="56" t="n">
        <x:v>0</x:v>
      </x:c>
      <x:c r="K113" s="47" t="str">
        <x:f>IF(AND(I113=1,J113=1),"SEMANTIC MATCH","OPEN")</x:f>
        <x:v>OPEN</x:v>
      </x:c>
      <x:c r="L113" s="47" t="str">
        <x:f>IF(K113="SEMANTIC MATCH","NO—DESIGN REPRODUCIBILITY ONLY","NONE")</x:f>
        <x:v>NONE</x:v>
      </x:c>
      <x:c r="M113" s="84"/>
      <x:c r="N113" s="84"/>
    </x:row>
    <x:row r="114">
      <x:c r="A114" s="47" t="str">
        <x:v>IG108</x:v>
      </x:c>
      <x:c r="B114" s="47" t="str">
        <x:v>P18</x:v>
      </x:c>
      <x:c r="C114" s="47" t="str">
        <x:v>LF-B</x:v>
      </x:c>
      <x:c r="D114" s="47" t="str">
        <x:v>LF-B-A</x:v>
      </x:c>
      <x:c r="E114" s="47" t="str">
        <x:v>CIVIL</x:v>
      </x:c>
      <x:c r="F114" s="47" t="str">
        <x:v>I06</x:v>
      </x:c>
      <x:c r="G114" s="47" t="str">
        <x:v>Rebuild and supersession</x:v>
      </x:c>
      <x:c r="H114" s="47" t="str">
        <x:v>geology, well access, reservoir, brine and conversion train: same acceptance, expiry, divergence and lineage law</x:v>
      </x:c>
      <x:c r="I114" s="56" t="n">
        <x:v>0</x:v>
      </x:c>
      <x:c r="J114" s="56" t="n">
        <x:v>0</x:v>
      </x:c>
      <x:c r="K114" s="47" t="str">
        <x:f>IF(AND(I114=1,J114=1),"SEMANTIC MATCH","OPEN")</x:f>
        <x:v>OPEN</x:v>
      </x:c>
      <x:c r="L114" s="47" t="str">
        <x:f>IF(K114="SEMANTIC MATCH","NO—DESIGN REPRODUCIBILITY ONLY","NONE")</x:f>
        <x:v>NONE</x:v>
      </x:c>
      <x:c r="M114" s="84"/>
      <x:c r="N114" s="84"/>
    </x:row>
    <x:row r="115">
      <x:c r="A115" s="47" t="str">
        <x:v>IG109</x:v>
      </x:c>
      <x:c r="B115" s="47" t="str">
        <x:v>P19</x:v>
      </x:c>
      <x:c r="C115" s="47" t="str">
        <x:v>LF-B</x:v>
      </x:c>
      <x:c r="D115" s="47" t="str">
        <x:v>LF-B-A</x:v>
      </x:c>
      <x:c r="E115" s="47" t="str">
        <x:v>ARTICLE</x:v>
      </x:c>
      <x:c r="F115" s="47" t="str">
        <x:v>I01</x:v>
      </x:c>
      <x:c r="G115" s="47" t="str">
        <x:v>Identity and boundary</x:v>
      </x:c>
      <x:c r="H115" s="47" t="str">
        <x:v>geology, well access, reservoir, brine and conversion train: same configuration, system boundary and declared world</x:v>
      </x:c>
      <x:c r="I115" s="56" t="n">
        <x:v>0</x:v>
      </x:c>
      <x:c r="J115" s="56" t="n">
        <x:v>0</x:v>
      </x:c>
      <x:c r="K115" s="47" t="str">
        <x:f>IF(AND(I115=1,J115=1),"SEMANTIC MATCH","OPEN")</x:f>
        <x:v>OPEN</x:v>
      </x:c>
      <x:c r="L115" s="47" t="str">
        <x:f>IF(K115="SEMANTIC MATCH","NO—DESIGN REPRODUCIBILITY ONLY","NONE")</x:f>
        <x:v>NONE</x:v>
      </x:c>
      <x:c r="M115" s="84"/>
      <x:c r="N115" s="84"/>
    </x:row>
    <x:row r="116">
      <x:c r="A116" s="47" t="str">
        <x:v>IG110</x:v>
      </x:c>
      <x:c r="B116" s="47" t="str">
        <x:v>P19</x:v>
      </x:c>
      <x:c r="C116" s="47" t="str">
        <x:v>LF-B</x:v>
      </x:c>
      <x:c r="D116" s="47" t="str">
        <x:v>LF-B-A</x:v>
      </x:c>
      <x:c r="E116" s="47" t="str">
        <x:v>ARTICLE</x:v>
      </x:c>
      <x:c r="F116" s="47" t="str">
        <x:v>I02</x:v>
      </x:c>
      <x:c r="G116" s="47" t="str">
        <x:v>Conservation and causal closure</x:v>
      </x:c>
      <x:c r="H116" s="47" t="str">
        <x:v>geology, well access, reservoir, brine and conversion train: same conserved accounts and causal direction</x:v>
      </x:c>
      <x:c r="I116" s="56" t="n">
        <x:v>0</x:v>
      </x:c>
      <x:c r="J116" s="56" t="n">
        <x:v>0</x:v>
      </x:c>
      <x:c r="K116" s="47" t="str">
        <x:f>IF(AND(I116=1,J116=1),"SEMANTIC MATCH","OPEN")</x:f>
        <x:v>OPEN</x:v>
      </x:c>
      <x:c r="L116" s="47" t="str">
        <x:f>IF(K116="SEMANTIC MATCH","NO—DESIGN REPRODUCIBILITY ONLY","NONE")</x:f>
        <x:v>NONE</x:v>
      </x:c>
      <x:c r="M116" s="84"/>
      <x:c r="N116" s="84"/>
    </x:row>
    <x:row r="117">
      <x:c r="A117" s="47" t="str">
        <x:v>IG111</x:v>
      </x:c>
      <x:c r="B117" s="47" t="str">
        <x:v>P19</x:v>
      </x:c>
      <x:c r="C117" s="47" t="str">
        <x:v>LF-B</x:v>
      </x:c>
      <x:c r="D117" s="47" t="str">
        <x:v>LF-B-A</x:v>
      </x:c>
      <x:c r="E117" s="47" t="str">
        <x:v>ARTICLE</x:v>
      </x:c>
      <x:c r="F117" s="47" t="str">
        <x:v>I03</x:v>
      </x:c>
      <x:c r="G117" s="47" t="str">
        <x:v>Interface, receiver and residual</x:v>
      </x:c>
      <x:c r="H117" s="47" t="str">
        <x:v>geology, well access, reservoir, brine and conversion train: same interface obligations and terminal dispositions</x:v>
      </x:c>
      <x:c r="I117" s="56" t="n">
        <x:v>0</x:v>
      </x:c>
      <x:c r="J117" s="56" t="n">
        <x:v>0</x:v>
      </x:c>
      <x:c r="K117" s="47" t="str">
        <x:f>IF(AND(I117=1,J117=1),"SEMANTIC MATCH","OPEN")</x:f>
        <x:v>OPEN</x:v>
      </x:c>
      <x:c r="L117" s="47" t="str">
        <x:f>IF(K117="SEMANTIC MATCH","NO—DESIGN REPRODUCIBILITY ONLY","NONE")</x:f>
        <x:v>NONE</x:v>
      </x:c>
      <x:c r="M117" s="84"/>
      <x:c r="N117" s="84"/>
    </x:row>
    <x:row r="118">
      <x:c r="A118" s="47" t="str">
        <x:v>IG112</x:v>
      </x:c>
      <x:c r="B118" s="47" t="str">
        <x:v>P19</x:v>
      </x:c>
      <x:c r="C118" s="47" t="str">
        <x:v>LF-B</x:v>
      </x:c>
      <x:c r="D118" s="47" t="str">
        <x:v>LF-B-A</x:v>
      </x:c>
      <x:c r="E118" s="47" t="str">
        <x:v>ARTICLE</x:v>
      </x:c>
      <x:c r="F118" s="47" t="str">
        <x:v>I04</x:v>
      </x:c>
      <x:c r="G118" s="47" t="str">
        <x:v>Safe state and protected subject</x:v>
      </x:c>
      <x:c r="H118" s="47" t="str">
        <x:v>geology, well access, reservoir, brine and conversion train: same protected subject, harm threshold and safe state</x:v>
      </x:c>
      <x:c r="I118" s="56" t="n">
        <x:v>0</x:v>
      </x:c>
      <x:c r="J118" s="56" t="n">
        <x:v>0</x:v>
      </x:c>
      <x:c r="K118" s="47" t="str">
        <x:f>IF(AND(I118=1,J118=1),"SEMANTIC MATCH","OPEN")</x:f>
        <x:v>OPEN</x:v>
      </x:c>
      <x:c r="L118" s="47" t="str">
        <x:f>IF(K118="SEMANTIC MATCH","NO—DESIGN REPRODUCIBILITY ONLY","NONE")</x:f>
        <x:v>NONE</x:v>
      </x:c>
      <x:c r="M118" s="84"/>
      <x:c r="N118" s="84"/>
    </x:row>
    <x:row r="119">
      <x:c r="A119" s="47" t="str">
        <x:v>IG113</x:v>
      </x:c>
      <x:c r="B119" s="47" t="str">
        <x:v>P19</x:v>
      </x:c>
      <x:c r="C119" s="47" t="str">
        <x:v>LF-B</x:v>
      </x:c>
      <x:c r="D119" s="47" t="str">
        <x:v>LF-B-A</x:v>
      </x:c>
      <x:c r="E119" s="47" t="str">
        <x:v>ARTICLE</x:v>
      </x:c>
      <x:c r="F119" s="47" t="str">
        <x:v>I05</x:v>
      </x:c>
      <x:c r="G119" s="47" t="str">
        <x:v>Uncertainty and sensitivity</x:v>
      </x:c>
      <x:c r="H119" s="47" t="str">
        <x:v>geology, well access, reservoir, brine and conversion train: same uncertainty classes and adverse-direction test</x:v>
      </x:c>
      <x:c r="I119" s="56" t="n">
        <x:v>0</x:v>
      </x:c>
      <x:c r="J119" s="56" t="n">
        <x:v>0</x:v>
      </x:c>
      <x:c r="K119" s="47" t="str">
        <x:f>IF(AND(I119=1,J119=1),"SEMANTIC MATCH","OPEN")</x:f>
        <x:v>OPEN</x:v>
      </x:c>
      <x:c r="L119" s="47" t="str">
        <x:f>IF(K119="SEMANTIC MATCH","NO—DESIGN REPRODUCIBILITY ONLY","NONE")</x:f>
        <x:v>NONE</x:v>
      </x:c>
      <x:c r="M119" s="84"/>
      <x:c r="N119" s="84"/>
    </x:row>
    <x:row r="120">
      <x:c r="A120" s="47" t="str">
        <x:v>IG114</x:v>
      </x:c>
      <x:c r="B120" s="47" t="str">
        <x:v>P19</x:v>
      </x:c>
      <x:c r="C120" s="47" t="str">
        <x:v>LF-B</x:v>
      </x:c>
      <x:c r="D120" s="47" t="str">
        <x:v>LF-B-A</x:v>
      </x:c>
      <x:c r="E120" s="47" t="str">
        <x:v>ARTICLE</x:v>
      </x:c>
      <x:c r="F120" s="47" t="str">
        <x:v>I06</x:v>
      </x:c>
      <x:c r="G120" s="47" t="str">
        <x:v>Rebuild and supersession</x:v>
      </x:c>
      <x:c r="H120" s="47" t="str">
        <x:v>geology, well access, reservoir, brine and conversion train: same acceptance, expiry, divergence and lineage law</x:v>
      </x:c>
      <x:c r="I120" s="56" t="n">
        <x:v>0</x:v>
      </x:c>
      <x:c r="J120" s="56" t="n">
        <x:v>0</x:v>
      </x:c>
      <x:c r="K120" s="47" t="str">
        <x:f>IF(AND(I120=1,J120=1),"SEMANTIC MATCH","OPEN")</x:f>
        <x:v>OPEN</x:v>
      </x:c>
      <x:c r="L120" s="47" t="str">
        <x:f>IF(K120="SEMANTIC MATCH","NO—DESIGN REPRODUCIBILITY ONLY","NONE")</x:f>
        <x:v>NONE</x:v>
      </x:c>
      <x:c r="M120" s="84"/>
      <x:c r="N120" s="84"/>
    </x:row>
    <x:row r="121">
      <x:c r="A121" s="47" t="str">
        <x:v>IG115</x:v>
      </x:c>
      <x:c r="B121" s="47" t="str">
        <x:v>P20</x:v>
      </x:c>
      <x:c r="C121" s="47" t="str">
        <x:v>LF-B</x:v>
      </x:c>
      <x:c r="D121" s="47" t="str">
        <x:v>LF-B-A</x:v>
      </x:c>
      <x:c r="E121" s="47" t="str">
        <x:v>REBUILD</x:v>
      </x:c>
      <x:c r="F121" s="47" t="str">
        <x:v>I01</x:v>
      </x:c>
      <x:c r="G121" s="47" t="str">
        <x:v>Identity and boundary</x:v>
      </x:c>
      <x:c r="H121" s="47" t="str">
        <x:v>geology, well access, reservoir, brine and conversion train: same configuration, system boundary and declared world</x:v>
      </x:c>
      <x:c r="I121" s="56" t="n">
        <x:v>0</x:v>
      </x:c>
      <x:c r="J121" s="56" t="n">
        <x:v>0</x:v>
      </x:c>
      <x:c r="K121" s="47" t="str">
        <x:f>IF(AND(I121=1,J121=1),"SEMANTIC MATCH","OPEN")</x:f>
        <x:v>OPEN</x:v>
      </x:c>
      <x:c r="L121" s="47" t="str">
        <x:f>IF(K121="SEMANTIC MATCH","NO—DESIGN REPRODUCIBILITY ONLY","NONE")</x:f>
        <x:v>NONE</x:v>
      </x:c>
      <x:c r="M121" s="84"/>
      <x:c r="N121" s="84"/>
    </x:row>
    <x:row r="122">
      <x:c r="A122" s="47" t="str">
        <x:v>IG116</x:v>
      </x:c>
      <x:c r="B122" s="47" t="str">
        <x:v>P20</x:v>
      </x:c>
      <x:c r="C122" s="47" t="str">
        <x:v>LF-B</x:v>
      </x:c>
      <x:c r="D122" s="47" t="str">
        <x:v>LF-B-A</x:v>
      </x:c>
      <x:c r="E122" s="47" t="str">
        <x:v>REBUILD</x:v>
      </x:c>
      <x:c r="F122" s="47" t="str">
        <x:v>I02</x:v>
      </x:c>
      <x:c r="G122" s="47" t="str">
        <x:v>Conservation and causal closure</x:v>
      </x:c>
      <x:c r="H122" s="47" t="str">
        <x:v>geology, well access, reservoir, brine and conversion train: same conserved accounts and causal direction</x:v>
      </x:c>
      <x:c r="I122" s="56" t="n">
        <x:v>0</x:v>
      </x:c>
      <x:c r="J122" s="56" t="n">
        <x:v>0</x:v>
      </x:c>
      <x:c r="K122" s="47" t="str">
        <x:f>IF(AND(I122=1,J122=1),"SEMANTIC MATCH","OPEN")</x:f>
        <x:v>OPEN</x:v>
      </x:c>
      <x:c r="L122" s="47" t="str">
        <x:f>IF(K122="SEMANTIC MATCH","NO—DESIGN REPRODUCIBILITY ONLY","NONE")</x:f>
        <x:v>NONE</x:v>
      </x:c>
      <x:c r="M122" s="84"/>
      <x:c r="N122" s="84"/>
    </x:row>
    <x:row r="123">
      <x:c r="A123" s="47" t="str">
        <x:v>IG117</x:v>
      </x:c>
      <x:c r="B123" s="47" t="str">
        <x:v>P20</x:v>
      </x:c>
      <x:c r="C123" s="47" t="str">
        <x:v>LF-B</x:v>
      </x:c>
      <x:c r="D123" s="47" t="str">
        <x:v>LF-B-A</x:v>
      </x:c>
      <x:c r="E123" s="47" t="str">
        <x:v>REBUILD</x:v>
      </x:c>
      <x:c r="F123" s="47" t="str">
        <x:v>I03</x:v>
      </x:c>
      <x:c r="G123" s="47" t="str">
        <x:v>Interface, receiver and residual</x:v>
      </x:c>
      <x:c r="H123" s="47" t="str">
        <x:v>geology, well access, reservoir, brine and conversion train: same interface obligations and terminal dispositions</x:v>
      </x:c>
      <x:c r="I123" s="56" t="n">
        <x:v>0</x:v>
      </x:c>
      <x:c r="J123" s="56" t="n">
        <x:v>0</x:v>
      </x:c>
      <x:c r="K123" s="47" t="str">
        <x:f>IF(AND(I123=1,J123=1),"SEMANTIC MATCH","OPEN")</x:f>
        <x:v>OPEN</x:v>
      </x:c>
      <x:c r="L123" s="47" t="str">
        <x:f>IF(K123="SEMANTIC MATCH","NO—DESIGN REPRODUCIBILITY ONLY","NONE")</x:f>
        <x:v>NONE</x:v>
      </x:c>
      <x:c r="M123" s="84"/>
      <x:c r="N123" s="84"/>
    </x:row>
    <x:row r="124">
      <x:c r="A124" s="47" t="str">
        <x:v>IG118</x:v>
      </x:c>
      <x:c r="B124" s="47" t="str">
        <x:v>P20</x:v>
      </x:c>
      <x:c r="C124" s="47" t="str">
        <x:v>LF-B</x:v>
      </x:c>
      <x:c r="D124" s="47" t="str">
        <x:v>LF-B-A</x:v>
      </x:c>
      <x:c r="E124" s="47" t="str">
        <x:v>REBUILD</x:v>
      </x:c>
      <x:c r="F124" s="47" t="str">
        <x:v>I04</x:v>
      </x:c>
      <x:c r="G124" s="47" t="str">
        <x:v>Safe state and protected subject</x:v>
      </x:c>
      <x:c r="H124" s="47" t="str">
        <x:v>geology, well access, reservoir, brine and conversion train: same protected subject, harm threshold and safe state</x:v>
      </x:c>
      <x:c r="I124" s="56" t="n">
        <x:v>0</x:v>
      </x:c>
      <x:c r="J124" s="56" t="n">
        <x:v>0</x:v>
      </x:c>
      <x:c r="K124" s="47" t="str">
        <x:f>IF(AND(I124=1,J124=1),"SEMANTIC MATCH","OPEN")</x:f>
        <x:v>OPEN</x:v>
      </x:c>
      <x:c r="L124" s="47" t="str">
        <x:f>IF(K124="SEMANTIC MATCH","NO—DESIGN REPRODUCIBILITY ONLY","NONE")</x:f>
        <x:v>NONE</x:v>
      </x:c>
      <x:c r="M124" s="84"/>
      <x:c r="N124" s="84"/>
    </x:row>
    <x:row r="125">
      <x:c r="A125" s="47" t="str">
        <x:v>IG119</x:v>
      </x:c>
      <x:c r="B125" s="47" t="str">
        <x:v>P20</x:v>
      </x:c>
      <x:c r="C125" s="47" t="str">
        <x:v>LF-B</x:v>
      </x:c>
      <x:c r="D125" s="47" t="str">
        <x:v>LF-B-A</x:v>
      </x:c>
      <x:c r="E125" s="47" t="str">
        <x:v>REBUILD</x:v>
      </x:c>
      <x:c r="F125" s="47" t="str">
        <x:v>I05</x:v>
      </x:c>
      <x:c r="G125" s="47" t="str">
        <x:v>Uncertainty and sensitivity</x:v>
      </x:c>
      <x:c r="H125" s="47" t="str">
        <x:v>geology, well access, reservoir, brine and conversion train: same uncertainty classes and adverse-direction test</x:v>
      </x:c>
      <x:c r="I125" s="56" t="n">
        <x:v>0</x:v>
      </x:c>
      <x:c r="J125" s="56" t="n">
        <x:v>0</x:v>
      </x:c>
      <x:c r="K125" s="47" t="str">
        <x:f>IF(AND(I125=1,J125=1),"SEMANTIC MATCH","OPEN")</x:f>
        <x:v>OPEN</x:v>
      </x:c>
      <x:c r="L125" s="47" t="str">
        <x:f>IF(K125="SEMANTIC MATCH","NO—DESIGN REPRODUCIBILITY ONLY","NONE")</x:f>
        <x:v>NONE</x:v>
      </x:c>
      <x:c r="M125" s="84"/>
      <x:c r="N125" s="84"/>
    </x:row>
    <x:row r="126">
      <x:c r="A126" s="47" t="str">
        <x:v>IG120</x:v>
      </x:c>
      <x:c r="B126" s="47" t="str">
        <x:v>P20</x:v>
      </x:c>
      <x:c r="C126" s="47" t="str">
        <x:v>LF-B</x:v>
      </x:c>
      <x:c r="D126" s="47" t="str">
        <x:v>LF-B-A</x:v>
      </x:c>
      <x:c r="E126" s="47" t="str">
        <x:v>REBUILD</x:v>
      </x:c>
      <x:c r="F126" s="47" t="str">
        <x:v>I06</x:v>
      </x:c>
      <x:c r="G126" s="47" t="str">
        <x:v>Rebuild and supersession</x:v>
      </x:c>
      <x:c r="H126" s="47" t="str">
        <x:v>geology, well access, reservoir, brine and conversion train: same acceptance, expiry, divergence and lineage law</x:v>
      </x:c>
      <x:c r="I126" s="56" t="n">
        <x:v>0</x:v>
      </x:c>
      <x:c r="J126" s="56" t="n">
        <x:v>0</x:v>
      </x:c>
      <x:c r="K126" s="47" t="str">
        <x:f>IF(AND(I126=1,J126=1),"SEMANTIC MATCH","OPEN")</x:f>
        <x:v>OPEN</x:v>
      </x:c>
      <x:c r="L126" s="47" t="str">
        <x:f>IF(K126="SEMANTIC MATCH","NO—DESIGN REPRODUCIBILITY ONLY","NONE")</x:f>
        <x:v>NONE</x:v>
      </x:c>
      <x:c r="M126" s="84"/>
      <x:c r="N126" s="84"/>
    </x:row>
    <x:row r="127">
      <x:c r="A127" s="47" t="str">
        <x:v>IG121</x:v>
      </x:c>
      <x:c r="B127" s="47" t="str">
        <x:v>P21</x:v>
      </x:c>
      <x:c r="C127" s="47" t="str">
        <x:v>HU-A</x:v>
      </x:c>
      <x:c r="D127" s="47" t="str">
        <x:v>HU-A-B</x:v>
      </x:c>
      <x:c r="E127" s="47" t="str">
        <x:v>METHOD</x:v>
      </x:c>
      <x:c r="F127" s="47" t="str">
        <x:v>I01</x:v>
      </x:c>
      <x:c r="G127" s="47" t="str">
        <x:v>Identity and boundary</x:v>
      </x:c>
      <x:c r="H127" s="47" t="str">
        <x:v>care pathway, infection control, lifeline and relationship custody: same configuration, system boundary and declared world</x:v>
      </x:c>
      <x:c r="I127" s="56" t="n">
        <x:v>0</x:v>
      </x:c>
      <x:c r="J127" s="56" t="n">
        <x:v>0</x:v>
      </x:c>
      <x:c r="K127" s="47" t="str">
        <x:f>IF(AND(I127=1,J127=1),"SEMANTIC MATCH","OPEN")</x:f>
        <x:v>OPEN</x:v>
      </x:c>
      <x:c r="L127" s="47" t="str">
        <x:f>IF(K127="SEMANTIC MATCH","NO—DESIGN REPRODUCIBILITY ONLY","NONE")</x:f>
        <x:v>NONE</x:v>
      </x:c>
      <x:c r="M127" s="84"/>
      <x:c r="N127" s="84"/>
    </x:row>
    <x:row r="128">
      <x:c r="A128" s="47" t="str">
        <x:v>IG122</x:v>
      </x:c>
      <x:c r="B128" s="47" t="str">
        <x:v>P21</x:v>
      </x:c>
      <x:c r="C128" s="47" t="str">
        <x:v>HU-A</x:v>
      </x:c>
      <x:c r="D128" s="47" t="str">
        <x:v>HU-A-B</x:v>
      </x:c>
      <x:c r="E128" s="47" t="str">
        <x:v>METHOD</x:v>
      </x:c>
      <x:c r="F128" s="47" t="str">
        <x:v>I02</x:v>
      </x:c>
      <x:c r="G128" s="47" t="str">
        <x:v>Conservation and causal closure</x:v>
      </x:c>
      <x:c r="H128" s="47" t="str">
        <x:v>care pathway, infection control, lifeline and relationship custody: same conserved accounts and causal direction</x:v>
      </x:c>
      <x:c r="I128" s="56" t="n">
        <x:v>0</x:v>
      </x:c>
      <x:c r="J128" s="56" t="n">
        <x:v>0</x:v>
      </x:c>
      <x:c r="K128" s="47" t="str">
        <x:f>IF(AND(I128=1,J128=1),"SEMANTIC MATCH","OPEN")</x:f>
        <x:v>OPEN</x:v>
      </x:c>
      <x:c r="L128" s="47" t="str">
        <x:f>IF(K128="SEMANTIC MATCH","NO—DESIGN REPRODUCIBILITY ONLY","NONE")</x:f>
        <x:v>NONE</x:v>
      </x:c>
      <x:c r="M128" s="84"/>
      <x:c r="N128" s="84"/>
    </x:row>
    <x:row r="129">
      <x:c r="A129" s="47" t="str">
        <x:v>IG123</x:v>
      </x:c>
      <x:c r="B129" s="47" t="str">
        <x:v>P21</x:v>
      </x:c>
      <x:c r="C129" s="47" t="str">
        <x:v>HU-A</x:v>
      </x:c>
      <x:c r="D129" s="47" t="str">
        <x:v>HU-A-B</x:v>
      </x:c>
      <x:c r="E129" s="47" t="str">
        <x:v>METHOD</x:v>
      </x:c>
      <x:c r="F129" s="47" t="str">
        <x:v>I03</x:v>
      </x:c>
      <x:c r="G129" s="47" t="str">
        <x:v>Interface, receiver and residual</x:v>
      </x:c>
      <x:c r="H129" s="47" t="str">
        <x:v>care pathway, infection control, lifeline and relationship custody: same interface obligations and terminal dispositions</x:v>
      </x:c>
      <x:c r="I129" s="56" t="n">
        <x:v>0</x:v>
      </x:c>
      <x:c r="J129" s="56" t="n">
        <x:v>0</x:v>
      </x:c>
      <x:c r="K129" s="47" t="str">
        <x:f>IF(AND(I129=1,J129=1),"SEMANTIC MATCH","OPEN")</x:f>
        <x:v>OPEN</x:v>
      </x:c>
      <x:c r="L129" s="47" t="str">
        <x:f>IF(K129="SEMANTIC MATCH","NO—DESIGN REPRODUCIBILITY ONLY","NONE")</x:f>
        <x:v>NONE</x:v>
      </x:c>
      <x:c r="M129" s="84"/>
      <x:c r="N129" s="84"/>
    </x:row>
    <x:row r="130">
      <x:c r="A130" s="47" t="str">
        <x:v>IG124</x:v>
      </x:c>
      <x:c r="B130" s="47" t="str">
        <x:v>P21</x:v>
      </x:c>
      <x:c r="C130" s="47" t="str">
        <x:v>HU-A</x:v>
      </x:c>
      <x:c r="D130" s="47" t="str">
        <x:v>HU-A-B</x:v>
      </x:c>
      <x:c r="E130" s="47" t="str">
        <x:v>METHOD</x:v>
      </x:c>
      <x:c r="F130" s="47" t="str">
        <x:v>I04</x:v>
      </x:c>
      <x:c r="G130" s="47" t="str">
        <x:v>Safe state and protected subject</x:v>
      </x:c>
      <x:c r="H130" s="47" t="str">
        <x:v>care pathway, infection control, lifeline and relationship custody: same protected subject, harm threshold and safe state</x:v>
      </x:c>
      <x:c r="I130" s="56" t="n">
        <x:v>0</x:v>
      </x:c>
      <x:c r="J130" s="56" t="n">
        <x:v>0</x:v>
      </x:c>
      <x:c r="K130" s="47" t="str">
        <x:f>IF(AND(I130=1,J130=1),"SEMANTIC MATCH","OPEN")</x:f>
        <x:v>OPEN</x:v>
      </x:c>
      <x:c r="L130" s="47" t="str">
        <x:f>IF(K130="SEMANTIC MATCH","NO—DESIGN REPRODUCIBILITY ONLY","NONE")</x:f>
        <x:v>NONE</x:v>
      </x:c>
      <x:c r="M130" s="84"/>
      <x:c r="N130" s="84"/>
    </x:row>
    <x:row r="131">
      <x:c r="A131" s="47" t="str">
        <x:v>IG125</x:v>
      </x:c>
      <x:c r="B131" s="47" t="str">
        <x:v>P21</x:v>
      </x:c>
      <x:c r="C131" s="47" t="str">
        <x:v>HU-A</x:v>
      </x:c>
      <x:c r="D131" s="47" t="str">
        <x:v>HU-A-B</x:v>
      </x:c>
      <x:c r="E131" s="47" t="str">
        <x:v>METHOD</x:v>
      </x:c>
      <x:c r="F131" s="47" t="str">
        <x:v>I05</x:v>
      </x:c>
      <x:c r="G131" s="47" t="str">
        <x:v>Uncertainty and sensitivity</x:v>
      </x:c>
      <x:c r="H131" s="47" t="str">
        <x:v>care pathway, infection control, lifeline and relationship custody: same uncertainty classes and adverse-direction test</x:v>
      </x:c>
      <x:c r="I131" s="56" t="n">
        <x:v>0</x:v>
      </x:c>
      <x:c r="J131" s="56" t="n">
        <x:v>0</x:v>
      </x:c>
      <x:c r="K131" s="47" t="str">
        <x:f>IF(AND(I131=1,J131=1),"SEMANTIC MATCH","OPEN")</x:f>
        <x:v>OPEN</x:v>
      </x:c>
      <x:c r="L131" s="47" t="str">
        <x:f>IF(K131="SEMANTIC MATCH","NO—DESIGN REPRODUCIBILITY ONLY","NONE")</x:f>
        <x:v>NONE</x:v>
      </x:c>
      <x:c r="M131" s="84"/>
      <x:c r="N131" s="84"/>
    </x:row>
    <x:row r="132">
      <x:c r="A132" s="47" t="str">
        <x:v>IG126</x:v>
      </x:c>
      <x:c r="B132" s="47" t="str">
        <x:v>P21</x:v>
      </x:c>
      <x:c r="C132" s="47" t="str">
        <x:v>HU-A</x:v>
      </x:c>
      <x:c r="D132" s="47" t="str">
        <x:v>HU-A-B</x:v>
      </x:c>
      <x:c r="E132" s="47" t="str">
        <x:v>METHOD</x:v>
      </x:c>
      <x:c r="F132" s="47" t="str">
        <x:v>I06</x:v>
      </x:c>
      <x:c r="G132" s="47" t="str">
        <x:v>Rebuild and supersession</x:v>
      </x:c>
      <x:c r="H132" s="47" t="str">
        <x:v>care pathway, infection control, lifeline and relationship custody: same acceptance, expiry, divergence and lineage law</x:v>
      </x:c>
      <x:c r="I132" s="56" t="n">
        <x:v>0</x:v>
      </x:c>
      <x:c r="J132" s="56" t="n">
        <x:v>0</x:v>
      </x:c>
      <x:c r="K132" s="47" t="str">
        <x:f>IF(AND(I132=1,J132=1),"SEMANTIC MATCH","OPEN")</x:f>
        <x:v>OPEN</x:v>
      </x:c>
      <x:c r="L132" s="47" t="str">
        <x:f>IF(K132="SEMANTIC MATCH","NO—DESIGN REPRODUCIBILITY ONLY","NONE")</x:f>
        <x:v>NONE</x:v>
      </x:c>
      <x:c r="M132" s="84"/>
      <x:c r="N132" s="84"/>
    </x:row>
    <x:row r="133">
      <x:c r="A133" s="47" t="str">
        <x:v>IG127</x:v>
      </x:c>
      <x:c r="B133" s="47" t="str">
        <x:v>P22</x:v>
      </x:c>
      <x:c r="C133" s="47" t="str">
        <x:v>HU-A</x:v>
      </x:c>
      <x:c r="D133" s="47" t="str">
        <x:v>HU-A-B</x:v>
      </x:c>
      <x:c r="E133" s="47" t="str">
        <x:v>VALID</x:v>
      </x:c>
      <x:c r="F133" s="47" t="str">
        <x:v>I01</x:v>
      </x:c>
      <x:c r="G133" s="47" t="str">
        <x:v>Identity and boundary</x:v>
      </x:c>
      <x:c r="H133" s="47" t="str">
        <x:v>care pathway, infection control, lifeline and relationship custody: same configuration, system boundary and declared world</x:v>
      </x:c>
      <x:c r="I133" s="56" t="n">
        <x:v>0</x:v>
      </x:c>
      <x:c r="J133" s="56" t="n">
        <x:v>0</x:v>
      </x:c>
      <x:c r="K133" s="47" t="str">
        <x:f>IF(AND(I133=1,J133=1),"SEMANTIC MATCH","OPEN")</x:f>
        <x:v>OPEN</x:v>
      </x:c>
      <x:c r="L133" s="47" t="str">
        <x:f>IF(K133="SEMANTIC MATCH","NO—DESIGN REPRODUCIBILITY ONLY","NONE")</x:f>
        <x:v>NONE</x:v>
      </x:c>
      <x:c r="M133" s="84"/>
      <x:c r="N133" s="84"/>
    </x:row>
    <x:row r="134">
      <x:c r="A134" s="47" t="str">
        <x:v>IG128</x:v>
      </x:c>
      <x:c r="B134" s="47" t="str">
        <x:v>P22</x:v>
      </x:c>
      <x:c r="C134" s="47" t="str">
        <x:v>HU-A</x:v>
      </x:c>
      <x:c r="D134" s="47" t="str">
        <x:v>HU-A-B</x:v>
      </x:c>
      <x:c r="E134" s="47" t="str">
        <x:v>VALID</x:v>
      </x:c>
      <x:c r="F134" s="47" t="str">
        <x:v>I02</x:v>
      </x:c>
      <x:c r="G134" s="47" t="str">
        <x:v>Conservation and causal closure</x:v>
      </x:c>
      <x:c r="H134" s="47" t="str">
        <x:v>care pathway, infection control, lifeline and relationship custody: same conserved accounts and causal direction</x:v>
      </x:c>
      <x:c r="I134" s="56" t="n">
        <x:v>0</x:v>
      </x:c>
      <x:c r="J134" s="56" t="n">
        <x:v>0</x:v>
      </x:c>
      <x:c r="K134" s="47" t="str">
        <x:f>IF(AND(I134=1,J134=1),"SEMANTIC MATCH","OPEN")</x:f>
        <x:v>OPEN</x:v>
      </x:c>
      <x:c r="L134" s="47" t="str">
        <x:f>IF(K134="SEMANTIC MATCH","NO—DESIGN REPRODUCIBILITY ONLY","NONE")</x:f>
        <x:v>NONE</x:v>
      </x:c>
      <x:c r="M134" s="84"/>
      <x:c r="N134" s="84"/>
    </x:row>
    <x:row r="135">
      <x:c r="A135" s="47" t="str">
        <x:v>IG129</x:v>
      </x:c>
      <x:c r="B135" s="47" t="str">
        <x:v>P22</x:v>
      </x:c>
      <x:c r="C135" s="47" t="str">
        <x:v>HU-A</x:v>
      </x:c>
      <x:c r="D135" s="47" t="str">
        <x:v>HU-A-B</x:v>
      </x:c>
      <x:c r="E135" s="47" t="str">
        <x:v>VALID</x:v>
      </x:c>
      <x:c r="F135" s="47" t="str">
        <x:v>I03</x:v>
      </x:c>
      <x:c r="G135" s="47" t="str">
        <x:v>Interface, receiver and residual</x:v>
      </x:c>
      <x:c r="H135" s="47" t="str">
        <x:v>care pathway, infection control, lifeline and relationship custody: same interface obligations and terminal dispositions</x:v>
      </x:c>
      <x:c r="I135" s="56" t="n">
        <x:v>0</x:v>
      </x:c>
      <x:c r="J135" s="56" t="n">
        <x:v>0</x:v>
      </x:c>
      <x:c r="K135" s="47" t="str">
        <x:f>IF(AND(I135=1,J135=1),"SEMANTIC MATCH","OPEN")</x:f>
        <x:v>OPEN</x:v>
      </x:c>
      <x:c r="L135" s="47" t="str">
        <x:f>IF(K135="SEMANTIC MATCH","NO—DESIGN REPRODUCIBILITY ONLY","NONE")</x:f>
        <x:v>NONE</x:v>
      </x:c>
      <x:c r="M135" s="84"/>
      <x:c r="N135" s="84"/>
    </x:row>
    <x:row r="136">
      <x:c r="A136" s="47" t="str">
        <x:v>IG130</x:v>
      </x:c>
      <x:c r="B136" s="47" t="str">
        <x:v>P22</x:v>
      </x:c>
      <x:c r="C136" s="47" t="str">
        <x:v>HU-A</x:v>
      </x:c>
      <x:c r="D136" s="47" t="str">
        <x:v>HU-A-B</x:v>
      </x:c>
      <x:c r="E136" s="47" t="str">
        <x:v>VALID</x:v>
      </x:c>
      <x:c r="F136" s="47" t="str">
        <x:v>I04</x:v>
      </x:c>
      <x:c r="G136" s="47" t="str">
        <x:v>Safe state and protected subject</x:v>
      </x:c>
      <x:c r="H136" s="47" t="str">
        <x:v>care pathway, infection control, lifeline and relationship custody: same protected subject, harm threshold and safe state</x:v>
      </x:c>
      <x:c r="I136" s="56" t="n">
        <x:v>0</x:v>
      </x:c>
      <x:c r="J136" s="56" t="n">
        <x:v>0</x:v>
      </x:c>
      <x:c r="K136" s="47" t="str">
        <x:f>IF(AND(I136=1,J136=1),"SEMANTIC MATCH","OPEN")</x:f>
        <x:v>OPEN</x:v>
      </x:c>
      <x:c r="L136" s="47" t="str">
        <x:f>IF(K136="SEMANTIC MATCH","NO—DESIGN REPRODUCIBILITY ONLY","NONE")</x:f>
        <x:v>NONE</x:v>
      </x:c>
      <x:c r="M136" s="84"/>
      <x:c r="N136" s="84"/>
    </x:row>
    <x:row r="137">
      <x:c r="A137" s="47" t="str">
        <x:v>IG131</x:v>
      </x:c>
      <x:c r="B137" s="47" t="str">
        <x:v>P22</x:v>
      </x:c>
      <x:c r="C137" s="47" t="str">
        <x:v>HU-A</x:v>
      </x:c>
      <x:c r="D137" s="47" t="str">
        <x:v>HU-A-B</x:v>
      </x:c>
      <x:c r="E137" s="47" t="str">
        <x:v>VALID</x:v>
      </x:c>
      <x:c r="F137" s="47" t="str">
        <x:v>I05</x:v>
      </x:c>
      <x:c r="G137" s="47" t="str">
        <x:v>Uncertainty and sensitivity</x:v>
      </x:c>
      <x:c r="H137" s="47" t="str">
        <x:v>care pathway, infection control, lifeline and relationship custody: same uncertainty classes and adverse-direction test</x:v>
      </x:c>
      <x:c r="I137" s="56" t="n">
        <x:v>0</x:v>
      </x:c>
      <x:c r="J137" s="56" t="n">
        <x:v>0</x:v>
      </x:c>
      <x:c r="K137" s="47" t="str">
        <x:f>IF(AND(I137=1,J137=1),"SEMANTIC MATCH","OPEN")</x:f>
        <x:v>OPEN</x:v>
      </x:c>
      <x:c r="L137" s="47" t="str">
        <x:f>IF(K137="SEMANTIC MATCH","NO—DESIGN REPRODUCIBILITY ONLY","NONE")</x:f>
        <x:v>NONE</x:v>
      </x:c>
      <x:c r="M137" s="84"/>
      <x:c r="N137" s="84"/>
    </x:row>
    <x:row r="138">
      <x:c r="A138" s="47" t="str">
        <x:v>IG132</x:v>
      </x:c>
      <x:c r="B138" s="47" t="str">
        <x:v>P22</x:v>
      </x:c>
      <x:c r="C138" s="47" t="str">
        <x:v>HU-A</x:v>
      </x:c>
      <x:c r="D138" s="47" t="str">
        <x:v>HU-A-B</x:v>
      </x:c>
      <x:c r="E138" s="47" t="str">
        <x:v>VALID</x:v>
      </x:c>
      <x:c r="F138" s="47" t="str">
        <x:v>I06</x:v>
      </x:c>
      <x:c r="G138" s="47" t="str">
        <x:v>Rebuild and supersession</x:v>
      </x:c>
      <x:c r="H138" s="47" t="str">
        <x:v>care pathway, infection control, lifeline and relationship custody: same acceptance, expiry, divergence and lineage law</x:v>
      </x:c>
      <x:c r="I138" s="56" t="n">
        <x:v>0</x:v>
      </x:c>
      <x:c r="J138" s="56" t="n">
        <x:v>0</x:v>
      </x:c>
      <x:c r="K138" s="47" t="str">
        <x:f>IF(AND(I138=1,J138=1),"SEMANTIC MATCH","OPEN")</x:f>
        <x:v>OPEN</x:v>
      </x:c>
      <x:c r="L138" s="47" t="str">
        <x:f>IF(K138="SEMANTIC MATCH","NO—DESIGN REPRODUCIBILITY ONLY","NONE")</x:f>
        <x:v>NONE</x:v>
      </x:c>
      <x:c r="M138" s="84"/>
      <x:c r="N138" s="84"/>
    </x:row>
    <x:row r="139">
      <x:c r="A139" s="47" t="str">
        <x:v>IG133</x:v>
      </x:c>
      <x:c r="B139" s="47" t="str">
        <x:v>P23</x:v>
      </x:c>
      <x:c r="C139" s="47" t="str">
        <x:v>HU-A</x:v>
      </x:c>
      <x:c r="D139" s="47" t="str">
        <x:v>HU-A-B</x:v>
      </x:c>
      <x:c r="E139" s="47" t="str">
        <x:v>CIVIL</x:v>
      </x:c>
      <x:c r="F139" s="47" t="str">
        <x:v>I01</x:v>
      </x:c>
      <x:c r="G139" s="47" t="str">
        <x:v>Identity and boundary</x:v>
      </x:c>
      <x:c r="H139" s="47" t="str">
        <x:v>care pathway, infection control, lifeline and relationship custody: same configuration, system boundary and declared world</x:v>
      </x:c>
      <x:c r="I139" s="56" t="n">
        <x:v>0</x:v>
      </x:c>
      <x:c r="J139" s="56" t="n">
        <x:v>0</x:v>
      </x:c>
      <x:c r="K139" s="47" t="str">
        <x:f>IF(AND(I139=1,J139=1),"SEMANTIC MATCH","OPEN")</x:f>
        <x:v>OPEN</x:v>
      </x:c>
      <x:c r="L139" s="47" t="str">
        <x:f>IF(K139="SEMANTIC MATCH","NO—DESIGN REPRODUCIBILITY ONLY","NONE")</x:f>
        <x:v>NONE</x:v>
      </x:c>
      <x:c r="M139" s="84"/>
      <x:c r="N139" s="84"/>
    </x:row>
    <x:row r="140">
      <x:c r="A140" s="47" t="str">
        <x:v>IG134</x:v>
      </x:c>
      <x:c r="B140" s="47" t="str">
        <x:v>P23</x:v>
      </x:c>
      <x:c r="C140" s="47" t="str">
        <x:v>HU-A</x:v>
      </x:c>
      <x:c r="D140" s="47" t="str">
        <x:v>HU-A-B</x:v>
      </x:c>
      <x:c r="E140" s="47" t="str">
        <x:v>CIVIL</x:v>
      </x:c>
      <x:c r="F140" s="47" t="str">
        <x:v>I02</x:v>
      </x:c>
      <x:c r="G140" s="47" t="str">
        <x:v>Conservation and causal closure</x:v>
      </x:c>
      <x:c r="H140" s="47" t="str">
        <x:v>care pathway, infection control, lifeline and relationship custody: same conserved accounts and causal direction</x:v>
      </x:c>
      <x:c r="I140" s="56" t="n">
        <x:v>0</x:v>
      </x:c>
      <x:c r="J140" s="56" t="n">
        <x:v>0</x:v>
      </x:c>
      <x:c r="K140" s="47" t="str">
        <x:f>IF(AND(I140=1,J140=1),"SEMANTIC MATCH","OPEN")</x:f>
        <x:v>OPEN</x:v>
      </x:c>
      <x:c r="L140" s="47" t="str">
        <x:f>IF(K140="SEMANTIC MATCH","NO—DESIGN REPRODUCIBILITY ONLY","NONE")</x:f>
        <x:v>NONE</x:v>
      </x:c>
      <x:c r="M140" s="84"/>
      <x:c r="N140" s="84"/>
    </x:row>
    <x:row r="141">
      <x:c r="A141" s="47" t="str">
        <x:v>IG135</x:v>
      </x:c>
      <x:c r="B141" s="47" t="str">
        <x:v>P23</x:v>
      </x:c>
      <x:c r="C141" s="47" t="str">
        <x:v>HU-A</x:v>
      </x:c>
      <x:c r="D141" s="47" t="str">
        <x:v>HU-A-B</x:v>
      </x:c>
      <x:c r="E141" s="47" t="str">
        <x:v>CIVIL</x:v>
      </x:c>
      <x:c r="F141" s="47" t="str">
        <x:v>I03</x:v>
      </x:c>
      <x:c r="G141" s="47" t="str">
        <x:v>Interface, receiver and residual</x:v>
      </x:c>
      <x:c r="H141" s="47" t="str">
        <x:v>care pathway, infection control, lifeline and relationship custody: same interface obligations and terminal dispositions</x:v>
      </x:c>
      <x:c r="I141" s="56" t="n">
        <x:v>0</x:v>
      </x:c>
      <x:c r="J141" s="56" t="n">
        <x:v>0</x:v>
      </x:c>
      <x:c r="K141" s="47" t="str">
        <x:f>IF(AND(I141=1,J141=1),"SEMANTIC MATCH","OPEN")</x:f>
        <x:v>OPEN</x:v>
      </x:c>
      <x:c r="L141" s="47" t="str">
        <x:f>IF(K141="SEMANTIC MATCH","NO—DESIGN REPRODUCIBILITY ONLY","NONE")</x:f>
        <x:v>NONE</x:v>
      </x:c>
      <x:c r="M141" s="84"/>
      <x:c r="N141" s="84"/>
    </x:row>
    <x:row r="142">
      <x:c r="A142" s="47" t="str">
        <x:v>IG136</x:v>
      </x:c>
      <x:c r="B142" s="47" t="str">
        <x:v>P23</x:v>
      </x:c>
      <x:c r="C142" s="47" t="str">
        <x:v>HU-A</x:v>
      </x:c>
      <x:c r="D142" s="47" t="str">
        <x:v>HU-A-B</x:v>
      </x:c>
      <x:c r="E142" s="47" t="str">
        <x:v>CIVIL</x:v>
      </x:c>
      <x:c r="F142" s="47" t="str">
        <x:v>I04</x:v>
      </x:c>
      <x:c r="G142" s="47" t="str">
        <x:v>Safe state and protected subject</x:v>
      </x:c>
      <x:c r="H142" s="47" t="str">
        <x:v>care pathway, infection control, lifeline and relationship custody: same protected subject, harm threshold and safe state</x:v>
      </x:c>
      <x:c r="I142" s="56" t="n">
        <x:v>0</x:v>
      </x:c>
      <x:c r="J142" s="56" t="n">
        <x:v>0</x:v>
      </x:c>
      <x:c r="K142" s="47" t="str">
        <x:f>IF(AND(I142=1,J142=1),"SEMANTIC MATCH","OPEN")</x:f>
        <x:v>OPEN</x:v>
      </x:c>
      <x:c r="L142" s="47" t="str">
        <x:f>IF(K142="SEMANTIC MATCH","NO—DESIGN REPRODUCIBILITY ONLY","NONE")</x:f>
        <x:v>NONE</x:v>
      </x:c>
      <x:c r="M142" s="84"/>
      <x:c r="N142" s="84"/>
    </x:row>
    <x:row r="143">
      <x:c r="A143" s="47" t="str">
        <x:v>IG137</x:v>
      </x:c>
      <x:c r="B143" s="47" t="str">
        <x:v>P23</x:v>
      </x:c>
      <x:c r="C143" s="47" t="str">
        <x:v>HU-A</x:v>
      </x:c>
      <x:c r="D143" s="47" t="str">
        <x:v>HU-A-B</x:v>
      </x:c>
      <x:c r="E143" s="47" t="str">
        <x:v>CIVIL</x:v>
      </x:c>
      <x:c r="F143" s="47" t="str">
        <x:v>I05</x:v>
      </x:c>
      <x:c r="G143" s="47" t="str">
        <x:v>Uncertainty and sensitivity</x:v>
      </x:c>
      <x:c r="H143" s="47" t="str">
        <x:v>care pathway, infection control, lifeline and relationship custody: same uncertainty classes and adverse-direction test</x:v>
      </x:c>
      <x:c r="I143" s="56" t="n">
        <x:v>0</x:v>
      </x:c>
      <x:c r="J143" s="56" t="n">
        <x:v>0</x:v>
      </x:c>
      <x:c r="K143" s="47" t="str">
        <x:f>IF(AND(I143=1,J143=1),"SEMANTIC MATCH","OPEN")</x:f>
        <x:v>OPEN</x:v>
      </x:c>
      <x:c r="L143" s="47" t="str">
        <x:f>IF(K143="SEMANTIC MATCH","NO—DESIGN REPRODUCIBILITY ONLY","NONE")</x:f>
        <x:v>NONE</x:v>
      </x:c>
      <x:c r="M143" s="84"/>
      <x:c r="N143" s="84"/>
    </x:row>
    <x:row r="144">
      <x:c r="A144" s="47" t="str">
        <x:v>IG138</x:v>
      </x:c>
      <x:c r="B144" s="47" t="str">
        <x:v>P23</x:v>
      </x:c>
      <x:c r="C144" s="47" t="str">
        <x:v>HU-A</x:v>
      </x:c>
      <x:c r="D144" s="47" t="str">
        <x:v>HU-A-B</x:v>
      </x:c>
      <x:c r="E144" s="47" t="str">
        <x:v>CIVIL</x:v>
      </x:c>
      <x:c r="F144" s="47" t="str">
        <x:v>I06</x:v>
      </x:c>
      <x:c r="G144" s="47" t="str">
        <x:v>Rebuild and supersession</x:v>
      </x:c>
      <x:c r="H144" s="47" t="str">
        <x:v>care pathway, infection control, lifeline and relationship custody: same acceptance, expiry, divergence and lineage law</x:v>
      </x:c>
      <x:c r="I144" s="56" t="n">
        <x:v>0</x:v>
      </x:c>
      <x:c r="J144" s="56" t="n">
        <x:v>0</x:v>
      </x:c>
      <x:c r="K144" s="47" t="str">
        <x:f>IF(AND(I144=1,J144=1),"SEMANTIC MATCH","OPEN")</x:f>
        <x:v>OPEN</x:v>
      </x:c>
      <x:c r="L144" s="47" t="str">
        <x:f>IF(K144="SEMANTIC MATCH","NO—DESIGN REPRODUCIBILITY ONLY","NONE")</x:f>
        <x:v>NONE</x:v>
      </x:c>
      <x:c r="M144" s="84"/>
      <x:c r="N144" s="84"/>
    </x:row>
    <x:row r="145">
      <x:c r="A145" s="47" t="str">
        <x:v>IG139</x:v>
      </x:c>
      <x:c r="B145" s="47" t="str">
        <x:v>P24</x:v>
      </x:c>
      <x:c r="C145" s="47" t="str">
        <x:v>HU-A</x:v>
      </x:c>
      <x:c r="D145" s="47" t="str">
        <x:v>HU-A-B</x:v>
      </x:c>
      <x:c r="E145" s="47" t="str">
        <x:v>ARTICLE</x:v>
      </x:c>
      <x:c r="F145" s="47" t="str">
        <x:v>I01</x:v>
      </x:c>
      <x:c r="G145" s="47" t="str">
        <x:v>Identity and boundary</x:v>
      </x:c>
      <x:c r="H145" s="47" t="str">
        <x:v>care pathway, infection control, lifeline and relationship custody: same configuration, system boundary and declared world</x:v>
      </x:c>
      <x:c r="I145" s="56" t="n">
        <x:v>0</x:v>
      </x:c>
      <x:c r="J145" s="56" t="n">
        <x:v>0</x:v>
      </x:c>
      <x:c r="K145" s="47" t="str">
        <x:f>IF(AND(I145=1,J145=1),"SEMANTIC MATCH","OPEN")</x:f>
        <x:v>OPEN</x:v>
      </x:c>
      <x:c r="L145" s="47" t="str">
        <x:f>IF(K145="SEMANTIC MATCH","NO—DESIGN REPRODUCIBILITY ONLY","NONE")</x:f>
        <x:v>NONE</x:v>
      </x:c>
      <x:c r="M145" s="84"/>
      <x:c r="N145" s="84"/>
    </x:row>
    <x:row r="146">
      <x:c r="A146" s="47" t="str">
        <x:v>IG140</x:v>
      </x:c>
      <x:c r="B146" s="47" t="str">
        <x:v>P24</x:v>
      </x:c>
      <x:c r="C146" s="47" t="str">
        <x:v>HU-A</x:v>
      </x:c>
      <x:c r="D146" s="47" t="str">
        <x:v>HU-A-B</x:v>
      </x:c>
      <x:c r="E146" s="47" t="str">
        <x:v>ARTICLE</x:v>
      </x:c>
      <x:c r="F146" s="47" t="str">
        <x:v>I02</x:v>
      </x:c>
      <x:c r="G146" s="47" t="str">
        <x:v>Conservation and causal closure</x:v>
      </x:c>
      <x:c r="H146" s="47" t="str">
        <x:v>care pathway, infection control, lifeline and relationship custody: same conserved accounts and causal direction</x:v>
      </x:c>
      <x:c r="I146" s="56" t="n">
        <x:v>0</x:v>
      </x:c>
      <x:c r="J146" s="56" t="n">
        <x:v>0</x:v>
      </x:c>
      <x:c r="K146" s="47" t="str">
        <x:f>IF(AND(I146=1,J146=1),"SEMANTIC MATCH","OPEN")</x:f>
        <x:v>OPEN</x:v>
      </x:c>
      <x:c r="L146" s="47" t="str">
        <x:f>IF(K146="SEMANTIC MATCH","NO—DESIGN REPRODUCIBILITY ONLY","NONE")</x:f>
        <x:v>NONE</x:v>
      </x:c>
      <x:c r="M146" s="84"/>
      <x:c r="N146" s="84"/>
    </x:row>
    <x:row r="147">
      <x:c r="A147" s="47" t="str">
        <x:v>IG141</x:v>
      </x:c>
      <x:c r="B147" s="47" t="str">
        <x:v>P24</x:v>
      </x:c>
      <x:c r="C147" s="47" t="str">
        <x:v>HU-A</x:v>
      </x:c>
      <x:c r="D147" s="47" t="str">
        <x:v>HU-A-B</x:v>
      </x:c>
      <x:c r="E147" s="47" t="str">
        <x:v>ARTICLE</x:v>
      </x:c>
      <x:c r="F147" s="47" t="str">
        <x:v>I03</x:v>
      </x:c>
      <x:c r="G147" s="47" t="str">
        <x:v>Interface, receiver and residual</x:v>
      </x:c>
      <x:c r="H147" s="47" t="str">
        <x:v>care pathway, infection control, lifeline and relationship custody: same interface obligations and terminal dispositions</x:v>
      </x:c>
      <x:c r="I147" s="56" t="n">
        <x:v>0</x:v>
      </x:c>
      <x:c r="J147" s="56" t="n">
        <x:v>0</x:v>
      </x:c>
      <x:c r="K147" s="47" t="str">
        <x:f>IF(AND(I147=1,J147=1),"SEMANTIC MATCH","OPEN")</x:f>
        <x:v>OPEN</x:v>
      </x:c>
      <x:c r="L147" s="47" t="str">
        <x:f>IF(K147="SEMANTIC MATCH","NO—DESIGN REPRODUCIBILITY ONLY","NONE")</x:f>
        <x:v>NONE</x:v>
      </x:c>
      <x:c r="M147" s="84"/>
      <x:c r="N147" s="84"/>
    </x:row>
    <x:row r="148">
      <x:c r="A148" s="47" t="str">
        <x:v>IG142</x:v>
      </x:c>
      <x:c r="B148" s="47" t="str">
        <x:v>P24</x:v>
      </x:c>
      <x:c r="C148" s="47" t="str">
        <x:v>HU-A</x:v>
      </x:c>
      <x:c r="D148" s="47" t="str">
        <x:v>HU-A-B</x:v>
      </x:c>
      <x:c r="E148" s="47" t="str">
        <x:v>ARTICLE</x:v>
      </x:c>
      <x:c r="F148" s="47" t="str">
        <x:v>I04</x:v>
      </x:c>
      <x:c r="G148" s="47" t="str">
        <x:v>Safe state and protected subject</x:v>
      </x:c>
      <x:c r="H148" s="47" t="str">
        <x:v>care pathway, infection control, lifeline and relationship custody: same protected subject, harm threshold and safe state</x:v>
      </x:c>
      <x:c r="I148" s="56" t="n">
        <x:v>0</x:v>
      </x:c>
      <x:c r="J148" s="56" t="n">
        <x:v>0</x:v>
      </x:c>
      <x:c r="K148" s="47" t="str">
        <x:f>IF(AND(I148=1,J148=1),"SEMANTIC MATCH","OPEN")</x:f>
        <x:v>OPEN</x:v>
      </x:c>
      <x:c r="L148" s="47" t="str">
        <x:f>IF(K148="SEMANTIC MATCH","NO—DESIGN REPRODUCIBILITY ONLY","NONE")</x:f>
        <x:v>NONE</x:v>
      </x:c>
      <x:c r="M148" s="84"/>
      <x:c r="N148" s="84"/>
    </x:row>
    <x:row r="149">
      <x:c r="A149" s="47" t="str">
        <x:v>IG143</x:v>
      </x:c>
      <x:c r="B149" s="47" t="str">
        <x:v>P24</x:v>
      </x:c>
      <x:c r="C149" s="47" t="str">
        <x:v>HU-A</x:v>
      </x:c>
      <x:c r="D149" s="47" t="str">
        <x:v>HU-A-B</x:v>
      </x:c>
      <x:c r="E149" s="47" t="str">
        <x:v>ARTICLE</x:v>
      </x:c>
      <x:c r="F149" s="47" t="str">
        <x:v>I05</x:v>
      </x:c>
      <x:c r="G149" s="47" t="str">
        <x:v>Uncertainty and sensitivity</x:v>
      </x:c>
      <x:c r="H149" s="47" t="str">
        <x:v>care pathway, infection control, lifeline and relationship custody: same uncertainty classes and adverse-direction test</x:v>
      </x:c>
      <x:c r="I149" s="56" t="n">
        <x:v>0</x:v>
      </x:c>
      <x:c r="J149" s="56" t="n">
        <x:v>0</x:v>
      </x:c>
      <x:c r="K149" s="47" t="str">
        <x:f>IF(AND(I149=1,J149=1),"SEMANTIC MATCH","OPEN")</x:f>
        <x:v>OPEN</x:v>
      </x:c>
      <x:c r="L149" s="47" t="str">
        <x:f>IF(K149="SEMANTIC MATCH","NO—DESIGN REPRODUCIBILITY ONLY","NONE")</x:f>
        <x:v>NONE</x:v>
      </x:c>
      <x:c r="M149" s="84"/>
      <x:c r="N149" s="84"/>
    </x:row>
    <x:row r="150">
      <x:c r="A150" s="47" t="str">
        <x:v>IG144</x:v>
      </x:c>
      <x:c r="B150" s="47" t="str">
        <x:v>P24</x:v>
      </x:c>
      <x:c r="C150" s="47" t="str">
        <x:v>HU-A</x:v>
      </x:c>
      <x:c r="D150" s="47" t="str">
        <x:v>HU-A-B</x:v>
      </x:c>
      <x:c r="E150" s="47" t="str">
        <x:v>ARTICLE</x:v>
      </x:c>
      <x:c r="F150" s="47" t="str">
        <x:v>I06</x:v>
      </x:c>
      <x:c r="G150" s="47" t="str">
        <x:v>Rebuild and supersession</x:v>
      </x:c>
      <x:c r="H150" s="47" t="str">
        <x:v>care pathway, infection control, lifeline and relationship custody: same acceptance, expiry, divergence and lineage law</x:v>
      </x:c>
      <x:c r="I150" s="56" t="n">
        <x:v>0</x:v>
      </x:c>
      <x:c r="J150" s="56" t="n">
        <x:v>0</x:v>
      </x:c>
      <x:c r="K150" s="47" t="str">
        <x:f>IF(AND(I150=1,J150=1),"SEMANTIC MATCH","OPEN")</x:f>
        <x:v>OPEN</x:v>
      </x:c>
      <x:c r="L150" s="47" t="str">
        <x:f>IF(K150="SEMANTIC MATCH","NO—DESIGN REPRODUCIBILITY ONLY","NONE")</x:f>
        <x:v>NONE</x:v>
      </x:c>
      <x:c r="M150" s="84"/>
      <x:c r="N150" s="84"/>
    </x:row>
    <x:row r="151">
      <x:c r="A151" s="47" t="str">
        <x:v>IG145</x:v>
      </x:c>
      <x:c r="B151" s="47" t="str">
        <x:v>P25</x:v>
      </x:c>
      <x:c r="C151" s="47" t="str">
        <x:v>HU-A</x:v>
      </x:c>
      <x:c r="D151" s="47" t="str">
        <x:v>HU-A-B</x:v>
      </x:c>
      <x:c r="E151" s="47" t="str">
        <x:v>REBUILD</x:v>
      </x:c>
      <x:c r="F151" s="47" t="str">
        <x:v>I01</x:v>
      </x:c>
      <x:c r="G151" s="47" t="str">
        <x:v>Identity and boundary</x:v>
      </x:c>
      <x:c r="H151" s="47" t="str">
        <x:v>care pathway, infection control, lifeline and relationship custody: same configuration, system boundary and declared world</x:v>
      </x:c>
      <x:c r="I151" s="56" t="n">
        <x:v>0</x:v>
      </x:c>
      <x:c r="J151" s="56" t="n">
        <x:v>0</x:v>
      </x:c>
      <x:c r="K151" s="47" t="str">
        <x:f>IF(AND(I151=1,J151=1),"SEMANTIC MATCH","OPEN")</x:f>
        <x:v>OPEN</x:v>
      </x:c>
      <x:c r="L151" s="47" t="str">
        <x:f>IF(K151="SEMANTIC MATCH","NO—DESIGN REPRODUCIBILITY ONLY","NONE")</x:f>
        <x:v>NONE</x:v>
      </x:c>
      <x:c r="M151" s="84"/>
      <x:c r="N151" s="84"/>
    </x:row>
    <x:row r="152">
      <x:c r="A152" s="47" t="str">
        <x:v>IG146</x:v>
      </x:c>
      <x:c r="B152" s="47" t="str">
        <x:v>P25</x:v>
      </x:c>
      <x:c r="C152" s="47" t="str">
        <x:v>HU-A</x:v>
      </x:c>
      <x:c r="D152" s="47" t="str">
        <x:v>HU-A-B</x:v>
      </x:c>
      <x:c r="E152" s="47" t="str">
        <x:v>REBUILD</x:v>
      </x:c>
      <x:c r="F152" s="47" t="str">
        <x:v>I02</x:v>
      </x:c>
      <x:c r="G152" s="47" t="str">
        <x:v>Conservation and causal closure</x:v>
      </x:c>
      <x:c r="H152" s="47" t="str">
        <x:v>care pathway, infection control, lifeline and relationship custody: same conserved accounts and causal direction</x:v>
      </x:c>
      <x:c r="I152" s="56" t="n">
        <x:v>0</x:v>
      </x:c>
      <x:c r="J152" s="56" t="n">
        <x:v>0</x:v>
      </x:c>
      <x:c r="K152" s="47" t="str">
        <x:f>IF(AND(I152=1,J152=1),"SEMANTIC MATCH","OPEN")</x:f>
        <x:v>OPEN</x:v>
      </x:c>
      <x:c r="L152" s="47" t="str">
        <x:f>IF(K152="SEMANTIC MATCH","NO—DESIGN REPRODUCIBILITY ONLY","NONE")</x:f>
        <x:v>NONE</x:v>
      </x:c>
      <x:c r="M152" s="84"/>
      <x:c r="N152" s="84"/>
    </x:row>
    <x:row r="153">
      <x:c r="A153" s="47" t="str">
        <x:v>IG147</x:v>
      </x:c>
      <x:c r="B153" s="47" t="str">
        <x:v>P25</x:v>
      </x:c>
      <x:c r="C153" s="47" t="str">
        <x:v>HU-A</x:v>
      </x:c>
      <x:c r="D153" s="47" t="str">
        <x:v>HU-A-B</x:v>
      </x:c>
      <x:c r="E153" s="47" t="str">
        <x:v>REBUILD</x:v>
      </x:c>
      <x:c r="F153" s="47" t="str">
        <x:v>I03</x:v>
      </x:c>
      <x:c r="G153" s="47" t="str">
        <x:v>Interface, receiver and residual</x:v>
      </x:c>
      <x:c r="H153" s="47" t="str">
        <x:v>care pathway, infection control, lifeline and relationship custody: same interface obligations and terminal dispositions</x:v>
      </x:c>
      <x:c r="I153" s="56" t="n">
        <x:v>0</x:v>
      </x:c>
      <x:c r="J153" s="56" t="n">
        <x:v>0</x:v>
      </x:c>
      <x:c r="K153" s="47" t="str">
        <x:f>IF(AND(I153=1,J153=1),"SEMANTIC MATCH","OPEN")</x:f>
        <x:v>OPEN</x:v>
      </x:c>
      <x:c r="L153" s="47" t="str">
        <x:f>IF(K153="SEMANTIC MATCH","NO—DESIGN REPRODUCIBILITY ONLY","NONE")</x:f>
        <x:v>NONE</x:v>
      </x:c>
      <x:c r="M153" s="84"/>
      <x:c r="N153" s="84"/>
    </x:row>
    <x:row r="154">
      <x:c r="A154" s="47" t="str">
        <x:v>IG148</x:v>
      </x:c>
      <x:c r="B154" s="47" t="str">
        <x:v>P25</x:v>
      </x:c>
      <x:c r="C154" s="47" t="str">
        <x:v>HU-A</x:v>
      </x:c>
      <x:c r="D154" s="47" t="str">
        <x:v>HU-A-B</x:v>
      </x:c>
      <x:c r="E154" s="47" t="str">
        <x:v>REBUILD</x:v>
      </x:c>
      <x:c r="F154" s="47" t="str">
        <x:v>I04</x:v>
      </x:c>
      <x:c r="G154" s="47" t="str">
        <x:v>Safe state and protected subject</x:v>
      </x:c>
      <x:c r="H154" s="47" t="str">
        <x:v>care pathway, infection control, lifeline and relationship custody: same protected subject, harm threshold and safe state</x:v>
      </x:c>
      <x:c r="I154" s="56" t="n">
        <x:v>0</x:v>
      </x:c>
      <x:c r="J154" s="56" t="n">
        <x:v>0</x:v>
      </x:c>
      <x:c r="K154" s="47" t="str">
        <x:f>IF(AND(I154=1,J154=1),"SEMANTIC MATCH","OPEN")</x:f>
        <x:v>OPEN</x:v>
      </x:c>
      <x:c r="L154" s="47" t="str">
        <x:f>IF(K154="SEMANTIC MATCH","NO—DESIGN REPRODUCIBILITY ONLY","NONE")</x:f>
        <x:v>NONE</x:v>
      </x:c>
      <x:c r="M154" s="84"/>
      <x:c r="N154" s="84"/>
    </x:row>
    <x:row r="155">
      <x:c r="A155" s="47" t="str">
        <x:v>IG149</x:v>
      </x:c>
      <x:c r="B155" s="47" t="str">
        <x:v>P25</x:v>
      </x:c>
      <x:c r="C155" s="47" t="str">
        <x:v>HU-A</x:v>
      </x:c>
      <x:c r="D155" s="47" t="str">
        <x:v>HU-A-B</x:v>
      </x:c>
      <x:c r="E155" s="47" t="str">
        <x:v>REBUILD</x:v>
      </x:c>
      <x:c r="F155" s="47" t="str">
        <x:v>I05</x:v>
      </x:c>
      <x:c r="G155" s="47" t="str">
        <x:v>Uncertainty and sensitivity</x:v>
      </x:c>
      <x:c r="H155" s="47" t="str">
        <x:v>care pathway, infection control, lifeline and relationship custody: same uncertainty classes and adverse-direction test</x:v>
      </x:c>
      <x:c r="I155" s="56" t="n">
        <x:v>0</x:v>
      </x:c>
      <x:c r="J155" s="56" t="n">
        <x:v>0</x:v>
      </x:c>
      <x:c r="K155" s="47" t="str">
        <x:f>IF(AND(I155=1,J155=1),"SEMANTIC MATCH","OPEN")</x:f>
        <x:v>OPEN</x:v>
      </x:c>
      <x:c r="L155" s="47" t="str">
        <x:f>IF(K155="SEMANTIC MATCH","NO—DESIGN REPRODUCIBILITY ONLY","NONE")</x:f>
        <x:v>NONE</x:v>
      </x:c>
      <x:c r="M155" s="84"/>
      <x:c r="N155" s="84"/>
    </x:row>
    <x:row r="156">
      <x:c r="A156" s="47" t="str">
        <x:v>IG150</x:v>
      </x:c>
      <x:c r="B156" s="47" t="str">
        <x:v>P25</x:v>
      </x:c>
      <x:c r="C156" s="47" t="str">
        <x:v>HU-A</x:v>
      </x:c>
      <x:c r="D156" s="47" t="str">
        <x:v>HU-A-B</x:v>
      </x:c>
      <x:c r="E156" s="47" t="str">
        <x:v>REBUILD</x:v>
      </x:c>
      <x:c r="F156" s="47" t="str">
        <x:v>I06</x:v>
      </x:c>
      <x:c r="G156" s="47" t="str">
        <x:v>Rebuild and supersession</x:v>
      </x:c>
      <x:c r="H156" s="47" t="str">
        <x:v>care pathway, infection control, lifeline and relationship custody: same acceptance, expiry, divergence and lineage law</x:v>
      </x:c>
      <x:c r="I156" s="56" t="n">
        <x:v>0</x:v>
      </x:c>
      <x:c r="J156" s="56" t="n">
        <x:v>0</x:v>
      </x:c>
      <x:c r="K156" s="47" t="str">
        <x:f>IF(AND(I156=1,J156=1),"SEMANTIC MATCH","OPEN")</x:f>
        <x:v>OPEN</x:v>
      </x:c>
      <x:c r="L156" s="47" t="str">
        <x:f>IF(K156="SEMANTIC MATCH","NO—DESIGN REPRODUCIBILITY ONLY","NONE")</x:f>
        <x:v>NONE</x:v>
      </x:c>
      <x:c r="M156" s="84"/>
      <x:c r="N156" s="84"/>
    </x:row>
    <x:row r="157">
      <x:c r="A157" s="47" t="str">
        <x:v>IG151</x:v>
      </x:c>
      <x:c r="B157" s="47" t="str">
        <x:v>P26</x:v>
      </x:c>
      <x:c r="C157" s="47" t="str">
        <x:v>RT-B</x:v>
      </x:c>
      <x:c r="D157" s="47" t="str">
        <x:v>RT-B-C</x:v>
      </x:c>
      <x:c r="E157" s="47" t="str">
        <x:v>METHOD</x:v>
      </x:c>
      <x:c r="F157" s="47" t="str">
        <x:v>I01</x:v>
      </x:c>
      <x:c r="G157" s="47" t="str">
        <x:v>Identity and boundary</x:v>
      </x:c>
      <x:c r="H157" s="47" t="str">
        <x:v>process genealogy, metrology, substitution and requalification: same configuration, system boundary and declared world</x:v>
      </x:c>
      <x:c r="I157" s="56" t="n">
        <x:v>0</x:v>
      </x:c>
      <x:c r="J157" s="56" t="n">
        <x:v>0</x:v>
      </x:c>
      <x:c r="K157" s="47" t="str">
        <x:f>IF(AND(I157=1,J157=1),"SEMANTIC MATCH","OPEN")</x:f>
        <x:v>OPEN</x:v>
      </x:c>
      <x:c r="L157" s="47" t="str">
        <x:f>IF(K157="SEMANTIC MATCH","NO—DESIGN REPRODUCIBILITY ONLY","NONE")</x:f>
        <x:v>NONE</x:v>
      </x:c>
      <x:c r="M157" s="84"/>
      <x:c r="N157" s="84"/>
    </x:row>
    <x:row r="158">
      <x:c r="A158" s="47" t="str">
        <x:v>IG152</x:v>
      </x:c>
      <x:c r="B158" s="47" t="str">
        <x:v>P26</x:v>
      </x:c>
      <x:c r="C158" s="47" t="str">
        <x:v>RT-B</x:v>
      </x:c>
      <x:c r="D158" s="47" t="str">
        <x:v>RT-B-C</x:v>
      </x:c>
      <x:c r="E158" s="47" t="str">
        <x:v>METHOD</x:v>
      </x:c>
      <x:c r="F158" s="47" t="str">
        <x:v>I02</x:v>
      </x:c>
      <x:c r="G158" s="47" t="str">
        <x:v>Conservation and causal closure</x:v>
      </x:c>
      <x:c r="H158" s="47" t="str">
        <x:v>process genealogy, metrology, substitution and requalification: same conserved accounts and causal direction</x:v>
      </x:c>
      <x:c r="I158" s="56" t="n">
        <x:v>0</x:v>
      </x:c>
      <x:c r="J158" s="56" t="n">
        <x:v>0</x:v>
      </x:c>
      <x:c r="K158" s="47" t="str">
        <x:f>IF(AND(I158=1,J158=1),"SEMANTIC MATCH","OPEN")</x:f>
        <x:v>OPEN</x:v>
      </x:c>
      <x:c r="L158" s="47" t="str">
        <x:f>IF(K158="SEMANTIC MATCH","NO—DESIGN REPRODUCIBILITY ONLY","NONE")</x:f>
        <x:v>NONE</x:v>
      </x:c>
      <x:c r="M158" s="84"/>
      <x:c r="N158" s="84"/>
    </x:row>
    <x:row r="159">
      <x:c r="A159" s="47" t="str">
        <x:v>IG153</x:v>
      </x:c>
      <x:c r="B159" s="47" t="str">
        <x:v>P26</x:v>
      </x:c>
      <x:c r="C159" s="47" t="str">
        <x:v>RT-B</x:v>
      </x:c>
      <x:c r="D159" s="47" t="str">
        <x:v>RT-B-C</x:v>
      </x:c>
      <x:c r="E159" s="47" t="str">
        <x:v>METHOD</x:v>
      </x:c>
      <x:c r="F159" s="47" t="str">
        <x:v>I03</x:v>
      </x:c>
      <x:c r="G159" s="47" t="str">
        <x:v>Interface, receiver and residual</x:v>
      </x:c>
      <x:c r="H159" s="47" t="str">
        <x:v>process genealogy, metrology, substitution and requalification: same interface obligations and terminal dispositions</x:v>
      </x:c>
      <x:c r="I159" s="56" t="n">
        <x:v>0</x:v>
      </x:c>
      <x:c r="J159" s="56" t="n">
        <x:v>0</x:v>
      </x:c>
      <x:c r="K159" s="47" t="str">
        <x:f>IF(AND(I159=1,J159=1),"SEMANTIC MATCH","OPEN")</x:f>
        <x:v>OPEN</x:v>
      </x:c>
      <x:c r="L159" s="47" t="str">
        <x:f>IF(K159="SEMANTIC MATCH","NO—DESIGN REPRODUCIBILITY ONLY","NONE")</x:f>
        <x:v>NONE</x:v>
      </x:c>
      <x:c r="M159" s="84"/>
      <x:c r="N159" s="84"/>
    </x:row>
    <x:row r="160">
      <x:c r="A160" s="47" t="str">
        <x:v>IG154</x:v>
      </x:c>
      <x:c r="B160" s="47" t="str">
        <x:v>P26</x:v>
      </x:c>
      <x:c r="C160" s="47" t="str">
        <x:v>RT-B</x:v>
      </x:c>
      <x:c r="D160" s="47" t="str">
        <x:v>RT-B-C</x:v>
      </x:c>
      <x:c r="E160" s="47" t="str">
        <x:v>METHOD</x:v>
      </x:c>
      <x:c r="F160" s="47" t="str">
        <x:v>I04</x:v>
      </x:c>
      <x:c r="G160" s="47" t="str">
        <x:v>Safe state and protected subject</x:v>
      </x:c>
      <x:c r="H160" s="47" t="str">
        <x:v>process genealogy, metrology, substitution and requalification: same protected subject, harm threshold and safe state</x:v>
      </x:c>
      <x:c r="I160" s="56" t="n">
        <x:v>0</x:v>
      </x:c>
      <x:c r="J160" s="56" t="n">
        <x:v>0</x:v>
      </x:c>
      <x:c r="K160" s="47" t="str">
        <x:f>IF(AND(I160=1,J160=1),"SEMANTIC MATCH","OPEN")</x:f>
        <x:v>OPEN</x:v>
      </x:c>
      <x:c r="L160" s="47" t="str">
        <x:f>IF(K160="SEMANTIC MATCH","NO—DESIGN REPRODUCIBILITY ONLY","NONE")</x:f>
        <x:v>NONE</x:v>
      </x:c>
      <x:c r="M160" s="84"/>
      <x:c r="N160" s="84"/>
    </x:row>
    <x:row r="161">
      <x:c r="A161" s="47" t="str">
        <x:v>IG155</x:v>
      </x:c>
      <x:c r="B161" s="47" t="str">
        <x:v>P26</x:v>
      </x:c>
      <x:c r="C161" s="47" t="str">
        <x:v>RT-B</x:v>
      </x:c>
      <x:c r="D161" s="47" t="str">
        <x:v>RT-B-C</x:v>
      </x:c>
      <x:c r="E161" s="47" t="str">
        <x:v>METHOD</x:v>
      </x:c>
      <x:c r="F161" s="47" t="str">
        <x:v>I05</x:v>
      </x:c>
      <x:c r="G161" s="47" t="str">
        <x:v>Uncertainty and sensitivity</x:v>
      </x:c>
      <x:c r="H161" s="47" t="str">
        <x:v>process genealogy, metrology, substitution and requalification: same uncertainty classes and adverse-direction test</x:v>
      </x:c>
      <x:c r="I161" s="56" t="n">
        <x:v>0</x:v>
      </x:c>
      <x:c r="J161" s="56" t="n">
        <x:v>0</x:v>
      </x:c>
      <x:c r="K161" s="47" t="str">
        <x:f>IF(AND(I161=1,J161=1),"SEMANTIC MATCH","OPEN")</x:f>
        <x:v>OPEN</x:v>
      </x:c>
      <x:c r="L161" s="47" t="str">
        <x:f>IF(K161="SEMANTIC MATCH","NO—DESIGN REPRODUCIBILITY ONLY","NONE")</x:f>
        <x:v>NONE</x:v>
      </x:c>
      <x:c r="M161" s="84"/>
      <x:c r="N161" s="84"/>
    </x:row>
    <x:row r="162">
      <x:c r="A162" s="47" t="str">
        <x:v>IG156</x:v>
      </x:c>
      <x:c r="B162" s="47" t="str">
        <x:v>P26</x:v>
      </x:c>
      <x:c r="C162" s="47" t="str">
        <x:v>RT-B</x:v>
      </x:c>
      <x:c r="D162" s="47" t="str">
        <x:v>RT-B-C</x:v>
      </x:c>
      <x:c r="E162" s="47" t="str">
        <x:v>METHOD</x:v>
      </x:c>
      <x:c r="F162" s="47" t="str">
        <x:v>I06</x:v>
      </x:c>
      <x:c r="G162" s="47" t="str">
        <x:v>Rebuild and supersession</x:v>
      </x:c>
      <x:c r="H162" s="47" t="str">
        <x:v>process genealogy, metrology, substitution and requalification: same acceptance, expiry, divergence and lineage law</x:v>
      </x:c>
      <x:c r="I162" s="56" t="n">
        <x:v>0</x:v>
      </x:c>
      <x:c r="J162" s="56" t="n">
        <x:v>0</x:v>
      </x:c>
      <x:c r="K162" s="47" t="str">
        <x:f>IF(AND(I162=1,J162=1),"SEMANTIC MATCH","OPEN")</x:f>
        <x:v>OPEN</x:v>
      </x:c>
      <x:c r="L162" s="47" t="str">
        <x:f>IF(K162="SEMANTIC MATCH","NO—DESIGN REPRODUCIBILITY ONLY","NONE")</x:f>
        <x:v>NONE</x:v>
      </x:c>
      <x:c r="M162" s="84"/>
      <x:c r="N162" s="84"/>
    </x:row>
    <x:row r="163">
      <x:c r="A163" s="47" t="str">
        <x:v>IG157</x:v>
      </x:c>
      <x:c r="B163" s="47" t="str">
        <x:v>P27</x:v>
      </x:c>
      <x:c r="C163" s="47" t="str">
        <x:v>RT-B</x:v>
      </x:c>
      <x:c r="D163" s="47" t="str">
        <x:v>RT-B-C</x:v>
      </x:c>
      <x:c r="E163" s="47" t="str">
        <x:v>VALID</x:v>
      </x:c>
      <x:c r="F163" s="47" t="str">
        <x:v>I01</x:v>
      </x:c>
      <x:c r="G163" s="47" t="str">
        <x:v>Identity and boundary</x:v>
      </x:c>
      <x:c r="H163" s="47" t="str">
        <x:v>process genealogy, metrology, substitution and requalification: same configuration, system boundary and declared world</x:v>
      </x:c>
      <x:c r="I163" s="56" t="n">
        <x:v>0</x:v>
      </x:c>
      <x:c r="J163" s="56" t="n">
        <x:v>0</x:v>
      </x:c>
      <x:c r="K163" s="47" t="str">
        <x:f>IF(AND(I163=1,J163=1),"SEMANTIC MATCH","OPEN")</x:f>
        <x:v>OPEN</x:v>
      </x:c>
      <x:c r="L163" s="47" t="str">
        <x:f>IF(K163="SEMANTIC MATCH","NO—DESIGN REPRODUCIBILITY ONLY","NONE")</x:f>
        <x:v>NONE</x:v>
      </x:c>
      <x:c r="M163" s="84"/>
      <x:c r="N163" s="84"/>
    </x:row>
    <x:row r="164">
      <x:c r="A164" s="47" t="str">
        <x:v>IG158</x:v>
      </x:c>
      <x:c r="B164" s="47" t="str">
        <x:v>P27</x:v>
      </x:c>
      <x:c r="C164" s="47" t="str">
        <x:v>RT-B</x:v>
      </x:c>
      <x:c r="D164" s="47" t="str">
        <x:v>RT-B-C</x:v>
      </x:c>
      <x:c r="E164" s="47" t="str">
        <x:v>VALID</x:v>
      </x:c>
      <x:c r="F164" s="47" t="str">
        <x:v>I02</x:v>
      </x:c>
      <x:c r="G164" s="47" t="str">
        <x:v>Conservation and causal closure</x:v>
      </x:c>
      <x:c r="H164" s="47" t="str">
        <x:v>process genealogy, metrology, substitution and requalification: same conserved accounts and causal direction</x:v>
      </x:c>
      <x:c r="I164" s="56" t="n">
        <x:v>0</x:v>
      </x:c>
      <x:c r="J164" s="56" t="n">
        <x:v>0</x:v>
      </x:c>
      <x:c r="K164" s="47" t="str">
        <x:f>IF(AND(I164=1,J164=1),"SEMANTIC MATCH","OPEN")</x:f>
        <x:v>OPEN</x:v>
      </x:c>
      <x:c r="L164" s="47" t="str">
        <x:f>IF(K164="SEMANTIC MATCH","NO—DESIGN REPRODUCIBILITY ONLY","NONE")</x:f>
        <x:v>NONE</x:v>
      </x:c>
      <x:c r="M164" s="84"/>
      <x:c r="N164" s="84"/>
    </x:row>
    <x:row r="165">
      <x:c r="A165" s="47" t="str">
        <x:v>IG159</x:v>
      </x:c>
      <x:c r="B165" s="47" t="str">
        <x:v>P27</x:v>
      </x:c>
      <x:c r="C165" s="47" t="str">
        <x:v>RT-B</x:v>
      </x:c>
      <x:c r="D165" s="47" t="str">
        <x:v>RT-B-C</x:v>
      </x:c>
      <x:c r="E165" s="47" t="str">
        <x:v>VALID</x:v>
      </x:c>
      <x:c r="F165" s="47" t="str">
        <x:v>I03</x:v>
      </x:c>
      <x:c r="G165" s="47" t="str">
        <x:v>Interface, receiver and residual</x:v>
      </x:c>
      <x:c r="H165" s="47" t="str">
        <x:v>process genealogy, metrology, substitution and requalification: same interface obligations and terminal dispositions</x:v>
      </x:c>
      <x:c r="I165" s="56" t="n">
        <x:v>0</x:v>
      </x:c>
      <x:c r="J165" s="56" t="n">
        <x:v>0</x:v>
      </x:c>
      <x:c r="K165" s="47" t="str">
        <x:f>IF(AND(I165=1,J165=1),"SEMANTIC MATCH","OPEN")</x:f>
        <x:v>OPEN</x:v>
      </x:c>
      <x:c r="L165" s="47" t="str">
        <x:f>IF(K165="SEMANTIC MATCH","NO—DESIGN REPRODUCIBILITY ONLY","NONE")</x:f>
        <x:v>NONE</x:v>
      </x:c>
      <x:c r="M165" s="84"/>
      <x:c r="N165" s="84"/>
    </x:row>
    <x:row r="166">
      <x:c r="A166" s="47" t="str">
        <x:v>IG160</x:v>
      </x:c>
      <x:c r="B166" s="47" t="str">
        <x:v>P27</x:v>
      </x:c>
      <x:c r="C166" s="47" t="str">
        <x:v>RT-B</x:v>
      </x:c>
      <x:c r="D166" s="47" t="str">
        <x:v>RT-B-C</x:v>
      </x:c>
      <x:c r="E166" s="47" t="str">
        <x:v>VALID</x:v>
      </x:c>
      <x:c r="F166" s="47" t="str">
        <x:v>I04</x:v>
      </x:c>
      <x:c r="G166" s="47" t="str">
        <x:v>Safe state and protected subject</x:v>
      </x:c>
      <x:c r="H166" s="47" t="str">
        <x:v>process genealogy, metrology, substitution and requalification: same protected subject, harm threshold and safe state</x:v>
      </x:c>
      <x:c r="I166" s="56" t="n">
        <x:v>0</x:v>
      </x:c>
      <x:c r="J166" s="56" t="n">
        <x:v>0</x:v>
      </x:c>
      <x:c r="K166" s="47" t="str">
        <x:f>IF(AND(I166=1,J166=1),"SEMANTIC MATCH","OPEN")</x:f>
        <x:v>OPEN</x:v>
      </x:c>
      <x:c r="L166" s="47" t="str">
        <x:f>IF(K166="SEMANTIC MATCH","NO—DESIGN REPRODUCIBILITY ONLY","NONE")</x:f>
        <x:v>NONE</x:v>
      </x:c>
      <x:c r="M166" s="84"/>
      <x:c r="N166" s="84"/>
    </x:row>
    <x:row r="167">
      <x:c r="A167" s="47" t="str">
        <x:v>IG161</x:v>
      </x:c>
      <x:c r="B167" s="47" t="str">
        <x:v>P27</x:v>
      </x:c>
      <x:c r="C167" s="47" t="str">
        <x:v>RT-B</x:v>
      </x:c>
      <x:c r="D167" s="47" t="str">
        <x:v>RT-B-C</x:v>
      </x:c>
      <x:c r="E167" s="47" t="str">
        <x:v>VALID</x:v>
      </x:c>
      <x:c r="F167" s="47" t="str">
        <x:v>I05</x:v>
      </x:c>
      <x:c r="G167" s="47" t="str">
        <x:v>Uncertainty and sensitivity</x:v>
      </x:c>
      <x:c r="H167" s="47" t="str">
        <x:v>process genealogy, metrology, substitution and requalification: same uncertainty classes and adverse-direction test</x:v>
      </x:c>
      <x:c r="I167" s="56" t="n">
        <x:v>0</x:v>
      </x:c>
      <x:c r="J167" s="56" t="n">
        <x:v>0</x:v>
      </x:c>
      <x:c r="K167" s="47" t="str">
        <x:f>IF(AND(I167=1,J167=1),"SEMANTIC MATCH","OPEN")</x:f>
        <x:v>OPEN</x:v>
      </x:c>
      <x:c r="L167" s="47" t="str">
        <x:f>IF(K167="SEMANTIC MATCH","NO—DESIGN REPRODUCIBILITY ONLY","NONE")</x:f>
        <x:v>NONE</x:v>
      </x:c>
      <x:c r="M167" s="84"/>
      <x:c r="N167" s="84"/>
    </x:row>
    <x:row r="168">
      <x:c r="A168" s="47" t="str">
        <x:v>IG162</x:v>
      </x:c>
      <x:c r="B168" s="47" t="str">
        <x:v>P27</x:v>
      </x:c>
      <x:c r="C168" s="47" t="str">
        <x:v>RT-B</x:v>
      </x:c>
      <x:c r="D168" s="47" t="str">
        <x:v>RT-B-C</x:v>
      </x:c>
      <x:c r="E168" s="47" t="str">
        <x:v>VALID</x:v>
      </x:c>
      <x:c r="F168" s="47" t="str">
        <x:v>I06</x:v>
      </x:c>
      <x:c r="G168" s="47" t="str">
        <x:v>Rebuild and supersession</x:v>
      </x:c>
      <x:c r="H168" s="47" t="str">
        <x:v>process genealogy, metrology, substitution and requalification: same acceptance, expiry, divergence and lineage law</x:v>
      </x:c>
      <x:c r="I168" s="56" t="n">
        <x:v>0</x:v>
      </x:c>
      <x:c r="J168" s="56" t="n">
        <x:v>0</x:v>
      </x:c>
      <x:c r="K168" s="47" t="str">
        <x:f>IF(AND(I168=1,J168=1),"SEMANTIC MATCH","OPEN")</x:f>
        <x:v>OPEN</x:v>
      </x:c>
      <x:c r="L168" s="47" t="str">
        <x:f>IF(K168="SEMANTIC MATCH","NO—DESIGN REPRODUCIBILITY ONLY","NONE")</x:f>
        <x:v>NONE</x:v>
      </x:c>
      <x:c r="M168" s="84"/>
      <x:c r="N168" s="84"/>
    </x:row>
    <x:row r="169">
      <x:c r="A169" s="47" t="str">
        <x:v>IG163</x:v>
      </x:c>
      <x:c r="B169" s="47" t="str">
        <x:v>P28</x:v>
      </x:c>
      <x:c r="C169" s="47" t="str">
        <x:v>RT-B</x:v>
      </x:c>
      <x:c r="D169" s="47" t="str">
        <x:v>RT-B-C</x:v>
      </x:c>
      <x:c r="E169" s="47" t="str">
        <x:v>CIVIL</x:v>
      </x:c>
      <x:c r="F169" s="47" t="str">
        <x:v>I01</x:v>
      </x:c>
      <x:c r="G169" s="47" t="str">
        <x:v>Identity and boundary</x:v>
      </x:c>
      <x:c r="H169" s="47" t="str">
        <x:v>process genealogy, metrology, substitution and requalification: same configuration, system boundary and declared world</x:v>
      </x:c>
      <x:c r="I169" s="56" t="n">
        <x:v>0</x:v>
      </x:c>
      <x:c r="J169" s="56" t="n">
        <x:v>0</x:v>
      </x:c>
      <x:c r="K169" s="47" t="str">
        <x:f>IF(AND(I169=1,J169=1),"SEMANTIC MATCH","OPEN")</x:f>
        <x:v>OPEN</x:v>
      </x:c>
      <x:c r="L169" s="47" t="str">
        <x:f>IF(K169="SEMANTIC MATCH","NO—DESIGN REPRODUCIBILITY ONLY","NONE")</x:f>
        <x:v>NONE</x:v>
      </x:c>
      <x:c r="M169" s="84"/>
      <x:c r="N169" s="84"/>
    </x:row>
    <x:row r="170">
      <x:c r="A170" s="47" t="str">
        <x:v>IG164</x:v>
      </x:c>
      <x:c r="B170" s="47" t="str">
        <x:v>P28</x:v>
      </x:c>
      <x:c r="C170" s="47" t="str">
        <x:v>RT-B</x:v>
      </x:c>
      <x:c r="D170" s="47" t="str">
        <x:v>RT-B-C</x:v>
      </x:c>
      <x:c r="E170" s="47" t="str">
        <x:v>CIVIL</x:v>
      </x:c>
      <x:c r="F170" s="47" t="str">
        <x:v>I02</x:v>
      </x:c>
      <x:c r="G170" s="47" t="str">
        <x:v>Conservation and causal closure</x:v>
      </x:c>
      <x:c r="H170" s="47" t="str">
        <x:v>process genealogy, metrology, substitution and requalification: same conserved accounts and causal direction</x:v>
      </x:c>
      <x:c r="I170" s="56" t="n">
        <x:v>0</x:v>
      </x:c>
      <x:c r="J170" s="56" t="n">
        <x:v>0</x:v>
      </x:c>
      <x:c r="K170" s="47" t="str">
        <x:f>IF(AND(I170=1,J170=1),"SEMANTIC MATCH","OPEN")</x:f>
        <x:v>OPEN</x:v>
      </x:c>
      <x:c r="L170" s="47" t="str">
        <x:f>IF(K170="SEMANTIC MATCH","NO—DESIGN REPRODUCIBILITY ONLY","NONE")</x:f>
        <x:v>NONE</x:v>
      </x:c>
      <x:c r="M170" s="84"/>
      <x:c r="N170" s="84"/>
    </x:row>
    <x:row r="171">
      <x:c r="A171" s="47" t="str">
        <x:v>IG165</x:v>
      </x:c>
      <x:c r="B171" s="47" t="str">
        <x:v>P28</x:v>
      </x:c>
      <x:c r="C171" s="47" t="str">
        <x:v>RT-B</x:v>
      </x:c>
      <x:c r="D171" s="47" t="str">
        <x:v>RT-B-C</x:v>
      </x:c>
      <x:c r="E171" s="47" t="str">
        <x:v>CIVIL</x:v>
      </x:c>
      <x:c r="F171" s="47" t="str">
        <x:v>I03</x:v>
      </x:c>
      <x:c r="G171" s="47" t="str">
        <x:v>Interface, receiver and residual</x:v>
      </x:c>
      <x:c r="H171" s="47" t="str">
        <x:v>process genealogy, metrology, substitution and requalification: same interface obligations and terminal dispositions</x:v>
      </x:c>
      <x:c r="I171" s="56" t="n">
        <x:v>0</x:v>
      </x:c>
      <x:c r="J171" s="56" t="n">
        <x:v>0</x:v>
      </x:c>
      <x:c r="K171" s="47" t="str">
        <x:f>IF(AND(I171=1,J171=1),"SEMANTIC MATCH","OPEN")</x:f>
        <x:v>OPEN</x:v>
      </x:c>
      <x:c r="L171" s="47" t="str">
        <x:f>IF(K171="SEMANTIC MATCH","NO—DESIGN REPRODUCIBILITY ONLY","NONE")</x:f>
        <x:v>NONE</x:v>
      </x:c>
      <x:c r="M171" s="84"/>
      <x:c r="N171" s="84"/>
    </x:row>
    <x:row r="172">
      <x:c r="A172" s="47" t="str">
        <x:v>IG166</x:v>
      </x:c>
      <x:c r="B172" s="47" t="str">
        <x:v>P28</x:v>
      </x:c>
      <x:c r="C172" s="47" t="str">
        <x:v>RT-B</x:v>
      </x:c>
      <x:c r="D172" s="47" t="str">
        <x:v>RT-B-C</x:v>
      </x:c>
      <x:c r="E172" s="47" t="str">
        <x:v>CIVIL</x:v>
      </x:c>
      <x:c r="F172" s="47" t="str">
        <x:v>I04</x:v>
      </x:c>
      <x:c r="G172" s="47" t="str">
        <x:v>Safe state and protected subject</x:v>
      </x:c>
      <x:c r="H172" s="47" t="str">
        <x:v>process genealogy, metrology, substitution and requalification: same protected subject, harm threshold and safe state</x:v>
      </x:c>
      <x:c r="I172" s="56" t="n">
        <x:v>0</x:v>
      </x:c>
      <x:c r="J172" s="56" t="n">
        <x:v>0</x:v>
      </x:c>
      <x:c r="K172" s="47" t="str">
        <x:f>IF(AND(I172=1,J172=1),"SEMANTIC MATCH","OPEN")</x:f>
        <x:v>OPEN</x:v>
      </x:c>
      <x:c r="L172" s="47" t="str">
        <x:f>IF(K172="SEMANTIC MATCH","NO—DESIGN REPRODUCIBILITY ONLY","NONE")</x:f>
        <x:v>NONE</x:v>
      </x:c>
      <x:c r="M172" s="84"/>
      <x:c r="N172" s="84"/>
    </x:row>
    <x:row r="173">
      <x:c r="A173" s="47" t="str">
        <x:v>IG167</x:v>
      </x:c>
      <x:c r="B173" s="47" t="str">
        <x:v>P28</x:v>
      </x:c>
      <x:c r="C173" s="47" t="str">
        <x:v>RT-B</x:v>
      </x:c>
      <x:c r="D173" s="47" t="str">
        <x:v>RT-B-C</x:v>
      </x:c>
      <x:c r="E173" s="47" t="str">
        <x:v>CIVIL</x:v>
      </x:c>
      <x:c r="F173" s="47" t="str">
        <x:v>I05</x:v>
      </x:c>
      <x:c r="G173" s="47" t="str">
        <x:v>Uncertainty and sensitivity</x:v>
      </x:c>
      <x:c r="H173" s="47" t="str">
        <x:v>process genealogy, metrology, substitution and requalification: same uncertainty classes and adverse-direction test</x:v>
      </x:c>
      <x:c r="I173" s="56" t="n">
        <x:v>0</x:v>
      </x:c>
      <x:c r="J173" s="56" t="n">
        <x:v>0</x:v>
      </x:c>
      <x:c r="K173" s="47" t="str">
        <x:f>IF(AND(I173=1,J173=1),"SEMANTIC MATCH","OPEN")</x:f>
        <x:v>OPEN</x:v>
      </x:c>
      <x:c r="L173" s="47" t="str">
        <x:f>IF(K173="SEMANTIC MATCH","NO—DESIGN REPRODUCIBILITY ONLY","NONE")</x:f>
        <x:v>NONE</x:v>
      </x:c>
      <x:c r="M173" s="84"/>
      <x:c r="N173" s="84"/>
    </x:row>
    <x:row r="174">
      <x:c r="A174" s="47" t="str">
        <x:v>IG168</x:v>
      </x:c>
      <x:c r="B174" s="47" t="str">
        <x:v>P28</x:v>
      </x:c>
      <x:c r="C174" s="47" t="str">
        <x:v>RT-B</x:v>
      </x:c>
      <x:c r="D174" s="47" t="str">
        <x:v>RT-B-C</x:v>
      </x:c>
      <x:c r="E174" s="47" t="str">
        <x:v>CIVIL</x:v>
      </x:c>
      <x:c r="F174" s="47" t="str">
        <x:v>I06</x:v>
      </x:c>
      <x:c r="G174" s="47" t="str">
        <x:v>Rebuild and supersession</x:v>
      </x:c>
      <x:c r="H174" s="47" t="str">
        <x:v>process genealogy, metrology, substitution and requalification: same acceptance, expiry, divergence and lineage law</x:v>
      </x:c>
      <x:c r="I174" s="56" t="n">
        <x:v>0</x:v>
      </x:c>
      <x:c r="J174" s="56" t="n">
        <x:v>0</x:v>
      </x:c>
      <x:c r="K174" s="47" t="str">
        <x:f>IF(AND(I174=1,J174=1),"SEMANTIC MATCH","OPEN")</x:f>
        <x:v>OPEN</x:v>
      </x:c>
      <x:c r="L174" s="47" t="str">
        <x:f>IF(K174="SEMANTIC MATCH","NO—DESIGN REPRODUCIBILITY ONLY","NONE")</x:f>
        <x:v>NONE</x:v>
      </x:c>
      <x:c r="M174" s="84"/>
      <x:c r="N174" s="84"/>
    </x:row>
    <x:row r="175">
      <x:c r="A175" s="47" t="str">
        <x:v>IG169</x:v>
      </x:c>
      <x:c r="B175" s="47" t="str">
        <x:v>P29</x:v>
      </x:c>
      <x:c r="C175" s="47" t="str">
        <x:v>RT-B</x:v>
      </x:c>
      <x:c r="D175" s="47" t="str">
        <x:v>RT-B-C</x:v>
      </x:c>
      <x:c r="E175" s="47" t="str">
        <x:v>ARTICLE</x:v>
      </x:c>
      <x:c r="F175" s="47" t="str">
        <x:v>I01</x:v>
      </x:c>
      <x:c r="G175" s="47" t="str">
        <x:v>Identity and boundary</x:v>
      </x:c>
      <x:c r="H175" s="47" t="str">
        <x:v>process genealogy, metrology, substitution and requalification: same configuration, system boundary and declared world</x:v>
      </x:c>
      <x:c r="I175" s="56" t="n">
        <x:v>0</x:v>
      </x:c>
      <x:c r="J175" s="56" t="n">
        <x:v>0</x:v>
      </x:c>
      <x:c r="K175" s="47" t="str">
        <x:f>IF(AND(I175=1,J175=1),"SEMANTIC MATCH","OPEN")</x:f>
        <x:v>OPEN</x:v>
      </x:c>
      <x:c r="L175" s="47" t="str">
        <x:f>IF(K175="SEMANTIC MATCH","NO—DESIGN REPRODUCIBILITY ONLY","NONE")</x:f>
        <x:v>NONE</x:v>
      </x:c>
      <x:c r="M175" s="84"/>
      <x:c r="N175" s="84"/>
    </x:row>
    <x:row r="176">
      <x:c r="A176" s="47" t="str">
        <x:v>IG170</x:v>
      </x:c>
      <x:c r="B176" s="47" t="str">
        <x:v>P29</x:v>
      </x:c>
      <x:c r="C176" s="47" t="str">
        <x:v>RT-B</x:v>
      </x:c>
      <x:c r="D176" s="47" t="str">
        <x:v>RT-B-C</x:v>
      </x:c>
      <x:c r="E176" s="47" t="str">
        <x:v>ARTICLE</x:v>
      </x:c>
      <x:c r="F176" s="47" t="str">
        <x:v>I02</x:v>
      </x:c>
      <x:c r="G176" s="47" t="str">
        <x:v>Conservation and causal closure</x:v>
      </x:c>
      <x:c r="H176" s="47" t="str">
        <x:v>process genealogy, metrology, substitution and requalification: same conserved accounts and causal direction</x:v>
      </x:c>
      <x:c r="I176" s="56" t="n">
        <x:v>0</x:v>
      </x:c>
      <x:c r="J176" s="56" t="n">
        <x:v>0</x:v>
      </x:c>
      <x:c r="K176" s="47" t="str">
        <x:f>IF(AND(I176=1,J176=1),"SEMANTIC MATCH","OPEN")</x:f>
        <x:v>OPEN</x:v>
      </x:c>
      <x:c r="L176" s="47" t="str">
        <x:f>IF(K176="SEMANTIC MATCH","NO—DESIGN REPRODUCIBILITY ONLY","NONE")</x:f>
        <x:v>NONE</x:v>
      </x:c>
      <x:c r="M176" s="84"/>
      <x:c r="N176" s="84"/>
    </x:row>
    <x:row r="177">
      <x:c r="A177" s="47" t="str">
        <x:v>IG171</x:v>
      </x:c>
      <x:c r="B177" s="47" t="str">
        <x:v>P29</x:v>
      </x:c>
      <x:c r="C177" s="47" t="str">
        <x:v>RT-B</x:v>
      </x:c>
      <x:c r="D177" s="47" t="str">
        <x:v>RT-B-C</x:v>
      </x:c>
      <x:c r="E177" s="47" t="str">
        <x:v>ARTICLE</x:v>
      </x:c>
      <x:c r="F177" s="47" t="str">
        <x:v>I03</x:v>
      </x:c>
      <x:c r="G177" s="47" t="str">
        <x:v>Interface, receiver and residual</x:v>
      </x:c>
      <x:c r="H177" s="47" t="str">
        <x:v>process genealogy, metrology, substitution and requalification: same interface obligations and terminal dispositions</x:v>
      </x:c>
      <x:c r="I177" s="56" t="n">
        <x:v>0</x:v>
      </x:c>
      <x:c r="J177" s="56" t="n">
        <x:v>0</x:v>
      </x:c>
      <x:c r="K177" s="47" t="str">
        <x:f>IF(AND(I177=1,J177=1),"SEMANTIC MATCH","OPEN")</x:f>
        <x:v>OPEN</x:v>
      </x:c>
      <x:c r="L177" s="47" t="str">
        <x:f>IF(K177="SEMANTIC MATCH","NO—DESIGN REPRODUCIBILITY ONLY","NONE")</x:f>
        <x:v>NONE</x:v>
      </x:c>
      <x:c r="M177" s="84"/>
      <x:c r="N177" s="84"/>
    </x:row>
    <x:row r="178">
      <x:c r="A178" s="47" t="str">
        <x:v>IG172</x:v>
      </x:c>
      <x:c r="B178" s="47" t="str">
        <x:v>P29</x:v>
      </x:c>
      <x:c r="C178" s="47" t="str">
        <x:v>RT-B</x:v>
      </x:c>
      <x:c r="D178" s="47" t="str">
        <x:v>RT-B-C</x:v>
      </x:c>
      <x:c r="E178" s="47" t="str">
        <x:v>ARTICLE</x:v>
      </x:c>
      <x:c r="F178" s="47" t="str">
        <x:v>I04</x:v>
      </x:c>
      <x:c r="G178" s="47" t="str">
        <x:v>Safe state and protected subject</x:v>
      </x:c>
      <x:c r="H178" s="47" t="str">
        <x:v>process genealogy, metrology, substitution and requalification: same protected subject, harm threshold and safe state</x:v>
      </x:c>
      <x:c r="I178" s="56" t="n">
        <x:v>0</x:v>
      </x:c>
      <x:c r="J178" s="56" t="n">
        <x:v>0</x:v>
      </x:c>
      <x:c r="K178" s="47" t="str">
        <x:f>IF(AND(I178=1,J178=1),"SEMANTIC MATCH","OPEN")</x:f>
        <x:v>OPEN</x:v>
      </x:c>
      <x:c r="L178" s="47" t="str">
        <x:f>IF(K178="SEMANTIC MATCH","NO—DESIGN REPRODUCIBILITY ONLY","NONE")</x:f>
        <x:v>NONE</x:v>
      </x:c>
      <x:c r="M178" s="84"/>
      <x:c r="N178" s="84"/>
    </x:row>
    <x:row r="179">
      <x:c r="A179" s="47" t="str">
        <x:v>IG173</x:v>
      </x:c>
      <x:c r="B179" s="47" t="str">
        <x:v>P29</x:v>
      </x:c>
      <x:c r="C179" s="47" t="str">
        <x:v>RT-B</x:v>
      </x:c>
      <x:c r="D179" s="47" t="str">
        <x:v>RT-B-C</x:v>
      </x:c>
      <x:c r="E179" s="47" t="str">
        <x:v>ARTICLE</x:v>
      </x:c>
      <x:c r="F179" s="47" t="str">
        <x:v>I05</x:v>
      </x:c>
      <x:c r="G179" s="47" t="str">
        <x:v>Uncertainty and sensitivity</x:v>
      </x:c>
      <x:c r="H179" s="47" t="str">
        <x:v>process genealogy, metrology, substitution and requalification: same uncertainty classes and adverse-direction test</x:v>
      </x:c>
      <x:c r="I179" s="56" t="n">
        <x:v>0</x:v>
      </x:c>
      <x:c r="J179" s="56" t="n">
        <x:v>0</x:v>
      </x:c>
      <x:c r="K179" s="47" t="str">
        <x:f>IF(AND(I179=1,J179=1),"SEMANTIC MATCH","OPEN")</x:f>
        <x:v>OPEN</x:v>
      </x:c>
      <x:c r="L179" s="47" t="str">
        <x:f>IF(K179="SEMANTIC MATCH","NO—DESIGN REPRODUCIBILITY ONLY","NONE")</x:f>
        <x:v>NONE</x:v>
      </x:c>
      <x:c r="M179" s="84"/>
      <x:c r="N179" s="84"/>
    </x:row>
    <x:row r="180">
      <x:c r="A180" s="47" t="str">
        <x:v>IG174</x:v>
      </x:c>
      <x:c r="B180" s="47" t="str">
        <x:v>P29</x:v>
      </x:c>
      <x:c r="C180" s="47" t="str">
        <x:v>RT-B</x:v>
      </x:c>
      <x:c r="D180" s="47" t="str">
        <x:v>RT-B-C</x:v>
      </x:c>
      <x:c r="E180" s="47" t="str">
        <x:v>ARTICLE</x:v>
      </x:c>
      <x:c r="F180" s="47" t="str">
        <x:v>I06</x:v>
      </x:c>
      <x:c r="G180" s="47" t="str">
        <x:v>Rebuild and supersession</x:v>
      </x:c>
      <x:c r="H180" s="47" t="str">
        <x:v>process genealogy, metrology, substitution and requalification: same acceptance, expiry, divergence and lineage law</x:v>
      </x:c>
      <x:c r="I180" s="56" t="n">
        <x:v>0</x:v>
      </x:c>
      <x:c r="J180" s="56" t="n">
        <x:v>0</x:v>
      </x:c>
      <x:c r="K180" s="47" t="str">
        <x:f>IF(AND(I180=1,J180=1),"SEMANTIC MATCH","OPEN")</x:f>
        <x:v>OPEN</x:v>
      </x:c>
      <x:c r="L180" s="47" t="str">
        <x:f>IF(K180="SEMANTIC MATCH","NO—DESIGN REPRODUCIBILITY ONLY","NONE")</x:f>
        <x:v>NONE</x:v>
      </x:c>
      <x:c r="M180" s="84"/>
      <x:c r="N180" s="84"/>
    </x:row>
    <x:row r="181">
      <x:c r="A181" s="47" t="str">
        <x:v>IG175</x:v>
      </x:c>
      <x:c r="B181" s="47" t="str">
        <x:v>P30</x:v>
      </x:c>
      <x:c r="C181" s="47" t="str">
        <x:v>RT-B</x:v>
      </x:c>
      <x:c r="D181" s="47" t="str">
        <x:v>RT-B-C</x:v>
      </x:c>
      <x:c r="E181" s="47" t="str">
        <x:v>REBUILD</x:v>
      </x:c>
      <x:c r="F181" s="47" t="str">
        <x:v>I01</x:v>
      </x:c>
      <x:c r="G181" s="47" t="str">
        <x:v>Identity and boundary</x:v>
      </x:c>
      <x:c r="H181" s="47" t="str">
        <x:v>process genealogy, metrology, substitution and requalification: same configuration, system boundary and declared world</x:v>
      </x:c>
      <x:c r="I181" s="56" t="n">
        <x:v>0</x:v>
      </x:c>
      <x:c r="J181" s="56" t="n">
        <x:v>0</x:v>
      </x:c>
      <x:c r="K181" s="47" t="str">
        <x:f>IF(AND(I181=1,J181=1),"SEMANTIC MATCH","OPEN")</x:f>
        <x:v>OPEN</x:v>
      </x:c>
      <x:c r="L181" s="47" t="str">
        <x:f>IF(K181="SEMANTIC MATCH","NO—DESIGN REPRODUCIBILITY ONLY","NONE")</x:f>
        <x:v>NONE</x:v>
      </x:c>
      <x:c r="M181" s="84"/>
      <x:c r="N181" s="84"/>
    </x:row>
    <x:row r="182">
      <x:c r="A182" s="47" t="str">
        <x:v>IG176</x:v>
      </x:c>
      <x:c r="B182" s="47" t="str">
        <x:v>P30</x:v>
      </x:c>
      <x:c r="C182" s="47" t="str">
        <x:v>RT-B</x:v>
      </x:c>
      <x:c r="D182" s="47" t="str">
        <x:v>RT-B-C</x:v>
      </x:c>
      <x:c r="E182" s="47" t="str">
        <x:v>REBUILD</x:v>
      </x:c>
      <x:c r="F182" s="47" t="str">
        <x:v>I02</x:v>
      </x:c>
      <x:c r="G182" s="47" t="str">
        <x:v>Conservation and causal closure</x:v>
      </x:c>
      <x:c r="H182" s="47" t="str">
        <x:v>process genealogy, metrology, substitution and requalification: same conserved accounts and causal direction</x:v>
      </x:c>
      <x:c r="I182" s="56" t="n">
        <x:v>0</x:v>
      </x:c>
      <x:c r="J182" s="56" t="n">
        <x:v>0</x:v>
      </x:c>
      <x:c r="K182" s="47" t="str">
        <x:f>IF(AND(I182=1,J182=1),"SEMANTIC MATCH","OPEN")</x:f>
        <x:v>OPEN</x:v>
      </x:c>
      <x:c r="L182" s="47" t="str">
        <x:f>IF(K182="SEMANTIC MATCH","NO—DESIGN REPRODUCIBILITY ONLY","NONE")</x:f>
        <x:v>NONE</x:v>
      </x:c>
      <x:c r="M182" s="84"/>
      <x:c r="N182" s="84"/>
    </x:row>
    <x:row r="183">
      <x:c r="A183" s="47" t="str">
        <x:v>IG177</x:v>
      </x:c>
      <x:c r="B183" s="47" t="str">
        <x:v>P30</x:v>
      </x:c>
      <x:c r="C183" s="47" t="str">
        <x:v>RT-B</x:v>
      </x:c>
      <x:c r="D183" s="47" t="str">
        <x:v>RT-B-C</x:v>
      </x:c>
      <x:c r="E183" s="47" t="str">
        <x:v>REBUILD</x:v>
      </x:c>
      <x:c r="F183" s="47" t="str">
        <x:v>I03</x:v>
      </x:c>
      <x:c r="G183" s="47" t="str">
        <x:v>Interface, receiver and residual</x:v>
      </x:c>
      <x:c r="H183" s="47" t="str">
        <x:v>process genealogy, metrology, substitution and requalification: same interface obligations and terminal dispositions</x:v>
      </x:c>
      <x:c r="I183" s="56" t="n">
        <x:v>0</x:v>
      </x:c>
      <x:c r="J183" s="56" t="n">
        <x:v>0</x:v>
      </x:c>
      <x:c r="K183" s="47" t="str">
        <x:f>IF(AND(I183=1,J183=1),"SEMANTIC MATCH","OPEN")</x:f>
        <x:v>OPEN</x:v>
      </x:c>
      <x:c r="L183" s="47" t="str">
        <x:f>IF(K183="SEMANTIC MATCH","NO—DESIGN REPRODUCIBILITY ONLY","NONE")</x:f>
        <x:v>NONE</x:v>
      </x:c>
      <x:c r="M183" s="84"/>
      <x:c r="N183" s="84"/>
    </x:row>
    <x:row r="184">
      <x:c r="A184" s="47" t="str">
        <x:v>IG178</x:v>
      </x:c>
      <x:c r="B184" s="47" t="str">
        <x:v>P30</x:v>
      </x:c>
      <x:c r="C184" s="47" t="str">
        <x:v>RT-B</x:v>
      </x:c>
      <x:c r="D184" s="47" t="str">
        <x:v>RT-B-C</x:v>
      </x:c>
      <x:c r="E184" s="47" t="str">
        <x:v>REBUILD</x:v>
      </x:c>
      <x:c r="F184" s="47" t="str">
        <x:v>I04</x:v>
      </x:c>
      <x:c r="G184" s="47" t="str">
        <x:v>Safe state and protected subject</x:v>
      </x:c>
      <x:c r="H184" s="47" t="str">
        <x:v>process genealogy, metrology, substitution and requalification: same protected subject, harm threshold and safe state</x:v>
      </x:c>
      <x:c r="I184" s="56" t="n">
        <x:v>0</x:v>
      </x:c>
      <x:c r="J184" s="56" t="n">
        <x:v>0</x:v>
      </x:c>
      <x:c r="K184" s="47" t="str">
        <x:f>IF(AND(I184=1,J184=1),"SEMANTIC MATCH","OPEN")</x:f>
        <x:v>OPEN</x:v>
      </x:c>
      <x:c r="L184" s="47" t="str">
        <x:f>IF(K184="SEMANTIC MATCH","NO—DESIGN REPRODUCIBILITY ONLY","NONE")</x:f>
        <x:v>NONE</x:v>
      </x:c>
      <x:c r="M184" s="84"/>
      <x:c r="N184" s="84"/>
    </x:row>
    <x:row r="185">
      <x:c r="A185" s="47" t="str">
        <x:v>IG179</x:v>
      </x:c>
      <x:c r="B185" s="47" t="str">
        <x:v>P30</x:v>
      </x:c>
      <x:c r="C185" s="47" t="str">
        <x:v>RT-B</x:v>
      </x:c>
      <x:c r="D185" s="47" t="str">
        <x:v>RT-B-C</x:v>
      </x:c>
      <x:c r="E185" s="47" t="str">
        <x:v>REBUILD</x:v>
      </x:c>
      <x:c r="F185" s="47" t="str">
        <x:v>I05</x:v>
      </x:c>
      <x:c r="G185" s="47" t="str">
        <x:v>Uncertainty and sensitivity</x:v>
      </x:c>
      <x:c r="H185" s="47" t="str">
        <x:v>process genealogy, metrology, substitution and requalification: same uncertainty classes and adverse-direction test</x:v>
      </x:c>
      <x:c r="I185" s="56" t="n">
        <x:v>0</x:v>
      </x:c>
      <x:c r="J185" s="56" t="n">
        <x:v>0</x:v>
      </x:c>
      <x:c r="K185" s="47" t="str">
        <x:f>IF(AND(I185=1,J185=1),"SEMANTIC MATCH","OPEN")</x:f>
        <x:v>OPEN</x:v>
      </x:c>
      <x:c r="L185" s="47" t="str">
        <x:f>IF(K185="SEMANTIC MATCH","NO—DESIGN REPRODUCIBILITY ONLY","NONE")</x:f>
        <x:v>NONE</x:v>
      </x:c>
      <x:c r="M185" s="84"/>
      <x:c r="N185" s="84"/>
    </x:row>
    <x:row r="186">
      <x:c r="A186" s="47" t="str">
        <x:v>IG180</x:v>
      </x:c>
      <x:c r="B186" s="47" t="str">
        <x:v>P30</x:v>
      </x:c>
      <x:c r="C186" s="47" t="str">
        <x:v>RT-B</x:v>
      </x:c>
      <x:c r="D186" s="47" t="str">
        <x:v>RT-B-C</x:v>
      </x:c>
      <x:c r="E186" s="47" t="str">
        <x:v>REBUILD</x:v>
      </x:c>
      <x:c r="F186" s="47" t="str">
        <x:v>I06</x:v>
      </x:c>
      <x:c r="G186" s="47" t="str">
        <x:v>Rebuild and supersession</x:v>
      </x:c>
      <x:c r="H186" s="47" t="str">
        <x:v>process genealogy, metrology, substitution and requalification: same acceptance, expiry, divergence and lineage law</x:v>
      </x:c>
      <x:c r="I186" s="56" t="n">
        <x:v>0</x:v>
      </x:c>
      <x:c r="J186" s="56" t="n">
        <x:v>0</x:v>
      </x:c>
      <x:c r="K186" s="47" t="str">
        <x:f>IF(AND(I186=1,J186=1),"SEMANTIC MATCH","OPEN")</x:f>
        <x:v>OPEN</x:v>
      </x:c>
      <x:c r="L186" s="47" t="str">
        <x:f>IF(K186="SEMANTIC MATCH","NO—DESIGN REPRODUCIBILITY ONLY","NONE")</x:f>
        <x:v>NONE</x:v>
      </x:c>
      <x:c r="M186" s="84"/>
      <x:c r="N186" s="84"/>
    </x:row>
  </x:sheetData>
  <x:mergeCells>
    <x:mergeCell ref="A2:N2"/>
    <x:mergeCell ref="A4:N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5" hidden="0" customWidth="1"/>
    <x:col min="7" max="7" width="44" hidden="0" customWidth="1"/>
    <x:col min="8" max="8" width="15" hidden="0" customWidth="1"/>
    <x:col min="9" max="9" width="15" hidden="0" customWidth="1"/>
    <x:col min="10" max="10" width="12" hidden="0" customWidth="1"/>
  </x:cols>
  <x:sheetData>
    <x:row r="2">
      <x:c r="A2" s="83" t="str">
        <x:v>Deterministic native replay register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Native replay proves that the sealed original environment can reproduce its own claimed design result. It does not establish independent knowledge or physical truth.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25" t="str">
        <x:v>Record</x:v>
      </x:c>
      <x:c r="B6" s="26" t="str">
        <x:v>Package</x:v>
      </x:c>
      <x:c r="C6" s="26" t="str">
        <x:v>Root</x:v>
      </x:c>
      <x:c r="D6" s="26" t="str">
        <x:v>Form</x:v>
      </x:c>
      <x:c r="E6" s="26" t="str">
        <x:v>Package type</x:v>
      </x:c>
      <x:c r="F6" s="26" t="str">
        <x:v>Stage</x:v>
      </x:c>
      <x:c r="G6" s="26" t="str">
        <x:v>Procedure</x:v>
      </x:c>
      <x:c r="H6" s="26" t="str">
        <x:v>Required</x:v>
      </x:c>
      <x:c r="I6" s="26" t="str">
        <x:v>Complete</x:v>
      </x:c>
      <x:c r="J6" s="27" t="str">
        <x:v>State</x:v>
      </x:c>
      <x:c r="K6" s="84"/>
      <x:c r="L6" s="84"/>
      <x:c r="M6" s="84"/>
      <x:c r="N6" s="84"/>
    </x:row>
    <x:row r="7">
      <x:c r="A7" s="47" t="str">
        <x:v>NR001</x:v>
      </x:c>
      <x:c r="B7" s="47" t="str">
        <x:v>P01</x:v>
      </x:c>
      <x:c r="C7" s="47" t="str">
        <x:v>ET-A</x:v>
      </x:c>
      <x:c r="D7" s="47" t="str">
        <x:v>ET-A-A</x:v>
      </x:c>
      <x:c r="E7" s="47" t="str">
        <x:v>METHOD</x:v>
      </x:c>
      <x:c r="F7" s="47" t="str">
        <x:v>N01</x:v>
      </x:c>
      <x:c r="G7" s="47" t="str">
        <x:v>Resolve warrant and hash</x:v>
      </x:c>
      <x:c r="H7" s="47" t="n">
        <x:v>1</x:v>
      </x:c>
      <x:c r="I7" s="56" t="n">
        <x:v>0</x:v>
      </x:c>
      <x:c r="J7" s="47" t="str">
        <x:f>IF(I7=H7,"PASS","OPEN")</x:f>
        <x:v>OPEN</x:v>
      </x:c>
      <x:c r="K7" s="84"/>
      <x:c r="L7" s="84"/>
      <x:c r="M7" s="84"/>
      <x:c r="N7" s="84"/>
    </x:row>
    <x:row r="8">
      <x:c r="A8" s="47" t="str">
        <x:v>NR002</x:v>
      </x:c>
      <x:c r="B8" s="47" t="str">
        <x:v>P01</x:v>
      </x:c>
      <x:c r="C8" s="47" t="str">
        <x:v>ET-A</x:v>
      </x:c>
      <x:c r="D8" s="47" t="str">
        <x:v>ET-A-A</x:v>
      </x:c>
      <x:c r="E8" s="47" t="str">
        <x:v>METHOD</x:v>
      </x:c>
      <x:c r="F8" s="47" t="str">
        <x:v>N02</x:v>
      </x:c>
      <x:c r="G8" s="47" t="str">
        <x:v>Instantiate sealed native environment</x:v>
      </x:c>
      <x:c r="H8" s="47" t="n">
        <x:v>1</x:v>
      </x:c>
      <x:c r="I8" s="56" t="n">
        <x:v>0</x:v>
      </x:c>
      <x:c r="J8" s="47" t="str">
        <x:f>IF(I8=H8,"PASS","OPEN")</x:f>
        <x:v>OPEN</x:v>
      </x:c>
      <x:c r="K8" s="84"/>
      <x:c r="L8" s="84"/>
      <x:c r="M8" s="84"/>
      <x:c r="N8" s="84"/>
    </x:row>
    <x:row r="9">
      <x:c r="A9" s="47" t="str">
        <x:v>NR003</x:v>
      </x:c>
      <x:c r="B9" s="47" t="str">
        <x:v>P01</x:v>
      </x:c>
      <x:c r="C9" s="47" t="str">
        <x:v>ET-A</x:v>
      </x:c>
      <x:c r="D9" s="47" t="str">
        <x:v>ET-A-A</x:v>
      </x:c>
      <x:c r="E9" s="47" t="str">
        <x:v>METHOD</x:v>
      </x:c>
      <x:c r="F9" s="47" t="str">
        <x:v>N03</x:v>
      </x:c>
      <x:c r="G9" s="47" t="str">
        <x:v>Resolve dependencies and license rights</x:v>
      </x:c>
      <x:c r="H9" s="47" t="n">
        <x:v>1</x:v>
      </x:c>
      <x:c r="I9" s="56" t="n">
        <x:v>0</x:v>
      </x:c>
      <x:c r="J9" s="47" t="str">
        <x:f>IF(I9=H9,"PASS","OPEN")</x:f>
        <x:v>OPEN</x:v>
      </x:c>
      <x:c r="K9" s="84"/>
      <x:c r="L9" s="84"/>
      <x:c r="M9" s="84"/>
      <x:c r="N9" s="84"/>
    </x:row>
    <x:row r="10">
      <x:c r="A10" s="47" t="str">
        <x:v>NR004</x:v>
      </x:c>
      <x:c r="B10" s="47" t="str">
        <x:v>P01</x:v>
      </x:c>
      <x:c r="C10" s="47" t="str">
        <x:v>ET-A</x:v>
      </x:c>
      <x:c r="D10" s="47" t="str">
        <x:v>ET-A-A</x:v>
      </x:c>
      <x:c r="E10" s="47" t="str">
        <x:v>METHOD</x:v>
      </x:c>
      <x:c r="F10" s="47" t="str">
        <x:v>N04</x:v>
      </x:c>
      <x:c r="G10" s="47" t="str">
        <x:v>Load source and calibration lineage</x:v>
      </x:c>
      <x:c r="H10" s="47" t="n">
        <x:v>1</x:v>
      </x:c>
      <x:c r="I10" s="56" t="n">
        <x:v>0</x:v>
      </x:c>
      <x:c r="J10" s="47" t="str">
        <x:f>IF(I10=H10,"PASS","OPEN")</x:f>
        <x:v>OPEN</x:v>
      </x:c>
      <x:c r="K10" s="84"/>
      <x:c r="L10" s="84"/>
      <x:c r="M10" s="84"/>
      <x:c r="N10" s="84"/>
    </x:row>
    <x:row r="11">
      <x:c r="A11" s="47" t="str">
        <x:v>NR005</x:v>
      </x:c>
      <x:c r="B11" s="47" t="str">
        <x:v>P01</x:v>
      </x:c>
      <x:c r="C11" s="47" t="str">
        <x:v>ET-A</x:v>
      </x:c>
      <x:c r="D11" s="47" t="str">
        <x:v>ET-A-A</x:v>
      </x:c>
      <x:c r="E11" s="47" t="str">
        <x:v>METHOD</x:v>
      </x:c>
      <x:c r="F11" s="47" t="str">
        <x:v>N05</x:v>
      </x:c>
      <x:c r="G11" s="47" t="str">
        <x:v>Execute the frozen case</x:v>
      </x:c>
      <x:c r="H11" s="47" t="n">
        <x:v>1</x:v>
      </x:c>
      <x:c r="I11" s="56" t="n">
        <x:v>0</x:v>
      </x:c>
      <x:c r="J11" s="47" t="str">
        <x:f>IF(I11=H11,"PASS","OPEN")</x:f>
        <x:v>OPEN</x:v>
      </x:c>
      <x:c r="K11" s="84"/>
      <x:c r="L11" s="84"/>
      <x:c r="M11" s="84"/>
      <x:c r="N11" s="84"/>
    </x:row>
    <x:row r="12">
      <x:c r="A12" s="47" t="str">
        <x:v>NR006</x:v>
      </x:c>
      <x:c r="B12" s="47" t="str">
        <x:v>P01</x:v>
      </x:c>
      <x:c r="C12" s="47" t="str">
        <x:v>ET-A</x:v>
      </x:c>
      <x:c r="D12" s="47" t="str">
        <x:v>ET-A-A</x:v>
      </x:c>
      <x:c r="E12" s="47" t="str">
        <x:v>METHOD</x:v>
      </x:c>
      <x:c r="F12" s="47" t="str">
        <x:v>N06</x:v>
      </x:c>
      <x:c r="G12" s="47" t="str">
        <x:v>Reproduce named intermediate states</x:v>
      </x:c>
      <x:c r="H12" s="47" t="n">
        <x:v>1</x:v>
      </x:c>
      <x:c r="I12" s="56" t="n">
        <x:v>0</x:v>
      </x:c>
      <x:c r="J12" s="47" t="str">
        <x:f>IF(I12=H12,"PASS","OPEN")</x:f>
        <x:v>OPEN</x:v>
      </x:c>
      <x:c r="K12" s="84"/>
      <x:c r="L12" s="84"/>
      <x:c r="M12" s="84"/>
      <x:c r="N12" s="84"/>
    </x:row>
    <x:row r="13">
      <x:c r="A13" s="47" t="str">
        <x:v>NR007</x:v>
      </x:c>
      <x:c r="B13" s="47" t="str">
        <x:v>P01</x:v>
      </x:c>
      <x:c r="C13" s="47" t="str">
        <x:v>ET-A</x:v>
      </x:c>
      <x:c r="D13" s="47" t="str">
        <x:v>ET-A-A</x:v>
      </x:c>
      <x:c r="E13" s="47" t="str">
        <x:v>METHOD</x:v>
      </x:c>
      <x:c r="F13" s="47" t="str">
        <x:v>N07</x:v>
      </x:c>
      <x:c r="G13" s="47" t="str">
        <x:v>Reproduce terminal design result</x:v>
      </x:c>
      <x:c r="H13" s="47" t="n">
        <x:v>1</x:v>
      </x:c>
      <x:c r="I13" s="56" t="n">
        <x:v>0</x:v>
      </x:c>
      <x:c r="J13" s="47" t="str">
        <x:f>IF(I13=H13,"PASS","OPEN")</x:f>
        <x:v>OPEN</x:v>
      </x:c>
      <x:c r="K13" s="84"/>
      <x:c r="L13" s="84"/>
      <x:c r="M13" s="84"/>
      <x:c r="N13" s="84"/>
    </x:row>
    <x:row r="14">
      <x:c r="A14" s="47" t="str">
        <x:v>NR008</x:v>
      </x:c>
      <x:c r="B14" s="47" t="str">
        <x:v>P01</x:v>
      </x:c>
      <x:c r="C14" s="47" t="str">
        <x:v>ET-A</x:v>
      </x:c>
      <x:c r="D14" s="47" t="str">
        <x:v>ET-A-A</x:v>
      </x:c>
      <x:c r="E14" s="47" t="str">
        <x:v>METHOD</x:v>
      </x:c>
      <x:c r="F14" s="47" t="str">
        <x:v>N08</x:v>
      </x:c>
      <x:c r="G14" s="47" t="str">
        <x:v>Seal replay transcript and checksums</x:v>
      </x:c>
      <x:c r="H14" s="47" t="n">
        <x:v>1</x:v>
      </x:c>
      <x:c r="I14" s="56" t="n">
        <x:v>0</x:v>
      </x:c>
      <x:c r="J14" s="47" t="str">
        <x:f>IF(I14=H14,"PASS","OPEN")</x:f>
        <x:v>OPEN</x:v>
      </x:c>
      <x:c r="K14" s="84"/>
      <x:c r="L14" s="84"/>
      <x:c r="M14" s="84"/>
      <x:c r="N14" s="84"/>
    </x:row>
    <x:row r="15">
      <x:c r="A15" s="47" t="str">
        <x:v>NR009</x:v>
      </x:c>
      <x:c r="B15" s="47" t="str">
        <x:v>P02</x:v>
      </x:c>
      <x:c r="C15" s="47" t="str">
        <x:v>ET-A</x:v>
      </x:c>
      <x:c r="D15" s="47" t="str">
        <x:v>ET-A-A</x:v>
      </x:c>
      <x:c r="E15" s="47" t="str">
        <x:v>VALID</x:v>
      </x:c>
      <x:c r="F15" s="47" t="str">
        <x:v>N01</x:v>
      </x:c>
      <x:c r="G15" s="47" t="str">
        <x:v>Resolve warrant and hash</x:v>
      </x:c>
      <x:c r="H15" s="47" t="n">
        <x:v>1</x:v>
      </x:c>
      <x:c r="I15" s="56" t="n">
        <x:v>0</x:v>
      </x:c>
      <x:c r="J15" s="47" t="str">
        <x:f>IF(I15=H15,"PASS","OPEN")</x:f>
        <x:v>OPEN</x:v>
      </x:c>
      <x:c r="K15" s="84"/>
      <x:c r="L15" s="84"/>
      <x:c r="M15" s="84"/>
      <x:c r="N15" s="84"/>
    </x:row>
    <x:row r="16">
      <x:c r="A16" s="47" t="str">
        <x:v>NR010</x:v>
      </x:c>
      <x:c r="B16" s="47" t="str">
        <x:v>P02</x:v>
      </x:c>
      <x:c r="C16" s="47" t="str">
        <x:v>ET-A</x:v>
      </x:c>
      <x:c r="D16" s="47" t="str">
        <x:v>ET-A-A</x:v>
      </x:c>
      <x:c r="E16" s="47" t="str">
        <x:v>VALID</x:v>
      </x:c>
      <x:c r="F16" s="47" t="str">
        <x:v>N02</x:v>
      </x:c>
      <x:c r="G16" s="47" t="str">
        <x:v>Instantiate sealed native environment</x:v>
      </x:c>
      <x:c r="H16" s="47" t="n">
        <x:v>1</x:v>
      </x:c>
      <x:c r="I16" s="56" t="n">
        <x:v>0</x:v>
      </x:c>
      <x:c r="J16" s="47" t="str">
        <x:f>IF(I16=H16,"PASS","OPEN")</x:f>
        <x:v>OPEN</x:v>
      </x:c>
      <x:c r="K16" s="84"/>
      <x:c r="L16" s="84"/>
      <x:c r="M16" s="84"/>
      <x:c r="N16" s="84"/>
    </x:row>
    <x:row r="17">
      <x:c r="A17" s="47" t="str">
        <x:v>NR011</x:v>
      </x:c>
      <x:c r="B17" s="47" t="str">
        <x:v>P02</x:v>
      </x:c>
      <x:c r="C17" s="47" t="str">
        <x:v>ET-A</x:v>
      </x:c>
      <x:c r="D17" s="47" t="str">
        <x:v>ET-A-A</x:v>
      </x:c>
      <x:c r="E17" s="47" t="str">
        <x:v>VALID</x:v>
      </x:c>
      <x:c r="F17" s="47" t="str">
        <x:v>N03</x:v>
      </x:c>
      <x:c r="G17" s="47" t="str">
        <x:v>Resolve dependencies and license rights</x:v>
      </x:c>
      <x:c r="H17" s="47" t="n">
        <x:v>1</x:v>
      </x:c>
      <x:c r="I17" s="56" t="n">
        <x:v>0</x:v>
      </x:c>
      <x:c r="J17" s="47" t="str">
        <x:f>IF(I17=H17,"PASS","OPEN")</x:f>
        <x:v>OPEN</x:v>
      </x:c>
      <x:c r="K17" s="84"/>
      <x:c r="L17" s="84"/>
      <x:c r="M17" s="84"/>
      <x:c r="N17" s="84"/>
    </x:row>
    <x:row r="18">
      <x:c r="A18" s="47" t="str">
        <x:v>NR012</x:v>
      </x:c>
      <x:c r="B18" s="47" t="str">
        <x:v>P02</x:v>
      </x:c>
      <x:c r="C18" s="47" t="str">
        <x:v>ET-A</x:v>
      </x:c>
      <x:c r="D18" s="47" t="str">
        <x:v>ET-A-A</x:v>
      </x:c>
      <x:c r="E18" s="47" t="str">
        <x:v>VALID</x:v>
      </x:c>
      <x:c r="F18" s="47" t="str">
        <x:v>N04</x:v>
      </x:c>
      <x:c r="G18" s="47" t="str">
        <x:v>Load source and calibration lineage</x:v>
      </x:c>
      <x:c r="H18" s="47" t="n">
        <x:v>1</x:v>
      </x:c>
      <x:c r="I18" s="56" t="n">
        <x:v>0</x:v>
      </x:c>
      <x:c r="J18" s="47" t="str">
        <x:f>IF(I18=H18,"PASS","OPEN")</x:f>
        <x:v>OPEN</x:v>
      </x:c>
      <x:c r="K18" s="84"/>
      <x:c r="L18" s="84"/>
      <x:c r="M18" s="84"/>
      <x:c r="N18" s="84"/>
    </x:row>
    <x:row r="19">
      <x:c r="A19" s="47" t="str">
        <x:v>NR013</x:v>
      </x:c>
      <x:c r="B19" s="47" t="str">
        <x:v>P02</x:v>
      </x:c>
      <x:c r="C19" s="47" t="str">
        <x:v>ET-A</x:v>
      </x:c>
      <x:c r="D19" s="47" t="str">
        <x:v>ET-A-A</x:v>
      </x:c>
      <x:c r="E19" s="47" t="str">
        <x:v>VALID</x:v>
      </x:c>
      <x:c r="F19" s="47" t="str">
        <x:v>N05</x:v>
      </x:c>
      <x:c r="G19" s="47" t="str">
        <x:v>Execute the frozen case</x:v>
      </x:c>
      <x:c r="H19" s="47" t="n">
        <x:v>1</x:v>
      </x:c>
      <x:c r="I19" s="56" t="n">
        <x:v>0</x:v>
      </x:c>
      <x:c r="J19" s="47" t="str">
        <x:f>IF(I19=H19,"PASS","OPEN")</x:f>
        <x:v>OPEN</x:v>
      </x:c>
      <x:c r="K19" s="84"/>
      <x:c r="L19" s="84"/>
      <x:c r="M19" s="84"/>
      <x:c r="N19" s="84"/>
    </x:row>
    <x:row r="20">
      <x:c r="A20" s="47" t="str">
        <x:v>NR014</x:v>
      </x:c>
      <x:c r="B20" s="47" t="str">
        <x:v>P02</x:v>
      </x:c>
      <x:c r="C20" s="47" t="str">
        <x:v>ET-A</x:v>
      </x:c>
      <x:c r="D20" s="47" t="str">
        <x:v>ET-A-A</x:v>
      </x:c>
      <x:c r="E20" s="47" t="str">
        <x:v>VALID</x:v>
      </x:c>
      <x:c r="F20" s="47" t="str">
        <x:v>N06</x:v>
      </x:c>
      <x:c r="G20" s="47" t="str">
        <x:v>Reproduce named intermediate states</x:v>
      </x:c>
      <x:c r="H20" s="47" t="n">
        <x:v>1</x:v>
      </x:c>
      <x:c r="I20" s="56" t="n">
        <x:v>0</x:v>
      </x:c>
      <x:c r="J20" s="47" t="str">
        <x:f>IF(I20=H20,"PASS","OPEN")</x:f>
        <x:v>OPEN</x:v>
      </x:c>
      <x:c r="K20" s="84"/>
      <x:c r="L20" s="84"/>
      <x:c r="M20" s="84"/>
      <x:c r="N20" s="84"/>
    </x:row>
    <x:row r="21">
      <x:c r="A21" s="47" t="str">
        <x:v>NR015</x:v>
      </x:c>
      <x:c r="B21" s="47" t="str">
        <x:v>P02</x:v>
      </x:c>
      <x:c r="C21" s="47" t="str">
        <x:v>ET-A</x:v>
      </x:c>
      <x:c r="D21" s="47" t="str">
        <x:v>ET-A-A</x:v>
      </x:c>
      <x:c r="E21" s="47" t="str">
        <x:v>VALID</x:v>
      </x:c>
      <x:c r="F21" s="47" t="str">
        <x:v>N07</x:v>
      </x:c>
      <x:c r="G21" s="47" t="str">
        <x:v>Reproduce terminal design result</x:v>
      </x:c>
      <x:c r="H21" s="47" t="n">
        <x:v>1</x:v>
      </x:c>
      <x:c r="I21" s="56" t="n">
        <x:v>0</x:v>
      </x:c>
      <x:c r="J21" s="47" t="str">
        <x:f>IF(I21=H21,"PASS","OPEN")</x:f>
        <x:v>OPEN</x:v>
      </x:c>
      <x:c r="K21" s="84"/>
      <x:c r="L21" s="84"/>
      <x:c r="M21" s="84"/>
      <x:c r="N21" s="84"/>
    </x:row>
    <x:row r="22">
      <x:c r="A22" s="47" t="str">
        <x:v>NR016</x:v>
      </x:c>
      <x:c r="B22" s="47" t="str">
        <x:v>P02</x:v>
      </x:c>
      <x:c r="C22" s="47" t="str">
        <x:v>ET-A</x:v>
      </x:c>
      <x:c r="D22" s="47" t="str">
        <x:v>ET-A-A</x:v>
      </x:c>
      <x:c r="E22" s="47" t="str">
        <x:v>VALID</x:v>
      </x:c>
      <x:c r="F22" s="47" t="str">
        <x:v>N08</x:v>
      </x:c>
      <x:c r="G22" s="47" t="str">
        <x:v>Seal replay transcript and checksums</x:v>
      </x:c>
      <x:c r="H22" s="47" t="n">
        <x:v>1</x:v>
      </x:c>
      <x:c r="I22" s="56" t="n">
        <x:v>0</x:v>
      </x:c>
      <x:c r="J22" s="47" t="str">
        <x:f>IF(I22=H22,"PASS","OPEN")</x:f>
        <x:v>OPEN</x:v>
      </x:c>
      <x:c r="K22" s="84"/>
      <x:c r="L22" s="84"/>
      <x:c r="M22" s="84"/>
      <x:c r="N22" s="84"/>
    </x:row>
    <x:row r="23">
      <x:c r="A23" s="47" t="str">
        <x:v>NR017</x:v>
      </x:c>
      <x:c r="B23" s="47" t="str">
        <x:v>P03</x:v>
      </x:c>
      <x:c r="C23" s="47" t="str">
        <x:v>ET-A</x:v>
      </x:c>
      <x:c r="D23" s="47" t="str">
        <x:v>ET-A-A</x:v>
      </x:c>
      <x:c r="E23" s="47" t="str">
        <x:v>CIVIL</x:v>
      </x:c>
      <x:c r="F23" s="47" t="str">
        <x:v>N01</x:v>
      </x:c>
      <x:c r="G23" s="47" t="str">
        <x:v>Resolve warrant and hash</x:v>
      </x:c>
      <x:c r="H23" s="47" t="n">
        <x:v>1</x:v>
      </x:c>
      <x:c r="I23" s="56" t="n">
        <x:v>0</x:v>
      </x:c>
      <x:c r="J23" s="47" t="str">
        <x:f>IF(I23=H23,"PASS","OPEN")</x:f>
        <x:v>OPEN</x:v>
      </x:c>
      <x:c r="K23" s="84"/>
      <x:c r="L23" s="84"/>
      <x:c r="M23" s="84"/>
      <x:c r="N23" s="84"/>
    </x:row>
    <x:row r="24">
      <x:c r="A24" s="47" t="str">
        <x:v>NR018</x:v>
      </x:c>
      <x:c r="B24" s="47" t="str">
        <x:v>P03</x:v>
      </x:c>
      <x:c r="C24" s="47" t="str">
        <x:v>ET-A</x:v>
      </x:c>
      <x:c r="D24" s="47" t="str">
        <x:v>ET-A-A</x:v>
      </x:c>
      <x:c r="E24" s="47" t="str">
        <x:v>CIVIL</x:v>
      </x:c>
      <x:c r="F24" s="47" t="str">
        <x:v>N02</x:v>
      </x:c>
      <x:c r="G24" s="47" t="str">
        <x:v>Instantiate sealed native environment</x:v>
      </x:c>
      <x:c r="H24" s="47" t="n">
        <x:v>1</x:v>
      </x:c>
      <x:c r="I24" s="56" t="n">
        <x:v>0</x:v>
      </x:c>
      <x:c r="J24" s="47" t="str">
        <x:f>IF(I24=H24,"PASS","OPEN")</x:f>
        <x:v>OPEN</x:v>
      </x:c>
      <x:c r="K24" s="84"/>
      <x:c r="L24" s="84"/>
      <x:c r="M24" s="84"/>
      <x:c r="N24" s="84"/>
    </x:row>
    <x:row r="25">
      <x:c r="A25" s="47" t="str">
        <x:v>NR019</x:v>
      </x:c>
      <x:c r="B25" s="47" t="str">
        <x:v>P03</x:v>
      </x:c>
      <x:c r="C25" s="47" t="str">
        <x:v>ET-A</x:v>
      </x:c>
      <x:c r="D25" s="47" t="str">
        <x:v>ET-A-A</x:v>
      </x:c>
      <x:c r="E25" s="47" t="str">
        <x:v>CIVIL</x:v>
      </x:c>
      <x:c r="F25" s="47" t="str">
        <x:v>N03</x:v>
      </x:c>
      <x:c r="G25" s="47" t="str">
        <x:v>Resolve dependencies and license rights</x:v>
      </x:c>
      <x:c r="H25" s="47" t="n">
        <x:v>1</x:v>
      </x:c>
      <x:c r="I25" s="56" t="n">
        <x:v>0</x:v>
      </x:c>
      <x:c r="J25" s="47" t="str">
        <x:f>IF(I25=H25,"PASS","OPEN")</x:f>
        <x:v>OPEN</x:v>
      </x:c>
      <x:c r="K25" s="84"/>
      <x:c r="L25" s="84"/>
      <x:c r="M25" s="84"/>
      <x:c r="N25" s="84"/>
    </x:row>
    <x:row r="26">
      <x:c r="A26" s="47" t="str">
        <x:v>NR020</x:v>
      </x:c>
      <x:c r="B26" s="47" t="str">
        <x:v>P03</x:v>
      </x:c>
      <x:c r="C26" s="47" t="str">
        <x:v>ET-A</x:v>
      </x:c>
      <x:c r="D26" s="47" t="str">
        <x:v>ET-A-A</x:v>
      </x:c>
      <x:c r="E26" s="47" t="str">
        <x:v>CIVIL</x:v>
      </x:c>
      <x:c r="F26" s="47" t="str">
        <x:v>N04</x:v>
      </x:c>
      <x:c r="G26" s="47" t="str">
        <x:v>Load source and calibration lineage</x:v>
      </x:c>
      <x:c r="H26" s="47" t="n">
        <x:v>1</x:v>
      </x:c>
      <x:c r="I26" s="56" t="n">
        <x:v>0</x:v>
      </x:c>
      <x:c r="J26" s="47" t="str">
        <x:f>IF(I26=H26,"PASS","OPEN")</x:f>
        <x:v>OPEN</x:v>
      </x:c>
      <x:c r="K26" s="84"/>
      <x:c r="L26" s="84"/>
      <x:c r="M26" s="84"/>
      <x:c r="N26" s="84"/>
    </x:row>
    <x:row r="27">
      <x:c r="A27" s="47" t="str">
        <x:v>NR021</x:v>
      </x:c>
      <x:c r="B27" s="47" t="str">
        <x:v>P03</x:v>
      </x:c>
      <x:c r="C27" s="47" t="str">
        <x:v>ET-A</x:v>
      </x:c>
      <x:c r="D27" s="47" t="str">
        <x:v>ET-A-A</x:v>
      </x:c>
      <x:c r="E27" s="47" t="str">
        <x:v>CIVIL</x:v>
      </x:c>
      <x:c r="F27" s="47" t="str">
        <x:v>N05</x:v>
      </x:c>
      <x:c r="G27" s="47" t="str">
        <x:v>Execute the frozen case</x:v>
      </x:c>
      <x:c r="H27" s="47" t="n">
        <x:v>1</x:v>
      </x:c>
      <x:c r="I27" s="56" t="n">
        <x:v>0</x:v>
      </x:c>
      <x:c r="J27" s="47" t="str">
        <x:f>IF(I27=H27,"PASS","OPEN")</x:f>
        <x:v>OPEN</x:v>
      </x:c>
      <x:c r="K27" s="84"/>
      <x:c r="L27" s="84"/>
      <x:c r="M27" s="84"/>
      <x:c r="N27" s="84"/>
    </x:row>
    <x:row r="28">
      <x:c r="A28" s="47" t="str">
        <x:v>NR022</x:v>
      </x:c>
      <x:c r="B28" s="47" t="str">
        <x:v>P03</x:v>
      </x:c>
      <x:c r="C28" s="47" t="str">
        <x:v>ET-A</x:v>
      </x:c>
      <x:c r="D28" s="47" t="str">
        <x:v>ET-A-A</x:v>
      </x:c>
      <x:c r="E28" s="47" t="str">
        <x:v>CIVIL</x:v>
      </x:c>
      <x:c r="F28" s="47" t="str">
        <x:v>N06</x:v>
      </x:c>
      <x:c r="G28" s="47" t="str">
        <x:v>Reproduce named intermediate states</x:v>
      </x:c>
      <x:c r="H28" s="47" t="n">
        <x:v>1</x:v>
      </x:c>
      <x:c r="I28" s="56" t="n">
        <x:v>0</x:v>
      </x:c>
      <x:c r="J28" s="47" t="str">
        <x:f>IF(I28=H28,"PASS","OPEN")</x:f>
        <x:v>OPEN</x:v>
      </x:c>
      <x:c r="K28" s="84"/>
      <x:c r="L28" s="84"/>
      <x:c r="M28" s="84"/>
      <x:c r="N28" s="84"/>
    </x:row>
    <x:row r="29">
      <x:c r="A29" s="47" t="str">
        <x:v>NR023</x:v>
      </x:c>
      <x:c r="B29" s="47" t="str">
        <x:v>P03</x:v>
      </x:c>
      <x:c r="C29" s="47" t="str">
        <x:v>ET-A</x:v>
      </x:c>
      <x:c r="D29" s="47" t="str">
        <x:v>ET-A-A</x:v>
      </x:c>
      <x:c r="E29" s="47" t="str">
        <x:v>CIVIL</x:v>
      </x:c>
      <x:c r="F29" s="47" t="str">
        <x:v>N07</x:v>
      </x:c>
      <x:c r="G29" s="47" t="str">
        <x:v>Reproduce terminal design result</x:v>
      </x:c>
      <x:c r="H29" s="47" t="n">
        <x:v>1</x:v>
      </x:c>
      <x:c r="I29" s="56" t="n">
        <x:v>0</x:v>
      </x:c>
      <x:c r="J29" s="47" t="str">
        <x:f>IF(I29=H29,"PASS","OPEN")</x:f>
        <x:v>OPEN</x:v>
      </x:c>
      <x:c r="K29" s="84"/>
      <x:c r="L29" s="84"/>
      <x:c r="M29" s="84"/>
      <x:c r="N29" s="84"/>
    </x:row>
    <x:row r="30">
      <x:c r="A30" s="47" t="str">
        <x:v>NR024</x:v>
      </x:c>
      <x:c r="B30" s="47" t="str">
        <x:v>P03</x:v>
      </x:c>
      <x:c r="C30" s="47" t="str">
        <x:v>ET-A</x:v>
      </x:c>
      <x:c r="D30" s="47" t="str">
        <x:v>ET-A-A</x:v>
      </x:c>
      <x:c r="E30" s="47" t="str">
        <x:v>CIVIL</x:v>
      </x:c>
      <x:c r="F30" s="47" t="str">
        <x:v>N08</x:v>
      </x:c>
      <x:c r="G30" s="47" t="str">
        <x:v>Seal replay transcript and checksums</x:v>
      </x:c>
      <x:c r="H30" s="47" t="n">
        <x:v>1</x:v>
      </x:c>
      <x:c r="I30" s="56" t="n">
        <x:v>0</x:v>
      </x:c>
      <x:c r="J30" s="47" t="str">
        <x:f>IF(I30=H30,"PASS","OPEN")</x:f>
        <x:v>OPEN</x:v>
      </x:c>
      <x:c r="K30" s="84"/>
      <x:c r="L30" s="84"/>
      <x:c r="M30" s="84"/>
      <x:c r="N30" s="84"/>
    </x:row>
    <x:row r="31">
      <x:c r="A31" s="47" t="str">
        <x:v>NR025</x:v>
      </x:c>
      <x:c r="B31" s="47" t="str">
        <x:v>P04</x:v>
      </x:c>
      <x:c r="C31" s="47" t="str">
        <x:v>ET-A</x:v>
      </x:c>
      <x:c r="D31" s="47" t="str">
        <x:v>ET-A-A</x:v>
      </x:c>
      <x:c r="E31" s="47" t="str">
        <x:v>ARTICLE</x:v>
      </x:c>
      <x:c r="F31" s="47" t="str">
        <x:v>N01</x:v>
      </x:c>
      <x:c r="G31" s="47" t="str">
        <x:v>Resolve warrant and hash</x:v>
      </x:c>
      <x:c r="H31" s="47" t="n">
        <x:v>1</x:v>
      </x:c>
      <x:c r="I31" s="56" t="n">
        <x:v>0</x:v>
      </x:c>
      <x:c r="J31" s="47" t="str">
        <x:f>IF(I31=H31,"PASS","OPEN")</x:f>
        <x:v>OPEN</x:v>
      </x:c>
      <x:c r="K31" s="84"/>
      <x:c r="L31" s="84"/>
      <x:c r="M31" s="84"/>
      <x:c r="N31" s="84"/>
    </x:row>
    <x:row r="32">
      <x:c r="A32" s="47" t="str">
        <x:v>NR026</x:v>
      </x:c>
      <x:c r="B32" s="47" t="str">
        <x:v>P04</x:v>
      </x:c>
      <x:c r="C32" s="47" t="str">
        <x:v>ET-A</x:v>
      </x:c>
      <x:c r="D32" s="47" t="str">
        <x:v>ET-A-A</x:v>
      </x:c>
      <x:c r="E32" s="47" t="str">
        <x:v>ARTICLE</x:v>
      </x:c>
      <x:c r="F32" s="47" t="str">
        <x:v>N02</x:v>
      </x:c>
      <x:c r="G32" s="47" t="str">
        <x:v>Instantiate sealed native environment</x:v>
      </x:c>
      <x:c r="H32" s="47" t="n">
        <x:v>1</x:v>
      </x:c>
      <x:c r="I32" s="56" t="n">
        <x:v>0</x:v>
      </x:c>
      <x:c r="J32" s="47" t="str">
        <x:f>IF(I32=H32,"PASS","OPEN")</x:f>
        <x:v>OPEN</x:v>
      </x:c>
      <x:c r="K32" s="84"/>
      <x:c r="L32" s="84"/>
      <x:c r="M32" s="84"/>
      <x:c r="N32" s="84"/>
    </x:row>
    <x:row r="33">
      <x:c r="A33" s="47" t="str">
        <x:v>NR027</x:v>
      </x:c>
      <x:c r="B33" s="47" t="str">
        <x:v>P04</x:v>
      </x:c>
      <x:c r="C33" s="47" t="str">
        <x:v>ET-A</x:v>
      </x:c>
      <x:c r="D33" s="47" t="str">
        <x:v>ET-A-A</x:v>
      </x:c>
      <x:c r="E33" s="47" t="str">
        <x:v>ARTICLE</x:v>
      </x:c>
      <x:c r="F33" s="47" t="str">
        <x:v>N03</x:v>
      </x:c>
      <x:c r="G33" s="47" t="str">
        <x:v>Resolve dependencies and license rights</x:v>
      </x:c>
      <x:c r="H33" s="47" t="n">
        <x:v>1</x:v>
      </x:c>
      <x:c r="I33" s="56" t="n">
        <x:v>0</x:v>
      </x:c>
      <x:c r="J33" s="47" t="str">
        <x:f>IF(I33=H33,"PASS","OPEN")</x:f>
        <x:v>OPEN</x:v>
      </x:c>
      <x:c r="K33" s="84"/>
      <x:c r="L33" s="84"/>
      <x:c r="M33" s="84"/>
      <x:c r="N33" s="84"/>
    </x:row>
    <x:row r="34">
      <x:c r="A34" s="47" t="str">
        <x:v>NR028</x:v>
      </x:c>
      <x:c r="B34" s="47" t="str">
        <x:v>P04</x:v>
      </x:c>
      <x:c r="C34" s="47" t="str">
        <x:v>ET-A</x:v>
      </x:c>
      <x:c r="D34" s="47" t="str">
        <x:v>ET-A-A</x:v>
      </x:c>
      <x:c r="E34" s="47" t="str">
        <x:v>ARTICLE</x:v>
      </x:c>
      <x:c r="F34" s="47" t="str">
        <x:v>N04</x:v>
      </x:c>
      <x:c r="G34" s="47" t="str">
        <x:v>Load source and calibration lineage</x:v>
      </x:c>
      <x:c r="H34" s="47" t="n">
        <x:v>1</x:v>
      </x:c>
      <x:c r="I34" s="56" t="n">
        <x:v>0</x:v>
      </x:c>
      <x:c r="J34" s="47" t="str">
        <x:f>IF(I34=H34,"PASS","OPEN")</x:f>
        <x:v>OPEN</x:v>
      </x:c>
      <x:c r="K34" s="84"/>
      <x:c r="L34" s="84"/>
      <x:c r="M34" s="84"/>
      <x:c r="N34" s="84"/>
    </x:row>
    <x:row r="35">
      <x:c r="A35" s="47" t="str">
        <x:v>NR029</x:v>
      </x:c>
      <x:c r="B35" s="47" t="str">
        <x:v>P04</x:v>
      </x:c>
      <x:c r="C35" s="47" t="str">
        <x:v>ET-A</x:v>
      </x:c>
      <x:c r="D35" s="47" t="str">
        <x:v>ET-A-A</x:v>
      </x:c>
      <x:c r="E35" s="47" t="str">
        <x:v>ARTICLE</x:v>
      </x:c>
      <x:c r="F35" s="47" t="str">
        <x:v>N05</x:v>
      </x:c>
      <x:c r="G35" s="47" t="str">
        <x:v>Execute the frozen case</x:v>
      </x:c>
      <x:c r="H35" s="47" t="n">
        <x:v>1</x:v>
      </x:c>
      <x:c r="I35" s="56" t="n">
        <x:v>0</x:v>
      </x:c>
      <x:c r="J35" s="47" t="str">
        <x:f>IF(I35=H35,"PASS","OPEN")</x:f>
        <x:v>OPEN</x:v>
      </x:c>
      <x:c r="K35" s="84"/>
      <x:c r="L35" s="84"/>
      <x:c r="M35" s="84"/>
      <x:c r="N35" s="84"/>
    </x:row>
    <x:row r="36">
      <x:c r="A36" s="47" t="str">
        <x:v>NR030</x:v>
      </x:c>
      <x:c r="B36" s="47" t="str">
        <x:v>P04</x:v>
      </x:c>
      <x:c r="C36" s="47" t="str">
        <x:v>ET-A</x:v>
      </x:c>
      <x:c r="D36" s="47" t="str">
        <x:v>ET-A-A</x:v>
      </x:c>
      <x:c r="E36" s="47" t="str">
        <x:v>ARTICLE</x:v>
      </x:c>
      <x:c r="F36" s="47" t="str">
        <x:v>N06</x:v>
      </x:c>
      <x:c r="G36" s="47" t="str">
        <x:v>Reproduce named intermediate states</x:v>
      </x:c>
      <x:c r="H36" s="47" t="n">
        <x:v>1</x:v>
      </x:c>
      <x:c r="I36" s="56" t="n">
        <x:v>0</x:v>
      </x:c>
      <x:c r="J36" s="47" t="str">
        <x:f>IF(I36=H36,"PASS","OPEN")</x:f>
        <x:v>OPEN</x:v>
      </x:c>
      <x:c r="K36" s="84"/>
      <x:c r="L36" s="84"/>
      <x:c r="M36" s="84"/>
      <x:c r="N36" s="84"/>
    </x:row>
    <x:row r="37">
      <x:c r="A37" s="47" t="str">
        <x:v>NR031</x:v>
      </x:c>
      <x:c r="B37" s="47" t="str">
        <x:v>P04</x:v>
      </x:c>
      <x:c r="C37" s="47" t="str">
        <x:v>ET-A</x:v>
      </x:c>
      <x:c r="D37" s="47" t="str">
        <x:v>ET-A-A</x:v>
      </x:c>
      <x:c r="E37" s="47" t="str">
        <x:v>ARTICLE</x:v>
      </x:c>
      <x:c r="F37" s="47" t="str">
        <x:v>N07</x:v>
      </x:c>
      <x:c r="G37" s="47" t="str">
        <x:v>Reproduce terminal design result</x:v>
      </x:c>
      <x:c r="H37" s="47" t="n">
        <x:v>1</x:v>
      </x:c>
      <x:c r="I37" s="56" t="n">
        <x:v>0</x:v>
      </x:c>
      <x:c r="J37" s="47" t="str">
        <x:f>IF(I37=H37,"PASS","OPEN")</x:f>
        <x:v>OPEN</x:v>
      </x:c>
      <x:c r="K37" s="84"/>
      <x:c r="L37" s="84"/>
      <x:c r="M37" s="84"/>
      <x:c r="N37" s="84"/>
    </x:row>
    <x:row r="38">
      <x:c r="A38" s="47" t="str">
        <x:v>NR032</x:v>
      </x:c>
      <x:c r="B38" s="47" t="str">
        <x:v>P04</x:v>
      </x:c>
      <x:c r="C38" s="47" t="str">
        <x:v>ET-A</x:v>
      </x:c>
      <x:c r="D38" s="47" t="str">
        <x:v>ET-A-A</x:v>
      </x:c>
      <x:c r="E38" s="47" t="str">
        <x:v>ARTICLE</x:v>
      </x:c>
      <x:c r="F38" s="47" t="str">
        <x:v>N08</x:v>
      </x:c>
      <x:c r="G38" s="47" t="str">
        <x:v>Seal replay transcript and checksums</x:v>
      </x:c>
      <x:c r="H38" s="47" t="n">
        <x:v>1</x:v>
      </x:c>
      <x:c r="I38" s="56" t="n">
        <x:v>0</x:v>
      </x:c>
      <x:c r="J38" s="47" t="str">
        <x:f>IF(I38=H38,"PASS","OPEN")</x:f>
        <x:v>OPEN</x:v>
      </x:c>
      <x:c r="K38" s="84"/>
      <x:c r="L38" s="84"/>
      <x:c r="M38" s="84"/>
      <x:c r="N38" s="84"/>
    </x:row>
    <x:row r="39">
      <x:c r="A39" s="47" t="str">
        <x:v>NR033</x:v>
      </x:c>
      <x:c r="B39" s="47" t="str">
        <x:v>P05</x:v>
      </x:c>
      <x:c r="C39" s="47" t="str">
        <x:v>ET-A</x:v>
      </x:c>
      <x:c r="D39" s="47" t="str">
        <x:v>ET-A-A</x:v>
      </x:c>
      <x:c r="E39" s="47" t="str">
        <x:v>REBUILD</x:v>
      </x:c>
      <x:c r="F39" s="47" t="str">
        <x:v>N01</x:v>
      </x:c>
      <x:c r="G39" s="47" t="str">
        <x:v>Resolve warrant and hash</x:v>
      </x:c>
      <x:c r="H39" s="47" t="n">
        <x:v>1</x:v>
      </x:c>
      <x:c r="I39" s="56" t="n">
        <x:v>0</x:v>
      </x:c>
      <x:c r="J39" s="47" t="str">
        <x:f>IF(I39=H39,"PASS","OPEN")</x:f>
        <x:v>OPEN</x:v>
      </x:c>
      <x:c r="K39" s="84"/>
      <x:c r="L39" s="84"/>
      <x:c r="M39" s="84"/>
      <x:c r="N39" s="84"/>
    </x:row>
    <x:row r="40">
      <x:c r="A40" s="47" t="str">
        <x:v>NR034</x:v>
      </x:c>
      <x:c r="B40" s="47" t="str">
        <x:v>P05</x:v>
      </x:c>
      <x:c r="C40" s="47" t="str">
        <x:v>ET-A</x:v>
      </x:c>
      <x:c r="D40" s="47" t="str">
        <x:v>ET-A-A</x:v>
      </x:c>
      <x:c r="E40" s="47" t="str">
        <x:v>REBUILD</x:v>
      </x:c>
      <x:c r="F40" s="47" t="str">
        <x:v>N02</x:v>
      </x:c>
      <x:c r="G40" s="47" t="str">
        <x:v>Instantiate sealed native environment</x:v>
      </x:c>
      <x:c r="H40" s="47" t="n">
        <x:v>1</x:v>
      </x:c>
      <x:c r="I40" s="56" t="n">
        <x:v>0</x:v>
      </x:c>
      <x:c r="J40" s="47" t="str">
        <x:f>IF(I40=H40,"PASS","OPEN")</x:f>
        <x:v>OPEN</x:v>
      </x:c>
      <x:c r="K40" s="84"/>
      <x:c r="L40" s="84"/>
      <x:c r="M40" s="84"/>
      <x:c r="N40" s="84"/>
    </x:row>
    <x:row r="41">
      <x:c r="A41" s="47" t="str">
        <x:v>NR035</x:v>
      </x:c>
      <x:c r="B41" s="47" t="str">
        <x:v>P05</x:v>
      </x:c>
      <x:c r="C41" s="47" t="str">
        <x:v>ET-A</x:v>
      </x:c>
      <x:c r="D41" s="47" t="str">
        <x:v>ET-A-A</x:v>
      </x:c>
      <x:c r="E41" s="47" t="str">
        <x:v>REBUILD</x:v>
      </x:c>
      <x:c r="F41" s="47" t="str">
        <x:v>N03</x:v>
      </x:c>
      <x:c r="G41" s="47" t="str">
        <x:v>Resolve dependencies and license rights</x:v>
      </x:c>
      <x:c r="H41" s="47" t="n">
        <x:v>1</x:v>
      </x:c>
      <x:c r="I41" s="56" t="n">
        <x:v>0</x:v>
      </x:c>
      <x:c r="J41" s="47" t="str">
        <x:f>IF(I41=H41,"PASS","OPEN")</x:f>
        <x:v>OPEN</x:v>
      </x:c>
      <x:c r="K41" s="84"/>
      <x:c r="L41" s="84"/>
      <x:c r="M41" s="84"/>
      <x:c r="N41" s="84"/>
    </x:row>
    <x:row r="42">
      <x:c r="A42" s="47" t="str">
        <x:v>NR036</x:v>
      </x:c>
      <x:c r="B42" s="47" t="str">
        <x:v>P05</x:v>
      </x:c>
      <x:c r="C42" s="47" t="str">
        <x:v>ET-A</x:v>
      </x:c>
      <x:c r="D42" s="47" t="str">
        <x:v>ET-A-A</x:v>
      </x:c>
      <x:c r="E42" s="47" t="str">
        <x:v>REBUILD</x:v>
      </x:c>
      <x:c r="F42" s="47" t="str">
        <x:v>N04</x:v>
      </x:c>
      <x:c r="G42" s="47" t="str">
        <x:v>Load source and calibration lineage</x:v>
      </x:c>
      <x:c r="H42" s="47" t="n">
        <x:v>1</x:v>
      </x:c>
      <x:c r="I42" s="56" t="n">
        <x:v>0</x:v>
      </x:c>
      <x:c r="J42" s="47" t="str">
        <x:f>IF(I42=H42,"PASS","OPEN")</x:f>
        <x:v>OPEN</x:v>
      </x:c>
      <x:c r="K42" s="84"/>
      <x:c r="L42" s="84"/>
      <x:c r="M42" s="84"/>
      <x:c r="N42" s="84"/>
    </x:row>
    <x:row r="43">
      <x:c r="A43" s="47" t="str">
        <x:v>NR037</x:v>
      </x:c>
      <x:c r="B43" s="47" t="str">
        <x:v>P05</x:v>
      </x:c>
      <x:c r="C43" s="47" t="str">
        <x:v>ET-A</x:v>
      </x:c>
      <x:c r="D43" s="47" t="str">
        <x:v>ET-A-A</x:v>
      </x:c>
      <x:c r="E43" s="47" t="str">
        <x:v>REBUILD</x:v>
      </x:c>
      <x:c r="F43" s="47" t="str">
        <x:v>N05</x:v>
      </x:c>
      <x:c r="G43" s="47" t="str">
        <x:v>Execute the frozen case</x:v>
      </x:c>
      <x:c r="H43" s="47" t="n">
        <x:v>1</x:v>
      </x:c>
      <x:c r="I43" s="56" t="n">
        <x:v>0</x:v>
      </x:c>
      <x:c r="J43" s="47" t="str">
        <x:f>IF(I43=H43,"PASS","OPEN")</x:f>
        <x:v>OPEN</x:v>
      </x:c>
      <x:c r="K43" s="84"/>
      <x:c r="L43" s="84"/>
      <x:c r="M43" s="84"/>
      <x:c r="N43" s="84"/>
    </x:row>
    <x:row r="44">
      <x:c r="A44" s="47" t="str">
        <x:v>NR038</x:v>
      </x:c>
      <x:c r="B44" s="47" t="str">
        <x:v>P05</x:v>
      </x:c>
      <x:c r="C44" s="47" t="str">
        <x:v>ET-A</x:v>
      </x:c>
      <x:c r="D44" s="47" t="str">
        <x:v>ET-A-A</x:v>
      </x:c>
      <x:c r="E44" s="47" t="str">
        <x:v>REBUILD</x:v>
      </x:c>
      <x:c r="F44" s="47" t="str">
        <x:v>N06</x:v>
      </x:c>
      <x:c r="G44" s="47" t="str">
        <x:v>Reproduce named intermediate states</x:v>
      </x:c>
      <x:c r="H44" s="47" t="n">
        <x:v>1</x:v>
      </x:c>
      <x:c r="I44" s="56" t="n">
        <x:v>0</x:v>
      </x:c>
      <x:c r="J44" s="47" t="str">
        <x:f>IF(I44=H44,"PASS","OPEN")</x:f>
        <x:v>OPEN</x:v>
      </x:c>
      <x:c r="K44" s="84"/>
      <x:c r="L44" s="84"/>
      <x:c r="M44" s="84"/>
      <x:c r="N44" s="84"/>
    </x:row>
    <x:row r="45">
      <x:c r="A45" s="47" t="str">
        <x:v>NR039</x:v>
      </x:c>
      <x:c r="B45" s="47" t="str">
        <x:v>P05</x:v>
      </x:c>
      <x:c r="C45" s="47" t="str">
        <x:v>ET-A</x:v>
      </x:c>
      <x:c r="D45" s="47" t="str">
        <x:v>ET-A-A</x:v>
      </x:c>
      <x:c r="E45" s="47" t="str">
        <x:v>REBUILD</x:v>
      </x:c>
      <x:c r="F45" s="47" t="str">
        <x:v>N07</x:v>
      </x:c>
      <x:c r="G45" s="47" t="str">
        <x:v>Reproduce terminal design result</x:v>
      </x:c>
      <x:c r="H45" s="47" t="n">
        <x:v>1</x:v>
      </x:c>
      <x:c r="I45" s="56" t="n">
        <x:v>0</x:v>
      </x:c>
      <x:c r="J45" s="47" t="str">
        <x:f>IF(I45=H45,"PASS","OPEN")</x:f>
        <x:v>OPEN</x:v>
      </x:c>
      <x:c r="K45" s="84"/>
      <x:c r="L45" s="84"/>
      <x:c r="M45" s="84"/>
      <x:c r="N45" s="84"/>
    </x:row>
    <x:row r="46">
      <x:c r="A46" s="47" t="str">
        <x:v>NR040</x:v>
      </x:c>
      <x:c r="B46" s="47" t="str">
        <x:v>P05</x:v>
      </x:c>
      <x:c r="C46" s="47" t="str">
        <x:v>ET-A</x:v>
      </x:c>
      <x:c r="D46" s="47" t="str">
        <x:v>ET-A-A</x:v>
      </x:c>
      <x:c r="E46" s="47" t="str">
        <x:v>REBUILD</x:v>
      </x:c>
      <x:c r="F46" s="47" t="str">
        <x:v>N08</x:v>
      </x:c>
      <x:c r="G46" s="47" t="str">
        <x:v>Seal replay transcript and checksums</x:v>
      </x:c>
      <x:c r="H46" s="47" t="n">
        <x:v>1</x:v>
      </x:c>
      <x:c r="I46" s="56" t="n">
        <x:v>0</x:v>
      </x:c>
      <x:c r="J46" s="47" t="str">
        <x:f>IF(I46=H46,"PASS","OPEN")</x:f>
        <x:v>OPEN</x:v>
      </x:c>
      <x:c r="K46" s="84"/>
      <x:c r="L46" s="84"/>
      <x:c r="M46" s="84"/>
      <x:c r="N46" s="84"/>
    </x:row>
    <x:row r="47">
      <x:c r="A47" s="47" t="str">
        <x:v>NR041</x:v>
      </x:c>
      <x:c r="B47" s="47" t="str">
        <x:v>P06</x:v>
      </x:c>
      <x:c r="C47" s="47" t="str">
        <x:v>CT-C</x:v>
      </x:c>
      <x:c r="D47" s="47" t="str">
        <x:v>CT-C-B</x:v>
      </x:c>
      <x:c r="E47" s="47" t="str">
        <x:v>METHOD</x:v>
      </x:c>
      <x:c r="F47" s="47" t="str">
        <x:v>N01</x:v>
      </x:c>
      <x:c r="G47" s="47" t="str">
        <x:v>Resolve warrant and hash</x:v>
      </x:c>
      <x:c r="H47" s="47" t="n">
        <x:v>1</x:v>
      </x:c>
      <x:c r="I47" s="56" t="n">
        <x:v>0</x:v>
      </x:c>
      <x:c r="J47" s="47" t="str">
        <x:f>IF(I47=H47,"PASS","OPEN")</x:f>
        <x:v>OPEN</x:v>
      </x:c>
      <x:c r="K47" s="84"/>
      <x:c r="L47" s="84"/>
      <x:c r="M47" s="84"/>
      <x:c r="N47" s="84"/>
    </x:row>
    <x:row r="48">
      <x:c r="A48" s="47" t="str">
        <x:v>NR042</x:v>
      </x:c>
      <x:c r="B48" s="47" t="str">
        <x:v>P06</x:v>
      </x:c>
      <x:c r="C48" s="47" t="str">
        <x:v>CT-C</x:v>
      </x:c>
      <x:c r="D48" s="47" t="str">
        <x:v>CT-C-B</x:v>
      </x:c>
      <x:c r="E48" s="47" t="str">
        <x:v>METHOD</x:v>
      </x:c>
      <x:c r="F48" s="47" t="str">
        <x:v>N02</x:v>
      </x:c>
      <x:c r="G48" s="47" t="str">
        <x:v>Instantiate sealed native environment</x:v>
      </x:c>
      <x:c r="H48" s="47" t="n">
        <x:v>1</x:v>
      </x:c>
      <x:c r="I48" s="56" t="n">
        <x:v>0</x:v>
      </x:c>
      <x:c r="J48" s="47" t="str">
        <x:f>IF(I48=H48,"PASS","OPEN")</x:f>
        <x:v>OPEN</x:v>
      </x:c>
      <x:c r="K48" s="84"/>
      <x:c r="L48" s="84"/>
      <x:c r="M48" s="84"/>
      <x:c r="N48" s="84"/>
    </x:row>
    <x:row r="49">
      <x:c r="A49" s="47" t="str">
        <x:v>NR043</x:v>
      </x:c>
      <x:c r="B49" s="47" t="str">
        <x:v>P06</x:v>
      </x:c>
      <x:c r="C49" s="47" t="str">
        <x:v>CT-C</x:v>
      </x:c>
      <x:c r="D49" s="47" t="str">
        <x:v>CT-C-B</x:v>
      </x:c>
      <x:c r="E49" s="47" t="str">
        <x:v>METHOD</x:v>
      </x:c>
      <x:c r="F49" s="47" t="str">
        <x:v>N03</x:v>
      </x:c>
      <x:c r="G49" s="47" t="str">
        <x:v>Resolve dependencies and license rights</x:v>
      </x:c>
      <x:c r="H49" s="47" t="n">
        <x:v>1</x:v>
      </x:c>
      <x:c r="I49" s="56" t="n">
        <x:v>0</x:v>
      </x:c>
      <x:c r="J49" s="47" t="str">
        <x:f>IF(I49=H49,"PASS","OPEN")</x:f>
        <x:v>OPEN</x:v>
      </x:c>
      <x:c r="K49" s="84"/>
      <x:c r="L49" s="84"/>
      <x:c r="M49" s="84"/>
      <x:c r="N49" s="84"/>
    </x:row>
    <x:row r="50">
      <x:c r="A50" s="47" t="str">
        <x:v>NR044</x:v>
      </x:c>
      <x:c r="B50" s="47" t="str">
        <x:v>P06</x:v>
      </x:c>
      <x:c r="C50" s="47" t="str">
        <x:v>CT-C</x:v>
      </x:c>
      <x:c r="D50" s="47" t="str">
        <x:v>CT-C-B</x:v>
      </x:c>
      <x:c r="E50" s="47" t="str">
        <x:v>METHOD</x:v>
      </x:c>
      <x:c r="F50" s="47" t="str">
        <x:v>N04</x:v>
      </x:c>
      <x:c r="G50" s="47" t="str">
        <x:v>Load source and calibration lineage</x:v>
      </x:c>
      <x:c r="H50" s="47" t="n">
        <x:v>1</x:v>
      </x:c>
      <x:c r="I50" s="56" t="n">
        <x:v>0</x:v>
      </x:c>
      <x:c r="J50" s="47" t="str">
        <x:f>IF(I50=H50,"PASS","OPEN")</x:f>
        <x:v>OPEN</x:v>
      </x:c>
      <x:c r="K50" s="84"/>
      <x:c r="L50" s="84"/>
      <x:c r="M50" s="84"/>
      <x:c r="N50" s="84"/>
    </x:row>
    <x:row r="51">
      <x:c r="A51" s="47" t="str">
        <x:v>NR045</x:v>
      </x:c>
      <x:c r="B51" s="47" t="str">
        <x:v>P06</x:v>
      </x:c>
      <x:c r="C51" s="47" t="str">
        <x:v>CT-C</x:v>
      </x:c>
      <x:c r="D51" s="47" t="str">
        <x:v>CT-C-B</x:v>
      </x:c>
      <x:c r="E51" s="47" t="str">
        <x:v>METHOD</x:v>
      </x:c>
      <x:c r="F51" s="47" t="str">
        <x:v>N05</x:v>
      </x:c>
      <x:c r="G51" s="47" t="str">
        <x:v>Execute the frozen case</x:v>
      </x:c>
      <x:c r="H51" s="47" t="n">
        <x:v>1</x:v>
      </x:c>
      <x:c r="I51" s="56" t="n">
        <x:v>0</x:v>
      </x:c>
      <x:c r="J51" s="47" t="str">
        <x:f>IF(I51=H51,"PASS","OPEN")</x:f>
        <x:v>OPEN</x:v>
      </x:c>
      <x:c r="K51" s="84"/>
      <x:c r="L51" s="84"/>
      <x:c r="M51" s="84"/>
      <x:c r="N51" s="84"/>
    </x:row>
    <x:row r="52">
      <x:c r="A52" s="47" t="str">
        <x:v>NR046</x:v>
      </x:c>
      <x:c r="B52" s="47" t="str">
        <x:v>P06</x:v>
      </x:c>
      <x:c r="C52" s="47" t="str">
        <x:v>CT-C</x:v>
      </x:c>
      <x:c r="D52" s="47" t="str">
        <x:v>CT-C-B</x:v>
      </x:c>
      <x:c r="E52" s="47" t="str">
        <x:v>METHOD</x:v>
      </x:c>
      <x:c r="F52" s="47" t="str">
        <x:v>N06</x:v>
      </x:c>
      <x:c r="G52" s="47" t="str">
        <x:v>Reproduce named intermediate states</x:v>
      </x:c>
      <x:c r="H52" s="47" t="n">
        <x:v>1</x:v>
      </x:c>
      <x:c r="I52" s="56" t="n">
        <x:v>0</x:v>
      </x:c>
      <x:c r="J52" s="47" t="str">
        <x:f>IF(I52=H52,"PASS","OPEN")</x:f>
        <x:v>OPEN</x:v>
      </x:c>
      <x:c r="K52" s="84"/>
      <x:c r="L52" s="84"/>
      <x:c r="M52" s="84"/>
      <x:c r="N52" s="84"/>
    </x:row>
    <x:row r="53">
      <x:c r="A53" s="47" t="str">
        <x:v>NR047</x:v>
      </x:c>
      <x:c r="B53" s="47" t="str">
        <x:v>P06</x:v>
      </x:c>
      <x:c r="C53" s="47" t="str">
        <x:v>CT-C</x:v>
      </x:c>
      <x:c r="D53" s="47" t="str">
        <x:v>CT-C-B</x:v>
      </x:c>
      <x:c r="E53" s="47" t="str">
        <x:v>METHOD</x:v>
      </x:c>
      <x:c r="F53" s="47" t="str">
        <x:v>N07</x:v>
      </x:c>
      <x:c r="G53" s="47" t="str">
        <x:v>Reproduce terminal design result</x:v>
      </x:c>
      <x:c r="H53" s="47" t="n">
        <x:v>1</x:v>
      </x:c>
      <x:c r="I53" s="56" t="n">
        <x:v>0</x:v>
      </x:c>
      <x:c r="J53" s="47" t="str">
        <x:f>IF(I53=H53,"PASS","OPEN")</x:f>
        <x:v>OPEN</x:v>
      </x:c>
      <x:c r="K53" s="84"/>
      <x:c r="L53" s="84"/>
      <x:c r="M53" s="84"/>
      <x:c r="N53" s="84"/>
    </x:row>
    <x:row r="54">
      <x:c r="A54" s="47" t="str">
        <x:v>NR048</x:v>
      </x:c>
      <x:c r="B54" s="47" t="str">
        <x:v>P06</x:v>
      </x:c>
      <x:c r="C54" s="47" t="str">
        <x:v>CT-C</x:v>
      </x:c>
      <x:c r="D54" s="47" t="str">
        <x:v>CT-C-B</x:v>
      </x:c>
      <x:c r="E54" s="47" t="str">
        <x:v>METHOD</x:v>
      </x:c>
      <x:c r="F54" s="47" t="str">
        <x:v>N08</x:v>
      </x:c>
      <x:c r="G54" s="47" t="str">
        <x:v>Seal replay transcript and checksums</x:v>
      </x:c>
      <x:c r="H54" s="47" t="n">
        <x:v>1</x:v>
      </x:c>
      <x:c r="I54" s="56" t="n">
        <x:v>0</x:v>
      </x:c>
      <x:c r="J54" s="47" t="str">
        <x:f>IF(I54=H54,"PASS","OPEN")</x:f>
        <x:v>OPEN</x:v>
      </x:c>
      <x:c r="K54" s="84"/>
      <x:c r="L54" s="84"/>
      <x:c r="M54" s="84"/>
      <x:c r="N54" s="84"/>
    </x:row>
    <x:row r="55">
      <x:c r="A55" s="47" t="str">
        <x:v>NR049</x:v>
      </x:c>
      <x:c r="B55" s="47" t="str">
        <x:v>P07</x:v>
      </x:c>
      <x:c r="C55" s="47" t="str">
        <x:v>CT-C</x:v>
      </x:c>
      <x:c r="D55" s="47" t="str">
        <x:v>CT-C-B</x:v>
      </x:c>
      <x:c r="E55" s="47" t="str">
        <x:v>VALID</x:v>
      </x:c>
      <x:c r="F55" s="47" t="str">
        <x:v>N01</x:v>
      </x:c>
      <x:c r="G55" s="47" t="str">
        <x:v>Resolve warrant and hash</x:v>
      </x:c>
      <x:c r="H55" s="47" t="n">
        <x:v>1</x:v>
      </x:c>
      <x:c r="I55" s="56" t="n">
        <x:v>0</x:v>
      </x:c>
      <x:c r="J55" s="47" t="str">
        <x:f>IF(I55=H55,"PASS","OPEN")</x:f>
        <x:v>OPEN</x:v>
      </x:c>
      <x:c r="K55" s="84"/>
      <x:c r="L55" s="84"/>
      <x:c r="M55" s="84"/>
      <x:c r="N55" s="84"/>
    </x:row>
    <x:row r="56">
      <x:c r="A56" s="47" t="str">
        <x:v>NR050</x:v>
      </x:c>
      <x:c r="B56" s="47" t="str">
        <x:v>P07</x:v>
      </x:c>
      <x:c r="C56" s="47" t="str">
        <x:v>CT-C</x:v>
      </x:c>
      <x:c r="D56" s="47" t="str">
        <x:v>CT-C-B</x:v>
      </x:c>
      <x:c r="E56" s="47" t="str">
        <x:v>VALID</x:v>
      </x:c>
      <x:c r="F56" s="47" t="str">
        <x:v>N02</x:v>
      </x:c>
      <x:c r="G56" s="47" t="str">
        <x:v>Instantiate sealed native environment</x:v>
      </x:c>
      <x:c r="H56" s="47" t="n">
        <x:v>1</x:v>
      </x:c>
      <x:c r="I56" s="56" t="n">
        <x:v>0</x:v>
      </x:c>
      <x:c r="J56" s="47" t="str">
        <x:f>IF(I56=H56,"PASS","OPEN")</x:f>
        <x:v>OPEN</x:v>
      </x:c>
      <x:c r="K56" s="84"/>
      <x:c r="L56" s="84"/>
      <x:c r="M56" s="84"/>
      <x:c r="N56" s="84"/>
    </x:row>
    <x:row r="57">
      <x:c r="A57" s="47" t="str">
        <x:v>NR051</x:v>
      </x:c>
      <x:c r="B57" s="47" t="str">
        <x:v>P07</x:v>
      </x:c>
      <x:c r="C57" s="47" t="str">
        <x:v>CT-C</x:v>
      </x:c>
      <x:c r="D57" s="47" t="str">
        <x:v>CT-C-B</x:v>
      </x:c>
      <x:c r="E57" s="47" t="str">
        <x:v>VALID</x:v>
      </x:c>
      <x:c r="F57" s="47" t="str">
        <x:v>N03</x:v>
      </x:c>
      <x:c r="G57" s="47" t="str">
        <x:v>Resolve dependencies and license rights</x:v>
      </x:c>
      <x:c r="H57" s="47" t="n">
        <x:v>1</x:v>
      </x:c>
      <x:c r="I57" s="56" t="n">
        <x:v>0</x:v>
      </x:c>
      <x:c r="J57" s="47" t="str">
        <x:f>IF(I57=H57,"PASS","OPEN")</x:f>
        <x:v>OPEN</x:v>
      </x:c>
      <x:c r="K57" s="84"/>
      <x:c r="L57" s="84"/>
      <x:c r="M57" s="84"/>
      <x:c r="N57" s="84"/>
    </x:row>
    <x:row r="58">
      <x:c r="A58" s="47" t="str">
        <x:v>NR052</x:v>
      </x:c>
      <x:c r="B58" s="47" t="str">
        <x:v>P07</x:v>
      </x:c>
      <x:c r="C58" s="47" t="str">
        <x:v>CT-C</x:v>
      </x:c>
      <x:c r="D58" s="47" t="str">
        <x:v>CT-C-B</x:v>
      </x:c>
      <x:c r="E58" s="47" t="str">
        <x:v>VALID</x:v>
      </x:c>
      <x:c r="F58" s="47" t="str">
        <x:v>N04</x:v>
      </x:c>
      <x:c r="G58" s="47" t="str">
        <x:v>Load source and calibration lineage</x:v>
      </x:c>
      <x:c r="H58" s="47" t="n">
        <x:v>1</x:v>
      </x:c>
      <x:c r="I58" s="56" t="n">
        <x:v>0</x:v>
      </x:c>
      <x:c r="J58" s="47" t="str">
        <x:f>IF(I58=H58,"PASS","OPEN")</x:f>
        <x:v>OPEN</x:v>
      </x:c>
      <x:c r="K58" s="84"/>
      <x:c r="L58" s="84"/>
      <x:c r="M58" s="84"/>
      <x:c r="N58" s="84"/>
    </x:row>
    <x:row r="59">
      <x:c r="A59" s="47" t="str">
        <x:v>NR053</x:v>
      </x:c>
      <x:c r="B59" s="47" t="str">
        <x:v>P07</x:v>
      </x:c>
      <x:c r="C59" s="47" t="str">
        <x:v>CT-C</x:v>
      </x:c>
      <x:c r="D59" s="47" t="str">
        <x:v>CT-C-B</x:v>
      </x:c>
      <x:c r="E59" s="47" t="str">
        <x:v>VALID</x:v>
      </x:c>
      <x:c r="F59" s="47" t="str">
        <x:v>N05</x:v>
      </x:c>
      <x:c r="G59" s="47" t="str">
        <x:v>Execute the frozen case</x:v>
      </x:c>
      <x:c r="H59" s="47" t="n">
        <x:v>1</x:v>
      </x:c>
      <x:c r="I59" s="56" t="n">
        <x:v>0</x:v>
      </x:c>
      <x:c r="J59" s="47" t="str">
        <x:f>IF(I59=H59,"PASS","OPEN")</x:f>
        <x:v>OPEN</x:v>
      </x:c>
      <x:c r="K59" s="84"/>
      <x:c r="L59" s="84"/>
      <x:c r="M59" s="84"/>
      <x:c r="N59" s="84"/>
    </x:row>
    <x:row r="60">
      <x:c r="A60" s="47" t="str">
        <x:v>NR054</x:v>
      </x:c>
      <x:c r="B60" s="47" t="str">
        <x:v>P07</x:v>
      </x:c>
      <x:c r="C60" s="47" t="str">
        <x:v>CT-C</x:v>
      </x:c>
      <x:c r="D60" s="47" t="str">
        <x:v>CT-C-B</x:v>
      </x:c>
      <x:c r="E60" s="47" t="str">
        <x:v>VALID</x:v>
      </x:c>
      <x:c r="F60" s="47" t="str">
        <x:v>N06</x:v>
      </x:c>
      <x:c r="G60" s="47" t="str">
        <x:v>Reproduce named intermediate states</x:v>
      </x:c>
      <x:c r="H60" s="47" t="n">
        <x:v>1</x:v>
      </x:c>
      <x:c r="I60" s="56" t="n">
        <x:v>0</x:v>
      </x:c>
      <x:c r="J60" s="47" t="str">
        <x:f>IF(I60=H60,"PASS","OPEN")</x:f>
        <x:v>OPEN</x:v>
      </x:c>
      <x:c r="K60" s="84"/>
      <x:c r="L60" s="84"/>
      <x:c r="M60" s="84"/>
      <x:c r="N60" s="84"/>
    </x:row>
    <x:row r="61">
      <x:c r="A61" s="47" t="str">
        <x:v>NR055</x:v>
      </x:c>
      <x:c r="B61" s="47" t="str">
        <x:v>P07</x:v>
      </x:c>
      <x:c r="C61" s="47" t="str">
        <x:v>CT-C</x:v>
      </x:c>
      <x:c r="D61" s="47" t="str">
        <x:v>CT-C-B</x:v>
      </x:c>
      <x:c r="E61" s="47" t="str">
        <x:v>VALID</x:v>
      </x:c>
      <x:c r="F61" s="47" t="str">
        <x:v>N07</x:v>
      </x:c>
      <x:c r="G61" s="47" t="str">
        <x:v>Reproduce terminal design result</x:v>
      </x:c>
      <x:c r="H61" s="47" t="n">
        <x:v>1</x:v>
      </x:c>
      <x:c r="I61" s="56" t="n">
        <x:v>0</x:v>
      </x:c>
      <x:c r="J61" s="47" t="str">
        <x:f>IF(I61=H61,"PASS","OPEN")</x:f>
        <x:v>OPEN</x:v>
      </x:c>
      <x:c r="K61" s="84"/>
      <x:c r="L61" s="84"/>
      <x:c r="M61" s="84"/>
      <x:c r="N61" s="84"/>
    </x:row>
    <x:row r="62">
      <x:c r="A62" s="47" t="str">
        <x:v>NR056</x:v>
      </x:c>
      <x:c r="B62" s="47" t="str">
        <x:v>P07</x:v>
      </x:c>
      <x:c r="C62" s="47" t="str">
        <x:v>CT-C</x:v>
      </x:c>
      <x:c r="D62" s="47" t="str">
        <x:v>CT-C-B</x:v>
      </x:c>
      <x:c r="E62" s="47" t="str">
        <x:v>VALID</x:v>
      </x:c>
      <x:c r="F62" s="47" t="str">
        <x:v>N08</x:v>
      </x:c>
      <x:c r="G62" s="47" t="str">
        <x:v>Seal replay transcript and checksums</x:v>
      </x:c>
      <x:c r="H62" s="47" t="n">
        <x:v>1</x:v>
      </x:c>
      <x:c r="I62" s="56" t="n">
        <x:v>0</x:v>
      </x:c>
      <x:c r="J62" s="47" t="str">
        <x:f>IF(I62=H62,"PASS","OPEN")</x:f>
        <x:v>OPEN</x:v>
      </x:c>
      <x:c r="K62" s="84"/>
      <x:c r="L62" s="84"/>
      <x:c r="M62" s="84"/>
      <x:c r="N62" s="84"/>
    </x:row>
    <x:row r="63">
      <x:c r="A63" s="47" t="str">
        <x:v>NR057</x:v>
      </x:c>
      <x:c r="B63" s="47" t="str">
        <x:v>P08</x:v>
      </x:c>
      <x:c r="C63" s="47" t="str">
        <x:v>CT-C</x:v>
      </x:c>
      <x:c r="D63" s="47" t="str">
        <x:v>CT-C-B</x:v>
      </x:c>
      <x:c r="E63" s="47" t="str">
        <x:v>CIVIL</x:v>
      </x:c>
      <x:c r="F63" s="47" t="str">
        <x:v>N01</x:v>
      </x:c>
      <x:c r="G63" s="47" t="str">
        <x:v>Resolve warrant and hash</x:v>
      </x:c>
      <x:c r="H63" s="47" t="n">
        <x:v>1</x:v>
      </x:c>
      <x:c r="I63" s="56" t="n">
        <x:v>0</x:v>
      </x:c>
      <x:c r="J63" s="47" t="str">
        <x:f>IF(I63=H63,"PASS","OPEN")</x:f>
        <x:v>OPEN</x:v>
      </x:c>
      <x:c r="K63" s="84"/>
      <x:c r="L63" s="84"/>
      <x:c r="M63" s="84"/>
      <x:c r="N63" s="84"/>
    </x:row>
    <x:row r="64">
      <x:c r="A64" s="47" t="str">
        <x:v>NR058</x:v>
      </x:c>
      <x:c r="B64" s="47" t="str">
        <x:v>P08</x:v>
      </x:c>
      <x:c r="C64" s="47" t="str">
        <x:v>CT-C</x:v>
      </x:c>
      <x:c r="D64" s="47" t="str">
        <x:v>CT-C-B</x:v>
      </x:c>
      <x:c r="E64" s="47" t="str">
        <x:v>CIVIL</x:v>
      </x:c>
      <x:c r="F64" s="47" t="str">
        <x:v>N02</x:v>
      </x:c>
      <x:c r="G64" s="47" t="str">
        <x:v>Instantiate sealed native environment</x:v>
      </x:c>
      <x:c r="H64" s="47" t="n">
        <x:v>1</x:v>
      </x:c>
      <x:c r="I64" s="56" t="n">
        <x:v>0</x:v>
      </x:c>
      <x:c r="J64" s="47" t="str">
        <x:f>IF(I64=H64,"PASS","OPEN")</x:f>
        <x:v>OPEN</x:v>
      </x:c>
      <x:c r="K64" s="84"/>
      <x:c r="L64" s="84"/>
      <x:c r="M64" s="84"/>
      <x:c r="N64" s="84"/>
    </x:row>
    <x:row r="65">
      <x:c r="A65" s="47" t="str">
        <x:v>NR059</x:v>
      </x:c>
      <x:c r="B65" s="47" t="str">
        <x:v>P08</x:v>
      </x:c>
      <x:c r="C65" s="47" t="str">
        <x:v>CT-C</x:v>
      </x:c>
      <x:c r="D65" s="47" t="str">
        <x:v>CT-C-B</x:v>
      </x:c>
      <x:c r="E65" s="47" t="str">
        <x:v>CIVIL</x:v>
      </x:c>
      <x:c r="F65" s="47" t="str">
        <x:v>N03</x:v>
      </x:c>
      <x:c r="G65" s="47" t="str">
        <x:v>Resolve dependencies and license rights</x:v>
      </x:c>
      <x:c r="H65" s="47" t="n">
        <x:v>1</x:v>
      </x:c>
      <x:c r="I65" s="56" t="n">
        <x:v>0</x:v>
      </x:c>
      <x:c r="J65" s="47" t="str">
        <x:f>IF(I65=H65,"PASS","OPEN")</x:f>
        <x:v>OPEN</x:v>
      </x:c>
      <x:c r="K65" s="84"/>
      <x:c r="L65" s="84"/>
      <x:c r="M65" s="84"/>
      <x:c r="N65" s="84"/>
    </x:row>
    <x:row r="66">
      <x:c r="A66" s="47" t="str">
        <x:v>NR060</x:v>
      </x:c>
      <x:c r="B66" s="47" t="str">
        <x:v>P08</x:v>
      </x:c>
      <x:c r="C66" s="47" t="str">
        <x:v>CT-C</x:v>
      </x:c>
      <x:c r="D66" s="47" t="str">
        <x:v>CT-C-B</x:v>
      </x:c>
      <x:c r="E66" s="47" t="str">
        <x:v>CIVIL</x:v>
      </x:c>
      <x:c r="F66" s="47" t="str">
        <x:v>N04</x:v>
      </x:c>
      <x:c r="G66" s="47" t="str">
        <x:v>Load source and calibration lineage</x:v>
      </x:c>
      <x:c r="H66" s="47" t="n">
        <x:v>1</x:v>
      </x:c>
      <x:c r="I66" s="56" t="n">
        <x:v>0</x:v>
      </x:c>
      <x:c r="J66" s="47" t="str">
        <x:f>IF(I66=H66,"PASS","OPEN")</x:f>
        <x:v>OPEN</x:v>
      </x:c>
      <x:c r="K66" s="84"/>
      <x:c r="L66" s="84"/>
      <x:c r="M66" s="84"/>
      <x:c r="N66" s="84"/>
    </x:row>
    <x:row r="67">
      <x:c r="A67" s="47" t="str">
        <x:v>NR061</x:v>
      </x:c>
      <x:c r="B67" s="47" t="str">
        <x:v>P08</x:v>
      </x:c>
      <x:c r="C67" s="47" t="str">
        <x:v>CT-C</x:v>
      </x:c>
      <x:c r="D67" s="47" t="str">
        <x:v>CT-C-B</x:v>
      </x:c>
      <x:c r="E67" s="47" t="str">
        <x:v>CIVIL</x:v>
      </x:c>
      <x:c r="F67" s="47" t="str">
        <x:v>N05</x:v>
      </x:c>
      <x:c r="G67" s="47" t="str">
        <x:v>Execute the frozen case</x:v>
      </x:c>
      <x:c r="H67" s="47" t="n">
        <x:v>1</x:v>
      </x:c>
      <x:c r="I67" s="56" t="n">
        <x:v>0</x:v>
      </x:c>
      <x:c r="J67" s="47" t="str">
        <x:f>IF(I67=H67,"PASS","OPEN")</x:f>
        <x:v>OPEN</x:v>
      </x:c>
      <x:c r="K67" s="84"/>
      <x:c r="L67" s="84"/>
      <x:c r="M67" s="84"/>
      <x:c r="N67" s="84"/>
    </x:row>
    <x:row r="68">
      <x:c r="A68" s="47" t="str">
        <x:v>NR062</x:v>
      </x:c>
      <x:c r="B68" s="47" t="str">
        <x:v>P08</x:v>
      </x:c>
      <x:c r="C68" s="47" t="str">
        <x:v>CT-C</x:v>
      </x:c>
      <x:c r="D68" s="47" t="str">
        <x:v>CT-C-B</x:v>
      </x:c>
      <x:c r="E68" s="47" t="str">
        <x:v>CIVIL</x:v>
      </x:c>
      <x:c r="F68" s="47" t="str">
        <x:v>N06</x:v>
      </x:c>
      <x:c r="G68" s="47" t="str">
        <x:v>Reproduce named intermediate states</x:v>
      </x:c>
      <x:c r="H68" s="47" t="n">
        <x:v>1</x:v>
      </x:c>
      <x:c r="I68" s="56" t="n">
        <x:v>0</x:v>
      </x:c>
      <x:c r="J68" s="47" t="str">
        <x:f>IF(I68=H68,"PASS","OPEN")</x:f>
        <x:v>OPEN</x:v>
      </x:c>
      <x:c r="K68" s="84"/>
      <x:c r="L68" s="84"/>
      <x:c r="M68" s="84"/>
      <x:c r="N68" s="84"/>
    </x:row>
    <x:row r="69">
      <x:c r="A69" s="47" t="str">
        <x:v>NR063</x:v>
      </x:c>
      <x:c r="B69" s="47" t="str">
        <x:v>P08</x:v>
      </x:c>
      <x:c r="C69" s="47" t="str">
        <x:v>CT-C</x:v>
      </x:c>
      <x:c r="D69" s="47" t="str">
        <x:v>CT-C-B</x:v>
      </x:c>
      <x:c r="E69" s="47" t="str">
        <x:v>CIVIL</x:v>
      </x:c>
      <x:c r="F69" s="47" t="str">
        <x:v>N07</x:v>
      </x:c>
      <x:c r="G69" s="47" t="str">
        <x:v>Reproduce terminal design result</x:v>
      </x:c>
      <x:c r="H69" s="47" t="n">
        <x:v>1</x:v>
      </x:c>
      <x:c r="I69" s="56" t="n">
        <x:v>0</x:v>
      </x:c>
      <x:c r="J69" s="47" t="str">
        <x:f>IF(I69=H69,"PASS","OPEN")</x:f>
        <x:v>OPEN</x:v>
      </x:c>
      <x:c r="K69" s="84"/>
      <x:c r="L69" s="84"/>
      <x:c r="M69" s="84"/>
      <x:c r="N69" s="84"/>
    </x:row>
    <x:row r="70">
      <x:c r="A70" s="47" t="str">
        <x:v>NR064</x:v>
      </x:c>
      <x:c r="B70" s="47" t="str">
        <x:v>P08</x:v>
      </x:c>
      <x:c r="C70" s="47" t="str">
        <x:v>CT-C</x:v>
      </x:c>
      <x:c r="D70" s="47" t="str">
        <x:v>CT-C-B</x:v>
      </x:c>
      <x:c r="E70" s="47" t="str">
        <x:v>CIVIL</x:v>
      </x:c>
      <x:c r="F70" s="47" t="str">
        <x:v>N08</x:v>
      </x:c>
      <x:c r="G70" s="47" t="str">
        <x:v>Seal replay transcript and checksums</x:v>
      </x:c>
      <x:c r="H70" s="47" t="n">
        <x:v>1</x:v>
      </x:c>
      <x:c r="I70" s="56" t="n">
        <x:v>0</x:v>
      </x:c>
      <x:c r="J70" s="47" t="str">
        <x:f>IF(I70=H70,"PASS","OPEN")</x:f>
        <x:v>OPEN</x:v>
      </x:c>
      <x:c r="K70" s="84"/>
      <x:c r="L70" s="84"/>
      <x:c r="M70" s="84"/>
      <x:c r="N70" s="84"/>
    </x:row>
    <x:row r="71">
      <x:c r="A71" s="47" t="str">
        <x:v>NR065</x:v>
      </x:c>
      <x:c r="B71" s="47" t="str">
        <x:v>P09</x:v>
      </x:c>
      <x:c r="C71" s="47" t="str">
        <x:v>CT-C</x:v>
      </x:c>
      <x:c r="D71" s="47" t="str">
        <x:v>CT-C-B</x:v>
      </x:c>
      <x:c r="E71" s="47" t="str">
        <x:v>ARTICLE</x:v>
      </x:c>
      <x:c r="F71" s="47" t="str">
        <x:v>N01</x:v>
      </x:c>
      <x:c r="G71" s="47" t="str">
        <x:v>Resolve warrant and hash</x:v>
      </x:c>
      <x:c r="H71" s="47" t="n">
        <x:v>1</x:v>
      </x:c>
      <x:c r="I71" s="56" t="n">
        <x:v>0</x:v>
      </x:c>
      <x:c r="J71" s="47" t="str">
        <x:f>IF(I71=H71,"PASS","OPEN")</x:f>
        <x:v>OPEN</x:v>
      </x:c>
      <x:c r="K71" s="84"/>
      <x:c r="L71" s="84"/>
      <x:c r="M71" s="84"/>
      <x:c r="N71" s="84"/>
    </x:row>
    <x:row r="72">
      <x:c r="A72" s="47" t="str">
        <x:v>NR066</x:v>
      </x:c>
      <x:c r="B72" s="47" t="str">
        <x:v>P09</x:v>
      </x:c>
      <x:c r="C72" s="47" t="str">
        <x:v>CT-C</x:v>
      </x:c>
      <x:c r="D72" s="47" t="str">
        <x:v>CT-C-B</x:v>
      </x:c>
      <x:c r="E72" s="47" t="str">
        <x:v>ARTICLE</x:v>
      </x:c>
      <x:c r="F72" s="47" t="str">
        <x:v>N02</x:v>
      </x:c>
      <x:c r="G72" s="47" t="str">
        <x:v>Instantiate sealed native environment</x:v>
      </x:c>
      <x:c r="H72" s="47" t="n">
        <x:v>1</x:v>
      </x:c>
      <x:c r="I72" s="56" t="n">
        <x:v>0</x:v>
      </x:c>
      <x:c r="J72" s="47" t="str">
        <x:f>IF(I72=H72,"PASS","OPEN")</x:f>
        <x:v>OPEN</x:v>
      </x:c>
      <x:c r="K72" s="84"/>
      <x:c r="L72" s="84"/>
      <x:c r="M72" s="84"/>
      <x:c r="N72" s="84"/>
    </x:row>
    <x:row r="73">
      <x:c r="A73" s="47" t="str">
        <x:v>NR067</x:v>
      </x:c>
      <x:c r="B73" s="47" t="str">
        <x:v>P09</x:v>
      </x:c>
      <x:c r="C73" s="47" t="str">
        <x:v>CT-C</x:v>
      </x:c>
      <x:c r="D73" s="47" t="str">
        <x:v>CT-C-B</x:v>
      </x:c>
      <x:c r="E73" s="47" t="str">
        <x:v>ARTICLE</x:v>
      </x:c>
      <x:c r="F73" s="47" t="str">
        <x:v>N03</x:v>
      </x:c>
      <x:c r="G73" s="47" t="str">
        <x:v>Resolve dependencies and license rights</x:v>
      </x:c>
      <x:c r="H73" s="47" t="n">
        <x:v>1</x:v>
      </x:c>
      <x:c r="I73" s="56" t="n">
        <x:v>0</x:v>
      </x:c>
      <x:c r="J73" s="47" t="str">
        <x:f>IF(I73=H73,"PASS","OPEN")</x:f>
        <x:v>OPEN</x:v>
      </x:c>
      <x:c r="K73" s="84"/>
      <x:c r="L73" s="84"/>
      <x:c r="M73" s="84"/>
      <x:c r="N73" s="84"/>
    </x:row>
    <x:row r="74">
      <x:c r="A74" s="47" t="str">
        <x:v>NR068</x:v>
      </x:c>
      <x:c r="B74" s="47" t="str">
        <x:v>P09</x:v>
      </x:c>
      <x:c r="C74" s="47" t="str">
        <x:v>CT-C</x:v>
      </x:c>
      <x:c r="D74" s="47" t="str">
        <x:v>CT-C-B</x:v>
      </x:c>
      <x:c r="E74" s="47" t="str">
        <x:v>ARTICLE</x:v>
      </x:c>
      <x:c r="F74" s="47" t="str">
        <x:v>N04</x:v>
      </x:c>
      <x:c r="G74" s="47" t="str">
        <x:v>Load source and calibration lineage</x:v>
      </x:c>
      <x:c r="H74" s="47" t="n">
        <x:v>1</x:v>
      </x:c>
      <x:c r="I74" s="56" t="n">
        <x:v>0</x:v>
      </x:c>
      <x:c r="J74" s="47" t="str">
        <x:f>IF(I74=H74,"PASS","OPEN")</x:f>
        <x:v>OPEN</x:v>
      </x:c>
      <x:c r="K74" s="84"/>
      <x:c r="L74" s="84"/>
      <x:c r="M74" s="84"/>
      <x:c r="N74" s="84"/>
    </x:row>
    <x:row r="75">
      <x:c r="A75" s="47" t="str">
        <x:v>NR069</x:v>
      </x:c>
      <x:c r="B75" s="47" t="str">
        <x:v>P09</x:v>
      </x:c>
      <x:c r="C75" s="47" t="str">
        <x:v>CT-C</x:v>
      </x:c>
      <x:c r="D75" s="47" t="str">
        <x:v>CT-C-B</x:v>
      </x:c>
      <x:c r="E75" s="47" t="str">
        <x:v>ARTICLE</x:v>
      </x:c>
      <x:c r="F75" s="47" t="str">
        <x:v>N05</x:v>
      </x:c>
      <x:c r="G75" s="47" t="str">
        <x:v>Execute the frozen case</x:v>
      </x:c>
      <x:c r="H75" s="47" t="n">
        <x:v>1</x:v>
      </x:c>
      <x:c r="I75" s="56" t="n">
        <x:v>0</x:v>
      </x:c>
      <x:c r="J75" s="47" t="str">
        <x:f>IF(I75=H75,"PASS","OPEN")</x:f>
        <x:v>OPEN</x:v>
      </x:c>
      <x:c r="K75" s="84"/>
      <x:c r="L75" s="84"/>
      <x:c r="M75" s="84"/>
      <x:c r="N75" s="84"/>
    </x:row>
    <x:row r="76">
      <x:c r="A76" s="47" t="str">
        <x:v>NR070</x:v>
      </x:c>
      <x:c r="B76" s="47" t="str">
        <x:v>P09</x:v>
      </x:c>
      <x:c r="C76" s="47" t="str">
        <x:v>CT-C</x:v>
      </x:c>
      <x:c r="D76" s="47" t="str">
        <x:v>CT-C-B</x:v>
      </x:c>
      <x:c r="E76" s="47" t="str">
        <x:v>ARTICLE</x:v>
      </x:c>
      <x:c r="F76" s="47" t="str">
        <x:v>N06</x:v>
      </x:c>
      <x:c r="G76" s="47" t="str">
        <x:v>Reproduce named intermediate states</x:v>
      </x:c>
      <x:c r="H76" s="47" t="n">
        <x:v>1</x:v>
      </x:c>
      <x:c r="I76" s="56" t="n">
        <x:v>0</x:v>
      </x:c>
      <x:c r="J76" s="47" t="str">
        <x:f>IF(I76=H76,"PASS","OPEN")</x:f>
        <x:v>OPEN</x:v>
      </x:c>
      <x:c r="K76" s="84"/>
      <x:c r="L76" s="84"/>
      <x:c r="M76" s="84"/>
      <x:c r="N76" s="84"/>
    </x:row>
    <x:row r="77">
      <x:c r="A77" s="47" t="str">
        <x:v>NR071</x:v>
      </x:c>
      <x:c r="B77" s="47" t="str">
        <x:v>P09</x:v>
      </x:c>
      <x:c r="C77" s="47" t="str">
        <x:v>CT-C</x:v>
      </x:c>
      <x:c r="D77" s="47" t="str">
        <x:v>CT-C-B</x:v>
      </x:c>
      <x:c r="E77" s="47" t="str">
        <x:v>ARTICLE</x:v>
      </x:c>
      <x:c r="F77" s="47" t="str">
        <x:v>N07</x:v>
      </x:c>
      <x:c r="G77" s="47" t="str">
        <x:v>Reproduce terminal design result</x:v>
      </x:c>
      <x:c r="H77" s="47" t="n">
        <x:v>1</x:v>
      </x:c>
      <x:c r="I77" s="56" t="n">
        <x:v>0</x:v>
      </x:c>
      <x:c r="J77" s="47" t="str">
        <x:f>IF(I77=H77,"PASS","OPEN")</x:f>
        <x:v>OPEN</x:v>
      </x:c>
      <x:c r="K77" s="84"/>
      <x:c r="L77" s="84"/>
      <x:c r="M77" s="84"/>
      <x:c r="N77" s="84"/>
    </x:row>
    <x:row r="78">
      <x:c r="A78" s="47" t="str">
        <x:v>NR072</x:v>
      </x:c>
      <x:c r="B78" s="47" t="str">
        <x:v>P09</x:v>
      </x:c>
      <x:c r="C78" s="47" t="str">
        <x:v>CT-C</x:v>
      </x:c>
      <x:c r="D78" s="47" t="str">
        <x:v>CT-C-B</x:v>
      </x:c>
      <x:c r="E78" s="47" t="str">
        <x:v>ARTICLE</x:v>
      </x:c>
      <x:c r="F78" s="47" t="str">
        <x:v>N08</x:v>
      </x:c>
      <x:c r="G78" s="47" t="str">
        <x:v>Seal replay transcript and checksums</x:v>
      </x:c>
      <x:c r="H78" s="47" t="n">
        <x:v>1</x:v>
      </x:c>
      <x:c r="I78" s="56" t="n">
        <x:v>0</x:v>
      </x:c>
      <x:c r="J78" s="47" t="str">
        <x:f>IF(I78=H78,"PASS","OPEN")</x:f>
        <x:v>OPEN</x:v>
      </x:c>
      <x:c r="K78" s="84"/>
      <x:c r="L78" s="84"/>
      <x:c r="M78" s="84"/>
      <x:c r="N78" s="84"/>
    </x:row>
    <x:row r="79">
      <x:c r="A79" s="47" t="str">
        <x:v>NR073</x:v>
      </x:c>
      <x:c r="B79" s="47" t="str">
        <x:v>P10</x:v>
      </x:c>
      <x:c r="C79" s="47" t="str">
        <x:v>CT-C</x:v>
      </x:c>
      <x:c r="D79" s="47" t="str">
        <x:v>CT-C-B</x:v>
      </x:c>
      <x:c r="E79" s="47" t="str">
        <x:v>REBUILD</x:v>
      </x:c>
      <x:c r="F79" s="47" t="str">
        <x:v>N01</x:v>
      </x:c>
      <x:c r="G79" s="47" t="str">
        <x:v>Resolve warrant and hash</x:v>
      </x:c>
      <x:c r="H79" s="47" t="n">
        <x:v>1</x:v>
      </x:c>
      <x:c r="I79" s="56" t="n">
        <x:v>0</x:v>
      </x:c>
      <x:c r="J79" s="47" t="str">
        <x:f>IF(I79=H79,"PASS","OPEN")</x:f>
        <x:v>OPEN</x:v>
      </x:c>
      <x:c r="K79" s="84"/>
      <x:c r="L79" s="84"/>
      <x:c r="M79" s="84"/>
      <x:c r="N79" s="84"/>
    </x:row>
    <x:row r="80">
      <x:c r="A80" s="47" t="str">
        <x:v>NR074</x:v>
      </x:c>
      <x:c r="B80" s="47" t="str">
        <x:v>P10</x:v>
      </x:c>
      <x:c r="C80" s="47" t="str">
        <x:v>CT-C</x:v>
      </x:c>
      <x:c r="D80" s="47" t="str">
        <x:v>CT-C-B</x:v>
      </x:c>
      <x:c r="E80" s="47" t="str">
        <x:v>REBUILD</x:v>
      </x:c>
      <x:c r="F80" s="47" t="str">
        <x:v>N02</x:v>
      </x:c>
      <x:c r="G80" s="47" t="str">
        <x:v>Instantiate sealed native environment</x:v>
      </x:c>
      <x:c r="H80" s="47" t="n">
        <x:v>1</x:v>
      </x:c>
      <x:c r="I80" s="56" t="n">
        <x:v>0</x:v>
      </x:c>
      <x:c r="J80" s="47" t="str">
        <x:f>IF(I80=H80,"PASS","OPEN")</x:f>
        <x:v>OPEN</x:v>
      </x:c>
      <x:c r="K80" s="84"/>
      <x:c r="L80" s="84"/>
      <x:c r="M80" s="84"/>
      <x:c r="N80" s="84"/>
    </x:row>
    <x:row r="81">
      <x:c r="A81" s="47" t="str">
        <x:v>NR075</x:v>
      </x:c>
      <x:c r="B81" s="47" t="str">
        <x:v>P10</x:v>
      </x:c>
      <x:c r="C81" s="47" t="str">
        <x:v>CT-C</x:v>
      </x:c>
      <x:c r="D81" s="47" t="str">
        <x:v>CT-C-B</x:v>
      </x:c>
      <x:c r="E81" s="47" t="str">
        <x:v>REBUILD</x:v>
      </x:c>
      <x:c r="F81" s="47" t="str">
        <x:v>N03</x:v>
      </x:c>
      <x:c r="G81" s="47" t="str">
        <x:v>Resolve dependencies and license rights</x:v>
      </x:c>
      <x:c r="H81" s="47" t="n">
        <x:v>1</x:v>
      </x:c>
      <x:c r="I81" s="56" t="n">
        <x:v>0</x:v>
      </x:c>
      <x:c r="J81" s="47" t="str">
        <x:f>IF(I81=H81,"PASS","OPEN")</x:f>
        <x:v>OPEN</x:v>
      </x:c>
      <x:c r="K81" s="84"/>
      <x:c r="L81" s="84"/>
      <x:c r="M81" s="84"/>
      <x:c r="N81" s="84"/>
    </x:row>
    <x:row r="82">
      <x:c r="A82" s="47" t="str">
        <x:v>NR076</x:v>
      </x:c>
      <x:c r="B82" s="47" t="str">
        <x:v>P10</x:v>
      </x:c>
      <x:c r="C82" s="47" t="str">
        <x:v>CT-C</x:v>
      </x:c>
      <x:c r="D82" s="47" t="str">
        <x:v>CT-C-B</x:v>
      </x:c>
      <x:c r="E82" s="47" t="str">
        <x:v>REBUILD</x:v>
      </x:c>
      <x:c r="F82" s="47" t="str">
        <x:v>N04</x:v>
      </x:c>
      <x:c r="G82" s="47" t="str">
        <x:v>Load source and calibration lineage</x:v>
      </x:c>
      <x:c r="H82" s="47" t="n">
        <x:v>1</x:v>
      </x:c>
      <x:c r="I82" s="56" t="n">
        <x:v>0</x:v>
      </x:c>
      <x:c r="J82" s="47" t="str">
        <x:f>IF(I82=H82,"PASS","OPEN")</x:f>
        <x:v>OPEN</x:v>
      </x:c>
      <x:c r="K82" s="84"/>
      <x:c r="L82" s="84"/>
      <x:c r="M82" s="84"/>
      <x:c r="N82" s="84"/>
    </x:row>
    <x:row r="83">
      <x:c r="A83" s="47" t="str">
        <x:v>NR077</x:v>
      </x:c>
      <x:c r="B83" s="47" t="str">
        <x:v>P10</x:v>
      </x:c>
      <x:c r="C83" s="47" t="str">
        <x:v>CT-C</x:v>
      </x:c>
      <x:c r="D83" s="47" t="str">
        <x:v>CT-C-B</x:v>
      </x:c>
      <x:c r="E83" s="47" t="str">
        <x:v>REBUILD</x:v>
      </x:c>
      <x:c r="F83" s="47" t="str">
        <x:v>N05</x:v>
      </x:c>
      <x:c r="G83" s="47" t="str">
        <x:v>Execute the frozen case</x:v>
      </x:c>
      <x:c r="H83" s="47" t="n">
        <x:v>1</x:v>
      </x:c>
      <x:c r="I83" s="56" t="n">
        <x:v>0</x:v>
      </x:c>
      <x:c r="J83" s="47" t="str">
        <x:f>IF(I83=H83,"PASS","OPEN")</x:f>
        <x:v>OPEN</x:v>
      </x:c>
      <x:c r="K83" s="84"/>
      <x:c r="L83" s="84"/>
      <x:c r="M83" s="84"/>
      <x:c r="N83" s="84"/>
    </x:row>
    <x:row r="84">
      <x:c r="A84" s="47" t="str">
        <x:v>NR078</x:v>
      </x:c>
      <x:c r="B84" s="47" t="str">
        <x:v>P10</x:v>
      </x:c>
      <x:c r="C84" s="47" t="str">
        <x:v>CT-C</x:v>
      </x:c>
      <x:c r="D84" s="47" t="str">
        <x:v>CT-C-B</x:v>
      </x:c>
      <x:c r="E84" s="47" t="str">
        <x:v>REBUILD</x:v>
      </x:c>
      <x:c r="F84" s="47" t="str">
        <x:v>N06</x:v>
      </x:c>
      <x:c r="G84" s="47" t="str">
        <x:v>Reproduce named intermediate states</x:v>
      </x:c>
      <x:c r="H84" s="47" t="n">
        <x:v>1</x:v>
      </x:c>
      <x:c r="I84" s="56" t="n">
        <x:v>0</x:v>
      </x:c>
      <x:c r="J84" s="47" t="str">
        <x:f>IF(I84=H84,"PASS","OPEN")</x:f>
        <x:v>OPEN</x:v>
      </x:c>
      <x:c r="K84" s="84"/>
      <x:c r="L84" s="84"/>
      <x:c r="M84" s="84"/>
      <x:c r="N84" s="84"/>
    </x:row>
    <x:row r="85">
      <x:c r="A85" s="47" t="str">
        <x:v>NR079</x:v>
      </x:c>
      <x:c r="B85" s="47" t="str">
        <x:v>P10</x:v>
      </x:c>
      <x:c r="C85" s="47" t="str">
        <x:v>CT-C</x:v>
      </x:c>
      <x:c r="D85" s="47" t="str">
        <x:v>CT-C-B</x:v>
      </x:c>
      <x:c r="E85" s="47" t="str">
        <x:v>REBUILD</x:v>
      </x:c>
      <x:c r="F85" s="47" t="str">
        <x:v>N07</x:v>
      </x:c>
      <x:c r="G85" s="47" t="str">
        <x:v>Reproduce terminal design result</x:v>
      </x:c>
      <x:c r="H85" s="47" t="n">
        <x:v>1</x:v>
      </x:c>
      <x:c r="I85" s="56" t="n">
        <x:v>0</x:v>
      </x:c>
      <x:c r="J85" s="47" t="str">
        <x:f>IF(I85=H85,"PASS","OPEN")</x:f>
        <x:v>OPEN</x:v>
      </x:c>
      <x:c r="K85" s="84"/>
      <x:c r="L85" s="84"/>
      <x:c r="M85" s="84"/>
      <x:c r="N85" s="84"/>
    </x:row>
    <x:row r="86">
      <x:c r="A86" s="47" t="str">
        <x:v>NR080</x:v>
      </x:c>
      <x:c r="B86" s="47" t="str">
        <x:v>P10</x:v>
      </x:c>
      <x:c r="C86" s="47" t="str">
        <x:v>CT-C</x:v>
      </x:c>
      <x:c r="D86" s="47" t="str">
        <x:v>CT-C-B</x:v>
      </x:c>
      <x:c r="E86" s="47" t="str">
        <x:v>REBUILD</x:v>
      </x:c>
      <x:c r="F86" s="47" t="str">
        <x:v>N08</x:v>
      </x:c>
      <x:c r="G86" s="47" t="str">
        <x:v>Seal replay transcript and checksums</x:v>
      </x:c>
      <x:c r="H86" s="47" t="n">
        <x:v>1</x:v>
      </x:c>
      <x:c r="I86" s="56" t="n">
        <x:v>0</x:v>
      </x:c>
      <x:c r="J86" s="47" t="str">
        <x:f>IF(I86=H86,"PASS","OPEN")</x:f>
        <x:v>OPEN</x:v>
      </x:c>
      <x:c r="K86" s="84"/>
      <x:c r="L86" s="84"/>
      <x:c r="M86" s="84"/>
      <x:c r="N86" s="84"/>
    </x:row>
    <x:row r="87">
      <x:c r="A87" s="47" t="str">
        <x:v>NR081</x:v>
      </x:c>
      <x:c r="B87" s="47" t="str">
        <x:v>P11</x:v>
      </x:c>
      <x:c r="C87" s="47" t="str">
        <x:v>HC-A</x:v>
      </x:c>
      <x:c r="D87" s="47" t="str">
        <x:v>HC-A-C</x:v>
      </x:c>
      <x:c r="E87" s="47" t="str">
        <x:v>METHOD</x:v>
      </x:c>
      <x:c r="F87" s="47" t="str">
        <x:v>N01</x:v>
      </x:c>
      <x:c r="G87" s="47" t="str">
        <x:v>Resolve warrant and hash</x:v>
      </x:c>
      <x:c r="H87" s="47" t="n">
        <x:v>1</x:v>
      </x:c>
      <x:c r="I87" s="56" t="n">
        <x:v>0</x:v>
      </x:c>
      <x:c r="J87" s="47" t="str">
        <x:f>IF(I87=H87,"PASS","OPEN")</x:f>
        <x:v>OPEN</x:v>
      </x:c>
      <x:c r="K87" s="84"/>
      <x:c r="L87" s="84"/>
      <x:c r="M87" s="84"/>
      <x:c r="N87" s="84"/>
    </x:row>
    <x:row r="88">
      <x:c r="A88" s="47" t="str">
        <x:v>NR082</x:v>
      </x:c>
      <x:c r="B88" s="47" t="str">
        <x:v>P11</x:v>
      </x:c>
      <x:c r="C88" s="47" t="str">
        <x:v>HC-A</x:v>
      </x:c>
      <x:c r="D88" s="47" t="str">
        <x:v>HC-A-C</x:v>
      </x:c>
      <x:c r="E88" s="47" t="str">
        <x:v>METHOD</x:v>
      </x:c>
      <x:c r="F88" s="47" t="str">
        <x:v>N02</x:v>
      </x:c>
      <x:c r="G88" s="47" t="str">
        <x:v>Instantiate sealed native environment</x:v>
      </x:c>
      <x:c r="H88" s="47" t="n">
        <x:v>1</x:v>
      </x:c>
      <x:c r="I88" s="56" t="n">
        <x:v>0</x:v>
      </x:c>
      <x:c r="J88" s="47" t="str">
        <x:f>IF(I88=H88,"PASS","OPEN")</x:f>
        <x:v>OPEN</x:v>
      </x:c>
      <x:c r="K88" s="84"/>
      <x:c r="L88" s="84"/>
      <x:c r="M88" s="84"/>
      <x:c r="N88" s="84"/>
    </x:row>
    <x:row r="89">
      <x:c r="A89" s="47" t="str">
        <x:v>NR083</x:v>
      </x:c>
      <x:c r="B89" s="47" t="str">
        <x:v>P11</x:v>
      </x:c>
      <x:c r="C89" s="47" t="str">
        <x:v>HC-A</x:v>
      </x:c>
      <x:c r="D89" s="47" t="str">
        <x:v>HC-A-C</x:v>
      </x:c>
      <x:c r="E89" s="47" t="str">
        <x:v>METHOD</x:v>
      </x:c>
      <x:c r="F89" s="47" t="str">
        <x:v>N03</x:v>
      </x:c>
      <x:c r="G89" s="47" t="str">
        <x:v>Resolve dependencies and license rights</x:v>
      </x:c>
      <x:c r="H89" s="47" t="n">
        <x:v>1</x:v>
      </x:c>
      <x:c r="I89" s="56" t="n">
        <x:v>0</x:v>
      </x:c>
      <x:c r="J89" s="47" t="str">
        <x:f>IF(I89=H89,"PASS","OPEN")</x:f>
        <x:v>OPEN</x:v>
      </x:c>
      <x:c r="K89" s="84"/>
      <x:c r="L89" s="84"/>
      <x:c r="M89" s="84"/>
      <x:c r="N89" s="84"/>
    </x:row>
    <x:row r="90">
      <x:c r="A90" s="47" t="str">
        <x:v>NR084</x:v>
      </x:c>
      <x:c r="B90" s="47" t="str">
        <x:v>P11</x:v>
      </x:c>
      <x:c r="C90" s="47" t="str">
        <x:v>HC-A</x:v>
      </x:c>
      <x:c r="D90" s="47" t="str">
        <x:v>HC-A-C</x:v>
      </x:c>
      <x:c r="E90" s="47" t="str">
        <x:v>METHOD</x:v>
      </x:c>
      <x:c r="F90" s="47" t="str">
        <x:v>N04</x:v>
      </x:c>
      <x:c r="G90" s="47" t="str">
        <x:v>Load source and calibration lineage</x:v>
      </x:c>
      <x:c r="H90" s="47" t="n">
        <x:v>1</x:v>
      </x:c>
      <x:c r="I90" s="56" t="n">
        <x:v>0</x:v>
      </x:c>
      <x:c r="J90" s="47" t="str">
        <x:f>IF(I90=H90,"PASS","OPEN")</x:f>
        <x:v>OPEN</x:v>
      </x:c>
      <x:c r="K90" s="84"/>
      <x:c r="L90" s="84"/>
      <x:c r="M90" s="84"/>
      <x:c r="N90" s="84"/>
    </x:row>
    <x:row r="91">
      <x:c r="A91" s="47" t="str">
        <x:v>NR085</x:v>
      </x:c>
      <x:c r="B91" s="47" t="str">
        <x:v>P11</x:v>
      </x:c>
      <x:c r="C91" s="47" t="str">
        <x:v>HC-A</x:v>
      </x:c>
      <x:c r="D91" s="47" t="str">
        <x:v>HC-A-C</x:v>
      </x:c>
      <x:c r="E91" s="47" t="str">
        <x:v>METHOD</x:v>
      </x:c>
      <x:c r="F91" s="47" t="str">
        <x:v>N05</x:v>
      </x:c>
      <x:c r="G91" s="47" t="str">
        <x:v>Execute the frozen case</x:v>
      </x:c>
      <x:c r="H91" s="47" t="n">
        <x:v>1</x:v>
      </x:c>
      <x:c r="I91" s="56" t="n">
        <x:v>0</x:v>
      </x:c>
      <x:c r="J91" s="47" t="str">
        <x:f>IF(I91=H91,"PASS","OPEN")</x:f>
        <x:v>OPEN</x:v>
      </x:c>
      <x:c r="K91" s="84"/>
      <x:c r="L91" s="84"/>
      <x:c r="M91" s="84"/>
      <x:c r="N91" s="84"/>
    </x:row>
    <x:row r="92">
      <x:c r="A92" s="47" t="str">
        <x:v>NR086</x:v>
      </x:c>
      <x:c r="B92" s="47" t="str">
        <x:v>P11</x:v>
      </x:c>
      <x:c r="C92" s="47" t="str">
        <x:v>HC-A</x:v>
      </x:c>
      <x:c r="D92" s="47" t="str">
        <x:v>HC-A-C</x:v>
      </x:c>
      <x:c r="E92" s="47" t="str">
        <x:v>METHOD</x:v>
      </x:c>
      <x:c r="F92" s="47" t="str">
        <x:v>N06</x:v>
      </x:c>
      <x:c r="G92" s="47" t="str">
        <x:v>Reproduce named intermediate states</x:v>
      </x:c>
      <x:c r="H92" s="47" t="n">
        <x:v>1</x:v>
      </x:c>
      <x:c r="I92" s="56" t="n">
        <x:v>0</x:v>
      </x:c>
      <x:c r="J92" s="47" t="str">
        <x:f>IF(I92=H92,"PASS","OPEN")</x:f>
        <x:v>OPEN</x:v>
      </x:c>
      <x:c r="K92" s="84"/>
      <x:c r="L92" s="84"/>
      <x:c r="M92" s="84"/>
      <x:c r="N92" s="84"/>
    </x:row>
    <x:row r="93">
      <x:c r="A93" s="47" t="str">
        <x:v>NR087</x:v>
      </x:c>
      <x:c r="B93" s="47" t="str">
        <x:v>P11</x:v>
      </x:c>
      <x:c r="C93" s="47" t="str">
        <x:v>HC-A</x:v>
      </x:c>
      <x:c r="D93" s="47" t="str">
        <x:v>HC-A-C</x:v>
      </x:c>
      <x:c r="E93" s="47" t="str">
        <x:v>METHOD</x:v>
      </x:c>
      <x:c r="F93" s="47" t="str">
        <x:v>N07</x:v>
      </x:c>
      <x:c r="G93" s="47" t="str">
        <x:v>Reproduce terminal design result</x:v>
      </x:c>
      <x:c r="H93" s="47" t="n">
        <x:v>1</x:v>
      </x:c>
      <x:c r="I93" s="56" t="n">
        <x:v>0</x:v>
      </x:c>
      <x:c r="J93" s="47" t="str">
        <x:f>IF(I93=H93,"PASS","OPEN")</x:f>
        <x:v>OPEN</x:v>
      </x:c>
      <x:c r="K93" s="84"/>
      <x:c r="L93" s="84"/>
      <x:c r="M93" s="84"/>
      <x:c r="N93" s="84"/>
    </x:row>
    <x:row r="94">
      <x:c r="A94" s="47" t="str">
        <x:v>NR088</x:v>
      </x:c>
      <x:c r="B94" s="47" t="str">
        <x:v>P11</x:v>
      </x:c>
      <x:c r="C94" s="47" t="str">
        <x:v>HC-A</x:v>
      </x:c>
      <x:c r="D94" s="47" t="str">
        <x:v>HC-A-C</x:v>
      </x:c>
      <x:c r="E94" s="47" t="str">
        <x:v>METHOD</x:v>
      </x:c>
      <x:c r="F94" s="47" t="str">
        <x:v>N08</x:v>
      </x:c>
      <x:c r="G94" s="47" t="str">
        <x:v>Seal replay transcript and checksums</x:v>
      </x:c>
      <x:c r="H94" s="47" t="n">
        <x:v>1</x:v>
      </x:c>
      <x:c r="I94" s="56" t="n">
        <x:v>0</x:v>
      </x:c>
      <x:c r="J94" s="47" t="str">
        <x:f>IF(I94=H94,"PASS","OPEN")</x:f>
        <x:v>OPEN</x:v>
      </x:c>
      <x:c r="K94" s="84"/>
      <x:c r="L94" s="84"/>
      <x:c r="M94" s="84"/>
      <x:c r="N94" s="84"/>
    </x:row>
    <x:row r="95">
      <x:c r="A95" s="47" t="str">
        <x:v>NR089</x:v>
      </x:c>
      <x:c r="B95" s="47" t="str">
        <x:v>P12</x:v>
      </x:c>
      <x:c r="C95" s="47" t="str">
        <x:v>HC-A</x:v>
      </x:c>
      <x:c r="D95" s="47" t="str">
        <x:v>HC-A-C</x:v>
      </x:c>
      <x:c r="E95" s="47" t="str">
        <x:v>VALID</x:v>
      </x:c>
      <x:c r="F95" s="47" t="str">
        <x:v>N01</x:v>
      </x:c>
      <x:c r="G95" s="47" t="str">
        <x:v>Resolve warrant and hash</x:v>
      </x:c>
      <x:c r="H95" s="47" t="n">
        <x:v>1</x:v>
      </x:c>
      <x:c r="I95" s="56" t="n">
        <x:v>0</x:v>
      </x:c>
      <x:c r="J95" s="47" t="str">
        <x:f>IF(I95=H95,"PASS","OPEN")</x:f>
        <x:v>OPEN</x:v>
      </x:c>
      <x:c r="K95" s="84"/>
      <x:c r="L95" s="84"/>
      <x:c r="M95" s="84"/>
      <x:c r="N95" s="84"/>
    </x:row>
    <x:row r="96">
      <x:c r="A96" s="47" t="str">
        <x:v>NR090</x:v>
      </x:c>
      <x:c r="B96" s="47" t="str">
        <x:v>P12</x:v>
      </x:c>
      <x:c r="C96" s="47" t="str">
        <x:v>HC-A</x:v>
      </x:c>
      <x:c r="D96" s="47" t="str">
        <x:v>HC-A-C</x:v>
      </x:c>
      <x:c r="E96" s="47" t="str">
        <x:v>VALID</x:v>
      </x:c>
      <x:c r="F96" s="47" t="str">
        <x:v>N02</x:v>
      </x:c>
      <x:c r="G96" s="47" t="str">
        <x:v>Instantiate sealed native environment</x:v>
      </x:c>
      <x:c r="H96" s="47" t="n">
        <x:v>1</x:v>
      </x:c>
      <x:c r="I96" s="56" t="n">
        <x:v>0</x:v>
      </x:c>
      <x:c r="J96" s="47" t="str">
        <x:f>IF(I96=H96,"PASS","OPEN")</x:f>
        <x:v>OPEN</x:v>
      </x:c>
      <x:c r="K96" s="84"/>
      <x:c r="L96" s="84"/>
      <x:c r="M96" s="84"/>
      <x:c r="N96" s="84"/>
    </x:row>
    <x:row r="97">
      <x:c r="A97" s="47" t="str">
        <x:v>NR091</x:v>
      </x:c>
      <x:c r="B97" s="47" t="str">
        <x:v>P12</x:v>
      </x:c>
      <x:c r="C97" s="47" t="str">
        <x:v>HC-A</x:v>
      </x:c>
      <x:c r="D97" s="47" t="str">
        <x:v>HC-A-C</x:v>
      </x:c>
      <x:c r="E97" s="47" t="str">
        <x:v>VALID</x:v>
      </x:c>
      <x:c r="F97" s="47" t="str">
        <x:v>N03</x:v>
      </x:c>
      <x:c r="G97" s="47" t="str">
        <x:v>Resolve dependencies and license rights</x:v>
      </x:c>
      <x:c r="H97" s="47" t="n">
        <x:v>1</x:v>
      </x:c>
      <x:c r="I97" s="56" t="n">
        <x:v>0</x:v>
      </x:c>
      <x:c r="J97" s="47" t="str">
        <x:f>IF(I97=H97,"PASS","OPEN")</x:f>
        <x:v>OPEN</x:v>
      </x:c>
      <x:c r="K97" s="84"/>
      <x:c r="L97" s="84"/>
      <x:c r="M97" s="84"/>
      <x:c r="N97" s="84"/>
    </x:row>
    <x:row r="98">
      <x:c r="A98" s="47" t="str">
        <x:v>NR092</x:v>
      </x:c>
      <x:c r="B98" s="47" t="str">
        <x:v>P12</x:v>
      </x:c>
      <x:c r="C98" s="47" t="str">
        <x:v>HC-A</x:v>
      </x:c>
      <x:c r="D98" s="47" t="str">
        <x:v>HC-A-C</x:v>
      </x:c>
      <x:c r="E98" s="47" t="str">
        <x:v>VALID</x:v>
      </x:c>
      <x:c r="F98" s="47" t="str">
        <x:v>N04</x:v>
      </x:c>
      <x:c r="G98" s="47" t="str">
        <x:v>Load source and calibration lineage</x:v>
      </x:c>
      <x:c r="H98" s="47" t="n">
        <x:v>1</x:v>
      </x:c>
      <x:c r="I98" s="56" t="n">
        <x:v>0</x:v>
      </x:c>
      <x:c r="J98" s="47" t="str">
        <x:f>IF(I98=H98,"PASS","OPEN")</x:f>
        <x:v>OPEN</x:v>
      </x:c>
      <x:c r="K98" s="84"/>
      <x:c r="L98" s="84"/>
      <x:c r="M98" s="84"/>
      <x:c r="N98" s="84"/>
    </x:row>
    <x:row r="99">
      <x:c r="A99" s="47" t="str">
        <x:v>NR093</x:v>
      </x:c>
      <x:c r="B99" s="47" t="str">
        <x:v>P12</x:v>
      </x:c>
      <x:c r="C99" s="47" t="str">
        <x:v>HC-A</x:v>
      </x:c>
      <x:c r="D99" s="47" t="str">
        <x:v>HC-A-C</x:v>
      </x:c>
      <x:c r="E99" s="47" t="str">
        <x:v>VALID</x:v>
      </x:c>
      <x:c r="F99" s="47" t="str">
        <x:v>N05</x:v>
      </x:c>
      <x:c r="G99" s="47" t="str">
        <x:v>Execute the frozen case</x:v>
      </x:c>
      <x:c r="H99" s="47" t="n">
        <x:v>1</x:v>
      </x:c>
      <x:c r="I99" s="56" t="n">
        <x:v>0</x:v>
      </x:c>
      <x:c r="J99" s="47" t="str">
        <x:f>IF(I99=H99,"PASS","OPEN")</x:f>
        <x:v>OPEN</x:v>
      </x:c>
      <x:c r="K99" s="84"/>
      <x:c r="L99" s="84"/>
      <x:c r="M99" s="84"/>
      <x:c r="N99" s="84"/>
    </x:row>
    <x:row r="100">
      <x:c r="A100" s="47" t="str">
        <x:v>NR094</x:v>
      </x:c>
      <x:c r="B100" s="47" t="str">
        <x:v>P12</x:v>
      </x:c>
      <x:c r="C100" s="47" t="str">
        <x:v>HC-A</x:v>
      </x:c>
      <x:c r="D100" s="47" t="str">
        <x:v>HC-A-C</x:v>
      </x:c>
      <x:c r="E100" s="47" t="str">
        <x:v>VALID</x:v>
      </x:c>
      <x:c r="F100" s="47" t="str">
        <x:v>N06</x:v>
      </x:c>
      <x:c r="G100" s="47" t="str">
        <x:v>Reproduce named intermediate states</x:v>
      </x:c>
      <x:c r="H100" s="47" t="n">
        <x:v>1</x:v>
      </x:c>
      <x:c r="I100" s="56" t="n">
        <x:v>0</x:v>
      </x:c>
      <x:c r="J100" s="47" t="str">
        <x:f>IF(I100=H100,"PASS","OPEN")</x:f>
        <x:v>OPEN</x:v>
      </x:c>
      <x:c r="K100" s="84"/>
      <x:c r="L100" s="84"/>
      <x:c r="M100" s="84"/>
      <x:c r="N100" s="84"/>
    </x:row>
    <x:row r="101">
      <x:c r="A101" s="47" t="str">
        <x:v>NR095</x:v>
      </x:c>
      <x:c r="B101" s="47" t="str">
        <x:v>P12</x:v>
      </x:c>
      <x:c r="C101" s="47" t="str">
        <x:v>HC-A</x:v>
      </x:c>
      <x:c r="D101" s="47" t="str">
        <x:v>HC-A-C</x:v>
      </x:c>
      <x:c r="E101" s="47" t="str">
        <x:v>VALID</x:v>
      </x:c>
      <x:c r="F101" s="47" t="str">
        <x:v>N07</x:v>
      </x:c>
      <x:c r="G101" s="47" t="str">
        <x:v>Reproduce terminal design result</x:v>
      </x:c>
      <x:c r="H101" s="47" t="n">
        <x:v>1</x:v>
      </x:c>
      <x:c r="I101" s="56" t="n">
        <x:v>0</x:v>
      </x:c>
      <x:c r="J101" s="47" t="str">
        <x:f>IF(I101=H101,"PASS","OPEN")</x:f>
        <x:v>OPEN</x:v>
      </x:c>
      <x:c r="K101" s="84"/>
      <x:c r="L101" s="84"/>
      <x:c r="M101" s="84"/>
      <x:c r="N101" s="84"/>
    </x:row>
    <x:row r="102">
      <x:c r="A102" s="47" t="str">
        <x:v>NR096</x:v>
      </x:c>
      <x:c r="B102" s="47" t="str">
        <x:v>P12</x:v>
      </x:c>
      <x:c r="C102" s="47" t="str">
        <x:v>HC-A</x:v>
      </x:c>
      <x:c r="D102" s="47" t="str">
        <x:v>HC-A-C</x:v>
      </x:c>
      <x:c r="E102" s="47" t="str">
        <x:v>VALID</x:v>
      </x:c>
      <x:c r="F102" s="47" t="str">
        <x:v>N08</x:v>
      </x:c>
      <x:c r="G102" s="47" t="str">
        <x:v>Seal replay transcript and checksums</x:v>
      </x:c>
      <x:c r="H102" s="47" t="n">
        <x:v>1</x:v>
      </x:c>
      <x:c r="I102" s="56" t="n">
        <x:v>0</x:v>
      </x:c>
      <x:c r="J102" s="47" t="str">
        <x:f>IF(I102=H102,"PASS","OPEN")</x:f>
        <x:v>OPEN</x:v>
      </x:c>
      <x:c r="K102" s="84"/>
      <x:c r="L102" s="84"/>
      <x:c r="M102" s="84"/>
      <x:c r="N102" s="84"/>
    </x:row>
    <x:row r="103">
      <x:c r="A103" s="47" t="str">
        <x:v>NR097</x:v>
      </x:c>
      <x:c r="B103" s="47" t="str">
        <x:v>P13</x:v>
      </x:c>
      <x:c r="C103" s="47" t="str">
        <x:v>HC-A</x:v>
      </x:c>
      <x:c r="D103" s="47" t="str">
        <x:v>HC-A-C</x:v>
      </x:c>
      <x:c r="E103" s="47" t="str">
        <x:v>CIVIL</x:v>
      </x:c>
      <x:c r="F103" s="47" t="str">
        <x:v>N01</x:v>
      </x:c>
      <x:c r="G103" s="47" t="str">
        <x:v>Resolve warrant and hash</x:v>
      </x:c>
      <x:c r="H103" s="47" t="n">
        <x:v>1</x:v>
      </x:c>
      <x:c r="I103" s="56" t="n">
        <x:v>0</x:v>
      </x:c>
      <x:c r="J103" s="47" t="str">
        <x:f>IF(I103=H103,"PASS","OPEN")</x:f>
        <x:v>OPEN</x:v>
      </x:c>
      <x:c r="K103" s="84"/>
      <x:c r="L103" s="84"/>
      <x:c r="M103" s="84"/>
      <x:c r="N103" s="84"/>
    </x:row>
    <x:row r="104">
      <x:c r="A104" s="47" t="str">
        <x:v>NR098</x:v>
      </x:c>
      <x:c r="B104" s="47" t="str">
        <x:v>P13</x:v>
      </x:c>
      <x:c r="C104" s="47" t="str">
        <x:v>HC-A</x:v>
      </x:c>
      <x:c r="D104" s="47" t="str">
        <x:v>HC-A-C</x:v>
      </x:c>
      <x:c r="E104" s="47" t="str">
        <x:v>CIVIL</x:v>
      </x:c>
      <x:c r="F104" s="47" t="str">
        <x:v>N02</x:v>
      </x:c>
      <x:c r="G104" s="47" t="str">
        <x:v>Instantiate sealed native environment</x:v>
      </x:c>
      <x:c r="H104" s="47" t="n">
        <x:v>1</x:v>
      </x:c>
      <x:c r="I104" s="56" t="n">
        <x:v>0</x:v>
      </x:c>
      <x:c r="J104" s="47" t="str">
        <x:f>IF(I104=H104,"PASS","OPEN")</x:f>
        <x:v>OPEN</x:v>
      </x:c>
      <x:c r="K104" s="84"/>
      <x:c r="L104" s="84"/>
      <x:c r="M104" s="84"/>
      <x:c r="N104" s="84"/>
    </x:row>
    <x:row r="105">
      <x:c r="A105" s="47" t="str">
        <x:v>NR099</x:v>
      </x:c>
      <x:c r="B105" s="47" t="str">
        <x:v>P13</x:v>
      </x:c>
      <x:c r="C105" s="47" t="str">
        <x:v>HC-A</x:v>
      </x:c>
      <x:c r="D105" s="47" t="str">
        <x:v>HC-A-C</x:v>
      </x:c>
      <x:c r="E105" s="47" t="str">
        <x:v>CIVIL</x:v>
      </x:c>
      <x:c r="F105" s="47" t="str">
        <x:v>N03</x:v>
      </x:c>
      <x:c r="G105" s="47" t="str">
        <x:v>Resolve dependencies and license rights</x:v>
      </x:c>
      <x:c r="H105" s="47" t="n">
        <x:v>1</x:v>
      </x:c>
      <x:c r="I105" s="56" t="n">
        <x:v>0</x:v>
      </x:c>
      <x:c r="J105" s="47" t="str">
        <x:f>IF(I105=H105,"PASS","OPEN")</x:f>
        <x:v>OPEN</x:v>
      </x:c>
      <x:c r="K105" s="84"/>
      <x:c r="L105" s="84"/>
      <x:c r="M105" s="84"/>
      <x:c r="N105" s="84"/>
    </x:row>
    <x:row r="106">
      <x:c r="A106" s="47" t="str">
        <x:v>NR100</x:v>
      </x:c>
      <x:c r="B106" s="47" t="str">
        <x:v>P13</x:v>
      </x:c>
      <x:c r="C106" s="47" t="str">
        <x:v>HC-A</x:v>
      </x:c>
      <x:c r="D106" s="47" t="str">
        <x:v>HC-A-C</x:v>
      </x:c>
      <x:c r="E106" s="47" t="str">
        <x:v>CIVIL</x:v>
      </x:c>
      <x:c r="F106" s="47" t="str">
        <x:v>N04</x:v>
      </x:c>
      <x:c r="G106" s="47" t="str">
        <x:v>Load source and calibration lineage</x:v>
      </x:c>
      <x:c r="H106" s="47" t="n">
        <x:v>1</x:v>
      </x:c>
      <x:c r="I106" s="56" t="n">
        <x:v>0</x:v>
      </x:c>
      <x:c r="J106" s="47" t="str">
        <x:f>IF(I106=H106,"PASS","OPEN")</x:f>
        <x:v>OPEN</x:v>
      </x:c>
      <x:c r="K106" s="84"/>
      <x:c r="L106" s="84"/>
      <x:c r="M106" s="84"/>
      <x:c r="N106" s="84"/>
    </x:row>
    <x:row r="107">
      <x:c r="A107" s="47" t="str">
        <x:v>NR101</x:v>
      </x:c>
      <x:c r="B107" s="47" t="str">
        <x:v>P13</x:v>
      </x:c>
      <x:c r="C107" s="47" t="str">
        <x:v>HC-A</x:v>
      </x:c>
      <x:c r="D107" s="47" t="str">
        <x:v>HC-A-C</x:v>
      </x:c>
      <x:c r="E107" s="47" t="str">
        <x:v>CIVIL</x:v>
      </x:c>
      <x:c r="F107" s="47" t="str">
        <x:v>N05</x:v>
      </x:c>
      <x:c r="G107" s="47" t="str">
        <x:v>Execute the frozen case</x:v>
      </x:c>
      <x:c r="H107" s="47" t="n">
        <x:v>1</x:v>
      </x:c>
      <x:c r="I107" s="56" t="n">
        <x:v>0</x:v>
      </x:c>
      <x:c r="J107" s="47" t="str">
        <x:f>IF(I107=H107,"PASS","OPEN")</x:f>
        <x:v>OPEN</x:v>
      </x:c>
      <x:c r="K107" s="84"/>
      <x:c r="L107" s="84"/>
      <x:c r="M107" s="84"/>
      <x:c r="N107" s="84"/>
    </x:row>
    <x:row r="108">
      <x:c r="A108" s="47" t="str">
        <x:v>NR102</x:v>
      </x:c>
      <x:c r="B108" s="47" t="str">
        <x:v>P13</x:v>
      </x:c>
      <x:c r="C108" s="47" t="str">
        <x:v>HC-A</x:v>
      </x:c>
      <x:c r="D108" s="47" t="str">
        <x:v>HC-A-C</x:v>
      </x:c>
      <x:c r="E108" s="47" t="str">
        <x:v>CIVIL</x:v>
      </x:c>
      <x:c r="F108" s="47" t="str">
        <x:v>N06</x:v>
      </x:c>
      <x:c r="G108" s="47" t="str">
        <x:v>Reproduce named intermediate states</x:v>
      </x:c>
      <x:c r="H108" s="47" t="n">
        <x:v>1</x:v>
      </x:c>
      <x:c r="I108" s="56" t="n">
        <x:v>0</x:v>
      </x:c>
      <x:c r="J108" s="47" t="str">
        <x:f>IF(I108=H108,"PASS","OPEN")</x:f>
        <x:v>OPEN</x:v>
      </x:c>
      <x:c r="K108" s="84"/>
      <x:c r="L108" s="84"/>
      <x:c r="M108" s="84"/>
      <x:c r="N108" s="84"/>
    </x:row>
    <x:row r="109">
      <x:c r="A109" s="47" t="str">
        <x:v>NR103</x:v>
      </x:c>
      <x:c r="B109" s="47" t="str">
        <x:v>P13</x:v>
      </x:c>
      <x:c r="C109" s="47" t="str">
        <x:v>HC-A</x:v>
      </x:c>
      <x:c r="D109" s="47" t="str">
        <x:v>HC-A-C</x:v>
      </x:c>
      <x:c r="E109" s="47" t="str">
        <x:v>CIVIL</x:v>
      </x:c>
      <x:c r="F109" s="47" t="str">
        <x:v>N07</x:v>
      </x:c>
      <x:c r="G109" s="47" t="str">
        <x:v>Reproduce terminal design result</x:v>
      </x:c>
      <x:c r="H109" s="47" t="n">
        <x:v>1</x:v>
      </x:c>
      <x:c r="I109" s="56" t="n">
        <x:v>0</x:v>
      </x:c>
      <x:c r="J109" s="47" t="str">
        <x:f>IF(I109=H109,"PASS","OPEN")</x:f>
        <x:v>OPEN</x:v>
      </x:c>
      <x:c r="K109" s="84"/>
      <x:c r="L109" s="84"/>
      <x:c r="M109" s="84"/>
      <x:c r="N109" s="84"/>
    </x:row>
    <x:row r="110">
      <x:c r="A110" s="47" t="str">
        <x:v>NR104</x:v>
      </x:c>
      <x:c r="B110" s="47" t="str">
        <x:v>P13</x:v>
      </x:c>
      <x:c r="C110" s="47" t="str">
        <x:v>HC-A</x:v>
      </x:c>
      <x:c r="D110" s="47" t="str">
        <x:v>HC-A-C</x:v>
      </x:c>
      <x:c r="E110" s="47" t="str">
        <x:v>CIVIL</x:v>
      </x:c>
      <x:c r="F110" s="47" t="str">
        <x:v>N08</x:v>
      </x:c>
      <x:c r="G110" s="47" t="str">
        <x:v>Seal replay transcript and checksums</x:v>
      </x:c>
      <x:c r="H110" s="47" t="n">
        <x:v>1</x:v>
      </x:c>
      <x:c r="I110" s="56" t="n">
        <x:v>0</x:v>
      </x:c>
      <x:c r="J110" s="47" t="str">
        <x:f>IF(I110=H110,"PASS","OPEN")</x:f>
        <x:v>OPEN</x:v>
      </x:c>
      <x:c r="K110" s="84"/>
      <x:c r="L110" s="84"/>
      <x:c r="M110" s="84"/>
      <x:c r="N110" s="84"/>
    </x:row>
    <x:row r="111">
      <x:c r="A111" s="47" t="str">
        <x:v>NR105</x:v>
      </x:c>
      <x:c r="B111" s="47" t="str">
        <x:v>P14</x:v>
      </x:c>
      <x:c r="C111" s="47" t="str">
        <x:v>HC-A</x:v>
      </x:c>
      <x:c r="D111" s="47" t="str">
        <x:v>HC-A-C</x:v>
      </x:c>
      <x:c r="E111" s="47" t="str">
        <x:v>ARTICLE</x:v>
      </x:c>
      <x:c r="F111" s="47" t="str">
        <x:v>N01</x:v>
      </x:c>
      <x:c r="G111" s="47" t="str">
        <x:v>Resolve warrant and hash</x:v>
      </x:c>
      <x:c r="H111" s="47" t="n">
        <x:v>1</x:v>
      </x:c>
      <x:c r="I111" s="56" t="n">
        <x:v>0</x:v>
      </x:c>
      <x:c r="J111" s="47" t="str">
        <x:f>IF(I111=H111,"PASS","OPEN")</x:f>
        <x:v>OPEN</x:v>
      </x:c>
      <x:c r="K111" s="84"/>
      <x:c r="L111" s="84"/>
      <x:c r="M111" s="84"/>
      <x:c r="N111" s="84"/>
    </x:row>
    <x:row r="112">
      <x:c r="A112" s="47" t="str">
        <x:v>NR106</x:v>
      </x:c>
      <x:c r="B112" s="47" t="str">
        <x:v>P14</x:v>
      </x:c>
      <x:c r="C112" s="47" t="str">
        <x:v>HC-A</x:v>
      </x:c>
      <x:c r="D112" s="47" t="str">
        <x:v>HC-A-C</x:v>
      </x:c>
      <x:c r="E112" s="47" t="str">
        <x:v>ARTICLE</x:v>
      </x:c>
      <x:c r="F112" s="47" t="str">
        <x:v>N02</x:v>
      </x:c>
      <x:c r="G112" s="47" t="str">
        <x:v>Instantiate sealed native environment</x:v>
      </x:c>
      <x:c r="H112" s="47" t="n">
        <x:v>1</x:v>
      </x:c>
      <x:c r="I112" s="56" t="n">
        <x:v>0</x:v>
      </x:c>
      <x:c r="J112" s="47" t="str">
        <x:f>IF(I112=H112,"PASS","OPEN")</x:f>
        <x:v>OPEN</x:v>
      </x:c>
      <x:c r="K112" s="84"/>
      <x:c r="L112" s="84"/>
      <x:c r="M112" s="84"/>
      <x:c r="N112" s="84"/>
    </x:row>
    <x:row r="113">
      <x:c r="A113" s="47" t="str">
        <x:v>NR107</x:v>
      </x:c>
      <x:c r="B113" s="47" t="str">
        <x:v>P14</x:v>
      </x:c>
      <x:c r="C113" s="47" t="str">
        <x:v>HC-A</x:v>
      </x:c>
      <x:c r="D113" s="47" t="str">
        <x:v>HC-A-C</x:v>
      </x:c>
      <x:c r="E113" s="47" t="str">
        <x:v>ARTICLE</x:v>
      </x:c>
      <x:c r="F113" s="47" t="str">
        <x:v>N03</x:v>
      </x:c>
      <x:c r="G113" s="47" t="str">
        <x:v>Resolve dependencies and license rights</x:v>
      </x:c>
      <x:c r="H113" s="47" t="n">
        <x:v>1</x:v>
      </x:c>
      <x:c r="I113" s="56" t="n">
        <x:v>0</x:v>
      </x:c>
      <x:c r="J113" s="47" t="str">
        <x:f>IF(I113=H113,"PASS","OPEN")</x:f>
        <x:v>OPEN</x:v>
      </x:c>
      <x:c r="K113" s="84"/>
      <x:c r="L113" s="84"/>
      <x:c r="M113" s="84"/>
      <x:c r="N113" s="84"/>
    </x:row>
    <x:row r="114">
      <x:c r="A114" s="47" t="str">
        <x:v>NR108</x:v>
      </x:c>
      <x:c r="B114" s="47" t="str">
        <x:v>P14</x:v>
      </x:c>
      <x:c r="C114" s="47" t="str">
        <x:v>HC-A</x:v>
      </x:c>
      <x:c r="D114" s="47" t="str">
        <x:v>HC-A-C</x:v>
      </x:c>
      <x:c r="E114" s="47" t="str">
        <x:v>ARTICLE</x:v>
      </x:c>
      <x:c r="F114" s="47" t="str">
        <x:v>N04</x:v>
      </x:c>
      <x:c r="G114" s="47" t="str">
        <x:v>Load source and calibration lineage</x:v>
      </x:c>
      <x:c r="H114" s="47" t="n">
        <x:v>1</x:v>
      </x:c>
      <x:c r="I114" s="56" t="n">
        <x:v>0</x:v>
      </x:c>
      <x:c r="J114" s="47" t="str">
        <x:f>IF(I114=H114,"PASS","OPEN")</x:f>
        <x:v>OPEN</x:v>
      </x:c>
      <x:c r="K114" s="84"/>
      <x:c r="L114" s="84"/>
      <x:c r="M114" s="84"/>
      <x:c r="N114" s="84"/>
    </x:row>
    <x:row r="115">
      <x:c r="A115" s="47" t="str">
        <x:v>NR109</x:v>
      </x:c>
      <x:c r="B115" s="47" t="str">
        <x:v>P14</x:v>
      </x:c>
      <x:c r="C115" s="47" t="str">
        <x:v>HC-A</x:v>
      </x:c>
      <x:c r="D115" s="47" t="str">
        <x:v>HC-A-C</x:v>
      </x:c>
      <x:c r="E115" s="47" t="str">
        <x:v>ARTICLE</x:v>
      </x:c>
      <x:c r="F115" s="47" t="str">
        <x:v>N05</x:v>
      </x:c>
      <x:c r="G115" s="47" t="str">
        <x:v>Execute the frozen case</x:v>
      </x:c>
      <x:c r="H115" s="47" t="n">
        <x:v>1</x:v>
      </x:c>
      <x:c r="I115" s="56" t="n">
        <x:v>0</x:v>
      </x:c>
      <x:c r="J115" s="47" t="str">
        <x:f>IF(I115=H115,"PASS","OPEN")</x:f>
        <x:v>OPEN</x:v>
      </x:c>
      <x:c r="K115" s="84"/>
      <x:c r="L115" s="84"/>
      <x:c r="M115" s="84"/>
      <x:c r="N115" s="84"/>
    </x:row>
    <x:row r="116">
      <x:c r="A116" s="47" t="str">
        <x:v>NR110</x:v>
      </x:c>
      <x:c r="B116" s="47" t="str">
        <x:v>P14</x:v>
      </x:c>
      <x:c r="C116" s="47" t="str">
        <x:v>HC-A</x:v>
      </x:c>
      <x:c r="D116" s="47" t="str">
        <x:v>HC-A-C</x:v>
      </x:c>
      <x:c r="E116" s="47" t="str">
        <x:v>ARTICLE</x:v>
      </x:c>
      <x:c r="F116" s="47" t="str">
        <x:v>N06</x:v>
      </x:c>
      <x:c r="G116" s="47" t="str">
        <x:v>Reproduce named intermediate states</x:v>
      </x:c>
      <x:c r="H116" s="47" t="n">
        <x:v>1</x:v>
      </x:c>
      <x:c r="I116" s="56" t="n">
        <x:v>0</x:v>
      </x:c>
      <x:c r="J116" s="47" t="str">
        <x:f>IF(I116=H116,"PASS","OPEN")</x:f>
        <x:v>OPEN</x:v>
      </x:c>
      <x:c r="K116" s="84"/>
      <x:c r="L116" s="84"/>
      <x:c r="M116" s="84"/>
      <x:c r="N116" s="84"/>
    </x:row>
    <x:row r="117">
      <x:c r="A117" s="47" t="str">
        <x:v>NR111</x:v>
      </x:c>
      <x:c r="B117" s="47" t="str">
        <x:v>P14</x:v>
      </x:c>
      <x:c r="C117" s="47" t="str">
        <x:v>HC-A</x:v>
      </x:c>
      <x:c r="D117" s="47" t="str">
        <x:v>HC-A-C</x:v>
      </x:c>
      <x:c r="E117" s="47" t="str">
        <x:v>ARTICLE</x:v>
      </x:c>
      <x:c r="F117" s="47" t="str">
        <x:v>N07</x:v>
      </x:c>
      <x:c r="G117" s="47" t="str">
        <x:v>Reproduce terminal design result</x:v>
      </x:c>
      <x:c r="H117" s="47" t="n">
        <x:v>1</x:v>
      </x:c>
      <x:c r="I117" s="56" t="n">
        <x:v>0</x:v>
      </x:c>
      <x:c r="J117" s="47" t="str">
        <x:f>IF(I117=H117,"PASS","OPEN")</x:f>
        <x:v>OPEN</x:v>
      </x:c>
      <x:c r="K117" s="84"/>
      <x:c r="L117" s="84"/>
      <x:c r="M117" s="84"/>
      <x:c r="N117" s="84"/>
    </x:row>
    <x:row r="118">
      <x:c r="A118" s="47" t="str">
        <x:v>NR112</x:v>
      </x:c>
      <x:c r="B118" s="47" t="str">
        <x:v>P14</x:v>
      </x:c>
      <x:c r="C118" s="47" t="str">
        <x:v>HC-A</x:v>
      </x:c>
      <x:c r="D118" s="47" t="str">
        <x:v>HC-A-C</x:v>
      </x:c>
      <x:c r="E118" s="47" t="str">
        <x:v>ARTICLE</x:v>
      </x:c>
      <x:c r="F118" s="47" t="str">
        <x:v>N08</x:v>
      </x:c>
      <x:c r="G118" s="47" t="str">
        <x:v>Seal replay transcript and checksums</x:v>
      </x:c>
      <x:c r="H118" s="47" t="n">
        <x:v>1</x:v>
      </x:c>
      <x:c r="I118" s="56" t="n">
        <x:v>0</x:v>
      </x:c>
      <x:c r="J118" s="47" t="str">
        <x:f>IF(I118=H118,"PASS","OPEN")</x:f>
        <x:v>OPEN</x:v>
      </x:c>
      <x:c r="K118" s="84"/>
      <x:c r="L118" s="84"/>
      <x:c r="M118" s="84"/>
      <x:c r="N118" s="84"/>
    </x:row>
    <x:row r="119">
      <x:c r="A119" s="47" t="str">
        <x:v>NR113</x:v>
      </x:c>
      <x:c r="B119" s="47" t="str">
        <x:v>P15</x:v>
      </x:c>
      <x:c r="C119" s="47" t="str">
        <x:v>HC-A</x:v>
      </x:c>
      <x:c r="D119" s="47" t="str">
        <x:v>HC-A-C</x:v>
      </x:c>
      <x:c r="E119" s="47" t="str">
        <x:v>REBUILD</x:v>
      </x:c>
      <x:c r="F119" s="47" t="str">
        <x:v>N01</x:v>
      </x:c>
      <x:c r="G119" s="47" t="str">
        <x:v>Resolve warrant and hash</x:v>
      </x:c>
      <x:c r="H119" s="47" t="n">
        <x:v>1</x:v>
      </x:c>
      <x:c r="I119" s="56" t="n">
        <x:v>0</x:v>
      </x:c>
      <x:c r="J119" s="47" t="str">
        <x:f>IF(I119=H119,"PASS","OPEN")</x:f>
        <x:v>OPEN</x:v>
      </x:c>
      <x:c r="K119" s="84"/>
      <x:c r="L119" s="84"/>
      <x:c r="M119" s="84"/>
      <x:c r="N119" s="84"/>
    </x:row>
    <x:row r="120">
      <x:c r="A120" s="47" t="str">
        <x:v>NR114</x:v>
      </x:c>
      <x:c r="B120" s="47" t="str">
        <x:v>P15</x:v>
      </x:c>
      <x:c r="C120" s="47" t="str">
        <x:v>HC-A</x:v>
      </x:c>
      <x:c r="D120" s="47" t="str">
        <x:v>HC-A-C</x:v>
      </x:c>
      <x:c r="E120" s="47" t="str">
        <x:v>REBUILD</x:v>
      </x:c>
      <x:c r="F120" s="47" t="str">
        <x:v>N02</x:v>
      </x:c>
      <x:c r="G120" s="47" t="str">
        <x:v>Instantiate sealed native environment</x:v>
      </x:c>
      <x:c r="H120" s="47" t="n">
        <x:v>1</x:v>
      </x:c>
      <x:c r="I120" s="56" t="n">
        <x:v>0</x:v>
      </x:c>
      <x:c r="J120" s="47" t="str">
        <x:f>IF(I120=H120,"PASS","OPEN")</x:f>
        <x:v>OPEN</x:v>
      </x:c>
      <x:c r="K120" s="84"/>
      <x:c r="L120" s="84"/>
      <x:c r="M120" s="84"/>
      <x:c r="N120" s="84"/>
    </x:row>
    <x:row r="121">
      <x:c r="A121" s="47" t="str">
        <x:v>NR115</x:v>
      </x:c>
      <x:c r="B121" s="47" t="str">
        <x:v>P15</x:v>
      </x:c>
      <x:c r="C121" s="47" t="str">
        <x:v>HC-A</x:v>
      </x:c>
      <x:c r="D121" s="47" t="str">
        <x:v>HC-A-C</x:v>
      </x:c>
      <x:c r="E121" s="47" t="str">
        <x:v>REBUILD</x:v>
      </x:c>
      <x:c r="F121" s="47" t="str">
        <x:v>N03</x:v>
      </x:c>
      <x:c r="G121" s="47" t="str">
        <x:v>Resolve dependencies and license rights</x:v>
      </x:c>
      <x:c r="H121" s="47" t="n">
        <x:v>1</x:v>
      </x:c>
      <x:c r="I121" s="56" t="n">
        <x:v>0</x:v>
      </x:c>
      <x:c r="J121" s="47" t="str">
        <x:f>IF(I121=H121,"PASS","OPEN")</x:f>
        <x:v>OPEN</x:v>
      </x:c>
      <x:c r="K121" s="84"/>
      <x:c r="L121" s="84"/>
      <x:c r="M121" s="84"/>
      <x:c r="N121" s="84"/>
    </x:row>
    <x:row r="122">
      <x:c r="A122" s="47" t="str">
        <x:v>NR116</x:v>
      </x:c>
      <x:c r="B122" s="47" t="str">
        <x:v>P15</x:v>
      </x:c>
      <x:c r="C122" s="47" t="str">
        <x:v>HC-A</x:v>
      </x:c>
      <x:c r="D122" s="47" t="str">
        <x:v>HC-A-C</x:v>
      </x:c>
      <x:c r="E122" s="47" t="str">
        <x:v>REBUILD</x:v>
      </x:c>
      <x:c r="F122" s="47" t="str">
        <x:v>N04</x:v>
      </x:c>
      <x:c r="G122" s="47" t="str">
        <x:v>Load source and calibration lineage</x:v>
      </x:c>
      <x:c r="H122" s="47" t="n">
        <x:v>1</x:v>
      </x:c>
      <x:c r="I122" s="56" t="n">
        <x:v>0</x:v>
      </x:c>
      <x:c r="J122" s="47" t="str">
        <x:f>IF(I122=H122,"PASS","OPEN")</x:f>
        <x:v>OPEN</x:v>
      </x:c>
      <x:c r="K122" s="84"/>
      <x:c r="L122" s="84"/>
      <x:c r="M122" s="84"/>
      <x:c r="N122" s="84"/>
    </x:row>
    <x:row r="123">
      <x:c r="A123" s="47" t="str">
        <x:v>NR117</x:v>
      </x:c>
      <x:c r="B123" s="47" t="str">
        <x:v>P15</x:v>
      </x:c>
      <x:c r="C123" s="47" t="str">
        <x:v>HC-A</x:v>
      </x:c>
      <x:c r="D123" s="47" t="str">
        <x:v>HC-A-C</x:v>
      </x:c>
      <x:c r="E123" s="47" t="str">
        <x:v>REBUILD</x:v>
      </x:c>
      <x:c r="F123" s="47" t="str">
        <x:v>N05</x:v>
      </x:c>
      <x:c r="G123" s="47" t="str">
        <x:v>Execute the frozen case</x:v>
      </x:c>
      <x:c r="H123" s="47" t="n">
        <x:v>1</x:v>
      </x:c>
      <x:c r="I123" s="56" t="n">
        <x:v>0</x:v>
      </x:c>
      <x:c r="J123" s="47" t="str">
        <x:f>IF(I123=H123,"PASS","OPEN")</x:f>
        <x:v>OPEN</x:v>
      </x:c>
      <x:c r="K123" s="84"/>
      <x:c r="L123" s="84"/>
      <x:c r="M123" s="84"/>
      <x:c r="N123" s="84"/>
    </x:row>
    <x:row r="124">
      <x:c r="A124" s="47" t="str">
        <x:v>NR118</x:v>
      </x:c>
      <x:c r="B124" s="47" t="str">
        <x:v>P15</x:v>
      </x:c>
      <x:c r="C124" s="47" t="str">
        <x:v>HC-A</x:v>
      </x:c>
      <x:c r="D124" s="47" t="str">
        <x:v>HC-A-C</x:v>
      </x:c>
      <x:c r="E124" s="47" t="str">
        <x:v>REBUILD</x:v>
      </x:c>
      <x:c r="F124" s="47" t="str">
        <x:v>N06</x:v>
      </x:c>
      <x:c r="G124" s="47" t="str">
        <x:v>Reproduce named intermediate states</x:v>
      </x:c>
      <x:c r="H124" s="47" t="n">
        <x:v>1</x:v>
      </x:c>
      <x:c r="I124" s="56" t="n">
        <x:v>0</x:v>
      </x:c>
      <x:c r="J124" s="47" t="str">
        <x:f>IF(I124=H124,"PASS","OPEN")</x:f>
        <x:v>OPEN</x:v>
      </x:c>
      <x:c r="K124" s="84"/>
      <x:c r="L124" s="84"/>
      <x:c r="M124" s="84"/>
      <x:c r="N124" s="84"/>
    </x:row>
    <x:row r="125">
      <x:c r="A125" s="47" t="str">
        <x:v>NR119</x:v>
      </x:c>
      <x:c r="B125" s="47" t="str">
        <x:v>P15</x:v>
      </x:c>
      <x:c r="C125" s="47" t="str">
        <x:v>HC-A</x:v>
      </x:c>
      <x:c r="D125" s="47" t="str">
        <x:v>HC-A-C</x:v>
      </x:c>
      <x:c r="E125" s="47" t="str">
        <x:v>REBUILD</x:v>
      </x:c>
      <x:c r="F125" s="47" t="str">
        <x:v>N07</x:v>
      </x:c>
      <x:c r="G125" s="47" t="str">
        <x:v>Reproduce terminal design result</x:v>
      </x:c>
      <x:c r="H125" s="47" t="n">
        <x:v>1</x:v>
      </x:c>
      <x:c r="I125" s="56" t="n">
        <x:v>0</x:v>
      </x:c>
      <x:c r="J125" s="47" t="str">
        <x:f>IF(I125=H125,"PASS","OPEN")</x:f>
        <x:v>OPEN</x:v>
      </x:c>
      <x:c r="K125" s="84"/>
      <x:c r="L125" s="84"/>
      <x:c r="M125" s="84"/>
      <x:c r="N125" s="84"/>
    </x:row>
    <x:row r="126">
      <x:c r="A126" s="47" t="str">
        <x:v>NR120</x:v>
      </x:c>
      <x:c r="B126" s="47" t="str">
        <x:v>P15</x:v>
      </x:c>
      <x:c r="C126" s="47" t="str">
        <x:v>HC-A</x:v>
      </x:c>
      <x:c r="D126" s="47" t="str">
        <x:v>HC-A-C</x:v>
      </x:c>
      <x:c r="E126" s="47" t="str">
        <x:v>REBUILD</x:v>
      </x:c>
      <x:c r="F126" s="47" t="str">
        <x:v>N08</x:v>
      </x:c>
      <x:c r="G126" s="47" t="str">
        <x:v>Seal replay transcript and checksums</x:v>
      </x:c>
      <x:c r="H126" s="47" t="n">
        <x:v>1</x:v>
      </x:c>
      <x:c r="I126" s="56" t="n">
        <x:v>0</x:v>
      </x:c>
      <x:c r="J126" s="47" t="str">
        <x:f>IF(I126=H126,"PASS","OPEN")</x:f>
        <x:v>OPEN</x:v>
      </x:c>
      <x:c r="K126" s="84"/>
      <x:c r="L126" s="84"/>
      <x:c r="M126" s="84"/>
      <x:c r="N126" s="84"/>
    </x:row>
    <x:row r="127">
      <x:c r="A127" s="47" t="str">
        <x:v>NR121</x:v>
      </x:c>
      <x:c r="B127" s="47" t="str">
        <x:v>P16</x:v>
      </x:c>
      <x:c r="C127" s="47" t="str">
        <x:v>LF-B</x:v>
      </x:c>
      <x:c r="D127" s="47" t="str">
        <x:v>LF-B-A</x:v>
      </x:c>
      <x:c r="E127" s="47" t="str">
        <x:v>METHOD</x:v>
      </x:c>
      <x:c r="F127" s="47" t="str">
        <x:v>N01</x:v>
      </x:c>
      <x:c r="G127" s="47" t="str">
        <x:v>Resolve warrant and hash</x:v>
      </x:c>
      <x:c r="H127" s="47" t="n">
        <x:v>1</x:v>
      </x:c>
      <x:c r="I127" s="56" t="n">
        <x:v>0</x:v>
      </x:c>
      <x:c r="J127" s="47" t="str">
        <x:f>IF(I127=H127,"PASS","OPEN")</x:f>
        <x:v>OPEN</x:v>
      </x:c>
      <x:c r="K127" s="84"/>
      <x:c r="L127" s="84"/>
      <x:c r="M127" s="84"/>
      <x:c r="N127" s="84"/>
    </x:row>
    <x:row r="128">
      <x:c r="A128" s="47" t="str">
        <x:v>NR122</x:v>
      </x:c>
      <x:c r="B128" s="47" t="str">
        <x:v>P16</x:v>
      </x:c>
      <x:c r="C128" s="47" t="str">
        <x:v>LF-B</x:v>
      </x:c>
      <x:c r="D128" s="47" t="str">
        <x:v>LF-B-A</x:v>
      </x:c>
      <x:c r="E128" s="47" t="str">
        <x:v>METHOD</x:v>
      </x:c>
      <x:c r="F128" s="47" t="str">
        <x:v>N02</x:v>
      </x:c>
      <x:c r="G128" s="47" t="str">
        <x:v>Instantiate sealed native environment</x:v>
      </x:c>
      <x:c r="H128" s="47" t="n">
        <x:v>1</x:v>
      </x:c>
      <x:c r="I128" s="56" t="n">
        <x:v>0</x:v>
      </x:c>
      <x:c r="J128" s="47" t="str">
        <x:f>IF(I128=H128,"PASS","OPEN")</x:f>
        <x:v>OPEN</x:v>
      </x:c>
      <x:c r="K128" s="84"/>
      <x:c r="L128" s="84"/>
      <x:c r="M128" s="84"/>
      <x:c r="N128" s="84"/>
    </x:row>
    <x:row r="129">
      <x:c r="A129" s="47" t="str">
        <x:v>NR123</x:v>
      </x:c>
      <x:c r="B129" s="47" t="str">
        <x:v>P16</x:v>
      </x:c>
      <x:c r="C129" s="47" t="str">
        <x:v>LF-B</x:v>
      </x:c>
      <x:c r="D129" s="47" t="str">
        <x:v>LF-B-A</x:v>
      </x:c>
      <x:c r="E129" s="47" t="str">
        <x:v>METHOD</x:v>
      </x:c>
      <x:c r="F129" s="47" t="str">
        <x:v>N03</x:v>
      </x:c>
      <x:c r="G129" s="47" t="str">
        <x:v>Resolve dependencies and license rights</x:v>
      </x:c>
      <x:c r="H129" s="47" t="n">
        <x:v>1</x:v>
      </x:c>
      <x:c r="I129" s="56" t="n">
        <x:v>0</x:v>
      </x:c>
      <x:c r="J129" s="47" t="str">
        <x:f>IF(I129=H129,"PASS","OPEN")</x:f>
        <x:v>OPEN</x:v>
      </x:c>
      <x:c r="K129" s="84"/>
      <x:c r="L129" s="84"/>
      <x:c r="M129" s="84"/>
      <x:c r="N129" s="84"/>
    </x:row>
    <x:row r="130">
      <x:c r="A130" s="47" t="str">
        <x:v>NR124</x:v>
      </x:c>
      <x:c r="B130" s="47" t="str">
        <x:v>P16</x:v>
      </x:c>
      <x:c r="C130" s="47" t="str">
        <x:v>LF-B</x:v>
      </x:c>
      <x:c r="D130" s="47" t="str">
        <x:v>LF-B-A</x:v>
      </x:c>
      <x:c r="E130" s="47" t="str">
        <x:v>METHOD</x:v>
      </x:c>
      <x:c r="F130" s="47" t="str">
        <x:v>N04</x:v>
      </x:c>
      <x:c r="G130" s="47" t="str">
        <x:v>Load source and calibration lineage</x:v>
      </x:c>
      <x:c r="H130" s="47" t="n">
        <x:v>1</x:v>
      </x:c>
      <x:c r="I130" s="56" t="n">
        <x:v>0</x:v>
      </x:c>
      <x:c r="J130" s="47" t="str">
        <x:f>IF(I130=H130,"PASS","OPEN")</x:f>
        <x:v>OPEN</x:v>
      </x:c>
      <x:c r="K130" s="84"/>
      <x:c r="L130" s="84"/>
      <x:c r="M130" s="84"/>
      <x:c r="N130" s="84"/>
    </x:row>
    <x:row r="131">
      <x:c r="A131" s="47" t="str">
        <x:v>NR125</x:v>
      </x:c>
      <x:c r="B131" s="47" t="str">
        <x:v>P16</x:v>
      </x:c>
      <x:c r="C131" s="47" t="str">
        <x:v>LF-B</x:v>
      </x:c>
      <x:c r="D131" s="47" t="str">
        <x:v>LF-B-A</x:v>
      </x:c>
      <x:c r="E131" s="47" t="str">
        <x:v>METHOD</x:v>
      </x:c>
      <x:c r="F131" s="47" t="str">
        <x:v>N05</x:v>
      </x:c>
      <x:c r="G131" s="47" t="str">
        <x:v>Execute the frozen case</x:v>
      </x:c>
      <x:c r="H131" s="47" t="n">
        <x:v>1</x:v>
      </x:c>
      <x:c r="I131" s="56" t="n">
        <x:v>0</x:v>
      </x:c>
      <x:c r="J131" s="47" t="str">
        <x:f>IF(I131=H131,"PASS","OPEN")</x:f>
        <x:v>OPEN</x:v>
      </x:c>
      <x:c r="K131" s="84"/>
      <x:c r="L131" s="84"/>
      <x:c r="M131" s="84"/>
      <x:c r="N131" s="84"/>
    </x:row>
    <x:row r="132">
      <x:c r="A132" s="47" t="str">
        <x:v>NR126</x:v>
      </x:c>
      <x:c r="B132" s="47" t="str">
        <x:v>P16</x:v>
      </x:c>
      <x:c r="C132" s="47" t="str">
        <x:v>LF-B</x:v>
      </x:c>
      <x:c r="D132" s="47" t="str">
        <x:v>LF-B-A</x:v>
      </x:c>
      <x:c r="E132" s="47" t="str">
        <x:v>METHOD</x:v>
      </x:c>
      <x:c r="F132" s="47" t="str">
        <x:v>N06</x:v>
      </x:c>
      <x:c r="G132" s="47" t="str">
        <x:v>Reproduce named intermediate states</x:v>
      </x:c>
      <x:c r="H132" s="47" t="n">
        <x:v>1</x:v>
      </x:c>
      <x:c r="I132" s="56" t="n">
        <x:v>0</x:v>
      </x:c>
      <x:c r="J132" s="47" t="str">
        <x:f>IF(I132=H132,"PASS","OPEN")</x:f>
        <x:v>OPEN</x:v>
      </x:c>
      <x:c r="K132" s="84"/>
      <x:c r="L132" s="84"/>
      <x:c r="M132" s="84"/>
      <x:c r="N132" s="84"/>
    </x:row>
    <x:row r="133">
      <x:c r="A133" s="47" t="str">
        <x:v>NR127</x:v>
      </x:c>
      <x:c r="B133" s="47" t="str">
        <x:v>P16</x:v>
      </x:c>
      <x:c r="C133" s="47" t="str">
        <x:v>LF-B</x:v>
      </x:c>
      <x:c r="D133" s="47" t="str">
        <x:v>LF-B-A</x:v>
      </x:c>
      <x:c r="E133" s="47" t="str">
        <x:v>METHOD</x:v>
      </x:c>
      <x:c r="F133" s="47" t="str">
        <x:v>N07</x:v>
      </x:c>
      <x:c r="G133" s="47" t="str">
        <x:v>Reproduce terminal design result</x:v>
      </x:c>
      <x:c r="H133" s="47" t="n">
        <x:v>1</x:v>
      </x:c>
      <x:c r="I133" s="56" t="n">
        <x:v>0</x:v>
      </x:c>
      <x:c r="J133" s="47" t="str">
        <x:f>IF(I133=H133,"PASS","OPEN")</x:f>
        <x:v>OPEN</x:v>
      </x:c>
      <x:c r="K133" s="84"/>
      <x:c r="L133" s="84"/>
      <x:c r="M133" s="84"/>
      <x:c r="N133" s="84"/>
    </x:row>
    <x:row r="134">
      <x:c r="A134" s="47" t="str">
        <x:v>NR128</x:v>
      </x:c>
      <x:c r="B134" s="47" t="str">
        <x:v>P16</x:v>
      </x:c>
      <x:c r="C134" s="47" t="str">
        <x:v>LF-B</x:v>
      </x:c>
      <x:c r="D134" s="47" t="str">
        <x:v>LF-B-A</x:v>
      </x:c>
      <x:c r="E134" s="47" t="str">
        <x:v>METHOD</x:v>
      </x:c>
      <x:c r="F134" s="47" t="str">
        <x:v>N08</x:v>
      </x:c>
      <x:c r="G134" s="47" t="str">
        <x:v>Seal replay transcript and checksums</x:v>
      </x:c>
      <x:c r="H134" s="47" t="n">
        <x:v>1</x:v>
      </x:c>
      <x:c r="I134" s="56" t="n">
        <x:v>0</x:v>
      </x:c>
      <x:c r="J134" s="47" t="str">
        <x:f>IF(I134=H134,"PASS","OPEN")</x:f>
        <x:v>OPEN</x:v>
      </x:c>
      <x:c r="K134" s="84"/>
      <x:c r="L134" s="84"/>
      <x:c r="M134" s="84"/>
      <x:c r="N134" s="84"/>
    </x:row>
    <x:row r="135">
      <x:c r="A135" s="47" t="str">
        <x:v>NR129</x:v>
      </x:c>
      <x:c r="B135" s="47" t="str">
        <x:v>P17</x:v>
      </x:c>
      <x:c r="C135" s="47" t="str">
        <x:v>LF-B</x:v>
      </x:c>
      <x:c r="D135" s="47" t="str">
        <x:v>LF-B-A</x:v>
      </x:c>
      <x:c r="E135" s="47" t="str">
        <x:v>VALID</x:v>
      </x:c>
      <x:c r="F135" s="47" t="str">
        <x:v>N01</x:v>
      </x:c>
      <x:c r="G135" s="47" t="str">
        <x:v>Resolve warrant and hash</x:v>
      </x:c>
      <x:c r="H135" s="47" t="n">
        <x:v>1</x:v>
      </x:c>
      <x:c r="I135" s="56" t="n">
        <x:v>0</x:v>
      </x:c>
      <x:c r="J135" s="47" t="str">
        <x:f>IF(I135=H135,"PASS","OPEN")</x:f>
        <x:v>OPEN</x:v>
      </x:c>
      <x:c r="K135" s="84"/>
      <x:c r="L135" s="84"/>
      <x:c r="M135" s="84"/>
      <x:c r="N135" s="84"/>
    </x:row>
    <x:row r="136">
      <x:c r="A136" s="47" t="str">
        <x:v>NR130</x:v>
      </x:c>
      <x:c r="B136" s="47" t="str">
        <x:v>P17</x:v>
      </x:c>
      <x:c r="C136" s="47" t="str">
        <x:v>LF-B</x:v>
      </x:c>
      <x:c r="D136" s="47" t="str">
        <x:v>LF-B-A</x:v>
      </x:c>
      <x:c r="E136" s="47" t="str">
        <x:v>VALID</x:v>
      </x:c>
      <x:c r="F136" s="47" t="str">
        <x:v>N02</x:v>
      </x:c>
      <x:c r="G136" s="47" t="str">
        <x:v>Instantiate sealed native environment</x:v>
      </x:c>
      <x:c r="H136" s="47" t="n">
        <x:v>1</x:v>
      </x:c>
      <x:c r="I136" s="56" t="n">
        <x:v>0</x:v>
      </x:c>
      <x:c r="J136" s="47" t="str">
        <x:f>IF(I136=H136,"PASS","OPEN")</x:f>
        <x:v>OPEN</x:v>
      </x:c>
      <x:c r="K136" s="84"/>
      <x:c r="L136" s="84"/>
      <x:c r="M136" s="84"/>
      <x:c r="N136" s="84"/>
    </x:row>
    <x:row r="137">
      <x:c r="A137" s="47" t="str">
        <x:v>NR131</x:v>
      </x:c>
      <x:c r="B137" s="47" t="str">
        <x:v>P17</x:v>
      </x:c>
      <x:c r="C137" s="47" t="str">
        <x:v>LF-B</x:v>
      </x:c>
      <x:c r="D137" s="47" t="str">
        <x:v>LF-B-A</x:v>
      </x:c>
      <x:c r="E137" s="47" t="str">
        <x:v>VALID</x:v>
      </x:c>
      <x:c r="F137" s="47" t="str">
        <x:v>N03</x:v>
      </x:c>
      <x:c r="G137" s="47" t="str">
        <x:v>Resolve dependencies and license rights</x:v>
      </x:c>
      <x:c r="H137" s="47" t="n">
        <x:v>1</x:v>
      </x:c>
      <x:c r="I137" s="56" t="n">
        <x:v>0</x:v>
      </x:c>
      <x:c r="J137" s="47" t="str">
        <x:f>IF(I137=H137,"PASS","OPEN")</x:f>
        <x:v>OPEN</x:v>
      </x:c>
      <x:c r="K137" s="84"/>
      <x:c r="L137" s="84"/>
      <x:c r="M137" s="84"/>
      <x:c r="N137" s="84"/>
    </x:row>
    <x:row r="138">
      <x:c r="A138" s="47" t="str">
        <x:v>NR132</x:v>
      </x:c>
      <x:c r="B138" s="47" t="str">
        <x:v>P17</x:v>
      </x:c>
      <x:c r="C138" s="47" t="str">
        <x:v>LF-B</x:v>
      </x:c>
      <x:c r="D138" s="47" t="str">
        <x:v>LF-B-A</x:v>
      </x:c>
      <x:c r="E138" s="47" t="str">
        <x:v>VALID</x:v>
      </x:c>
      <x:c r="F138" s="47" t="str">
        <x:v>N04</x:v>
      </x:c>
      <x:c r="G138" s="47" t="str">
        <x:v>Load source and calibration lineage</x:v>
      </x:c>
      <x:c r="H138" s="47" t="n">
        <x:v>1</x:v>
      </x:c>
      <x:c r="I138" s="56" t="n">
        <x:v>0</x:v>
      </x:c>
      <x:c r="J138" s="47" t="str">
        <x:f>IF(I138=H138,"PASS","OPEN")</x:f>
        <x:v>OPEN</x:v>
      </x:c>
      <x:c r="K138" s="84"/>
      <x:c r="L138" s="84"/>
      <x:c r="M138" s="84"/>
      <x:c r="N138" s="84"/>
    </x:row>
    <x:row r="139">
      <x:c r="A139" s="47" t="str">
        <x:v>NR133</x:v>
      </x:c>
      <x:c r="B139" s="47" t="str">
        <x:v>P17</x:v>
      </x:c>
      <x:c r="C139" s="47" t="str">
        <x:v>LF-B</x:v>
      </x:c>
      <x:c r="D139" s="47" t="str">
        <x:v>LF-B-A</x:v>
      </x:c>
      <x:c r="E139" s="47" t="str">
        <x:v>VALID</x:v>
      </x:c>
      <x:c r="F139" s="47" t="str">
        <x:v>N05</x:v>
      </x:c>
      <x:c r="G139" s="47" t="str">
        <x:v>Execute the frozen case</x:v>
      </x:c>
      <x:c r="H139" s="47" t="n">
        <x:v>1</x:v>
      </x:c>
      <x:c r="I139" s="56" t="n">
        <x:v>0</x:v>
      </x:c>
      <x:c r="J139" s="47" t="str">
        <x:f>IF(I139=H139,"PASS","OPEN")</x:f>
        <x:v>OPEN</x:v>
      </x:c>
      <x:c r="K139" s="84"/>
      <x:c r="L139" s="84"/>
      <x:c r="M139" s="84"/>
      <x:c r="N139" s="84"/>
    </x:row>
    <x:row r="140">
      <x:c r="A140" s="47" t="str">
        <x:v>NR134</x:v>
      </x:c>
      <x:c r="B140" s="47" t="str">
        <x:v>P17</x:v>
      </x:c>
      <x:c r="C140" s="47" t="str">
        <x:v>LF-B</x:v>
      </x:c>
      <x:c r="D140" s="47" t="str">
        <x:v>LF-B-A</x:v>
      </x:c>
      <x:c r="E140" s="47" t="str">
        <x:v>VALID</x:v>
      </x:c>
      <x:c r="F140" s="47" t="str">
        <x:v>N06</x:v>
      </x:c>
      <x:c r="G140" s="47" t="str">
        <x:v>Reproduce named intermediate states</x:v>
      </x:c>
      <x:c r="H140" s="47" t="n">
        <x:v>1</x:v>
      </x:c>
      <x:c r="I140" s="56" t="n">
        <x:v>0</x:v>
      </x:c>
      <x:c r="J140" s="47" t="str">
        <x:f>IF(I140=H140,"PASS","OPEN")</x:f>
        <x:v>OPEN</x:v>
      </x:c>
      <x:c r="K140" s="84"/>
      <x:c r="L140" s="84"/>
      <x:c r="M140" s="84"/>
      <x:c r="N140" s="84"/>
    </x:row>
    <x:row r="141">
      <x:c r="A141" s="47" t="str">
        <x:v>NR135</x:v>
      </x:c>
      <x:c r="B141" s="47" t="str">
        <x:v>P17</x:v>
      </x:c>
      <x:c r="C141" s="47" t="str">
        <x:v>LF-B</x:v>
      </x:c>
      <x:c r="D141" s="47" t="str">
        <x:v>LF-B-A</x:v>
      </x:c>
      <x:c r="E141" s="47" t="str">
        <x:v>VALID</x:v>
      </x:c>
      <x:c r="F141" s="47" t="str">
        <x:v>N07</x:v>
      </x:c>
      <x:c r="G141" s="47" t="str">
        <x:v>Reproduce terminal design result</x:v>
      </x:c>
      <x:c r="H141" s="47" t="n">
        <x:v>1</x:v>
      </x:c>
      <x:c r="I141" s="56" t="n">
        <x:v>0</x:v>
      </x:c>
      <x:c r="J141" s="47" t="str">
        <x:f>IF(I141=H141,"PASS","OPEN")</x:f>
        <x:v>OPEN</x:v>
      </x:c>
      <x:c r="K141" s="84"/>
      <x:c r="L141" s="84"/>
      <x:c r="M141" s="84"/>
      <x:c r="N141" s="84"/>
    </x:row>
    <x:row r="142">
      <x:c r="A142" s="47" t="str">
        <x:v>NR136</x:v>
      </x:c>
      <x:c r="B142" s="47" t="str">
        <x:v>P17</x:v>
      </x:c>
      <x:c r="C142" s="47" t="str">
        <x:v>LF-B</x:v>
      </x:c>
      <x:c r="D142" s="47" t="str">
        <x:v>LF-B-A</x:v>
      </x:c>
      <x:c r="E142" s="47" t="str">
        <x:v>VALID</x:v>
      </x:c>
      <x:c r="F142" s="47" t="str">
        <x:v>N08</x:v>
      </x:c>
      <x:c r="G142" s="47" t="str">
        <x:v>Seal replay transcript and checksums</x:v>
      </x:c>
      <x:c r="H142" s="47" t="n">
        <x:v>1</x:v>
      </x:c>
      <x:c r="I142" s="56" t="n">
        <x:v>0</x:v>
      </x:c>
      <x:c r="J142" s="47" t="str">
        <x:f>IF(I142=H142,"PASS","OPEN")</x:f>
        <x:v>OPEN</x:v>
      </x:c>
      <x:c r="K142" s="84"/>
      <x:c r="L142" s="84"/>
      <x:c r="M142" s="84"/>
      <x:c r="N142" s="84"/>
    </x:row>
    <x:row r="143">
      <x:c r="A143" s="47" t="str">
        <x:v>NR137</x:v>
      </x:c>
      <x:c r="B143" s="47" t="str">
        <x:v>P18</x:v>
      </x:c>
      <x:c r="C143" s="47" t="str">
        <x:v>LF-B</x:v>
      </x:c>
      <x:c r="D143" s="47" t="str">
        <x:v>LF-B-A</x:v>
      </x:c>
      <x:c r="E143" s="47" t="str">
        <x:v>CIVIL</x:v>
      </x:c>
      <x:c r="F143" s="47" t="str">
        <x:v>N01</x:v>
      </x:c>
      <x:c r="G143" s="47" t="str">
        <x:v>Resolve warrant and hash</x:v>
      </x:c>
      <x:c r="H143" s="47" t="n">
        <x:v>1</x:v>
      </x:c>
      <x:c r="I143" s="56" t="n">
        <x:v>0</x:v>
      </x:c>
      <x:c r="J143" s="47" t="str">
        <x:f>IF(I143=H143,"PASS","OPEN")</x:f>
        <x:v>OPEN</x:v>
      </x:c>
      <x:c r="K143" s="84"/>
      <x:c r="L143" s="84"/>
      <x:c r="M143" s="84"/>
      <x:c r="N143" s="84"/>
    </x:row>
    <x:row r="144">
      <x:c r="A144" s="47" t="str">
        <x:v>NR138</x:v>
      </x:c>
      <x:c r="B144" s="47" t="str">
        <x:v>P18</x:v>
      </x:c>
      <x:c r="C144" s="47" t="str">
        <x:v>LF-B</x:v>
      </x:c>
      <x:c r="D144" s="47" t="str">
        <x:v>LF-B-A</x:v>
      </x:c>
      <x:c r="E144" s="47" t="str">
        <x:v>CIVIL</x:v>
      </x:c>
      <x:c r="F144" s="47" t="str">
        <x:v>N02</x:v>
      </x:c>
      <x:c r="G144" s="47" t="str">
        <x:v>Instantiate sealed native environment</x:v>
      </x:c>
      <x:c r="H144" s="47" t="n">
        <x:v>1</x:v>
      </x:c>
      <x:c r="I144" s="56" t="n">
        <x:v>0</x:v>
      </x:c>
      <x:c r="J144" s="47" t="str">
        <x:f>IF(I144=H144,"PASS","OPEN")</x:f>
        <x:v>OPEN</x:v>
      </x:c>
      <x:c r="K144" s="84"/>
      <x:c r="L144" s="84"/>
      <x:c r="M144" s="84"/>
      <x:c r="N144" s="84"/>
    </x:row>
    <x:row r="145">
      <x:c r="A145" s="47" t="str">
        <x:v>NR139</x:v>
      </x:c>
      <x:c r="B145" s="47" t="str">
        <x:v>P18</x:v>
      </x:c>
      <x:c r="C145" s="47" t="str">
        <x:v>LF-B</x:v>
      </x:c>
      <x:c r="D145" s="47" t="str">
        <x:v>LF-B-A</x:v>
      </x:c>
      <x:c r="E145" s="47" t="str">
        <x:v>CIVIL</x:v>
      </x:c>
      <x:c r="F145" s="47" t="str">
        <x:v>N03</x:v>
      </x:c>
      <x:c r="G145" s="47" t="str">
        <x:v>Resolve dependencies and license rights</x:v>
      </x:c>
      <x:c r="H145" s="47" t="n">
        <x:v>1</x:v>
      </x:c>
      <x:c r="I145" s="56" t="n">
        <x:v>0</x:v>
      </x:c>
      <x:c r="J145" s="47" t="str">
        <x:f>IF(I145=H145,"PASS","OPEN")</x:f>
        <x:v>OPEN</x:v>
      </x:c>
      <x:c r="K145" s="84"/>
      <x:c r="L145" s="84"/>
      <x:c r="M145" s="84"/>
      <x:c r="N145" s="84"/>
    </x:row>
    <x:row r="146">
      <x:c r="A146" s="47" t="str">
        <x:v>NR140</x:v>
      </x:c>
      <x:c r="B146" s="47" t="str">
        <x:v>P18</x:v>
      </x:c>
      <x:c r="C146" s="47" t="str">
        <x:v>LF-B</x:v>
      </x:c>
      <x:c r="D146" s="47" t="str">
        <x:v>LF-B-A</x:v>
      </x:c>
      <x:c r="E146" s="47" t="str">
        <x:v>CIVIL</x:v>
      </x:c>
      <x:c r="F146" s="47" t="str">
        <x:v>N04</x:v>
      </x:c>
      <x:c r="G146" s="47" t="str">
        <x:v>Load source and calibration lineage</x:v>
      </x:c>
      <x:c r="H146" s="47" t="n">
        <x:v>1</x:v>
      </x:c>
      <x:c r="I146" s="56" t="n">
        <x:v>0</x:v>
      </x:c>
      <x:c r="J146" s="47" t="str">
        <x:f>IF(I146=H146,"PASS","OPEN")</x:f>
        <x:v>OPEN</x:v>
      </x:c>
      <x:c r="K146" s="84"/>
      <x:c r="L146" s="84"/>
      <x:c r="M146" s="84"/>
      <x:c r="N146" s="84"/>
    </x:row>
    <x:row r="147">
      <x:c r="A147" s="47" t="str">
        <x:v>NR141</x:v>
      </x:c>
      <x:c r="B147" s="47" t="str">
        <x:v>P18</x:v>
      </x:c>
      <x:c r="C147" s="47" t="str">
        <x:v>LF-B</x:v>
      </x:c>
      <x:c r="D147" s="47" t="str">
        <x:v>LF-B-A</x:v>
      </x:c>
      <x:c r="E147" s="47" t="str">
        <x:v>CIVIL</x:v>
      </x:c>
      <x:c r="F147" s="47" t="str">
        <x:v>N05</x:v>
      </x:c>
      <x:c r="G147" s="47" t="str">
        <x:v>Execute the frozen case</x:v>
      </x:c>
      <x:c r="H147" s="47" t="n">
        <x:v>1</x:v>
      </x:c>
      <x:c r="I147" s="56" t="n">
        <x:v>0</x:v>
      </x:c>
      <x:c r="J147" s="47" t="str">
        <x:f>IF(I147=H147,"PASS","OPEN")</x:f>
        <x:v>OPEN</x:v>
      </x:c>
      <x:c r="K147" s="84"/>
      <x:c r="L147" s="84"/>
      <x:c r="M147" s="84"/>
      <x:c r="N147" s="84"/>
    </x:row>
    <x:row r="148">
      <x:c r="A148" s="47" t="str">
        <x:v>NR142</x:v>
      </x:c>
      <x:c r="B148" s="47" t="str">
        <x:v>P18</x:v>
      </x:c>
      <x:c r="C148" s="47" t="str">
        <x:v>LF-B</x:v>
      </x:c>
      <x:c r="D148" s="47" t="str">
        <x:v>LF-B-A</x:v>
      </x:c>
      <x:c r="E148" s="47" t="str">
        <x:v>CIVIL</x:v>
      </x:c>
      <x:c r="F148" s="47" t="str">
        <x:v>N06</x:v>
      </x:c>
      <x:c r="G148" s="47" t="str">
        <x:v>Reproduce named intermediate states</x:v>
      </x:c>
      <x:c r="H148" s="47" t="n">
        <x:v>1</x:v>
      </x:c>
      <x:c r="I148" s="56" t="n">
        <x:v>0</x:v>
      </x:c>
      <x:c r="J148" s="47" t="str">
        <x:f>IF(I148=H148,"PASS","OPEN")</x:f>
        <x:v>OPEN</x:v>
      </x:c>
      <x:c r="K148" s="84"/>
      <x:c r="L148" s="84"/>
      <x:c r="M148" s="84"/>
      <x:c r="N148" s="84"/>
    </x:row>
    <x:row r="149">
      <x:c r="A149" s="47" t="str">
        <x:v>NR143</x:v>
      </x:c>
      <x:c r="B149" s="47" t="str">
        <x:v>P18</x:v>
      </x:c>
      <x:c r="C149" s="47" t="str">
        <x:v>LF-B</x:v>
      </x:c>
      <x:c r="D149" s="47" t="str">
        <x:v>LF-B-A</x:v>
      </x:c>
      <x:c r="E149" s="47" t="str">
        <x:v>CIVIL</x:v>
      </x:c>
      <x:c r="F149" s="47" t="str">
        <x:v>N07</x:v>
      </x:c>
      <x:c r="G149" s="47" t="str">
        <x:v>Reproduce terminal design result</x:v>
      </x:c>
      <x:c r="H149" s="47" t="n">
        <x:v>1</x:v>
      </x:c>
      <x:c r="I149" s="56" t="n">
        <x:v>0</x:v>
      </x:c>
      <x:c r="J149" s="47" t="str">
        <x:f>IF(I149=H149,"PASS","OPEN")</x:f>
        <x:v>OPEN</x:v>
      </x:c>
      <x:c r="K149" s="84"/>
      <x:c r="L149" s="84"/>
      <x:c r="M149" s="84"/>
      <x:c r="N149" s="84"/>
    </x:row>
    <x:row r="150">
      <x:c r="A150" s="47" t="str">
        <x:v>NR144</x:v>
      </x:c>
      <x:c r="B150" s="47" t="str">
        <x:v>P18</x:v>
      </x:c>
      <x:c r="C150" s="47" t="str">
        <x:v>LF-B</x:v>
      </x:c>
      <x:c r="D150" s="47" t="str">
        <x:v>LF-B-A</x:v>
      </x:c>
      <x:c r="E150" s="47" t="str">
        <x:v>CIVIL</x:v>
      </x:c>
      <x:c r="F150" s="47" t="str">
        <x:v>N08</x:v>
      </x:c>
      <x:c r="G150" s="47" t="str">
        <x:v>Seal replay transcript and checksums</x:v>
      </x:c>
      <x:c r="H150" s="47" t="n">
        <x:v>1</x:v>
      </x:c>
      <x:c r="I150" s="56" t="n">
        <x:v>0</x:v>
      </x:c>
      <x:c r="J150" s="47" t="str">
        <x:f>IF(I150=H150,"PASS","OPEN")</x:f>
        <x:v>OPEN</x:v>
      </x:c>
      <x:c r="K150" s="84"/>
      <x:c r="L150" s="84"/>
      <x:c r="M150" s="84"/>
      <x:c r="N150" s="84"/>
    </x:row>
    <x:row r="151">
      <x:c r="A151" s="47" t="str">
        <x:v>NR145</x:v>
      </x:c>
      <x:c r="B151" s="47" t="str">
        <x:v>P19</x:v>
      </x:c>
      <x:c r="C151" s="47" t="str">
        <x:v>LF-B</x:v>
      </x:c>
      <x:c r="D151" s="47" t="str">
        <x:v>LF-B-A</x:v>
      </x:c>
      <x:c r="E151" s="47" t="str">
        <x:v>ARTICLE</x:v>
      </x:c>
      <x:c r="F151" s="47" t="str">
        <x:v>N01</x:v>
      </x:c>
      <x:c r="G151" s="47" t="str">
        <x:v>Resolve warrant and hash</x:v>
      </x:c>
      <x:c r="H151" s="47" t="n">
        <x:v>1</x:v>
      </x:c>
      <x:c r="I151" s="56" t="n">
        <x:v>0</x:v>
      </x:c>
      <x:c r="J151" s="47" t="str">
        <x:f>IF(I151=H151,"PASS","OPEN")</x:f>
        <x:v>OPEN</x:v>
      </x:c>
      <x:c r="K151" s="84"/>
      <x:c r="L151" s="84"/>
      <x:c r="M151" s="84"/>
      <x:c r="N151" s="84"/>
    </x:row>
    <x:row r="152">
      <x:c r="A152" s="47" t="str">
        <x:v>NR146</x:v>
      </x:c>
      <x:c r="B152" s="47" t="str">
        <x:v>P19</x:v>
      </x:c>
      <x:c r="C152" s="47" t="str">
        <x:v>LF-B</x:v>
      </x:c>
      <x:c r="D152" s="47" t="str">
        <x:v>LF-B-A</x:v>
      </x:c>
      <x:c r="E152" s="47" t="str">
        <x:v>ARTICLE</x:v>
      </x:c>
      <x:c r="F152" s="47" t="str">
        <x:v>N02</x:v>
      </x:c>
      <x:c r="G152" s="47" t="str">
        <x:v>Instantiate sealed native environment</x:v>
      </x:c>
      <x:c r="H152" s="47" t="n">
        <x:v>1</x:v>
      </x:c>
      <x:c r="I152" s="56" t="n">
        <x:v>0</x:v>
      </x:c>
      <x:c r="J152" s="47" t="str">
        <x:f>IF(I152=H152,"PASS","OPEN")</x:f>
        <x:v>OPEN</x:v>
      </x:c>
      <x:c r="K152" s="84"/>
      <x:c r="L152" s="84"/>
      <x:c r="M152" s="84"/>
      <x:c r="N152" s="84"/>
    </x:row>
    <x:row r="153">
      <x:c r="A153" s="47" t="str">
        <x:v>NR147</x:v>
      </x:c>
      <x:c r="B153" s="47" t="str">
        <x:v>P19</x:v>
      </x:c>
      <x:c r="C153" s="47" t="str">
        <x:v>LF-B</x:v>
      </x:c>
      <x:c r="D153" s="47" t="str">
        <x:v>LF-B-A</x:v>
      </x:c>
      <x:c r="E153" s="47" t="str">
        <x:v>ARTICLE</x:v>
      </x:c>
      <x:c r="F153" s="47" t="str">
        <x:v>N03</x:v>
      </x:c>
      <x:c r="G153" s="47" t="str">
        <x:v>Resolve dependencies and license rights</x:v>
      </x:c>
      <x:c r="H153" s="47" t="n">
        <x:v>1</x:v>
      </x:c>
      <x:c r="I153" s="56" t="n">
        <x:v>0</x:v>
      </x:c>
      <x:c r="J153" s="47" t="str">
        <x:f>IF(I153=H153,"PASS","OPEN")</x:f>
        <x:v>OPEN</x:v>
      </x:c>
      <x:c r="K153" s="84"/>
      <x:c r="L153" s="84"/>
      <x:c r="M153" s="84"/>
      <x:c r="N153" s="84"/>
    </x:row>
    <x:row r="154">
      <x:c r="A154" s="47" t="str">
        <x:v>NR148</x:v>
      </x:c>
      <x:c r="B154" s="47" t="str">
        <x:v>P19</x:v>
      </x:c>
      <x:c r="C154" s="47" t="str">
        <x:v>LF-B</x:v>
      </x:c>
      <x:c r="D154" s="47" t="str">
        <x:v>LF-B-A</x:v>
      </x:c>
      <x:c r="E154" s="47" t="str">
        <x:v>ARTICLE</x:v>
      </x:c>
      <x:c r="F154" s="47" t="str">
        <x:v>N04</x:v>
      </x:c>
      <x:c r="G154" s="47" t="str">
        <x:v>Load source and calibration lineage</x:v>
      </x:c>
      <x:c r="H154" s="47" t="n">
        <x:v>1</x:v>
      </x:c>
      <x:c r="I154" s="56" t="n">
        <x:v>0</x:v>
      </x:c>
      <x:c r="J154" s="47" t="str">
        <x:f>IF(I154=H154,"PASS","OPEN")</x:f>
        <x:v>OPEN</x:v>
      </x:c>
      <x:c r="K154" s="84"/>
      <x:c r="L154" s="84"/>
      <x:c r="M154" s="84"/>
      <x:c r="N154" s="84"/>
    </x:row>
    <x:row r="155">
      <x:c r="A155" s="47" t="str">
        <x:v>NR149</x:v>
      </x:c>
      <x:c r="B155" s="47" t="str">
        <x:v>P19</x:v>
      </x:c>
      <x:c r="C155" s="47" t="str">
        <x:v>LF-B</x:v>
      </x:c>
      <x:c r="D155" s="47" t="str">
        <x:v>LF-B-A</x:v>
      </x:c>
      <x:c r="E155" s="47" t="str">
        <x:v>ARTICLE</x:v>
      </x:c>
      <x:c r="F155" s="47" t="str">
        <x:v>N05</x:v>
      </x:c>
      <x:c r="G155" s="47" t="str">
        <x:v>Execute the frozen case</x:v>
      </x:c>
      <x:c r="H155" s="47" t="n">
        <x:v>1</x:v>
      </x:c>
      <x:c r="I155" s="56" t="n">
        <x:v>0</x:v>
      </x:c>
      <x:c r="J155" s="47" t="str">
        <x:f>IF(I155=H155,"PASS","OPEN")</x:f>
        <x:v>OPEN</x:v>
      </x:c>
      <x:c r="K155" s="84"/>
      <x:c r="L155" s="84"/>
      <x:c r="M155" s="84"/>
      <x:c r="N155" s="84"/>
    </x:row>
    <x:row r="156">
      <x:c r="A156" s="47" t="str">
        <x:v>NR150</x:v>
      </x:c>
      <x:c r="B156" s="47" t="str">
        <x:v>P19</x:v>
      </x:c>
      <x:c r="C156" s="47" t="str">
        <x:v>LF-B</x:v>
      </x:c>
      <x:c r="D156" s="47" t="str">
        <x:v>LF-B-A</x:v>
      </x:c>
      <x:c r="E156" s="47" t="str">
        <x:v>ARTICLE</x:v>
      </x:c>
      <x:c r="F156" s="47" t="str">
        <x:v>N06</x:v>
      </x:c>
      <x:c r="G156" s="47" t="str">
        <x:v>Reproduce named intermediate states</x:v>
      </x:c>
      <x:c r="H156" s="47" t="n">
        <x:v>1</x:v>
      </x:c>
      <x:c r="I156" s="56" t="n">
        <x:v>0</x:v>
      </x:c>
      <x:c r="J156" s="47" t="str">
        <x:f>IF(I156=H156,"PASS","OPEN")</x:f>
        <x:v>OPEN</x:v>
      </x:c>
      <x:c r="K156" s="84"/>
      <x:c r="L156" s="84"/>
      <x:c r="M156" s="84"/>
      <x:c r="N156" s="84"/>
    </x:row>
    <x:row r="157">
      <x:c r="A157" s="47" t="str">
        <x:v>NR151</x:v>
      </x:c>
      <x:c r="B157" s="47" t="str">
        <x:v>P19</x:v>
      </x:c>
      <x:c r="C157" s="47" t="str">
        <x:v>LF-B</x:v>
      </x:c>
      <x:c r="D157" s="47" t="str">
        <x:v>LF-B-A</x:v>
      </x:c>
      <x:c r="E157" s="47" t="str">
        <x:v>ARTICLE</x:v>
      </x:c>
      <x:c r="F157" s="47" t="str">
        <x:v>N07</x:v>
      </x:c>
      <x:c r="G157" s="47" t="str">
        <x:v>Reproduce terminal design result</x:v>
      </x:c>
      <x:c r="H157" s="47" t="n">
        <x:v>1</x:v>
      </x:c>
      <x:c r="I157" s="56" t="n">
        <x:v>0</x:v>
      </x:c>
      <x:c r="J157" s="47" t="str">
        <x:f>IF(I157=H157,"PASS","OPEN")</x:f>
        <x:v>OPEN</x:v>
      </x:c>
      <x:c r="K157" s="84"/>
      <x:c r="L157" s="84"/>
      <x:c r="M157" s="84"/>
      <x:c r="N157" s="84"/>
    </x:row>
    <x:row r="158">
      <x:c r="A158" s="47" t="str">
        <x:v>NR152</x:v>
      </x:c>
      <x:c r="B158" s="47" t="str">
        <x:v>P19</x:v>
      </x:c>
      <x:c r="C158" s="47" t="str">
        <x:v>LF-B</x:v>
      </x:c>
      <x:c r="D158" s="47" t="str">
        <x:v>LF-B-A</x:v>
      </x:c>
      <x:c r="E158" s="47" t="str">
        <x:v>ARTICLE</x:v>
      </x:c>
      <x:c r="F158" s="47" t="str">
        <x:v>N08</x:v>
      </x:c>
      <x:c r="G158" s="47" t="str">
        <x:v>Seal replay transcript and checksums</x:v>
      </x:c>
      <x:c r="H158" s="47" t="n">
        <x:v>1</x:v>
      </x:c>
      <x:c r="I158" s="56" t="n">
        <x:v>0</x:v>
      </x:c>
      <x:c r="J158" s="47" t="str">
        <x:f>IF(I158=H158,"PASS","OPEN")</x:f>
        <x:v>OPEN</x:v>
      </x:c>
      <x:c r="K158" s="84"/>
      <x:c r="L158" s="84"/>
      <x:c r="M158" s="84"/>
      <x:c r="N158" s="84"/>
    </x:row>
    <x:row r="159">
      <x:c r="A159" s="47" t="str">
        <x:v>NR153</x:v>
      </x:c>
      <x:c r="B159" s="47" t="str">
        <x:v>P20</x:v>
      </x:c>
      <x:c r="C159" s="47" t="str">
        <x:v>LF-B</x:v>
      </x:c>
      <x:c r="D159" s="47" t="str">
        <x:v>LF-B-A</x:v>
      </x:c>
      <x:c r="E159" s="47" t="str">
        <x:v>REBUILD</x:v>
      </x:c>
      <x:c r="F159" s="47" t="str">
        <x:v>N01</x:v>
      </x:c>
      <x:c r="G159" s="47" t="str">
        <x:v>Resolve warrant and hash</x:v>
      </x:c>
      <x:c r="H159" s="47" t="n">
        <x:v>1</x:v>
      </x:c>
      <x:c r="I159" s="56" t="n">
        <x:v>0</x:v>
      </x:c>
      <x:c r="J159" s="47" t="str">
        <x:f>IF(I159=H159,"PASS","OPEN")</x:f>
        <x:v>OPEN</x:v>
      </x:c>
      <x:c r="K159" s="84"/>
      <x:c r="L159" s="84"/>
      <x:c r="M159" s="84"/>
      <x:c r="N159" s="84"/>
    </x:row>
    <x:row r="160">
      <x:c r="A160" s="47" t="str">
        <x:v>NR154</x:v>
      </x:c>
      <x:c r="B160" s="47" t="str">
        <x:v>P20</x:v>
      </x:c>
      <x:c r="C160" s="47" t="str">
        <x:v>LF-B</x:v>
      </x:c>
      <x:c r="D160" s="47" t="str">
        <x:v>LF-B-A</x:v>
      </x:c>
      <x:c r="E160" s="47" t="str">
        <x:v>REBUILD</x:v>
      </x:c>
      <x:c r="F160" s="47" t="str">
        <x:v>N02</x:v>
      </x:c>
      <x:c r="G160" s="47" t="str">
        <x:v>Instantiate sealed native environment</x:v>
      </x:c>
      <x:c r="H160" s="47" t="n">
        <x:v>1</x:v>
      </x:c>
      <x:c r="I160" s="56" t="n">
        <x:v>0</x:v>
      </x:c>
      <x:c r="J160" s="47" t="str">
        <x:f>IF(I160=H160,"PASS","OPEN")</x:f>
        <x:v>OPEN</x:v>
      </x:c>
      <x:c r="K160" s="84"/>
      <x:c r="L160" s="84"/>
      <x:c r="M160" s="84"/>
      <x:c r="N160" s="84"/>
    </x:row>
    <x:row r="161">
      <x:c r="A161" s="47" t="str">
        <x:v>NR155</x:v>
      </x:c>
      <x:c r="B161" s="47" t="str">
        <x:v>P20</x:v>
      </x:c>
      <x:c r="C161" s="47" t="str">
        <x:v>LF-B</x:v>
      </x:c>
      <x:c r="D161" s="47" t="str">
        <x:v>LF-B-A</x:v>
      </x:c>
      <x:c r="E161" s="47" t="str">
        <x:v>REBUILD</x:v>
      </x:c>
      <x:c r="F161" s="47" t="str">
        <x:v>N03</x:v>
      </x:c>
      <x:c r="G161" s="47" t="str">
        <x:v>Resolve dependencies and license rights</x:v>
      </x:c>
      <x:c r="H161" s="47" t="n">
        <x:v>1</x:v>
      </x:c>
      <x:c r="I161" s="56" t="n">
        <x:v>0</x:v>
      </x:c>
      <x:c r="J161" s="47" t="str">
        <x:f>IF(I161=H161,"PASS","OPEN")</x:f>
        <x:v>OPEN</x:v>
      </x:c>
      <x:c r="K161" s="84"/>
      <x:c r="L161" s="84"/>
      <x:c r="M161" s="84"/>
      <x:c r="N161" s="84"/>
    </x:row>
    <x:row r="162">
      <x:c r="A162" s="47" t="str">
        <x:v>NR156</x:v>
      </x:c>
      <x:c r="B162" s="47" t="str">
        <x:v>P20</x:v>
      </x:c>
      <x:c r="C162" s="47" t="str">
        <x:v>LF-B</x:v>
      </x:c>
      <x:c r="D162" s="47" t="str">
        <x:v>LF-B-A</x:v>
      </x:c>
      <x:c r="E162" s="47" t="str">
        <x:v>REBUILD</x:v>
      </x:c>
      <x:c r="F162" s="47" t="str">
        <x:v>N04</x:v>
      </x:c>
      <x:c r="G162" s="47" t="str">
        <x:v>Load source and calibration lineage</x:v>
      </x:c>
      <x:c r="H162" s="47" t="n">
        <x:v>1</x:v>
      </x:c>
      <x:c r="I162" s="56" t="n">
        <x:v>0</x:v>
      </x:c>
      <x:c r="J162" s="47" t="str">
        <x:f>IF(I162=H162,"PASS","OPEN")</x:f>
        <x:v>OPEN</x:v>
      </x:c>
      <x:c r="K162" s="84"/>
      <x:c r="L162" s="84"/>
      <x:c r="M162" s="84"/>
      <x:c r="N162" s="84"/>
    </x:row>
    <x:row r="163">
      <x:c r="A163" s="47" t="str">
        <x:v>NR157</x:v>
      </x:c>
      <x:c r="B163" s="47" t="str">
        <x:v>P20</x:v>
      </x:c>
      <x:c r="C163" s="47" t="str">
        <x:v>LF-B</x:v>
      </x:c>
      <x:c r="D163" s="47" t="str">
        <x:v>LF-B-A</x:v>
      </x:c>
      <x:c r="E163" s="47" t="str">
        <x:v>REBUILD</x:v>
      </x:c>
      <x:c r="F163" s="47" t="str">
        <x:v>N05</x:v>
      </x:c>
      <x:c r="G163" s="47" t="str">
        <x:v>Execute the frozen case</x:v>
      </x:c>
      <x:c r="H163" s="47" t="n">
        <x:v>1</x:v>
      </x:c>
      <x:c r="I163" s="56" t="n">
        <x:v>0</x:v>
      </x:c>
      <x:c r="J163" s="47" t="str">
        <x:f>IF(I163=H163,"PASS","OPEN")</x:f>
        <x:v>OPEN</x:v>
      </x:c>
      <x:c r="K163" s="84"/>
      <x:c r="L163" s="84"/>
      <x:c r="M163" s="84"/>
      <x:c r="N163" s="84"/>
    </x:row>
    <x:row r="164">
      <x:c r="A164" s="47" t="str">
        <x:v>NR158</x:v>
      </x:c>
      <x:c r="B164" s="47" t="str">
        <x:v>P20</x:v>
      </x:c>
      <x:c r="C164" s="47" t="str">
        <x:v>LF-B</x:v>
      </x:c>
      <x:c r="D164" s="47" t="str">
        <x:v>LF-B-A</x:v>
      </x:c>
      <x:c r="E164" s="47" t="str">
        <x:v>REBUILD</x:v>
      </x:c>
      <x:c r="F164" s="47" t="str">
        <x:v>N06</x:v>
      </x:c>
      <x:c r="G164" s="47" t="str">
        <x:v>Reproduce named intermediate states</x:v>
      </x:c>
      <x:c r="H164" s="47" t="n">
        <x:v>1</x:v>
      </x:c>
      <x:c r="I164" s="56" t="n">
        <x:v>0</x:v>
      </x:c>
      <x:c r="J164" s="47" t="str">
        <x:f>IF(I164=H164,"PASS","OPEN")</x:f>
        <x:v>OPEN</x:v>
      </x:c>
      <x:c r="K164" s="84"/>
      <x:c r="L164" s="84"/>
      <x:c r="M164" s="84"/>
      <x:c r="N164" s="84"/>
    </x:row>
    <x:row r="165">
      <x:c r="A165" s="47" t="str">
        <x:v>NR159</x:v>
      </x:c>
      <x:c r="B165" s="47" t="str">
        <x:v>P20</x:v>
      </x:c>
      <x:c r="C165" s="47" t="str">
        <x:v>LF-B</x:v>
      </x:c>
      <x:c r="D165" s="47" t="str">
        <x:v>LF-B-A</x:v>
      </x:c>
      <x:c r="E165" s="47" t="str">
        <x:v>REBUILD</x:v>
      </x:c>
      <x:c r="F165" s="47" t="str">
        <x:v>N07</x:v>
      </x:c>
      <x:c r="G165" s="47" t="str">
        <x:v>Reproduce terminal design result</x:v>
      </x:c>
      <x:c r="H165" s="47" t="n">
        <x:v>1</x:v>
      </x:c>
      <x:c r="I165" s="56" t="n">
        <x:v>0</x:v>
      </x:c>
      <x:c r="J165" s="47" t="str">
        <x:f>IF(I165=H165,"PASS","OPEN")</x:f>
        <x:v>OPEN</x:v>
      </x:c>
      <x:c r="K165" s="84"/>
      <x:c r="L165" s="84"/>
      <x:c r="M165" s="84"/>
      <x:c r="N165" s="84"/>
    </x:row>
    <x:row r="166">
      <x:c r="A166" s="47" t="str">
        <x:v>NR160</x:v>
      </x:c>
      <x:c r="B166" s="47" t="str">
        <x:v>P20</x:v>
      </x:c>
      <x:c r="C166" s="47" t="str">
        <x:v>LF-B</x:v>
      </x:c>
      <x:c r="D166" s="47" t="str">
        <x:v>LF-B-A</x:v>
      </x:c>
      <x:c r="E166" s="47" t="str">
        <x:v>REBUILD</x:v>
      </x:c>
      <x:c r="F166" s="47" t="str">
        <x:v>N08</x:v>
      </x:c>
      <x:c r="G166" s="47" t="str">
        <x:v>Seal replay transcript and checksums</x:v>
      </x:c>
      <x:c r="H166" s="47" t="n">
        <x:v>1</x:v>
      </x:c>
      <x:c r="I166" s="56" t="n">
        <x:v>0</x:v>
      </x:c>
      <x:c r="J166" s="47" t="str">
        <x:f>IF(I166=H166,"PASS","OPEN")</x:f>
        <x:v>OPEN</x:v>
      </x:c>
      <x:c r="K166" s="84"/>
      <x:c r="L166" s="84"/>
      <x:c r="M166" s="84"/>
      <x:c r="N166" s="84"/>
    </x:row>
    <x:row r="167">
      <x:c r="A167" s="47" t="str">
        <x:v>NR161</x:v>
      </x:c>
      <x:c r="B167" s="47" t="str">
        <x:v>P21</x:v>
      </x:c>
      <x:c r="C167" s="47" t="str">
        <x:v>HU-A</x:v>
      </x:c>
      <x:c r="D167" s="47" t="str">
        <x:v>HU-A-B</x:v>
      </x:c>
      <x:c r="E167" s="47" t="str">
        <x:v>METHOD</x:v>
      </x:c>
      <x:c r="F167" s="47" t="str">
        <x:v>N01</x:v>
      </x:c>
      <x:c r="G167" s="47" t="str">
        <x:v>Resolve warrant and hash</x:v>
      </x:c>
      <x:c r="H167" s="47" t="n">
        <x:v>1</x:v>
      </x:c>
      <x:c r="I167" s="56" t="n">
        <x:v>0</x:v>
      </x:c>
      <x:c r="J167" s="47" t="str">
        <x:f>IF(I167=H167,"PASS","OPEN")</x:f>
        <x:v>OPEN</x:v>
      </x:c>
      <x:c r="K167" s="84"/>
      <x:c r="L167" s="84"/>
      <x:c r="M167" s="84"/>
      <x:c r="N167" s="84"/>
    </x:row>
    <x:row r="168">
      <x:c r="A168" s="47" t="str">
        <x:v>NR162</x:v>
      </x:c>
      <x:c r="B168" s="47" t="str">
        <x:v>P21</x:v>
      </x:c>
      <x:c r="C168" s="47" t="str">
        <x:v>HU-A</x:v>
      </x:c>
      <x:c r="D168" s="47" t="str">
        <x:v>HU-A-B</x:v>
      </x:c>
      <x:c r="E168" s="47" t="str">
        <x:v>METHOD</x:v>
      </x:c>
      <x:c r="F168" s="47" t="str">
        <x:v>N02</x:v>
      </x:c>
      <x:c r="G168" s="47" t="str">
        <x:v>Instantiate sealed native environment</x:v>
      </x:c>
      <x:c r="H168" s="47" t="n">
        <x:v>1</x:v>
      </x:c>
      <x:c r="I168" s="56" t="n">
        <x:v>0</x:v>
      </x:c>
      <x:c r="J168" s="47" t="str">
        <x:f>IF(I168=H168,"PASS","OPEN")</x:f>
        <x:v>OPEN</x:v>
      </x:c>
      <x:c r="K168" s="84"/>
      <x:c r="L168" s="84"/>
      <x:c r="M168" s="84"/>
      <x:c r="N168" s="84"/>
    </x:row>
    <x:row r="169">
      <x:c r="A169" s="47" t="str">
        <x:v>NR163</x:v>
      </x:c>
      <x:c r="B169" s="47" t="str">
        <x:v>P21</x:v>
      </x:c>
      <x:c r="C169" s="47" t="str">
        <x:v>HU-A</x:v>
      </x:c>
      <x:c r="D169" s="47" t="str">
        <x:v>HU-A-B</x:v>
      </x:c>
      <x:c r="E169" s="47" t="str">
        <x:v>METHOD</x:v>
      </x:c>
      <x:c r="F169" s="47" t="str">
        <x:v>N03</x:v>
      </x:c>
      <x:c r="G169" s="47" t="str">
        <x:v>Resolve dependencies and license rights</x:v>
      </x:c>
      <x:c r="H169" s="47" t="n">
        <x:v>1</x:v>
      </x:c>
      <x:c r="I169" s="56" t="n">
        <x:v>0</x:v>
      </x:c>
      <x:c r="J169" s="47" t="str">
        <x:f>IF(I169=H169,"PASS","OPEN")</x:f>
        <x:v>OPEN</x:v>
      </x:c>
      <x:c r="K169" s="84"/>
      <x:c r="L169" s="84"/>
      <x:c r="M169" s="84"/>
      <x:c r="N169" s="84"/>
    </x:row>
    <x:row r="170">
      <x:c r="A170" s="47" t="str">
        <x:v>NR164</x:v>
      </x:c>
      <x:c r="B170" s="47" t="str">
        <x:v>P21</x:v>
      </x:c>
      <x:c r="C170" s="47" t="str">
        <x:v>HU-A</x:v>
      </x:c>
      <x:c r="D170" s="47" t="str">
        <x:v>HU-A-B</x:v>
      </x:c>
      <x:c r="E170" s="47" t="str">
        <x:v>METHOD</x:v>
      </x:c>
      <x:c r="F170" s="47" t="str">
        <x:v>N04</x:v>
      </x:c>
      <x:c r="G170" s="47" t="str">
        <x:v>Load source and calibration lineage</x:v>
      </x:c>
      <x:c r="H170" s="47" t="n">
        <x:v>1</x:v>
      </x:c>
      <x:c r="I170" s="56" t="n">
        <x:v>0</x:v>
      </x:c>
      <x:c r="J170" s="47" t="str">
        <x:f>IF(I170=H170,"PASS","OPEN")</x:f>
        <x:v>OPEN</x:v>
      </x:c>
      <x:c r="K170" s="84"/>
      <x:c r="L170" s="84"/>
      <x:c r="M170" s="84"/>
      <x:c r="N170" s="84"/>
    </x:row>
    <x:row r="171">
      <x:c r="A171" s="47" t="str">
        <x:v>NR165</x:v>
      </x:c>
      <x:c r="B171" s="47" t="str">
        <x:v>P21</x:v>
      </x:c>
      <x:c r="C171" s="47" t="str">
        <x:v>HU-A</x:v>
      </x:c>
      <x:c r="D171" s="47" t="str">
        <x:v>HU-A-B</x:v>
      </x:c>
      <x:c r="E171" s="47" t="str">
        <x:v>METHOD</x:v>
      </x:c>
      <x:c r="F171" s="47" t="str">
        <x:v>N05</x:v>
      </x:c>
      <x:c r="G171" s="47" t="str">
        <x:v>Execute the frozen case</x:v>
      </x:c>
      <x:c r="H171" s="47" t="n">
        <x:v>1</x:v>
      </x:c>
      <x:c r="I171" s="56" t="n">
        <x:v>0</x:v>
      </x:c>
      <x:c r="J171" s="47" t="str">
        <x:f>IF(I171=H171,"PASS","OPEN")</x:f>
        <x:v>OPEN</x:v>
      </x:c>
      <x:c r="K171" s="84"/>
      <x:c r="L171" s="84"/>
      <x:c r="M171" s="84"/>
      <x:c r="N171" s="84"/>
    </x:row>
    <x:row r="172">
      <x:c r="A172" s="47" t="str">
        <x:v>NR166</x:v>
      </x:c>
      <x:c r="B172" s="47" t="str">
        <x:v>P21</x:v>
      </x:c>
      <x:c r="C172" s="47" t="str">
        <x:v>HU-A</x:v>
      </x:c>
      <x:c r="D172" s="47" t="str">
        <x:v>HU-A-B</x:v>
      </x:c>
      <x:c r="E172" s="47" t="str">
        <x:v>METHOD</x:v>
      </x:c>
      <x:c r="F172" s="47" t="str">
        <x:v>N06</x:v>
      </x:c>
      <x:c r="G172" s="47" t="str">
        <x:v>Reproduce named intermediate states</x:v>
      </x:c>
      <x:c r="H172" s="47" t="n">
        <x:v>1</x:v>
      </x:c>
      <x:c r="I172" s="56" t="n">
        <x:v>0</x:v>
      </x:c>
      <x:c r="J172" s="47" t="str">
        <x:f>IF(I172=H172,"PASS","OPEN")</x:f>
        <x:v>OPEN</x:v>
      </x:c>
      <x:c r="K172" s="84"/>
      <x:c r="L172" s="84"/>
      <x:c r="M172" s="84"/>
      <x:c r="N172" s="84"/>
    </x:row>
    <x:row r="173">
      <x:c r="A173" s="47" t="str">
        <x:v>NR167</x:v>
      </x:c>
      <x:c r="B173" s="47" t="str">
        <x:v>P21</x:v>
      </x:c>
      <x:c r="C173" s="47" t="str">
        <x:v>HU-A</x:v>
      </x:c>
      <x:c r="D173" s="47" t="str">
        <x:v>HU-A-B</x:v>
      </x:c>
      <x:c r="E173" s="47" t="str">
        <x:v>METHOD</x:v>
      </x:c>
      <x:c r="F173" s="47" t="str">
        <x:v>N07</x:v>
      </x:c>
      <x:c r="G173" s="47" t="str">
        <x:v>Reproduce terminal design result</x:v>
      </x:c>
      <x:c r="H173" s="47" t="n">
        <x:v>1</x:v>
      </x:c>
      <x:c r="I173" s="56" t="n">
        <x:v>0</x:v>
      </x:c>
      <x:c r="J173" s="47" t="str">
        <x:f>IF(I173=H173,"PASS","OPEN")</x:f>
        <x:v>OPEN</x:v>
      </x:c>
      <x:c r="K173" s="84"/>
      <x:c r="L173" s="84"/>
      <x:c r="M173" s="84"/>
      <x:c r="N173" s="84"/>
    </x:row>
    <x:row r="174">
      <x:c r="A174" s="47" t="str">
        <x:v>NR168</x:v>
      </x:c>
      <x:c r="B174" s="47" t="str">
        <x:v>P21</x:v>
      </x:c>
      <x:c r="C174" s="47" t="str">
        <x:v>HU-A</x:v>
      </x:c>
      <x:c r="D174" s="47" t="str">
        <x:v>HU-A-B</x:v>
      </x:c>
      <x:c r="E174" s="47" t="str">
        <x:v>METHOD</x:v>
      </x:c>
      <x:c r="F174" s="47" t="str">
        <x:v>N08</x:v>
      </x:c>
      <x:c r="G174" s="47" t="str">
        <x:v>Seal replay transcript and checksums</x:v>
      </x:c>
      <x:c r="H174" s="47" t="n">
        <x:v>1</x:v>
      </x:c>
      <x:c r="I174" s="56" t="n">
        <x:v>0</x:v>
      </x:c>
      <x:c r="J174" s="47" t="str">
        <x:f>IF(I174=H174,"PASS","OPEN")</x:f>
        <x:v>OPEN</x:v>
      </x:c>
      <x:c r="K174" s="84"/>
      <x:c r="L174" s="84"/>
      <x:c r="M174" s="84"/>
      <x:c r="N174" s="84"/>
    </x:row>
    <x:row r="175">
      <x:c r="A175" s="47" t="str">
        <x:v>NR169</x:v>
      </x:c>
      <x:c r="B175" s="47" t="str">
        <x:v>P22</x:v>
      </x:c>
      <x:c r="C175" s="47" t="str">
        <x:v>HU-A</x:v>
      </x:c>
      <x:c r="D175" s="47" t="str">
        <x:v>HU-A-B</x:v>
      </x:c>
      <x:c r="E175" s="47" t="str">
        <x:v>VALID</x:v>
      </x:c>
      <x:c r="F175" s="47" t="str">
        <x:v>N01</x:v>
      </x:c>
      <x:c r="G175" s="47" t="str">
        <x:v>Resolve warrant and hash</x:v>
      </x:c>
      <x:c r="H175" s="47" t="n">
        <x:v>1</x:v>
      </x:c>
      <x:c r="I175" s="56" t="n">
        <x:v>0</x:v>
      </x:c>
      <x:c r="J175" s="47" t="str">
        <x:f>IF(I175=H175,"PASS","OPEN")</x:f>
        <x:v>OPEN</x:v>
      </x:c>
      <x:c r="K175" s="84"/>
      <x:c r="L175" s="84"/>
      <x:c r="M175" s="84"/>
      <x:c r="N175" s="84"/>
    </x:row>
    <x:row r="176">
      <x:c r="A176" s="47" t="str">
        <x:v>NR170</x:v>
      </x:c>
      <x:c r="B176" s="47" t="str">
        <x:v>P22</x:v>
      </x:c>
      <x:c r="C176" s="47" t="str">
        <x:v>HU-A</x:v>
      </x:c>
      <x:c r="D176" s="47" t="str">
        <x:v>HU-A-B</x:v>
      </x:c>
      <x:c r="E176" s="47" t="str">
        <x:v>VALID</x:v>
      </x:c>
      <x:c r="F176" s="47" t="str">
        <x:v>N02</x:v>
      </x:c>
      <x:c r="G176" s="47" t="str">
        <x:v>Instantiate sealed native environment</x:v>
      </x:c>
      <x:c r="H176" s="47" t="n">
        <x:v>1</x:v>
      </x:c>
      <x:c r="I176" s="56" t="n">
        <x:v>0</x:v>
      </x:c>
      <x:c r="J176" s="47" t="str">
        <x:f>IF(I176=H176,"PASS","OPEN")</x:f>
        <x:v>OPEN</x:v>
      </x:c>
      <x:c r="K176" s="84"/>
      <x:c r="L176" s="84"/>
      <x:c r="M176" s="84"/>
      <x:c r="N176" s="84"/>
    </x:row>
    <x:row r="177">
      <x:c r="A177" s="47" t="str">
        <x:v>NR171</x:v>
      </x:c>
      <x:c r="B177" s="47" t="str">
        <x:v>P22</x:v>
      </x:c>
      <x:c r="C177" s="47" t="str">
        <x:v>HU-A</x:v>
      </x:c>
      <x:c r="D177" s="47" t="str">
        <x:v>HU-A-B</x:v>
      </x:c>
      <x:c r="E177" s="47" t="str">
        <x:v>VALID</x:v>
      </x:c>
      <x:c r="F177" s="47" t="str">
        <x:v>N03</x:v>
      </x:c>
      <x:c r="G177" s="47" t="str">
        <x:v>Resolve dependencies and license rights</x:v>
      </x:c>
      <x:c r="H177" s="47" t="n">
        <x:v>1</x:v>
      </x:c>
      <x:c r="I177" s="56" t="n">
        <x:v>0</x:v>
      </x:c>
      <x:c r="J177" s="47" t="str">
        <x:f>IF(I177=H177,"PASS","OPEN")</x:f>
        <x:v>OPEN</x:v>
      </x:c>
      <x:c r="K177" s="84"/>
      <x:c r="L177" s="84"/>
      <x:c r="M177" s="84"/>
      <x:c r="N177" s="84"/>
    </x:row>
    <x:row r="178">
      <x:c r="A178" s="47" t="str">
        <x:v>NR172</x:v>
      </x:c>
      <x:c r="B178" s="47" t="str">
        <x:v>P22</x:v>
      </x:c>
      <x:c r="C178" s="47" t="str">
        <x:v>HU-A</x:v>
      </x:c>
      <x:c r="D178" s="47" t="str">
        <x:v>HU-A-B</x:v>
      </x:c>
      <x:c r="E178" s="47" t="str">
        <x:v>VALID</x:v>
      </x:c>
      <x:c r="F178" s="47" t="str">
        <x:v>N04</x:v>
      </x:c>
      <x:c r="G178" s="47" t="str">
        <x:v>Load source and calibration lineage</x:v>
      </x:c>
      <x:c r="H178" s="47" t="n">
        <x:v>1</x:v>
      </x:c>
      <x:c r="I178" s="56" t="n">
        <x:v>0</x:v>
      </x:c>
      <x:c r="J178" s="47" t="str">
        <x:f>IF(I178=H178,"PASS","OPEN")</x:f>
        <x:v>OPEN</x:v>
      </x:c>
      <x:c r="K178" s="84"/>
      <x:c r="L178" s="84"/>
      <x:c r="M178" s="84"/>
      <x:c r="N178" s="84"/>
    </x:row>
    <x:row r="179">
      <x:c r="A179" s="47" t="str">
        <x:v>NR173</x:v>
      </x:c>
      <x:c r="B179" s="47" t="str">
        <x:v>P22</x:v>
      </x:c>
      <x:c r="C179" s="47" t="str">
        <x:v>HU-A</x:v>
      </x:c>
      <x:c r="D179" s="47" t="str">
        <x:v>HU-A-B</x:v>
      </x:c>
      <x:c r="E179" s="47" t="str">
        <x:v>VALID</x:v>
      </x:c>
      <x:c r="F179" s="47" t="str">
        <x:v>N05</x:v>
      </x:c>
      <x:c r="G179" s="47" t="str">
        <x:v>Execute the frozen case</x:v>
      </x:c>
      <x:c r="H179" s="47" t="n">
        <x:v>1</x:v>
      </x:c>
      <x:c r="I179" s="56" t="n">
        <x:v>0</x:v>
      </x:c>
      <x:c r="J179" s="47" t="str">
        <x:f>IF(I179=H179,"PASS","OPEN")</x:f>
        <x:v>OPEN</x:v>
      </x:c>
      <x:c r="K179" s="84"/>
      <x:c r="L179" s="84"/>
      <x:c r="M179" s="84"/>
      <x:c r="N179" s="84"/>
    </x:row>
    <x:row r="180">
      <x:c r="A180" s="47" t="str">
        <x:v>NR174</x:v>
      </x:c>
      <x:c r="B180" s="47" t="str">
        <x:v>P22</x:v>
      </x:c>
      <x:c r="C180" s="47" t="str">
        <x:v>HU-A</x:v>
      </x:c>
      <x:c r="D180" s="47" t="str">
        <x:v>HU-A-B</x:v>
      </x:c>
      <x:c r="E180" s="47" t="str">
        <x:v>VALID</x:v>
      </x:c>
      <x:c r="F180" s="47" t="str">
        <x:v>N06</x:v>
      </x:c>
      <x:c r="G180" s="47" t="str">
        <x:v>Reproduce named intermediate states</x:v>
      </x:c>
      <x:c r="H180" s="47" t="n">
        <x:v>1</x:v>
      </x:c>
      <x:c r="I180" s="56" t="n">
        <x:v>0</x:v>
      </x:c>
      <x:c r="J180" s="47" t="str">
        <x:f>IF(I180=H180,"PASS","OPEN")</x:f>
        <x:v>OPEN</x:v>
      </x:c>
      <x:c r="K180" s="84"/>
      <x:c r="L180" s="84"/>
      <x:c r="M180" s="84"/>
      <x:c r="N180" s="84"/>
    </x:row>
    <x:row r="181">
      <x:c r="A181" s="47" t="str">
        <x:v>NR175</x:v>
      </x:c>
      <x:c r="B181" s="47" t="str">
        <x:v>P22</x:v>
      </x:c>
      <x:c r="C181" s="47" t="str">
        <x:v>HU-A</x:v>
      </x:c>
      <x:c r="D181" s="47" t="str">
        <x:v>HU-A-B</x:v>
      </x:c>
      <x:c r="E181" s="47" t="str">
        <x:v>VALID</x:v>
      </x:c>
      <x:c r="F181" s="47" t="str">
        <x:v>N07</x:v>
      </x:c>
      <x:c r="G181" s="47" t="str">
        <x:v>Reproduce terminal design result</x:v>
      </x:c>
      <x:c r="H181" s="47" t="n">
        <x:v>1</x:v>
      </x:c>
      <x:c r="I181" s="56" t="n">
        <x:v>0</x:v>
      </x:c>
      <x:c r="J181" s="47" t="str">
        <x:f>IF(I181=H181,"PASS","OPEN")</x:f>
        <x:v>OPEN</x:v>
      </x:c>
      <x:c r="K181" s="84"/>
      <x:c r="L181" s="84"/>
      <x:c r="M181" s="84"/>
      <x:c r="N181" s="84"/>
    </x:row>
    <x:row r="182">
      <x:c r="A182" s="47" t="str">
        <x:v>NR176</x:v>
      </x:c>
      <x:c r="B182" s="47" t="str">
        <x:v>P22</x:v>
      </x:c>
      <x:c r="C182" s="47" t="str">
        <x:v>HU-A</x:v>
      </x:c>
      <x:c r="D182" s="47" t="str">
        <x:v>HU-A-B</x:v>
      </x:c>
      <x:c r="E182" s="47" t="str">
        <x:v>VALID</x:v>
      </x:c>
      <x:c r="F182" s="47" t="str">
        <x:v>N08</x:v>
      </x:c>
      <x:c r="G182" s="47" t="str">
        <x:v>Seal replay transcript and checksums</x:v>
      </x:c>
      <x:c r="H182" s="47" t="n">
        <x:v>1</x:v>
      </x:c>
      <x:c r="I182" s="56" t="n">
        <x:v>0</x:v>
      </x:c>
      <x:c r="J182" s="47" t="str">
        <x:f>IF(I182=H182,"PASS","OPEN")</x:f>
        <x:v>OPEN</x:v>
      </x:c>
      <x:c r="K182" s="84"/>
      <x:c r="L182" s="84"/>
      <x:c r="M182" s="84"/>
      <x:c r="N182" s="84"/>
    </x:row>
    <x:row r="183">
      <x:c r="A183" s="47" t="str">
        <x:v>NR177</x:v>
      </x:c>
      <x:c r="B183" s="47" t="str">
        <x:v>P23</x:v>
      </x:c>
      <x:c r="C183" s="47" t="str">
        <x:v>HU-A</x:v>
      </x:c>
      <x:c r="D183" s="47" t="str">
        <x:v>HU-A-B</x:v>
      </x:c>
      <x:c r="E183" s="47" t="str">
        <x:v>CIVIL</x:v>
      </x:c>
      <x:c r="F183" s="47" t="str">
        <x:v>N01</x:v>
      </x:c>
      <x:c r="G183" s="47" t="str">
        <x:v>Resolve warrant and hash</x:v>
      </x:c>
      <x:c r="H183" s="47" t="n">
        <x:v>1</x:v>
      </x:c>
      <x:c r="I183" s="56" t="n">
        <x:v>0</x:v>
      </x:c>
      <x:c r="J183" s="47" t="str">
        <x:f>IF(I183=H183,"PASS","OPEN")</x:f>
        <x:v>OPEN</x:v>
      </x:c>
      <x:c r="K183" s="84"/>
      <x:c r="L183" s="84"/>
      <x:c r="M183" s="84"/>
      <x:c r="N183" s="84"/>
    </x:row>
    <x:row r="184">
      <x:c r="A184" s="47" t="str">
        <x:v>NR178</x:v>
      </x:c>
      <x:c r="B184" s="47" t="str">
        <x:v>P23</x:v>
      </x:c>
      <x:c r="C184" s="47" t="str">
        <x:v>HU-A</x:v>
      </x:c>
      <x:c r="D184" s="47" t="str">
        <x:v>HU-A-B</x:v>
      </x:c>
      <x:c r="E184" s="47" t="str">
        <x:v>CIVIL</x:v>
      </x:c>
      <x:c r="F184" s="47" t="str">
        <x:v>N02</x:v>
      </x:c>
      <x:c r="G184" s="47" t="str">
        <x:v>Instantiate sealed native environment</x:v>
      </x:c>
      <x:c r="H184" s="47" t="n">
        <x:v>1</x:v>
      </x:c>
      <x:c r="I184" s="56" t="n">
        <x:v>0</x:v>
      </x:c>
      <x:c r="J184" s="47" t="str">
        <x:f>IF(I184=H184,"PASS","OPEN")</x:f>
        <x:v>OPEN</x:v>
      </x:c>
      <x:c r="K184" s="84"/>
      <x:c r="L184" s="84"/>
      <x:c r="M184" s="84"/>
      <x:c r="N184" s="84"/>
    </x:row>
    <x:row r="185">
      <x:c r="A185" s="47" t="str">
        <x:v>NR179</x:v>
      </x:c>
      <x:c r="B185" s="47" t="str">
        <x:v>P23</x:v>
      </x:c>
      <x:c r="C185" s="47" t="str">
        <x:v>HU-A</x:v>
      </x:c>
      <x:c r="D185" s="47" t="str">
        <x:v>HU-A-B</x:v>
      </x:c>
      <x:c r="E185" s="47" t="str">
        <x:v>CIVIL</x:v>
      </x:c>
      <x:c r="F185" s="47" t="str">
        <x:v>N03</x:v>
      </x:c>
      <x:c r="G185" s="47" t="str">
        <x:v>Resolve dependencies and license rights</x:v>
      </x:c>
      <x:c r="H185" s="47" t="n">
        <x:v>1</x:v>
      </x:c>
      <x:c r="I185" s="56" t="n">
        <x:v>0</x:v>
      </x:c>
      <x:c r="J185" s="47" t="str">
        <x:f>IF(I185=H185,"PASS","OPEN")</x:f>
        <x:v>OPEN</x:v>
      </x:c>
      <x:c r="K185" s="84"/>
      <x:c r="L185" s="84"/>
      <x:c r="M185" s="84"/>
      <x:c r="N185" s="84"/>
    </x:row>
    <x:row r="186">
      <x:c r="A186" s="47" t="str">
        <x:v>NR180</x:v>
      </x:c>
      <x:c r="B186" s="47" t="str">
        <x:v>P23</x:v>
      </x:c>
      <x:c r="C186" s="47" t="str">
        <x:v>HU-A</x:v>
      </x:c>
      <x:c r="D186" s="47" t="str">
        <x:v>HU-A-B</x:v>
      </x:c>
      <x:c r="E186" s="47" t="str">
        <x:v>CIVIL</x:v>
      </x:c>
      <x:c r="F186" s="47" t="str">
        <x:v>N04</x:v>
      </x:c>
      <x:c r="G186" s="47" t="str">
        <x:v>Load source and calibration lineage</x:v>
      </x:c>
      <x:c r="H186" s="47" t="n">
        <x:v>1</x:v>
      </x:c>
      <x:c r="I186" s="56" t="n">
        <x:v>0</x:v>
      </x:c>
      <x:c r="J186" s="47" t="str">
        <x:f>IF(I186=H186,"PASS","OPEN")</x:f>
        <x:v>OPEN</x:v>
      </x:c>
      <x:c r="K186" s="84"/>
      <x:c r="L186" s="84"/>
      <x:c r="M186" s="84"/>
      <x:c r="N186" s="84"/>
    </x:row>
    <x:row r="187">
      <x:c r="A187" s="47" t="str">
        <x:v>NR181</x:v>
      </x:c>
      <x:c r="B187" s="47" t="str">
        <x:v>P23</x:v>
      </x:c>
      <x:c r="C187" s="47" t="str">
        <x:v>HU-A</x:v>
      </x:c>
      <x:c r="D187" s="47" t="str">
        <x:v>HU-A-B</x:v>
      </x:c>
      <x:c r="E187" s="47" t="str">
        <x:v>CIVIL</x:v>
      </x:c>
      <x:c r="F187" s="47" t="str">
        <x:v>N05</x:v>
      </x:c>
      <x:c r="G187" s="47" t="str">
        <x:v>Execute the frozen case</x:v>
      </x:c>
      <x:c r="H187" s="47" t="n">
        <x:v>1</x:v>
      </x:c>
      <x:c r="I187" s="56" t="n">
        <x:v>0</x:v>
      </x:c>
      <x:c r="J187" s="47" t="str">
        <x:f>IF(I187=H187,"PASS","OPEN")</x:f>
        <x:v>OPEN</x:v>
      </x:c>
      <x:c r="K187" s="84"/>
      <x:c r="L187" s="84"/>
      <x:c r="M187" s="84"/>
      <x:c r="N187" s="84"/>
    </x:row>
    <x:row r="188">
      <x:c r="A188" s="47" t="str">
        <x:v>NR182</x:v>
      </x:c>
      <x:c r="B188" s="47" t="str">
        <x:v>P23</x:v>
      </x:c>
      <x:c r="C188" s="47" t="str">
        <x:v>HU-A</x:v>
      </x:c>
      <x:c r="D188" s="47" t="str">
        <x:v>HU-A-B</x:v>
      </x:c>
      <x:c r="E188" s="47" t="str">
        <x:v>CIVIL</x:v>
      </x:c>
      <x:c r="F188" s="47" t="str">
        <x:v>N06</x:v>
      </x:c>
      <x:c r="G188" s="47" t="str">
        <x:v>Reproduce named intermediate states</x:v>
      </x:c>
      <x:c r="H188" s="47" t="n">
        <x:v>1</x:v>
      </x:c>
      <x:c r="I188" s="56" t="n">
        <x:v>0</x:v>
      </x:c>
      <x:c r="J188" s="47" t="str">
        <x:f>IF(I188=H188,"PASS","OPEN")</x:f>
        <x:v>OPEN</x:v>
      </x:c>
      <x:c r="K188" s="84"/>
      <x:c r="L188" s="84"/>
      <x:c r="M188" s="84"/>
      <x:c r="N188" s="84"/>
    </x:row>
    <x:row r="189">
      <x:c r="A189" s="47" t="str">
        <x:v>NR183</x:v>
      </x:c>
      <x:c r="B189" s="47" t="str">
        <x:v>P23</x:v>
      </x:c>
      <x:c r="C189" s="47" t="str">
        <x:v>HU-A</x:v>
      </x:c>
      <x:c r="D189" s="47" t="str">
        <x:v>HU-A-B</x:v>
      </x:c>
      <x:c r="E189" s="47" t="str">
        <x:v>CIVIL</x:v>
      </x:c>
      <x:c r="F189" s="47" t="str">
        <x:v>N07</x:v>
      </x:c>
      <x:c r="G189" s="47" t="str">
        <x:v>Reproduce terminal design result</x:v>
      </x:c>
      <x:c r="H189" s="47" t="n">
        <x:v>1</x:v>
      </x:c>
      <x:c r="I189" s="56" t="n">
        <x:v>0</x:v>
      </x:c>
      <x:c r="J189" s="47" t="str">
        <x:f>IF(I189=H189,"PASS","OPEN")</x:f>
        <x:v>OPEN</x:v>
      </x:c>
      <x:c r="K189" s="84"/>
      <x:c r="L189" s="84"/>
      <x:c r="M189" s="84"/>
      <x:c r="N189" s="84"/>
    </x:row>
    <x:row r="190">
      <x:c r="A190" s="47" t="str">
        <x:v>NR184</x:v>
      </x:c>
      <x:c r="B190" s="47" t="str">
        <x:v>P23</x:v>
      </x:c>
      <x:c r="C190" s="47" t="str">
        <x:v>HU-A</x:v>
      </x:c>
      <x:c r="D190" s="47" t="str">
        <x:v>HU-A-B</x:v>
      </x:c>
      <x:c r="E190" s="47" t="str">
        <x:v>CIVIL</x:v>
      </x:c>
      <x:c r="F190" s="47" t="str">
        <x:v>N08</x:v>
      </x:c>
      <x:c r="G190" s="47" t="str">
        <x:v>Seal replay transcript and checksums</x:v>
      </x:c>
      <x:c r="H190" s="47" t="n">
        <x:v>1</x:v>
      </x:c>
      <x:c r="I190" s="56" t="n">
        <x:v>0</x:v>
      </x:c>
      <x:c r="J190" s="47" t="str">
        <x:f>IF(I190=H190,"PASS","OPEN")</x:f>
        <x:v>OPEN</x:v>
      </x:c>
      <x:c r="K190" s="84"/>
      <x:c r="L190" s="84"/>
      <x:c r="M190" s="84"/>
      <x:c r="N190" s="84"/>
    </x:row>
    <x:row r="191">
      <x:c r="A191" s="47" t="str">
        <x:v>NR185</x:v>
      </x:c>
      <x:c r="B191" s="47" t="str">
        <x:v>P24</x:v>
      </x:c>
      <x:c r="C191" s="47" t="str">
        <x:v>HU-A</x:v>
      </x:c>
      <x:c r="D191" s="47" t="str">
        <x:v>HU-A-B</x:v>
      </x:c>
      <x:c r="E191" s="47" t="str">
        <x:v>ARTICLE</x:v>
      </x:c>
      <x:c r="F191" s="47" t="str">
        <x:v>N01</x:v>
      </x:c>
      <x:c r="G191" s="47" t="str">
        <x:v>Resolve warrant and hash</x:v>
      </x:c>
      <x:c r="H191" s="47" t="n">
        <x:v>1</x:v>
      </x:c>
      <x:c r="I191" s="56" t="n">
        <x:v>0</x:v>
      </x:c>
      <x:c r="J191" s="47" t="str">
        <x:f>IF(I191=H191,"PASS","OPEN")</x:f>
        <x:v>OPEN</x:v>
      </x:c>
      <x:c r="K191" s="84"/>
      <x:c r="L191" s="84"/>
      <x:c r="M191" s="84"/>
      <x:c r="N191" s="84"/>
    </x:row>
    <x:row r="192">
      <x:c r="A192" s="47" t="str">
        <x:v>NR186</x:v>
      </x:c>
      <x:c r="B192" s="47" t="str">
        <x:v>P24</x:v>
      </x:c>
      <x:c r="C192" s="47" t="str">
        <x:v>HU-A</x:v>
      </x:c>
      <x:c r="D192" s="47" t="str">
        <x:v>HU-A-B</x:v>
      </x:c>
      <x:c r="E192" s="47" t="str">
        <x:v>ARTICLE</x:v>
      </x:c>
      <x:c r="F192" s="47" t="str">
        <x:v>N02</x:v>
      </x:c>
      <x:c r="G192" s="47" t="str">
        <x:v>Instantiate sealed native environment</x:v>
      </x:c>
      <x:c r="H192" s="47" t="n">
        <x:v>1</x:v>
      </x:c>
      <x:c r="I192" s="56" t="n">
        <x:v>0</x:v>
      </x:c>
      <x:c r="J192" s="47" t="str">
        <x:f>IF(I192=H192,"PASS","OPEN")</x:f>
        <x:v>OPEN</x:v>
      </x:c>
      <x:c r="K192" s="84"/>
      <x:c r="L192" s="84"/>
      <x:c r="M192" s="84"/>
      <x:c r="N192" s="84"/>
    </x:row>
    <x:row r="193">
      <x:c r="A193" s="47" t="str">
        <x:v>NR187</x:v>
      </x:c>
      <x:c r="B193" s="47" t="str">
        <x:v>P24</x:v>
      </x:c>
      <x:c r="C193" s="47" t="str">
        <x:v>HU-A</x:v>
      </x:c>
      <x:c r="D193" s="47" t="str">
        <x:v>HU-A-B</x:v>
      </x:c>
      <x:c r="E193" s="47" t="str">
        <x:v>ARTICLE</x:v>
      </x:c>
      <x:c r="F193" s="47" t="str">
        <x:v>N03</x:v>
      </x:c>
      <x:c r="G193" s="47" t="str">
        <x:v>Resolve dependencies and license rights</x:v>
      </x:c>
      <x:c r="H193" s="47" t="n">
        <x:v>1</x:v>
      </x:c>
      <x:c r="I193" s="56" t="n">
        <x:v>0</x:v>
      </x:c>
      <x:c r="J193" s="47" t="str">
        <x:f>IF(I193=H193,"PASS","OPEN")</x:f>
        <x:v>OPEN</x:v>
      </x:c>
      <x:c r="K193" s="84"/>
      <x:c r="L193" s="84"/>
      <x:c r="M193" s="84"/>
      <x:c r="N193" s="84"/>
    </x:row>
    <x:row r="194">
      <x:c r="A194" s="47" t="str">
        <x:v>NR188</x:v>
      </x:c>
      <x:c r="B194" s="47" t="str">
        <x:v>P24</x:v>
      </x:c>
      <x:c r="C194" s="47" t="str">
        <x:v>HU-A</x:v>
      </x:c>
      <x:c r="D194" s="47" t="str">
        <x:v>HU-A-B</x:v>
      </x:c>
      <x:c r="E194" s="47" t="str">
        <x:v>ARTICLE</x:v>
      </x:c>
      <x:c r="F194" s="47" t="str">
        <x:v>N04</x:v>
      </x:c>
      <x:c r="G194" s="47" t="str">
        <x:v>Load source and calibration lineage</x:v>
      </x:c>
      <x:c r="H194" s="47" t="n">
        <x:v>1</x:v>
      </x:c>
      <x:c r="I194" s="56" t="n">
        <x:v>0</x:v>
      </x:c>
      <x:c r="J194" s="47" t="str">
        <x:f>IF(I194=H194,"PASS","OPEN")</x:f>
        <x:v>OPEN</x:v>
      </x:c>
      <x:c r="K194" s="84"/>
      <x:c r="L194" s="84"/>
      <x:c r="M194" s="84"/>
      <x:c r="N194" s="84"/>
    </x:row>
    <x:row r="195">
      <x:c r="A195" s="47" t="str">
        <x:v>NR189</x:v>
      </x:c>
      <x:c r="B195" s="47" t="str">
        <x:v>P24</x:v>
      </x:c>
      <x:c r="C195" s="47" t="str">
        <x:v>HU-A</x:v>
      </x:c>
      <x:c r="D195" s="47" t="str">
        <x:v>HU-A-B</x:v>
      </x:c>
      <x:c r="E195" s="47" t="str">
        <x:v>ARTICLE</x:v>
      </x:c>
      <x:c r="F195" s="47" t="str">
        <x:v>N05</x:v>
      </x:c>
      <x:c r="G195" s="47" t="str">
        <x:v>Execute the frozen case</x:v>
      </x:c>
      <x:c r="H195" s="47" t="n">
        <x:v>1</x:v>
      </x:c>
      <x:c r="I195" s="56" t="n">
        <x:v>0</x:v>
      </x:c>
      <x:c r="J195" s="47" t="str">
        <x:f>IF(I195=H195,"PASS","OPEN")</x:f>
        <x:v>OPEN</x:v>
      </x:c>
      <x:c r="K195" s="84"/>
      <x:c r="L195" s="84"/>
      <x:c r="M195" s="84"/>
      <x:c r="N195" s="84"/>
    </x:row>
    <x:row r="196">
      <x:c r="A196" s="47" t="str">
        <x:v>NR190</x:v>
      </x:c>
      <x:c r="B196" s="47" t="str">
        <x:v>P24</x:v>
      </x:c>
      <x:c r="C196" s="47" t="str">
        <x:v>HU-A</x:v>
      </x:c>
      <x:c r="D196" s="47" t="str">
        <x:v>HU-A-B</x:v>
      </x:c>
      <x:c r="E196" s="47" t="str">
        <x:v>ARTICLE</x:v>
      </x:c>
      <x:c r="F196" s="47" t="str">
        <x:v>N06</x:v>
      </x:c>
      <x:c r="G196" s="47" t="str">
        <x:v>Reproduce named intermediate states</x:v>
      </x:c>
      <x:c r="H196" s="47" t="n">
        <x:v>1</x:v>
      </x:c>
      <x:c r="I196" s="56" t="n">
        <x:v>0</x:v>
      </x:c>
      <x:c r="J196" s="47" t="str">
        <x:f>IF(I196=H196,"PASS","OPEN")</x:f>
        <x:v>OPEN</x:v>
      </x:c>
      <x:c r="K196" s="84"/>
      <x:c r="L196" s="84"/>
      <x:c r="M196" s="84"/>
      <x:c r="N196" s="84"/>
    </x:row>
    <x:row r="197">
      <x:c r="A197" s="47" t="str">
        <x:v>NR191</x:v>
      </x:c>
      <x:c r="B197" s="47" t="str">
        <x:v>P24</x:v>
      </x:c>
      <x:c r="C197" s="47" t="str">
        <x:v>HU-A</x:v>
      </x:c>
      <x:c r="D197" s="47" t="str">
        <x:v>HU-A-B</x:v>
      </x:c>
      <x:c r="E197" s="47" t="str">
        <x:v>ARTICLE</x:v>
      </x:c>
      <x:c r="F197" s="47" t="str">
        <x:v>N07</x:v>
      </x:c>
      <x:c r="G197" s="47" t="str">
        <x:v>Reproduce terminal design result</x:v>
      </x:c>
      <x:c r="H197" s="47" t="n">
        <x:v>1</x:v>
      </x:c>
      <x:c r="I197" s="56" t="n">
        <x:v>0</x:v>
      </x:c>
      <x:c r="J197" s="47" t="str">
        <x:f>IF(I197=H197,"PASS","OPEN")</x:f>
        <x:v>OPEN</x:v>
      </x:c>
      <x:c r="K197" s="84"/>
      <x:c r="L197" s="84"/>
      <x:c r="M197" s="84"/>
      <x:c r="N197" s="84"/>
    </x:row>
    <x:row r="198">
      <x:c r="A198" s="47" t="str">
        <x:v>NR192</x:v>
      </x:c>
      <x:c r="B198" s="47" t="str">
        <x:v>P24</x:v>
      </x:c>
      <x:c r="C198" s="47" t="str">
        <x:v>HU-A</x:v>
      </x:c>
      <x:c r="D198" s="47" t="str">
        <x:v>HU-A-B</x:v>
      </x:c>
      <x:c r="E198" s="47" t="str">
        <x:v>ARTICLE</x:v>
      </x:c>
      <x:c r="F198" s="47" t="str">
        <x:v>N08</x:v>
      </x:c>
      <x:c r="G198" s="47" t="str">
        <x:v>Seal replay transcript and checksums</x:v>
      </x:c>
      <x:c r="H198" s="47" t="n">
        <x:v>1</x:v>
      </x:c>
      <x:c r="I198" s="56" t="n">
        <x:v>0</x:v>
      </x:c>
      <x:c r="J198" s="47" t="str">
        <x:f>IF(I198=H198,"PASS","OPEN")</x:f>
        <x:v>OPEN</x:v>
      </x:c>
      <x:c r="K198" s="84"/>
      <x:c r="L198" s="84"/>
      <x:c r="M198" s="84"/>
      <x:c r="N198" s="84"/>
    </x:row>
    <x:row r="199">
      <x:c r="A199" s="47" t="str">
        <x:v>NR193</x:v>
      </x:c>
      <x:c r="B199" s="47" t="str">
        <x:v>P25</x:v>
      </x:c>
      <x:c r="C199" s="47" t="str">
        <x:v>HU-A</x:v>
      </x:c>
      <x:c r="D199" s="47" t="str">
        <x:v>HU-A-B</x:v>
      </x:c>
      <x:c r="E199" s="47" t="str">
        <x:v>REBUILD</x:v>
      </x:c>
      <x:c r="F199" s="47" t="str">
        <x:v>N01</x:v>
      </x:c>
      <x:c r="G199" s="47" t="str">
        <x:v>Resolve warrant and hash</x:v>
      </x:c>
      <x:c r="H199" s="47" t="n">
        <x:v>1</x:v>
      </x:c>
      <x:c r="I199" s="56" t="n">
        <x:v>0</x:v>
      </x:c>
      <x:c r="J199" s="47" t="str">
        <x:f>IF(I199=H199,"PASS","OPEN")</x:f>
        <x:v>OPEN</x:v>
      </x:c>
      <x:c r="K199" s="84"/>
      <x:c r="L199" s="84"/>
      <x:c r="M199" s="84"/>
      <x:c r="N199" s="84"/>
    </x:row>
    <x:row r="200">
      <x:c r="A200" s="47" t="str">
        <x:v>NR194</x:v>
      </x:c>
      <x:c r="B200" s="47" t="str">
        <x:v>P25</x:v>
      </x:c>
      <x:c r="C200" s="47" t="str">
        <x:v>HU-A</x:v>
      </x:c>
      <x:c r="D200" s="47" t="str">
        <x:v>HU-A-B</x:v>
      </x:c>
      <x:c r="E200" s="47" t="str">
        <x:v>REBUILD</x:v>
      </x:c>
      <x:c r="F200" s="47" t="str">
        <x:v>N02</x:v>
      </x:c>
      <x:c r="G200" s="47" t="str">
        <x:v>Instantiate sealed native environment</x:v>
      </x:c>
      <x:c r="H200" s="47" t="n">
        <x:v>1</x:v>
      </x:c>
      <x:c r="I200" s="56" t="n">
        <x:v>0</x:v>
      </x:c>
      <x:c r="J200" s="47" t="str">
        <x:f>IF(I200=H200,"PASS","OPEN")</x:f>
        <x:v>OPEN</x:v>
      </x:c>
      <x:c r="K200" s="84"/>
      <x:c r="L200" s="84"/>
      <x:c r="M200" s="84"/>
      <x:c r="N200" s="84"/>
    </x:row>
    <x:row r="201">
      <x:c r="A201" s="47" t="str">
        <x:v>NR195</x:v>
      </x:c>
      <x:c r="B201" s="47" t="str">
        <x:v>P25</x:v>
      </x:c>
      <x:c r="C201" s="47" t="str">
        <x:v>HU-A</x:v>
      </x:c>
      <x:c r="D201" s="47" t="str">
        <x:v>HU-A-B</x:v>
      </x:c>
      <x:c r="E201" s="47" t="str">
        <x:v>REBUILD</x:v>
      </x:c>
      <x:c r="F201" s="47" t="str">
        <x:v>N03</x:v>
      </x:c>
      <x:c r="G201" s="47" t="str">
        <x:v>Resolve dependencies and license rights</x:v>
      </x:c>
      <x:c r="H201" s="47" t="n">
        <x:v>1</x:v>
      </x:c>
      <x:c r="I201" s="56" t="n">
        <x:v>0</x:v>
      </x:c>
      <x:c r="J201" s="47" t="str">
        <x:f>IF(I201=H201,"PASS","OPEN")</x:f>
        <x:v>OPEN</x:v>
      </x:c>
      <x:c r="K201" s="84"/>
      <x:c r="L201" s="84"/>
      <x:c r="M201" s="84"/>
      <x:c r="N201" s="84"/>
    </x:row>
    <x:row r="202">
      <x:c r="A202" s="47" t="str">
        <x:v>NR196</x:v>
      </x:c>
      <x:c r="B202" s="47" t="str">
        <x:v>P25</x:v>
      </x:c>
      <x:c r="C202" s="47" t="str">
        <x:v>HU-A</x:v>
      </x:c>
      <x:c r="D202" s="47" t="str">
        <x:v>HU-A-B</x:v>
      </x:c>
      <x:c r="E202" s="47" t="str">
        <x:v>REBUILD</x:v>
      </x:c>
      <x:c r="F202" s="47" t="str">
        <x:v>N04</x:v>
      </x:c>
      <x:c r="G202" s="47" t="str">
        <x:v>Load source and calibration lineage</x:v>
      </x:c>
      <x:c r="H202" s="47" t="n">
        <x:v>1</x:v>
      </x:c>
      <x:c r="I202" s="56" t="n">
        <x:v>0</x:v>
      </x:c>
      <x:c r="J202" s="47" t="str">
        <x:f>IF(I202=H202,"PASS","OPEN")</x:f>
        <x:v>OPEN</x:v>
      </x:c>
      <x:c r="K202" s="84"/>
      <x:c r="L202" s="84"/>
      <x:c r="M202" s="84"/>
      <x:c r="N202" s="84"/>
    </x:row>
    <x:row r="203">
      <x:c r="A203" s="47" t="str">
        <x:v>NR197</x:v>
      </x:c>
      <x:c r="B203" s="47" t="str">
        <x:v>P25</x:v>
      </x:c>
      <x:c r="C203" s="47" t="str">
        <x:v>HU-A</x:v>
      </x:c>
      <x:c r="D203" s="47" t="str">
        <x:v>HU-A-B</x:v>
      </x:c>
      <x:c r="E203" s="47" t="str">
        <x:v>REBUILD</x:v>
      </x:c>
      <x:c r="F203" s="47" t="str">
        <x:v>N05</x:v>
      </x:c>
      <x:c r="G203" s="47" t="str">
        <x:v>Execute the frozen case</x:v>
      </x:c>
      <x:c r="H203" s="47" t="n">
        <x:v>1</x:v>
      </x:c>
      <x:c r="I203" s="56" t="n">
        <x:v>0</x:v>
      </x:c>
      <x:c r="J203" s="47" t="str">
        <x:f>IF(I203=H203,"PASS","OPEN")</x:f>
        <x:v>OPEN</x:v>
      </x:c>
      <x:c r="K203" s="84"/>
      <x:c r="L203" s="84"/>
      <x:c r="M203" s="84"/>
      <x:c r="N203" s="84"/>
    </x:row>
    <x:row r="204">
      <x:c r="A204" s="47" t="str">
        <x:v>NR198</x:v>
      </x:c>
      <x:c r="B204" s="47" t="str">
        <x:v>P25</x:v>
      </x:c>
      <x:c r="C204" s="47" t="str">
        <x:v>HU-A</x:v>
      </x:c>
      <x:c r="D204" s="47" t="str">
        <x:v>HU-A-B</x:v>
      </x:c>
      <x:c r="E204" s="47" t="str">
        <x:v>REBUILD</x:v>
      </x:c>
      <x:c r="F204" s="47" t="str">
        <x:v>N06</x:v>
      </x:c>
      <x:c r="G204" s="47" t="str">
        <x:v>Reproduce named intermediate states</x:v>
      </x:c>
      <x:c r="H204" s="47" t="n">
        <x:v>1</x:v>
      </x:c>
      <x:c r="I204" s="56" t="n">
        <x:v>0</x:v>
      </x:c>
      <x:c r="J204" s="47" t="str">
        <x:f>IF(I204=H204,"PASS","OPEN")</x:f>
        <x:v>OPEN</x:v>
      </x:c>
      <x:c r="K204" s="84"/>
      <x:c r="L204" s="84"/>
      <x:c r="M204" s="84"/>
      <x:c r="N204" s="84"/>
    </x:row>
    <x:row r="205">
      <x:c r="A205" s="47" t="str">
        <x:v>NR199</x:v>
      </x:c>
      <x:c r="B205" s="47" t="str">
        <x:v>P25</x:v>
      </x:c>
      <x:c r="C205" s="47" t="str">
        <x:v>HU-A</x:v>
      </x:c>
      <x:c r="D205" s="47" t="str">
        <x:v>HU-A-B</x:v>
      </x:c>
      <x:c r="E205" s="47" t="str">
        <x:v>REBUILD</x:v>
      </x:c>
      <x:c r="F205" s="47" t="str">
        <x:v>N07</x:v>
      </x:c>
      <x:c r="G205" s="47" t="str">
        <x:v>Reproduce terminal design result</x:v>
      </x:c>
      <x:c r="H205" s="47" t="n">
        <x:v>1</x:v>
      </x:c>
      <x:c r="I205" s="56" t="n">
        <x:v>0</x:v>
      </x:c>
      <x:c r="J205" s="47" t="str">
        <x:f>IF(I205=H205,"PASS","OPEN")</x:f>
        <x:v>OPEN</x:v>
      </x:c>
      <x:c r="K205" s="84"/>
      <x:c r="L205" s="84"/>
      <x:c r="M205" s="84"/>
      <x:c r="N205" s="84"/>
    </x:row>
    <x:row r="206">
      <x:c r="A206" s="47" t="str">
        <x:v>NR200</x:v>
      </x:c>
      <x:c r="B206" s="47" t="str">
        <x:v>P25</x:v>
      </x:c>
      <x:c r="C206" s="47" t="str">
        <x:v>HU-A</x:v>
      </x:c>
      <x:c r="D206" s="47" t="str">
        <x:v>HU-A-B</x:v>
      </x:c>
      <x:c r="E206" s="47" t="str">
        <x:v>REBUILD</x:v>
      </x:c>
      <x:c r="F206" s="47" t="str">
        <x:v>N08</x:v>
      </x:c>
      <x:c r="G206" s="47" t="str">
        <x:v>Seal replay transcript and checksums</x:v>
      </x:c>
      <x:c r="H206" s="47" t="n">
        <x:v>1</x:v>
      </x:c>
      <x:c r="I206" s="56" t="n">
        <x:v>0</x:v>
      </x:c>
      <x:c r="J206" s="47" t="str">
        <x:f>IF(I206=H206,"PASS","OPEN")</x:f>
        <x:v>OPEN</x:v>
      </x:c>
      <x:c r="K206" s="84"/>
      <x:c r="L206" s="84"/>
      <x:c r="M206" s="84"/>
      <x:c r="N206" s="84"/>
    </x:row>
    <x:row r="207">
      <x:c r="A207" s="47" t="str">
        <x:v>NR201</x:v>
      </x:c>
      <x:c r="B207" s="47" t="str">
        <x:v>P26</x:v>
      </x:c>
      <x:c r="C207" s="47" t="str">
        <x:v>RT-B</x:v>
      </x:c>
      <x:c r="D207" s="47" t="str">
        <x:v>RT-B-C</x:v>
      </x:c>
      <x:c r="E207" s="47" t="str">
        <x:v>METHOD</x:v>
      </x:c>
      <x:c r="F207" s="47" t="str">
        <x:v>N01</x:v>
      </x:c>
      <x:c r="G207" s="47" t="str">
        <x:v>Resolve warrant and hash</x:v>
      </x:c>
      <x:c r="H207" s="47" t="n">
        <x:v>1</x:v>
      </x:c>
      <x:c r="I207" s="56" t="n">
        <x:v>0</x:v>
      </x:c>
      <x:c r="J207" s="47" t="str">
        <x:f>IF(I207=H207,"PASS","OPEN")</x:f>
        <x:v>OPEN</x:v>
      </x:c>
      <x:c r="K207" s="84"/>
      <x:c r="L207" s="84"/>
      <x:c r="M207" s="84"/>
      <x:c r="N207" s="84"/>
    </x:row>
    <x:row r="208">
      <x:c r="A208" s="47" t="str">
        <x:v>NR202</x:v>
      </x:c>
      <x:c r="B208" s="47" t="str">
        <x:v>P26</x:v>
      </x:c>
      <x:c r="C208" s="47" t="str">
        <x:v>RT-B</x:v>
      </x:c>
      <x:c r="D208" s="47" t="str">
        <x:v>RT-B-C</x:v>
      </x:c>
      <x:c r="E208" s="47" t="str">
        <x:v>METHOD</x:v>
      </x:c>
      <x:c r="F208" s="47" t="str">
        <x:v>N02</x:v>
      </x:c>
      <x:c r="G208" s="47" t="str">
        <x:v>Instantiate sealed native environment</x:v>
      </x:c>
      <x:c r="H208" s="47" t="n">
        <x:v>1</x:v>
      </x:c>
      <x:c r="I208" s="56" t="n">
        <x:v>0</x:v>
      </x:c>
      <x:c r="J208" s="47" t="str">
        <x:f>IF(I208=H208,"PASS","OPEN")</x:f>
        <x:v>OPEN</x:v>
      </x:c>
      <x:c r="K208" s="84"/>
      <x:c r="L208" s="84"/>
      <x:c r="M208" s="84"/>
      <x:c r="N208" s="84"/>
    </x:row>
    <x:row r="209">
      <x:c r="A209" s="47" t="str">
        <x:v>NR203</x:v>
      </x:c>
      <x:c r="B209" s="47" t="str">
        <x:v>P26</x:v>
      </x:c>
      <x:c r="C209" s="47" t="str">
        <x:v>RT-B</x:v>
      </x:c>
      <x:c r="D209" s="47" t="str">
        <x:v>RT-B-C</x:v>
      </x:c>
      <x:c r="E209" s="47" t="str">
        <x:v>METHOD</x:v>
      </x:c>
      <x:c r="F209" s="47" t="str">
        <x:v>N03</x:v>
      </x:c>
      <x:c r="G209" s="47" t="str">
        <x:v>Resolve dependencies and license rights</x:v>
      </x:c>
      <x:c r="H209" s="47" t="n">
        <x:v>1</x:v>
      </x:c>
      <x:c r="I209" s="56" t="n">
        <x:v>0</x:v>
      </x:c>
      <x:c r="J209" s="47" t="str">
        <x:f>IF(I209=H209,"PASS","OPEN")</x:f>
        <x:v>OPEN</x:v>
      </x:c>
      <x:c r="K209" s="84"/>
      <x:c r="L209" s="84"/>
      <x:c r="M209" s="84"/>
      <x:c r="N209" s="84"/>
    </x:row>
    <x:row r="210">
      <x:c r="A210" s="47" t="str">
        <x:v>NR204</x:v>
      </x:c>
      <x:c r="B210" s="47" t="str">
        <x:v>P26</x:v>
      </x:c>
      <x:c r="C210" s="47" t="str">
        <x:v>RT-B</x:v>
      </x:c>
      <x:c r="D210" s="47" t="str">
        <x:v>RT-B-C</x:v>
      </x:c>
      <x:c r="E210" s="47" t="str">
        <x:v>METHOD</x:v>
      </x:c>
      <x:c r="F210" s="47" t="str">
        <x:v>N04</x:v>
      </x:c>
      <x:c r="G210" s="47" t="str">
        <x:v>Load source and calibration lineage</x:v>
      </x:c>
      <x:c r="H210" s="47" t="n">
        <x:v>1</x:v>
      </x:c>
      <x:c r="I210" s="56" t="n">
        <x:v>0</x:v>
      </x:c>
      <x:c r="J210" s="47" t="str">
        <x:f>IF(I210=H210,"PASS","OPEN")</x:f>
        <x:v>OPEN</x:v>
      </x:c>
      <x:c r="K210" s="84"/>
      <x:c r="L210" s="84"/>
      <x:c r="M210" s="84"/>
      <x:c r="N210" s="84"/>
    </x:row>
    <x:row r="211">
      <x:c r="A211" s="47" t="str">
        <x:v>NR205</x:v>
      </x:c>
      <x:c r="B211" s="47" t="str">
        <x:v>P26</x:v>
      </x:c>
      <x:c r="C211" s="47" t="str">
        <x:v>RT-B</x:v>
      </x:c>
      <x:c r="D211" s="47" t="str">
        <x:v>RT-B-C</x:v>
      </x:c>
      <x:c r="E211" s="47" t="str">
        <x:v>METHOD</x:v>
      </x:c>
      <x:c r="F211" s="47" t="str">
        <x:v>N05</x:v>
      </x:c>
      <x:c r="G211" s="47" t="str">
        <x:v>Execute the frozen case</x:v>
      </x:c>
      <x:c r="H211" s="47" t="n">
        <x:v>1</x:v>
      </x:c>
      <x:c r="I211" s="56" t="n">
        <x:v>0</x:v>
      </x:c>
      <x:c r="J211" s="47" t="str">
        <x:f>IF(I211=H211,"PASS","OPEN")</x:f>
        <x:v>OPEN</x:v>
      </x:c>
      <x:c r="K211" s="84"/>
      <x:c r="L211" s="84"/>
      <x:c r="M211" s="84"/>
      <x:c r="N211" s="84"/>
    </x:row>
    <x:row r="212">
      <x:c r="A212" s="47" t="str">
        <x:v>NR206</x:v>
      </x:c>
      <x:c r="B212" s="47" t="str">
        <x:v>P26</x:v>
      </x:c>
      <x:c r="C212" s="47" t="str">
        <x:v>RT-B</x:v>
      </x:c>
      <x:c r="D212" s="47" t="str">
        <x:v>RT-B-C</x:v>
      </x:c>
      <x:c r="E212" s="47" t="str">
        <x:v>METHOD</x:v>
      </x:c>
      <x:c r="F212" s="47" t="str">
        <x:v>N06</x:v>
      </x:c>
      <x:c r="G212" s="47" t="str">
        <x:v>Reproduce named intermediate states</x:v>
      </x:c>
      <x:c r="H212" s="47" t="n">
        <x:v>1</x:v>
      </x:c>
      <x:c r="I212" s="56" t="n">
        <x:v>0</x:v>
      </x:c>
      <x:c r="J212" s="47" t="str">
        <x:f>IF(I212=H212,"PASS","OPEN")</x:f>
        <x:v>OPEN</x:v>
      </x:c>
      <x:c r="K212" s="84"/>
      <x:c r="L212" s="84"/>
      <x:c r="M212" s="84"/>
      <x:c r="N212" s="84"/>
    </x:row>
    <x:row r="213">
      <x:c r="A213" s="47" t="str">
        <x:v>NR207</x:v>
      </x:c>
      <x:c r="B213" s="47" t="str">
        <x:v>P26</x:v>
      </x:c>
      <x:c r="C213" s="47" t="str">
        <x:v>RT-B</x:v>
      </x:c>
      <x:c r="D213" s="47" t="str">
        <x:v>RT-B-C</x:v>
      </x:c>
      <x:c r="E213" s="47" t="str">
        <x:v>METHOD</x:v>
      </x:c>
      <x:c r="F213" s="47" t="str">
        <x:v>N07</x:v>
      </x:c>
      <x:c r="G213" s="47" t="str">
        <x:v>Reproduce terminal design result</x:v>
      </x:c>
      <x:c r="H213" s="47" t="n">
        <x:v>1</x:v>
      </x:c>
      <x:c r="I213" s="56" t="n">
        <x:v>0</x:v>
      </x:c>
      <x:c r="J213" s="47" t="str">
        <x:f>IF(I213=H213,"PASS","OPEN")</x:f>
        <x:v>OPEN</x:v>
      </x:c>
      <x:c r="K213" s="84"/>
      <x:c r="L213" s="84"/>
      <x:c r="M213" s="84"/>
      <x:c r="N213" s="84"/>
    </x:row>
    <x:row r="214">
      <x:c r="A214" s="47" t="str">
        <x:v>NR208</x:v>
      </x:c>
      <x:c r="B214" s="47" t="str">
        <x:v>P26</x:v>
      </x:c>
      <x:c r="C214" s="47" t="str">
        <x:v>RT-B</x:v>
      </x:c>
      <x:c r="D214" s="47" t="str">
        <x:v>RT-B-C</x:v>
      </x:c>
      <x:c r="E214" s="47" t="str">
        <x:v>METHOD</x:v>
      </x:c>
      <x:c r="F214" s="47" t="str">
        <x:v>N08</x:v>
      </x:c>
      <x:c r="G214" s="47" t="str">
        <x:v>Seal replay transcript and checksums</x:v>
      </x:c>
      <x:c r="H214" s="47" t="n">
        <x:v>1</x:v>
      </x:c>
      <x:c r="I214" s="56" t="n">
        <x:v>0</x:v>
      </x:c>
      <x:c r="J214" s="47" t="str">
        <x:f>IF(I214=H214,"PASS","OPEN")</x:f>
        <x:v>OPEN</x:v>
      </x:c>
      <x:c r="K214" s="84"/>
      <x:c r="L214" s="84"/>
      <x:c r="M214" s="84"/>
      <x:c r="N214" s="84"/>
    </x:row>
    <x:row r="215">
      <x:c r="A215" s="47" t="str">
        <x:v>NR209</x:v>
      </x:c>
      <x:c r="B215" s="47" t="str">
        <x:v>P27</x:v>
      </x:c>
      <x:c r="C215" s="47" t="str">
        <x:v>RT-B</x:v>
      </x:c>
      <x:c r="D215" s="47" t="str">
        <x:v>RT-B-C</x:v>
      </x:c>
      <x:c r="E215" s="47" t="str">
        <x:v>VALID</x:v>
      </x:c>
      <x:c r="F215" s="47" t="str">
        <x:v>N01</x:v>
      </x:c>
      <x:c r="G215" s="47" t="str">
        <x:v>Resolve warrant and hash</x:v>
      </x:c>
      <x:c r="H215" s="47" t="n">
        <x:v>1</x:v>
      </x:c>
      <x:c r="I215" s="56" t="n">
        <x:v>0</x:v>
      </x:c>
      <x:c r="J215" s="47" t="str">
        <x:f>IF(I215=H215,"PASS","OPEN")</x:f>
        <x:v>OPEN</x:v>
      </x:c>
      <x:c r="K215" s="84"/>
      <x:c r="L215" s="84"/>
      <x:c r="M215" s="84"/>
      <x:c r="N215" s="84"/>
    </x:row>
    <x:row r="216">
      <x:c r="A216" s="47" t="str">
        <x:v>NR210</x:v>
      </x:c>
      <x:c r="B216" s="47" t="str">
        <x:v>P27</x:v>
      </x:c>
      <x:c r="C216" s="47" t="str">
        <x:v>RT-B</x:v>
      </x:c>
      <x:c r="D216" s="47" t="str">
        <x:v>RT-B-C</x:v>
      </x:c>
      <x:c r="E216" s="47" t="str">
        <x:v>VALID</x:v>
      </x:c>
      <x:c r="F216" s="47" t="str">
        <x:v>N02</x:v>
      </x:c>
      <x:c r="G216" s="47" t="str">
        <x:v>Instantiate sealed native environment</x:v>
      </x:c>
      <x:c r="H216" s="47" t="n">
        <x:v>1</x:v>
      </x:c>
      <x:c r="I216" s="56" t="n">
        <x:v>0</x:v>
      </x:c>
      <x:c r="J216" s="47" t="str">
        <x:f>IF(I216=H216,"PASS","OPEN")</x:f>
        <x:v>OPEN</x:v>
      </x:c>
      <x:c r="K216" s="84"/>
      <x:c r="L216" s="84"/>
      <x:c r="M216" s="84"/>
      <x:c r="N216" s="84"/>
    </x:row>
    <x:row r="217">
      <x:c r="A217" s="47" t="str">
        <x:v>NR211</x:v>
      </x:c>
      <x:c r="B217" s="47" t="str">
        <x:v>P27</x:v>
      </x:c>
      <x:c r="C217" s="47" t="str">
        <x:v>RT-B</x:v>
      </x:c>
      <x:c r="D217" s="47" t="str">
        <x:v>RT-B-C</x:v>
      </x:c>
      <x:c r="E217" s="47" t="str">
        <x:v>VALID</x:v>
      </x:c>
      <x:c r="F217" s="47" t="str">
        <x:v>N03</x:v>
      </x:c>
      <x:c r="G217" s="47" t="str">
        <x:v>Resolve dependencies and license rights</x:v>
      </x:c>
      <x:c r="H217" s="47" t="n">
        <x:v>1</x:v>
      </x:c>
      <x:c r="I217" s="56" t="n">
        <x:v>0</x:v>
      </x:c>
      <x:c r="J217" s="47" t="str">
        <x:f>IF(I217=H217,"PASS","OPEN")</x:f>
        <x:v>OPEN</x:v>
      </x:c>
      <x:c r="K217" s="84"/>
      <x:c r="L217" s="84"/>
      <x:c r="M217" s="84"/>
      <x:c r="N217" s="84"/>
    </x:row>
    <x:row r="218">
      <x:c r="A218" s="47" t="str">
        <x:v>NR212</x:v>
      </x:c>
      <x:c r="B218" s="47" t="str">
        <x:v>P27</x:v>
      </x:c>
      <x:c r="C218" s="47" t="str">
        <x:v>RT-B</x:v>
      </x:c>
      <x:c r="D218" s="47" t="str">
        <x:v>RT-B-C</x:v>
      </x:c>
      <x:c r="E218" s="47" t="str">
        <x:v>VALID</x:v>
      </x:c>
      <x:c r="F218" s="47" t="str">
        <x:v>N04</x:v>
      </x:c>
      <x:c r="G218" s="47" t="str">
        <x:v>Load source and calibration lineage</x:v>
      </x:c>
      <x:c r="H218" s="47" t="n">
        <x:v>1</x:v>
      </x:c>
      <x:c r="I218" s="56" t="n">
        <x:v>0</x:v>
      </x:c>
      <x:c r="J218" s="47" t="str">
        <x:f>IF(I218=H218,"PASS","OPEN")</x:f>
        <x:v>OPEN</x:v>
      </x:c>
      <x:c r="K218" s="84"/>
      <x:c r="L218" s="84"/>
      <x:c r="M218" s="84"/>
      <x:c r="N218" s="84"/>
    </x:row>
    <x:row r="219">
      <x:c r="A219" s="47" t="str">
        <x:v>NR213</x:v>
      </x:c>
      <x:c r="B219" s="47" t="str">
        <x:v>P27</x:v>
      </x:c>
      <x:c r="C219" s="47" t="str">
        <x:v>RT-B</x:v>
      </x:c>
      <x:c r="D219" s="47" t="str">
        <x:v>RT-B-C</x:v>
      </x:c>
      <x:c r="E219" s="47" t="str">
        <x:v>VALID</x:v>
      </x:c>
      <x:c r="F219" s="47" t="str">
        <x:v>N05</x:v>
      </x:c>
      <x:c r="G219" s="47" t="str">
        <x:v>Execute the frozen case</x:v>
      </x:c>
      <x:c r="H219" s="47" t="n">
        <x:v>1</x:v>
      </x:c>
      <x:c r="I219" s="56" t="n">
        <x:v>0</x:v>
      </x:c>
      <x:c r="J219" s="47" t="str">
        <x:f>IF(I219=H219,"PASS","OPEN")</x:f>
        <x:v>OPEN</x:v>
      </x:c>
      <x:c r="K219" s="84"/>
      <x:c r="L219" s="84"/>
      <x:c r="M219" s="84"/>
      <x:c r="N219" s="84"/>
    </x:row>
    <x:row r="220">
      <x:c r="A220" s="47" t="str">
        <x:v>NR214</x:v>
      </x:c>
      <x:c r="B220" s="47" t="str">
        <x:v>P27</x:v>
      </x:c>
      <x:c r="C220" s="47" t="str">
        <x:v>RT-B</x:v>
      </x:c>
      <x:c r="D220" s="47" t="str">
        <x:v>RT-B-C</x:v>
      </x:c>
      <x:c r="E220" s="47" t="str">
        <x:v>VALID</x:v>
      </x:c>
      <x:c r="F220" s="47" t="str">
        <x:v>N06</x:v>
      </x:c>
      <x:c r="G220" s="47" t="str">
        <x:v>Reproduce named intermediate states</x:v>
      </x:c>
      <x:c r="H220" s="47" t="n">
        <x:v>1</x:v>
      </x:c>
      <x:c r="I220" s="56" t="n">
        <x:v>0</x:v>
      </x:c>
      <x:c r="J220" s="47" t="str">
        <x:f>IF(I220=H220,"PASS","OPEN")</x:f>
        <x:v>OPEN</x:v>
      </x:c>
      <x:c r="K220" s="84"/>
      <x:c r="L220" s="84"/>
      <x:c r="M220" s="84"/>
      <x:c r="N220" s="84"/>
    </x:row>
    <x:row r="221">
      <x:c r="A221" s="47" t="str">
        <x:v>NR215</x:v>
      </x:c>
      <x:c r="B221" s="47" t="str">
        <x:v>P27</x:v>
      </x:c>
      <x:c r="C221" s="47" t="str">
        <x:v>RT-B</x:v>
      </x:c>
      <x:c r="D221" s="47" t="str">
        <x:v>RT-B-C</x:v>
      </x:c>
      <x:c r="E221" s="47" t="str">
        <x:v>VALID</x:v>
      </x:c>
      <x:c r="F221" s="47" t="str">
        <x:v>N07</x:v>
      </x:c>
      <x:c r="G221" s="47" t="str">
        <x:v>Reproduce terminal design result</x:v>
      </x:c>
      <x:c r="H221" s="47" t="n">
        <x:v>1</x:v>
      </x:c>
      <x:c r="I221" s="56" t="n">
        <x:v>0</x:v>
      </x:c>
      <x:c r="J221" s="47" t="str">
        <x:f>IF(I221=H221,"PASS","OPEN")</x:f>
        <x:v>OPEN</x:v>
      </x:c>
      <x:c r="K221" s="84"/>
      <x:c r="L221" s="84"/>
      <x:c r="M221" s="84"/>
      <x:c r="N221" s="84"/>
    </x:row>
    <x:row r="222">
      <x:c r="A222" s="47" t="str">
        <x:v>NR216</x:v>
      </x:c>
      <x:c r="B222" s="47" t="str">
        <x:v>P27</x:v>
      </x:c>
      <x:c r="C222" s="47" t="str">
        <x:v>RT-B</x:v>
      </x:c>
      <x:c r="D222" s="47" t="str">
        <x:v>RT-B-C</x:v>
      </x:c>
      <x:c r="E222" s="47" t="str">
        <x:v>VALID</x:v>
      </x:c>
      <x:c r="F222" s="47" t="str">
        <x:v>N08</x:v>
      </x:c>
      <x:c r="G222" s="47" t="str">
        <x:v>Seal replay transcript and checksums</x:v>
      </x:c>
      <x:c r="H222" s="47" t="n">
        <x:v>1</x:v>
      </x:c>
      <x:c r="I222" s="56" t="n">
        <x:v>0</x:v>
      </x:c>
      <x:c r="J222" s="47" t="str">
        <x:f>IF(I222=H222,"PASS","OPEN")</x:f>
        <x:v>OPEN</x:v>
      </x:c>
      <x:c r="K222" s="84"/>
      <x:c r="L222" s="84"/>
      <x:c r="M222" s="84"/>
      <x:c r="N222" s="84"/>
    </x:row>
    <x:row r="223">
      <x:c r="A223" s="47" t="str">
        <x:v>NR217</x:v>
      </x:c>
      <x:c r="B223" s="47" t="str">
        <x:v>P28</x:v>
      </x:c>
      <x:c r="C223" s="47" t="str">
        <x:v>RT-B</x:v>
      </x:c>
      <x:c r="D223" s="47" t="str">
        <x:v>RT-B-C</x:v>
      </x:c>
      <x:c r="E223" s="47" t="str">
        <x:v>CIVIL</x:v>
      </x:c>
      <x:c r="F223" s="47" t="str">
        <x:v>N01</x:v>
      </x:c>
      <x:c r="G223" s="47" t="str">
        <x:v>Resolve warrant and hash</x:v>
      </x:c>
      <x:c r="H223" s="47" t="n">
        <x:v>1</x:v>
      </x:c>
      <x:c r="I223" s="56" t="n">
        <x:v>0</x:v>
      </x:c>
      <x:c r="J223" s="47" t="str">
        <x:f>IF(I223=H223,"PASS","OPEN")</x:f>
        <x:v>OPEN</x:v>
      </x:c>
      <x:c r="K223" s="84"/>
      <x:c r="L223" s="84"/>
      <x:c r="M223" s="84"/>
      <x:c r="N223" s="84"/>
    </x:row>
    <x:row r="224">
      <x:c r="A224" s="47" t="str">
        <x:v>NR218</x:v>
      </x:c>
      <x:c r="B224" s="47" t="str">
        <x:v>P28</x:v>
      </x:c>
      <x:c r="C224" s="47" t="str">
        <x:v>RT-B</x:v>
      </x:c>
      <x:c r="D224" s="47" t="str">
        <x:v>RT-B-C</x:v>
      </x:c>
      <x:c r="E224" s="47" t="str">
        <x:v>CIVIL</x:v>
      </x:c>
      <x:c r="F224" s="47" t="str">
        <x:v>N02</x:v>
      </x:c>
      <x:c r="G224" s="47" t="str">
        <x:v>Instantiate sealed native environment</x:v>
      </x:c>
      <x:c r="H224" s="47" t="n">
        <x:v>1</x:v>
      </x:c>
      <x:c r="I224" s="56" t="n">
        <x:v>0</x:v>
      </x:c>
      <x:c r="J224" s="47" t="str">
        <x:f>IF(I224=H224,"PASS","OPEN")</x:f>
        <x:v>OPEN</x:v>
      </x:c>
      <x:c r="K224" s="84"/>
      <x:c r="L224" s="84"/>
      <x:c r="M224" s="84"/>
      <x:c r="N224" s="84"/>
    </x:row>
    <x:row r="225">
      <x:c r="A225" s="47" t="str">
        <x:v>NR219</x:v>
      </x:c>
      <x:c r="B225" s="47" t="str">
        <x:v>P28</x:v>
      </x:c>
      <x:c r="C225" s="47" t="str">
        <x:v>RT-B</x:v>
      </x:c>
      <x:c r="D225" s="47" t="str">
        <x:v>RT-B-C</x:v>
      </x:c>
      <x:c r="E225" s="47" t="str">
        <x:v>CIVIL</x:v>
      </x:c>
      <x:c r="F225" s="47" t="str">
        <x:v>N03</x:v>
      </x:c>
      <x:c r="G225" s="47" t="str">
        <x:v>Resolve dependencies and license rights</x:v>
      </x:c>
      <x:c r="H225" s="47" t="n">
        <x:v>1</x:v>
      </x:c>
      <x:c r="I225" s="56" t="n">
        <x:v>0</x:v>
      </x:c>
      <x:c r="J225" s="47" t="str">
        <x:f>IF(I225=H225,"PASS","OPEN")</x:f>
        <x:v>OPEN</x:v>
      </x:c>
      <x:c r="K225" s="84"/>
      <x:c r="L225" s="84"/>
      <x:c r="M225" s="84"/>
      <x:c r="N225" s="84"/>
    </x:row>
    <x:row r="226">
      <x:c r="A226" s="47" t="str">
        <x:v>NR220</x:v>
      </x:c>
      <x:c r="B226" s="47" t="str">
        <x:v>P28</x:v>
      </x:c>
      <x:c r="C226" s="47" t="str">
        <x:v>RT-B</x:v>
      </x:c>
      <x:c r="D226" s="47" t="str">
        <x:v>RT-B-C</x:v>
      </x:c>
      <x:c r="E226" s="47" t="str">
        <x:v>CIVIL</x:v>
      </x:c>
      <x:c r="F226" s="47" t="str">
        <x:v>N04</x:v>
      </x:c>
      <x:c r="G226" s="47" t="str">
        <x:v>Load source and calibration lineage</x:v>
      </x:c>
      <x:c r="H226" s="47" t="n">
        <x:v>1</x:v>
      </x:c>
      <x:c r="I226" s="56" t="n">
        <x:v>0</x:v>
      </x:c>
      <x:c r="J226" s="47" t="str">
        <x:f>IF(I226=H226,"PASS","OPEN")</x:f>
        <x:v>OPEN</x:v>
      </x:c>
      <x:c r="K226" s="84"/>
      <x:c r="L226" s="84"/>
      <x:c r="M226" s="84"/>
      <x:c r="N226" s="84"/>
    </x:row>
    <x:row r="227">
      <x:c r="A227" s="47" t="str">
        <x:v>NR221</x:v>
      </x:c>
      <x:c r="B227" s="47" t="str">
        <x:v>P28</x:v>
      </x:c>
      <x:c r="C227" s="47" t="str">
        <x:v>RT-B</x:v>
      </x:c>
      <x:c r="D227" s="47" t="str">
        <x:v>RT-B-C</x:v>
      </x:c>
      <x:c r="E227" s="47" t="str">
        <x:v>CIVIL</x:v>
      </x:c>
      <x:c r="F227" s="47" t="str">
        <x:v>N05</x:v>
      </x:c>
      <x:c r="G227" s="47" t="str">
        <x:v>Execute the frozen case</x:v>
      </x:c>
      <x:c r="H227" s="47" t="n">
        <x:v>1</x:v>
      </x:c>
      <x:c r="I227" s="56" t="n">
        <x:v>0</x:v>
      </x:c>
      <x:c r="J227" s="47" t="str">
        <x:f>IF(I227=H227,"PASS","OPEN")</x:f>
        <x:v>OPEN</x:v>
      </x:c>
      <x:c r="K227" s="84"/>
      <x:c r="L227" s="84"/>
      <x:c r="M227" s="84"/>
      <x:c r="N227" s="84"/>
    </x:row>
    <x:row r="228">
      <x:c r="A228" s="47" t="str">
        <x:v>NR222</x:v>
      </x:c>
      <x:c r="B228" s="47" t="str">
        <x:v>P28</x:v>
      </x:c>
      <x:c r="C228" s="47" t="str">
        <x:v>RT-B</x:v>
      </x:c>
      <x:c r="D228" s="47" t="str">
        <x:v>RT-B-C</x:v>
      </x:c>
      <x:c r="E228" s="47" t="str">
        <x:v>CIVIL</x:v>
      </x:c>
      <x:c r="F228" s="47" t="str">
        <x:v>N06</x:v>
      </x:c>
      <x:c r="G228" s="47" t="str">
        <x:v>Reproduce named intermediate states</x:v>
      </x:c>
      <x:c r="H228" s="47" t="n">
        <x:v>1</x:v>
      </x:c>
      <x:c r="I228" s="56" t="n">
        <x:v>0</x:v>
      </x:c>
      <x:c r="J228" s="47" t="str">
        <x:f>IF(I228=H228,"PASS","OPEN")</x:f>
        <x:v>OPEN</x:v>
      </x:c>
      <x:c r="K228" s="84"/>
      <x:c r="L228" s="84"/>
      <x:c r="M228" s="84"/>
      <x:c r="N228" s="84"/>
    </x:row>
    <x:row r="229">
      <x:c r="A229" s="47" t="str">
        <x:v>NR223</x:v>
      </x:c>
      <x:c r="B229" s="47" t="str">
        <x:v>P28</x:v>
      </x:c>
      <x:c r="C229" s="47" t="str">
        <x:v>RT-B</x:v>
      </x:c>
      <x:c r="D229" s="47" t="str">
        <x:v>RT-B-C</x:v>
      </x:c>
      <x:c r="E229" s="47" t="str">
        <x:v>CIVIL</x:v>
      </x:c>
      <x:c r="F229" s="47" t="str">
        <x:v>N07</x:v>
      </x:c>
      <x:c r="G229" s="47" t="str">
        <x:v>Reproduce terminal design result</x:v>
      </x:c>
      <x:c r="H229" s="47" t="n">
        <x:v>1</x:v>
      </x:c>
      <x:c r="I229" s="56" t="n">
        <x:v>0</x:v>
      </x:c>
      <x:c r="J229" s="47" t="str">
        <x:f>IF(I229=H229,"PASS","OPEN")</x:f>
        <x:v>OPEN</x:v>
      </x:c>
      <x:c r="K229" s="84"/>
      <x:c r="L229" s="84"/>
      <x:c r="M229" s="84"/>
      <x:c r="N229" s="84"/>
    </x:row>
    <x:row r="230">
      <x:c r="A230" s="47" t="str">
        <x:v>NR224</x:v>
      </x:c>
      <x:c r="B230" s="47" t="str">
        <x:v>P28</x:v>
      </x:c>
      <x:c r="C230" s="47" t="str">
        <x:v>RT-B</x:v>
      </x:c>
      <x:c r="D230" s="47" t="str">
        <x:v>RT-B-C</x:v>
      </x:c>
      <x:c r="E230" s="47" t="str">
        <x:v>CIVIL</x:v>
      </x:c>
      <x:c r="F230" s="47" t="str">
        <x:v>N08</x:v>
      </x:c>
      <x:c r="G230" s="47" t="str">
        <x:v>Seal replay transcript and checksums</x:v>
      </x:c>
      <x:c r="H230" s="47" t="n">
        <x:v>1</x:v>
      </x:c>
      <x:c r="I230" s="56" t="n">
        <x:v>0</x:v>
      </x:c>
      <x:c r="J230" s="47" t="str">
        <x:f>IF(I230=H230,"PASS","OPEN")</x:f>
        <x:v>OPEN</x:v>
      </x:c>
      <x:c r="K230" s="84"/>
      <x:c r="L230" s="84"/>
      <x:c r="M230" s="84"/>
      <x:c r="N230" s="84"/>
    </x:row>
    <x:row r="231">
      <x:c r="A231" s="47" t="str">
        <x:v>NR225</x:v>
      </x:c>
      <x:c r="B231" s="47" t="str">
        <x:v>P29</x:v>
      </x:c>
      <x:c r="C231" s="47" t="str">
        <x:v>RT-B</x:v>
      </x:c>
      <x:c r="D231" s="47" t="str">
        <x:v>RT-B-C</x:v>
      </x:c>
      <x:c r="E231" s="47" t="str">
        <x:v>ARTICLE</x:v>
      </x:c>
      <x:c r="F231" s="47" t="str">
        <x:v>N01</x:v>
      </x:c>
      <x:c r="G231" s="47" t="str">
        <x:v>Resolve warrant and hash</x:v>
      </x:c>
      <x:c r="H231" s="47" t="n">
        <x:v>1</x:v>
      </x:c>
      <x:c r="I231" s="56" t="n">
        <x:v>0</x:v>
      </x:c>
      <x:c r="J231" s="47" t="str">
        <x:f>IF(I231=H231,"PASS","OPEN")</x:f>
        <x:v>OPEN</x:v>
      </x:c>
      <x:c r="K231" s="84"/>
      <x:c r="L231" s="84"/>
      <x:c r="M231" s="84"/>
      <x:c r="N231" s="84"/>
    </x:row>
    <x:row r="232">
      <x:c r="A232" s="47" t="str">
        <x:v>NR226</x:v>
      </x:c>
      <x:c r="B232" s="47" t="str">
        <x:v>P29</x:v>
      </x:c>
      <x:c r="C232" s="47" t="str">
        <x:v>RT-B</x:v>
      </x:c>
      <x:c r="D232" s="47" t="str">
        <x:v>RT-B-C</x:v>
      </x:c>
      <x:c r="E232" s="47" t="str">
        <x:v>ARTICLE</x:v>
      </x:c>
      <x:c r="F232" s="47" t="str">
        <x:v>N02</x:v>
      </x:c>
      <x:c r="G232" s="47" t="str">
        <x:v>Instantiate sealed native environment</x:v>
      </x:c>
      <x:c r="H232" s="47" t="n">
        <x:v>1</x:v>
      </x:c>
      <x:c r="I232" s="56" t="n">
        <x:v>0</x:v>
      </x:c>
      <x:c r="J232" s="47" t="str">
        <x:f>IF(I232=H232,"PASS","OPEN")</x:f>
        <x:v>OPEN</x:v>
      </x:c>
      <x:c r="K232" s="84"/>
      <x:c r="L232" s="84"/>
      <x:c r="M232" s="84"/>
      <x:c r="N232" s="84"/>
    </x:row>
    <x:row r="233">
      <x:c r="A233" s="47" t="str">
        <x:v>NR227</x:v>
      </x:c>
      <x:c r="B233" s="47" t="str">
        <x:v>P29</x:v>
      </x:c>
      <x:c r="C233" s="47" t="str">
        <x:v>RT-B</x:v>
      </x:c>
      <x:c r="D233" s="47" t="str">
        <x:v>RT-B-C</x:v>
      </x:c>
      <x:c r="E233" s="47" t="str">
        <x:v>ARTICLE</x:v>
      </x:c>
      <x:c r="F233" s="47" t="str">
        <x:v>N03</x:v>
      </x:c>
      <x:c r="G233" s="47" t="str">
        <x:v>Resolve dependencies and license rights</x:v>
      </x:c>
      <x:c r="H233" s="47" t="n">
        <x:v>1</x:v>
      </x:c>
      <x:c r="I233" s="56" t="n">
        <x:v>0</x:v>
      </x:c>
      <x:c r="J233" s="47" t="str">
        <x:f>IF(I233=H233,"PASS","OPEN")</x:f>
        <x:v>OPEN</x:v>
      </x:c>
      <x:c r="K233" s="84"/>
      <x:c r="L233" s="84"/>
      <x:c r="M233" s="84"/>
      <x:c r="N233" s="84"/>
    </x:row>
    <x:row r="234">
      <x:c r="A234" s="47" t="str">
        <x:v>NR228</x:v>
      </x:c>
      <x:c r="B234" s="47" t="str">
        <x:v>P29</x:v>
      </x:c>
      <x:c r="C234" s="47" t="str">
        <x:v>RT-B</x:v>
      </x:c>
      <x:c r="D234" s="47" t="str">
        <x:v>RT-B-C</x:v>
      </x:c>
      <x:c r="E234" s="47" t="str">
        <x:v>ARTICLE</x:v>
      </x:c>
      <x:c r="F234" s="47" t="str">
        <x:v>N04</x:v>
      </x:c>
      <x:c r="G234" s="47" t="str">
        <x:v>Load source and calibration lineage</x:v>
      </x:c>
      <x:c r="H234" s="47" t="n">
        <x:v>1</x:v>
      </x:c>
      <x:c r="I234" s="56" t="n">
        <x:v>0</x:v>
      </x:c>
      <x:c r="J234" s="47" t="str">
        <x:f>IF(I234=H234,"PASS","OPEN")</x:f>
        <x:v>OPEN</x:v>
      </x:c>
      <x:c r="K234" s="84"/>
      <x:c r="L234" s="84"/>
      <x:c r="M234" s="84"/>
      <x:c r="N234" s="84"/>
    </x:row>
    <x:row r="235">
      <x:c r="A235" s="47" t="str">
        <x:v>NR229</x:v>
      </x:c>
      <x:c r="B235" s="47" t="str">
        <x:v>P29</x:v>
      </x:c>
      <x:c r="C235" s="47" t="str">
        <x:v>RT-B</x:v>
      </x:c>
      <x:c r="D235" s="47" t="str">
        <x:v>RT-B-C</x:v>
      </x:c>
      <x:c r="E235" s="47" t="str">
        <x:v>ARTICLE</x:v>
      </x:c>
      <x:c r="F235" s="47" t="str">
        <x:v>N05</x:v>
      </x:c>
      <x:c r="G235" s="47" t="str">
        <x:v>Execute the frozen case</x:v>
      </x:c>
      <x:c r="H235" s="47" t="n">
        <x:v>1</x:v>
      </x:c>
      <x:c r="I235" s="56" t="n">
        <x:v>0</x:v>
      </x:c>
      <x:c r="J235" s="47" t="str">
        <x:f>IF(I235=H235,"PASS","OPEN")</x:f>
        <x:v>OPEN</x:v>
      </x:c>
      <x:c r="K235" s="84"/>
      <x:c r="L235" s="84"/>
      <x:c r="M235" s="84"/>
      <x:c r="N235" s="84"/>
    </x:row>
    <x:row r="236">
      <x:c r="A236" s="47" t="str">
        <x:v>NR230</x:v>
      </x:c>
      <x:c r="B236" s="47" t="str">
        <x:v>P29</x:v>
      </x:c>
      <x:c r="C236" s="47" t="str">
        <x:v>RT-B</x:v>
      </x:c>
      <x:c r="D236" s="47" t="str">
        <x:v>RT-B-C</x:v>
      </x:c>
      <x:c r="E236" s="47" t="str">
        <x:v>ARTICLE</x:v>
      </x:c>
      <x:c r="F236" s="47" t="str">
        <x:v>N06</x:v>
      </x:c>
      <x:c r="G236" s="47" t="str">
        <x:v>Reproduce named intermediate states</x:v>
      </x:c>
      <x:c r="H236" s="47" t="n">
        <x:v>1</x:v>
      </x:c>
      <x:c r="I236" s="56" t="n">
        <x:v>0</x:v>
      </x:c>
      <x:c r="J236" s="47" t="str">
        <x:f>IF(I236=H236,"PASS","OPEN")</x:f>
        <x:v>OPEN</x:v>
      </x:c>
      <x:c r="K236" s="84"/>
      <x:c r="L236" s="84"/>
      <x:c r="M236" s="84"/>
      <x:c r="N236" s="84"/>
    </x:row>
    <x:row r="237">
      <x:c r="A237" s="47" t="str">
        <x:v>NR231</x:v>
      </x:c>
      <x:c r="B237" s="47" t="str">
        <x:v>P29</x:v>
      </x:c>
      <x:c r="C237" s="47" t="str">
        <x:v>RT-B</x:v>
      </x:c>
      <x:c r="D237" s="47" t="str">
        <x:v>RT-B-C</x:v>
      </x:c>
      <x:c r="E237" s="47" t="str">
        <x:v>ARTICLE</x:v>
      </x:c>
      <x:c r="F237" s="47" t="str">
        <x:v>N07</x:v>
      </x:c>
      <x:c r="G237" s="47" t="str">
        <x:v>Reproduce terminal design result</x:v>
      </x:c>
      <x:c r="H237" s="47" t="n">
        <x:v>1</x:v>
      </x:c>
      <x:c r="I237" s="56" t="n">
        <x:v>0</x:v>
      </x:c>
      <x:c r="J237" s="47" t="str">
        <x:f>IF(I237=H237,"PASS","OPEN")</x:f>
        <x:v>OPEN</x:v>
      </x:c>
      <x:c r="K237" s="84"/>
      <x:c r="L237" s="84"/>
      <x:c r="M237" s="84"/>
      <x:c r="N237" s="84"/>
    </x:row>
    <x:row r="238">
      <x:c r="A238" s="47" t="str">
        <x:v>NR232</x:v>
      </x:c>
      <x:c r="B238" s="47" t="str">
        <x:v>P29</x:v>
      </x:c>
      <x:c r="C238" s="47" t="str">
        <x:v>RT-B</x:v>
      </x:c>
      <x:c r="D238" s="47" t="str">
        <x:v>RT-B-C</x:v>
      </x:c>
      <x:c r="E238" s="47" t="str">
        <x:v>ARTICLE</x:v>
      </x:c>
      <x:c r="F238" s="47" t="str">
        <x:v>N08</x:v>
      </x:c>
      <x:c r="G238" s="47" t="str">
        <x:v>Seal replay transcript and checksums</x:v>
      </x:c>
      <x:c r="H238" s="47" t="n">
        <x:v>1</x:v>
      </x:c>
      <x:c r="I238" s="56" t="n">
        <x:v>0</x:v>
      </x:c>
      <x:c r="J238" s="47" t="str">
        <x:f>IF(I238=H238,"PASS","OPEN")</x:f>
        <x:v>OPEN</x:v>
      </x:c>
      <x:c r="K238" s="84"/>
      <x:c r="L238" s="84"/>
      <x:c r="M238" s="84"/>
      <x:c r="N238" s="84"/>
    </x:row>
    <x:row r="239">
      <x:c r="A239" s="47" t="str">
        <x:v>NR233</x:v>
      </x:c>
      <x:c r="B239" s="47" t="str">
        <x:v>P30</x:v>
      </x:c>
      <x:c r="C239" s="47" t="str">
        <x:v>RT-B</x:v>
      </x:c>
      <x:c r="D239" s="47" t="str">
        <x:v>RT-B-C</x:v>
      </x:c>
      <x:c r="E239" s="47" t="str">
        <x:v>REBUILD</x:v>
      </x:c>
      <x:c r="F239" s="47" t="str">
        <x:v>N01</x:v>
      </x:c>
      <x:c r="G239" s="47" t="str">
        <x:v>Resolve warrant and hash</x:v>
      </x:c>
      <x:c r="H239" s="47" t="n">
        <x:v>1</x:v>
      </x:c>
      <x:c r="I239" s="56" t="n">
        <x:v>0</x:v>
      </x:c>
      <x:c r="J239" s="47" t="str">
        <x:f>IF(I239=H239,"PASS","OPEN")</x:f>
        <x:v>OPEN</x:v>
      </x:c>
      <x:c r="K239" s="84"/>
      <x:c r="L239" s="84"/>
      <x:c r="M239" s="84"/>
      <x:c r="N239" s="84"/>
    </x:row>
    <x:row r="240">
      <x:c r="A240" s="47" t="str">
        <x:v>NR234</x:v>
      </x:c>
      <x:c r="B240" s="47" t="str">
        <x:v>P30</x:v>
      </x:c>
      <x:c r="C240" s="47" t="str">
        <x:v>RT-B</x:v>
      </x:c>
      <x:c r="D240" s="47" t="str">
        <x:v>RT-B-C</x:v>
      </x:c>
      <x:c r="E240" s="47" t="str">
        <x:v>REBUILD</x:v>
      </x:c>
      <x:c r="F240" s="47" t="str">
        <x:v>N02</x:v>
      </x:c>
      <x:c r="G240" s="47" t="str">
        <x:v>Instantiate sealed native environment</x:v>
      </x:c>
      <x:c r="H240" s="47" t="n">
        <x:v>1</x:v>
      </x:c>
      <x:c r="I240" s="56" t="n">
        <x:v>0</x:v>
      </x:c>
      <x:c r="J240" s="47" t="str">
        <x:f>IF(I240=H240,"PASS","OPEN")</x:f>
        <x:v>OPEN</x:v>
      </x:c>
      <x:c r="K240" s="84"/>
      <x:c r="L240" s="84"/>
      <x:c r="M240" s="84"/>
      <x:c r="N240" s="84"/>
    </x:row>
    <x:row r="241">
      <x:c r="A241" s="47" t="str">
        <x:v>NR235</x:v>
      </x:c>
      <x:c r="B241" s="47" t="str">
        <x:v>P30</x:v>
      </x:c>
      <x:c r="C241" s="47" t="str">
        <x:v>RT-B</x:v>
      </x:c>
      <x:c r="D241" s="47" t="str">
        <x:v>RT-B-C</x:v>
      </x:c>
      <x:c r="E241" s="47" t="str">
        <x:v>REBUILD</x:v>
      </x:c>
      <x:c r="F241" s="47" t="str">
        <x:v>N03</x:v>
      </x:c>
      <x:c r="G241" s="47" t="str">
        <x:v>Resolve dependencies and license rights</x:v>
      </x:c>
      <x:c r="H241" s="47" t="n">
        <x:v>1</x:v>
      </x:c>
      <x:c r="I241" s="56" t="n">
        <x:v>0</x:v>
      </x:c>
      <x:c r="J241" s="47" t="str">
        <x:f>IF(I241=H241,"PASS","OPEN")</x:f>
        <x:v>OPEN</x:v>
      </x:c>
      <x:c r="K241" s="84"/>
      <x:c r="L241" s="84"/>
      <x:c r="M241" s="84"/>
      <x:c r="N241" s="84"/>
    </x:row>
    <x:row r="242">
      <x:c r="A242" s="47" t="str">
        <x:v>NR236</x:v>
      </x:c>
      <x:c r="B242" s="47" t="str">
        <x:v>P30</x:v>
      </x:c>
      <x:c r="C242" s="47" t="str">
        <x:v>RT-B</x:v>
      </x:c>
      <x:c r="D242" s="47" t="str">
        <x:v>RT-B-C</x:v>
      </x:c>
      <x:c r="E242" s="47" t="str">
        <x:v>REBUILD</x:v>
      </x:c>
      <x:c r="F242" s="47" t="str">
        <x:v>N04</x:v>
      </x:c>
      <x:c r="G242" s="47" t="str">
        <x:v>Load source and calibration lineage</x:v>
      </x:c>
      <x:c r="H242" s="47" t="n">
        <x:v>1</x:v>
      </x:c>
      <x:c r="I242" s="56" t="n">
        <x:v>0</x:v>
      </x:c>
      <x:c r="J242" s="47" t="str">
        <x:f>IF(I242=H242,"PASS","OPEN")</x:f>
        <x:v>OPEN</x:v>
      </x:c>
      <x:c r="K242" s="84"/>
      <x:c r="L242" s="84"/>
      <x:c r="M242" s="84"/>
      <x:c r="N242" s="84"/>
    </x:row>
    <x:row r="243">
      <x:c r="A243" s="47" t="str">
        <x:v>NR237</x:v>
      </x:c>
      <x:c r="B243" s="47" t="str">
        <x:v>P30</x:v>
      </x:c>
      <x:c r="C243" s="47" t="str">
        <x:v>RT-B</x:v>
      </x:c>
      <x:c r="D243" s="47" t="str">
        <x:v>RT-B-C</x:v>
      </x:c>
      <x:c r="E243" s="47" t="str">
        <x:v>REBUILD</x:v>
      </x:c>
      <x:c r="F243" s="47" t="str">
        <x:v>N05</x:v>
      </x:c>
      <x:c r="G243" s="47" t="str">
        <x:v>Execute the frozen case</x:v>
      </x:c>
      <x:c r="H243" s="47" t="n">
        <x:v>1</x:v>
      </x:c>
      <x:c r="I243" s="56" t="n">
        <x:v>0</x:v>
      </x:c>
      <x:c r="J243" s="47" t="str">
        <x:f>IF(I243=H243,"PASS","OPEN")</x:f>
        <x:v>OPEN</x:v>
      </x:c>
      <x:c r="K243" s="84"/>
      <x:c r="L243" s="84"/>
      <x:c r="M243" s="84"/>
      <x:c r="N243" s="84"/>
    </x:row>
    <x:row r="244">
      <x:c r="A244" s="47" t="str">
        <x:v>NR238</x:v>
      </x:c>
      <x:c r="B244" s="47" t="str">
        <x:v>P30</x:v>
      </x:c>
      <x:c r="C244" s="47" t="str">
        <x:v>RT-B</x:v>
      </x:c>
      <x:c r="D244" s="47" t="str">
        <x:v>RT-B-C</x:v>
      </x:c>
      <x:c r="E244" s="47" t="str">
        <x:v>REBUILD</x:v>
      </x:c>
      <x:c r="F244" s="47" t="str">
        <x:v>N06</x:v>
      </x:c>
      <x:c r="G244" s="47" t="str">
        <x:v>Reproduce named intermediate states</x:v>
      </x:c>
      <x:c r="H244" s="47" t="n">
        <x:v>1</x:v>
      </x:c>
      <x:c r="I244" s="56" t="n">
        <x:v>0</x:v>
      </x:c>
      <x:c r="J244" s="47" t="str">
        <x:f>IF(I244=H244,"PASS","OPEN")</x:f>
        <x:v>OPEN</x:v>
      </x:c>
      <x:c r="K244" s="84"/>
      <x:c r="L244" s="84"/>
      <x:c r="M244" s="84"/>
      <x:c r="N244" s="84"/>
    </x:row>
    <x:row r="245">
      <x:c r="A245" s="47" t="str">
        <x:v>NR239</x:v>
      </x:c>
      <x:c r="B245" s="47" t="str">
        <x:v>P30</x:v>
      </x:c>
      <x:c r="C245" s="47" t="str">
        <x:v>RT-B</x:v>
      </x:c>
      <x:c r="D245" s="47" t="str">
        <x:v>RT-B-C</x:v>
      </x:c>
      <x:c r="E245" s="47" t="str">
        <x:v>REBUILD</x:v>
      </x:c>
      <x:c r="F245" s="47" t="str">
        <x:v>N07</x:v>
      </x:c>
      <x:c r="G245" s="47" t="str">
        <x:v>Reproduce terminal design result</x:v>
      </x:c>
      <x:c r="H245" s="47" t="n">
        <x:v>1</x:v>
      </x:c>
      <x:c r="I245" s="56" t="n">
        <x:v>0</x:v>
      </x:c>
      <x:c r="J245" s="47" t="str">
        <x:f>IF(I245=H245,"PASS","OPEN")</x:f>
        <x:v>OPEN</x:v>
      </x:c>
      <x:c r="K245" s="84"/>
      <x:c r="L245" s="84"/>
      <x:c r="M245" s="84"/>
      <x:c r="N245" s="84"/>
    </x:row>
    <x:row r="246">
      <x:c r="A246" s="47" t="str">
        <x:v>NR240</x:v>
      </x:c>
      <x:c r="B246" s="47" t="str">
        <x:v>P30</x:v>
      </x:c>
      <x:c r="C246" s="47" t="str">
        <x:v>RT-B</x:v>
      </x:c>
      <x:c r="D246" s="47" t="str">
        <x:v>RT-B-C</x:v>
      </x:c>
      <x:c r="E246" s="47" t="str">
        <x:v>REBUILD</x:v>
      </x:c>
      <x:c r="F246" s="47" t="str">
        <x:v>N08</x:v>
      </x:c>
      <x:c r="G246" s="47" t="str">
        <x:v>Seal replay transcript and checksums</x:v>
      </x:c>
      <x:c r="H246" s="47" t="n">
        <x:v>1</x:v>
      </x:c>
      <x:c r="I246" s="56" t="n">
        <x:v>0</x:v>
      </x:c>
      <x:c r="J246" s="47" t="str">
        <x:f>IF(I246=H246,"PASS","OPEN")</x:f>
        <x:v>OPEN</x:v>
      </x:c>
      <x:c r="K246" s="84"/>
      <x:c r="L246" s="84"/>
      <x:c r="M246" s="84"/>
      <x:c r="N246" s="84"/>
    </x:row>
  </x:sheetData>
  <x:mergeCells>
    <x:mergeCell ref="A2:N2"/>
    <x:mergeCell ref="A4:N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15" hidden="0" customWidth="1"/>
    <x:col min="7" max="7" width="4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2">
      <x:c r="A2" s="83" t="str">
        <x:v>Toolchain-disjoint clean reconstruction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A separately controlled team rebuilds the public contract, commits results before disclosure and can disagree with the native environment.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25" t="str">
        <x:v>Record</x:v>
      </x:c>
      <x:c r="B6" s="26" t="str">
        <x:v>Package</x:v>
      </x:c>
      <x:c r="C6" s="26" t="str">
        <x:v>Root</x:v>
      </x:c>
      <x:c r="D6" s="26" t="str">
        <x:v>Form</x:v>
      </x:c>
      <x:c r="E6" s="26" t="str">
        <x:v>Package type</x:v>
      </x:c>
      <x:c r="F6" s="26" t="str">
        <x:v>Stage</x:v>
      </x:c>
      <x:c r="G6" s="26" t="str">
        <x:v>Procedure</x:v>
      </x:c>
      <x:c r="H6" s="26" t="str">
        <x:v>Required</x:v>
      </x:c>
      <x:c r="I6" s="26" t="str">
        <x:v>Complete</x:v>
      </x:c>
      <x:c r="J6" s="26" t="str">
        <x:v>Separate control</x:v>
      </x:c>
      <x:c r="K6" s="26" t="str">
        <x:v>Performance exposed</x:v>
      </x:c>
      <x:c r="L6" s="27" t="str">
        <x:v>State</x:v>
      </x:c>
      <x:c r="M6" s="84"/>
      <x:c r="N6" s="84"/>
    </x:row>
    <x:row r="7">
      <x:c r="A7" s="47" t="str">
        <x:v>CR001</x:v>
      </x:c>
      <x:c r="B7" s="47" t="str">
        <x:v>P01</x:v>
      </x:c>
      <x:c r="C7" s="47" t="str">
        <x:v>ET-A</x:v>
      </x:c>
      <x:c r="D7" s="47" t="str">
        <x:v>ET-A-A</x:v>
      </x:c>
      <x:c r="E7" s="47" t="str">
        <x:v>METHOD</x:v>
      </x:c>
      <x:c r="F7" s="47" t="str">
        <x:v>C01</x:v>
      </x:c>
      <x:c r="G7" s="47" t="str">
        <x:v>Receive public contract without native outputs</x:v>
      </x:c>
      <x:c r="H7" s="47" t="n">
        <x:v>1</x:v>
      </x:c>
      <x:c r="I7" s="56" t="n">
        <x:v>0</x:v>
      </x:c>
      <x:c r="J7" s="59" t="n">
        <x:f>Inputs!$B$11</x:f>
        <x:v>1</x:v>
      </x:c>
      <x:c r="K7" s="59" t="n">
        <x:f>Inputs!$B$13</x:f>
        <x:v>0</x:v>
      </x:c>
      <x:c r="L7" s="59" t="str">
        <x:f>IF(OR(J7&lt;&gt;1,K7&lt;&gt;0),"TERMINATE",IF(I7=H7,"PASS","OPEN"))</x:f>
        <x:v>OPEN</x:v>
      </x:c>
      <x:c r="M7" s="84"/>
      <x:c r="N7" s="84"/>
    </x:row>
    <x:row r="8">
      <x:c r="A8" s="47" t="str">
        <x:v>CR002</x:v>
      </x:c>
      <x:c r="B8" s="47" t="str">
        <x:v>P01</x:v>
      </x:c>
      <x:c r="C8" s="47" t="str">
        <x:v>ET-A</x:v>
      </x:c>
      <x:c r="D8" s="47" t="str">
        <x:v>ET-A-A</x:v>
      </x:c>
      <x:c r="E8" s="47" t="str">
        <x:v>METHOD</x:v>
      </x:c>
      <x:c r="F8" s="47" t="str">
        <x:v>C02</x:v>
      </x:c>
      <x:c r="G8" s="47" t="str">
        <x:v>Declare disjoint people, control and toolchain</x:v>
      </x:c>
      <x:c r="H8" s="47" t="n">
        <x:v>1</x:v>
      </x:c>
      <x:c r="I8" s="56" t="n">
        <x:v>0</x:v>
      </x:c>
      <x:c r="J8" s="59" t="n">
        <x:f>Inputs!$B$11</x:f>
        <x:v>1</x:v>
      </x:c>
      <x:c r="K8" s="59" t="n">
        <x:f>Inputs!$B$13</x:f>
        <x:v>0</x:v>
      </x:c>
      <x:c r="L8" s="59" t="str">
        <x:f>IF(OR(J8&lt;&gt;1,K8&lt;&gt;0),"TERMINATE",IF(I8=H8,"PASS","OPEN"))</x:f>
        <x:v>OPEN</x:v>
      </x:c>
      <x:c r="M8" s="84"/>
      <x:c r="N8" s="84"/>
    </x:row>
    <x:row r="9">
      <x:c r="A9" s="47" t="str">
        <x:v>CR003</x:v>
      </x:c>
      <x:c r="B9" s="47" t="str">
        <x:v>P01</x:v>
      </x:c>
      <x:c r="C9" s="47" t="str">
        <x:v>ET-A</x:v>
      </x:c>
      <x:c r="D9" s="47" t="str">
        <x:v>ET-A-A</x:v>
      </x:c>
      <x:c r="E9" s="47" t="str">
        <x:v>METHOD</x:v>
      </x:c>
      <x:c r="F9" s="47" t="str">
        <x:v>C03</x:v>
      </x:c>
      <x:c r="G9" s="47" t="str">
        <x:v>Reconstruct units, datums and system boundary</x:v>
      </x:c>
      <x:c r="H9" s="47" t="n">
        <x:v>1</x:v>
      </x:c>
      <x:c r="I9" s="56" t="n">
        <x:v>0</x:v>
      </x:c>
      <x:c r="J9" s="59" t="n">
        <x:f>Inputs!$B$11</x:f>
        <x:v>1</x:v>
      </x:c>
      <x:c r="K9" s="59" t="n">
        <x:f>Inputs!$B$13</x:f>
        <x:v>0</x:v>
      </x:c>
      <x:c r="L9" s="59" t="str">
        <x:f>IF(OR(J9&lt;&gt;1,K9&lt;&gt;0),"TERMINATE",IF(I9=H9,"PASS","OPEN"))</x:f>
        <x:v>OPEN</x:v>
      </x:c>
      <x:c r="M9" s="84"/>
      <x:c r="N9" s="84"/>
    </x:row>
    <x:row r="10">
      <x:c r="A10" s="47" t="str">
        <x:v>CR004</x:v>
      </x:c>
      <x:c r="B10" s="47" t="str">
        <x:v>P01</x:v>
      </x:c>
      <x:c r="C10" s="47" t="str">
        <x:v>ET-A</x:v>
      </x:c>
      <x:c r="D10" s="47" t="str">
        <x:v>ET-A-A</x:v>
      </x:c>
      <x:c r="E10" s="47" t="str">
        <x:v>METHOD</x:v>
      </x:c>
      <x:c r="F10" s="47" t="str">
        <x:v>C04</x:v>
      </x:c>
      <x:c r="G10" s="47" t="str">
        <x:v>Reimplement the causal model</x:v>
      </x:c>
      <x:c r="H10" s="47" t="n">
        <x:v>1</x:v>
      </x:c>
      <x:c r="I10" s="56" t="n">
        <x:v>0</x:v>
      </x:c>
      <x:c r="J10" s="59" t="n">
        <x:f>Inputs!$B$11</x:f>
        <x:v>1</x:v>
      </x:c>
      <x:c r="K10" s="59" t="n">
        <x:f>Inputs!$B$13</x:f>
        <x:v>0</x:v>
      </x:c>
      <x:c r="L10" s="59" t="str">
        <x:f>IF(OR(J10&lt;&gt;1,K10&lt;&gt;0),"TERMINATE",IF(I10=H10,"PASS","OPEN"))</x:f>
        <x:v>OPEN</x:v>
      </x:c>
      <x:c r="M10" s="84"/>
      <x:c r="N10" s="84"/>
    </x:row>
    <x:row r="11">
      <x:c r="A11" s="47" t="str">
        <x:v>CR005</x:v>
      </x:c>
      <x:c r="B11" s="47" t="str">
        <x:v>P01</x:v>
      </x:c>
      <x:c r="C11" s="47" t="str">
        <x:v>ET-A</x:v>
      </x:c>
      <x:c r="D11" s="47" t="str">
        <x:v>ET-A-A</x:v>
      </x:c>
      <x:c r="E11" s="47" t="str">
        <x:v>METHOD</x:v>
      </x:c>
      <x:c r="F11" s="47" t="str">
        <x:v>C05</x:v>
      </x:c>
      <x:c r="G11" s="47" t="str">
        <x:v>Rebuild material and process assumptions</x:v>
      </x:c>
      <x:c r="H11" s="47" t="n">
        <x:v>1</x:v>
      </x:c>
      <x:c r="I11" s="56" t="n">
        <x:v>0</x:v>
      </x:c>
      <x:c r="J11" s="59" t="n">
        <x:f>Inputs!$B$11</x:f>
        <x:v>1</x:v>
      </x:c>
      <x:c r="K11" s="59" t="n">
        <x:f>Inputs!$B$13</x:f>
        <x:v>0</x:v>
      </x:c>
      <x:c r="L11" s="59" t="str">
        <x:f>IF(OR(J11&lt;&gt;1,K11&lt;&gt;0),"TERMINATE",IF(I11=H11,"PASS","OPEN"))</x:f>
        <x:v>OPEN</x:v>
      </x:c>
      <x:c r="M11" s="84"/>
      <x:c r="N11" s="84"/>
    </x:row>
    <x:row r="12">
      <x:c r="A12" s="47" t="str">
        <x:v>CR006</x:v>
      </x:c>
      <x:c r="B12" s="47" t="str">
        <x:v>P01</x:v>
      </x:c>
      <x:c r="C12" s="47" t="str">
        <x:v>ET-A</x:v>
      </x:c>
      <x:c r="D12" s="47" t="str">
        <x:v>ET-A-A</x:v>
      </x:c>
      <x:c r="E12" s="47" t="str">
        <x:v>METHOD</x:v>
      </x:c>
      <x:c r="F12" s="47" t="str">
        <x:v>C06</x:v>
      </x:c>
      <x:c r="G12" s="47" t="str">
        <x:v>Recreate the frozen challenge case</x:v>
      </x:c>
      <x:c r="H12" s="47" t="n">
        <x:v>1</x:v>
      </x:c>
      <x:c r="I12" s="56" t="n">
        <x:v>0</x:v>
      </x:c>
      <x:c r="J12" s="59" t="n">
        <x:f>Inputs!$B$11</x:f>
        <x:v>1</x:v>
      </x:c>
      <x:c r="K12" s="59" t="n">
        <x:f>Inputs!$B$13</x:f>
        <x:v>0</x:v>
      </x:c>
      <x:c r="L12" s="59" t="str">
        <x:f>IF(OR(J12&lt;&gt;1,K12&lt;&gt;0),"TERMINATE",IF(I12=H12,"PASS","OPEN"))</x:f>
        <x:v>OPEN</x:v>
      </x:c>
      <x:c r="M12" s="84"/>
      <x:c r="N12" s="84"/>
    </x:row>
    <x:row r="13">
      <x:c r="A13" s="47" t="str">
        <x:v>CR007</x:v>
      </x:c>
      <x:c r="B13" s="47" t="str">
        <x:v>P01</x:v>
      </x:c>
      <x:c r="C13" s="47" t="str">
        <x:v>ET-A</x:v>
      </x:c>
      <x:c r="D13" s="47" t="str">
        <x:v>ET-A-A</x:v>
      </x:c>
      <x:c r="E13" s="47" t="str">
        <x:v>METHOD</x:v>
      </x:c>
      <x:c r="F13" s="47" t="str">
        <x:v>C07</x:v>
      </x:c>
      <x:c r="G13" s="47" t="str">
        <x:v>Calculate six invariants independently</x:v>
      </x:c>
      <x:c r="H13" s="47" t="n">
        <x:v>1</x:v>
      </x:c>
      <x:c r="I13" s="56" t="n">
        <x:v>0</x:v>
      </x:c>
      <x:c r="J13" s="59" t="n">
        <x:f>Inputs!$B$11</x:f>
        <x:v>1</x:v>
      </x:c>
      <x:c r="K13" s="59" t="n">
        <x:f>Inputs!$B$13</x:f>
        <x:v>0</x:v>
      </x:c>
      <x:c r="L13" s="59" t="str">
        <x:f>IF(OR(J13&lt;&gt;1,K13&lt;&gt;0),"TERMINATE",IF(I13=H13,"PASS","OPEN"))</x:f>
        <x:v>OPEN</x:v>
      </x:c>
      <x:c r="M13" s="84"/>
      <x:c r="N13" s="84"/>
    </x:row>
    <x:row r="14">
      <x:c r="A14" s="47" t="str">
        <x:v>CR008</x:v>
      </x:c>
      <x:c r="B14" s="47" t="str">
        <x:v>P01</x:v>
      </x:c>
      <x:c r="C14" s="47" t="str">
        <x:v>ET-A</x:v>
      </x:c>
      <x:c r="D14" s="47" t="str">
        <x:v>ET-A-A</x:v>
      </x:c>
      <x:c r="E14" s="47" t="str">
        <x:v>METHOD</x:v>
      </x:c>
      <x:c r="F14" s="47" t="str">
        <x:v>C08</x:v>
      </x:c>
      <x:c r="G14" s="47" t="str">
        <x:v>Commit results before native disclosure</x:v>
      </x:c>
      <x:c r="H14" s="47" t="n">
        <x:v>1</x:v>
      </x:c>
      <x:c r="I14" s="56" t="n">
        <x:v>0</x:v>
      </x:c>
      <x:c r="J14" s="59" t="n">
        <x:f>Inputs!$B$11</x:f>
        <x:v>1</x:v>
      </x:c>
      <x:c r="K14" s="59" t="n">
        <x:f>Inputs!$B$13</x:f>
        <x:v>0</x:v>
      </x:c>
      <x:c r="L14" s="59" t="str">
        <x:f>IF(OR(J14&lt;&gt;1,K14&lt;&gt;0),"TERMINATE",IF(I14=H14,"PASS","OPEN"))</x:f>
        <x:v>OPEN</x:v>
      </x:c>
      <x:c r="M14" s="84"/>
      <x:c r="N14" s="84"/>
    </x:row>
    <x:row r="15">
      <x:c r="A15" s="47" t="str">
        <x:v>CR009</x:v>
      </x:c>
      <x:c r="B15" s="47" t="str">
        <x:v>P01</x:v>
      </x:c>
      <x:c r="C15" s="47" t="str">
        <x:v>ET-A</x:v>
      </x:c>
      <x:c r="D15" s="47" t="str">
        <x:v>ET-A-A</x:v>
      </x:c>
      <x:c r="E15" s="47" t="str">
        <x:v>METHOD</x:v>
      </x:c>
      <x:c r="F15" s="47" t="str">
        <x:v>C09</x:v>
      </x:c>
      <x:c r="G15" s="47" t="str">
        <x:v>Compare semantic deltas after commitment</x:v>
      </x:c>
      <x:c r="H15" s="47" t="n">
        <x:v>1</x:v>
      </x:c>
      <x:c r="I15" s="56" t="n">
        <x:v>0</x:v>
      </x:c>
      <x:c r="J15" s="59" t="n">
        <x:f>Inputs!$B$11</x:f>
        <x:v>1</x:v>
      </x:c>
      <x:c r="K15" s="59" t="n">
        <x:f>Inputs!$B$13</x:f>
        <x:v>0</x:v>
      </x:c>
      <x:c r="L15" s="59" t="str">
        <x:f>IF(OR(J15&lt;&gt;1,K15&lt;&gt;0),"TERMINATE",IF(I15=H15,"PASS","OPEN"))</x:f>
        <x:v>OPEN</x:v>
      </x:c>
      <x:c r="M15" s="84"/>
      <x:c r="N15" s="84"/>
    </x:row>
    <x:row r="16">
      <x:c r="A16" s="47" t="str">
        <x:v>CR010</x:v>
      </x:c>
      <x:c r="B16" s="47" t="str">
        <x:v>P01</x:v>
      </x:c>
      <x:c r="C16" s="47" t="str">
        <x:v>ET-A</x:v>
      </x:c>
      <x:c r="D16" s="47" t="str">
        <x:v>ET-A-A</x:v>
      </x:c>
      <x:c r="E16" s="47" t="str">
        <x:v>METHOD</x:v>
      </x:c>
      <x:c r="F16" s="47" t="str">
        <x:v>C10</x:v>
      </x:c>
      <x:c r="G16" s="47" t="str">
        <x:v>Seal divergence or acceptance packet</x:v>
      </x:c>
      <x:c r="H16" s="47" t="n">
        <x:v>1</x:v>
      </x:c>
      <x:c r="I16" s="56" t="n">
        <x:v>0</x:v>
      </x:c>
      <x:c r="J16" s="59" t="n">
        <x:f>Inputs!$B$11</x:f>
        <x:v>1</x:v>
      </x:c>
      <x:c r="K16" s="59" t="n">
        <x:f>Inputs!$B$13</x:f>
        <x:v>0</x:v>
      </x:c>
      <x:c r="L16" s="59" t="str">
        <x:f>IF(OR(J16&lt;&gt;1,K16&lt;&gt;0),"TERMINATE",IF(I16=H16,"PASS","OPEN"))</x:f>
        <x:v>OPEN</x:v>
      </x:c>
      <x:c r="M16" s="84"/>
      <x:c r="N16" s="84"/>
    </x:row>
    <x:row r="17">
      <x:c r="A17" s="47" t="str">
        <x:v>CR011</x:v>
      </x:c>
      <x:c r="B17" s="47" t="str">
        <x:v>P02</x:v>
      </x:c>
      <x:c r="C17" s="47" t="str">
        <x:v>ET-A</x:v>
      </x:c>
      <x:c r="D17" s="47" t="str">
        <x:v>ET-A-A</x:v>
      </x:c>
      <x:c r="E17" s="47" t="str">
        <x:v>VALID</x:v>
      </x:c>
      <x:c r="F17" s="47" t="str">
        <x:v>C01</x:v>
      </x:c>
      <x:c r="G17" s="47" t="str">
        <x:v>Receive public contract without native outputs</x:v>
      </x:c>
      <x:c r="H17" s="47" t="n">
        <x:v>1</x:v>
      </x:c>
      <x:c r="I17" s="56" t="n">
        <x:v>0</x:v>
      </x:c>
      <x:c r="J17" s="59" t="n">
        <x:f>Inputs!$B$11</x:f>
        <x:v>1</x:v>
      </x:c>
      <x:c r="K17" s="59" t="n">
        <x:f>Inputs!$B$13</x:f>
        <x:v>0</x:v>
      </x:c>
      <x:c r="L17" s="59" t="str">
        <x:f>IF(OR(J17&lt;&gt;1,K17&lt;&gt;0),"TERMINATE",IF(I17=H17,"PASS","OPEN"))</x:f>
        <x:v>OPEN</x:v>
      </x:c>
      <x:c r="M17" s="84"/>
      <x:c r="N17" s="84"/>
    </x:row>
    <x:row r="18">
      <x:c r="A18" s="47" t="str">
        <x:v>CR012</x:v>
      </x:c>
      <x:c r="B18" s="47" t="str">
        <x:v>P02</x:v>
      </x:c>
      <x:c r="C18" s="47" t="str">
        <x:v>ET-A</x:v>
      </x:c>
      <x:c r="D18" s="47" t="str">
        <x:v>ET-A-A</x:v>
      </x:c>
      <x:c r="E18" s="47" t="str">
        <x:v>VALID</x:v>
      </x:c>
      <x:c r="F18" s="47" t="str">
        <x:v>C02</x:v>
      </x:c>
      <x:c r="G18" s="47" t="str">
        <x:v>Declare disjoint people, control and toolchain</x:v>
      </x:c>
      <x:c r="H18" s="47" t="n">
        <x:v>1</x:v>
      </x:c>
      <x:c r="I18" s="56" t="n">
        <x:v>0</x:v>
      </x:c>
      <x:c r="J18" s="59" t="n">
        <x:f>Inputs!$B$11</x:f>
        <x:v>1</x:v>
      </x:c>
      <x:c r="K18" s="59" t="n">
        <x:f>Inputs!$B$13</x:f>
        <x:v>0</x:v>
      </x:c>
      <x:c r="L18" s="59" t="str">
        <x:f>IF(OR(J18&lt;&gt;1,K18&lt;&gt;0),"TERMINATE",IF(I18=H18,"PASS","OPEN"))</x:f>
        <x:v>OPEN</x:v>
      </x:c>
      <x:c r="M18" s="84"/>
      <x:c r="N18" s="84"/>
    </x:row>
    <x:row r="19">
      <x:c r="A19" s="47" t="str">
        <x:v>CR013</x:v>
      </x:c>
      <x:c r="B19" s="47" t="str">
        <x:v>P02</x:v>
      </x:c>
      <x:c r="C19" s="47" t="str">
        <x:v>ET-A</x:v>
      </x:c>
      <x:c r="D19" s="47" t="str">
        <x:v>ET-A-A</x:v>
      </x:c>
      <x:c r="E19" s="47" t="str">
        <x:v>VALID</x:v>
      </x:c>
      <x:c r="F19" s="47" t="str">
        <x:v>C03</x:v>
      </x:c>
      <x:c r="G19" s="47" t="str">
        <x:v>Reconstruct units, datums and system boundary</x:v>
      </x:c>
      <x:c r="H19" s="47" t="n">
        <x:v>1</x:v>
      </x:c>
      <x:c r="I19" s="56" t="n">
        <x:v>0</x:v>
      </x:c>
      <x:c r="J19" s="59" t="n">
        <x:f>Inputs!$B$11</x:f>
        <x:v>1</x:v>
      </x:c>
      <x:c r="K19" s="59" t="n">
        <x:f>Inputs!$B$13</x:f>
        <x:v>0</x:v>
      </x:c>
      <x:c r="L19" s="59" t="str">
        <x:f>IF(OR(J19&lt;&gt;1,K19&lt;&gt;0),"TERMINATE",IF(I19=H19,"PASS","OPEN"))</x:f>
        <x:v>OPEN</x:v>
      </x:c>
      <x:c r="M19" s="84"/>
      <x:c r="N19" s="84"/>
    </x:row>
    <x:row r="20">
      <x:c r="A20" s="47" t="str">
        <x:v>CR014</x:v>
      </x:c>
      <x:c r="B20" s="47" t="str">
        <x:v>P02</x:v>
      </x:c>
      <x:c r="C20" s="47" t="str">
        <x:v>ET-A</x:v>
      </x:c>
      <x:c r="D20" s="47" t="str">
        <x:v>ET-A-A</x:v>
      </x:c>
      <x:c r="E20" s="47" t="str">
        <x:v>VALID</x:v>
      </x:c>
      <x:c r="F20" s="47" t="str">
        <x:v>C04</x:v>
      </x:c>
      <x:c r="G20" s="47" t="str">
        <x:v>Reimplement the causal model</x:v>
      </x:c>
      <x:c r="H20" s="47" t="n">
        <x:v>1</x:v>
      </x:c>
      <x:c r="I20" s="56" t="n">
        <x:v>0</x:v>
      </x:c>
      <x:c r="J20" s="59" t="n">
        <x:f>Inputs!$B$11</x:f>
        <x:v>1</x:v>
      </x:c>
      <x:c r="K20" s="59" t="n">
        <x:f>Inputs!$B$13</x:f>
        <x:v>0</x:v>
      </x:c>
      <x:c r="L20" s="59" t="str">
        <x:f>IF(OR(J20&lt;&gt;1,K20&lt;&gt;0),"TERMINATE",IF(I20=H20,"PASS","OPEN"))</x:f>
        <x:v>OPEN</x:v>
      </x:c>
      <x:c r="M20" s="84"/>
      <x:c r="N20" s="84"/>
    </x:row>
    <x:row r="21">
      <x:c r="A21" s="47" t="str">
        <x:v>CR015</x:v>
      </x:c>
      <x:c r="B21" s="47" t="str">
        <x:v>P02</x:v>
      </x:c>
      <x:c r="C21" s="47" t="str">
        <x:v>ET-A</x:v>
      </x:c>
      <x:c r="D21" s="47" t="str">
        <x:v>ET-A-A</x:v>
      </x:c>
      <x:c r="E21" s="47" t="str">
        <x:v>VALID</x:v>
      </x:c>
      <x:c r="F21" s="47" t="str">
        <x:v>C05</x:v>
      </x:c>
      <x:c r="G21" s="47" t="str">
        <x:v>Rebuild material and process assumptions</x:v>
      </x:c>
      <x:c r="H21" s="47" t="n">
        <x:v>1</x:v>
      </x:c>
      <x:c r="I21" s="56" t="n">
        <x:v>0</x:v>
      </x:c>
      <x:c r="J21" s="59" t="n">
        <x:f>Inputs!$B$11</x:f>
        <x:v>1</x:v>
      </x:c>
      <x:c r="K21" s="59" t="n">
        <x:f>Inputs!$B$13</x:f>
        <x:v>0</x:v>
      </x:c>
      <x:c r="L21" s="59" t="str">
        <x:f>IF(OR(J21&lt;&gt;1,K21&lt;&gt;0),"TERMINATE",IF(I21=H21,"PASS","OPEN"))</x:f>
        <x:v>OPEN</x:v>
      </x:c>
      <x:c r="M21" s="84"/>
      <x:c r="N21" s="84"/>
    </x:row>
    <x:row r="22">
      <x:c r="A22" s="47" t="str">
        <x:v>CR016</x:v>
      </x:c>
      <x:c r="B22" s="47" t="str">
        <x:v>P02</x:v>
      </x:c>
      <x:c r="C22" s="47" t="str">
        <x:v>ET-A</x:v>
      </x:c>
      <x:c r="D22" s="47" t="str">
        <x:v>ET-A-A</x:v>
      </x:c>
      <x:c r="E22" s="47" t="str">
        <x:v>VALID</x:v>
      </x:c>
      <x:c r="F22" s="47" t="str">
        <x:v>C06</x:v>
      </x:c>
      <x:c r="G22" s="47" t="str">
        <x:v>Recreate the frozen challenge case</x:v>
      </x:c>
      <x:c r="H22" s="47" t="n">
        <x:v>1</x:v>
      </x:c>
      <x:c r="I22" s="56" t="n">
        <x:v>0</x:v>
      </x:c>
      <x:c r="J22" s="59" t="n">
        <x:f>Inputs!$B$11</x:f>
        <x:v>1</x:v>
      </x:c>
      <x:c r="K22" s="59" t="n">
        <x:f>Inputs!$B$13</x:f>
        <x:v>0</x:v>
      </x:c>
      <x:c r="L22" s="59" t="str">
        <x:f>IF(OR(J22&lt;&gt;1,K22&lt;&gt;0),"TERMINATE",IF(I22=H22,"PASS","OPEN"))</x:f>
        <x:v>OPEN</x:v>
      </x:c>
      <x:c r="M22" s="84"/>
      <x:c r="N22" s="84"/>
    </x:row>
    <x:row r="23">
      <x:c r="A23" s="47" t="str">
        <x:v>CR017</x:v>
      </x:c>
      <x:c r="B23" s="47" t="str">
        <x:v>P02</x:v>
      </x:c>
      <x:c r="C23" s="47" t="str">
        <x:v>ET-A</x:v>
      </x:c>
      <x:c r="D23" s="47" t="str">
        <x:v>ET-A-A</x:v>
      </x:c>
      <x:c r="E23" s="47" t="str">
        <x:v>VALID</x:v>
      </x:c>
      <x:c r="F23" s="47" t="str">
        <x:v>C07</x:v>
      </x:c>
      <x:c r="G23" s="47" t="str">
        <x:v>Calculate six invariants independently</x:v>
      </x:c>
      <x:c r="H23" s="47" t="n">
        <x:v>1</x:v>
      </x:c>
      <x:c r="I23" s="56" t="n">
        <x:v>0</x:v>
      </x:c>
      <x:c r="J23" s="59" t="n">
        <x:f>Inputs!$B$11</x:f>
        <x:v>1</x:v>
      </x:c>
      <x:c r="K23" s="59" t="n">
        <x:f>Inputs!$B$13</x:f>
        <x:v>0</x:v>
      </x:c>
      <x:c r="L23" s="59" t="str">
        <x:f>IF(OR(J23&lt;&gt;1,K23&lt;&gt;0),"TERMINATE",IF(I23=H23,"PASS","OPEN"))</x:f>
        <x:v>OPEN</x:v>
      </x:c>
      <x:c r="M23" s="84"/>
      <x:c r="N23" s="84"/>
    </x:row>
    <x:row r="24">
      <x:c r="A24" s="47" t="str">
        <x:v>CR018</x:v>
      </x:c>
      <x:c r="B24" s="47" t="str">
        <x:v>P02</x:v>
      </x:c>
      <x:c r="C24" s="47" t="str">
        <x:v>ET-A</x:v>
      </x:c>
      <x:c r="D24" s="47" t="str">
        <x:v>ET-A-A</x:v>
      </x:c>
      <x:c r="E24" s="47" t="str">
        <x:v>VALID</x:v>
      </x:c>
      <x:c r="F24" s="47" t="str">
        <x:v>C08</x:v>
      </x:c>
      <x:c r="G24" s="47" t="str">
        <x:v>Commit results before native disclosure</x:v>
      </x:c>
      <x:c r="H24" s="47" t="n">
        <x:v>1</x:v>
      </x:c>
      <x:c r="I24" s="56" t="n">
        <x:v>0</x:v>
      </x:c>
      <x:c r="J24" s="59" t="n">
        <x:f>Inputs!$B$11</x:f>
        <x:v>1</x:v>
      </x:c>
      <x:c r="K24" s="59" t="n">
        <x:f>Inputs!$B$13</x:f>
        <x:v>0</x:v>
      </x:c>
      <x:c r="L24" s="59" t="str">
        <x:f>IF(OR(J24&lt;&gt;1,K24&lt;&gt;0),"TERMINATE",IF(I24=H24,"PASS","OPEN"))</x:f>
        <x:v>OPEN</x:v>
      </x:c>
      <x:c r="M24" s="84"/>
      <x:c r="N24" s="84"/>
    </x:row>
    <x:row r="25">
      <x:c r="A25" s="47" t="str">
        <x:v>CR019</x:v>
      </x:c>
      <x:c r="B25" s="47" t="str">
        <x:v>P02</x:v>
      </x:c>
      <x:c r="C25" s="47" t="str">
        <x:v>ET-A</x:v>
      </x:c>
      <x:c r="D25" s="47" t="str">
        <x:v>ET-A-A</x:v>
      </x:c>
      <x:c r="E25" s="47" t="str">
        <x:v>VALID</x:v>
      </x:c>
      <x:c r="F25" s="47" t="str">
        <x:v>C09</x:v>
      </x:c>
      <x:c r="G25" s="47" t="str">
        <x:v>Compare semantic deltas after commitment</x:v>
      </x:c>
      <x:c r="H25" s="47" t="n">
        <x:v>1</x:v>
      </x:c>
      <x:c r="I25" s="56" t="n">
        <x:v>0</x:v>
      </x:c>
      <x:c r="J25" s="59" t="n">
        <x:f>Inputs!$B$11</x:f>
        <x:v>1</x:v>
      </x:c>
      <x:c r="K25" s="59" t="n">
        <x:f>Inputs!$B$13</x:f>
        <x:v>0</x:v>
      </x:c>
      <x:c r="L25" s="59" t="str">
        <x:f>IF(OR(J25&lt;&gt;1,K25&lt;&gt;0),"TERMINATE",IF(I25=H25,"PASS","OPEN"))</x:f>
        <x:v>OPEN</x:v>
      </x:c>
      <x:c r="M25" s="84"/>
      <x:c r="N25" s="84"/>
    </x:row>
    <x:row r="26">
      <x:c r="A26" s="47" t="str">
        <x:v>CR020</x:v>
      </x:c>
      <x:c r="B26" s="47" t="str">
        <x:v>P02</x:v>
      </x:c>
      <x:c r="C26" s="47" t="str">
        <x:v>ET-A</x:v>
      </x:c>
      <x:c r="D26" s="47" t="str">
        <x:v>ET-A-A</x:v>
      </x:c>
      <x:c r="E26" s="47" t="str">
        <x:v>VALID</x:v>
      </x:c>
      <x:c r="F26" s="47" t="str">
        <x:v>C10</x:v>
      </x:c>
      <x:c r="G26" s="47" t="str">
        <x:v>Seal divergence or acceptance packet</x:v>
      </x:c>
      <x:c r="H26" s="47" t="n">
        <x:v>1</x:v>
      </x:c>
      <x:c r="I26" s="56" t="n">
        <x:v>0</x:v>
      </x:c>
      <x:c r="J26" s="59" t="n">
        <x:f>Inputs!$B$11</x:f>
        <x:v>1</x:v>
      </x:c>
      <x:c r="K26" s="59" t="n">
        <x:f>Inputs!$B$13</x:f>
        <x:v>0</x:v>
      </x:c>
      <x:c r="L26" s="59" t="str">
        <x:f>IF(OR(J26&lt;&gt;1,K26&lt;&gt;0),"TERMINATE",IF(I26=H26,"PASS","OPEN"))</x:f>
        <x:v>OPEN</x:v>
      </x:c>
      <x:c r="M26" s="84"/>
      <x:c r="N26" s="84"/>
    </x:row>
    <x:row r="27">
      <x:c r="A27" s="47" t="str">
        <x:v>CR021</x:v>
      </x:c>
      <x:c r="B27" s="47" t="str">
        <x:v>P03</x:v>
      </x:c>
      <x:c r="C27" s="47" t="str">
        <x:v>ET-A</x:v>
      </x:c>
      <x:c r="D27" s="47" t="str">
        <x:v>ET-A-A</x:v>
      </x:c>
      <x:c r="E27" s="47" t="str">
        <x:v>CIVIL</x:v>
      </x:c>
      <x:c r="F27" s="47" t="str">
        <x:v>C01</x:v>
      </x:c>
      <x:c r="G27" s="47" t="str">
        <x:v>Receive public contract without native outputs</x:v>
      </x:c>
      <x:c r="H27" s="47" t="n">
        <x:v>1</x:v>
      </x:c>
      <x:c r="I27" s="56" t="n">
        <x:v>0</x:v>
      </x:c>
      <x:c r="J27" s="59" t="n">
        <x:f>Inputs!$B$11</x:f>
        <x:v>1</x:v>
      </x:c>
      <x:c r="K27" s="59" t="n">
        <x:f>Inputs!$B$13</x:f>
        <x:v>0</x:v>
      </x:c>
      <x:c r="L27" s="59" t="str">
        <x:f>IF(OR(J27&lt;&gt;1,K27&lt;&gt;0),"TERMINATE",IF(I27=H27,"PASS","OPEN"))</x:f>
        <x:v>OPEN</x:v>
      </x:c>
      <x:c r="M27" s="84"/>
      <x:c r="N27" s="84"/>
    </x:row>
    <x:row r="28">
      <x:c r="A28" s="47" t="str">
        <x:v>CR022</x:v>
      </x:c>
      <x:c r="B28" s="47" t="str">
        <x:v>P03</x:v>
      </x:c>
      <x:c r="C28" s="47" t="str">
        <x:v>ET-A</x:v>
      </x:c>
      <x:c r="D28" s="47" t="str">
        <x:v>ET-A-A</x:v>
      </x:c>
      <x:c r="E28" s="47" t="str">
        <x:v>CIVIL</x:v>
      </x:c>
      <x:c r="F28" s="47" t="str">
        <x:v>C02</x:v>
      </x:c>
      <x:c r="G28" s="47" t="str">
        <x:v>Declare disjoint people, control and toolchain</x:v>
      </x:c>
      <x:c r="H28" s="47" t="n">
        <x:v>1</x:v>
      </x:c>
      <x:c r="I28" s="56" t="n">
        <x:v>0</x:v>
      </x:c>
      <x:c r="J28" s="59" t="n">
        <x:f>Inputs!$B$11</x:f>
        <x:v>1</x:v>
      </x:c>
      <x:c r="K28" s="59" t="n">
        <x:f>Inputs!$B$13</x:f>
        <x:v>0</x:v>
      </x:c>
      <x:c r="L28" s="59" t="str">
        <x:f>IF(OR(J28&lt;&gt;1,K28&lt;&gt;0),"TERMINATE",IF(I28=H28,"PASS","OPEN"))</x:f>
        <x:v>OPEN</x:v>
      </x:c>
      <x:c r="M28" s="84"/>
      <x:c r="N28" s="84"/>
    </x:row>
    <x:row r="29">
      <x:c r="A29" s="47" t="str">
        <x:v>CR023</x:v>
      </x:c>
      <x:c r="B29" s="47" t="str">
        <x:v>P03</x:v>
      </x:c>
      <x:c r="C29" s="47" t="str">
        <x:v>ET-A</x:v>
      </x:c>
      <x:c r="D29" s="47" t="str">
        <x:v>ET-A-A</x:v>
      </x:c>
      <x:c r="E29" s="47" t="str">
        <x:v>CIVIL</x:v>
      </x:c>
      <x:c r="F29" s="47" t="str">
        <x:v>C03</x:v>
      </x:c>
      <x:c r="G29" s="47" t="str">
        <x:v>Reconstruct units, datums and system boundary</x:v>
      </x:c>
      <x:c r="H29" s="47" t="n">
        <x:v>1</x:v>
      </x:c>
      <x:c r="I29" s="56" t="n">
        <x:v>0</x:v>
      </x:c>
      <x:c r="J29" s="59" t="n">
        <x:f>Inputs!$B$11</x:f>
        <x:v>1</x:v>
      </x:c>
      <x:c r="K29" s="59" t="n">
        <x:f>Inputs!$B$13</x:f>
        <x:v>0</x:v>
      </x:c>
      <x:c r="L29" s="59" t="str">
        <x:f>IF(OR(J29&lt;&gt;1,K29&lt;&gt;0),"TERMINATE",IF(I29=H29,"PASS","OPEN"))</x:f>
        <x:v>OPEN</x:v>
      </x:c>
      <x:c r="M29" s="84"/>
      <x:c r="N29" s="84"/>
    </x:row>
    <x:row r="30">
      <x:c r="A30" s="47" t="str">
        <x:v>CR024</x:v>
      </x:c>
      <x:c r="B30" s="47" t="str">
        <x:v>P03</x:v>
      </x:c>
      <x:c r="C30" s="47" t="str">
        <x:v>ET-A</x:v>
      </x:c>
      <x:c r="D30" s="47" t="str">
        <x:v>ET-A-A</x:v>
      </x:c>
      <x:c r="E30" s="47" t="str">
        <x:v>CIVIL</x:v>
      </x:c>
      <x:c r="F30" s="47" t="str">
        <x:v>C04</x:v>
      </x:c>
      <x:c r="G30" s="47" t="str">
        <x:v>Reimplement the causal model</x:v>
      </x:c>
      <x:c r="H30" s="47" t="n">
        <x:v>1</x:v>
      </x:c>
      <x:c r="I30" s="56" t="n">
        <x:v>0</x:v>
      </x:c>
      <x:c r="J30" s="59" t="n">
        <x:f>Inputs!$B$11</x:f>
        <x:v>1</x:v>
      </x:c>
      <x:c r="K30" s="59" t="n">
        <x:f>Inputs!$B$13</x:f>
        <x:v>0</x:v>
      </x:c>
      <x:c r="L30" s="59" t="str">
        <x:f>IF(OR(J30&lt;&gt;1,K30&lt;&gt;0),"TERMINATE",IF(I30=H30,"PASS","OPEN"))</x:f>
        <x:v>OPEN</x:v>
      </x:c>
      <x:c r="M30" s="84"/>
      <x:c r="N30" s="84"/>
    </x:row>
    <x:row r="31">
      <x:c r="A31" s="47" t="str">
        <x:v>CR025</x:v>
      </x:c>
      <x:c r="B31" s="47" t="str">
        <x:v>P03</x:v>
      </x:c>
      <x:c r="C31" s="47" t="str">
        <x:v>ET-A</x:v>
      </x:c>
      <x:c r="D31" s="47" t="str">
        <x:v>ET-A-A</x:v>
      </x:c>
      <x:c r="E31" s="47" t="str">
        <x:v>CIVIL</x:v>
      </x:c>
      <x:c r="F31" s="47" t="str">
        <x:v>C05</x:v>
      </x:c>
      <x:c r="G31" s="47" t="str">
        <x:v>Rebuild material and process assumptions</x:v>
      </x:c>
      <x:c r="H31" s="47" t="n">
        <x:v>1</x:v>
      </x:c>
      <x:c r="I31" s="56" t="n">
        <x:v>0</x:v>
      </x:c>
      <x:c r="J31" s="59" t="n">
        <x:f>Inputs!$B$11</x:f>
        <x:v>1</x:v>
      </x:c>
      <x:c r="K31" s="59" t="n">
        <x:f>Inputs!$B$13</x:f>
        <x:v>0</x:v>
      </x:c>
      <x:c r="L31" s="59" t="str">
        <x:f>IF(OR(J31&lt;&gt;1,K31&lt;&gt;0),"TERMINATE",IF(I31=H31,"PASS","OPEN"))</x:f>
        <x:v>OPEN</x:v>
      </x:c>
      <x:c r="M31" s="84"/>
      <x:c r="N31" s="84"/>
    </x:row>
    <x:row r="32">
      <x:c r="A32" s="47" t="str">
        <x:v>CR026</x:v>
      </x:c>
      <x:c r="B32" s="47" t="str">
        <x:v>P03</x:v>
      </x:c>
      <x:c r="C32" s="47" t="str">
        <x:v>ET-A</x:v>
      </x:c>
      <x:c r="D32" s="47" t="str">
        <x:v>ET-A-A</x:v>
      </x:c>
      <x:c r="E32" s="47" t="str">
        <x:v>CIVIL</x:v>
      </x:c>
      <x:c r="F32" s="47" t="str">
        <x:v>C06</x:v>
      </x:c>
      <x:c r="G32" s="47" t="str">
        <x:v>Recreate the frozen challenge case</x:v>
      </x:c>
      <x:c r="H32" s="47" t="n">
        <x:v>1</x:v>
      </x:c>
      <x:c r="I32" s="56" t="n">
        <x:v>0</x:v>
      </x:c>
      <x:c r="J32" s="59" t="n">
        <x:f>Inputs!$B$11</x:f>
        <x:v>1</x:v>
      </x:c>
      <x:c r="K32" s="59" t="n">
        <x:f>Inputs!$B$13</x:f>
        <x:v>0</x:v>
      </x:c>
      <x:c r="L32" s="59" t="str">
        <x:f>IF(OR(J32&lt;&gt;1,K32&lt;&gt;0),"TERMINATE",IF(I32=H32,"PASS","OPEN"))</x:f>
        <x:v>OPEN</x:v>
      </x:c>
      <x:c r="M32" s="84"/>
      <x:c r="N32" s="84"/>
    </x:row>
    <x:row r="33">
      <x:c r="A33" s="47" t="str">
        <x:v>CR027</x:v>
      </x:c>
      <x:c r="B33" s="47" t="str">
        <x:v>P03</x:v>
      </x:c>
      <x:c r="C33" s="47" t="str">
        <x:v>ET-A</x:v>
      </x:c>
      <x:c r="D33" s="47" t="str">
        <x:v>ET-A-A</x:v>
      </x:c>
      <x:c r="E33" s="47" t="str">
        <x:v>CIVIL</x:v>
      </x:c>
      <x:c r="F33" s="47" t="str">
        <x:v>C07</x:v>
      </x:c>
      <x:c r="G33" s="47" t="str">
        <x:v>Calculate six invariants independently</x:v>
      </x:c>
      <x:c r="H33" s="47" t="n">
        <x:v>1</x:v>
      </x:c>
      <x:c r="I33" s="56" t="n">
        <x:v>0</x:v>
      </x:c>
      <x:c r="J33" s="59" t="n">
        <x:f>Inputs!$B$11</x:f>
        <x:v>1</x:v>
      </x:c>
      <x:c r="K33" s="59" t="n">
        <x:f>Inputs!$B$13</x:f>
        <x:v>0</x:v>
      </x:c>
      <x:c r="L33" s="59" t="str">
        <x:f>IF(OR(J33&lt;&gt;1,K33&lt;&gt;0),"TERMINATE",IF(I33=H33,"PASS","OPEN"))</x:f>
        <x:v>OPEN</x:v>
      </x:c>
      <x:c r="M33" s="84"/>
      <x:c r="N33" s="84"/>
    </x:row>
    <x:row r="34">
      <x:c r="A34" s="47" t="str">
        <x:v>CR028</x:v>
      </x:c>
      <x:c r="B34" s="47" t="str">
        <x:v>P03</x:v>
      </x:c>
      <x:c r="C34" s="47" t="str">
        <x:v>ET-A</x:v>
      </x:c>
      <x:c r="D34" s="47" t="str">
        <x:v>ET-A-A</x:v>
      </x:c>
      <x:c r="E34" s="47" t="str">
        <x:v>CIVIL</x:v>
      </x:c>
      <x:c r="F34" s="47" t="str">
        <x:v>C08</x:v>
      </x:c>
      <x:c r="G34" s="47" t="str">
        <x:v>Commit results before native disclosure</x:v>
      </x:c>
      <x:c r="H34" s="47" t="n">
        <x:v>1</x:v>
      </x:c>
      <x:c r="I34" s="56" t="n">
        <x:v>0</x:v>
      </x:c>
      <x:c r="J34" s="59" t="n">
        <x:f>Inputs!$B$11</x:f>
        <x:v>1</x:v>
      </x:c>
      <x:c r="K34" s="59" t="n">
        <x:f>Inputs!$B$13</x:f>
        <x:v>0</x:v>
      </x:c>
      <x:c r="L34" s="59" t="str">
        <x:f>IF(OR(J34&lt;&gt;1,K34&lt;&gt;0),"TERMINATE",IF(I34=H34,"PASS","OPEN"))</x:f>
        <x:v>OPEN</x:v>
      </x:c>
      <x:c r="M34" s="84"/>
      <x:c r="N34" s="84"/>
    </x:row>
    <x:row r="35">
      <x:c r="A35" s="47" t="str">
        <x:v>CR029</x:v>
      </x:c>
      <x:c r="B35" s="47" t="str">
        <x:v>P03</x:v>
      </x:c>
      <x:c r="C35" s="47" t="str">
        <x:v>ET-A</x:v>
      </x:c>
      <x:c r="D35" s="47" t="str">
        <x:v>ET-A-A</x:v>
      </x:c>
      <x:c r="E35" s="47" t="str">
        <x:v>CIVIL</x:v>
      </x:c>
      <x:c r="F35" s="47" t="str">
        <x:v>C09</x:v>
      </x:c>
      <x:c r="G35" s="47" t="str">
        <x:v>Compare semantic deltas after commitment</x:v>
      </x:c>
      <x:c r="H35" s="47" t="n">
        <x:v>1</x:v>
      </x:c>
      <x:c r="I35" s="56" t="n">
        <x:v>0</x:v>
      </x:c>
      <x:c r="J35" s="59" t="n">
        <x:f>Inputs!$B$11</x:f>
        <x:v>1</x:v>
      </x:c>
      <x:c r="K35" s="59" t="n">
        <x:f>Inputs!$B$13</x:f>
        <x:v>0</x:v>
      </x:c>
      <x:c r="L35" s="59" t="str">
        <x:f>IF(OR(J35&lt;&gt;1,K35&lt;&gt;0),"TERMINATE",IF(I35=H35,"PASS","OPEN"))</x:f>
        <x:v>OPEN</x:v>
      </x:c>
      <x:c r="M35" s="84"/>
      <x:c r="N35" s="84"/>
    </x:row>
    <x:row r="36">
      <x:c r="A36" s="47" t="str">
        <x:v>CR030</x:v>
      </x:c>
      <x:c r="B36" s="47" t="str">
        <x:v>P03</x:v>
      </x:c>
      <x:c r="C36" s="47" t="str">
        <x:v>ET-A</x:v>
      </x:c>
      <x:c r="D36" s="47" t="str">
        <x:v>ET-A-A</x:v>
      </x:c>
      <x:c r="E36" s="47" t="str">
        <x:v>CIVIL</x:v>
      </x:c>
      <x:c r="F36" s="47" t="str">
        <x:v>C10</x:v>
      </x:c>
      <x:c r="G36" s="47" t="str">
        <x:v>Seal divergence or acceptance packet</x:v>
      </x:c>
      <x:c r="H36" s="47" t="n">
        <x:v>1</x:v>
      </x:c>
      <x:c r="I36" s="56" t="n">
        <x:v>0</x:v>
      </x:c>
      <x:c r="J36" s="59" t="n">
        <x:f>Inputs!$B$11</x:f>
        <x:v>1</x:v>
      </x:c>
      <x:c r="K36" s="59" t="n">
        <x:f>Inputs!$B$13</x:f>
        <x:v>0</x:v>
      </x:c>
      <x:c r="L36" s="59" t="str">
        <x:f>IF(OR(J36&lt;&gt;1,K36&lt;&gt;0),"TERMINATE",IF(I36=H36,"PASS","OPEN"))</x:f>
        <x:v>OPEN</x:v>
      </x:c>
      <x:c r="M36" s="84"/>
      <x:c r="N36" s="84"/>
    </x:row>
    <x:row r="37">
      <x:c r="A37" s="47" t="str">
        <x:v>CR031</x:v>
      </x:c>
      <x:c r="B37" s="47" t="str">
        <x:v>P04</x:v>
      </x:c>
      <x:c r="C37" s="47" t="str">
        <x:v>ET-A</x:v>
      </x:c>
      <x:c r="D37" s="47" t="str">
        <x:v>ET-A-A</x:v>
      </x:c>
      <x:c r="E37" s="47" t="str">
        <x:v>ARTICLE</x:v>
      </x:c>
      <x:c r="F37" s="47" t="str">
        <x:v>C01</x:v>
      </x:c>
      <x:c r="G37" s="47" t="str">
        <x:v>Receive public contract without native outputs</x:v>
      </x:c>
      <x:c r="H37" s="47" t="n">
        <x:v>1</x:v>
      </x:c>
      <x:c r="I37" s="56" t="n">
        <x:v>0</x:v>
      </x:c>
      <x:c r="J37" s="59" t="n">
        <x:f>Inputs!$B$11</x:f>
        <x:v>1</x:v>
      </x:c>
      <x:c r="K37" s="59" t="n">
        <x:f>Inputs!$B$13</x:f>
        <x:v>0</x:v>
      </x:c>
      <x:c r="L37" s="59" t="str">
        <x:f>IF(OR(J37&lt;&gt;1,K37&lt;&gt;0),"TERMINATE",IF(I37=H37,"PASS","OPEN"))</x:f>
        <x:v>OPEN</x:v>
      </x:c>
      <x:c r="M37" s="84"/>
      <x:c r="N37" s="84"/>
    </x:row>
    <x:row r="38">
      <x:c r="A38" s="47" t="str">
        <x:v>CR032</x:v>
      </x:c>
      <x:c r="B38" s="47" t="str">
        <x:v>P04</x:v>
      </x:c>
      <x:c r="C38" s="47" t="str">
        <x:v>ET-A</x:v>
      </x:c>
      <x:c r="D38" s="47" t="str">
        <x:v>ET-A-A</x:v>
      </x:c>
      <x:c r="E38" s="47" t="str">
        <x:v>ARTICLE</x:v>
      </x:c>
      <x:c r="F38" s="47" t="str">
        <x:v>C02</x:v>
      </x:c>
      <x:c r="G38" s="47" t="str">
        <x:v>Declare disjoint people, control and toolchain</x:v>
      </x:c>
      <x:c r="H38" s="47" t="n">
        <x:v>1</x:v>
      </x:c>
      <x:c r="I38" s="56" t="n">
        <x:v>0</x:v>
      </x:c>
      <x:c r="J38" s="59" t="n">
        <x:f>Inputs!$B$11</x:f>
        <x:v>1</x:v>
      </x:c>
      <x:c r="K38" s="59" t="n">
        <x:f>Inputs!$B$13</x:f>
        <x:v>0</x:v>
      </x:c>
      <x:c r="L38" s="59" t="str">
        <x:f>IF(OR(J38&lt;&gt;1,K38&lt;&gt;0),"TERMINATE",IF(I38=H38,"PASS","OPEN"))</x:f>
        <x:v>OPEN</x:v>
      </x:c>
      <x:c r="M38" s="84"/>
      <x:c r="N38" s="84"/>
    </x:row>
    <x:row r="39">
      <x:c r="A39" s="47" t="str">
        <x:v>CR033</x:v>
      </x:c>
      <x:c r="B39" s="47" t="str">
        <x:v>P04</x:v>
      </x:c>
      <x:c r="C39" s="47" t="str">
        <x:v>ET-A</x:v>
      </x:c>
      <x:c r="D39" s="47" t="str">
        <x:v>ET-A-A</x:v>
      </x:c>
      <x:c r="E39" s="47" t="str">
        <x:v>ARTICLE</x:v>
      </x:c>
      <x:c r="F39" s="47" t="str">
        <x:v>C03</x:v>
      </x:c>
      <x:c r="G39" s="47" t="str">
        <x:v>Reconstruct units, datums and system boundary</x:v>
      </x:c>
      <x:c r="H39" s="47" t="n">
        <x:v>1</x:v>
      </x:c>
      <x:c r="I39" s="56" t="n">
        <x:v>0</x:v>
      </x:c>
      <x:c r="J39" s="59" t="n">
        <x:f>Inputs!$B$11</x:f>
        <x:v>1</x:v>
      </x:c>
      <x:c r="K39" s="59" t="n">
        <x:f>Inputs!$B$13</x:f>
        <x:v>0</x:v>
      </x:c>
      <x:c r="L39" s="59" t="str">
        <x:f>IF(OR(J39&lt;&gt;1,K39&lt;&gt;0),"TERMINATE",IF(I39=H39,"PASS","OPEN"))</x:f>
        <x:v>OPEN</x:v>
      </x:c>
      <x:c r="M39" s="84"/>
      <x:c r="N39" s="84"/>
    </x:row>
    <x:row r="40">
      <x:c r="A40" s="47" t="str">
        <x:v>CR034</x:v>
      </x:c>
      <x:c r="B40" s="47" t="str">
        <x:v>P04</x:v>
      </x:c>
      <x:c r="C40" s="47" t="str">
        <x:v>ET-A</x:v>
      </x:c>
      <x:c r="D40" s="47" t="str">
        <x:v>ET-A-A</x:v>
      </x:c>
      <x:c r="E40" s="47" t="str">
        <x:v>ARTICLE</x:v>
      </x:c>
      <x:c r="F40" s="47" t="str">
        <x:v>C04</x:v>
      </x:c>
      <x:c r="G40" s="47" t="str">
        <x:v>Reimplement the causal model</x:v>
      </x:c>
      <x:c r="H40" s="47" t="n">
        <x:v>1</x:v>
      </x:c>
      <x:c r="I40" s="56" t="n">
        <x:v>0</x:v>
      </x:c>
      <x:c r="J40" s="59" t="n">
        <x:f>Inputs!$B$11</x:f>
        <x:v>1</x:v>
      </x:c>
      <x:c r="K40" s="59" t="n">
        <x:f>Inputs!$B$13</x:f>
        <x:v>0</x:v>
      </x:c>
      <x:c r="L40" s="59" t="str">
        <x:f>IF(OR(J40&lt;&gt;1,K40&lt;&gt;0),"TERMINATE",IF(I40=H40,"PASS","OPEN"))</x:f>
        <x:v>OPEN</x:v>
      </x:c>
      <x:c r="M40" s="84"/>
      <x:c r="N40" s="84"/>
    </x:row>
    <x:row r="41">
      <x:c r="A41" s="47" t="str">
        <x:v>CR035</x:v>
      </x:c>
      <x:c r="B41" s="47" t="str">
        <x:v>P04</x:v>
      </x:c>
      <x:c r="C41" s="47" t="str">
        <x:v>ET-A</x:v>
      </x:c>
      <x:c r="D41" s="47" t="str">
        <x:v>ET-A-A</x:v>
      </x:c>
      <x:c r="E41" s="47" t="str">
        <x:v>ARTICLE</x:v>
      </x:c>
      <x:c r="F41" s="47" t="str">
        <x:v>C05</x:v>
      </x:c>
      <x:c r="G41" s="47" t="str">
        <x:v>Rebuild material and process assumptions</x:v>
      </x:c>
      <x:c r="H41" s="47" t="n">
        <x:v>1</x:v>
      </x:c>
      <x:c r="I41" s="56" t="n">
        <x:v>0</x:v>
      </x:c>
      <x:c r="J41" s="59" t="n">
        <x:f>Inputs!$B$11</x:f>
        <x:v>1</x:v>
      </x:c>
      <x:c r="K41" s="59" t="n">
        <x:f>Inputs!$B$13</x:f>
        <x:v>0</x:v>
      </x:c>
      <x:c r="L41" s="59" t="str">
        <x:f>IF(OR(J41&lt;&gt;1,K41&lt;&gt;0),"TERMINATE",IF(I41=H41,"PASS","OPEN"))</x:f>
        <x:v>OPEN</x:v>
      </x:c>
      <x:c r="M41" s="84"/>
      <x:c r="N41" s="84"/>
    </x:row>
    <x:row r="42">
      <x:c r="A42" s="47" t="str">
        <x:v>CR036</x:v>
      </x:c>
      <x:c r="B42" s="47" t="str">
        <x:v>P04</x:v>
      </x:c>
      <x:c r="C42" s="47" t="str">
        <x:v>ET-A</x:v>
      </x:c>
      <x:c r="D42" s="47" t="str">
        <x:v>ET-A-A</x:v>
      </x:c>
      <x:c r="E42" s="47" t="str">
        <x:v>ARTICLE</x:v>
      </x:c>
      <x:c r="F42" s="47" t="str">
        <x:v>C06</x:v>
      </x:c>
      <x:c r="G42" s="47" t="str">
        <x:v>Recreate the frozen challenge case</x:v>
      </x:c>
      <x:c r="H42" s="47" t="n">
        <x:v>1</x:v>
      </x:c>
      <x:c r="I42" s="56" t="n">
        <x:v>0</x:v>
      </x:c>
      <x:c r="J42" s="59" t="n">
        <x:f>Inputs!$B$11</x:f>
        <x:v>1</x:v>
      </x:c>
      <x:c r="K42" s="59" t="n">
        <x:f>Inputs!$B$13</x:f>
        <x:v>0</x:v>
      </x:c>
      <x:c r="L42" s="59" t="str">
        <x:f>IF(OR(J42&lt;&gt;1,K42&lt;&gt;0),"TERMINATE",IF(I42=H42,"PASS","OPEN"))</x:f>
        <x:v>OPEN</x:v>
      </x:c>
      <x:c r="M42" s="84"/>
      <x:c r="N42" s="84"/>
    </x:row>
    <x:row r="43">
      <x:c r="A43" s="47" t="str">
        <x:v>CR037</x:v>
      </x:c>
      <x:c r="B43" s="47" t="str">
        <x:v>P04</x:v>
      </x:c>
      <x:c r="C43" s="47" t="str">
        <x:v>ET-A</x:v>
      </x:c>
      <x:c r="D43" s="47" t="str">
        <x:v>ET-A-A</x:v>
      </x:c>
      <x:c r="E43" s="47" t="str">
        <x:v>ARTICLE</x:v>
      </x:c>
      <x:c r="F43" s="47" t="str">
        <x:v>C07</x:v>
      </x:c>
      <x:c r="G43" s="47" t="str">
        <x:v>Calculate six invariants independently</x:v>
      </x:c>
      <x:c r="H43" s="47" t="n">
        <x:v>1</x:v>
      </x:c>
      <x:c r="I43" s="56" t="n">
        <x:v>0</x:v>
      </x:c>
      <x:c r="J43" s="59" t="n">
        <x:f>Inputs!$B$11</x:f>
        <x:v>1</x:v>
      </x:c>
      <x:c r="K43" s="59" t="n">
        <x:f>Inputs!$B$13</x:f>
        <x:v>0</x:v>
      </x:c>
      <x:c r="L43" s="59" t="str">
        <x:f>IF(OR(J43&lt;&gt;1,K43&lt;&gt;0),"TERMINATE",IF(I43=H43,"PASS","OPEN"))</x:f>
        <x:v>OPEN</x:v>
      </x:c>
      <x:c r="M43" s="84"/>
      <x:c r="N43" s="84"/>
    </x:row>
    <x:row r="44">
      <x:c r="A44" s="47" t="str">
        <x:v>CR038</x:v>
      </x:c>
      <x:c r="B44" s="47" t="str">
        <x:v>P04</x:v>
      </x:c>
      <x:c r="C44" s="47" t="str">
        <x:v>ET-A</x:v>
      </x:c>
      <x:c r="D44" s="47" t="str">
        <x:v>ET-A-A</x:v>
      </x:c>
      <x:c r="E44" s="47" t="str">
        <x:v>ARTICLE</x:v>
      </x:c>
      <x:c r="F44" s="47" t="str">
        <x:v>C08</x:v>
      </x:c>
      <x:c r="G44" s="47" t="str">
        <x:v>Commit results before native disclosure</x:v>
      </x:c>
      <x:c r="H44" s="47" t="n">
        <x:v>1</x:v>
      </x:c>
      <x:c r="I44" s="56" t="n">
        <x:v>0</x:v>
      </x:c>
      <x:c r="J44" s="59" t="n">
        <x:f>Inputs!$B$11</x:f>
        <x:v>1</x:v>
      </x:c>
      <x:c r="K44" s="59" t="n">
        <x:f>Inputs!$B$13</x:f>
        <x:v>0</x:v>
      </x:c>
      <x:c r="L44" s="59" t="str">
        <x:f>IF(OR(J44&lt;&gt;1,K44&lt;&gt;0),"TERMINATE",IF(I44=H44,"PASS","OPEN"))</x:f>
        <x:v>OPEN</x:v>
      </x:c>
      <x:c r="M44" s="84"/>
      <x:c r="N44" s="84"/>
    </x:row>
    <x:row r="45">
      <x:c r="A45" s="47" t="str">
        <x:v>CR039</x:v>
      </x:c>
      <x:c r="B45" s="47" t="str">
        <x:v>P04</x:v>
      </x:c>
      <x:c r="C45" s="47" t="str">
        <x:v>ET-A</x:v>
      </x:c>
      <x:c r="D45" s="47" t="str">
        <x:v>ET-A-A</x:v>
      </x:c>
      <x:c r="E45" s="47" t="str">
        <x:v>ARTICLE</x:v>
      </x:c>
      <x:c r="F45" s="47" t="str">
        <x:v>C09</x:v>
      </x:c>
      <x:c r="G45" s="47" t="str">
        <x:v>Compare semantic deltas after commitment</x:v>
      </x:c>
      <x:c r="H45" s="47" t="n">
        <x:v>1</x:v>
      </x:c>
      <x:c r="I45" s="56" t="n">
        <x:v>0</x:v>
      </x:c>
      <x:c r="J45" s="59" t="n">
        <x:f>Inputs!$B$11</x:f>
        <x:v>1</x:v>
      </x:c>
      <x:c r="K45" s="59" t="n">
        <x:f>Inputs!$B$13</x:f>
        <x:v>0</x:v>
      </x:c>
      <x:c r="L45" s="59" t="str">
        <x:f>IF(OR(J45&lt;&gt;1,K45&lt;&gt;0),"TERMINATE",IF(I45=H45,"PASS","OPEN"))</x:f>
        <x:v>OPEN</x:v>
      </x:c>
      <x:c r="M45" s="84"/>
      <x:c r="N45" s="84"/>
    </x:row>
    <x:row r="46">
      <x:c r="A46" s="47" t="str">
        <x:v>CR040</x:v>
      </x:c>
      <x:c r="B46" s="47" t="str">
        <x:v>P04</x:v>
      </x:c>
      <x:c r="C46" s="47" t="str">
        <x:v>ET-A</x:v>
      </x:c>
      <x:c r="D46" s="47" t="str">
        <x:v>ET-A-A</x:v>
      </x:c>
      <x:c r="E46" s="47" t="str">
        <x:v>ARTICLE</x:v>
      </x:c>
      <x:c r="F46" s="47" t="str">
        <x:v>C10</x:v>
      </x:c>
      <x:c r="G46" s="47" t="str">
        <x:v>Seal divergence or acceptance packet</x:v>
      </x:c>
      <x:c r="H46" s="47" t="n">
        <x:v>1</x:v>
      </x:c>
      <x:c r="I46" s="56" t="n">
        <x:v>0</x:v>
      </x:c>
      <x:c r="J46" s="59" t="n">
        <x:f>Inputs!$B$11</x:f>
        <x:v>1</x:v>
      </x:c>
      <x:c r="K46" s="59" t="n">
        <x:f>Inputs!$B$13</x:f>
        <x:v>0</x:v>
      </x:c>
      <x:c r="L46" s="59" t="str">
        <x:f>IF(OR(J46&lt;&gt;1,K46&lt;&gt;0),"TERMINATE",IF(I46=H46,"PASS","OPEN"))</x:f>
        <x:v>OPEN</x:v>
      </x:c>
      <x:c r="M46" s="84"/>
      <x:c r="N46" s="84"/>
    </x:row>
    <x:row r="47">
      <x:c r="A47" s="47" t="str">
        <x:v>CR041</x:v>
      </x:c>
      <x:c r="B47" s="47" t="str">
        <x:v>P05</x:v>
      </x:c>
      <x:c r="C47" s="47" t="str">
        <x:v>ET-A</x:v>
      </x:c>
      <x:c r="D47" s="47" t="str">
        <x:v>ET-A-A</x:v>
      </x:c>
      <x:c r="E47" s="47" t="str">
        <x:v>REBUILD</x:v>
      </x:c>
      <x:c r="F47" s="47" t="str">
        <x:v>C01</x:v>
      </x:c>
      <x:c r="G47" s="47" t="str">
        <x:v>Receive public contract without native outputs</x:v>
      </x:c>
      <x:c r="H47" s="47" t="n">
        <x:v>1</x:v>
      </x:c>
      <x:c r="I47" s="56" t="n">
        <x:v>0</x:v>
      </x:c>
      <x:c r="J47" s="59" t="n">
        <x:f>Inputs!$B$11</x:f>
        <x:v>1</x:v>
      </x:c>
      <x:c r="K47" s="59" t="n">
        <x:f>Inputs!$B$13</x:f>
        <x:v>0</x:v>
      </x:c>
      <x:c r="L47" s="59" t="str">
        <x:f>IF(OR(J47&lt;&gt;1,K47&lt;&gt;0),"TERMINATE",IF(I47=H47,"PASS","OPEN"))</x:f>
        <x:v>OPEN</x:v>
      </x:c>
      <x:c r="M47" s="84"/>
      <x:c r="N47" s="84"/>
    </x:row>
    <x:row r="48">
      <x:c r="A48" s="47" t="str">
        <x:v>CR042</x:v>
      </x:c>
      <x:c r="B48" s="47" t="str">
        <x:v>P05</x:v>
      </x:c>
      <x:c r="C48" s="47" t="str">
        <x:v>ET-A</x:v>
      </x:c>
      <x:c r="D48" s="47" t="str">
        <x:v>ET-A-A</x:v>
      </x:c>
      <x:c r="E48" s="47" t="str">
        <x:v>REBUILD</x:v>
      </x:c>
      <x:c r="F48" s="47" t="str">
        <x:v>C02</x:v>
      </x:c>
      <x:c r="G48" s="47" t="str">
        <x:v>Declare disjoint people, control and toolchain</x:v>
      </x:c>
      <x:c r="H48" s="47" t="n">
        <x:v>1</x:v>
      </x:c>
      <x:c r="I48" s="56" t="n">
        <x:v>0</x:v>
      </x:c>
      <x:c r="J48" s="59" t="n">
        <x:f>Inputs!$B$11</x:f>
        <x:v>1</x:v>
      </x:c>
      <x:c r="K48" s="59" t="n">
        <x:f>Inputs!$B$13</x:f>
        <x:v>0</x:v>
      </x:c>
      <x:c r="L48" s="59" t="str">
        <x:f>IF(OR(J48&lt;&gt;1,K48&lt;&gt;0),"TERMINATE",IF(I48=H48,"PASS","OPEN"))</x:f>
        <x:v>OPEN</x:v>
      </x:c>
      <x:c r="M48" s="84"/>
      <x:c r="N48" s="84"/>
    </x:row>
    <x:row r="49">
      <x:c r="A49" s="47" t="str">
        <x:v>CR043</x:v>
      </x:c>
      <x:c r="B49" s="47" t="str">
        <x:v>P05</x:v>
      </x:c>
      <x:c r="C49" s="47" t="str">
        <x:v>ET-A</x:v>
      </x:c>
      <x:c r="D49" s="47" t="str">
        <x:v>ET-A-A</x:v>
      </x:c>
      <x:c r="E49" s="47" t="str">
        <x:v>REBUILD</x:v>
      </x:c>
      <x:c r="F49" s="47" t="str">
        <x:v>C03</x:v>
      </x:c>
      <x:c r="G49" s="47" t="str">
        <x:v>Reconstruct units, datums and system boundary</x:v>
      </x:c>
      <x:c r="H49" s="47" t="n">
        <x:v>1</x:v>
      </x:c>
      <x:c r="I49" s="56" t="n">
        <x:v>0</x:v>
      </x:c>
      <x:c r="J49" s="59" t="n">
        <x:f>Inputs!$B$11</x:f>
        <x:v>1</x:v>
      </x:c>
      <x:c r="K49" s="59" t="n">
        <x:f>Inputs!$B$13</x:f>
        <x:v>0</x:v>
      </x:c>
      <x:c r="L49" s="59" t="str">
        <x:f>IF(OR(J49&lt;&gt;1,K49&lt;&gt;0),"TERMINATE",IF(I49=H49,"PASS","OPEN"))</x:f>
        <x:v>OPEN</x:v>
      </x:c>
      <x:c r="M49" s="84"/>
      <x:c r="N49" s="84"/>
    </x:row>
    <x:row r="50">
      <x:c r="A50" s="47" t="str">
        <x:v>CR044</x:v>
      </x:c>
      <x:c r="B50" s="47" t="str">
        <x:v>P05</x:v>
      </x:c>
      <x:c r="C50" s="47" t="str">
        <x:v>ET-A</x:v>
      </x:c>
      <x:c r="D50" s="47" t="str">
        <x:v>ET-A-A</x:v>
      </x:c>
      <x:c r="E50" s="47" t="str">
        <x:v>REBUILD</x:v>
      </x:c>
      <x:c r="F50" s="47" t="str">
        <x:v>C04</x:v>
      </x:c>
      <x:c r="G50" s="47" t="str">
        <x:v>Reimplement the causal model</x:v>
      </x:c>
      <x:c r="H50" s="47" t="n">
        <x:v>1</x:v>
      </x:c>
      <x:c r="I50" s="56" t="n">
        <x:v>0</x:v>
      </x:c>
      <x:c r="J50" s="59" t="n">
        <x:f>Inputs!$B$11</x:f>
        <x:v>1</x:v>
      </x:c>
      <x:c r="K50" s="59" t="n">
        <x:f>Inputs!$B$13</x:f>
        <x:v>0</x:v>
      </x:c>
      <x:c r="L50" s="59" t="str">
        <x:f>IF(OR(J50&lt;&gt;1,K50&lt;&gt;0),"TERMINATE",IF(I50=H50,"PASS","OPEN"))</x:f>
        <x:v>OPEN</x:v>
      </x:c>
      <x:c r="M50" s="84"/>
      <x:c r="N50" s="84"/>
    </x:row>
    <x:row r="51">
      <x:c r="A51" s="47" t="str">
        <x:v>CR045</x:v>
      </x:c>
      <x:c r="B51" s="47" t="str">
        <x:v>P05</x:v>
      </x:c>
      <x:c r="C51" s="47" t="str">
        <x:v>ET-A</x:v>
      </x:c>
      <x:c r="D51" s="47" t="str">
        <x:v>ET-A-A</x:v>
      </x:c>
      <x:c r="E51" s="47" t="str">
        <x:v>REBUILD</x:v>
      </x:c>
      <x:c r="F51" s="47" t="str">
        <x:v>C05</x:v>
      </x:c>
      <x:c r="G51" s="47" t="str">
        <x:v>Rebuild material and process assumptions</x:v>
      </x:c>
      <x:c r="H51" s="47" t="n">
        <x:v>1</x:v>
      </x:c>
      <x:c r="I51" s="56" t="n">
        <x:v>0</x:v>
      </x:c>
      <x:c r="J51" s="59" t="n">
        <x:f>Inputs!$B$11</x:f>
        <x:v>1</x:v>
      </x:c>
      <x:c r="K51" s="59" t="n">
        <x:f>Inputs!$B$13</x:f>
        <x:v>0</x:v>
      </x:c>
      <x:c r="L51" s="59" t="str">
        <x:f>IF(OR(J51&lt;&gt;1,K51&lt;&gt;0),"TERMINATE",IF(I51=H51,"PASS","OPEN"))</x:f>
        <x:v>OPEN</x:v>
      </x:c>
      <x:c r="M51" s="84"/>
      <x:c r="N51" s="84"/>
    </x:row>
    <x:row r="52">
      <x:c r="A52" s="47" t="str">
        <x:v>CR046</x:v>
      </x:c>
      <x:c r="B52" s="47" t="str">
        <x:v>P05</x:v>
      </x:c>
      <x:c r="C52" s="47" t="str">
        <x:v>ET-A</x:v>
      </x:c>
      <x:c r="D52" s="47" t="str">
        <x:v>ET-A-A</x:v>
      </x:c>
      <x:c r="E52" s="47" t="str">
        <x:v>REBUILD</x:v>
      </x:c>
      <x:c r="F52" s="47" t="str">
        <x:v>C06</x:v>
      </x:c>
      <x:c r="G52" s="47" t="str">
        <x:v>Recreate the frozen challenge case</x:v>
      </x:c>
      <x:c r="H52" s="47" t="n">
        <x:v>1</x:v>
      </x:c>
      <x:c r="I52" s="56" t="n">
        <x:v>0</x:v>
      </x:c>
      <x:c r="J52" s="59" t="n">
        <x:f>Inputs!$B$11</x:f>
        <x:v>1</x:v>
      </x:c>
      <x:c r="K52" s="59" t="n">
        <x:f>Inputs!$B$13</x:f>
        <x:v>0</x:v>
      </x:c>
      <x:c r="L52" s="59" t="str">
        <x:f>IF(OR(J52&lt;&gt;1,K52&lt;&gt;0),"TERMINATE",IF(I52=H52,"PASS","OPEN"))</x:f>
        <x:v>OPEN</x:v>
      </x:c>
      <x:c r="M52" s="84"/>
      <x:c r="N52" s="84"/>
    </x:row>
    <x:row r="53">
      <x:c r="A53" s="47" t="str">
        <x:v>CR047</x:v>
      </x:c>
      <x:c r="B53" s="47" t="str">
        <x:v>P05</x:v>
      </x:c>
      <x:c r="C53" s="47" t="str">
        <x:v>ET-A</x:v>
      </x:c>
      <x:c r="D53" s="47" t="str">
        <x:v>ET-A-A</x:v>
      </x:c>
      <x:c r="E53" s="47" t="str">
        <x:v>REBUILD</x:v>
      </x:c>
      <x:c r="F53" s="47" t="str">
        <x:v>C07</x:v>
      </x:c>
      <x:c r="G53" s="47" t="str">
        <x:v>Calculate six invariants independently</x:v>
      </x:c>
      <x:c r="H53" s="47" t="n">
        <x:v>1</x:v>
      </x:c>
      <x:c r="I53" s="56" t="n">
        <x:v>0</x:v>
      </x:c>
      <x:c r="J53" s="59" t="n">
        <x:f>Inputs!$B$11</x:f>
        <x:v>1</x:v>
      </x:c>
      <x:c r="K53" s="59" t="n">
        <x:f>Inputs!$B$13</x:f>
        <x:v>0</x:v>
      </x:c>
      <x:c r="L53" s="59" t="str">
        <x:f>IF(OR(J53&lt;&gt;1,K53&lt;&gt;0),"TERMINATE",IF(I53=H53,"PASS","OPEN"))</x:f>
        <x:v>OPEN</x:v>
      </x:c>
      <x:c r="M53" s="84"/>
      <x:c r="N53" s="84"/>
    </x:row>
    <x:row r="54">
      <x:c r="A54" s="47" t="str">
        <x:v>CR048</x:v>
      </x:c>
      <x:c r="B54" s="47" t="str">
        <x:v>P05</x:v>
      </x:c>
      <x:c r="C54" s="47" t="str">
        <x:v>ET-A</x:v>
      </x:c>
      <x:c r="D54" s="47" t="str">
        <x:v>ET-A-A</x:v>
      </x:c>
      <x:c r="E54" s="47" t="str">
        <x:v>REBUILD</x:v>
      </x:c>
      <x:c r="F54" s="47" t="str">
        <x:v>C08</x:v>
      </x:c>
      <x:c r="G54" s="47" t="str">
        <x:v>Commit results before native disclosure</x:v>
      </x:c>
      <x:c r="H54" s="47" t="n">
        <x:v>1</x:v>
      </x:c>
      <x:c r="I54" s="56" t="n">
        <x:v>0</x:v>
      </x:c>
      <x:c r="J54" s="59" t="n">
        <x:f>Inputs!$B$11</x:f>
        <x:v>1</x:v>
      </x:c>
      <x:c r="K54" s="59" t="n">
        <x:f>Inputs!$B$13</x:f>
        <x:v>0</x:v>
      </x:c>
      <x:c r="L54" s="59" t="str">
        <x:f>IF(OR(J54&lt;&gt;1,K54&lt;&gt;0),"TERMINATE",IF(I54=H54,"PASS","OPEN"))</x:f>
        <x:v>OPEN</x:v>
      </x:c>
      <x:c r="M54" s="84"/>
      <x:c r="N54" s="84"/>
    </x:row>
    <x:row r="55">
      <x:c r="A55" s="47" t="str">
        <x:v>CR049</x:v>
      </x:c>
      <x:c r="B55" s="47" t="str">
        <x:v>P05</x:v>
      </x:c>
      <x:c r="C55" s="47" t="str">
        <x:v>ET-A</x:v>
      </x:c>
      <x:c r="D55" s="47" t="str">
        <x:v>ET-A-A</x:v>
      </x:c>
      <x:c r="E55" s="47" t="str">
        <x:v>REBUILD</x:v>
      </x:c>
      <x:c r="F55" s="47" t="str">
        <x:v>C09</x:v>
      </x:c>
      <x:c r="G55" s="47" t="str">
        <x:v>Compare semantic deltas after commitment</x:v>
      </x:c>
      <x:c r="H55" s="47" t="n">
        <x:v>1</x:v>
      </x:c>
      <x:c r="I55" s="56" t="n">
        <x:v>0</x:v>
      </x:c>
      <x:c r="J55" s="59" t="n">
        <x:f>Inputs!$B$11</x:f>
        <x:v>1</x:v>
      </x:c>
      <x:c r="K55" s="59" t="n">
        <x:f>Inputs!$B$13</x:f>
        <x:v>0</x:v>
      </x:c>
      <x:c r="L55" s="59" t="str">
        <x:f>IF(OR(J55&lt;&gt;1,K55&lt;&gt;0),"TERMINATE",IF(I55=H55,"PASS","OPEN"))</x:f>
        <x:v>OPEN</x:v>
      </x:c>
      <x:c r="M55" s="84"/>
      <x:c r="N55" s="84"/>
    </x:row>
    <x:row r="56">
      <x:c r="A56" s="47" t="str">
        <x:v>CR050</x:v>
      </x:c>
      <x:c r="B56" s="47" t="str">
        <x:v>P05</x:v>
      </x:c>
      <x:c r="C56" s="47" t="str">
        <x:v>ET-A</x:v>
      </x:c>
      <x:c r="D56" s="47" t="str">
        <x:v>ET-A-A</x:v>
      </x:c>
      <x:c r="E56" s="47" t="str">
        <x:v>REBUILD</x:v>
      </x:c>
      <x:c r="F56" s="47" t="str">
        <x:v>C10</x:v>
      </x:c>
      <x:c r="G56" s="47" t="str">
        <x:v>Seal divergence or acceptance packet</x:v>
      </x:c>
      <x:c r="H56" s="47" t="n">
        <x:v>1</x:v>
      </x:c>
      <x:c r="I56" s="56" t="n">
        <x:v>0</x:v>
      </x:c>
      <x:c r="J56" s="59" t="n">
        <x:f>Inputs!$B$11</x:f>
        <x:v>1</x:v>
      </x:c>
      <x:c r="K56" s="59" t="n">
        <x:f>Inputs!$B$13</x:f>
        <x:v>0</x:v>
      </x:c>
      <x:c r="L56" s="59" t="str">
        <x:f>IF(OR(J56&lt;&gt;1,K56&lt;&gt;0),"TERMINATE",IF(I56=H56,"PASS","OPEN"))</x:f>
        <x:v>OPEN</x:v>
      </x:c>
      <x:c r="M56" s="84"/>
      <x:c r="N56" s="84"/>
    </x:row>
    <x:row r="57">
      <x:c r="A57" s="47" t="str">
        <x:v>CR051</x:v>
      </x:c>
      <x:c r="B57" s="47" t="str">
        <x:v>P06</x:v>
      </x:c>
      <x:c r="C57" s="47" t="str">
        <x:v>CT-C</x:v>
      </x:c>
      <x:c r="D57" s="47" t="str">
        <x:v>CT-C-B</x:v>
      </x:c>
      <x:c r="E57" s="47" t="str">
        <x:v>METHOD</x:v>
      </x:c>
      <x:c r="F57" s="47" t="str">
        <x:v>C01</x:v>
      </x:c>
      <x:c r="G57" s="47" t="str">
        <x:v>Receive public contract without native outputs</x:v>
      </x:c>
      <x:c r="H57" s="47" t="n">
        <x:v>1</x:v>
      </x:c>
      <x:c r="I57" s="56" t="n">
        <x:v>0</x:v>
      </x:c>
      <x:c r="J57" s="59" t="n">
        <x:f>Inputs!$B$11</x:f>
        <x:v>1</x:v>
      </x:c>
      <x:c r="K57" s="59" t="n">
        <x:f>Inputs!$B$13</x:f>
        <x:v>0</x:v>
      </x:c>
      <x:c r="L57" s="59" t="str">
        <x:f>IF(OR(J57&lt;&gt;1,K57&lt;&gt;0),"TERMINATE",IF(I57=H57,"PASS","OPEN"))</x:f>
        <x:v>OPEN</x:v>
      </x:c>
      <x:c r="M57" s="84"/>
      <x:c r="N57" s="84"/>
    </x:row>
    <x:row r="58">
      <x:c r="A58" s="47" t="str">
        <x:v>CR052</x:v>
      </x:c>
      <x:c r="B58" s="47" t="str">
        <x:v>P06</x:v>
      </x:c>
      <x:c r="C58" s="47" t="str">
        <x:v>CT-C</x:v>
      </x:c>
      <x:c r="D58" s="47" t="str">
        <x:v>CT-C-B</x:v>
      </x:c>
      <x:c r="E58" s="47" t="str">
        <x:v>METHOD</x:v>
      </x:c>
      <x:c r="F58" s="47" t="str">
        <x:v>C02</x:v>
      </x:c>
      <x:c r="G58" s="47" t="str">
        <x:v>Declare disjoint people, control and toolchain</x:v>
      </x:c>
      <x:c r="H58" s="47" t="n">
        <x:v>1</x:v>
      </x:c>
      <x:c r="I58" s="56" t="n">
        <x:v>0</x:v>
      </x:c>
      <x:c r="J58" s="59" t="n">
        <x:f>Inputs!$B$11</x:f>
        <x:v>1</x:v>
      </x:c>
      <x:c r="K58" s="59" t="n">
        <x:f>Inputs!$B$13</x:f>
        <x:v>0</x:v>
      </x:c>
      <x:c r="L58" s="59" t="str">
        <x:f>IF(OR(J58&lt;&gt;1,K58&lt;&gt;0),"TERMINATE",IF(I58=H58,"PASS","OPEN"))</x:f>
        <x:v>OPEN</x:v>
      </x:c>
      <x:c r="M58" s="84"/>
      <x:c r="N58" s="84"/>
    </x:row>
    <x:row r="59">
      <x:c r="A59" s="47" t="str">
        <x:v>CR053</x:v>
      </x:c>
      <x:c r="B59" s="47" t="str">
        <x:v>P06</x:v>
      </x:c>
      <x:c r="C59" s="47" t="str">
        <x:v>CT-C</x:v>
      </x:c>
      <x:c r="D59" s="47" t="str">
        <x:v>CT-C-B</x:v>
      </x:c>
      <x:c r="E59" s="47" t="str">
        <x:v>METHOD</x:v>
      </x:c>
      <x:c r="F59" s="47" t="str">
        <x:v>C03</x:v>
      </x:c>
      <x:c r="G59" s="47" t="str">
        <x:v>Reconstruct units, datums and system boundary</x:v>
      </x:c>
      <x:c r="H59" s="47" t="n">
        <x:v>1</x:v>
      </x:c>
      <x:c r="I59" s="56" t="n">
        <x:v>0</x:v>
      </x:c>
      <x:c r="J59" s="59" t="n">
        <x:f>Inputs!$B$11</x:f>
        <x:v>1</x:v>
      </x:c>
      <x:c r="K59" s="59" t="n">
        <x:f>Inputs!$B$13</x:f>
        <x:v>0</x:v>
      </x:c>
      <x:c r="L59" s="59" t="str">
        <x:f>IF(OR(J59&lt;&gt;1,K59&lt;&gt;0),"TERMINATE",IF(I59=H59,"PASS","OPEN"))</x:f>
        <x:v>OPEN</x:v>
      </x:c>
      <x:c r="M59" s="84"/>
      <x:c r="N59" s="84"/>
    </x:row>
    <x:row r="60">
      <x:c r="A60" s="47" t="str">
        <x:v>CR054</x:v>
      </x:c>
      <x:c r="B60" s="47" t="str">
        <x:v>P06</x:v>
      </x:c>
      <x:c r="C60" s="47" t="str">
        <x:v>CT-C</x:v>
      </x:c>
      <x:c r="D60" s="47" t="str">
        <x:v>CT-C-B</x:v>
      </x:c>
      <x:c r="E60" s="47" t="str">
        <x:v>METHOD</x:v>
      </x:c>
      <x:c r="F60" s="47" t="str">
        <x:v>C04</x:v>
      </x:c>
      <x:c r="G60" s="47" t="str">
        <x:v>Reimplement the causal model</x:v>
      </x:c>
      <x:c r="H60" s="47" t="n">
        <x:v>1</x:v>
      </x:c>
      <x:c r="I60" s="56" t="n">
        <x:v>0</x:v>
      </x:c>
      <x:c r="J60" s="59" t="n">
        <x:f>Inputs!$B$11</x:f>
        <x:v>1</x:v>
      </x:c>
      <x:c r="K60" s="59" t="n">
        <x:f>Inputs!$B$13</x:f>
        <x:v>0</x:v>
      </x:c>
      <x:c r="L60" s="59" t="str">
        <x:f>IF(OR(J60&lt;&gt;1,K60&lt;&gt;0),"TERMINATE",IF(I60=H60,"PASS","OPEN"))</x:f>
        <x:v>OPEN</x:v>
      </x:c>
      <x:c r="M60" s="84"/>
      <x:c r="N60" s="84"/>
    </x:row>
    <x:row r="61">
      <x:c r="A61" s="47" t="str">
        <x:v>CR055</x:v>
      </x:c>
      <x:c r="B61" s="47" t="str">
        <x:v>P06</x:v>
      </x:c>
      <x:c r="C61" s="47" t="str">
        <x:v>CT-C</x:v>
      </x:c>
      <x:c r="D61" s="47" t="str">
        <x:v>CT-C-B</x:v>
      </x:c>
      <x:c r="E61" s="47" t="str">
        <x:v>METHOD</x:v>
      </x:c>
      <x:c r="F61" s="47" t="str">
        <x:v>C05</x:v>
      </x:c>
      <x:c r="G61" s="47" t="str">
        <x:v>Rebuild material and process assumptions</x:v>
      </x:c>
      <x:c r="H61" s="47" t="n">
        <x:v>1</x:v>
      </x:c>
      <x:c r="I61" s="56" t="n">
        <x:v>0</x:v>
      </x:c>
      <x:c r="J61" s="59" t="n">
        <x:f>Inputs!$B$11</x:f>
        <x:v>1</x:v>
      </x:c>
      <x:c r="K61" s="59" t="n">
        <x:f>Inputs!$B$13</x:f>
        <x:v>0</x:v>
      </x:c>
      <x:c r="L61" s="59" t="str">
        <x:f>IF(OR(J61&lt;&gt;1,K61&lt;&gt;0),"TERMINATE",IF(I61=H61,"PASS","OPEN"))</x:f>
        <x:v>OPEN</x:v>
      </x:c>
      <x:c r="M61" s="84"/>
      <x:c r="N61" s="84"/>
    </x:row>
    <x:row r="62">
      <x:c r="A62" s="47" t="str">
        <x:v>CR056</x:v>
      </x:c>
      <x:c r="B62" s="47" t="str">
        <x:v>P06</x:v>
      </x:c>
      <x:c r="C62" s="47" t="str">
        <x:v>CT-C</x:v>
      </x:c>
      <x:c r="D62" s="47" t="str">
        <x:v>CT-C-B</x:v>
      </x:c>
      <x:c r="E62" s="47" t="str">
        <x:v>METHOD</x:v>
      </x:c>
      <x:c r="F62" s="47" t="str">
        <x:v>C06</x:v>
      </x:c>
      <x:c r="G62" s="47" t="str">
        <x:v>Recreate the frozen challenge case</x:v>
      </x:c>
      <x:c r="H62" s="47" t="n">
        <x:v>1</x:v>
      </x:c>
      <x:c r="I62" s="56" t="n">
        <x:v>0</x:v>
      </x:c>
      <x:c r="J62" s="59" t="n">
        <x:f>Inputs!$B$11</x:f>
        <x:v>1</x:v>
      </x:c>
      <x:c r="K62" s="59" t="n">
        <x:f>Inputs!$B$13</x:f>
        <x:v>0</x:v>
      </x:c>
      <x:c r="L62" s="59" t="str">
        <x:f>IF(OR(J62&lt;&gt;1,K62&lt;&gt;0),"TERMINATE",IF(I62=H62,"PASS","OPEN"))</x:f>
        <x:v>OPEN</x:v>
      </x:c>
      <x:c r="M62" s="84"/>
      <x:c r="N62" s="84"/>
    </x:row>
    <x:row r="63">
      <x:c r="A63" s="47" t="str">
        <x:v>CR057</x:v>
      </x:c>
      <x:c r="B63" s="47" t="str">
        <x:v>P06</x:v>
      </x:c>
      <x:c r="C63" s="47" t="str">
        <x:v>CT-C</x:v>
      </x:c>
      <x:c r="D63" s="47" t="str">
        <x:v>CT-C-B</x:v>
      </x:c>
      <x:c r="E63" s="47" t="str">
        <x:v>METHOD</x:v>
      </x:c>
      <x:c r="F63" s="47" t="str">
        <x:v>C07</x:v>
      </x:c>
      <x:c r="G63" s="47" t="str">
        <x:v>Calculate six invariants independently</x:v>
      </x:c>
      <x:c r="H63" s="47" t="n">
        <x:v>1</x:v>
      </x:c>
      <x:c r="I63" s="56" t="n">
        <x:v>0</x:v>
      </x:c>
      <x:c r="J63" s="59" t="n">
        <x:f>Inputs!$B$11</x:f>
        <x:v>1</x:v>
      </x:c>
      <x:c r="K63" s="59" t="n">
        <x:f>Inputs!$B$13</x:f>
        <x:v>0</x:v>
      </x:c>
      <x:c r="L63" s="59" t="str">
        <x:f>IF(OR(J63&lt;&gt;1,K63&lt;&gt;0),"TERMINATE",IF(I63=H63,"PASS","OPEN"))</x:f>
        <x:v>OPEN</x:v>
      </x:c>
      <x:c r="M63" s="84"/>
      <x:c r="N63" s="84"/>
    </x:row>
    <x:row r="64">
      <x:c r="A64" s="47" t="str">
        <x:v>CR058</x:v>
      </x:c>
      <x:c r="B64" s="47" t="str">
        <x:v>P06</x:v>
      </x:c>
      <x:c r="C64" s="47" t="str">
        <x:v>CT-C</x:v>
      </x:c>
      <x:c r="D64" s="47" t="str">
        <x:v>CT-C-B</x:v>
      </x:c>
      <x:c r="E64" s="47" t="str">
        <x:v>METHOD</x:v>
      </x:c>
      <x:c r="F64" s="47" t="str">
        <x:v>C08</x:v>
      </x:c>
      <x:c r="G64" s="47" t="str">
        <x:v>Commit results before native disclosure</x:v>
      </x:c>
      <x:c r="H64" s="47" t="n">
        <x:v>1</x:v>
      </x:c>
      <x:c r="I64" s="56" t="n">
        <x:v>0</x:v>
      </x:c>
      <x:c r="J64" s="59" t="n">
        <x:f>Inputs!$B$11</x:f>
        <x:v>1</x:v>
      </x:c>
      <x:c r="K64" s="59" t="n">
        <x:f>Inputs!$B$13</x:f>
        <x:v>0</x:v>
      </x:c>
      <x:c r="L64" s="59" t="str">
        <x:f>IF(OR(J64&lt;&gt;1,K64&lt;&gt;0),"TERMINATE",IF(I64=H64,"PASS","OPEN"))</x:f>
        <x:v>OPEN</x:v>
      </x:c>
      <x:c r="M64" s="84"/>
      <x:c r="N64" s="84"/>
    </x:row>
    <x:row r="65">
      <x:c r="A65" s="47" t="str">
        <x:v>CR059</x:v>
      </x:c>
      <x:c r="B65" s="47" t="str">
        <x:v>P06</x:v>
      </x:c>
      <x:c r="C65" s="47" t="str">
        <x:v>CT-C</x:v>
      </x:c>
      <x:c r="D65" s="47" t="str">
        <x:v>CT-C-B</x:v>
      </x:c>
      <x:c r="E65" s="47" t="str">
        <x:v>METHOD</x:v>
      </x:c>
      <x:c r="F65" s="47" t="str">
        <x:v>C09</x:v>
      </x:c>
      <x:c r="G65" s="47" t="str">
        <x:v>Compare semantic deltas after commitment</x:v>
      </x:c>
      <x:c r="H65" s="47" t="n">
        <x:v>1</x:v>
      </x:c>
      <x:c r="I65" s="56" t="n">
        <x:v>0</x:v>
      </x:c>
      <x:c r="J65" s="59" t="n">
        <x:f>Inputs!$B$11</x:f>
        <x:v>1</x:v>
      </x:c>
      <x:c r="K65" s="59" t="n">
        <x:f>Inputs!$B$13</x:f>
        <x:v>0</x:v>
      </x:c>
      <x:c r="L65" s="59" t="str">
        <x:f>IF(OR(J65&lt;&gt;1,K65&lt;&gt;0),"TERMINATE",IF(I65=H65,"PASS","OPEN"))</x:f>
        <x:v>OPEN</x:v>
      </x:c>
      <x:c r="M65" s="84"/>
      <x:c r="N65" s="84"/>
    </x:row>
    <x:row r="66">
      <x:c r="A66" s="47" t="str">
        <x:v>CR060</x:v>
      </x:c>
      <x:c r="B66" s="47" t="str">
        <x:v>P06</x:v>
      </x:c>
      <x:c r="C66" s="47" t="str">
        <x:v>CT-C</x:v>
      </x:c>
      <x:c r="D66" s="47" t="str">
        <x:v>CT-C-B</x:v>
      </x:c>
      <x:c r="E66" s="47" t="str">
        <x:v>METHOD</x:v>
      </x:c>
      <x:c r="F66" s="47" t="str">
        <x:v>C10</x:v>
      </x:c>
      <x:c r="G66" s="47" t="str">
        <x:v>Seal divergence or acceptance packet</x:v>
      </x:c>
      <x:c r="H66" s="47" t="n">
        <x:v>1</x:v>
      </x:c>
      <x:c r="I66" s="56" t="n">
        <x:v>0</x:v>
      </x:c>
      <x:c r="J66" s="59" t="n">
        <x:f>Inputs!$B$11</x:f>
        <x:v>1</x:v>
      </x:c>
      <x:c r="K66" s="59" t="n">
        <x:f>Inputs!$B$13</x:f>
        <x:v>0</x:v>
      </x:c>
      <x:c r="L66" s="59" t="str">
        <x:f>IF(OR(J66&lt;&gt;1,K66&lt;&gt;0),"TERMINATE",IF(I66=H66,"PASS","OPEN"))</x:f>
        <x:v>OPEN</x:v>
      </x:c>
      <x:c r="M66" s="84"/>
      <x:c r="N66" s="84"/>
    </x:row>
    <x:row r="67">
      <x:c r="A67" s="47" t="str">
        <x:v>CR061</x:v>
      </x:c>
      <x:c r="B67" s="47" t="str">
        <x:v>P07</x:v>
      </x:c>
      <x:c r="C67" s="47" t="str">
        <x:v>CT-C</x:v>
      </x:c>
      <x:c r="D67" s="47" t="str">
        <x:v>CT-C-B</x:v>
      </x:c>
      <x:c r="E67" s="47" t="str">
        <x:v>VALID</x:v>
      </x:c>
      <x:c r="F67" s="47" t="str">
        <x:v>C01</x:v>
      </x:c>
      <x:c r="G67" s="47" t="str">
        <x:v>Receive public contract without native outputs</x:v>
      </x:c>
      <x:c r="H67" s="47" t="n">
        <x:v>1</x:v>
      </x:c>
      <x:c r="I67" s="56" t="n">
        <x:v>0</x:v>
      </x:c>
      <x:c r="J67" s="59" t="n">
        <x:f>Inputs!$B$11</x:f>
        <x:v>1</x:v>
      </x:c>
      <x:c r="K67" s="59" t="n">
        <x:f>Inputs!$B$13</x:f>
        <x:v>0</x:v>
      </x:c>
      <x:c r="L67" s="59" t="str">
        <x:f>IF(OR(J67&lt;&gt;1,K67&lt;&gt;0),"TERMINATE",IF(I67=H67,"PASS","OPEN"))</x:f>
        <x:v>OPEN</x:v>
      </x:c>
      <x:c r="M67" s="84"/>
      <x:c r="N67" s="84"/>
    </x:row>
    <x:row r="68">
      <x:c r="A68" s="47" t="str">
        <x:v>CR062</x:v>
      </x:c>
      <x:c r="B68" s="47" t="str">
        <x:v>P07</x:v>
      </x:c>
      <x:c r="C68" s="47" t="str">
        <x:v>CT-C</x:v>
      </x:c>
      <x:c r="D68" s="47" t="str">
        <x:v>CT-C-B</x:v>
      </x:c>
      <x:c r="E68" s="47" t="str">
        <x:v>VALID</x:v>
      </x:c>
      <x:c r="F68" s="47" t="str">
        <x:v>C02</x:v>
      </x:c>
      <x:c r="G68" s="47" t="str">
        <x:v>Declare disjoint people, control and toolchain</x:v>
      </x:c>
      <x:c r="H68" s="47" t="n">
        <x:v>1</x:v>
      </x:c>
      <x:c r="I68" s="56" t="n">
        <x:v>0</x:v>
      </x:c>
      <x:c r="J68" s="59" t="n">
        <x:f>Inputs!$B$11</x:f>
        <x:v>1</x:v>
      </x:c>
      <x:c r="K68" s="59" t="n">
        <x:f>Inputs!$B$13</x:f>
        <x:v>0</x:v>
      </x:c>
      <x:c r="L68" s="59" t="str">
        <x:f>IF(OR(J68&lt;&gt;1,K68&lt;&gt;0),"TERMINATE",IF(I68=H68,"PASS","OPEN"))</x:f>
        <x:v>OPEN</x:v>
      </x:c>
      <x:c r="M68" s="84"/>
      <x:c r="N68" s="84"/>
    </x:row>
    <x:row r="69">
      <x:c r="A69" s="47" t="str">
        <x:v>CR063</x:v>
      </x:c>
      <x:c r="B69" s="47" t="str">
        <x:v>P07</x:v>
      </x:c>
      <x:c r="C69" s="47" t="str">
        <x:v>CT-C</x:v>
      </x:c>
      <x:c r="D69" s="47" t="str">
        <x:v>CT-C-B</x:v>
      </x:c>
      <x:c r="E69" s="47" t="str">
        <x:v>VALID</x:v>
      </x:c>
      <x:c r="F69" s="47" t="str">
        <x:v>C03</x:v>
      </x:c>
      <x:c r="G69" s="47" t="str">
        <x:v>Reconstruct units, datums and system boundary</x:v>
      </x:c>
      <x:c r="H69" s="47" t="n">
        <x:v>1</x:v>
      </x:c>
      <x:c r="I69" s="56" t="n">
        <x:v>0</x:v>
      </x:c>
      <x:c r="J69" s="59" t="n">
        <x:f>Inputs!$B$11</x:f>
        <x:v>1</x:v>
      </x:c>
      <x:c r="K69" s="59" t="n">
        <x:f>Inputs!$B$13</x:f>
        <x:v>0</x:v>
      </x:c>
      <x:c r="L69" s="59" t="str">
        <x:f>IF(OR(J69&lt;&gt;1,K69&lt;&gt;0),"TERMINATE",IF(I69=H69,"PASS","OPEN"))</x:f>
        <x:v>OPEN</x:v>
      </x:c>
      <x:c r="M69" s="84"/>
      <x:c r="N69" s="84"/>
    </x:row>
    <x:row r="70">
      <x:c r="A70" s="47" t="str">
        <x:v>CR064</x:v>
      </x:c>
      <x:c r="B70" s="47" t="str">
        <x:v>P07</x:v>
      </x:c>
      <x:c r="C70" s="47" t="str">
        <x:v>CT-C</x:v>
      </x:c>
      <x:c r="D70" s="47" t="str">
        <x:v>CT-C-B</x:v>
      </x:c>
      <x:c r="E70" s="47" t="str">
        <x:v>VALID</x:v>
      </x:c>
      <x:c r="F70" s="47" t="str">
        <x:v>C04</x:v>
      </x:c>
      <x:c r="G70" s="47" t="str">
        <x:v>Reimplement the causal model</x:v>
      </x:c>
      <x:c r="H70" s="47" t="n">
        <x:v>1</x:v>
      </x:c>
      <x:c r="I70" s="56" t="n">
        <x:v>0</x:v>
      </x:c>
      <x:c r="J70" s="59" t="n">
        <x:f>Inputs!$B$11</x:f>
        <x:v>1</x:v>
      </x:c>
      <x:c r="K70" s="59" t="n">
        <x:f>Inputs!$B$13</x:f>
        <x:v>0</x:v>
      </x:c>
      <x:c r="L70" s="59" t="str">
        <x:f>IF(OR(J70&lt;&gt;1,K70&lt;&gt;0),"TERMINATE",IF(I70=H70,"PASS","OPEN"))</x:f>
        <x:v>OPEN</x:v>
      </x:c>
      <x:c r="M70" s="84"/>
      <x:c r="N70" s="84"/>
    </x:row>
    <x:row r="71">
      <x:c r="A71" s="47" t="str">
        <x:v>CR065</x:v>
      </x:c>
      <x:c r="B71" s="47" t="str">
        <x:v>P07</x:v>
      </x:c>
      <x:c r="C71" s="47" t="str">
        <x:v>CT-C</x:v>
      </x:c>
      <x:c r="D71" s="47" t="str">
        <x:v>CT-C-B</x:v>
      </x:c>
      <x:c r="E71" s="47" t="str">
        <x:v>VALID</x:v>
      </x:c>
      <x:c r="F71" s="47" t="str">
        <x:v>C05</x:v>
      </x:c>
      <x:c r="G71" s="47" t="str">
        <x:v>Rebuild material and process assumptions</x:v>
      </x:c>
      <x:c r="H71" s="47" t="n">
        <x:v>1</x:v>
      </x:c>
      <x:c r="I71" s="56" t="n">
        <x:v>0</x:v>
      </x:c>
      <x:c r="J71" s="59" t="n">
        <x:f>Inputs!$B$11</x:f>
        <x:v>1</x:v>
      </x:c>
      <x:c r="K71" s="59" t="n">
        <x:f>Inputs!$B$13</x:f>
        <x:v>0</x:v>
      </x:c>
      <x:c r="L71" s="59" t="str">
        <x:f>IF(OR(J71&lt;&gt;1,K71&lt;&gt;0),"TERMINATE",IF(I71=H71,"PASS","OPEN"))</x:f>
        <x:v>OPEN</x:v>
      </x:c>
      <x:c r="M71" s="84"/>
      <x:c r="N71" s="84"/>
    </x:row>
    <x:row r="72">
      <x:c r="A72" s="47" t="str">
        <x:v>CR066</x:v>
      </x:c>
      <x:c r="B72" s="47" t="str">
        <x:v>P07</x:v>
      </x:c>
      <x:c r="C72" s="47" t="str">
        <x:v>CT-C</x:v>
      </x:c>
      <x:c r="D72" s="47" t="str">
        <x:v>CT-C-B</x:v>
      </x:c>
      <x:c r="E72" s="47" t="str">
        <x:v>VALID</x:v>
      </x:c>
      <x:c r="F72" s="47" t="str">
        <x:v>C06</x:v>
      </x:c>
      <x:c r="G72" s="47" t="str">
        <x:v>Recreate the frozen challenge case</x:v>
      </x:c>
      <x:c r="H72" s="47" t="n">
        <x:v>1</x:v>
      </x:c>
      <x:c r="I72" s="56" t="n">
        <x:v>0</x:v>
      </x:c>
      <x:c r="J72" s="59" t="n">
        <x:f>Inputs!$B$11</x:f>
        <x:v>1</x:v>
      </x:c>
      <x:c r="K72" s="59" t="n">
        <x:f>Inputs!$B$13</x:f>
        <x:v>0</x:v>
      </x:c>
      <x:c r="L72" s="59" t="str">
        <x:f>IF(OR(J72&lt;&gt;1,K72&lt;&gt;0),"TERMINATE",IF(I72=H72,"PASS","OPEN"))</x:f>
        <x:v>OPEN</x:v>
      </x:c>
      <x:c r="M72" s="84"/>
      <x:c r="N72" s="84"/>
    </x:row>
    <x:row r="73">
      <x:c r="A73" s="47" t="str">
        <x:v>CR067</x:v>
      </x:c>
      <x:c r="B73" s="47" t="str">
        <x:v>P07</x:v>
      </x:c>
      <x:c r="C73" s="47" t="str">
        <x:v>CT-C</x:v>
      </x:c>
      <x:c r="D73" s="47" t="str">
        <x:v>CT-C-B</x:v>
      </x:c>
      <x:c r="E73" s="47" t="str">
        <x:v>VALID</x:v>
      </x:c>
      <x:c r="F73" s="47" t="str">
        <x:v>C07</x:v>
      </x:c>
      <x:c r="G73" s="47" t="str">
        <x:v>Calculate six invariants independently</x:v>
      </x:c>
      <x:c r="H73" s="47" t="n">
        <x:v>1</x:v>
      </x:c>
      <x:c r="I73" s="56" t="n">
        <x:v>0</x:v>
      </x:c>
      <x:c r="J73" s="59" t="n">
        <x:f>Inputs!$B$11</x:f>
        <x:v>1</x:v>
      </x:c>
      <x:c r="K73" s="59" t="n">
        <x:f>Inputs!$B$13</x:f>
        <x:v>0</x:v>
      </x:c>
      <x:c r="L73" s="59" t="str">
        <x:f>IF(OR(J73&lt;&gt;1,K73&lt;&gt;0),"TERMINATE",IF(I73=H73,"PASS","OPEN"))</x:f>
        <x:v>OPEN</x:v>
      </x:c>
      <x:c r="M73" s="84"/>
      <x:c r="N73" s="84"/>
    </x:row>
    <x:row r="74">
      <x:c r="A74" s="47" t="str">
        <x:v>CR068</x:v>
      </x:c>
      <x:c r="B74" s="47" t="str">
        <x:v>P07</x:v>
      </x:c>
      <x:c r="C74" s="47" t="str">
        <x:v>CT-C</x:v>
      </x:c>
      <x:c r="D74" s="47" t="str">
        <x:v>CT-C-B</x:v>
      </x:c>
      <x:c r="E74" s="47" t="str">
        <x:v>VALID</x:v>
      </x:c>
      <x:c r="F74" s="47" t="str">
        <x:v>C08</x:v>
      </x:c>
      <x:c r="G74" s="47" t="str">
        <x:v>Commit results before native disclosure</x:v>
      </x:c>
      <x:c r="H74" s="47" t="n">
        <x:v>1</x:v>
      </x:c>
      <x:c r="I74" s="56" t="n">
        <x:v>0</x:v>
      </x:c>
      <x:c r="J74" s="59" t="n">
        <x:f>Inputs!$B$11</x:f>
        <x:v>1</x:v>
      </x:c>
      <x:c r="K74" s="59" t="n">
        <x:f>Inputs!$B$13</x:f>
        <x:v>0</x:v>
      </x:c>
      <x:c r="L74" s="59" t="str">
        <x:f>IF(OR(J74&lt;&gt;1,K74&lt;&gt;0),"TERMINATE",IF(I74=H74,"PASS","OPEN"))</x:f>
        <x:v>OPEN</x:v>
      </x:c>
      <x:c r="M74" s="84"/>
      <x:c r="N74" s="84"/>
    </x:row>
    <x:row r="75">
      <x:c r="A75" s="47" t="str">
        <x:v>CR069</x:v>
      </x:c>
      <x:c r="B75" s="47" t="str">
        <x:v>P07</x:v>
      </x:c>
      <x:c r="C75" s="47" t="str">
        <x:v>CT-C</x:v>
      </x:c>
      <x:c r="D75" s="47" t="str">
        <x:v>CT-C-B</x:v>
      </x:c>
      <x:c r="E75" s="47" t="str">
        <x:v>VALID</x:v>
      </x:c>
      <x:c r="F75" s="47" t="str">
        <x:v>C09</x:v>
      </x:c>
      <x:c r="G75" s="47" t="str">
        <x:v>Compare semantic deltas after commitment</x:v>
      </x:c>
      <x:c r="H75" s="47" t="n">
        <x:v>1</x:v>
      </x:c>
      <x:c r="I75" s="56" t="n">
        <x:v>0</x:v>
      </x:c>
      <x:c r="J75" s="59" t="n">
        <x:f>Inputs!$B$11</x:f>
        <x:v>1</x:v>
      </x:c>
      <x:c r="K75" s="59" t="n">
        <x:f>Inputs!$B$13</x:f>
        <x:v>0</x:v>
      </x:c>
      <x:c r="L75" s="59" t="str">
        <x:f>IF(OR(J75&lt;&gt;1,K75&lt;&gt;0),"TERMINATE",IF(I75=H75,"PASS","OPEN"))</x:f>
        <x:v>OPEN</x:v>
      </x:c>
      <x:c r="M75" s="84"/>
      <x:c r="N75" s="84"/>
    </x:row>
    <x:row r="76">
      <x:c r="A76" s="47" t="str">
        <x:v>CR070</x:v>
      </x:c>
      <x:c r="B76" s="47" t="str">
        <x:v>P07</x:v>
      </x:c>
      <x:c r="C76" s="47" t="str">
        <x:v>CT-C</x:v>
      </x:c>
      <x:c r="D76" s="47" t="str">
        <x:v>CT-C-B</x:v>
      </x:c>
      <x:c r="E76" s="47" t="str">
        <x:v>VALID</x:v>
      </x:c>
      <x:c r="F76" s="47" t="str">
        <x:v>C10</x:v>
      </x:c>
      <x:c r="G76" s="47" t="str">
        <x:v>Seal divergence or acceptance packet</x:v>
      </x:c>
      <x:c r="H76" s="47" t="n">
        <x:v>1</x:v>
      </x:c>
      <x:c r="I76" s="56" t="n">
        <x:v>0</x:v>
      </x:c>
      <x:c r="J76" s="59" t="n">
        <x:f>Inputs!$B$11</x:f>
        <x:v>1</x:v>
      </x:c>
      <x:c r="K76" s="59" t="n">
        <x:f>Inputs!$B$13</x:f>
        <x:v>0</x:v>
      </x:c>
      <x:c r="L76" s="59" t="str">
        <x:f>IF(OR(J76&lt;&gt;1,K76&lt;&gt;0),"TERMINATE",IF(I76=H76,"PASS","OPEN"))</x:f>
        <x:v>OPEN</x:v>
      </x:c>
      <x:c r="M76" s="84"/>
      <x:c r="N76" s="84"/>
    </x:row>
    <x:row r="77">
      <x:c r="A77" s="47" t="str">
        <x:v>CR071</x:v>
      </x:c>
      <x:c r="B77" s="47" t="str">
        <x:v>P08</x:v>
      </x:c>
      <x:c r="C77" s="47" t="str">
        <x:v>CT-C</x:v>
      </x:c>
      <x:c r="D77" s="47" t="str">
        <x:v>CT-C-B</x:v>
      </x:c>
      <x:c r="E77" s="47" t="str">
        <x:v>CIVIL</x:v>
      </x:c>
      <x:c r="F77" s="47" t="str">
        <x:v>C01</x:v>
      </x:c>
      <x:c r="G77" s="47" t="str">
        <x:v>Receive public contract without native outputs</x:v>
      </x:c>
      <x:c r="H77" s="47" t="n">
        <x:v>1</x:v>
      </x:c>
      <x:c r="I77" s="56" t="n">
        <x:v>0</x:v>
      </x:c>
      <x:c r="J77" s="59" t="n">
        <x:f>Inputs!$B$11</x:f>
        <x:v>1</x:v>
      </x:c>
      <x:c r="K77" s="59" t="n">
        <x:f>Inputs!$B$13</x:f>
        <x:v>0</x:v>
      </x:c>
      <x:c r="L77" s="59" t="str">
        <x:f>IF(OR(J77&lt;&gt;1,K77&lt;&gt;0),"TERMINATE",IF(I77=H77,"PASS","OPEN"))</x:f>
        <x:v>OPEN</x:v>
      </x:c>
      <x:c r="M77" s="84"/>
      <x:c r="N77" s="84"/>
    </x:row>
    <x:row r="78">
      <x:c r="A78" s="47" t="str">
        <x:v>CR072</x:v>
      </x:c>
      <x:c r="B78" s="47" t="str">
        <x:v>P08</x:v>
      </x:c>
      <x:c r="C78" s="47" t="str">
        <x:v>CT-C</x:v>
      </x:c>
      <x:c r="D78" s="47" t="str">
        <x:v>CT-C-B</x:v>
      </x:c>
      <x:c r="E78" s="47" t="str">
        <x:v>CIVIL</x:v>
      </x:c>
      <x:c r="F78" s="47" t="str">
        <x:v>C02</x:v>
      </x:c>
      <x:c r="G78" s="47" t="str">
        <x:v>Declare disjoint people, control and toolchain</x:v>
      </x:c>
      <x:c r="H78" s="47" t="n">
        <x:v>1</x:v>
      </x:c>
      <x:c r="I78" s="56" t="n">
        <x:v>0</x:v>
      </x:c>
      <x:c r="J78" s="59" t="n">
        <x:f>Inputs!$B$11</x:f>
        <x:v>1</x:v>
      </x:c>
      <x:c r="K78" s="59" t="n">
        <x:f>Inputs!$B$13</x:f>
        <x:v>0</x:v>
      </x:c>
      <x:c r="L78" s="59" t="str">
        <x:f>IF(OR(J78&lt;&gt;1,K78&lt;&gt;0),"TERMINATE",IF(I78=H78,"PASS","OPEN"))</x:f>
        <x:v>OPEN</x:v>
      </x:c>
      <x:c r="M78" s="84"/>
      <x:c r="N78" s="84"/>
    </x:row>
    <x:row r="79">
      <x:c r="A79" s="47" t="str">
        <x:v>CR073</x:v>
      </x:c>
      <x:c r="B79" s="47" t="str">
        <x:v>P08</x:v>
      </x:c>
      <x:c r="C79" s="47" t="str">
        <x:v>CT-C</x:v>
      </x:c>
      <x:c r="D79" s="47" t="str">
        <x:v>CT-C-B</x:v>
      </x:c>
      <x:c r="E79" s="47" t="str">
        <x:v>CIVIL</x:v>
      </x:c>
      <x:c r="F79" s="47" t="str">
        <x:v>C03</x:v>
      </x:c>
      <x:c r="G79" s="47" t="str">
        <x:v>Reconstruct units, datums and system boundary</x:v>
      </x:c>
      <x:c r="H79" s="47" t="n">
        <x:v>1</x:v>
      </x:c>
      <x:c r="I79" s="56" t="n">
        <x:v>0</x:v>
      </x:c>
      <x:c r="J79" s="59" t="n">
        <x:f>Inputs!$B$11</x:f>
        <x:v>1</x:v>
      </x:c>
      <x:c r="K79" s="59" t="n">
        <x:f>Inputs!$B$13</x:f>
        <x:v>0</x:v>
      </x:c>
      <x:c r="L79" s="59" t="str">
        <x:f>IF(OR(J79&lt;&gt;1,K79&lt;&gt;0),"TERMINATE",IF(I79=H79,"PASS","OPEN"))</x:f>
        <x:v>OPEN</x:v>
      </x:c>
      <x:c r="M79" s="84"/>
      <x:c r="N79" s="84"/>
    </x:row>
    <x:row r="80">
      <x:c r="A80" s="47" t="str">
        <x:v>CR074</x:v>
      </x:c>
      <x:c r="B80" s="47" t="str">
        <x:v>P08</x:v>
      </x:c>
      <x:c r="C80" s="47" t="str">
        <x:v>CT-C</x:v>
      </x:c>
      <x:c r="D80" s="47" t="str">
        <x:v>CT-C-B</x:v>
      </x:c>
      <x:c r="E80" s="47" t="str">
        <x:v>CIVIL</x:v>
      </x:c>
      <x:c r="F80" s="47" t="str">
        <x:v>C04</x:v>
      </x:c>
      <x:c r="G80" s="47" t="str">
        <x:v>Reimplement the causal model</x:v>
      </x:c>
      <x:c r="H80" s="47" t="n">
        <x:v>1</x:v>
      </x:c>
      <x:c r="I80" s="56" t="n">
        <x:v>0</x:v>
      </x:c>
      <x:c r="J80" s="59" t="n">
        <x:f>Inputs!$B$11</x:f>
        <x:v>1</x:v>
      </x:c>
      <x:c r="K80" s="59" t="n">
        <x:f>Inputs!$B$13</x:f>
        <x:v>0</x:v>
      </x:c>
      <x:c r="L80" s="59" t="str">
        <x:f>IF(OR(J80&lt;&gt;1,K80&lt;&gt;0),"TERMINATE",IF(I80=H80,"PASS","OPEN"))</x:f>
        <x:v>OPEN</x:v>
      </x:c>
      <x:c r="M80" s="84"/>
      <x:c r="N80" s="84"/>
    </x:row>
    <x:row r="81">
      <x:c r="A81" s="47" t="str">
        <x:v>CR075</x:v>
      </x:c>
      <x:c r="B81" s="47" t="str">
        <x:v>P08</x:v>
      </x:c>
      <x:c r="C81" s="47" t="str">
        <x:v>CT-C</x:v>
      </x:c>
      <x:c r="D81" s="47" t="str">
        <x:v>CT-C-B</x:v>
      </x:c>
      <x:c r="E81" s="47" t="str">
        <x:v>CIVIL</x:v>
      </x:c>
      <x:c r="F81" s="47" t="str">
        <x:v>C05</x:v>
      </x:c>
      <x:c r="G81" s="47" t="str">
        <x:v>Rebuild material and process assumptions</x:v>
      </x:c>
      <x:c r="H81" s="47" t="n">
        <x:v>1</x:v>
      </x:c>
      <x:c r="I81" s="56" t="n">
        <x:v>0</x:v>
      </x:c>
      <x:c r="J81" s="59" t="n">
        <x:f>Inputs!$B$11</x:f>
        <x:v>1</x:v>
      </x:c>
      <x:c r="K81" s="59" t="n">
        <x:f>Inputs!$B$13</x:f>
        <x:v>0</x:v>
      </x:c>
      <x:c r="L81" s="59" t="str">
        <x:f>IF(OR(J81&lt;&gt;1,K81&lt;&gt;0),"TERMINATE",IF(I81=H81,"PASS","OPEN"))</x:f>
        <x:v>OPEN</x:v>
      </x:c>
      <x:c r="M81" s="84"/>
      <x:c r="N81" s="84"/>
    </x:row>
    <x:row r="82">
      <x:c r="A82" s="47" t="str">
        <x:v>CR076</x:v>
      </x:c>
      <x:c r="B82" s="47" t="str">
        <x:v>P08</x:v>
      </x:c>
      <x:c r="C82" s="47" t="str">
        <x:v>CT-C</x:v>
      </x:c>
      <x:c r="D82" s="47" t="str">
        <x:v>CT-C-B</x:v>
      </x:c>
      <x:c r="E82" s="47" t="str">
        <x:v>CIVIL</x:v>
      </x:c>
      <x:c r="F82" s="47" t="str">
        <x:v>C06</x:v>
      </x:c>
      <x:c r="G82" s="47" t="str">
        <x:v>Recreate the frozen challenge case</x:v>
      </x:c>
      <x:c r="H82" s="47" t="n">
        <x:v>1</x:v>
      </x:c>
      <x:c r="I82" s="56" t="n">
        <x:v>0</x:v>
      </x:c>
      <x:c r="J82" s="59" t="n">
        <x:f>Inputs!$B$11</x:f>
        <x:v>1</x:v>
      </x:c>
      <x:c r="K82" s="59" t="n">
        <x:f>Inputs!$B$13</x:f>
        <x:v>0</x:v>
      </x:c>
      <x:c r="L82" s="59" t="str">
        <x:f>IF(OR(J82&lt;&gt;1,K82&lt;&gt;0),"TERMINATE",IF(I82=H82,"PASS","OPEN"))</x:f>
        <x:v>OPEN</x:v>
      </x:c>
      <x:c r="M82" s="84"/>
      <x:c r="N82" s="84"/>
    </x:row>
    <x:row r="83">
      <x:c r="A83" s="47" t="str">
        <x:v>CR077</x:v>
      </x:c>
      <x:c r="B83" s="47" t="str">
        <x:v>P08</x:v>
      </x:c>
      <x:c r="C83" s="47" t="str">
        <x:v>CT-C</x:v>
      </x:c>
      <x:c r="D83" s="47" t="str">
        <x:v>CT-C-B</x:v>
      </x:c>
      <x:c r="E83" s="47" t="str">
        <x:v>CIVIL</x:v>
      </x:c>
      <x:c r="F83" s="47" t="str">
        <x:v>C07</x:v>
      </x:c>
      <x:c r="G83" s="47" t="str">
        <x:v>Calculate six invariants independently</x:v>
      </x:c>
      <x:c r="H83" s="47" t="n">
        <x:v>1</x:v>
      </x:c>
      <x:c r="I83" s="56" t="n">
        <x:v>0</x:v>
      </x:c>
      <x:c r="J83" s="59" t="n">
        <x:f>Inputs!$B$11</x:f>
        <x:v>1</x:v>
      </x:c>
      <x:c r="K83" s="59" t="n">
        <x:f>Inputs!$B$13</x:f>
        <x:v>0</x:v>
      </x:c>
      <x:c r="L83" s="59" t="str">
        <x:f>IF(OR(J83&lt;&gt;1,K83&lt;&gt;0),"TERMINATE",IF(I83=H83,"PASS","OPEN"))</x:f>
        <x:v>OPEN</x:v>
      </x:c>
      <x:c r="M83" s="84"/>
      <x:c r="N83" s="84"/>
    </x:row>
    <x:row r="84">
      <x:c r="A84" s="47" t="str">
        <x:v>CR078</x:v>
      </x:c>
      <x:c r="B84" s="47" t="str">
        <x:v>P08</x:v>
      </x:c>
      <x:c r="C84" s="47" t="str">
        <x:v>CT-C</x:v>
      </x:c>
      <x:c r="D84" s="47" t="str">
        <x:v>CT-C-B</x:v>
      </x:c>
      <x:c r="E84" s="47" t="str">
        <x:v>CIVIL</x:v>
      </x:c>
      <x:c r="F84" s="47" t="str">
        <x:v>C08</x:v>
      </x:c>
      <x:c r="G84" s="47" t="str">
        <x:v>Commit results before native disclosure</x:v>
      </x:c>
      <x:c r="H84" s="47" t="n">
        <x:v>1</x:v>
      </x:c>
      <x:c r="I84" s="56" t="n">
        <x:v>0</x:v>
      </x:c>
      <x:c r="J84" s="59" t="n">
        <x:f>Inputs!$B$11</x:f>
        <x:v>1</x:v>
      </x:c>
      <x:c r="K84" s="59" t="n">
        <x:f>Inputs!$B$13</x:f>
        <x:v>0</x:v>
      </x:c>
      <x:c r="L84" s="59" t="str">
        <x:f>IF(OR(J84&lt;&gt;1,K84&lt;&gt;0),"TERMINATE",IF(I84=H84,"PASS","OPEN"))</x:f>
        <x:v>OPEN</x:v>
      </x:c>
      <x:c r="M84" s="84"/>
      <x:c r="N84" s="84"/>
    </x:row>
    <x:row r="85">
      <x:c r="A85" s="47" t="str">
        <x:v>CR079</x:v>
      </x:c>
      <x:c r="B85" s="47" t="str">
        <x:v>P08</x:v>
      </x:c>
      <x:c r="C85" s="47" t="str">
        <x:v>CT-C</x:v>
      </x:c>
      <x:c r="D85" s="47" t="str">
        <x:v>CT-C-B</x:v>
      </x:c>
      <x:c r="E85" s="47" t="str">
        <x:v>CIVIL</x:v>
      </x:c>
      <x:c r="F85" s="47" t="str">
        <x:v>C09</x:v>
      </x:c>
      <x:c r="G85" s="47" t="str">
        <x:v>Compare semantic deltas after commitment</x:v>
      </x:c>
      <x:c r="H85" s="47" t="n">
        <x:v>1</x:v>
      </x:c>
      <x:c r="I85" s="56" t="n">
        <x:v>0</x:v>
      </x:c>
      <x:c r="J85" s="59" t="n">
        <x:f>Inputs!$B$11</x:f>
        <x:v>1</x:v>
      </x:c>
      <x:c r="K85" s="59" t="n">
        <x:f>Inputs!$B$13</x:f>
        <x:v>0</x:v>
      </x:c>
      <x:c r="L85" s="59" t="str">
        <x:f>IF(OR(J85&lt;&gt;1,K85&lt;&gt;0),"TERMINATE",IF(I85=H85,"PASS","OPEN"))</x:f>
        <x:v>OPEN</x:v>
      </x:c>
      <x:c r="M85" s="84"/>
      <x:c r="N85" s="84"/>
    </x:row>
    <x:row r="86">
      <x:c r="A86" s="47" t="str">
        <x:v>CR080</x:v>
      </x:c>
      <x:c r="B86" s="47" t="str">
        <x:v>P08</x:v>
      </x:c>
      <x:c r="C86" s="47" t="str">
        <x:v>CT-C</x:v>
      </x:c>
      <x:c r="D86" s="47" t="str">
        <x:v>CT-C-B</x:v>
      </x:c>
      <x:c r="E86" s="47" t="str">
        <x:v>CIVIL</x:v>
      </x:c>
      <x:c r="F86" s="47" t="str">
        <x:v>C10</x:v>
      </x:c>
      <x:c r="G86" s="47" t="str">
        <x:v>Seal divergence or acceptance packet</x:v>
      </x:c>
      <x:c r="H86" s="47" t="n">
        <x:v>1</x:v>
      </x:c>
      <x:c r="I86" s="56" t="n">
        <x:v>0</x:v>
      </x:c>
      <x:c r="J86" s="59" t="n">
        <x:f>Inputs!$B$11</x:f>
        <x:v>1</x:v>
      </x:c>
      <x:c r="K86" s="59" t="n">
        <x:f>Inputs!$B$13</x:f>
        <x:v>0</x:v>
      </x:c>
      <x:c r="L86" s="59" t="str">
        <x:f>IF(OR(J86&lt;&gt;1,K86&lt;&gt;0),"TERMINATE",IF(I86=H86,"PASS","OPEN"))</x:f>
        <x:v>OPEN</x:v>
      </x:c>
      <x:c r="M86" s="84"/>
      <x:c r="N86" s="84"/>
    </x:row>
    <x:row r="87">
      <x:c r="A87" s="47" t="str">
        <x:v>CR081</x:v>
      </x:c>
      <x:c r="B87" s="47" t="str">
        <x:v>P09</x:v>
      </x:c>
      <x:c r="C87" s="47" t="str">
        <x:v>CT-C</x:v>
      </x:c>
      <x:c r="D87" s="47" t="str">
        <x:v>CT-C-B</x:v>
      </x:c>
      <x:c r="E87" s="47" t="str">
        <x:v>ARTICLE</x:v>
      </x:c>
      <x:c r="F87" s="47" t="str">
        <x:v>C01</x:v>
      </x:c>
      <x:c r="G87" s="47" t="str">
        <x:v>Receive public contract without native outputs</x:v>
      </x:c>
      <x:c r="H87" s="47" t="n">
        <x:v>1</x:v>
      </x:c>
      <x:c r="I87" s="56" t="n">
        <x:v>0</x:v>
      </x:c>
      <x:c r="J87" s="59" t="n">
        <x:f>Inputs!$B$11</x:f>
        <x:v>1</x:v>
      </x:c>
      <x:c r="K87" s="59" t="n">
        <x:f>Inputs!$B$13</x:f>
        <x:v>0</x:v>
      </x:c>
      <x:c r="L87" s="59" t="str">
        <x:f>IF(OR(J87&lt;&gt;1,K87&lt;&gt;0),"TERMINATE",IF(I87=H87,"PASS","OPEN"))</x:f>
        <x:v>OPEN</x:v>
      </x:c>
      <x:c r="M87" s="84"/>
      <x:c r="N87" s="84"/>
    </x:row>
    <x:row r="88">
      <x:c r="A88" s="47" t="str">
        <x:v>CR082</x:v>
      </x:c>
      <x:c r="B88" s="47" t="str">
        <x:v>P09</x:v>
      </x:c>
      <x:c r="C88" s="47" t="str">
        <x:v>CT-C</x:v>
      </x:c>
      <x:c r="D88" s="47" t="str">
        <x:v>CT-C-B</x:v>
      </x:c>
      <x:c r="E88" s="47" t="str">
        <x:v>ARTICLE</x:v>
      </x:c>
      <x:c r="F88" s="47" t="str">
        <x:v>C02</x:v>
      </x:c>
      <x:c r="G88" s="47" t="str">
        <x:v>Declare disjoint people, control and toolchain</x:v>
      </x:c>
      <x:c r="H88" s="47" t="n">
        <x:v>1</x:v>
      </x:c>
      <x:c r="I88" s="56" t="n">
        <x:v>0</x:v>
      </x:c>
      <x:c r="J88" s="59" t="n">
        <x:f>Inputs!$B$11</x:f>
        <x:v>1</x:v>
      </x:c>
      <x:c r="K88" s="59" t="n">
        <x:f>Inputs!$B$13</x:f>
        <x:v>0</x:v>
      </x:c>
      <x:c r="L88" s="59" t="str">
        <x:f>IF(OR(J88&lt;&gt;1,K88&lt;&gt;0),"TERMINATE",IF(I88=H88,"PASS","OPEN"))</x:f>
        <x:v>OPEN</x:v>
      </x:c>
      <x:c r="M88" s="84"/>
      <x:c r="N88" s="84"/>
    </x:row>
    <x:row r="89">
      <x:c r="A89" s="47" t="str">
        <x:v>CR083</x:v>
      </x:c>
      <x:c r="B89" s="47" t="str">
        <x:v>P09</x:v>
      </x:c>
      <x:c r="C89" s="47" t="str">
        <x:v>CT-C</x:v>
      </x:c>
      <x:c r="D89" s="47" t="str">
        <x:v>CT-C-B</x:v>
      </x:c>
      <x:c r="E89" s="47" t="str">
        <x:v>ARTICLE</x:v>
      </x:c>
      <x:c r="F89" s="47" t="str">
        <x:v>C03</x:v>
      </x:c>
      <x:c r="G89" s="47" t="str">
        <x:v>Reconstruct units, datums and system boundary</x:v>
      </x:c>
      <x:c r="H89" s="47" t="n">
        <x:v>1</x:v>
      </x:c>
      <x:c r="I89" s="56" t="n">
        <x:v>0</x:v>
      </x:c>
      <x:c r="J89" s="59" t="n">
        <x:f>Inputs!$B$11</x:f>
        <x:v>1</x:v>
      </x:c>
      <x:c r="K89" s="59" t="n">
        <x:f>Inputs!$B$13</x:f>
        <x:v>0</x:v>
      </x:c>
      <x:c r="L89" s="59" t="str">
        <x:f>IF(OR(J89&lt;&gt;1,K89&lt;&gt;0),"TERMINATE",IF(I89=H89,"PASS","OPEN"))</x:f>
        <x:v>OPEN</x:v>
      </x:c>
      <x:c r="M89" s="84"/>
      <x:c r="N89" s="84"/>
    </x:row>
    <x:row r="90">
      <x:c r="A90" s="47" t="str">
        <x:v>CR084</x:v>
      </x:c>
      <x:c r="B90" s="47" t="str">
        <x:v>P09</x:v>
      </x:c>
      <x:c r="C90" s="47" t="str">
        <x:v>CT-C</x:v>
      </x:c>
      <x:c r="D90" s="47" t="str">
        <x:v>CT-C-B</x:v>
      </x:c>
      <x:c r="E90" s="47" t="str">
        <x:v>ARTICLE</x:v>
      </x:c>
      <x:c r="F90" s="47" t="str">
        <x:v>C04</x:v>
      </x:c>
      <x:c r="G90" s="47" t="str">
        <x:v>Reimplement the causal model</x:v>
      </x:c>
      <x:c r="H90" s="47" t="n">
        <x:v>1</x:v>
      </x:c>
      <x:c r="I90" s="56" t="n">
        <x:v>0</x:v>
      </x:c>
      <x:c r="J90" s="59" t="n">
        <x:f>Inputs!$B$11</x:f>
        <x:v>1</x:v>
      </x:c>
      <x:c r="K90" s="59" t="n">
        <x:f>Inputs!$B$13</x:f>
        <x:v>0</x:v>
      </x:c>
      <x:c r="L90" s="59" t="str">
        <x:f>IF(OR(J90&lt;&gt;1,K90&lt;&gt;0),"TERMINATE",IF(I90=H90,"PASS","OPEN"))</x:f>
        <x:v>OPEN</x:v>
      </x:c>
      <x:c r="M90" s="84"/>
      <x:c r="N90" s="84"/>
    </x:row>
    <x:row r="91">
      <x:c r="A91" s="47" t="str">
        <x:v>CR085</x:v>
      </x:c>
      <x:c r="B91" s="47" t="str">
        <x:v>P09</x:v>
      </x:c>
      <x:c r="C91" s="47" t="str">
        <x:v>CT-C</x:v>
      </x:c>
      <x:c r="D91" s="47" t="str">
        <x:v>CT-C-B</x:v>
      </x:c>
      <x:c r="E91" s="47" t="str">
        <x:v>ARTICLE</x:v>
      </x:c>
      <x:c r="F91" s="47" t="str">
        <x:v>C05</x:v>
      </x:c>
      <x:c r="G91" s="47" t="str">
        <x:v>Rebuild material and process assumptions</x:v>
      </x:c>
      <x:c r="H91" s="47" t="n">
        <x:v>1</x:v>
      </x:c>
      <x:c r="I91" s="56" t="n">
        <x:v>0</x:v>
      </x:c>
      <x:c r="J91" s="59" t="n">
        <x:f>Inputs!$B$11</x:f>
        <x:v>1</x:v>
      </x:c>
      <x:c r="K91" s="59" t="n">
        <x:f>Inputs!$B$13</x:f>
        <x:v>0</x:v>
      </x:c>
      <x:c r="L91" s="59" t="str">
        <x:f>IF(OR(J91&lt;&gt;1,K91&lt;&gt;0),"TERMINATE",IF(I91=H91,"PASS","OPEN"))</x:f>
        <x:v>OPEN</x:v>
      </x:c>
      <x:c r="M91" s="84"/>
      <x:c r="N91" s="84"/>
    </x:row>
    <x:row r="92">
      <x:c r="A92" s="47" t="str">
        <x:v>CR086</x:v>
      </x:c>
      <x:c r="B92" s="47" t="str">
        <x:v>P09</x:v>
      </x:c>
      <x:c r="C92" s="47" t="str">
        <x:v>CT-C</x:v>
      </x:c>
      <x:c r="D92" s="47" t="str">
        <x:v>CT-C-B</x:v>
      </x:c>
      <x:c r="E92" s="47" t="str">
        <x:v>ARTICLE</x:v>
      </x:c>
      <x:c r="F92" s="47" t="str">
        <x:v>C06</x:v>
      </x:c>
      <x:c r="G92" s="47" t="str">
        <x:v>Recreate the frozen challenge case</x:v>
      </x:c>
      <x:c r="H92" s="47" t="n">
        <x:v>1</x:v>
      </x:c>
      <x:c r="I92" s="56" t="n">
        <x:v>0</x:v>
      </x:c>
      <x:c r="J92" s="59" t="n">
        <x:f>Inputs!$B$11</x:f>
        <x:v>1</x:v>
      </x:c>
      <x:c r="K92" s="59" t="n">
        <x:f>Inputs!$B$13</x:f>
        <x:v>0</x:v>
      </x:c>
      <x:c r="L92" s="59" t="str">
        <x:f>IF(OR(J92&lt;&gt;1,K92&lt;&gt;0),"TERMINATE",IF(I92=H92,"PASS","OPEN"))</x:f>
        <x:v>OPEN</x:v>
      </x:c>
      <x:c r="M92" s="84"/>
      <x:c r="N92" s="84"/>
    </x:row>
    <x:row r="93">
      <x:c r="A93" s="47" t="str">
        <x:v>CR087</x:v>
      </x:c>
      <x:c r="B93" s="47" t="str">
        <x:v>P09</x:v>
      </x:c>
      <x:c r="C93" s="47" t="str">
        <x:v>CT-C</x:v>
      </x:c>
      <x:c r="D93" s="47" t="str">
        <x:v>CT-C-B</x:v>
      </x:c>
      <x:c r="E93" s="47" t="str">
        <x:v>ARTICLE</x:v>
      </x:c>
      <x:c r="F93" s="47" t="str">
        <x:v>C07</x:v>
      </x:c>
      <x:c r="G93" s="47" t="str">
        <x:v>Calculate six invariants independently</x:v>
      </x:c>
      <x:c r="H93" s="47" t="n">
        <x:v>1</x:v>
      </x:c>
      <x:c r="I93" s="56" t="n">
        <x:v>0</x:v>
      </x:c>
      <x:c r="J93" s="59" t="n">
        <x:f>Inputs!$B$11</x:f>
        <x:v>1</x:v>
      </x:c>
      <x:c r="K93" s="59" t="n">
        <x:f>Inputs!$B$13</x:f>
        <x:v>0</x:v>
      </x:c>
      <x:c r="L93" s="59" t="str">
        <x:f>IF(OR(J93&lt;&gt;1,K93&lt;&gt;0),"TERMINATE",IF(I93=H93,"PASS","OPEN"))</x:f>
        <x:v>OPEN</x:v>
      </x:c>
      <x:c r="M93" s="84"/>
      <x:c r="N93" s="84"/>
    </x:row>
    <x:row r="94">
      <x:c r="A94" s="47" t="str">
        <x:v>CR088</x:v>
      </x:c>
      <x:c r="B94" s="47" t="str">
        <x:v>P09</x:v>
      </x:c>
      <x:c r="C94" s="47" t="str">
        <x:v>CT-C</x:v>
      </x:c>
      <x:c r="D94" s="47" t="str">
        <x:v>CT-C-B</x:v>
      </x:c>
      <x:c r="E94" s="47" t="str">
        <x:v>ARTICLE</x:v>
      </x:c>
      <x:c r="F94" s="47" t="str">
        <x:v>C08</x:v>
      </x:c>
      <x:c r="G94" s="47" t="str">
        <x:v>Commit results before native disclosure</x:v>
      </x:c>
      <x:c r="H94" s="47" t="n">
        <x:v>1</x:v>
      </x:c>
      <x:c r="I94" s="56" t="n">
        <x:v>0</x:v>
      </x:c>
      <x:c r="J94" s="59" t="n">
        <x:f>Inputs!$B$11</x:f>
        <x:v>1</x:v>
      </x:c>
      <x:c r="K94" s="59" t="n">
        <x:f>Inputs!$B$13</x:f>
        <x:v>0</x:v>
      </x:c>
      <x:c r="L94" s="59" t="str">
        <x:f>IF(OR(J94&lt;&gt;1,K94&lt;&gt;0),"TERMINATE",IF(I94=H94,"PASS","OPEN"))</x:f>
        <x:v>OPEN</x:v>
      </x:c>
      <x:c r="M94" s="84"/>
      <x:c r="N94" s="84"/>
    </x:row>
    <x:row r="95">
      <x:c r="A95" s="47" t="str">
        <x:v>CR089</x:v>
      </x:c>
      <x:c r="B95" s="47" t="str">
        <x:v>P09</x:v>
      </x:c>
      <x:c r="C95" s="47" t="str">
        <x:v>CT-C</x:v>
      </x:c>
      <x:c r="D95" s="47" t="str">
        <x:v>CT-C-B</x:v>
      </x:c>
      <x:c r="E95" s="47" t="str">
        <x:v>ARTICLE</x:v>
      </x:c>
      <x:c r="F95" s="47" t="str">
        <x:v>C09</x:v>
      </x:c>
      <x:c r="G95" s="47" t="str">
        <x:v>Compare semantic deltas after commitment</x:v>
      </x:c>
      <x:c r="H95" s="47" t="n">
        <x:v>1</x:v>
      </x:c>
      <x:c r="I95" s="56" t="n">
        <x:v>0</x:v>
      </x:c>
      <x:c r="J95" s="59" t="n">
        <x:f>Inputs!$B$11</x:f>
        <x:v>1</x:v>
      </x:c>
      <x:c r="K95" s="59" t="n">
        <x:f>Inputs!$B$13</x:f>
        <x:v>0</x:v>
      </x:c>
      <x:c r="L95" s="59" t="str">
        <x:f>IF(OR(J95&lt;&gt;1,K95&lt;&gt;0),"TERMINATE",IF(I95=H95,"PASS","OPEN"))</x:f>
        <x:v>OPEN</x:v>
      </x:c>
      <x:c r="M95" s="84"/>
      <x:c r="N95" s="84"/>
    </x:row>
    <x:row r="96">
      <x:c r="A96" s="47" t="str">
        <x:v>CR090</x:v>
      </x:c>
      <x:c r="B96" s="47" t="str">
        <x:v>P09</x:v>
      </x:c>
      <x:c r="C96" s="47" t="str">
        <x:v>CT-C</x:v>
      </x:c>
      <x:c r="D96" s="47" t="str">
        <x:v>CT-C-B</x:v>
      </x:c>
      <x:c r="E96" s="47" t="str">
        <x:v>ARTICLE</x:v>
      </x:c>
      <x:c r="F96" s="47" t="str">
        <x:v>C10</x:v>
      </x:c>
      <x:c r="G96" s="47" t="str">
        <x:v>Seal divergence or acceptance packet</x:v>
      </x:c>
      <x:c r="H96" s="47" t="n">
        <x:v>1</x:v>
      </x:c>
      <x:c r="I96" s="56" t="n">
        <x:v>0</x:v>
      </x:c>
      <x:c r="J96" s="59" t="n">
        <x:f>Inputs!$B$11</x:f>
        <x:v>1</x:v>
      </x:c>
      <x:c r="K96" s="59" t="n">
        <x:f>Inputs!$B$13</x:f>
        <x:v>0</x:v>
      </x:c>
      <x:c r="L96" s="59" t="str">
        <x:f>IF(OR(J96&lt;&gt;1,K96&lt;&gt;0),"TERMINATE",IF(I96=H96,"PASS","OPEN"))</x:f>
        <x:v>OPEN</x:v>
      </x:c>
      <x:c r="M96" s="84"/>
      <x:c r="N96" s="84"/>
    </x:row>
    <x:row r="97">
      <x:c r="A97" s="47" t="str">
        <x:v>CR091</x:v>
      </x:c>
      <x:c r="B97" s="47" t="str">
        <x:v>P10</x:v>
      </x:c>
      <x:c r="C97" s="47" t="str">
        <x:v>CT-C</x:v>
      </x:c>
      <x:c r="D97" s="47" t="str">
        <x:v>CT-C-B</x:v>
      </x:c>
      <x:c r="E97" s="47" t="str">
        <x:v>REBUILD</x:v>
      </x:c>
      <x:c r="F97" s="47" t="str">
        <x:v>C01</x:v>
      </x:c>
      <x:c r="G97" s="47" t="str">
        <x:v>Receive public contract without native outputs</x:v>
      </x:c>
      <x:c r="H97" s="47" t="n">
        <x:v>1</x:v>
      </x:c>
      <x:c r="I97" s="56" t="n">
        <x:v>0</x:v>
      </x:c>
      <x:c r="J97" s="59" t="n">
        <x:f>Inputs!$B$11</x:f>
        <x:v>1</x:v>
      </x:c>
      <x:c r="K97" s="59" t="n">
        <x:f>Inputs!$B$13</x:f>
        <x:v>0</x:v>
      </x:c>
      <x:c r="L97" s="59" t="str">
        <x:f>IF(OR(J97&lt;&gt;1,K97&lt;&gt;0),"TERMINATE",IF(I97=H97,"PASS","OPEN"))</x:f>
        <x:v>OPEN</x:v>
      </x:c>
      <x:c r="M97" s="84"/>
      <x:c r="N97" s="84"/>
    </x:row>
    <x:row r="98">
      <x:c r="A98" s="47" t="str">
        <x:v>CR092</x:v>
      </x:c>
      <x:c r="B98" s="47" t="str">
        <x:v>P10</x:v>
      </x:c>
      <x:c r="C98" s="47" t="str">
        <x:v>CT-C</x:v>
      </x:c>
      <x:c r="D98" s="47" t="str">
        <x:v>CT-C-B</x:v>
      </x:c>
      <x:c r="E98" s="47" t="str">
        <x:v>REBUILD</x:v>
      </x:c>
      <x:c r="F98" s="47" t="str">
        <x:v>C02</x:v>
      </x:c>
      <x:c r="G98" s="47" t="str">
        <x:v>Declare disjoint people, control and toolchain</x:v>
      </x:c>
      <x:c r="H98" s="47" t="n">
        <x:v>1</x:v>
      </x:c>
      <x:c r="I98" s="56" t="n">
        <x:v>0</x:v>
      </x:c>
      <x:c r="J98" s="59" t="n">
        <x:f>Inputs!$B$11</x:f>
        <x:v>1</x:v>
      </x:c>
      <x:c r="K98" s="59" t="n">
        <x:f>Inputs!$B$13</x:f>
        <x:v>0</x:v>
      </x:c>
      <x:c r="L98" s="59" t="str">
        <x:f>IF(OR(J98&lt;&gt;1,K98&lt;&gt;0),"TERMINATE",IF(I98=H98,"PASS","OPEN"))</x:f>
        <x:v>OPEN</x:v>
      </x:c>
      <x:c r="M98" s="84"/>
      <x:c r="N98" s="84"/>
    </x:row>
    <x:row r="99">
      <x:c r="A99" s="47" t="str">
        <x:v>CR093</x:v>
      </x:c>
      <x:c r="B99" s="47" t="str">
        <x:v>P10</x:v>
      </x:c>
      <x:c r="C99" s="47" t="str">
        <x:v>CT-C</x:v>
      </x:c>
      <x:c r="D99" s="47" t="str">
        <x:v>CT-C-B</x:v>
      </x:c>
      <x:c r="E99" s="47" t="str">
        <x:v>REBUILD</x:v>
      </x:c>
      <x:c r="F99" s="47" t="str">
        <x:v>C03</x:v>
      </x:c>
      <x:c r="G99" s="47" t="str">
        <x:v>Reconstruct units, datums and system boundary</x:v>
      </x:c>
      <x:c r="H99" s="47" t="n">
        <x:v>1</x:v>
      </x:c>
      <x:c r="I99" s="56" t="n">
        <x:v>0</x:v>
      </x:c>
      <x:c r="J99" s="59" t="n">
        <x:f>Inputs!$B$11</x:f>
        <x:v>1</x:v>
      </x:c>
      <x:c r="K99" s="59" t="n">
        <x:f>Inputs!$B$13</x:f>
        <x:v>0</x:v>
      </x:c>
      <x:c r="L99" s="59" t="str">
        <x:f>IF(OR(J99&lt;&gt;1,K99&lt;&gt;0),"TERMINATE",IF(I99=H99,"PASS","OPEN"))</x:f>
        <x:v>OPEN</x:v>
      </x:c>
      <x:c r="M99" s="84"/>
      <x:c r="N99" s="84"/>
    </x:row>
    <x:row r="100">
      <x:c r="A100" s="47" t="str">
        <x:v>CR094</x:v>
      </x:c>
      <x:c r="B100" s="47" t="str">
        <x:v>P10</x:v>
      </x:c>
      <x:c r="C100" s="47" t="str">
        <x:v>CT-C</x:v>
      </x:c>
      <x:c r="D100" s="47" t="str">
        <x:v>CT-C-B</x:v>
      </x:c>
      <x:c r="E100" s="47" t="str">
        <x:v>REBUILD</x:v>
      </x:c>
      <x:c r="F100" s="47" t="str">
        <x:v>C04</x:v>
      </x:c>
      <x:c r="G100" s="47" t="str">
        <x:v>Reimplement the causal model</x:v>
      </x:c>
      <x:c r="H100" s="47" t="n">
        <x:v>1</x:v>
      </x:c>
      <x:c r="I100" s="56" t="n">
        <x:v>0</x:v>
      </x:c>
      <x:c r="J100" s="59" t="n">
        <x:f>Inputs!$B$11</x:f>
        <x:v>1</x:v>
      </x:c>
      <x:c r="K100" s="59" t="n">
        <x:f>Inputs!$B$13</x:f>
        <x:v>0</x:v>
      </x:c>
      <x:c r="L100" s="59" t="str">
        <x:f>IF(OR(J100&lt;&gt;1,K100&lt;&gt;0),"TERMINATE",IF(I100=H100,"PASS","OPEN"))</x:f>
        <x:v>OPEN</x:v>
      </x:c>
      <x:c r="M100" s="84"/>
      <x:c r="N100" s="84"/>
    </x:row>
    <x:row r="101">
      <x:c r="A101" s="47" t="str">
        <x:v>CR095</x:v>
      </x:c>
      <x:c r="B101" s="47" t="str">
        <x:v>P10</x:v>
      </x:c>
      <x:c r="C101" s="47" t="str">
        <x:v>CT-C</x:v>
      </x:c>
      <x:c r="D101" s="47" t="str">
        <x:v>CT-C-B</x:v>
      </x:c>
      <x:c r="E101" s="47" t="str">
        <x:v>REBUILD</x:v>
      </x:c>
      <x:c r="F101" s="47" t="str">
        <x:v>C05</x:v>
      </x:c>
      <x:c r="G101" s="47" t="str">
        <x:v>Rebuild material and process assumptions</x:v>
      </x:c>
      <x:c r="H101" s="47" t="n">
        <x:v>1</x:v>
      </x:c>
      <x:c r="I101" s="56" t="n">
        <x:v>0</x:v>
      </x:c>
      <x:c r="J101" s="59" t="n">
        <x:f>Inputs!$B$11</x:f>
        <x:v>1</x:v>
      </x:c>
      <x:c r="K101" s="59" t="n">
        <x:f>Inputs!$B$13</x:f>
        <x:v>0</x:v>
      </x:c>
      <x:c r="L101" s="59" t="str">
        <x:f>IF(OR(J101&lt;&gt;1,K101&lt;&gt;0),"TERMINATE",IF(I101=H101,"PASS","OPEN"))</x:f>
        <x:v>OPEN</x:v>
      </x:c>
      <x:c r="M101" s="84"/>
      <x:c r="N101" s="84"/>
    </x:row>
    <x:row r="102">
      <x:c r="A102" s="47" t="str">
        <x:v>CR096</x:v>
      </x:c>
      <x:c r="B102" s="47" t="str">
        <x:v>P10</x:v>
      </x:c>
      <x:c r="C102" s="47" t="str">
        <x:v>CT-C</x:v>
      </x:c>
      <x:c r="D102" s="47" t="str">
        <x:v>CT-C-B</x:v>
      </x:c>
      <x:c r="E102" s="47" t="str">
        <x:v>REBUILD</x:v>
      </x:c>
      <x:c r="F102" s="47" t="str">
        <x:v>C06</x:v>
      </x:c>
      <x:c r="G102" s="47" t="str">
        <x:v>Recreate the frozen challenge case</x:v>
      </x:c>
      <x:c r="H102" s="47" t="n">
        <x:v>1</x:v>
      </x:c>
      <x:c r="I102" s="56" t="n">
        <x:v>0</x:v>
      </x:c>
      <x:c r="J102" s="59" t="n">
        <x:f>Inputs!$B$11</x:f>
        <x:v>1</x:v>
      </x:c>
      <x:c r="K102" s="59" t="n">
        <x:f>Inputs!$B$13</x:f>
        <x:v>0</x:v>
      </x:c>
      <x:c r="L102" s="59" t="str">
        <x:f>IF(OR(J102&lt;&gt;1,K102&lt;&gt;0),"TERMINATE",IF(I102=H102,"PASS","OPEN"))</x:f>
        <x:v>OPEN</x:v>
      </x:c>
      <x:c r="M102" s="84"/>
      <x:c r="N102" s="84"/>
    </x:row>
    <x:row r="103">
      <x:c r="A103" s="47" t="str">
        <x:v>CR097</x:v>
      </x:c>
      <x:c r="B103" s="47" t="str">
        <x:v>P10</x:v>
      </x:c>
      <x:c r="C103" s="47" t="str">
        <x:v>CT-C</x:v>
      </x:c>
      <x:c r="D103" s="47" t="str">
        <x:v>CT-C-B</x:v>
      </x:c>
      <x:c r="E103" s="47" t="str">
        <x:v>REBUILD</x:v>
      </x:c>
      <x:c r="F103" s="47" t="str">
        <x:v>C07</x:v>
      </x:c>
      <x:c r="G103" s="47" t="str">
        <x:v>Calculate six invariants independently</x:v>
      </x:c>
      <x:c r="H103" s="47" t="n">
        <x:v>1</x:v>
      </x:c>
      <x:c r="I103" s="56" t="n">
        <x:v>0</x:v>
      </x:c>
      <x:c r="J103" s="59" t="n">
        <x:f>Inputs!$B$11</x:f>
        <x:v>1</x:v>
      </x:c>
      <x:c r="K103" s="59" t="n">
        <x:f>Inputs!$B$13</x:f>
        <x:v>0</x:v>
      </x:c>
      <x:c r="L103" s="59" t="str">
        <x:f>IF(OR(J103&lt;&gt;1,K103&lt;&gt;0),"TERMINATE",IF(I103=H103,"PASS","OPEN"))</x:f>
        <x:v>OPEN</x:v>
      </x:c>
      <x:c r="M103" s="84"/>
      <x:c r="N103" s="84"/>
    </x:row>
    <x:row r="104">
      <x:c r="A104" s="47" t="str">
        <x:v>CR098</x:v>
      </x:c>
      <x:c r="B104" s="47" t="str">
        <x:v>P10</x:v>
      </x:c>
      <x:c r="C104" s="47" t="str">
        <x:v>CT-C</x:v>
      </x:c>
      <x:c r="D104" s="47" t="str">
        <x:v>CT-C-B</x:v>
      </x:c>
      <x:c r="E104" s="47" t="str">
        <x:v>REBUILD</x:v>
      </x:c>
      <x:c r="F104" s="47" t="str">
        <x:v>C08</x:v>
      </x:c>
      <x:c r="G104" s="47" t="str">
        <x:v>Commit results before native disclosure</x:v>
      </x:c>
      <x:c r="H104" s="47" t="n">
        <x:v>1</x:v>
      </x:c>
      <x:c r="I104" s="56" t="n">
        <x:v>0</x:v>
      </x:c>
      <x:c r="J104" s="59" t="n">
        <x:f>Inputs!$B$11</x:f>
        <x:v>1</x:v>
      </x:c>
      <x:c r="K104" s="59" t="n">
        <x:f>Inputs!$B$13</x:f>
        <x:v>0</x:v>
      </x:c>
      <x:c r="L104" s="59" t="str">
        <x:f>IF(OR(J104&lt;&gt;1,K104&lt;&gt;0),"TERMINATE",IF(I104=H104,"PASS","OPEN"))</x:f>
        <x:v>OPEN</x:v>
      </x:c>
      <x:c r="M104" s="84"/>
      <x:c r="N104" s="84"/>
    </x:row>
    <x:row r="105">
      <x:c r="A105" s="47" t="str">
        <x:v>CR099</x:v>
      </x:c>
      <x:c r="B105" s="47" t="str">
        <x:v>P10</x:v>
      </x:c>
      <x:c r="C105" s="47" t="str">
        <x:v>CT-C</x:v>
      </x:c>
      <x:c r="D105" s="47" t="str">
        <x:v>CT-C-B</x:v>
      </x:c>
      <x:c r="E105" s="47" t="str">
        <x:v>REBUILD</x:v>
      </x:c>
      <x:c r="F105" s="47" t="str">
        <x:v>C09</x:v>
      </x:c>
      <x:c r="G105" s="47" t="str">
        <x:v>Compare semantic deltas after commitment</x:v>
      </x:c>
      <x:c r="H105" s="47" t="n">
        <x:v>1</x:v>
      </x:c>
      <x:c r="I105" s="56" t="n">
        <x:v>0</x:v>
      </x:c>
      <x:c r="J105" s="59" t="n">
        <x:f>Inputs!$B$11</x:f>
        <x:v>1</x:v>
      </x:c>
      <x:c r="K105" s="59" t="n">
        <x:f>Inputs!$B$13</x:f>
        <x:v>0</x:v>
      </x:c>
      <x:c r="L105" s="59" t="str">
        <x:f>IF(OR(J105&lt;&gt;1,K105&lt;&gt;0),"TERMINATE",IF(I105=H105,"PASS","OPEN"))</x:f>
        <x:v>OPEN</x:v>
      </x:c>
      <x:c r="M105" s="84"/>
      <x:c r="N105" s="84"/>
    </x:row>
    <x:row r="106">
      <x:c r="A106" s="47" t="str">
        <x:v>CR100</x:v>
      </x:c>
      <x:c r="B106" s="47" t="str">
        <x:v>P10</x:v>
      </x:c>
      <x:c r="C106" s="47" t="str">
        <x:v>CT-C</x:v>
      </x:c>
      <x:c r="D106" s="47" t="str">
        <x:v>CT-C-B</x:v>
      </x:c>
      <x:c r="E106" s="47" t="str">
        <x:v>REBUILD</x:v>
      </x:c>
      <x:c r="F106" s="47" t="str">
        <x:v>C10</x:v>
      </x:c>
      <x:c r="G106" s="47" t="str">
        <x:v>Seal divergence or acceptance packet</x:v>
      </x:c>
      <x:c r="H106" s="47" t="n">
        <x:v>1</x:v>
      </x:c>
      <x:c r="I106" s="56" t="n">
        <x:v>0</x:v>
      </x:c>
      <x:c r="J106" s="59" t="n">
        <x:f>Inputs!$B$11</x:f>
        <x:v>1</x:v>
      </x:c>
      <x:c r="K106" s="59" t="n">
        <x:f>Inputs!$B$13</x:f>
        <x:v>0</x:v>
      </x:c>
      <x:c r="L106" s="59" t="str">
        <x:f>IF(OR(J106&lt;&gt;1,K106&lt;&gt;0),"TERMINATE",IF(I106=H106,"PASS","OPEN"))</x:f>
        <x:v>OPEN</x:v>
      </x:c>
      <x:c r="M106" s="84"/>
      <x:c r="N106" s="84"/>
    </x:row>
    <x:row r="107">
      <x:c r="A107" s="47" t="str">
        <x:v>CR101</x:v>
      </x:c>
      <x:c r="B107" s="47" t="str">
        <x:v>P11</x:v>
      </x:c>
      <x:c r="C107" s="47" t="str">
        <x:v>HC-A</x:v>
      </x:c>
      <x:c r="D107" s="47" t="str">
        <x:v>HC-A-C</x:v>
      </x:c>
      <x:c r="E107" s="47" t="str">
        <x:v>METHOD</x:v>
      </x:c>
      <x:c r="F107" s="47" t="str">
        <x:v>C01</x:v>
      </x:c>
      <x:c r="G107" s="47" t="str">
        <x:v>Receive public contract without native outputs</x:v>
      </x:c>
      <x:c r="H107" s="47" t="n">
        <x:v>1</x:v>
      </x:c>
      <x:c r="I107" s="56" t="n">
        <x:v>0</x:v>
      </x:c>
      <x:c r="J107" s="59" t="n">
        <x:f>Inputs!$B$11</x:f>
        <x:v>1</x:v>
      </x:c>
      <x:c r="K107" s="59" t="n">
        <x:f>Inputs!$B$13</x:f>
        <x:v>0</x:v>
      </x:c>
      <x:c r="L107" s="59" t="str">
        <x:f>IF(OR(J107&lt;&gt;1,K107&lt;&gt;0),"TERMINATE",IF(I107=H107,"PASS","OPEN"))</x:f>
        <x:v>OPEN</x:v>
      </x:c>
      <x:c r="M107" s="84"/>
      <x:c r="N107" s="84"/>
    </x:row>
    <x:row r="108">
      <x:c r="A108" s="47" t="str">
        <x:v>CR102</x:v>
      </x:c>
      <x:c r="B108" s="47" t="str">
        <x:v>P11</x:v>
      </x:c>
      <x:c r="C108" s="47" t="str">
        <x:v>HC-A</x:v>
      </x:c>
      <x:c r="D108" s="47" t="str">
        <x:v>HC-A-C</x:v>
      </x:c>
      <x:c r="E108" s="47" t="str">
        <x:v>METHOD</x:v>
      </x:c>
      <x:c r="F108" s="47" t="str">
        <x:v>C02</x:v>
      </x:c>
      <x:c r="G108" s="47" t="str">
        <x:v>Declare disjoint people, control and toolchain</x:v>
      </x:c>
      <x:c r="H108" s="47" t="n">
        <x:v>1</x:v>
      </x:c>
      <x:c r="I108" s="56" t="n">
        <x:v>0</x:v>
      </x:c>
      <x:c r="J108" s="59" t="n">
        <x:f>Inputs!$B$11</x:f>
        <x:v>1</x:v>
      </x:c>
      <x:c r="K108" s="59" t="n">
        <x:f>Inputs!$B$13</x:f>
        <x:v>0</x:v>
      </x:c>
      <x:c r="L108" s="59" t="str">
        <x:f>IF(OR(J108&lt;&gt;1,K108&lt;&gt;0),"TERMINATE",IF(I108=H108,"PASS","OPEN"))</x:f>
        <x:v>OPEN</x:v>
      </x:c>
      <x:c r="M108" s="84"/>
      <x:c r="N108" s="84"/>
    </x:row>
    <x:row r="109">
      <x:c r="A109" s="47" t="str">
        <x:v>CR103</x:v>
      </x:c>
      <x:c r="B109" s="47" t="str">
        <x:v>P11</x:v>
      </x:c>
      <x:c r="C109" s="47" t="str">
        <x:v>HC-A</x:v>
      </x:c>
      <x:c r="D109" s="47" t="str">
        <x:v>HC-A-C</x:v>
      </x:c>
      <x:c r="E109" s="47" t="str">
        <x:v>METHOD</x:v>
      </x:c>
      <x:c r="F109" s="47" t="str">
        <x:v>C03</x:v>
      </x:c>
      <x:c r="G109" s="47" t="str">
        <x:v>Reconstruct units, datums and system boundary</x:v>
      </x:c>
      <x:c r="H109" s="47" t="n">
        <x:v>1</x:v>
      </x:c>
      <x:c r="I109" s="56" t="n">
        <x:v>0</x:v>
      </x:c>
      <x:c r="J109" s="59" t="n">
        <x:f>Inputs!$B$11</x:f>
        <x:v>1</x:v>
      </x:c>
      <x:c r="K109" s="59" t="n">
        <x:f>Inputs!$B$13</x:f>
        <x:v>0</x:v>
      </x:c>
      <x:c r="L109" s="59" t="str">
        <x:f>IF(OR(J109&lt;&gt;1,K109&lt;&gt;0),"TERMINATE",IF(I109=H109,"PASS","OPEN"))</x:f>
        <x:v>OPEN</x:v>
      </x:c>
      <x:c r="M109" s="84"/>
      <x:c r="N109" s="84"/>
    </x:row>
    <x:row r="110">
      <x:c r="A110" s="47" t="str">
        <x:v>CR104</x:v>
      </x:c>
      <x:c r="B110" s="47" t="str">
        <x:v>P11</x:v>
      </x:c>
      <x:c r="C110" s="47" t="str">
        <x:v>HC-A</x:v>
      </x:c>
      <x:c r="D110" s="47" t="str">
        <x:v>HC-A-C</x:v>
      </x:c>
      <x:c r="E110" s="47" t="str">
        <x:v>METHOD</x:v>
      </x:c>
      <x:c r="F110" s="47" t="str">
        <x:v>C04</x:v>
      </x:c>
      <x:c r="G110" s="47" t="str">
        <x:v>Reimplement the causal model</x:v>
      </x:c>
      <x:c r="H110" s="47" t="n">
        <x:v>1</x:v>
      </x:c>
      <x:c r="I110" s="56" t="n">
        <x:v>0</x:v>
      </x:c>
      <x:c r="J110" s="59" t="n">
        <x:f>Inputs!$B$11</x:f>
        <x:v>1</x:v>
      </x:c>
      <x:c r="K110" s="59" t="n">
        <x:f>Inputs!$B$13</x:f>
        <x:v>0</x:v>
      </x:c>
      <x:c r="L110" s="59" t="str">
        <x:f>IF(OR(J110&lt;&gt;1,K110&lt;&gt;0),"TERMINATE",IF(I110=H110,"PASS","OPEN"))</x:f>
        <x:v>OPEN</x:v>
      </x:c>
      <x:c r="M110" s="84"/>
      <x:c r="N110" s="84"/>
    </x:row>
    <x:row r="111">
      <x:c r="A111" s="47" t="str">
        <x:v>CR105</x:v>
      </x:c>
      <x:c r="B111" s="47" t="str">
        <x:v>P11</x:v>
      </x:c>
      <x:c r="C111" s="47" t="str">
        <x:v>HC-A</x:v>
      </x:c>
      <x:c r="D111" s="47" t="str">
        <x:v>HC-A-C</x:v>
      </x:c>
      <x:c r="E111" s="47" t="str">
        <x:v>METHOD</x:v>
      </x:c>
      <x:c r="F111" s="47" t="str">
        <x:v>C05</x:v>
      </x:c>
      <x:c r="G111" s="47" t="str">
        <x:v>Rebuild material and process assumptions</x:v>
      </x:c>
      <x:c r="H111" s="47" t="n">
        <x:v>1</x:v>
      </x:c>
      <x:c r="I111" s="56" t="n">
        <x:v>0</x:v>
      </x:c>
      <x:c r="J111" s="59" t="n">
        <x:f>Inputs!$B$11</x:f>
        <x:v>1</x:v>
      </x:c>
      <x:c r="K111" s="59" t="n">
        <x:f>Inputs!$B$13</x:f>
        <x:v>0</x:v>
      </x:c>
      <x:c r="L111" s="59" t="str">
        <x:f>IF(OR(J111&lt;&gt;1,K111&lt;&gt;0),"TERMINATE",IF(I111=H111,"PASS","OPEN"))</x:f>
        <x:v>OPEN</x:v>
      </x:c>
      <x:c r="M111" s="84"/>
      <x:c r="N111" s="84"/>
    </x:row>
    <x:row r="112">
      <x:c r="A112" s="47" t="str">
        <x:v>CR106</x:v>
      </x:c>
      <x:c r="B112" s="47" t="str">
        <x:v>P11</x:v>
      </x:c>
      <x:c r="C112" s="47" t="str">
        <x:v>HC-A</x:v>
      </x:c>
      <x:c r="D112" s="47" t="str">
        <x:v>HC-A-C</x:v>
      </x:c>
      <x:c r="E112" s="47" t="str">
        <x:v>METHOD</x:v>
      </x:c>
      <x:c r="F112" s="47" t="str">
        <x:v>C06</x:v>
      </x:c>
      <x:c r="G112" s="47" t="str">
        <x:v>Recreate the frozen challenge case</x:v>
      </x:c>
      <x:c r="H112" s="47" t="n">
        <x:v>1</x:v>
      </x:c>
      <x:c r="I112" s="56" t="n">
        <x:v>0</x:v>
      </x:c>
      <x:c r="J112" s="59" t="n">
        <x:f>Inputs!$B$11</x:f>
        <x:v>1</x:v>
      </x:c>
      <x:c r="K112" s="59" t="n">
        <x:f>Inputs!$B$13</x:f>
        <x:v>0</x:v>
      </x:c>
      <x:c r="L112" s="59" t="str">
        <x:f>IF(OR(J112&lt;&gt;1,K112&lt;&gt;0),"TERMINATE",IF(I112=H112,"PASS","OPEN"))</x:f>
        <x:v>OPEN</x:v>
      </x:c>
      <x:c r="M112" s="84"/>
      <x:c r="N112" s="84"/>
    </x:row>
    <x:row r="113">
      <x:c r="A113" s="47" t="str">
        <x:v>CR107</x:v>
      </x:c>
      <x:c r="B113" s="47" t="str">
        <x:v>P11</x:v>
      </x:c>
      <x:c r="C113" s="47" t="str">
        <x:v>HC-A</x:v>
      </x:c>
      <x:c r="D113" s="47" t="str">
        <x:v>HC-A-C</x:v>
      </x:c>
      <x:c r="E113" s="47" t="str">
        <x:v>METHOD</x:v>
      </x:c>
      <x:c r="F113" s="47" t="str">
        <x:v>C07</x:v>
      </x:c>
      <x:c r="G113" s="47" t="str">
        <x:v>Calculate six invariants independently</x:v>
      </x:c>
      <x:c r="H113" s="47" t="n">
        <x:v>1</x:v>
      </x:c>
      <x:c r="I113" s="56" t="n">
        <x:v>0</x:v>
      </x:c>
      <x:c r="J113" s="59" t="n">
        <x:f>Inputs!$B$11</x:f>
        <x:v>1</x:v>
      </x:c>
      <x:c r="K113" s="59" t="n">
        <x:f>Inputs!$B$13</x:f>
        <x:v>0</x:v>
      </x:c>
      <x:c r="L113" s="59" t="str">
        <x:f>IF(OR(J113&lt;&gt;1,K113&lt;&gt;0),"TERMINATE",IF(I113=H113,"PASS","OPEN"))</x:f>
        <x:v>OPEN</x:v>
      </x:c>
      <x:c r="M113" s="84"/>
      <x:c r="N113" s="84"/>
    </x:row>
    <x:row r="114">
      <x:c r="A114" s="47" t="str">
        <x:v>CR108</x:v>
      </x:c>
      <x:c r="B114" s="47" t="str">
        <x:v>P11</x:v>
      </x:c>
      <x:c r="C114" s="47" t="str">
        <x:v>HC-A</x:v>
      </x:c>
      <x:c r="D114" s="47" t="str">
        <x:v>HC-A-C</x:v>
      </x:c>
      <x:c r="E114" s="47" t="str">
        <x:v>METHOD</x:v>
      </x:c>
      <x:c r="F114" s="47" t="str">
        <x:v>C08</x:v>
      </x:c>
      <x:c r="G114" s="47" t="str">
        <x:v>Commit results before native disclosure</x:v>
      </x:c>
      <x:c r="H114" s="47" t="n">
        <x:v>1</x:v>
      </x:c>
      <x:c r="I114" s="56" t="n">
        <x:v>0</x:v>
      </x:c>
      <x:c r="J114" s="59" t="n">
        <x:f>Inputs!$B$11</x:f>
        <x:v>1</x:v>
      </x:c>
      <x:c r="K114" s="59" t="n">
        <x:f>Inputs!$B$13</x:f>
        <x:v>0</x:v>
      </x:c>
      <x:c r="L114" s="59" t="str">
        <x:f>IF(OR(J114&lt;&gt;1,K114&lt;&gt;0),"TERMINATE",IF(I114=H114,"PASS","OPEN"))</x:f>
        <x:v>OPEN</x:v>
      </x:c>
      <x:c r="M114" s="84"/>
      <x:c r="N114" s="84"/>
    </x:row>
    <x:row r="115">
      <x:c r="A115" s="47" t="str">
        <x:v>CR109</x:v>
      </x:c>
      <x:c r="B115" s="47" t="str">
        <x:v>P11</x:v>
      </x:c>
      <x:c r="C115" s="47" t="str">
        <x:v>HC-A</x:v>
      </x:c>
      <x:c r="D115" s="47" t="str">
        <x:v>HC-A-C</x:v>
      </x:c>
      <x:c r="E115" s="47" t="str">
        <x:v>METHOD</x:v>
      </x:c>
      <x:c r="F115" s="47" t="str">
        <x:v>C09</x:v>
      </x:c>
      <x:c r="G115" s="47" t="str">
        <x:v>Compare semantic deltas after commitment</x:v>
      </x:c>
      <x:c r="H115" s="47" t="n">
        <x:v>1</x:v>
      </x:c>
      <x:c r="I115" s="56" t="n">
        <x:v>0</x:v>
      </x:c>
      <x:c r="J115" s="59" t="n">
        <x:f>Inputs!$B$11</x:f>
        <x:v>1</x:v>
      </x:c>
      <x:c r="K115" s="59" t="n">
        <x:f>Inputs!$B$13</x:f>
        <x:v>0</x:v>
      </x:c>
      <x:c r="L115" s="59" t="str">
        <x:f>IF(OR(J115&lt;&gt;1,K115&lt;&gt;0),"TERMINATE",IF(I115=H115,"PASS","OPEN"))</x:f>
        <x:v>OPEN</x:v>
      </x:c>
      <x:c r="M115" s="84"/>
      <x:c r="N115" s="84"/>
    </x:row>
    <x:row r="116">
      <x:c r="A116" s="47" t="str">
        <x:v>CR110</x:v>
      </x:c>
      <x:c r="B116" s="47" t="str">
        <x:v>P11</x:v>
      </x:c>
      <x:c r="C116" s="47" t="str">
        <x:v>HC-A</x:v>
      </x:c>
      <x:c r="D116" s="47" t="str">
        <x:v>HC-A-C</x:v>
      </x:c>
      <x:c r="E116" s="47" t="str">
        <x:v>METHOD</x:v>
      </x:c>
      <x:c r="F116" s="47" t="str">
        <x:v>C10</x:v>
      </x:c>
      <x:c r="G116" s="47" t="str">
        <x:v>Seal divergence or acceptance packet</x:v>
      </x:c>
      <x:c r="H116" s="47" t="n">
        <x:v>1</x:v>
      </x:c>
      <x:c r="I116" s="56" t="n">
        <x:v>0</x:v>
      </x:c>
      <x:c r="J116" s="59" t="n">
        <x:f>Inputs!$B$11</x:f>
        <x:v>1</x:v>
      </x:c>
      <x:c r="K116" s="59" t="n">
        <x:f>Inputs!$B$13</x:f>
        <x:v>0</x:v>
      </x:c>
      <x:c r="L116" s="59" t="str">
        <x:f>IF(OR(J116&lt;&gt;1,K116&lt;&gt;0),"TERMINATE",IF(I116=H116,"PASS","OPEN"))</x:f>
        <x:v>OPEN</x:v>
      </x:c>
      <x:c r="M116" s="84"/>
      <x:c r="N116" s="84"/>
    </x:row>
    <x:row r="117">
      <x:c r="A117" s="47" t="str">
        <x:v>CR111</x:v>
      </x:c>
      <x:c r="B117" s="47" t="str">
        <x:v>P12</x:v>
      </x:c>
      <x:c r="C117" s="47" t="str">
        <x:v>HC-A</x:v>
      </x:c>
      <x:c r="D117" s="47" t="str">
        <x:v>HC-A-C</x:v>
      </x:c>
      <x:c r="E117" s="47" t="str">
        <x:v>VALID</x:v>
      </x:c>
      <x:c r="F117" s="47" t="str">
        <x:v>C01</x:v>
      </x:c>
      <x:c r="G117" s="47" t="str">
        <x:v>Receive public contract without native outputs</x:v>
      </x:c>
      <x:c r="H117" s="47" t="n">
        <x:v>1</x:v>
      </x:c>
      <x:c r="I117" s="56" t="n">
        <x:v>0</x:v>
      </x:c>
      <x:c r="J117" s="59" t="n">
        <x:f>Inputs!$B$11</x:f>
        <x:v>1</x:v>
      </x:c>
      <x:c r="K117" s="59" t="n">
        <x:f>Inputs!$B$13</x:f>
        <x:v>0</x:v>
      </x:c>
      <x:c r="L117" s="59" t="str">
        <x:f>IF(OR(J117&lt;&gt;1,K117&lt;&gt;0),"TERMINATE",IF(I117=H117,"PASS","OPEN"))</x:f>
        <x:v>OPEN</x:v>
      </x:c>
      <x:c r="M117" s="84"/>
      <x:c r="N117" s="84"/>
    </x:row>
    <x:row r="118">
      <x:c r="A118" s="47" t="str">
        <x:v>CR112</x:v>
      </x:c>
      <x:c r="B118" s="47" t="str">
        <x:v>P12</x:v>
      </x:c>
      <x:c r="C118" s="47" t="str">
        <x:v>HC-A</x:v>
      </x:c>
      <x:c r="D118" s="47" t="str">
        <x:v>HC-A-C</x:v>
      </x:c>
      <x:c r="E118" s="47" t="str">
        <x:v>VALID</x:v>
      </x:c>
      <x:c r="F118" s="47" t="str">
        <x:v>C02</x:v>
      </x:c>
      <x:c r="G118" s="47" t="str">
        <x:v>Declare disjoint people, control and toolchain</x:v>
      </x:c>
      <x:c r="H118" s="47" t="n">
        <x:v>1</x:v>
      </x:c>
      <x:c r="I118" s="56" t="n">
        <x:v>0</x:v>
      </x:c>
      <x:c r="J118" s="59" t="n">
        <x:f>Inputs!$B$11</x:f>
        <x:v>1</x:v>
      </x:c>
      <x:c r="K118" s="59" t="n">
        <x:f>Inputs!$B$13</x:f>
        <x:v>0</x:v>
      </x:c>
      <x:c r="L118" s="59" t="str">
        <x:f>IF(OR(J118&lt;&gt;1,K118&lt;&gt;0),"TERMINATE",IF(I118=H118,"PASS","OPEN"))</x:f>
        <x:v>OPEN</x:v>
      </x:c>
      <x:c r="M118" s="84"/>
      <x:c r="N118" s="84"/>
    </x:row>
    <x:row r="119">
      <x:c r="A119" s="47" t="str">
        <x:v>CR113</x:v>
      </x:c>
      <x:c r="B119" s="47" t="str">
        <x:v>P12</x:v>
      </x:c>
      <x:c r="C119" s="47" t="str">
        <x:v>HC-A</x:v>
      </x:c>
      <x:c r="D119" s="47" t="str">
        <x:v>HC-A-C</x:v>
      </x:c>
      <x:c r="E119" s="47" t="str">
        <x:v>VALID</x:v>
      </x:c>
      <x:c r="F119" s="47" t="str">
        <x:v>C03</x:v>
      </x:c>
      <x:c r="G119" s="47" t="str">
        <x:v>Reconstruct units, datums and system boundary</x:v>
      </x:c>
      <x:c r="H119" s="47" t="n">
        <x:v>1</x:v>
      </x:c>
      <x:c r="I119" s="56" t="n">
        <x:v>0</x:v>
      </x:c>
      <x:c r="J119" s="59" t="n">
        <x:f>Inputs!$B$11</x:f>
        <x:v>1</x:v>
      </x:c>
      <x:c r="K119" s="59" t="n">
        <x:f>Inputs!$B$13</x:f>
        <x:v>0</x:v>
      </x:c>
      <x:c r="L119" s="59" t="str">
        <x:f>IF(OR(J119&lt;&gt;1,K119&lt;&gt;0),"TERMINATE",IF(I119=H119,"PASS","OPEN"))</x:f>
        <x:v>OPEN</x:v>
      </x:c>
      <x:c r="M119" s="84"/>
      <x:c r="N119" s="84"/>
    </x:row>
    <x:row r="120">
      <x:c r="A120" s="47" t="str">
        <x:v>CR114</x:v>
      </x:c>
      <x:c r="B120" s="47" t="str">
        <x:v>P12</x:v>
      </x:c>
      <x:c r="C120" s="47" t="str">
        <x:v>HC-A</x:v>
      </x:c>
      <x:c r="D120" s="47" t="str">
        <x:v>HC-A-C</x:v>
      </x:c>
      <x:c r="E120" s="47" t="str">
        <x:v>VALID</x:v>
      </x:c>
      <x:c r="F120" s="47" t="str">
        <x:v>C04</x:v>
      </x:c>
      <x:c r="G120" s="47" t="str">
        <x:v>Reimplement the causal model</x:v>
      </x:c>
      <x:c r="H120" s="47" t="n">
        <x:v>1</x:v>
      </x:c>
      <x:c r="I120" s="56" t="n">
        <x:v>0</x:v>
      </x:c>
      <x:c r="J120" s="59" t="n">
        <x:f>Inputs!$B$11</x:f>
        <x:v>1</x:v>
      </x:c>
      <x:c r="K120" s="59" t="n">
        <x:f>Inputs!$B$13</x:f>
        <x:v>0</x:v>
      </x:c>
      <x:c r="L120" s="59" t="str">
        <x:f>IF(OR(J120&lt;&gt;1,K120&lt;&gt;0),"TERMINATE",IF(I120=H120,"PASS","OPEN"))</x:f>
        <x:v>OPEN</x:v>
      </x:c>
      <x:c r="M120" s="84"/>
      <x:c r="N120" s="84"/>
    </x:row>
    <x:row r="121">
      <x:c r="A121" s="47" t="str">
        <x:v>CR115</x:v>
      </x:c>
      <x:c r="B121" s="47" t="str">
        <x:v>P12</x:v>
      </x:c>
      <x:c r="C121" s="47" t="str">
        <x:v>HC-A</x:v>
      </x:c>
      <x:c r="D121" s="47" t="str">
        <x:v>HC-A-C</x:v>
      </x:c>
      <x:c r="E121" s="47" t="str">
        <x:v>VALID</x:v>
      </x:c>
      <x:c r="F121" s="47" t="str">
        <x:v>C05</x:v>
      </x:c>
      <x:c r="G121" s="47" t="str">
        <x:v>Rebuild material and process assumptions</x:v>
      </x:c>
      <x:c r="H121" s="47" t="n">
        <x:v>1</x:v>
      </x:c>
      <x:c r="I121" s="56" t="n">
        <x:v>0</x:v>
      </x:c>
      <x:c r="J121" s="59" t="n">
        <x:f>Inputs!$B$11</x:f>
        <x:v>1</x:v>
      </x:c>
      <x:c r="K121" s="59" t="n">
        <x:f>Inputs!$B$13</x:f>
        <x:v>0</x:v>
      </x:c>
      <x:c r="L121" s="59" t="str">
        <x:f>IF(OR(J121&lt;&gt;1,K121&lt;&gt;0),"TERMINATE",IF(I121=H121,"PASS","OPEN"))</x:f>
        <x:v>OPEN</x:v>
      </x:c>
      <x:c r="M121" s="84"/>
      <x:c r="N121" s="84"/>
    </x:row>
    <x:row r="122">
      <x:c r="A122" s="47" t="str">
        <x:v>CR116</x:v>
      </x:c>
      <x:c r="B122" s="47" t="str">
        <x:v>P12</x:v>
      </x:c>
      <x:c r="C122" s="47" t="str">
        <x:v>HC-A</x:v>
      </x:c>
      <x:c r="D122" s="47" t="str">
        <x:v>HC-A-C</x:v>
      </x:c>
      <x:c r="E122" s="47" t="str">
        <x:v>VALID</x:v>
      </x:c>
      <x:c r="F122" s="47" t="str">
        <x:v>C06</x:v>
      </x:c>
      <x:c r="G122" s="47" t="str">
        <x:v>Recreate the frozen challenge case</x:v>
      </x:c>
      <x:c r="H122" s="47" t="n">
        <x:v>1</x:v>
      </x:c>
      <x:c r="I122" s="56" t="n">
        <x:v>0</x:v>
      </x:c>
      <x:c r="J122" s="59" t="n">
        <x:f>Inputs!$B$11</x:f>
        <x:v>1</x:v>
      </x:c>
      <x:c r="K122" s="59" t="n">
        <x:f>Inputs!$B$13</x:f>
        <x:v>0</x:v>
      </x:c>
      <x:c r="L122" s="59" t="str">
        <x:f>IF(OR(J122&lt;&gt;1,K122&lt;&gt;0),"TERMINATE",IF(I122=H122,"PASS","OPEN"))</x:f>
        <x:v>OPEN</x:v>
      </x:c>
      <x:c r="M122" s="84"/>
      <x:c r="N122" s="84"/>
    </x:row>
    <x:row r="123">
      <x:c r="A123" s="47" t="str">
        <x:v>CR117</x:v>
      </x:c>
      <x:c r="B123" s="47" t="str">
        <x:v>P12</x:v>
      </x:c>
      <x:c r="C123" s="47" t="str">
        <x:v>HC-A</x:v>
      </x:c>
      <x:c r="D123" s="47" t="str">
        <x:v>HC-A-C</x:v>
      </x:c>
      <x:c r="E123" s="47" t="str">
        <x:v>VALID</x:v>
      </x:c>
      <x:c r="F123" s="47" t="str">
        <x:v>C07</x:v>
      </x:c>
      <x:c r="G123" s="47" t="str">
        <x:v>Calculate six invariants independently</x:v>
      </x:c>
      <x:c r="H123" s="47" t="n">
        <x:v>1</x:v>
      </x:c>
      <x:c r="I123" s="56" t="n">
        <x:v>0</x:v>
      </x:c>
      <x:c r="J123" s="59" t="n">
        <x:f>Inputs!$B$11</x:f>
        <x:v>1</x:v>
      </x:c>
      <x:c r="K123" s="59" t="n">
        <x:f>Inputs!$B$13</x:f>
        <x:v>0</x:v>
      </x:c>
      <x:c r="L123" s="59" t="str">
        <x:f>IF(OR(J123&lt;&gt;1,K123&lt;&gt;0),"TERMINATE",IF(I123=H123,"PASS","OPEN"))</x:f>
        <x:v>OPEN</x:v>
      </x:c>
      <x:c r="M123" s="84"/>
      <x:c r="N123" s="84"/>
    </x:row>
    <x:row r="124">
      <x:c r="A124" s="47" t="str">
        <x:v>CR118</x:v>
      </x:c>
      <x:c r="B124" s="47" t="str">
        <x:v>P12</x:v>
      </x:c>
      <x:c r="C124" s="47" t="str">
        <x:v>HC-A</x:v>
      </x:c>
      <x:c r="D124" s="47" t="str">
        <x:v>HC-A-C</x:v>
      </x:c>
      <x:c r="E124" s="47" t="str">
        <x:v>VALID</x:v>
      </x:c>
      <x:c r="F124" s="47" t="str">
        <x:v>C08</x:v>
      </x:c>
      <x:c r="G124" s="47" t="str">
        <x:v>Commit results before native disclosure</x:v>
      </x:c>
      <x:c r="H124" s="47" t="n">
        <x:v>1</x:v>
      </x:c>
      <x:c r="I124" s="56" t="n">
        <x:v>0</x:v>
      </x:c>
      <x:c r="J124" s="59" t="n">
        <x:f>Inputs!$B$11</x:f>
        <x:v>1</x:v>
      </x:c>
      <x:c r="K124" s="59" t="n">
        <x:f>Inputs!$B$13</x:f>
        <x:v>0</x:v>
      </x:c>
      <x:c r="L124" s="59" t="str">
        <x:f>IF(OR(J124&lt;&gt;1,K124&lt;&gt;0),"TERMINATE",IF(I124=H124,"PASS","OPEN"))</x:f>
        <x:v>OPEN</x:v>
      </x:c>
      <x:c r="M124" s="84"/>
      <x:c r="N124" s="84"/>
    </x:row>
    <x:row r="125">
      <x:c r="A125" s="47" t="str">
        <x:v>CR119</x:v>
      </x:c>
      <x:c r="B125" s="47" t="str">
        <x:v>P12</x:v>
      </x:c>
      <x:c r="C125" s="47" t="str">
        <x:v>HC-A</x:v>
      </x:c>
      <x:c r="D125" s="47" t="str">
        <x:v>HC-A-C</x:v>
      </x:c>
      <x:c r="E125" s="47" t="str">
        <x:v>VALID</x:v>
      </x:c>
      <x:c r="F125" s="47" t="str">
        <x:v>C09</x:v>
      </x:c>
      <x:c r="G125" s="47" t="str">
        <x:v>Compare semantic deltas after commitment</x:v>
      </x:c>
      <x:c r="H125" s="47" t="n">
        <x:v>1</x:v>
      </x:c>
      <x:c r="I125" s="56" t="n">
        <x:v>0</x:v>
      </x:c>
      <x:c r="J125" s="59" t="n">
        <x:f>Inputs!$B$11</x:f>
        <x:v>1</x:v>
      </x:c>
      <x:c r="K125" s="59" t="n">
        <x:f>Inputs!$B$13</x:f>
        <x:v>0</x:v>
      </x:c>
      <x:c r="L125" s="59" t="str">
        <x:f>IF(OR(J125&lt;&gt;1,K125&lt;&gt;0),"TERMINATE",IF(I125=H125,"PASS","OPEN"))</x:f>
        <x:v>OPEN</x:v>
      </x:c>
      <x:c r="M125" s="84"/>
      <x:c r="N125" s="84"/>
    </x:row>
    <x:row r="126">
      <x:c r="A126" s="47" t="str">
        <x:v>CR120</x:v>
      </x:c>
      <x:c r="B126" s="47" t="str">
        <x:v>P12</x:v>
      </x:c>
      <x:c r="C126" s="47" t="str">
        <x:v>HC-A</x:v>
      </x:c>
      <x:c r="D126" s="47" t="str">
        <x:v>HC-A-C</x:v>
      </x:c>
      <x:c r="E126" s="47" t="str">
        <x:v>VALID</x:v>
      </x:c>
      <x:c r="F126" s="47" t="str">
        <x:v>C10</x:v>
      </x:c>
      <x:c r="G126" s="47" t="str">
        <x:v>Seal divergence or acceptance packet</x:v>
      </x:c>
      <x:c r="H126" s="47" t="n">
        <x:v>1</x:v>
      </x:c>
      <x:c r="I126" s="56" t="n">
        <x:v>0</x:v>
      </x:c>
      <x:c r="J126" s="59" t="n">
        <x:f>Inputs!$B$11</x:f>
        <x:v>1</x:v>
      </x:c>
      <x:c r="K126" s="59" t="n">
        <x:f>Inputs!$B$13</x:f>
        <x:v>0</x:v>
      </x:c>
      <x:c r="L126" s="59" t="str">
        <x:f>IF(OR(J126&lt;&gt;1,K126&lt;&gt;0),"TERMINATE",IF(I126=H126,"PASS","OPEN"))</x:f>
        <x:v>OPEN</x:v>
      </x:c>
      <x:c r="M126" s="84"/>
      <x:c r="N126" s="84"/>
    </x:row>
    <x:row r="127">
      <x:c r="A127" s="47" t="str">
        <x:v>CR121</x:v>
      </x:c>
      <x:c r="B127" s="47" t="str">
        <x:v>P13</x:v>
      </x:c>
      <x:c r="C127" s="47" t="str">
        <x:v>HC-A</x:v>
      </x:c>
      <x:c r="D127" s="47" t="str">
        <x:v>HC-A-C</x:v>
      </x:c>
      <x:c r="E127" s="47" t="str">
        <x:v>CIVIL</x:v>
      </x:c>
      <x:c r="F127" s="47" t="str">
        <x:v>C01</x:v>
      </x:c>
      <x:c r="G127" s="47" t="str">
        <x:v>Receive public contract without native outputs</x:v>
      </x:c>
      <x:c r="H127" s="47" t="n">
        <x:v>1</x:v>
      </x:c>
      <x:c r="I127" s="56" t="n">
        <x:v>0</x:v>
      </x:c>
      <x:c r="J127" s="59" t="n">
        <x:f>Inputs!$B$11</x:f>
        <x:v>1</x:v>
      </x:c>
      <x:c r="K127" s="59" t="n">
        <x:f>Inputs!$B$13</x:f>
        <x:v>0</x:v>
      </x:c>
      <x:c r="L127" s="59" t="str">
        <x:f>IF(OR(J127&lt;&gt;1,K127&lt;&gt;0),"TERMINATE",IF(I127=H127,"PASS","OPEN"))</x:f>
        <x:v>OPEN</x:v>
      </x:c>
      <x:c r="M127" s="84"/>
      <x:c r="N127" s="84"/>
    </x:row>
    <x:row r="128">
      <x:c r="A128" s="47" t="str">
        <x:v>CR122</x:v>
      </x:c>
      <x:c r="B128" s="47" t="str">
        <x:v>P13</x:v>
      </x:c>
      <x:c r="C128" s="47" t="str">
        <x:v>HC-A</x:v>
      </x:c>
      <x:c r="D128" s="47" t="str">
        <x:v>HC-A-C</x:v>
      </x:c>
      <x:c r="E128" s="47" t="str">
        <x:v>CIVIL</x:v>
      </x:c>
      <x:c r="F128" s="47" t="str">
        <x:v>C02</x:v>
      </x:c>
      <x:c r="G128" s="47" t="str">
        <x:v>Declare disjoint people, control and toolchain</x:v>
      </x:c>
      <x:c r="H128" s="47" t="n">
        <x:v>1</x:v>
      </x:c>
      <x:c r="I128" s="56" t="n">
        <x:v>0</x:v>
      </x:c>
      <x:c r="J128" s="59" t="n">
        <x:f>Inputs!$B$11</x:f>
        <x:v>1</x:v>
      </x:c>
      <x:c r="K128" s="59" t="n">
        <x:f>Inputs!$B$13</x:f>
        <x:v>0</x:v>
      </x:c>
      <x:c r="L128" s="59" t="str">
        <x:f>IF(OR(J128&lt;&gt;1,K128&lt;&gt;0),"TERMINATE",IF(I128=H128,"PASS","OPEN"))</x:f>
        <x:v>OPEN</x:v>
      </x:c>
      <x:c r="M128" s="84"/>
      <x:c r="N128" s="84"/>
    </x:row>
    <x:row r="129">
      <x:c r="A129" s="47" t="str">
        <x:v>CR123</x:v>
      </x:c>
      <x:c r="B129" s="47" t="str">
        <x:v>P13</x:v>
      </x:c>
      <x:c r="C129" s="47" t="str">
        <x:v>HC-A</x:v>
      </x:c>
      <x:c r="D129" s="47" t="str">
        <x:v>HC-A-C</x:v>
      </x:c>
      <x:c r="E129" s="47" t="str">
        <x:v>CIVIL</x:v>
      </x:c>
      <x:c r="F129" s="47" t="str">
        <x:v>C03</x:v>
      </x:c>
      <x:c r="G129" s="47" t="str">
        <x:v>Reconstruct units, datums and system boundary</x:v>
      </x:c>
      <x:c r="H129" s="47" t="n">
        <x:v>1</x:v>
      </x:c>
      <x:c r="I129" s="56" t="n">
        <x:v>0</x:v>
      </x:c>
      <x:c r="J129" s="59" t="n">
        <x:f>Inputs!$B$11</x:f>
        <x:v>1</x:v>
      </x:c>
      <x:c r="K129" s="59" t="n">
        <x:f>Inputs!$B$13</x:f>
        <x:v>0</x:v>
      </x:c>
      <x:c r="L129" s="59" t="str">
        <x:f>IF(OR(J129&lt;&gt;1,K129&lt;&gt;0),"TERMINATE",IF(I129=H129,"PASS","OPEN"))</x:f>
        <x:v>OPEN</x:v>
      </x:c>
      <x:c r="M129" s="84"/>
      <x:c r="N129" s="84"/>
    </x:row>
    <x:row r="130">
      <x:c r="A130" s="47" t="str">
        <x:v>CR124</x:v>
      </x:c>
      <x:c r="B130" s="47" t="str">
        <x:v>P13</x:v>
      </x:c>
      <x:c r="C130" s="47" t="str">
        <x:v>HC-A</x:v>
      </x:c>
      <x:c r="D130" s="47" t="str">
        <x:v>HC-A-C</x:v>
      </x:c>
      <x:c r="E130" s="47" t="str">
        <x:v>CIVIL</x:v>
      </x:c>
      <x:c r="F130" s="47" t="str">
        <x:v>C04</x:v>
      </x:c>
      <x:c r="G130" s="47" t="str">
        <x:v>Reimplement the causal model</x:v>
      </x:c>
      <x:c r="H130" s="47" t="n">
        <x:v>1</x:v>
      </x:c>
      <x:c r="I130" s="56" t="n">
        <x:v>0</x:v>
      </x:c>
      <x:c r="J130" s="59" t="n">
        <x:f>Inputs!$B$11</x:f>
        <x:v>1</x:v>
      </x:c>
      <x:c r="K130" s="59" t="n">
        <x:f>Inputs!$B$13</x:f>
        <x:v>0</x:v>
      </x:c>
      <x:c r="L130" s="59" t="str">
        <x:f>IF(OR(J130&lt;&gt;1,K130&lt;&gt;0),"TERMINATE",IF(I130=H130,"PASS","OPEN"))</x:f>
        <x:v>OPEN</x:v>
      </x:c>
      <x:c r="M130" s="84"/>
      <x:c r="N130" s="84"/>
    </x:row>
    <x:row r="131">
      <x:c r="A131" s="47" t="str">
        <x:v>CR125</x:v>
      </x:c>
      <x:c r="B131" s="47" t="str">
        <x:v>P13</x:v>
      </x:c>
      <x:c r="C131" s="47" t="str">
        <x:v>HC-A</x:v>
      </x:c>
      <x:c r="D131" s="47" t="str">
        <x:v>HC-A-C</x:v>
      </x:c>
      <x:c r="E131" s="47" t="str">
        <x:v>CIVIL</x:v>
      </x:c>
      <x:c r="F131" s="47" t="str">
        <x:v>C05</x:v>
      </x:c>
      <x:c r="G131" s="47" t="str">
        <x:v>Rebuild material and process assumptions</x:v>
      </x:c>
      <x:c r="H131" s="47" t="n">
        <x:v>1</x:v>
      </x:c>
      <x:c r="I131" s="56" t="n">
        <x:v>0</x:v>
      </x:c>
      <x:c r="J131" s="59" t="n">
        <x:f>Inputs!$B$11</x:f>
        <x:v>1</x:v>
      </x:c>
      <x:c r="K131" s="59" t="n">
        <x:f>Inputs!$B$13</x:f>
        <x:v>0</x:v>
      </x:c>
      <x:c r="L131" s="59" t="str">
        <x:f>IF(OR(J131&lt;&gt;1,K131&lt;&gt;0),"TERMINATE",IF(I131=H131,"PASS","OPEN"))</x:f>
        <x:v>OPEN</x:v>
      </x:c>
      <x:c r="M131" s="84"/>
      <x:c r="N131" s="84"/>
    </x:row>
    <x:row r="132">
      <x:c r="A132" s="47" t="str">
        <x:v>CR126</x:v>
      </x:c>
      <x:c r="B132" s="47" t="str">
        <x:v>P13</x:v>
      </x:c>
      <x:c r="C132" s="47" t="str">
        <x:v>HC-A</x:v>
      </x:c>
      <x:c r="D132" s="47" t="str">
        <x:v>HC-A-C</x:v>
      </x:c>
      <x:c r="E132" s="47" t="str">
        <x:v>CIVIL</x:v>
      </x:c>
      <x:c r="F132" s="47" t="str">
        <x:v>C06</x:v>
      </x:c>
      <x:c r="G132" s="47" t="str">
        <x:v>Recreate the frozen challenge case</x:v>
      </x:c>
      <x:c r="H132" s="47" t="n">
        <x:v>1</x:v>
      </x:c>
      <x:c r="I132" s="56" t="n">
        <x:v>0</x:v>
      </x:c>
      <x:c r="J132" s="59" t="n">
        <x:f>Inputs!$B$11</x:f>
        <x:v>1</x:v>
      </x:c>
      <x:c r="K132" s="59" t="n">
        <x:f>Inputs!$B$13</x:f>
        <x:v>0</x:v>
      </x:c>
      <x:c r="L132" s="59" t="str">
        <x:f>IF(OR(J132&lt;&gt;1,K132&lt;&gt;0),"TERMINATE",IF(I132=H132,"PASS","OPEN"))</x:f>
        <x:v>OPEN</x:v>
      </x:c>
      <x:c r="M132" s="84"/>
      <x:c r="N132" s="84"/>
    </x:row>
    <x:row r="133">
      <x:c r="A133" s="47" t="str">
        <x:v>CR127</x:v>
      </x:c>
      <x:c r="B133" s="47" t="str">
        <x:v>P13</x:v>
      </x:c>
      <x:c r="C133" s="47" t="str">
        <x:v>HC-A</x:v>
      </x:c>
      <x:c r="D133" s="47" t="str">
        <x:v>HC-A-C</x:v>
      </x:c>
      <x:c r="E133" s="47" t="str">
        <x:v>CIVIL</x:v>
      </x:c>
      <x:c r="F133" s="47" t="str">
        <x:v>C07</x:v>
      </x:c>
      <x:c r="G133" s="47" t="str">
        <x:v>Calculate six invariants independently</x:v>
      </x:c>
      <x:c r="H133" s="47" t="n">
        <x:v>1</x:v>
      </x:c>
      <x:c r="I133" s="56" t="n">
        <x:v>0</x:v>
      </x:c>
      <x:c r="J133" s="59" t="n">
        <x:f>Inputs!$B$11</x:f>
        <x:v>1</x:v>
      </x:c>
      <x:c r="K133" s="59" t="n">
        <x:f>Inputs!$B$13</x:f>
        <x:v>0</x:v>
      </x:c>
      <x:c r="L133" s="59" t="str">
        <x:f>IF(OR(J133&lt;&gt;1,K133&lt;&gt;0),"TERMINATE",IF(I133=H133,"PASS","OPEN"))</x:f>
        <x:v>OPEN</x:v>
      </x:c>
      <x:c r="M133" s="84"/>
      <x:c r="N133" s="84"/>
    </x:row>
    <x:row r="134">
      <x:c r="A134" s="47" t="str">
        <x:v>CR128</x:v>
      </x:c>
      <x:c r="B134" s="47" t="str">
        <x:v>P13</x:v>
      </x:c>
      <x:c r="C134" s="47" t="str">
        <x:v>HC-A</x:v>
      </x:c>
      <x:c r="D134" s="47" t="str">
        <x:v>HC-A-C</x:v>
      </x:c>
      <x:c r="E134" s="47" t="str">
        <x:v>CIVIL</x:v>
      </x:c>
      <x:c r="F134" s="47" t="str">
        <x:v>C08</x:v>
      </x:c>
      <x:c r="G134" s="47" t="str">
        <x:v>Commit results before native disclosure</x:v>
      </x:c>
      <x:c r="H134" s="47" t="n">
        <x:v>1</x:v>
      </x:c>
      <x:c r="I134" s="56" t="n">
        <x:v>0</x:v>
      </x:c>
      <x:c r="J134" s="59" t="n">
        <x:f>Inputs!$B$11</x:f>
        <x:v>1</x:v>
      </x:c>
      <x:c r="K134" s="59" t="n">
        <x:f>Inputs!$B$13</x:f>
        <x:v>0</x:v>
      </x:c>
      <x:c r="L134" s="59" t="str">
        <x:f>IF(OR(J134&lt;&gt;1,K134&lt;&gt;0),"TERMINATE",IF(I134=H134,"PASS","OPEN"))</x:f>
        <x:v>OPEN</x:v>
      </x:c>
      <x:c r="M134" s="84"/>
      <x:c r="N134" s="84"/>
    </x:row>
    <x:row r="135">
      <x:c r="A135" s="47" t="str">
        <x:v>CR129</x:v>
      </x:c>
      <x:c r="B135" s="47" t="str">
        <x:v>P13</x:v>
      </x:c>
      <x:c r="C135" s="47" t="str">
        <x:v>HC-A</x:v>
      </x:c>
      <x:c r="D135" s="47" t="str">
        <x:v>HC-A-C</x:v>
      </x:c>
      <x:c r="E135" s="47" t="str">
        <x:v>CIVIL</x:v>
      </x:c>
      <x:c r="F135" s="47" t="str">
        <x:v>C09</x:v>
      </x:c>
      <x:c r="G135" s="47" t="str">
        <x:v>Compare semantic deltas after commitment</x:v>
      </x:c>
      <x:c r="H135" s="47" t="n">
        <x:v>1</x:v>
      </x:c>
      <x:c r="I135" s="56" t="n">
        <x:v>0</x:v>
      </x:c>
      <x:c r="J135" s="59" t="n">
        <x:f>Inputs!$B$11</x:f>
        <x:v>1</x:v>
      </x:c>
      <x:c r="K135" s="59" t="n">
        <x:f>Inputs!$B$13</x:f>
        <x:v>0</x:v>
      </x:c>
      <x:c r="L135" s="59" t="str">
        <x:f>IF(OR(J135&lt;&gt;1,K135&lt;&gt;0),"TERMINATE",IF(I135=H135,"PASS","OPEN"))</x:f>
        <x:v>OPEN</x:v>
      </x:c>
      <x:c r="M135" s="84"/>
      <x:c r="N135" s="84"/>
    </x:row>
    <x:row r="136">
      <x:c r="A136" s="47" t="str">
        <x:v>CR130</x:v>
      </x:c>
      <x:c r="B136" s="47" t="str">
        <x:v>P13</x:v>
      </x:c>
      <x:c r="C136" s="47" t="str">
        <x:v>HC-A</x:v>
      </x:c>
      <x:c r="D136" s="47" t="str">
        <x:v>HC-A-C</x:v>
      </x:c>
      <x:c r="E136" s="47" t="str">
        <x:v>CIVIL</x:v>
      </x:c>
      <x:c r="F136" s="47" t="str">
        <x:v>C10</x:v>
      </x:c>
      <x:c r="G136" s="47" t="str">
        <x:v>Seal divergence or acceptance packet</x:v>
      </x:c>
      <x:c r="H136" s="47" t="n">
        <x:v>1</x:v>
      </x:c>
      <x:c r="I136" s="56" t="n">
        <x:v>0</x:v>
      </x:c>
      <x:c r="J136" s="59" t="n">
        <x:f>Inputs!$B$11</x:f>
        <x:v>1</x:v>
      </x:c>
      <x:c r="K136" s="59" t="n">
        <x:f>Inputs!$B$13</x:f>
        <x:v>0</x:v>
      </x:c>
      <x:c r="L136" s="59" t="str">
        <x:f>IF(OR(J136&lt;&gt;1,K136&lt;&gt;0),"TERMINATE",IF(I136=H136,"PASS","OPEN"))</x:f>
        <x:v>OPEN</x:v>
      </x:c>
      <x:c r="M136" s="84"/>
      <x:c r="N136" s="84"/>
    </x:row>
    <x:row r="137">
      <x:c r="A137" s="47" t="str">
        <x:v>CR131</x:v>
      </x:c>
      <x:c r="B137" s="47" t="str">
        <x:v>P14</x:v>
      </x:c>
      <x:c r="C137" s="47" t="str">
        <x:v>HC-A</x:v>
      </x:c>
      <x:c r="D137" s="47" t="str">
        <x:v>HC-A-C</x:v>
      </x:c>
      <x:c r="E137" s="47" t="str">
        <x:v>ARTICLE</x:v>
      </x:c>
      <x:c r="F137" s="47" t="str">
        <x:v>C01</x:v>
      </x:c>
      <x:c r="G137" s="47" t="str">
        <x:v>Receive public contract without native outputs</x:v>
      </x:c>
      <x:c r="H137" s="47" t="n">
        <x:v>1</x:v>
      </x:c>
      <x:c r="I137" s="56" t="n">
        <x:v>0</x:v>
      </x:c>
      <x:c r="J137" s="59" t="n">
        <x:f>Inputs!$B$11</x:f>
        <x:v>1</x:v>
      </x:c>
      <x:c r="K137" s="59" t="n">
        <x:f>Inputs!$B$13</x:f>
        <x:v>0</x:v>
      </x:c>
      <x:c r="L137" s="59" t="str">
        <x:f>IF(OR(J137&lt;&gt;1,K137&lt;&gt;0),"TERMINATE",IF(I137=H137,"PASS","OPEN"))</x:f>
        <x:v>OPEN</x:v>
      </x:c>
      <x:c r="M137" s="84"/>
      <x:c r="N137" s="84"/>
    </x:row>
    <x:row r="138">
      <x:c r="A138" s="47" t="str">
        <x:v>CR132</x:v>
      </x:c>
      <x:c r="B138" s="47" t="str">
        <x:v>P14</x:v>
      </x:c>
      <x:c r="C138" s="47" t="str">
        <x:v>HC-A</x:v>
      </x:c>
      <x:c r="D138" s="47" t="str">
        <x:v>HC-A-C</x:v>
      </x:c>
      <x:c r="E138" s="47" t="str">
        <x:v>ARTICLE</x:v>
      </x:c>
      <x:c r="F138" s="47" t="str">
        <x:v>C02</x:v>
      </x:c>
      <x:c r="G138" s="47" t="str">
        <x:v>Declare disjoint people, control and toolchain</x:v>
      </x:c>
      <x:c r="H138" s="47" t="n">
        <x:v>1</x:v>
      </x:c>
      <x:c r="I138" s="56" t="n">
        <x:v>0</x:v>
      </x:c>
      <x:c r="J138" s="59" t="n">
        <x:f>Inputs!$B$11</x:f>
        <x:v>1</x:v>
      </x:c>
      <x:c r="K138" s="59" t="n">
        <x:f>Inputs!$B$13</x:f>
        <x:v>0</x:v>
      </x:c>
      <x:c r="L138" s="59" t="str">
        <x:f>IF(OR(J138&lt;&gt;1,K138&lt;&gt;0),"TERMINATE",IF(I138=H138,"PASS","OPEN"))</x:f>
        <x:v>OPEN</x:v>
      </x:c>
      <x:c r="M138" s="84"/>
      <x:c r="N138" s="84"/>
    </x:row>
    <x:row r="139">
      <x:c r="A139" s="47" t="str">
        <x:v>CR133</x:v>
      </x:c>
      <x:c r="B139" s="47" t="str">
        <x:v>P14</x:v>
      </x:c>
      <x:c r="C139" s="47" t="str">
        <x:v>HC-A</x:v>
      </x:c>
      <x:c r="D139" s="47" t="str">
        <x:v>HC-A-C</x:v>
      </x:c>
      <x:c r="E139" s="47" t="str">
        <x:v>ARTICLE</x:v>
      </x:c>
      <x:c r="F139" s="47" t="str">
        <x:v>C03</x:v>
      </x:c>
      <x:c r="G139" s="47" t="str">
        <x:v>Reconstruct units, datums and system boundary</x:v>
      </x:c>
      <x:c r="H139" s="47" t="n">
        <x:v>1</x:v>
      </x:c>
      <x:c r="I139" s="56" t="n">
        <x:v>0</x:v>
      </x:c>
      <x:c r="J139" s="59" t="n">
        <x:f>Inputs!$B$11</x:f>
        <x:v>1</x:v>
      </x:c>
      <x:c r="K139" s="59" t="n">
        <x:f>Inputs!$B$13</x:f>
        <x:v>0</x:v>
      </x:c>
      <x:c r="L139" s="59" t="str">
        <x:f>IF(OR(J139&lt;&gt;1,K139&lt;&gt;0),"TERMINATE",IF(I139=H139,"PASS","OPEN"))</x:f>
        <x:v>OPEN</x:v>
      </x:c>
      <x:c r="M139" s="84"/>
      <x:c r="N139" s="84"/>
    </x:row>
    <x:row r="140">
      <x:c r="A140" s="47" t="str">
        <x:v>CR134</x:v>
      </x:c>
      <x:c r="B140" s="47" t="str">
        <x:v>P14</x:v>
      </x:c>
      <x:c r="C140" s="47" t="str">
        <x:v>HC-A</x:v>
      </x:c>
      <x:c r="D140" s="47" t="str">
        <x:v>HC-A-C</x:v>
      </x:c>
      <x:c r="E140" s="47" t="str">
        <x:v>ARTICLE</x:v>
      </x:c>
      <x:c r="F140" s="47" t="str">
        <x:v>C04</x:v>
      </x:c>
      <x:c r="G140" s="47" t="str">
        <x:v>Reimplement the causal model</x:v>
      </x:c>
      <x:c r="H140" s="47" t="n">
        <x:v>1</x:v>
      </x:c>
      <x:c r="I140" s="56" t="n">
        <x:v>0</x:v>
      </x:c>
      <x:c r="J140" s="59" t="n">
        <x:f>Inputs!$B$11</x:f>
        <x:v>1</x:v>
      </x:c>
      <x:c r="K140" s="59" t="n">
        <x:f>Inputs!$B$13</x:f>
        <x:v>0</x:v>
      </x:c>
      <x:c r="L140" s="59" t="str">
        <x:f>IF(OR(J140&lt;&gt;1,K140&lt;&gt;0),"TERMINATE",IF(I140=H140,"PASS","OPEN"))</x:f>
        <x:v>OPEN</x:v>
      </x:c>
      <x:c r="M140" s="84"/>
      <x:c r="N140" s="84"/>
    </x:row>
    <x:row r="141">
      <x:c r="A141" s="47" t="str">
        <x:v>CR135</x:v>
      </x:c>
      <x:c r="B141" s="47" t="str">
        <x:v>P14</x:v>
      </x:c>
      <x:c r="C141" s="47" t="str">
        <x:v>HC-A</x:v>
      </x:c>
      <x:c r="D141" s="47" t="str">
        <x:v>HC-A-C</x:v>
      </x:c>
      <x:c r="E141" s="47" t="str">
        <x:v>ARTICLE</x:v>
      </x:c>
      <x:c r="F141" s="47" t="str">
        <x:v>C05</x:v>
      </x:c>
      <x:c r="G141" s="47" t="str">
        <x:v>Rebuild material and process assumptions</x:v>
      </x:c>
      <x:c r="H141" s="47" t="n">
        <x:v>1</x:v>
      </x:c>
      <x:c r="I141" s="56" t="n">
        <x:v>0</x:v>
      </x:c>
      <x:c r="J141" s="59" t="n">
        <x:f>Inputs!$B$11</x:f>
        <x:v>1</x:v>
      </x:c>
      <x:c r="K141" s="59" t="n">
        <x:f>Inputs!$B$13</x:f>
        <x:v>0</x:v>
      </x:c>
      <x:c r="L141" s="59" t="str">
        <x:f>IF(OR(J141&lt;&gt;1,K141&lt;&gt;0),"TERMINATE",IF(I141=H141,"PASS","OPEN"))</x:f>
        <x:v>OPEN</x:v>
      </x:c>
      <x:c r="M141" s="84"/>
      <x:c r="N141" s="84"/>
    </x:row>
    <x:row r="142">
      <x:c r="A142" s="47" t="str">
        <x:v>CR136</x:v>
      </x:c>
      <x:c r="B142" s="47" t="str">
        <x:v>P14</x:v>
      </x:c>
      <x:c r="C142" s="47" t="str">
        <x:v>HC-A</x:v>
      </x:c>
      <x:c r="D142" s="47" t="str">
        <x:v>HC-A-C</x:v>
      </x:c>
      <x:c r="E142" s="47" t="str">
        <x:v>ARTICLE</x:v>
      </x:c>
      <x:c r="F142" s="47" t="str">
        <x:v>C06</x:v>
      </x:c>
      <x:c r="G142" s="47" t="str">
        <x:v>Recreate the frozen challenge case</x:v>
      </x:c>
      <x:c r="H142" s="47" t="n">
        <x:v>1</x:v>
      </x:c>
      <x:c r="I142" s="56" t="n">
        <x:v>0</x:v>
      </x:c>
      <x:c r="J142" s="59" t="n">
        <x:f>Inputs!$B$11</x:f>
        <x:v>1</x:v>
      </x:c>
      <x:c r="K142" s="59" t="n">
        <x:f>Inputs!$B$13</x:f>
        <x:v>0</x:v>
      </x:c>
      <x:c r="L142" s="59" t="str">
        <x:f>IF(OR(J142&lt;&gt;1,K142&lt;&gt;0),"TERMINATE",IF(I142=H142,"PASS","OPEN"))</x:f>
        <x:v>OPEN</x:v>
      </x:c>
      <x:c r="M142" s="84"/>
      <x:c r="N142" s="84"/>
    </x:row>
    <x:row r="143">
      <x:c r="A143" s="47" t="str">
        <x:v>CR137</x:v>
      </x:c>
      <x:c r="B143" s="47" t="str">
        <x:v>P14</x:v>
      </x:c>
      <x:c r="C143" s="47" t="str">
        <x:v>HC-A</x:v>
      </x:c>
      <x:c r="D143" s="47" t="str">
        <x:v>HC-A-C</x:v>
      </x:c>
      <x:c r="E143" s="47" t="str">
        <x:v>ARTICLE</x:v>
      </x:c>
      <x:c r="F143" s="47" t="str">
        <x:v>C07</x:v>
      </x:c>
      <x:c r="G143" s="47" t="str">
        <x:v>Calculate six invariants independently</x:v>
      </x:c>
      <x:c r="H143" s="47" t="n">
        <x:v>1</x:v>
      </x:c>
      <x:c r="I143" s="56" t="n">
        <x:v>0</x:v>
      </x:c>
      <x:c r="J143" s="59" t="n">
        <x:f>Inputs!$B$11</x:f>
        <x:v>1</x:v>
      </x:c>
      <x:c r="K143" s="59" t="n">
        <x:f>Inputs!$B$13</x:f>
        <x:v>0</x:v>
      </x:c>
      <x:c r="L143" s="59" t="str">
        <x:f>IF(OR(J143&lt;&gt;1,K143&lt;&gt;0),"TERMINATE",IF(I143=H143,"PASS","OPEN"))</x:f>
        <x:v>OPEN</x:v>
      </x:c>
      <x:c r="M143" s="84"/>
      <x:c r="N143" s="84"/>
    </x:row>
    <x:row r="144">
      <x:c r="A144" s="47" t="str">
        <x:v>CR138</x:v>
      </x:c>
      <x:c r="B144" s="47" t="str">
        <x:v>P14</x:v>
      </x:c>
      <x:c r="C144" s="47" t="str">
        <x:v>HC-A</x:v>
      </x:c>
      <x:c r="D144" s="47" t="str">
        <x:v>HC-A-C</x:v>
      </x:c>
      <x:c r="E144" s="47" t="str">
        <x:v>ARTICLE</x:v>
      </x:c>
      <x:c r="F144" s="47" t="str">
        <x:v>C08</x:v>
      </x:c>
      <x:c r="G144" s="47" t="str">
        <x:v>Commit results before native disclosure</x:v>
      </x:c>
      <x:c r="H144" s="47" t="n">
        <x:v>1</x:v>
      </x:c>
      <x:c r="I144" s="56" t="n">
        <x:v>0</x:v>
      </x:c>
      <x:c r="J144" s="59" t="n">
        <x:f>Inputs!$B$11</x:f>
        <x:v>1</x:v>
      </x:c>
      <x:c r="K144" s="59" t="n">
        <x:f>Inputs!$B$13</x:f>
        <x:v>0</x:v>
      </x:c>
      <x:c r="L144" s="59" t="str">
        <x:f>IF(OR(J144&lt;&gt;1,K144&lt;&gt;0),"TERMINATE",IF(I144=H144,"PASS","OPEN"))</x:f>
        <x:v>OPEN</x:v>
      </x:c>
      <x:c r="M144" s="84"/>
      <x:c r="N144" s="84"/>
    </x:row>
    <x:row r="145">
      <x:c r="A145" s="47" t="str">
        <x:v>CR139</x:v>
      </x:c>
      <x:c r="B145" s="47" t="str">
        <x:v>P14</x:v>
      </x:c>
      <x:c r="C145" s="47" t="str">
        <x:v>HC-A</x:v>
      </x:c>
      <x:c r="D145" s="47" t="str">
        <x:v>HC-A-C</x:v>
      </x:c>
      <x:c r="E145" s="47" t="str">
        <x:v>ARTICLE</x:v>
      </x:c>
      <x:c r="F145" s="47" t="str">
        <x:v>C09</x:v>
      </x:c>
      <x:c r="G145" s="47" t="str">
        <x:v>Compare semantic deltas after commitment</x:v>
      </x:c>
      <x:c r="H145" s="47" t="n">
        <x:v>1</x:v>
      </x:c>
      <x:c r="I145" s="56" t="n">
        <x:v>0</x:v>
      </x:c>
      <x:c r="J145" s="59" t="n">
        <x:f>Inputs!$B$11</x:f>
        <x:v>1</x:v>
      </x:c>
      <x:c r="K145" s="59" t="n">
        <x:f>Inputs!$B$13</x:f>
        <x:v>0</x:v>
      </x:c>
      <x:c r="L145" s="59" t="str">
        <x:f>IF(OR(J145&lt;&gt;1,K145&lt;&gt;0),"TERMINATE",IF(I145=H145,"PASS","OPEN"))</x:f>
        <x:v>OPEN</x:v>
      </x:c>
      <x:c r="M145" s="84"/>
      <x:c r="N145" s="84"/>
    </x:row>
    <x:row r="146">
      <x:c r="A146" s="47" t="str">
        <x:v>CR140</x:v>
      </x:c>
      <x:c r="B146" s="47" t="str">
        <x:v>P14</x:v>
      </x:c>
      <x:c r="C146" s="47" t="str">
        <x:v>HC-A</x:v>
      </x:c>
      <x:c r="D146" s="47" t="str">
        <x:v>HC-A-C</x:v>
      </x:c>
      <x:c r="E146" s="47" t="str">
        <x:v>ARTICLE</x:v>
      </x:c>
      <x:c r="F146" s="47" t="str">
        <x:v>C10</x:v>
      </x:c>
      <x:c r="G146" s="47" t="str">
        <x:v>Seal divergence or acceptance packet</x:v>
      </x:c>
      <x:c r="H146" s="47" t="n">
        <x:v>1</x:v>
      </x:c>
      <x:c r="I146" s="56" t="n">
        <x:v>0</x:v>
      </x:c>
      <x:c r="J146" s="59" t="n">
        <x:f>Inputs!$B$11</x:f>
        <x:v>1</x:v>
      </x:c>
      <x:c r="K146" s="59" t="n">
        <x:f>Inputs!$B$13</x:f>
        <x:v>0</x:v>
      </x:c>
      <x:c r="L146" s="59" t="str">
        <x:f>IF(OR(J146&lt;&gt;1,K146&lt;&gt;0),"TERMINATE",IF(I146=H146,"PASS","OPEN"))</x:f>
        <x:v>OPEN</x:v>
      </x:c>
      <x:c r="M146" s="84"/>
      <x:c r="N146" s="84"/>
    </x:row>
    <x:row r="147">
      <x:c r="A147" s="47" t="str">
        <x:v>CR141</x:v>
      </x:c>
      <x:c r="B147" s="47" t="str">
        <x:v>P15</x:v>
      </x:c>
      <x:c r="C147" s="47" t="str">
        <x:v>HC-A</x:v>
      </x:c>
      <x:c r="D147" s="47" t="str">
        <x:v>HC-A-C</x:v>
      </x:c>
      <x:c r="E147" s="47" t="str">
        <x:v>REBUILD</x:v>
      </x:c>
      <x:c r="F147" s="47" t="str">
        <x:v>C01</x:v>
      </x:c>
      <x:c r="G147" s="47" t="str">
        <x:v>Receive public contract without native outputs</x:v>
      </x:c>
      <x:c r="H147" s="47" t="n">
        <x:v>1</x:v>
      </x:c>
      <x:c r="I147" s="56" t="n">
        <x:v>0</x:v>
      </x:c>
      <x:c r="J147" s="59" t="n">
        <x:f>Inputs!$B$11</x:f>
        <x:v>1</x:v>
      </x:c>
      <x:c r="K147" s="59" t="n">
        <x:f>Inputs!$B$13</x:f>
        <x:v>0</x:v>
      </x:c>
      <x:c r="L147" s="59" t="str">
        <x:f>IF(OR(J147&lt;&gt;1,K147&lt;&gt;0),"TERMINATE",IF(I147=H147,"PASS","OPEN"))</x:f>
        <x:v>OPEN</x:v>
      </x:c>
      <x:c r="M147" s="84"/>
      <x:c r="N147" s="84"/>
    </x:row>
    <x:row r="148">
      <x:c r="A148" s="47" t="str">
        <x:v>CR142</x:v>
      </x:c>
      <x:c r="B148" s="47" t="str">
        <x:v>P15</x:v>
      </x:c>
      <x:c r="C148" s="47" t="str">
        <x:v>HC-A</x:v>
      </x:c>
      <x:c r="D148" s="47" t="str">
        <x:v>HC-A-C</x:v>
      </x:c>
      <x:c r="E148" s="47" t="str">
        <x:v>REBUILD</x:v>
      </x:c>
      <x:c r="F148" s="47" t="str">
        <x:v>C02</x:v>
      </x:c>
      <x:c r="G148" s="47" t="str">
        <x:v>Declare disjoint people, control and toolchain</x:v>
      </x:c>
      <x:c r="H148" s="47" t="n">
        <x:v>1</x:v>
      </x:c>
      <x:c r="I148" s="56" t="n">
        <x:v>0</x:v>
      </x:c>
      <x:c r="J148" s="59" t="n">
        <x:f>Inputs!$B$11</x:f>
        <x:v>1</x:v>
      </x:c>
      <x:c r="K148" s="59" t="n">
        <x:f>Inputs!$B$13</x:f>
        <x:v>0</x:v>
      </x:c>
      <x:c r="L148" s="59" t="str">
        <x:f>IF(OR(J148&lt;&gt;1,K148&lt;&gt;0),"TERMINATE",IF(I148=H148,"PASS","OPEN"))</x:f>
        <x:v>OPEN</x:v>
      </x:c>
      <x:c r="M148" s="84"/>
      <x:c r="N148" s="84"/>
    </x:row>
    <x:row r="149">
      <x:c r="A149" s="47" t="str">
        <x:v>CR143</x:v>
      </x:c>
      <x:c r="B149" s="47" t="str">
        <x:v>P15</x:v>
      </x:c>
      <x:c r="C149" s="47" t="str">
        <x:v>HC-A</x:v>
      </x:c>
      <x:c r="D149" s="47" t="str">
        <x:v>HC-A-C</x:v>
      </x:c>
      <x:c r="E149" s="47" t="str">
        <x:v>REBUILD</x:v>
      </x:c>
      <x:c r="F149" s="47" t="str">
        <x:v>C03</x:v>
      </x:c>
      <x:c r="G149" s="47" t="str">
        <x:v>Reconstruct units, datums and system boundary</x:v>
      </x:c>
      <x:c r="H149" s="47" t="n">
        <x:v>1</x:v>
      </x:c>
      <x:c r="I149" s="56" t="n">
        <x:v>0</x:v>
      </x:c>
      <x:c r="J149" s="59" t="n">
        <x:f>Inputs!$B$11</x:f>
        <x:v>1</x:v>
      </x:c>
      <x:c r="K149" s="59" t="n">
        <x:f>Inputs!$B$13</x:f>
        <x:v>0</x:v>
      </x:c>
      <x:c r="L149" s="59" t="str">
        <x:f>IF(OR(J149&lt;&gt;1,K149&lt;&gt;0),"TERMINATE",IF(I149=H149,"PASS","OPEN"))</x:f>
        <x:v>OPEN</x:v>
      </x:c>
      <x:c r="M149" s="84"/>
      <x:c r="N149" s="84"/>
    </x:row>
    <x:row r="150">
      <x:c r="A150" s="47" t="str">
        <x:v>CR144</x:v>
      </x:c>
      <x:c r="B150" s="47" t="str">
        <x:v>P15</x:v>
      </x:c>
      <x:c r="C150" s="47" t="str">
        <x:v>HC-A</x:v>
      </x:c>
      <x:c r="D150" s="47" t="str">
        <x:v>HC-A-C</x:v>
      </x:c>
      <x:c r="E150" s="47" t="str">
        <x:v>REBUILD</x:v>
      </x:c>
      <x:c r="F150" s="47" t="str">
        <x:v>C04</x:v>
      </x:c>
      <x:c r="G150" s="47" t="str">
        <x:v>Reimplement the causal model</x:v>
      </x:c>
      <x:c r="H150" s="47" t="n">
        <x:v>1</x:v>
      </x:c>
      <x:c r="I150" s="56" t="n">
        <x:v>0</x:v>
      </x:c>
      <x:c r="J150" s="59" t="n">
        <x:f>Inputs!$B$11</x:f>
        <x:v>1</x:v>
      </x:c>
      <x:c r="K150" s="59" t="n">
        <x:f>Inputs!$B$13</x:f>
        <x:v>0</x:v>
      </x:c>
      <x:c r="L150" s="59" t="str">
        <x:f>IF(OR(J150&lt;&gt;1,K150&lt;&gt;0),"TERMINATE",IF(I150=H150,"PASS","OPEN"))</x:f>
        <x:v>OPEN</x:v>
      </x:c>
      <x:c r="M150" s="84"/>
      <x:c r="N150" s="84"/>
    </x:row>
    <x:row r="151">
      <x:c r="A151" s="47" t="str">
        <x:v>CR145</x:v>
      </x:c>
      <x:c r="B151" s="47" t="str">
        <x:v>P15</x:v>
      </x:c>
      <x:c r="C151" s="47" t="str">
        <x:v>HC-A</x:v>
      </x:c>
      <x:c r="D151" s="47" t="str">
        <x:v>HC-A-C</x:v>
      </x:c>
      <x:c r="E151" s="47" t="str">
        <x:v>REBUILD</x:v>
      </x:c>
      <x:c r="F151" s="47" t="str">
        <x:v>C05</x:v>
      </x:c>
      <x:c r="G151" s="47" t="str">
        <x:v>Rebuild material and process assumptions</x:v>
      </x:c>
      <x:c r="H151" s="47" t="n">
        <x:v>1</x:v>
      </x:c>
      <x:c r="I151" s="56" t="n">
        <x:v>0</x:v>
      </x:c>
      <x:c r="J151" s="59" t="n">
        <x:f>Inputs!$B$11</x:f>
        <x:v>1</x:v>
      </x:c>
      <x:c r="K151" s="59" t="n">
        <x:f>Inputs!$B$13</x:f>
        <x:v>0</x:v>
      </x:c>
      <x:c r="L151" s="59" t="str">
        <x:f>IF(OR(J151&lt;&gt;1,K151&lt;&gt;0),"TERMINATE",IF(I151=H151,"PASS","OPEN"))</x:f>
        <x:v>OPEN</x:v>
      </x:c>
      <x:c r="M151" s="84"/>
      <x:c r="N151" s="84"/>
    </x:row>
    <x:row r="152">
      <x:c r="A152" s="47" t="str">
        <x:v>CR146</x:v>
      </x:c>
      <x:c r="B152" s="47" t="str">
        <x:v>P15</x:v>
      </x:c>
      <x:c r="C152" s="47" t="str">
        <x:v>HC-A</x:v>
      </x:c>
      <x:c r="D152" s="47" t="str">
        <x:v>HC-A-C</x:v>
      </x:c>
      <x:c r="E152" s="47" t="str">
        <x:v>REBUILD</x:v>
      </x:c>
      <x:c r="F152" s="47" t="str">
        <x:v>C06</x:v>
      </x:c>
      <x:c r="G152" s="47" t="str">
        <x:v>Recreate the frozen challenge case</x:v>
      </x:c>
      <x:c r="H152" s="47" t="n">
        <x:v>1</x:v>
      </x:c>
      <x:c r="I152" s="56" t="n">
        <x:v>0</x:v>
      </x:c>
      <x:c r="J152" s="59" t="n">
        <x:f>Inputs!$B$11</x:f>
        <x:v>1</x:v>
      </x:c>
      <x:c r="K152" s="59" t="n">
        <x:f>Inputs!$B$13</x:f>
        <x:v>0</x:v>
      </x:c>
      <x:c r="L152" s="59" t="str">
        <x:f>IF(OR(J152&lt;&gt;1,K152&lt;&gt;0),"TERMINATE",IF(I152=H152,"PASS","OPEN"))</x:f>
        <x:v>OPEN</x:v>
      </x:c>
      <x:c r="M152" s="84"/>
      <x:c r="N152" s="84"/>
    </x:row>
    <x:row r="153">
      <x:c r="A153" s="47" t="str">
        <x:v>CR147</x:v>
      </x:c>
      <x:c r="B153" s="47" t="str">
        <x:v>P15</x:v>
      </x:c>
      <x:c r="C153" s="47" t="str">
        <x:v>HC-A</x:v>
      </x:c>
      <x:c r="D153" s="47" t="str">
        <x:v>HC-A-C</x:v>
      </x:c>
      <x:c r="E153" s="47" t="str">
        <x:v>REBUILD</x:v>
      </x:c>
      <x:c r="F153" s="47" t="str">
        <x:v>C07</x:v>
      </x:c>
      <x:c r="G153" s="47" t="str">
        <x:v>Calculate six invariants independently</x:v>
      </x:c>
      <x:c r="H153" s="47" t="n">
        <x:v>1</x:v>
      </x:c>
      <x:c r="I153" s="56" t="n">
        <x:v>0</x:v>
      </x:c>
      <x:c r="J153" s="59" t="n">
        <x:f>Inputs!$B$11</x:f>
        <x:v>1</x:v>
      </x:c>
      <x:c r="K153" s="59" t="n">
        <x:f>Inputs!$B$13</x:f>
        <x:v>0</x:v>
      </x:c>
      <x:c r="L153" s="59" t="str">
        <x:f>IF(OR(J153&lt;&gt;1,K153&lt;&gt;0),"TERMINATE",IF(I153=H153,"PASS","OPEN"))</x:f>
        <x:v>OPEN</x:v>
      </x:c>
      <x:c r="M153" s="84"/>
      <x:c r="N153" s="84"/>
    </x:row>
    <x:row r="154">
      <x:c r="A154" s="47" t="str">
        <x:v>CR148</x:v>
      </x:c>
      <x:c r="B154" s="47" t="str">
        <x:v>P15</x:v>
      </x:c>
      <x:c r="C154" s="47" t="str">
        <x:v>HC-A</x:v>
      </x:c>
      <x:c r="D154" s="47" t="str">
        <x:v>HC-A-C</x:v>
      </x:c>
      <x:c r="E154" s="47" t="str">
        <x:v>REBUILD</x:v>
      </x:c>
      <x:c r="F154" s="47" t="str">
        <x:v>C08</x:v>
      </x:c>
      <x:c r="G154" s="47" t="str">
        <x:v>Commit results before native disclosure</x:v>
      </x:c>
      <x:c r="H154" s="47" t="n">
        <x:v>1</x:v>
      </x:c>
      <x:c r="I154" s="56" t="n">
        <x:v>0</x:v>
      </x:c>
      <x:c r="J154" s="59" t="n">
        <x:f>Inputs!$B$11</x:f>
        <x:v>1</x:v>
      </x:c>
      <x:c r="K154" s="59" t="n">
        <x:f>Inputs!$B$13</x:f>
        <x:v>0</x:v>
      </x:c>
      <x:c r="L154" s="59" t="str">
        <x:f>IF(OR(J154&lt;&gt;1,K154&lt;&gt;0),"TERMINATE",IF(I154=H154,"PASS","OPEN"))</x:f>
        <x:v>OPEN</x:v>
      </x:c>
      <x:c r="M154" s="84"/>
      <x:c r="N154" s="84"/>
    </x:row>
    <x:row r="155">
      <x:c r="A155" s="47" t="str">
        <x:v>CR149</x:v>
      </x:c>
      <x:c r="B155" s="47" t="str">
        <x:v>P15</x:v>
      </x:c>
      <x:c r="C155" s="47" t="str">
        <x:v>HC-A</x:v>
      </x:c>
      <x:c r="D155" s="47" t="str">
        <x:v>HC-A-C</x:v>
      </x:c>
      <x:c r="E155" s="47" t="str">
        <x:v>REBUILD</x:v>
      </x:c>
      <x:c r="F155" s="47" t="str">
        <x:v>C09</x:v>
      </x:c>
      <x:c r="G155" s="47" t="str">
        <x:v>Compare semantic deltas after commitment</x:v>
      </x:c>
      <x:c r="H155" s="47" t="n">
        <x:v>1</x:v>
      </x:c>
      <x:c r="I155" s="56" t="n">
        <x:v>0</x:v>
      </x:c>
      <x:c r="J155" s="59" t="n">
        <x:f>Inputs!$B$11</x:f>
        <x:v>1</x:v>
      </x:c>
      <x:c r="K155" s="59" t="n">
        <x:f>Inputs!$B$13</x:f>
        <x:v>0</x:v>
      </x:c>
      <x:c r="L155" s="59" t="str">
        <x:f>IF(OR(J155&lt;&gt;1,K155&lt;&gt;0),"TERMINATE",IF(I155=H155,"PASS","OPEN"))</x:f>
        <x:v>OPEN</x:v>
      </x:c>
      <x:c r="M155" s="84"/>
      <x:c r="N155" s="84"/>
    </x:row>
    <x:row r="156">
      <x:c r="A156" s="47" t="str">
        <x:v>CR150</x:v>
      </x:c>
      <x:c r="B156" s="47" t="str">
        <x:v>P15</x:v>
      </x:c>
      <x:c r="C156" s="47" t="str">
        <x:v>HC-A</x:v>
      </x:c>
      <x:c r="D156" s="47" t="str">
        <x:v>HC-A-C</x:v>
      </x:c>
      <x:c r="E156" s="47" t="str">
        <x:v>REBUILD</x:v>
      </x:c>
      <x:c r="F156" s="47" t="str">
        <x:v>C10</x:v>
      </x:c>
      <x:c r="G156" s="47" t="str">
        <x:v>Seal divergence or acceptance packet</x:v>
      </x:c>
      <x:c r="H156" s="47" t="n">
        <x:v>1</x:v>
      </x:c>
      <x:c r="I156" s="56" t="n">
        <x:v>0</x:v>
      </x:c>
      <x:c r="J156" s="59" t="n">
        <x:f>Inputs!$B$11</x:f>
        <x:v>1</x:v>
      </x:c>
      <x:c r="K156" s="59" t="n">
        <x:f>Inputs!$B$13</x:f>
        <x:v>0</x:v>
      </x:c>
      <x:c r="L156" s="59" t="str">
        <x:f>IF(OR(J156&lt;&gt;1,K156&lt;&gt;0),"TERMINATE",IF(I156=H156,"PASS","OPEN"))</x:f>
        <x:v>OPEN</x:v>
      </x:c>
      <x:c r="M156" s="84"/>
      <x:c r="N156" s="84"/>
    </x:row>
    <x:row r="157">
      <x:c r="A157" s="47" t="str">
        <x:v>CR151</x:v>
      </x:c>
      <x:c r="B157" s="47" t="str">
        <x:v>P16</x:v>
      </x:c>
      <x:c r="C157" s="47" t="str">
        <x:v>LF-B</x:v>
      </x:c>
      <x:c r="D157" s="47" t="str">
        <x:v>LF-B-A</x:v>
      </x:c>
      <x:c r="E157" s="47" t="str">
        <x:v>METHOD</x:v>
      </x:c>
      <x:c r="F157" s="47" t="str">
        <x:v>C01</x:v>
      </x:c>
      <x:c r="G157" s="47" t="str">
        <x:v>Receive public contract without native outputs</x:v>
      </x:c>
      <x:c r="H157" s="47" t="n">
        <x:v>1</x:v>
      </x:c>
      <x:c r="I157" s="56" t="n">
        <x:v>0</x:v>
      </x:c>
      <x:c r="J157" s="59" t="n">
        <x:f>Inputs!$B$11</x:f>
        <x:v>1</x:v>
      </x:c>
      <x:c r="K157" s="59" t="n">
        <x:f>Inputs!$B$13</x:f>
        <x:v>0</x:v>
      </x:c>
      <x:c r="L157" s="59" t="str">
        <x:f>IF(OR(J157&lt;&gt;1,K157&lt;&gt;0),"TERMINATE",IF(I157=H157,"PASS","OPEN"))</x:f>
        <x:v>OPEN</x:v>
      </x:c>
      <x:c r="M157" s="84"/>
      <x:c r="N157" s="84"/>
    </x:row>
    <x:row r="158">
      <x:c r="A158" s="47" t="str">
        <x:v>CR152</x:v>
      </x:c>
      <x:c r="B158" s="47" t="str">
        <x:v>P16</x:v>
      </x:c>
      <x:c r="C158" s="47" t="str">
        <x:v>LF-B</x:v>
      </x:c>
      <x:c r="D158" s="47" t="str">
        <x:v>LF-B-A</x:v>
      </x:c>
      <x:c r="E158" s="47" t="str">
        <x:v>METHOD</x:v>
      </x:c>
      <x:c r="F158" s="47" t="str">
        <x:v>C02</x:v>
      </x:c>
      <x:c r="G158" s="47" t="str">
        <x:v>Declare disjoint people, control and toolchain</x:v>
      </x:c>
      <x:c r="H158" s="47" t="n">
        <x:v>1</x:v>
      </x:c>
      <x:c r="I158" s="56" t="n">
        <x:v>0</x:v>
      </x:c>
      <x:c r="J158" s="59" t="n">
        <x:f>Inputs!$B$11</x:f>
        <x:v>1</x:v>
      </x:c>
      <x:c r="K158" s="59" t="n">
        <x:f>Inputs!$B$13</x:f>
        <x:v>0</x:v>
      </x:c>
      <x:c r="L158" s="59" t="str">
        <x:f>IF(OR(J158&lt;&gt;1,K158&lt;&gt;0),"TERMINATE",IF(I158=H158,"PASS","OPEN"))</x:f>
        <x:v>OPEN</x:v>
      </x:c>
      <x:c r="M158" s="84"/>
      <x:c r="N158" s="84"/>
    </x:row>
    <x:row r="159">
      <x:c r="A159" s="47" t="str">
        <x:v>CR153</x:v>
      </x:c>
      <x:c r="B159" s="47" t="str">
        <x:v>P16</x:v>
      </x:c>
      <x:c r="C159" s="47" t="str">
        <x:v>LF-B</x:v>
      </x:c>
      <x:c r="D159" s="47" t="str">
        <x:v>LF-B-A</x:v>
      </x:c>
      <x:c r="E159" s="47" t="str">
        <x:v>METHOD</x:v>
      </x:c>
      <x:c r="F159" s="47" t="str">
        <x:v>C03</x:v>
      </x:c>
      <x:c r="G159" s="47" t="str">
        <x:v>Reconstruct units, datums and system boundary</x:v>
      </x:c>
      <x:c r="H159" s="47" t="n">
        <x:v>1</x:v>
      </x:c>
      <x:c r="I159" s="56" t="n">
        <x:v>0</x:v>
      </x:c>
      <x:c r="J159" s="59" t="n">
        <x:f>Inputs!$B$11</x:f>
        <x:v>1</x:v>
      </x:c>
      <x:c r="K159" s="59" t="n">
        <x:f>Inputs!$B$13</x:f>
        <x:v>0</x:v>
      </x:c>
      <x:c r="L159" s="59" t="str">
        <x:f>IF(OR(J159&lt;&gt;1,K159&lt;&gt;0),"TERMINATE",IF(I159=H159,"PASS","OPEN"))</x:f>
        <x:v>OPEN</x:v>
      </x:c>
      <x:c r="M159" s="84"/>
      <x:c r="N159" s="84"/>
    </x:row>
    <x:row r="160">
      <x:c r="A160" s="47" t="str">
        <x:v>CR154</x:v>
      </x:c>
      <x:c r="B160" s="47" t="str">
        <x:v>P16</x:v>
      </x:c>
      <x:c r="C160" s="47" t="str">
        <x:v>LF-B</x:v>
      </x:c>
      <x:c r="D160" s="47" t="str">
        <x:v>LF-B-A</x:v>
      </x:c>
      <x:c r="E160" s="47" t="str">
        <x:v>METHOD</x:v>
      </x:c>
      <x:c r="F160" s="47" t="str">
        <x:v>C04</x:v>
      </x:c>
      <x:c r="G160" s="47" t="str">
        <x:v>Reimplement the causal model</x:v>
      </x:c>
      <x:c r="H160" s="47" t="n">
        <x:v>1</x:v>
      </x:c>
      <x:c r="I160" s="56" t="n">
        <x:v>0</x:v>
      </x:c>
      <x:c r="J160" s="59" t="n">
        <x:f>Inputs!$B$11</x:f>
        <x:v>1</x:v>
      </x:c>
      <x:c r="K160" s="59" t="n">
        <x:f>Inputs!$B$13</x:f>
        <x:v>0</x:v>
      </x:c>
      <x:c r="L160" s="59" t="str">
        <x:f>IF(OR(J160&lt;&gt;1,K160&lt;&gt;0),"TERMINATE",IF(I160=H160,"PASS","OPEN"))</x:f>
        <x:v>OPEN</x:v>
      </x:c>
      <x:c r="M160" s="84"/>
      <x:c r="N160" s="84"/>
    </x:row>
    <x:row r="161">
      <x:c r="A161" s="47" t="str">
        <x:v>CR155</x:v>
      </x:c>
      <x:c r="B161" s="47" t="str">
        <x:v>P16</x:v>
      </x:c>
      <x:c r="C161" s="47" t="str">
        <x:v>LF-B</x:v>
      </x:c>
      <x:c r="D161" s="47" t="str">
        <x:v>LF-B-A</x:v>
      </x:c>
      <x:c r="E161" s="47" t="str">
        <x:v>METHOD</x:v>
      </x:c>
      <x:c r="F161" s="47" t="str">
        <x:v>C05</x:v>
      </x:c>
      <x:c r="G161" s="47" t="str">
        <x:v>Rebuild material and process assumptions</x:v>
      </x:c>
      <x:c r="H161" s="47" t="n">
        <x:v>1</x:v>
      </x:c>
      <x:c r="I161" s="56" t="n">
        <x:v>0</x:v>
      </x:c>
      <x:c r="J161" s="59" t="n">
        <x:f>Inputs!$B$11</x:f>
        <x:v>1</x:v>
      </x:c>
      <x:c r="K161" s="59" t="n">
        <x:f>Inputs!$B$13</x:f>
        <x:v>0</x:v>
      </x:c>
      <x:c r="L161" s="59" t="str">
        <x:f>IF(OR(J161&lt;&gt;1,K161&lt;&gt;0),"TERMINATE",IF(I161=H161,"PASS","OPEN"))</x:f>
        <x:v>OPEN</x:v>
      </x:c>
      <x:c r="M161" s="84"/>
      <x:c r="N161" s="84"/>
    </x:row>
    <x:row r="162">
      <x:c r="A162" s="47" t="str">
        <x:v>CR156</x:v>
      </x:c>
      <x:c r="B162" s="47" t="str">
        <x:v>P16</x:v>
      </x:c>
      <x:c r="C162" s="47" t="str">
        <x:v>LF-B</x:v>
      </x:c>
      <x:c r="D162" s="47" t="str">
        <x:v>LF-B-A</x:v>
      </x:c>
      <x:c r="E162" s="47" t="str">
        <x:v>METHOD</x:v>
      </x:c>
      <x:c r="F162" s="47" t="str">
        <x:v>C06</x:v>
      </x:c>
      <x:c r="G162" s="47" t="str">
        <x:v>Recreate the frozen challenge case</x:v>
      </x:c>
      <x:c r="H162" s="47" t="n">
        <x:v>1</x:v>
      </x:c>
      <x:c r="I162" s="56" t="n">
        <x:v>0</x:v>
      </x:c>
      <x:c r="J162" s="59" t="n">
        <x:f>Inputs!$B$11</x:f>
        <x:v>1</x:v>
      </x:c>
      <x:c r="K162" s="59" t="n">
        <x:f>Inputs!$B$13</x:f>
        <x:v>0</x:v>
      </x:c>
      <x:c r="L162" s="59" t="str">
        <x:f>IF(OR(J162&lt;&gt;1,K162&lt;&gt;0),"TERMINATE",IF(I162=H162,"PASS","OPEN"))</x:f>
        <x:v>OPEN</x:v>
      </x:c>
      <x:c r="M162" s="84"/>
      <x:c r="N162" s="84"/>
    </x:row>
    <x:row r="163">
      <x:c r="A163" s="47" t="str">
        <x:v>CR157</x:v>
      </x:c>
      <x:c r="B163" s="47" t="str">
        <x:v>P16</x:v>
      </x:c>
      <x:c r="C163" s="47" t="str">
        <x:v>LF-B</x:v>
      </x:c>
      <x:c r="D163" s="47" t="str">
        <x:v>LF-B-A</x:v>
      </x:c>
      <x:c r="E163" s="47" t="str">
        <x:v>METHOD</x:v>
      </x:c>
      <x:c r="F163" s="47" t="str">
        <x:v>C07</x:v>
      </x:c>
      <x:c r="G163" s="47" t="str">
        <x:v>Calculate six invariants independently</x:v>
      </x:c>
      <x:c r="H163" s="47" t="n">
        <x:v>1</x:v>
      </x:c>
      <x:c r="I163" s="56" t="n">
        <x:v>0</x:v>
      </x:c>
      <x:c r="J163" s="59" t="n">
        <x:f>Inputs!$B$11</x:f>
        <x:v>1</x:v>
      </x:c>
      <x:c r="K163" s="59" t="n">
        <x:f>Inputs!$B$13</x:f>
        <x:v>0</x:v>
      </x:c>
      <x:c r="L163" s="59" t="str">
        <x:f>IF(OR(J163&lt;&gt;1,K163&lt;&gt;0),"TERMINATE",IF(I163=H163,"PASS","OPEN"))</x:f>
        <x:v>OPEN</x:v>
      </x:c>
      <x:c r="M163" s="84"/>
      <x:c r="N163" s="84"/>
    </x:row>
    <x:row r="164">
      <x:c r="A164" s="47" t="str">
        <x:v>CR158</x:v>
      </x:c>
      <x:c r="B164" s="47" t="str">
        <x:v>P16</x:v>
      </x:c>
      <x:c r="C164" s="47" t="str">
        <x:v>LF-B</x:v>
      </x:c>
      <x:c r="D164" s="47" t="str">
        <x:v>LF-B-A</x:v>
      </x:c>
      <x:c r="E164" s="47" t="str">
        <x:v>METHOD</x:v>
      </x:c>
      <x:c r="F164" s="47" t="str">
        <x:v>C08</x:v>
      </x:c>
      <x:c r="G164" s="47" t="str">
        <x:v>Commit results before native disclosure</x:v>
      </x:c>
      <x:c r="H164" s="47" t="n">
        <x:v>1</x:v>
      </x:c>
      <x:c r="I164" s="56" t="n">
        <x:v>0</x:v>
      </x:c>
      <x:c r="J164" s="59" t="n">
        <x:f>Inputs!$B$11</x:f>
        <x:v>1</x:v>
      </x:c>
      <x:c r="K164" s="59" t="n">
        <x:f>Inputs!$B$13</x:f>
        <x:v>0</x:v>
      </x:c>
      <x:c r="L164" s="59" t="str">
        <x:f>IF(OR(J164&lt;&gt;1,K164&lt;&gt;0),"TERMINATE",IF(I164=H164,"PASS","OPEN"))</x:f>
        <x:v>OPEN</x:v>
      </x:c>
      <x:c r="M164" s="84"/>
      <x:c r="N164" s="84"/>
    </x:row>
    <x:row r="165">
      <x:c r="A165" s="47" t="str">
        <x:v>CR159</x:v>
      </x:c>
      <x:c r="B165" s="47" t="str">
        <x:v>P16</x:v>
      </x:c>
      <x:c r="C165" s="47" t="str">
        <x:v>LF-B</x:v>
      </x:c>
      <x:c r="D165" s="47" t="str">
        <x:v>LF-B-A</x:v>
      </x:c>
      <x:c r="E165" s="47" t="str">
        <x:v>METHOD</x:v>
      </x:c>
      <x:c r="F165" s="47" t="str">
        <x:v>C09</x:v>
      </x:c>
      <x:c r="G165" s="47" t="str">
        <x:v>Compare semantic deltas after commitment</x:v>
      </x:c>
      <x:c r="H165" s="47" t="n">
        <x:v>1</x:v>
      </x:c>
      <x:c r="I165" s="56" t="n">
        <x:v>0</x:v>
      </x:c>
      <x:c r="J165" s="59" t="n">
        <x:f>Inputs!$B$11</x:f>
        <x:v>1</x:v>
      </x:c>
      <x:c r="K165" s="59" t="n">
        <x:f>Inputs!$B$13</x:f>
        <x:v>0</x:v>
      </x:c>
      <x:c r="L165" s="59" t="str">
        <x:f>IF(OR(J165&lt;&gt;1,K165&lt;&gt;0),"TERMINATE",IF(I165=H165,"PASS","OPEN"))</x:f>
        <x:v>OPEN</x:v>
      </x:c>
      <x:c r="M165" s="84"/>
      <x:c r="N165" s="84"/>
    </x:row>
    <x:row r="166">
      <x:c r="A166" s="47" t="str">
        <x:v>CR160</x:v>
      </x:c>
      <x:c r="B166" s="47" t="str">
        <x:v>P16</x:v>
      </x:c>
      <x:c r="C166" s="47" t="str">
        <x:v>LF-B</x:v>
      </x:c>
      <x:c r="D166" s="47" t="str">
        <x:v>LF-B-A</x:v>
      </x:c>
      <x:c r="E166" s="47" t="str">
        <x:v>METHOD</x:v>
      </x:c>
      <x:c r="F166" s="47" t="str">
        <x:v>C10</x:v>
      </x:c>
      <x:c r="G166" s="47" t="str">
        <x:v>Seal divergence or acceptance packet</x:v>
      </x:c>
      <x:c r="H166" s="47" t="n">
        <x:v>1</x:v>
      </x:c>
      <x:c r="I166" s="56" t="n">
        <x:v>0</x:v>
      </x:c>
      <x:c r="J166" s="59" t="n">
        <x:f>Inputs!$B$11</x:f>
        <x:v>1</x:v>
      </x:c>
      <x:c r="K166" s="59" t="n">
        <x:f>Inputs!$B$13</x:f>
        <x:v>0</x:v>
      </x:c>
      <x:c r="L166" s="59" t="str">
        <x:f>IF(OR(J166&lt;&gt;1,K166&lt;&gt;0),"TERMINATE",IF(I166=H166,"PASS","OPEN"))</x:f>
        <x:v>OPEN</x:v>
      </x:c>
      <x:c r="M166" s="84"/>
      <x:c r="N166" s="84"/>
    </x:row>
    <x:row r="167">
      <x:c r="A167" s="47" t="str">
        <x:v>CR161</x:v>
      </x:c>
      <x:c r="B167" s="47" t="str">
        <x:v>P17</x:v>
      </x:c>
      <x:c r="C167" s="47" t="str">
        <x:v>LF-B</x:v>
      </x:c>
      <x:c r="D167" s="47" t="str">
        <x:v>LF-B-A</x:v>
      </x:c>
      <x:c r="E167" s="47" t="str">
        <x:v>VALID</x:v>
      </x:c>
      <x:c r="F167" s="47" t="str">
        <x:v>C01</x:v>
      </x:c>
      <x:c r="G167" s="47" t="str">
        <x:v>Receive public contract without native outputs</x:v>
      </x:c>
      <x:c r="H167" s="47" t="n">
        <x:v>1</x:v>
      </x:c>
      <x:c r="I167" s="56" t="n">
        <x:v>0</x:v>
      </x:c>
      <x:c r="J167" s="59" t="n">
        <x:f>Inputs!$B$11</x:f>
        <x:v>1</x:v>
      </x:c>
      <x:c r="K167" s="59" t="n">
        <x:f>Inputs!$B$13</x:f>
        <x:v>0</x:v>
      </x:c>
      <x:c r="L167" s="59" t="str">
        <x:f>IF(OR(J167&lt;&gt;1,K167&lt;&gt;0),"TERMINATE",IF(I167=H167,"PASS","OPEN"))</x:f>
        <x:v>OPEN</x:v>
      </x:c>
      <x:c r="M167" s="84"/>
      <x:c r="N167" s="84"/>
    </x:row>
    <x:row r="168">
      <x:c r="A168" s="47" t="str">
        <x:v>CR162</x:v>
      </x:c>
      <x:c r="B168" s="47" t="str">
        <x:v>P17</x:v>
      </x:c>
      <x:c r="C168" s="47" t="str">
        <x:v>LF-B</x:v>
      </x:c>
      <x:c r="D168" s="47" t="str">
        <x:v>LF-B-A</x:v>
      </x:c>
      <x:c r="E168" s="47" t="str">
        <x:v>VALID</x:v>
      </x:c>
      <x:c r="F168" s="47" t="str">
        <x:v>C02</x:v>
      </x:c>
      <x:c r="G168" s="47" t="str">
        <x:v>Declare disjoint people, control and toolchain</x:v>
      </x:c>
      <x:c r="H168" s="47" t="n">
        <x:v>1</x:v>
      </x:c>
      <x:c r="I168" s="56" t="n">
        <x:v>0</x:v>
      </x:c>
      <x:c r="J168" s="59" t="n">
        <x:f>Inputs!$B$11</x:f>
        <x:v>1</x:v>
      </x:c>
      <x:c r="K168" s="59" t="n">
        <x:f>Inputs!$B$13</x:f>
        <x:v>0</x:v>
      </x:c>
      <x:c r="L168" s="59" t="str">
        <x:f>IF(OR(J168&lt;&gt;1,K168&lt;&gt;0),"TERMINATE",IF(I168=H168,"PASS","OPEN"))</x:f>
        <x:v>OPEN</x:v>
      </x:c>
      <x:c r="M168" s="84"/>
      <x:c r="N168" s="84"/>
    </x:row>
    <x:row r="169">
      <x:c r="A169" s="47" t="str">
        <x:v>CR163</x:v>
      </x:c>
      <x:c r="B169" s="47" t="str">
        <x:v>P17</x:v>
      </x:c>
      <x:c r="C169" s="47" t="str">
        <x:v>LF-B</x:v>
      </x:c>
      <x:c r="D169" s="47" t="str">
        <x:v>LF-B-A</x:v>
      </x:c>
      <x:c r="E169" s="47" t="str">
        <x:v>VALID</x:v>
      </x:c>
      <x:c r="F169" s="47" t="str">
        <x:v>C03</x:v>
      </x:c>
      <x:c r="G169" s="47" t="str">
        <x:v>Reconstruct units, datums and system boundary</x:v>
      </x:c>
      <x:c r="H169" s="47" t="n">
        <x:v>1</x:v>
      </x:c>
      <x:c r="I169" s="56" t="n">
        <x:v>0</x:v>
      </x:c>
      <x:c r="J169" s="59" t="n">
        <x:f>Inputs!$B$11</x:f>
        <x:v>1</x:v>
      </x:c>
      <x:c r="K169" s="59" t="n">
        <x:f>Inputs!$B$13</x:f>
        <x:v>0</x:v>
      </x:c>
      <x:c r="L169" s="59" t="str">
        <x:f>IF(OR(J169&lt;&gt;1,K169&lt;&gt;0),"TERMINATE",IF(I169=H169,"PASS","OPEN"))</x:f>
        <x:v>OPEN</x:v>
      </x:c>
      <x:c r="M169" s="84"/>
      <x:c r="N169" s="84"/>
    </x:row>
    <x:row r="170">
      <x:c r="A170" s="47" t="str">
        <x:v>CR164</x:v>
      </x:c>
      <x:c r="B170" s="47" t="str">
        <x:v>P17</x:v>
      </x:c>
      <x:c r="C170" s="47" t="str">
        <x:v>LF-B</x:v>
      </x:c>
      <x:c r="D170" s="47" t="str">
        <x:v>LF-B-A</x:v>
      </x:c>
      <x:c r="E170" s="47" t="str">
        <x:v>VALID</x:v>
      </x:c>
      <x:c r="F170" s="47" t="str">
        <x:v>C04</x:v>
      </x:c>
      <x:c r="G170" s="47" t="str">
        <x:v>Reimplement the causal model</x:v>
      </x:c>
      <x:c r="H170" s="47" t="n">
        <x:v>1</x:v>
      </x:c>
      <x:c r="I170" s="56" t="n">
        <x:v>0</x:v>
      </x:c>
      <x:c r="J170" s="59" t="n">
        <x:f>Inputs!$B$11</x:f>
        <x:v>1</x:v>
      </x:c>
      <x:c r="K170" s="59" t="n">
        <x:f>Inputs!$B$13</x:f>
        <x:v>0</x:v>
      </x:c>
      <x:c r="L170" s="59" t="str">
        <x:f>IF(OR(J170&lt;&gt;1,K170&lt;&gt;0),"TERMINATE",IF(I170=H170,"PASS","OPEN"))</x:f>
        <x:v>OPEN</x:v>
      </x:c>
      <x:c r="M170" s="84"/>
      <x:c r="N170" s="84"/>
    </x:row>
    <x:row r="171">
      <x:c r="A171" s="47" t="str">
        <x:v>CR165</x:v>
      </x:c>
      <x:c r="B171" s="47" t="str">
        <x:v>P17</x:v>
      </x:c>
      <x:c r="C171" s="47" t="str">
        <x:v>LF-B</x:v>
      </x:c>
      <x:c r="D171" s="47" t="str">
        <x:v>LF-B-A</x:v>
      </x:c>
      <x:c r="E171" s="47" t="str">
        <x:v>VALID</x:v>
      </x:c>
      <x:c r="F171" s="47" t="str">
        <x:v>C05</x:v>
      </x:c>
      <x:c r="G171" s="47" t="str">
        <x:v>Rebuild material and process assumptions</x:v>
      </x:c>
      <x:c r="H171" s="47" t="n">
        <x:v>1</x:v>
      </x:c>
      <x:c r="I171" s="56" t="n">
        <x:v>0</x:v>
      </x:c>
      <x:c r="J171" s="59" t="n">
        <x:f>Inputs!$B$11</x:f>
        <x:v>1</x:v>
      </x:c>
      <x:c r="K171" s="59" t="n">
        <x:f>Inputs!$B$13</x:f>
        <x:v>0</x:v>
      </x:c>
      <x:c r="L171" s="59" t="str">
        <x:f>IF(OR(J171&lt;&gt;1,K171&lt;&gt;0),"TERMINATE",IF(I171=H171,"PASS","OPEN"))</x:f>
        <x:v>OPEN</x:v>
      </x:c>
      <x:c r="M171" s="84"/>
      <x:c r="N171" s="84"/>
    </x:row>
    <x:row r="172">
      <x:c r="A172" s="47" t="str">
        <x:v>CR166</x:v>
      </x:c>
      <x:c r="B172" s="47" t="str">
        <x:v>P17</x:v>
      </x:c>
      <x:c r="C172" s="47" t="str">
        <x:v>LF-B</x:v>
      </x:c>
      <x:c r="D172" s="47" t="str">
        <x:v>LF-B-A</x:v>
      </x:c>
      <x:c r="E172" s="47" t="str">
        <x:v>VALID</x:v>
      </x:c>
      <x:c r="F172" s="47" t="str">
        <x:v>C06</x:v>
      </x:c>
      <x:c r="G172" s="47" t="str">
        <x:v>Recreate the frozen challenge case</x:v>
      </x:c>
      <x:c r="H172" s="47" t="n">
        <x:v>1</x:v>
      </x:c>
      <x:c r="I172" s="56" t="n">
        <x:v>0</x:v>
      </x:c>
      <x:c r="J172" s="59" t="n">
        <x:f>Inputs!$B$11</x:f>
        <x:v>1</x:v>
      </x:c>
      <x:c r="K172" s="59" t="n">
        <x:f>Inputs!$B$13</x:f>
        <x:v>0</x:v>
      </x:c>
      <x:c r="L172" s="59" t="str">
        <x:f>IF(OR(J172&lt;&gt;1,K172&lt;&gt;0),"TERMINATE",IF(I172=H172,"PASS","OPEN"))</x:f>
        <x:v>OPEN</x:v>
      </x:c>
      <x:c r="M172" s="84"/>
      <x:c r="N172" s="84"/>
    </x:row>
    <x:row r="173">
      <x:c r="A173" s="47" t="str">
        <x:v>CR167</x:v>
      </x:c>
      <x:c r="B173" s="47" t="str">
        <x:v>P17</x:v>
      </x:c>
      <x:c r="C173" s="47" t="str">
        <x:v>LF-B</x:v>
      </x:c>
      <x:c r="D173" s="47" t="str">
        <x:v>LF-B-A</x:v>
      </x:c>
      <x:c r="E173" s="47" t="str">
        <x:v>VALID</x:v>
      </x:c>
      <x:c r="F173" s="47" t="str">
        <x:v>C07</x:v>
      </x:c>
      <x:c r="G173" s="47" t="str">
        <x:v>Calculate six invariants independently</x:v>
      </x:c>
      <x:c r="H173" s="47" t="n">
        <x:v>1</x:v>
      </x:c>
      <x:c r="I173" s="56" t="n">
        <x:v>0</x:v>
      </x:c>
      <x:c r="J173" s="59" t="n">
        <x:f>Inputs!$B$11</x:f>
        <x:v>1</x:v>
      </x:c>
      <x:c r="K173" s="59" t="n">
        <x:f>Inputs!$B$13</x:f>
        <x:v>0</x:v>
      </x:c>
      <x:c r="L173" s="59" t="str">
        <x:f>IF(OR(J173&lt;&gt;1,K173&lt;&gt;0),"TERMINATE",IF(I173=H173,"PASS","OPEN"))</x:f>
        <x:v>OPEN</x:v>
      </x:c>
      <x:c r="M173" s="84"/>
      <x:c r="N173" s="84"/>
    </x:row>
    <x:row r="174">
      <x:c r="A174" s="47" t="str">
        <x:v>CR168</x:v>
      </x:c>
      <x:c r="B174" s="47" t="str">
        <x:v>P17</x:v>
      </x:c>
      <x:c r="C174" s="47" t="str">
        <x:v>LF-B</x:v>
      </x:c>
      <x:c r="D174" s="47" t="str">
        <x:v>LF-B-A</x:v>
      </x:c>
      <x:c r="E174" s="47" t="str">
        <x:v>VALID</x:v>
      </x:c>
      <x:c r="F174" s="47" t="str">
        <x:v>C08</x:v>
      </x:c>
      <x:c r="G174" s="47" t="str">
        <x:v>Commit results before native disclosure</x:v>
      </x:c>
      <x:c r="H174" s="47" t="n">
        <x:v>1</x:v>
      </x:c>
      <x:c r="I174" s="56" t="n">
        <x:v>0</x:v>
      </x:c>
      <x:c r="J174" s="59" t="n">
        <x:f>Inputs!$B$11</x:f>
        <x:v>1</x:v>
      </x:c>
      <x:c r="K174" s="59" t="n">
        <x:f>Inputs!$B$13</x:f>
        <x:v>0</x:v>
      </x:c>
      <x:c r="L174" s="59" t="str">
        <x:f>IF(OR(J174&lt;&gt;1,K174&lt;&gt;0),"TERMINATE",IF(I174=H174,"PASS","OPEN"))</x:f>
        <x:v>OPEN</x:v>
      </x:c>
      <x:c r="M174" s="84"/>
      <x:c r="N174" s="84"/>
    </x:row>
    <x:row r="175">
      <x:c r="A175" s="47" t="str">
        <x:v>CR169</x:v>
      </x:c>
      <x:c r="B175" s="47" t="str">
        <x:v>P17</x:v>
      </x:c>
      <x:c r="C175" s="47" t="str">
        <x:v>LF-B</x:v>
      </x:c>
      <x:c r="D175" s="47" t="str">
        <x:v>LF-B-A</x:v>
      </x:c>
      <x:c r="E175" s="47" t="str">
        <x:v>VALID</x:v>
      </x:c>
      <x:c r="F175" s="47" t="str">
        <x:v>C09</x:v>
      </x:c>
      <x:c r="G175" s="47" t="str">
        <x:v>Compare semantic deltas after commitment</x:v>
      </x:c>
      <x:c r="H175" s="47" t="n">
        <x:v>1</x:v>
      </x:c>
      <x:c r="I175" s="56" t="n">
        <x:v>0</x:v>
      </x:c>
      <x:c r="J175" s="59" t="n">
        <x:f>Inputs!$B$11</x:f>
        <x:v>1</x:v>
      </x:c>
      <x:c r="K175" s="59" t="n">
        <x:f>Inputs!$B$13</x:f>
        <x:v>0</x:v>
      </x:c>
      <x:c r="L175" s="59" t="str">
        <x:f>IF(OR(J175&lt;&gt;1,K175&lt;&gt;0),"TERMINATE",IF(I175=H175,"PASS","OPEN"))</x:f>
        <x:v>OPEN</x:v>
      </x:c>
      <x:c r="M175" s="84"/>
      <x:c r="N175" s="84"/>
    </x:row>
    <x:row r="176">
      <x:c r="A176" s="47" t="str">
        <x:v>CR170</x:v>
      </x:c>
      <x:c r="B176" s="47" t="str">
        <x:v>P17</x:v>
      </x:c>
      <x:c r="C176" s="47" t="str">
        <x:v>LF-B</x:v>
      </x:c>
      <x:c r="D176" s="47" t="str">
        <x:v>LF-B-A</x:v>
      </x:c>
      <x:c r="E176" s="47" t="str">
        <x:v>VALID</x:v>
      </x:c>
      <x:c r="F176" s="47" t="str">
        <x:v>C10</x:v>
      </x:c>
      <x:c r="G176" s="47" t="str">
        <x:v>Seal divergence or acceptance packet</x:v>
      </x:c>
      <x:c r="H176" s="47" t="n">
        <x:v>1</x:v>
      </x:c>
      <x:c r="I176" s="56" t="n">
        <x:v>0</x:v>
      </x:c>
      <x:c r="J176" s="59" t="n">
        <x:f>Inputs!$B$11</x:f>
        <x:v>1</x:v>
      </x:c>
      <x:c r="K176" s="59" t="n">
        <x:f>Inputs!$B$13</x:f>
        <x:v>0</x:v>
      </x:c>
      <x:c r="L176" s="59" t="str">
        <x:f>IF(OR(J176&lt;&gt;1,K176&lt;&gt;0),"TERMINATE",IF(I176=H176,"PASS","OPEN"))</x:f>
        <x:v>OPEN</x:v>
      </x:c>
      <x:c r="M176" s="84"/>
      <x:c r="N176" s="84"/>
    </x:row>
    <x:row r="177">
      <x:c r="A177" s="47" t="str">
        <x:v>CR171</x:v>
      </x:c>
      <x:c r="B177" s="47" t="str">
        <x:v>P18</x:v>
      </x:c>
      <x:c r="C177" s="47" t="str">
        <x:v>LF-B</x:v>
      </x:c>
      <x:c r="D177" s="47" t="str">
        <x:v>LF-B-A</x:v>
      </x:c>
      <x:c r="E177" s="47" t="str">
        <x:v>CIVIL</x:v>
      </x:c>
      <x:c r="F177" s="47" t="str">
        <x:v>C01</x:v>
      </x:c>
      <x:c r="G177" s="47" t="str">
        <x:v>Receive public contract without native outputs</x:v>
      </x:c>
      <x:c r="H177" s="47" t="n">
        <x:v>1</x:v>
      </x:c>
      <x:c r="I177" s="56" t="n">
        <x:v>0</x:v>
      </x:c>
      <x:c r="J177" s="59" t="n">
        <x:f>Inputs!$B$11</x:f>
        <x:v>1</x:v>
      </x:c>
      <x:c r="K177" s="59" t="n">
        <x:f>Inputs!$B$13</x:f>
        <x:v>0</x:v>
      </x:c>
      <x:c r="L177" s="59" t="str">
        <x:f>IF(OR(J177&lt;&gt;1,K177&lt;&gt;0),"TERMINATE",IF(I177=H177,"PASS","OPEN"))</x:f>
        <x:v>OPEN</x:v>
      </x:c>
      <x:c r="M177" s="84"/>
      <x:c r="N177" s="84"/>
    </x:row>
    <x:row r="178">
      <x:c r="A178" s="47" t="str">
        <x:v>CR172</x:v>
      </x:c>
      <x:c r="B178" s="47" t="str">
        <x:v>P18</x:v>
      </x:c>
      <x:c r="C178" s="47" t="str">
        <x:v>LF-B</x:v>
      </x:c>
      <x:c r="D178" s="47" t="str">
        <x:v>LF-B-A</x:v>
      </x:c>
      <x:c r="E178" s="47" t="str">
        <x:v>CIVIL</x:v>
      </x:c>
      <x:c r="F178" s="47" t="str">
        <x:v>C02</x:v>
      </x:c>
      <x:c r="G178" s="47" t="str">
        <x:v>Declare disjoint people, control and toolchain</x:v>
      </x:c>
      <x:c r="H178" s="47" t="n">
        <x:v>1</x:v>
      </x:c>
      <x:c r="I178" s="56" t="n">
        <x:v>0</x:v>
      </x:c>
      <x:c r="J178" s="59" t="n">
        <x:f>Inputs!$B$11</x:f>
        <x:v>1</x:v>
      </x:c>
      <x:c r="K178" s="59" t="n">
        <x:f>Inputs!$B$13</x:f>
        <x:v>0</x:v>
      </x:c>
      <x:c r="L178" s="59" t="str">
        <x:f>IF(OR(J178&lt;&gt;1,K178&lt;&gt;0),"TERMINATE",IF(I178=H178,"PASS","OPEN"))</x:f>
        <x:v>OPEN</x:v>
      </x:c>
      <x:c r="M178" s="84"/>
      <x:c r="N178" s="84"/>
    </x:row>
    <x:row r="179">
      <x:c r="A179" s="47" t="str">
        <x:v>CR173</x:v>
      </x:c>
      <x:c r="B179" s="47" t="str">
        <x:v>P18</x:v>
      </x:c>
      <x:c r="C179" s="47" t="str">
        <x:v>LF-B</x:v>
      </x:c>
      <x:c r="D179" s="47" t="str">
        <x:v>LF-B-A</x:v>
      </x:c>
      <x:c r="E179" s="47" t="str">
        <x:v>CIVIL</x:v>
      </x:c>
      <x:c r="F179" s="47" t="str">
        <x:v>C03</x:v>
      </x:c>
      <x:c r="G179" s="47" t="str">
        <x:v>Reconstruct units, datums and system boundary</x:v>
      </x:c>
      <x:c r="H179" s="47" t="n">
        <x:v>1</x:v>
      </x:c>
      <x:c r="I179" s="56" t="n">
        <x:v>0</x:v>
      </x:c>
      <x:c r="J179" s="59" t="n">
        <x:f>Inputs!$B$11</x:f>
        <x:v>1</x:v>
      </x:c>
      <x:c r="K179" s="59" t="n">
        <x:f>Inputs!$B$13</x:f>
        <x:v>0</x:v>
      </x:c>
      <x:c r="L179" s="59" t="str">
        <x:f>IF(OR(J179&lt;&gt;1,K179&lt;&gt;0),"TERMINATE",IF(I179=H179,"PASS","OPEN"))</x:f>
        <x:v>OPEN</x:v>
      </x:c>
      <x:c r="M179" s="84"/>
      <x:c r="N179" s="84"/>
    </x:row>
    <x:row r="180">
      <x:c r="A180" s="47" t="str">
        <x:v>CR174</x:v>
      </x:c>
      <x:c r="B180" s="47" t="str">
        <x:v>P18</x:v>
      </x:c>
      <x:c r="C180" s="47" t="str">
        <x:v>LF-B</x:v>
      </x:c>
      <x:c r="D180" s="47" t="str">
        <x:v>LF-B-A</x:v>
      </x:c>
      <x:c r="E180" s="47" t="str">
        <x:v>CIVIL</x:v>
      </x:c>
      <x:c r="F180" s="47" t="str">
        <x:v>C04</x:v>
      </x:c>
      <x:c r="G180" s="47" t="str">
        <x:v>Reimplement the causal model</x:v>
      </x:c>
      <x:c r="H180" s="47" t="n">
        <x:v>1</x:v>
      </x:c>
      <x:c r="I180" s="56" t="n">
        <x:v>0</x:v>
      </x:c>
      <x:c r="J180" s="59" t="n">
        <x:f>Inputs!$B$11</x:f>
        <x:v>1</x:v>
      </x:c>
      <x:c r="K180" s="59" t="n">
        <x:f>Inputs!$B$13</x:f>
        <x:v>0</x:v>
      </x:c>
      <x:c r="L180" s="59" t="str">
        <x:f>IF(OR(J180&lt;&gt;1,K180&lt;&gt;0),"TERMINATE",IF(I180=H180,"PASS","OPEN"))</x:f>
        <x:v>OPEN</x:v>
      </x:c>
      <x:c r="M180" s="84"/>
      <x:c r="N180" s="84"/>
    </x:row>
    <x:row r="181">
      <x:c r="A181" s="47" t="str">
        <x:v>CR175</x:v>
      </x:c>
      <x:c r="B181" s="47" t="str">
        <x:v>P18</x:v>
      </x:c>
      <x:c r="C181" s="47" t="str">
        <x:v>LF-B</x:v>
      </x:c>
      <x:c r="D181" s="47" t="str">
        <x:v>LF-B-A</x:v>
      </x:c>
      <x:c r="E181" s="47" t="str">
        <x:v>CIVIL</x:v>
      </x:c>
      <x:c r="F181" s="47" t="str">
        <x:v>C05</x:v>
      </x:c>
      <x:c r="G181" s="47" t="str">
        <x:v>Rebuild material and process assumptions</x:v>
      </x:c>
      <x:c r="H181" s="47" t="n">
        <x:v>1</x:v>
      </x:c>
      <x:c r="I181" s="56" t="n">
        <x:v>0</x:v>
      </x:c>
      <x:c r="J181" s="59" t="n">
        <x:f>Inputs!$B$11</x:f>
        <x:v>1</x:v>
      </x:c>
      <x:c r="K181" s="59" t="n">
        <x:f>Inputs!$B$13</x:f>
        <x:v>0</x:v>
      </x:c>
      <x:c r="L181" s="59" t="str">
        <x:f>IF(OR(J181&lt;&gt;1,K181&lt;&gt;0),"TERMINATE",IF(I181=H181,"PASS","OPEN"))</x:f>
        <x:v>OPEN</x:v>
      </x:c>
      <x:c r="M181" s="84"/>
      <x:c r="N181" s="84"/>
    </x:row>
    <x:row r="182">
      <x:c r="A182" s="47" t="str">
        <x:v>CR176</x:v>
      </x:c>
      <x:c r="B182" s="47" t="str">
        <x:v>P18</x:v>
      </x:c>
      <x:c r="C182" s="47" t="str">
        <x:v>LF-B</x:v>
      </x:c>
      <x:c r="D182" s="47" t="str">
        <x:v>LF-B-A</x:v>
      </x:c>
      <x:c r="E182" s="47" t="str">
        <x:v>CIVIL</x:v>
      </x:c>
      <x:c r="F182" s="47" t="str">
        <x:v>C06</x:v>
      </x:c>
      <x:c r="G182" s="47" t="str">
        <x:v>Recreate the frozen challenge case</x:v>
      </x:c>
      <x:c r="H182" s="47" t="n">
        <x:v>1</x:v>
      </x:c>
      <x:c r="I182" s="56" t="n">
        <x:v>0</x:v>
      </x:c>
      <x:c r="J182" s="59" t="n">
        <x:f>Inputs!$B$11</x:f>
        <x:v>1</x:v>
      </x:c>
      <x:c r="K182" s="59" t="n">
        <x:f>Inputs!$B$13</x:f>
        <x:v>0</x:v>
      </x:c>
      <x:c r="L182" s="59" t="str">
        <x:f>IF(OR(J182&lt;&gt;1,K182&lt;&gt;0),"TERMINATE",IF(I182=H182,"PASS","OPEN"))</x:f>
        <x:v>OPEN</x:v>
      </x:c>
      <x:c r="M182" s="84"/>
      <x:c r="N182" s="84"/>
    </x:row>
    <x:row r="183">
      <x:c r="A183" s="47" t="str">
        <x:v>CR177</x:v>
      </x:c>
      <x:c r="B183" s="47" t="str">
        <x:v>P18</x:v>
      </x:c>
      <x:c r="C183" s="47" t="str">
        <x:v>LF-B</x:v>
      </x:c>
      <x:c r="D183" s="47" t="str">
        <x:v>LF-B-A</x:v>
      </x:c>
      <x:c r="E183" s="47" t="str">
        <x:v>CIVIL</x:v>
      </x:c>
      <x:c r="F183" s="47" t="str">
        <x:v>C07</x:v>
      </x:c>
      <x:c r="G183" s="47" t="str">
        <x:v>Calculate six invariants independently</x:v>
      </x:c>
      <x:c r="H183" s="47" t="n">
        <x:v>1</x:v>
      </x:c>
      <x:c r="I183" s="56" t="n">
        <x:v>0</x:v>
      </x:c>
      <x:c r="J183" s="59" t="n">
        <x:f>Inputs!$B$11</x:f>
        <x:v>1</x:v>
      </x:c>
      <x:c r="K183" s="59" t="n">
        <x:f>Inputs!$B$13</x:f>
        <x:v>0</x:v>
      </x:c>
      <x:c r="L183" s="59" t="str">
        <x:f>IF(OR(J183&lt;&gt;1,K183&lt;&gt;0),"TERMINATE",IF(I183=H183,"PASS","OPEN"))</x:f>
        <x:v>OPEN</x:v>
      </x:c>
      <x:c r="M183" s="84"/>
      <x:c r="N183" s="84"/>
    </x:row>
    <x:row r="184">
      <x:c r="A184" s="47" t="str">
        <x:v>CR178</x:v>
      </x:c>
      <x:c r="B184" s="47" t="str">
        <x:v>P18</x:v>
      </x:c>
      <x:c r="C184" s="47" t="str">
        <x:v>LF-B</x:v>
      </x:c>
      <x:c r="D184" s="47" t="str">
        <x:v>LF-B-A</x:v>
      </x:c>
      <x:c r="E184" s="47" t="str">
        <x:v>CIVIL</x:v>
      </x:c>
      <x:c r="F184" s="47" t="str">
        <x:v>C08</x:v>
      </x:c>
      <x:c r="G184" s="47" t="str">
        <x:v>Commit results before native disclosure</x:v>
      </x:c>
      <x:c r="H184" s="47" t="n">
        <x:v>1</x:v>
      </x:c>
      <x:c r="I184" s="56" t="n">
        <x:v>0</x:v>
      </x:c>
      <x:c r="J184" s="59" t="n">
        <x:f>Inputs!$B$11</x:f>
        <x:v>1</x:v>
      </x:c>
      <x:c r="K184" s="59" t="n">
        <x:f>Inputs!$B$13</x:f>
        <x:v>0</x:v>
      </x:c>
      <x:c r="L184" s="59" t="str">
        <x:f>IF(OR(J184&lt;&gt;1,K184&lt;&gt;0),"TERMINATE",IF(I184=H184,"PASS","OPEN"))</x:f>
        <x:v>OPEN</x:v>
      </x:c>
      <x:c r="M184" s="84"/>
      <x:c r="N184" s="84"/>
    </x:row>
    <x:row r="185">
      <x:c r="A185" s="47" t="str">
        <x:v>CR179</x:v>
      </x:c>
      <x:c r="B185" s="47" t="str">
        <x:v>P18</x:v>
      </x:c>
      <x:c r="C185" s="47" t="str">
        <x:v>LF-B</x:v>
      </x:c>
      <x:c r="D185" s="47" t="str">
        <x:v>LF-B-A</x:v>
      </x:c>
      <x:c r="E185" s="47" t="str">
        <x:v>CIVIL</x:v>
      </x:c>
      <x:c r="F185" s="47" t="str">
        <x:v>C09</x:v>
      </x:c>
      <x:c r="G185" s="47" t="str">
        <x:v>Compare semantic deltas after commitment</x:v>
      </x:c>
      <x:c r="H185" s="47" t="n">
        <x:v>1</x:v>
      </x:c>
      <x:c r="I185" s="56" t="n">
        <x:v>0</x:v>
      </x:c>
      <x:c r="J185" s="59" t="n">
        <x:f>Inputs!$B$11</x:f>
        <x:v>1</x:v>
      </x:c>
      <x:c r="K185" s="59" t="n">
        <x:f>Inputs!$B$13</x:f>
        <x:v>0</x:v>
      </x:c>
      <x:c r="L185" s="59" t="str">
        <x:f>IF(OR(J185&lt;&gt;1,K185&lt;&gt;0),"TERMINATE",IF(I185=H185,"PASS","OPEN"))</x:f>
        <x:v>OPEN</x:v>
      </x:c>
      <x:c r="M185" s="84"/>
      <x:c r="N185" s="84"/>
    </x:row>
    <x:row r="186">
      <x:c r="A186" s="47" t="str">
        <x:v>CR180</x:v>
      </x:c>
      <x:c r="B186" s="47" t="str">
        <x:v>P18</x:v>
      </x:c>
      <x:c r="C186" s="47" t="str">
        <x:v>LF-B</x:v>
      </x:c>
      <x:c r="D186" s="47" t="str">
        <x:v>LF-B-A</x:v>
      </x:c>
      <x:c r="E186" s="47" t="str">
        <x:v>CIVIL</x:v>
      </x:c>
      <x:c r="F186" s="47" t="str">
        <x:v>C10</x:v>
      </x:c>
      <x:c r="G186" s="47" t="str">
        <x:v>Seal divergence or acceptance packet</x:v>
      </x:c>
      <x:c r="H186" s="47" t="n">
        <x:v>1</x:v>
      </x:c>
      <x:c r="I186" s="56" t="n">
        <x:v>0</x:v>
      </x:c>
      <x:c r="J186" s="59" t="n">
        <x:f>Inputs!$B$11</x:f>
        <x:v>1</x:v>
      </x:c>
      <x:c r="K186" s="59" t="n">
        <x:f>Inputs!$B$13</x:f>
        <x:v>0</x:v>
      </x:c>
      <x:c r="L186" s="59" t="str">
        <x:f>IF(OR(J186&lt;&gt;1,K186&lt;&gt;0),"TERMINATE",IF(I186=H186,"PASS","OPEN"))</x:f>
        <x:v>OPEN</x:v>
      </x:c>
      <x:c r="M186" s="84"/>
      <x:c r="N186" s="84"/>
    </x:row>
    <x:row r="187">
      <x:c r="A187" s="47" t="str">
        <x:v>CR181</x:v>
      </x:c>
      <x:c r="B187" s="47" t="str">
        <x:v>P19</x:v>
      </x:c>
      <x:c r="C187" s="47" t="str">
        <x:v>LF-B</x:v>
      </x:c>
      <x:c r="D187" s="47" t="str">
        <x:v>LF-B-A</x:v>
      </x:c>
      <x:c r="E187" s="47" t="str">
        <x:v>ARTICLE</x:v>
      </x:c>
      <x:c r="F187" s="47" t="str">
        <x:v>C01</x:v>
      </x:c>
      <x:c r="G187" s="47" t="str">
        <x:v>Receive public contract without native outputs</x:v>
      </x:c>
      <x:c r="H187" s="47" t="n">
        <x:v>1</x:v>
      </x:c>
      <x:c r="I187" s="56" t="n">
        <x:v>0</x:v>
      </x:c>
      <x:c r="J187" s="59" t="n">
        <x:f>Inputs!$B$11</x:f>
        <x:v>1</x:v>
      </x:c>
      <x:c r="K187" s="59" t="n">
        <x:f>Inputs!$B$13</x:f>
        <x:v>0</x:v>
      </x:c>
      <x:c r="L187" s="59" t="str">
        <x:f>IF(OR(J187&lt;&gt;1,K187&lt;&gt;0),"TERMINATE",IF(I187=H187,"PASS","OPEN"))</x:f>
        <x:v>OPEN</x:v>
      </x:c>
      <x:c r="M187" s="84"/>
      <x:c r="N187" s="84"/>
    </x:row>
    <x:row r="188">
      <x:c r="A188" s="47" t="str">
        <x:v>CR182</x:v>
      </x:c>
      <x:c r="B188" s="47" t="str">
        <x:v>P19</x:v>
      </x:c>
      <x:c r="C188" s="47" t="str">
        <x:v>LF-B</x:v>
      </x:c>
      <x:c r="D188" s="47" t="str">
        <x:v>LF-B-A</x:v>
      </x:c>
      <x:c r="E188" s="47" t="str">
        <x:v>ARTICLE</x:v>
      </x:c>
      <x:c r="F188" s="47" t="str">
        <x:v>C02</x:v>
      </x:c>
      <x:c r="G188" s="47" t="str">
        <x:v>Declare disjoint people, control and toolchain</x:v>
      </x:c>
      <x:c r="H188" s="47" t="n">
        <x:v>1</x:v>
      </x:c>
      <x:c r="I188" s="56" t="n">
        <x:v>0</x:v>
      </x:c>
      <x:c r="J188" s="59" t="n">
        <x:f>Inputs!$B$11</x:f>
        <x:v>1</x:v>
      </x:c>
      <x:c r="K188" s="59" t="n">
        <x:f>Inputs!$B$13</x:f>
        <x:v>0</x:v>
      </x:c>
      <x:c r="L188" s="59" t="str">
        <x:f>IF(OR(J188&lt;&gt;1,K188&lt;&gt;0),"TERMINATE",IF(I188=H188,"PASS","OPEN"))</x:f>
        <x:v>OPEN</x:v>
      </x:c>
      <x:c r="M188" s="84"/>
      <x:c r="N188" s="84"/>
    </x:row>
    <x:row r="189">
      <x:c r="A189" s="47" t="str">
        <x:v>CR183</x:v>
      </x:c>
      <x:c r="B189" s="47" t="str">
        <x:v>P19</x:v>
      </x:c>
      <x:c r="C189" s="47" t="str">
        <x:v>LF-B</x:v>
      </x:c>
      <x:c r="D189" s="47" t="str">
        <x:v>LF-B-A</x:v>
      </x:c>
      <x:c r="E189" s="47" t="str">
        <x:v>ARTICLE</x:v>
      </x:c>
      <x:c r="F189" s="47" t="str">
        <x:v>C03</x:v>
      </x:c>
      <x:c r="G189" s="47" t="str">
        <x:v>Reconstruct units, datums and system boundary</x:v>
      </x:c>
      <x:c r="H189" s="47" t="n">
        <x:v>1</x:v>
      </x:c>
      <x:c r="I189" s="56" t="n">
        <x:v>0</x:v>
      </x:c>
      <x:c r="J189" s="59" t="n">
        <x:f>Inputs!$B$11</x:f>
        <x:v>1</x:v>
      </x:c>
      <x:c r="K189" s="59" t="n">
        <x:f>Inputs!$B$13</x:f>
        <x:v>0</x:v>
      </x:c>
      <x:c r="L189" s="59" t="str">
        <x:f>IF(OR(J189&lt;&gt;1,K189&lt;&gt;0),"TERMINATE",IF(I189=H189,"PASS","OPEN"))</x:f>
        <x:v>OPEN</x:v>
      </x:c>
      <x:c r="M189" s="84"/>
      <x:c r="N189" s="84"/>
    </x:row>
    <x:row r="190">
      <x:c r="A190" s="47" t="str">
        <x:v>CR184</x:v>
      </x:c>
      <x:c r="B190" s="47" t="str">
        <x:v>P19</x:v>
      </x:c>
      <x:c r="C190" s="47" t="str">
        <x:v>LF-B</x:v>
      </x:c>
      <x:c r="D190" s="47" t="str">
        <x:v>LF-B-A</x:v>
      </x:c>
      <x:c r="E190" s="47" t="str">
        <x:v>ARTICLE</x:v>
      </x:c>
      <x:c r="F190" s="47" t="str">
        <x:v>C04</x:v>
      </x:c>
      <x:c r="G190" s="47" t="str">
        <x:v>Reimplement the causal model</x:v>
      </x:c>
      <x:c r="H190" s="47" t="n">
        <x:v>1</x:v>
      </x:c>
      <x:c r="I190" s="56" t="n">
        <x:v>0</x:v>
      </x:c>
      <x:c r="J190" s="59" t="n">
        <x:f>Inputs!$B$11</x:f>
        <x:v>1</x:v>
      </x:c>
      <x:c r="K190" s="59" t="n">
        <x:f>Inputs!$B$13</x:f>
        <x:v>0</x:v>
      </x:c>
      <x:c r="L190" s="59" t="str">
        <x:f>IF(OR(J190&lt;&gt;1,K190&lt;&gt;0),"TERMINATE",IF(I190=H190,"PASS","OPEN"))</x:f>
        <x:v>OPEN</x:v>
      </x:c>
      <x:c r="M190" s="84"/>
      <x:c r="N190" s="84"/>
    </x:row>
    <x:row r="191">
      <x:c r="A191" s="47" t="str">
        <x:v>CR185</x:v>
      </x:c>
      <x:c r="B191" s="47" t="str">
        <x:v>P19</x:v>
      </x:c>
      <x:c r="C191" s="47" t="str">
        <x:v>LF-B</x:v>
      </x:c>
      <x:c r="D191" s="47" t="str">
        <x:v>LF-B-A</x:v>
      </x:c>
      <x:c r="E191" s="47" t="str">
        <x:v>ARTICLE</x:v>
      </x:c>
      <x:c r="F191" s="47" t="str">
        <x:v>C05</x:v>
      </x:c>
      <x:c r="G191" s="47" t="str">
        <x:v>Rebuild material and process assumptions</x:v>
      </x:c>
      <x:c r="H191" s="47" t="n">
        <x:v>1</x:v>
      </x:c>
      <x:c r="I191" s="56" t="n">
        <x:v>0</x:v>
      </x:c>
      <x:c r="J191" s="59" t="n">
        <x:f>Inputs!$B$11</x:f>
        <x:v>1</x:v>
      </x:c>
      <x:c r="K191" s="59" t="n">
        <x:f>Inputs!$B$13</x:f>
        <x:v>0</x:v>
      </x:c>
      <x:c r="L191" s="59" t="str">
        <x:f>IF(OR(J191&lt;&gt;1,K191&lt;&gt;0),"TERMINATE",IF(I191=H191,"PASS","OPEN"))</x:f>
        <x:v>OPEN</x:v>
      </x:c>
      <x:c r="M191" s="84"/>
      <x:c r="N191" s="84"/>
    </x:row>
    <x:row r="192">
      <x:c r="A192" s="47" t="str">
        <x:v>CR186</x:v>
      </x:c>
      <x:c r="B192" s="47" t="str">
        <x:v>P19</x:v>
      </x:c>
      <x:c r="C192" s="47" t="str">
        <x:v>LF-B</x:v>
      </x:c>
      <x:c r="D192" s="47" t="str">
        <x:v>LF-B-A</x:v>
      </x:c>
      <x:c r="E192" s="47" t="str">
        <x:v>ARTICLE</x:v>
      </x:c>
      <x:c r="F192" s="47" t="str">
        <x:v>C06</x:v>
      </x:c>
      <x:c r="G192" s="47" t="str">
        <x:v>Recreate the frozen challenge case</x:v>
      </x:c>
      <x:c r="H192" s="47" t="n">
        <x:v>1</x:v>
      </x:c>
      <x:c r="I192" s="56" t="n">
        <x:v>0</x:v>
      </x:c>
      <x:c r="J192" s="59" t="n">
        <x:f>Inputs!$B$11</x:f>
        <x:v>1</x:v>
      </x:c>
      <x:c r="K192" s="59" t="n">
        <x:f>Inputs!$B$13</x:f>
        <x:v>0</x:v>
      </x:c>
      <x:c r="L192" s="59" t="str">
        <x:f>IF(OR(J192&lt;&gt;1,K192&lt;&gt;0),"TERMINATE",IF(I192=H192,"PASS","OPEN"))</x:f>
        <x:v>OPEN</x:v>
      </x:c>
      <x:c r="M192" s="84"/>
      <x:c r="N192" s="84"/>
    </x:row>
    <x:row r="193">
      <x:c r="A193" s="47" t="str">
        <x:v>CR187</x:v>
      </x:c>
      <x:c r="B193" s="47" t="str">
        <x:v>P19</x:v>
      </x:c>
      <x:c r="C193" s="47" t="str">
        <x:v>LF-B</x:v>
      </x:c>
      <x:c r="D193" s="47" t="str">
        <x:v>LF-B-A</x:v>
      </x:c>
      <x:c r="E193" s="47" t="str">
        <x:v>ARTICLE</x:v>
      </x:c>
      <x:c r="F193" s="47" t="str">
        <x:v>C07</x:v>
      </x:c>
      <x:c r="G193" s="47" t="str">
        <x:v>Calculate six invariants independently</x:v>
      </x:c>
      <x:c r="H193" s="47" t="n">
        <x:v>1</x:v>
      </x:c>
      <x:c r="I193" s="56" t="n">
        <x:v>0</x:v>
      </x:c>
      <x:c r="J193" s="59" t="n">
        <x:f>Inputs!$B$11</x:f>
        <x:v>1</x:v>
      </x:c>
      <x:c r="K193" s="59" t="n">
        <x:f>Inputs!$B$13</x:f>
        <x:v>0</x:v>
      </x:c>
      <x:c r="L193" s="59" t="str">
        <x:f>IF(OR(J193&lt;&gt;1,K193&lt;&gt;0),"TERMINATE",IF(I193=H193,"PASS","OPEN"))</x:f>
        <x:v>OPEN</x:v>
      </x:c>
      <x:c r="M193" s="84"/>
      <x:c r="N193" s="84"/>
    </x:row>
    <x:row r="194">
      <x:c r="A194" s="47" t="str">
        <x:v>CR188</x:v>
      </x:c>
      <x:c r="B194" s="47" t="str">
        <x:v>P19</x:v>
      </x:c>
      <x:c r="C194" s="47" t="str">
        <x:v>LF-B</x:v>
      </x:c>
      <x:c r="D194" s="47" t="str">
        <x:v>LF-B-A</x:v>
      </x:c>
      <x:c r="E194" s="47" t="str">
        <x:v>ARTICLE</x:v>
      </x:c>
      <x:c r="F194" s="47" t="str">
        <x:v>C08</x:v>
      </x:c>
      <x:c r="G194" s="47" t="str">
        <x:v>Commit results before native disclosure</x:v>
      </x:c>
      <x:c r="H194" s="47" t="n">
        <x:v>1</x:v>
      </x:c>
      <x:c r="I194" s="56" t="n">
        <x:v>0</x:v>
      </x:c>
      <x:c r="J194" s="59" t="n">
        <x:f>Inputs!$B$11</x:f>
        <x:v>1</x:v>
      </x:c>
      <x:c r="K194" s="59" t="n">
        <x:f>Inputs!$B$13</x:f>
        <x:v>0</x:v>
      </x:c>
      <x:c r="L194" s="59" t="str">
        <x:f>IF(OR(J194&lt;&gt;1,K194&lt;&gt;0),"TERMINATE",IF(I194=H194,"PASS","OPEN"))</x:f>
        <x:v>OPEN</x:v>
      </x:c>
      <x:c r="M194" s="84"/>
      <x:c r="N194" s="84"/>
    </x:row>
    <x:row r="195">
      <x:c r="A195" s="47" t="str">
        <x:v>CR189</x:v>
      </x:c>
      <x:c r="B195" s="47" t="str">
        <x:v>P19</x:v>
      </x:c>
      <x:c r="C195" s="47" t="str">
        <x:v>LF-B</x:v>
      </x:c>
      <x:c r="D195" s="47" t="str">
        <x:v>LF-B-A</x:v>
      </x:c>
      <x:c r="E195" s="47" t="str">
        <x:v>ARTICLE</x:v>
      </x:c>
      <x:c r="F195" s="47" t="str">
        <x:v>C09</x:v>
      </x:c>
      <x:c r="G195" s="47" t="str">
        <x:v>Compare semantic deltas after commitment</x:v>
      </x:c>
      <x:c r="H195" s="47" t="n">
        <x:v>1</x:v>
      </x:c>
      <x:c r="I195" s="56" t="n">
        <x:v>0</x:v>
      </x:c>
      <x:c r="J195" s="59" t="n">
        <x:f>Inputs!$B$11</x:f>
        <x:v>1</x:v>
      </x:c>
      <x:c r="K195" s="59" t="n">
        <x:f>Inputs!$B$13</x:f>
        <x:v>0</x:v>
      </x:c>
      <x:c r="L195" s="59" t="str">
        <x:f>IF(OR(J195&lt;&gt;1,K195&lt;&gt;0),"TERMINATE",IF(I195=H195,"PASS","OPEN"))</x:f>
        <x:v>OPEN</x:v>
      </x:c>
      <x:c r="M195" s="84"/>
      <x:c r="N195" s="84"/>
    </x:row>
    <x:row r="196">
      <x:c r="A196" s="47" t="str">
        <x:v>CR190</x:v>
      </x:c>
      <x:c r="B196" s="47" t="str">
        <x:v>P19</x:v>
      </x:c>
      <x:c r="C196" s="47" t="str">
        <x:v>LF-B</x:v>
      </x:c>
      <x:c r="D196" s="47" t="str">
        <x:v>LF-B-A</x:v>
      </x:c>
      <x:c r="E196" s="47" t="str">
        <x:v>ARTICLE</x:v>
      </x:c>
      <x:c r="F196" s="47" t="str">
        <x:v>C10</x:v>
      </x:c>
      <x:c r="G196" s="47" t="str">
        <x:v>Seal divergence or acceptance packet</x:v>
      </x:c>
      <x:c r="H196" s="47" t="n">
        <x:v>1</x:v>
      </x:c>
      <x:c r="I196" s="56" t="n">
        <x:v>0</x:v>
      </x:c>
      <x:c r="J196" s="59" t="n">
        <x:f>Inputs!$B$11</x:f>
        <x:v>1</x:v>
      </x:c>
      <x:c r="K196" s="59" t="n">
        <x:f>Inputs!$B$13</x:f>
        <x:v>0</x:v>
      </x:c>
      <x:c r="L196" s="59" t="str">
        <x:f>IF(OR(J196&lt;&gt;1,K196&lt;&gt;0),"TERMINATE",IF(I196=H196,"PASS","OPEN"))</x:f>
        <x:v>OPEN</x:v>
      </x:c>
      <x:c r="M196" s="84"/>
      <x:c r="N196" s="84"/>
    </x:row>
    <x:row r="197">
      <x:c r="A197" s="47" t="str">
        <x:v>CR191</x:v>
      </x:c>
      <x:c r="B197" s="47" t="str">
        <x:v>P20</x:v>
      </x:c>
      <x:c r="C197" s="47" t="str">
        <x:v>LF-B</x:v>
      </x:c>
      <x:c r="D197" s="47" t="str">
        <x:v>LF-B-A</x:v>
      </x:c>
      <x:c r="E197" s="47" t="str">
        <x:v>REBUILD</x:v>
      </x:c>
      <x:c r="F197" s="47" t="str">
        <x:v>C01</x:v>
      </x:c>
      <x:c r="G197" s="47" t="str">
        <x:v>Receive public contract without native outputs</x:v>
      </x:c>
      <x:c r="H197" s="47" t="n">
        <x:v>1</x:v>
      </x:c>
      <x:c r="I197" s="56" t="n">
        <x:v>0</x:v>
      </x:c>
      <x:c r="J197" s="59" t="n">
        <x:f>Inputs!$B$11</x:f>
        <x:v>1</x:v>
      </x:c>
      <x:c r="K197" s="59" t="n">
        <x:f>Inputs!$B$13</x:f>
        <x:v>0</x:v>
      </x:c>
      <x:c r="L197" s="59" t="str">
        <x:f>IF(OR(J197&lt;&gt;1,K197&lt;&gt;0),"TERMINATE",IF(I197=H197,"PASS","OPEN"))</x:f>
        <x:v>OPEN</x:v>
      </x:c>
      <x:c r="M197" s="84"/>
      <x:c r="N197" s="84"/>
    </x:row>
    <x:row r="198">
      <x:c r="A198" s="47" t="str">
        <x:v>CR192</x:v>
      </x:c>
      <x:c r="B198" s="47" t="str">
        <x:v>P20</x:v>
      </x:c>
      <x:c r="C198" s="47" t="str">
        <x:v>LF-B</x:v>
      </x:c>
      <x:c r="D198" s="47" t="str">
        <x:v>LF-B-A</x:v>
      </x:c>
      <x:c r="E198" s="47" t="str">
        <x:v>REBUILD</x:v>
      </x:c>
      <x:c r="F198" s="47" t="str">
        <x:v>C02</x:v>
      </x:c>
      <x:c r="G198" s="47" t="str">
        <x:v>Declare disjoint people, control and toolchain</x:v>
      </x:c>
      <x:c r="H198" s="47" t="n">
        <x:v>1</x:v>
      </x:c>
      <x:c r="I198" s="56" t="n">
        <x:v>0</x:v>
      </x:c>
      <x:c r="J198" s="59" t="n">
        <x:f>Inputs!$B$11</x:f>
        <x:v>1</x:v>
      </x:c>
      <x:c r="K198" s="59" t="n">
        <x:f>Inputs!$B$13</x:f>
        <x:v>0</x:v>
      </x:c>
      <x:c r="L198" s="59" t="str">
        <x:f>IF(OR(J198&lt;&gt;1,K198&lt;&gt;0),"TERMINATE",IF(I198=H198,"PASS","OPEN"))</x:f>
        <x:v>OPEN</x:v>
      </x:c>
      <x:c r="M198" s="84"/>
      <x:c r="N198" s="84"/>
    </x:row>
    <x:row r="199">
      <x:c r="A199" s="47" t="str">
        <x:v>CR193</x:v>
      </x:c>
      <x:c r="B199" s="47" t="str">
        <x:v>P20</x:v>
      </x:c>
      <x:c r="C199" s="47" t="str">
        <x:v>LF-B</x:v>
      </x:c>
      <x:c r="D199" s="47" t="str">
        <x:v>LF-B-A</x:v>
      </x:c>
      <x:c r="E199" s="47" t="str">
        <x:v>REBUILD</x:v>
      </x:c>
      <x:c r="F199" s="47" t="str">
        <x:v>C03</x:v>
      </x:c>
      <x:c r="G199" s="47" t="str">
        <x:v>Reconstruct units, datums and system boundary</x:v>
      </x:c>
      <x:c r="H199" s="47" t="n">
        <x:v>1</x:v>
      </x:c>
      <x:c r="I199" s="56" t="n">
        <x:v>0</x:v>
      </x:c>
      <x:c r="J199" s="59" t="n">
        <x:f>Inputs!$B$11</x:f>
        <x:v>1</x:v>
      </x:c>
      <x:c r="K199" s="59" t="n">
        <x:f>Inputs!$B$13</x:f>
        <x:v>0</x:v>
      </x:c>
      <x:c r="L199" s="59" t="str">
        <x:f>IF(OR(J199&lt;&gt;1,K199&lt;&gt;0),"TERMINATE",IF(I199=H199,"PASS","OPEN"))</x:f>
        <x:v>OPEN</x:v>
      </x:c>
      <x:c r="M199" s="84"/>
      <x:c r="N199" s="84"/>
    </x:row>
    <x:row r="200">
      <x:c r="A200" s="47" t="str">
        <x:v>CR194</x:v>
      </x:c>
      <x:c r="B200" s="47" t="str">
        <x:v>P20</x:v>
      </x:c>
      <x:c r="C200" s="47" t="str">
        <x:v>LF-B</x:v>
      </x:c>
      <x:c r="D200" s="47" t="str">
        <x:v>LF-B-A</x:v>
      </x:c>
      <x:c r="E200" s="47" t="str">
        <x:v>REBUILD</x:v>
      </x:c>
      <x:c r="F200" s="47" t="str">
        <x:v>C04</x:v>
      </x:c>
      <x:c r="G200" s="47" t="str">
        <x:v>Reimplement the causal model</x:v>
      </x:c>
      <x:c r="H200" s="47" t="n">
        <x:v>1</x:v>
      </x:c>
      <x:c r="I200" s="56" t="n">
        <x:v>0</x:v>
      </x:c>
      <x:c r="J200" s="59" t="n">
        <x:f>Inputs!$B$11</x:f>
        <x:v>1</x:v>
      </x:c>
      <x:c r="K200" s="59" t="n">
        <x:f>Inputs!$B$13</x:f>
        <x:v>0</x:v>
      </x:c>
      <x:c r="L200" s="59" t="str">
        <x:f>IF(OR(J200&lt;&gt;1,K200&lt;&gt;0),"TERMINATE",IF(I200=H200,"PASS","OPEN"))</x:f>
        <x:v>OPEN</x:v>
      </x:c>
      <x:c r="M200" s="84"/>
      <x:c r="N200" s="84"/>
    </x:row>
    <x:row r="201">
      <x:c r="A201" s="47" t="str">
        <x:v>CR195</x:v>
      </x:c>
      <x:c r="B201" s="47" t="str">
        <x:v>P20</x:v>
      </x:c>
      <x:c r="C201" s="47" t="str">
        <x:v>LF-B</x:v>
      </x:c>
      <x:c r="D201" s="47" t="str">
        <x:v>LF-B-A</x:v>
      </x:c>
      <x:c r="E201" s="47" t="str">
        <x:v>REBUILD</x:v>
      </x:c>
      <x:c r="F201" s="47" t="str">
        <x:v>C05</x:v>
      </x:c>
      <x:c r="G201" s="47" t="str">
        <x:v>Rebuild material and process assumptions</x:v>
      </x:c>
      <x:c r="H201" s="47" t="n">
        <x:v>1</x:v>
      </x:c>
      <x:c r="I201" s="56" t="n">
        <x:v>0</x:v>
      </x:c>
      <x:c r="J201" s="59" t="n">
        <x:f>Inputs!$B$11</x:f>
        <x:v>1</x:v>
      </x:c>
      <x:c r="K201" s="59" t="n">
        <x:f>Inputs!$B$13</x:f>
        <x:v>0</x:v>
      </x:c>
      <x:c r="L201" s="59" t="str">
        <x:f>IF(OR(J201&lt;&gt;1,K201&lt;&gt;0),"TERMINATE",IF(I201=H201,"PASS","OPEN"))</x:f>
        <x:v>OPEN</x:v>
      </x:c>
      <x:c r="M201" s="84"/>
      <x:c r="N201" s="84"/>
    </x:row>
    <x:row r="202">
      <x:c r="A202" s="47" t="str">
        <x:v>CR196</x:v>
      </x:c>
      <x:c r="B202" s="47" t="str">
        <x:v>P20</x:v>
      </x:c>
      <x:c r="C202" s="47" t="str">
        <x:v>LF-B</x:v>
      </x:c>
      <x:c r="D202" s="47" t="str">
        <x:v>LF-B-A</x:v>
      </x:c>
      <x:c r="E202" s="47" t="str">
        <x:v>REBUILD</x:v>
      </x:c>
      <x:c r="F202" s="47" t="str">
        <x:v>C06</x:v>
      </x:c>
      <x:c r="G202" s="47" t="str">
        <x:v>Recreate the frozen challenge case</x:v>
      </x:c>
      <x:c r="H202" s="47" t="n">
        <x:v>1</x:v>
      </x:c>
      <x:c r="I202" s="56" t="n">
        <x:v>0</x:v>
      </x:c>
      <x:c r="J202" s="59" t="n">
        <x:f>Inputs!$B$11</x:f>
        <x:v>1</x:v>
      </x:c>
      <x:c r="K202" s="59" t="n">
        <x:f>Inputs!$B$13</x:f>
        <x:v>0</x:v>
      </x:c>
      <x:c r="L202" s="59" t="str">
        <x:f>IF(OR(J202&lt;&gt;1,K202&lt;&gt;0),"TERMINATE",IF(I202=H202,"PASS","OPEN"))</x:f>
        <x:v>OPEN</x:v>
      </x:c>
      <x:c r="M202" s="84"/>
      <x:c r="N202" s="84"/>
    </x:row>
    <x:row r="203">
      <x:c r="A203" s="47" t="str">
        <x:v>CR197</x:v>
      </x:c>
      <x:c r="B203" s="47" t="str">
        <x:v>P20</x:v>
      </x:c>
      <x:c r="C203" s="47" t="str">
        <x:v>LF-B</x:v>
      </x:c>
      <x:c r="D203" s="47" t="str">
        <x:v>LF-B-A</x:v>
      </x:c>
      <x:c r="E203" s="47" t="str">
        <x:v>REBUILD</x:v>
      </x:c>
      <x:c r="F203" s="47" t="str">
        <x:v>C07</x:v>
      </x:c>
      <x:c r="G203" s="47" t="str">
        <x:v>Calculate six invariants independently</x:v>
      </x:c>
      <x:c r="H203" s="47" t="n">
        <x:v>1</x:v>
      </x:c>
      <x:c r="I203" s="56" t="n">
        <x:v>0</x:v>
      </x:c>
      <x:c r="J203" s="59" t="n">
        <x:f>Inputs!$B$11</x:f>
        <x:v>1</x:v>
      </x:c>
      <x:c r="K203" s="59" t="n">
        <x:f>Inputs!$B$13</x:f>
        <x:v>0</x:v>
      </x:c>
      <x:c r="L203" s="59" t="str">
        <x:f>IF(OR(J203&lt;&gt;1,K203&lt;&gt;0),"TERMINATE",IF(I203=H203,"PASS","OPEN"))</x:f>
        <x:v>OPEN</x:v>
      </x:c>
      <x:c r="M203" s="84"/>
      <x:c r="N203" s="84"/>
    </x:row>
    <x:row r="204">
      <x:c r="A204" s="47" t="str">
        <x:v>CR198</x:v>
      </x:c>
      <x:c r="B204" s="47" t="str">
        <x:v>P20</x:v>
      </x:c>
      <x:c r="C204" s="47" t="str">
        <x:v>LF-B</x:v>
      </x:c>
      <x:c r="D204" s="47" t="str">
        <x:v>LF-B-A</x:v>
      </x:c>
      <x:c r="E204" s="47" t="str">
        <x:v>REBUILD</x:v>
      </x:c>
      <x:c r="F204" s="47" t="str">
        <x:v>C08</x:v>
      </x:c>
      <x:c r="G204" s="47" t="str">
        <x:v>Commit results before native disclosure</x:v>
      </x:c>
      <x:c r="H204" s="47" t="n">
        <x:v>1</x:v>
      </x:c>
      <x:c r="I204" s="56" t="n">
        <x:v>0</x:v>
      </x:c>
      <x:c r="J204" s="59" t="n">
        <x:f>Inputs!$B$11</x:f>
        <x:v>1</x:v>
      </x:c>
      <x:c r="K204" s="59" t="n">
        <x:f>Inputs!$B$13</x:f>
        <x:v>0</x:v>
      </x:c>
      <x:c r="L204" s="59" t="str">
        <x:f>IF(OR(J204&lt;&gt;1,K204&lt;&gt;0),"TERMINATE",IF(I204=H204,"PASS","OPEN"))</x:f>
        <x:v>OPEN</x:v>
      </x:c>
      <x:c r="M204" s="84"/>
      <x:c r="N204" s="84"/>
    </x:row>
    <x:row r="205">
      <x:c r="A205" s="47" t="str">
        <x:v>CR199</x:v>
      </x:c>
      <x:c r="B205" s="47" t="str">
        <x:v>P20</x:v>
      </x:c>
      <x:c r="C205" s="47" t="str">
        <x:v>LF-B</x:v>
      </x:c>
      <x:c r="D205" s="47" t="str">
        <x:v>LF-B-A</x:v>
      </x:c>
      <x:c r="E205" s="47" t="str">
        <x:v>REBUILD</x:v>
      </x:c>
      <x:c r="F205" s="47" t="str">
        <x:v>C09</x:v>
      </x:c>
      <x:c r="G205" s="47" t="str">
        <x:v>Compare semantic deltas after commitment</x:v>
      </x:c>
      <x:c r="H205" s="47" t="n">
        <x:v>1</x:v>
      </x:c>
      <x:c r="I205" s="56" t="n">
        <x:v>0</x:v>
      </x:c>
      <x:c r="J205" s="59" t="n">
        <x:f>Inputs!$B$11</x:f>
        <x:v>1</x:v>
      </x:c>
      <x:c r="K205" s="59" t="n">
        <x:f>Inputs!$B$13</x:f>
        <x:v>0</x:v>
      </x:c>
      <x:c r="L205" s="59" t="str">
        <x:f>IF(OR(J205&lt;&gt;1,K205&lt;&gt;0),"TERMINATE",IF(I205=H205,"PASS","OPEN"))</x:f>
        <x:v>OPEN</x:v>
      </x:c>
      <x:c r="M205" s="84"/>
      <x:c r="N205" s="84"/>
    </x:row>
    <x:row r="206">
      <x:c r="A206" s="47" t="str">
        <x:v>CR200</x:v>
      </x:c>
      <x:c r="B206" s="47" t="str">
        <x:v>P20</x:v>
      </x:c>
      <x:c r="C206" s="47" t="str">
        <x:v>LF-B</x:v>
      </x:c>
      <x:c r="D206" s="47" t="str">
        <x:v>LF-B-A</x:v>
      </x:c>
      <x:c r="E206" s="47" t="str">
        <x:v>REBUILD</x:v>
      </x:c>
      <x:c r="F206" s="47" t="str">
        <x:v>C10</x:v>
      </x:c>
      <x:c r="G206" s="47" t="str">
        <x:v>Seal divergence or acceptance packet</x:v>
      </x:c>
      <x:c r="H206" s="47" t="n">
        <x:v>1</x:v>
      </x:c>
      <x:c r="I206" s="56" t="n">
        <x:v>0</x:v>
      </x:c>
      <x:c r="J206" s="59" t="n">
        <x:f>Inputs!$B$11</x:f>
        <x:v>1</x:v>
      </x:c>
      <x:c r="K206" s="59" t="n">
        <x:f>Inputs!$B$13</x:f>
        <x:v>0</x:v>
      </x:c>
      <x:c r="L206" s="59" t="str">
        <x:f>IF(OR(J206&lt;&gt;1,K206&lt;&gt;0),"TERMINATE",IF(I206=H206,"PASS","OPEN"))</x:f>
        <x:v>OPEN</x:v>
      </x:c>
      <x:c r="M206" s="84"/>
      <x:c r="N206" s="84"/>
    </x:row>
    <x:row r="207">
      <x:c r="A207" s="47" t="str">
        <x:v>CR201</x:v>
      </x:c>
      <x:c r="B207" s="47" t="str">
        <x:v>P21</x:v>
      </x:c>
      <x:c r="C207" s="47" t="str">
        <x:v>HU-A</x:v>
      </x:c>
      <x:c r="D207" s="47" t="str">
        <x:v>HU-A-B</x:v>
      </x:c>
      <x:c r="E207" s="47" t="str">
        <x:v>METHOD</x:v>
      </x:c>
      <x:c r="F207" s="47" t="str">
        <x:v>C01</x:v>
      </x:c>
      <x:c r="G207" s="47" t="str">
        <x:v>Receive public contract without native outputs</x:v>
      </x:c>
      <x:c r="H207" s="47" t="n">
        <x:v>1</x:v>
      </x:c>
      <x:c r="I207" s="56" t="n">
        <x:v>0</x:v>
      </x:c>
      <x:c r="J207" s="59" t="n">
        <x:f>Inputs!$B$11</x:f>
        <x:v>1</x:v>
      </x:c>
      <x:c r="K207" s="59" t="n">
        <x:f>Inputs!$B$13</x:f>
        <x:v>0</x:v>
      </x:c>
      <x:c r="L207" s="59" t="str">
        <x:f>IF(OR(J207&lt;&gt;1,K207&lt;&gt;0),"TERMINATE",IF(I207=H207,"PASS","OPEN"))</x:f>
        <x:v>OPEN</x:v>
      </x:c>
      <x:c r="M207" s="84"/>
      <x:c r="N207" s="84"/>
    </x:row>
    <x:row r="208">
      <x:c r="A208" s="47" t="str">
        <x:v>CR202</x:v>
      </x:c>
      <x:c r="B208" s="47" t="str">
        <x:v>P21</x:v>
      </x:c>
      <x:c r="C208" s="47" t="str">
        <x:v>HU-A</x:v>
      </x:c>
      <x:c r="D208" s="47" t="str">
        <x:v>HU-A-B</x:v>
      </x:c>
      <x:c r="E208" s="47" t="str">
        <x:v>METHOD</x:v>
      </x:c>
      <x:c r="F208" s="47" t="str">
        <x:v>C02</x:v>
      </x:c>
      <x:c r="G208" s="47" t="str">
        <x:v>Declare disjoint people, control and toolchain</x:v>
      </x:c>
      <x:c r="H208" s="47" t="n">
        <x:v>1</x:v>
      </x:c>
      <x:c r="I208" s="56" t="n">
        <x:v>0</x:v>
      </x:c>
      <x:c r="J208" s="59" t="n">
        <x:f>Inputs!$B$11</x:f>
        <x:v>1</x:v>
      </x:c>
      <x:c r="K208" s="59" t="n">
        <x:f>Inputs!$B$13</x:f>
        <x:v>0</x:v>
      </x:c>
      <x:c r="L208" s="59" t="str">
        <x:f>IF(OR(J208&lt;&gt;1,K208&lt;&gt;0),"TERMINATE",IF(I208=H208,"PASS","OPEN"))</x:f>
        <x:v>OPEN</x:v>
      </x:c>
      <x:c r="M208" s="84"/>
      <x:c r="N208" s="84"/>
    </x:row>
    <x:row r="209">
      <x:c r="A209" s="47" t="str">
        <x:v>CR203</x:v>
      </x:c>
      <x:c r="B209" s="47" t="str">
        <x:v>P21</x:v>
      </x:c>
      <x:c r="C209" s="47" t="str">
        <x:v>HU-A</x:v>
      </x:c>
      <x:c r="D209" s="47" t="str">
        <x:v>HU-A-B</x:v>
      </x:c>
      <x:c r="E209" s="47" t="str">
        <x:v>METHOD</x:v>
      </x:c>
      <x:c r="F209" s="47" t="str">
        <x:v>C03</x:v>
      </x:c>
      <x:c r="G209" s="47" t="str">
        <x:v>Reconstruct units, datums and system boundary</x:v>
      </x:c>
      <x:c r="H209" s="47" t="n">
        <x:v>1</x:v>
      </x:c>
      <x:c r="I209" s="56" t="n">
        <x:v>0</x:v>
      </x:c>
      <x:c r="J209" s="59" t="n">
        <x:f>Inputs!$B$11</x:f>
        <x:v>1</x:v>
      </x:c>
      <x:c r="K209" s="59" t="n">
        <x:f>Inputs!$B$13</x:f>
        <x:v>0</x:v>
      </x:c>
      <x:c r="L209" s="59" t="str">
        <x:f>IF(OR(J209&lt;&gt;1,K209&lt;&gt;0),"TERMINATE",IF(I209=H209,"PASS","OPEN"))</x:f>
        <x:v>OPEN</x:v>
      </x:c>
      <x:c r="M209" s="84"/>
      <x:c r="N209" s="84"/>
    </x:row>
    <x:row r="210">
      <x:c r="A210" s="47" t="str">
        <x:v>CR204</x:v>
      </x:c>
      <x:c r="B210" s="47" t="str">
        <x:v>P21</x:v>
      </x:c>
      <x:c r="C210" s="47" t="str">
        <x:v>HU-A</x:v>
      </x:c>
      <x:c r="D210" s="47" t="str">
        <x:v>HU-A-B</x:v>
      </x:c>
      <x:c r="E210" s="47" t="str">
        <x:v>METHOD</x:v>
      </x:c>
      <x:c r="F210" s="47" t="str">
        <x:v>C04</x:v>
      </x:c>
      <x:c r="G210" s="47" t="str">
        <x:v>Reimplement the causal model</x:v>
      </x:c>
      <x:c r="H210" s="47" t="n">
        <x:v>1</x:v>
      </x:c>
      <x:c r="I210" s="56" t="n">
        <x:v>0</x:v>
      </x:c>
      <x:c r="J210" s="59" t="n">
        <x:f>Inputs!$B$11</x:f>
        <x:v>1</x:v>
      </x:c>
      <x:c r="K210" s="59" t="n">
        <x:f>Inputs!$B$13</x:f>
        <x:v>0</x:v>
      </x:c>
      <x:c r="L210" s="59" t="str">
        <x:f>IF(OR(J210&lt;&gt;1,K210&lt;&gt;0),"TERMINATE",IF(I210=H210,"PASS","OPEN"))</x:f>
        <x:v>OPEN</x:v>
      </x:c>
      <x:c r="M210" s="84"/>
      <x:c r="N210" s="84"/>
    </x:row>
    <x:row r="211">
      <x:c r="A211" s="47" t="str">
        <x:v>CR205</x:v>
      </x:c>
      <x:c r="B211" s="47" t="str">
        <x:v>P21</x:v>
      </x:c>
      <x:c r="C211" s="47" t="str">
        <x:v>HU-A</x:v>
      </x:c>
      <x:c r="D211" s="47" t="str">
        <x:v>HU-A-B</x:v>
      </x:c>
      <x:c r="E211" s="47" t="str">
        <x:v>METHOD</x:v>
      </x:c>
      <x:c r="F211" s="47" t="str">
        <x:v>C05</x:v>
      </x:c>
      <x:c r="G211" s="47" t="str">
        <x:v>Rebuild material and process assumptions</x:v>
      </x:c>
      <x:c r="H211" s="47" t="n">
        <x:v>1</x:v>
      </x:c>
      <x:c r="I211" s="56" t="n">
        <x:v>0</x:v>
      </x:c>
      <x:c r="J211" s="59" t="n">
        <x:f>Inputs!$B$11</x:f>
        <x:v>1</x:v>
      </x:c>
      <x:c r="K211" s="59" t="n">
        <x:f>Inputs!$B$13</x:f>
        <x:v>0</x:v>
      </x:c>
      <x:c r="L211" s="59" t="str">
        <x:f>IF(OR(J211&lt;&gt;1,K211&lt;&gt;0),"TERMINATE",IF(I211=H211,"PASS","OPEN"))</x:f>
        <x:v>OPEN</x:v>
      </x:c>
      <x:c r="M211" s="84"/>
      <x:c r="N211" s="84"/>
    </x:row>
    <x:row r="212">
      <x:c r="A212" s="47" t="str">
        <x:v>CR206</x:v>
      </x:c>
      <x:c r="B212" s="47" t="str">
        <x:v>P21</x:v>
      </x:c>
      <x:c r="C212" s="47" t="str">
        <x:v>HU-A</x:v>
      </x:c>
      <x:c r="D212" s="47" t="str">
        <x:v>HU-A-B</x:v>
      </x:c>
      <x:c r="E212" s="47" t="str">
        <x:v>METHOD</x:v>
      </x:c>
      <x:c r="F212" s="47" t="str">
        <x:v>C06</x:v>
      </x:c>
      <x:c r="G212" s="47" t="str">
        <x:v>Recreate the frozen challenge case</x:v>
      </x:c>
      <x:c r="H212" s="47" t="n">
        <x:v>1</x:v>
      </x:c>
      <x:c r="I212" s="56" t="n">
        <x:v>0</x:v>
      </x:c>
      <x:c r="J212" s="59" t="n">
        <x:f>Inputs!$B$11</x:f>
        <x:v>1</x:v>
      </x:c>
      <x:c r="K212" s="59" t="n">
        <x:f>Inputs!$B$13</x:f>
        <x:v>0</x:v>
      </x:c>
      <x:c r="L212" s="59" t="str">
        <x:f>IF(OR(J212&lt;&gt;1,K212&lt;&gt;0),"TERMINATE",IF(I212=H212,"PASS","OPEN"))</x:f>
        <x:v>OPEN</x:v>
      </x:c>
      <x:c r="M212" s="84"/>
      <x:c r="N212" s="84"/>
    </x:row>
    <x:row r="213">
      <x:c r="A213" s="47" t="str">
        <x:v>CR207</x:v>
      </x:c>
      <x:c r="B213" s="47" t="str">
        <x:v>P21</x:v>
      </x:c>
      <x:c r="C213" s="47" t="str">
        <x:v>HU-A</x:v>
      </x:c>
      <x:c r="D213" s="47" t="str">
        <x:v>HU-A-B</x:v>
      </x:c>
      <x:c r="E213" s="47" t="str">
        <x:v>METHOD</x:v>
      </x:c>
      <x:c r="F213" s="47" t="str">
        <x:v>C07</x:v>
      </x:c>
      <x:c r="G213" s="47" t="str">
        <x:v>Calculate six invariants independently</x:v>
      </x:c>
      <x:c r="H213" s="47" t="n">
        <x:v>1</x:v>
      </x:c>
      <x:c r="I213" s="56" t="n">
        <x:v>0</x:v>
      </x:c>
      <x:c r="J213" s="59" t="n">
        <x:f>Inputs!$B$11</x:f>
        <x:v>1</x:v>
      </x:c>
      <x:c r="K213" s="59" t="n">
        <x:f>Inputs!$B$13</x:f>
        <x:v>0</x:v>
      </x:c>
      <x:c r="L213" s="59" t="str">
        <x:f>IF(OR(J213&lt;&gt;1,K213&lt;&gt;0),"TERMINATE",IF(I213=H213,"PASS","OPEN"))</x:f>
        <x:v>OPEN</x:v>
      </x:c>
      <x:c r="M213" s="84"/>
      <x:c r="N213" s="84"/>
    </x:row>
    <x:row r="214">
      <x:c r="A214" s="47" t="str">
        <x:v>CR208</x:v>
      </x:c>
      <x:c r="B214" s="47" t="str">
        <x:v>P21</x:v>
      </x:c>
      <x:c r="C214" s="47" t="str">
        <x:v>HU-A</x:v>
      </x:c>
      <x:c r="D214" s="47" t="str">
        <x:v>HU-A-B</x:v>
      </x:c>
      <x:c r="E214" s="47" t="str">
        <x:v>METHOD</x:v>
      </x:c>
      <x:c r="F214" s="47" t="str">
        <x:v>C08</x:v>
      </x:c>
      <x:c r="G214" s="47" t="str">
        <x:v>Commit results before native disclosure</x:v>
      </x:c>
      <x:c r="H214" s="47" t="n">
        <x:v>1</x:v>
      </x:c>
      <x:c r="I214" s="56" t="n">
        <x:v>0</x:v>
      </x:c>
      <x:c r="J214" s="59" t="n">
        <x:f>Inputs!$B$11</x:f>
        <x:v>1</x:v>
      </x:c>
      <x:c r="K214" s="59" t="n">
        <x:f>Inputs!$B$13</x:f>
        <x:v>0</x:v>
      </x:c>
      <x:c r="L214" s="59" t="str">
        <x:f>IF(OR(J214&lt;&gt;1,K214&lt;&gt;0),"TERMINATE",IF(I214=H214,"PASS","OPEN"))</x:f>
        <x:v>OPEN</x:v>
      </x:c>
      <x:c r="M214" s="84"/>
      <x:c r="N214" s="84"/>
    </x:row>
    <x:row r="215">
      <x:c r="A215" s="47" t="str">
        <x:v>CR209</x:v>
      </x:c>
      <x:c r="B215" s="47" t="str">
        <x:v>P21</x:v>
      </x:c>
      <x:c r="C215" s="47" t="str">
        <x:v>HU-A</x:v>
      </x:c>
      <x:c r="D215" s="47" t="str">
        <x:v>HU-A-B</x:v>
      </x:c>
      <x:c r="E215" s="47" t="str">
        <x:v>METHOD</x:v>
      </x:c>
      <x:c r="F215" s="47" t="str">
        <x:v>C09</x:v>
      </x:c>
      <x:c r="G215" s="47" t="str">
        <x:v>Compare semantic deltas after commitment</x:v>
      </x:c>
      <x:c r="H215" s="47" t="n">
        <x:v>1</x:v>
      </x:c>
      <x:c r="I215" s="56" t="n">
        <x:v>0</x:v>
      </x:c>
      <x:c r="J215" s="59" t="n">
        <x:f>Inputs!$B$11</x:f>
        <x:v>1</x:v>
      </x:c>
      <x:c r="K215" s="59" t="n">
        <x:f>Inputs!$B$13</x:f>
        <x:v>0</x:v>
      </x:c>
      <x:c r="L215" s="59" t="str">
        <x:f>IF(OR(J215&lt;&gt;1,K215&lt;&gt;0),"TERMINATE",IF(I215=H215,"PASS","OPEN"))</x:f>
        <x:v>OPEN</x:v>
      </x:c>
      <x:c r="M215" s="84"/>
      <x:c r="N215" s="84"/>
    </x:row>
    <x:row r="216">
      <x:c r="A216" s="47" t="str">
        <x:v>CR210</x:v>
      </x:c>
      <x:c r="B216" s="47" t="str">
        <x:v>P21</x:v>
      </x:c>
      <x:c r="C216" s="47" t="str">
        <x:v>HU-A</x:v>
      </x:c>
      <x:c r="D216" s="47" t="str">
        <x:v>HU-A-B</x:v>
      </x:c>
      <x:c r="E216" s="47" t="str">
        <x:v>METHOD</x:v>
      </x:c>
      <x:c r="F216" s="47" t="str">
        <x:v>C10</x:v>
      </x:c>
      <x:c r="G216" s="47" t="str">
        <x:v>Seal divergence or acceptance packet</x:v>
      </x:c>
      <x:c r="H216" s="47" t="n">
        <x:v>1</x:v>
      </x:c>
      <x:c r="I216" s="56" t="n">
        <x:v>0</x:v>
      </x:c>
      <x:c r="J216" s="59" t="n">
        <x:f>Inputs!$B$11</x:f>
        <x:v>1</x:v>
      </x:c>
      <x:c r="K216" s="59" t="n">
        <x:f>Inputs!$B$13</x:f>
        <x:v>0</x:v>
      </x:c>
      <x:c r="L216" s="59" t="str">
        <x:f>IF(OR(J216&lt;&gt;1,K216&lt;&gt;0),"TERMINATE",IF(I216=H216,"PASS","OPEN"))</x:f>
        <x:v>OPEN</x:v>
      </x:c>
      <x:c r="M216" s="84"/>
      <x:c r="N216" s="84"/>
    </x:row>
    <x:row r="217">
      <x:c r="A217" s="47" t="str">
        <x:v>CR211</x:v>
      </x:c>
      <x:c r="B217" s="47" t="str">
        <x:v>P22</x:v>
      </x:c>
      <x:c r="C217" s="47" t="str">
        <x:v>HU-A</x:v>
      </x:c>
      <x:c r="D217" s="47" t="str">
        <x:v>HU-A-B</x:v>
      </x:c>
      <x:c r="E217" s="47" t="str">
        <x:v>VALID</x:v>
      </x:c>
      <x:c r="F217" s="47" t="str">
        <x:v>C01</x:v>
      </x:c>
      <x:c r="G217" s="47" t="str">
        <x:v>Receive public contract without native outputs</x:v>
      </x:c>
      <x:c r="H217" s="47" t="n">
        <x:v>1</x:v>
      </x:c>
      <x:c r="I217" s="56" t="n">
        <x:v>0</x:v>
      </x:c>
      <x:c r="J217" s="59" t="n">
        <x:f>Inputs!$B$11</x:f>
        <x:v>1</x:v>
      </x:c>
      <x:c r="K217" s="59" t="n">
        <x:f>Inputs!$B$13</x:f>
        <x:v>0</x:v>
      </x:c>
      <x:c r="L217" s="59" t="str">
        <x:f>IF(OR(J217&lt;&gt;1,K217&lt;&gt;0),"TERMINATE",IF(I217=H217,"PASS","OPEN"))</x:f>
        <x:v>OPEN</x:v>
      </x:c>
      <x:c r="M217" s="84"/>
      <x:c r="N217" s="84"/>
    </x:row>
    <x:row r="218">
      <x:c r="A218" s="47" t="str">
        <x:v>CR212</x:v>
      </x:c>
      <x:c r="B218" s="47" t="str">
        <x:v>P22</x:v>
      </x:c>
      <x:c r="C218" s="47" t="str">
        <x:v>HU-A</x:v>
      </x:c>
      <x:c r="D218" s="47" t="str">
        <x:v>HU-A-B</x:v>
      </x:c>
      <x:c r="E218" s="47" t="str">
        <x:v>VALID</x:v>
      </x:c>
      <x:c r="F218" s="47" t="str">
        <x:v>C02</x:v>
      </x:c>
      <x:c r="G218" s="47" t="str">
        <x:v>Declare disjoint people, control and toolchain</x:v>
      </x:c>
      <x:c r="H218" s="47" t="n">
        <x:v>1</x:v>
      </x:c>
      <x:c r="I218" s="56" t="n">
        <x:v>0</x:v>
      </x:c>
      <x:c r="J218" s="59" t="n">
        <x:f>Inputs!$B$11</x:f>
        <x:v>1</x:v>
      </x:c>
      <x:c r="K218" s="59" t="n">
        <x:f>Inputs!$B$13</x:f>
        <x:v>0</x:v>
      </x:c>
      <x:c r="L218" s="59" t="str">
        <x:f>IF(OR(J218&lt;&gt;1,K218&lt;&gt;0),"TERMINATE",IF(I218=H218,"PASS","OPEN"))</x:f>
        <x:v>OPEN</x:v>
      </x:c>
      <x:c r="M218" s="84"/>
      <x:c r="N218" s="84"/>
    </x:row>
    <x:row r="219">
      <x:c r="A219" s="47" t="str">
        <x:v>CR213</x:v>
      </x:c>
      <x:c r="B219" s="47" t="str">
        <x:v>P22</x:v>
      </x:c>
      <x:c r="C219" s="47" t="str">
        <x:v>HU-A</x:v>
      </x:c>
      <x:c r="D219" s="47" t="str">
        <x:v>HU-A-B</x:v>
      </x:c>
      <x:c r="E219" s="47" t="str">
        <x:v>VALID</x:v>
      </x:c>
      <x:c r="F219" s="47" t="str">
        <x:v>C03</x:v>
      </x:c>
      <x:c r="G219" s="47" t="str">
        <x:v>Reconstruct units, datums and system boundary</x:v>
      </x:c>
      <x:c r="H219" s="47" t="n">
        <x:v>1</x:v>
      </x:c>
      <x:c r="I219" s="56" t="n">
        <x:v>0</x:v>
      </x:c>
      <x:c r="J219" s="59" t="n">
        <x:f>Inputs!$B$11</x:f>
        <x:v>1</x:v>
      </x:c>
      <x:c r="K219" s="59" t="n">
        <x:f>Inputs!$B$13</x:f>
        <x:v>0</x:v>
      </x:c>
      <x:c r="L219" s="59" t="str">
        <x:f>IF(OR(J219&lt;&gt;1,K219&lt;&gt;0),"TERMINATE",IF(I219=H219,"PASS","OPEN"))</x:f>
        <x:v>OPEN</x:v>
      </x:c>
      <x:c r="M219" s="84"/>
      <x:c r="N219" s="84"/>
    </x:row>
    <x:row r="220">
      <x:c r="A220" s="47" t="str">
        <x:v>CR214</x:v>
      </x:c>
      <x:c r="B220" s="47" t="str">
        <x:v>P22</x:v>
      </x:c>
      <x:c r="C220" s="47" t="str">
        <x:v>HU-A</x:v>
      </x:c>
      <x:c r="D220" s="47" t="str">
        <x:v>HU-A-B</x:v>
      </x:c>
      <x:c r="E220" s="47" t="str">
        <x:v>VALID</x:v>
      </x:c>
      <x:c r="F220" s="47" t="str">
        <x:v>C04</x:v>
      </x:c>
      <x:c r="G220" s="47" t="str">
        <x:v>Reimplement the causal model</x:v>
      </x:c>
      <x:c r="H220" s="47" t="n">
        <x:v>1</x:v>
      </x:c>
      <x:c r="I220" s="56" t="n">
        <x:v>0</x:v>
      </x:c>
      <x:c r="J220" s="59" t="n">
        <x:f>Inputs!$B$11</x:f>
        <x:v>1</x:v>
      </x:c>
      <x:c r="K220" s="59" t="n">
        <x:f>Inputs!$B$13</x:f>
        <x:v>0</x:v>
      </x:c>
      <x:c r="L220" s="59" t="str">
        <x:f>IF(OR(J220&lt;&gt;1,K220&lt;&gt;0),"TERMINATE",IF(I220=H220,"PASS","OPEN"))</x:f>
        <x:v>OPEN</x:v>
      </x:c>
      <x:c r="M220" s="84"/>
      <x:c r="N220" s="84"/>
    </x:row>
    <x:row r="221">
      <x:c r="A221" s="47" t="str">
        <x:v>CR215</x:v>
      </x:c>
      <x:c r="B221" s="47" t="str">
        <x:v>P22</x:v>
      </x:c>
      <x:c r="C221" s="47" t="str">
        <x:v>HU-A</x:v>
      </x:c>
      <x:c r="D221" s="47" t="str">
        <x:v>HU-A-B</x:v>
      </x:c>
      <x:c r="E221" s="47" t="str">
        <x:v>VALID</x:v>
      </x:c>
      <x:c r="F221" s="47" t="str">
        <x:v>C05</x:v>
      </x:c>
      <x:c r="G221" s="47" t="str">
        <x:v>Rebuild material and process assumptions</x:v>
      </x:c>
      <x:c r="H221" s="47" t="n">
        <x:v>1</x:v>
      </x:c>
      <x:c r="I221" s="56" t="n">
        <x:v>0</x:v>
      </x:c>
      <x:c r="J221" s="59" t="n">
        <x:f>Inputs!$B$11</x:f>
        <x:v>1</x:v>
      </x:c>
      <x:c r="K221" s="59" t="n">
        <x:f>Inputs!$B$13</x:f>
        <x:v>0</x:v>
      </x:c>
      <x:c r="L221" s="59" t="str">
        <x:f>IF(OR(J221&lt;&gt;1,K221&lt;&gt;0),"TERMINATE",IF(I221=H221,"PASS","OPEN"))</x:f>
        <x:v>OPEN</x:v>
      </x:c>
      <x:c r="M221" s="84"/>
      <x:c r="N221" s="84"/>
    </x:row>
    <x:row r="222">
      <x:c r="A222" s="47" t="str">
        <x:v>CR216</x:v>
      </x:c>
      <x:c r="B222" s="47" t="str">
        <x:v>P22</x:v>
      </x:c>
      <x:c r="C222" s="47" t="str">
        <x:v>HU-A</x:v>
      </x:c>
      <x:c r="D222" s="47" t="str">
        <x:v>HU-A-B</x:v>
      </x:c>
      <x:c r="E222" s="47" t="str">
        <x:v>VALID</x:v>
      </x:c>
      <x:c r="F222" s="47" t="str">
        <x:v>C06</x:v>
      </x:c>
      <x:c r="G222" s="47" t="str">
        <x:v>Recreate the frozen challenge case</x:v>
      </x:c>
      <x:c r="H222" s="47" t="n">
        <x:v>1</x:v>
      </x:c>
      <x:c r="I222" s="56" t="n">
        <x:v>0</x:v>
      </x:c>
      <x:c r="J222" s="59" t="n">
        <x:f>Inputs!$B$11</x:f>
        <x:v>1</x:v>
      </x:c>
      <x:c r="K222" s="59" t="n">
        <x:f>Inputs!$B$13</x:f>
        <x:v>0</x:v>
      </x:c>
      <x:c r="L222" s="59" t="str">
        <x:f>IF(OR(J222&lt;&gt;1,K222&lt;&gt;0),"TERMINATE",IF(I222=H222,"PASS","OPEN"))</x:f>
        <x:v>OPEN</x:v>
      </x:c>
      <x:c r="M222" s="84"/>
      <x:c r="N222" s="84"/>
    </x:row>
    <x:row r="223">
      <x:c r="A223" s="47" t="str">
        <x:v>CR217</x:v>
      </x:c>
      <x:c r="B223" s="47" t="str">
        <x:v>P22</x:v>
      </x:c>
      <x:c r="C223" s="47" t="str">
        <x:v>HU-A</x:v>
      </x:c>
      <x:c r="D223" s="47" t="str">
        <x:v>HU-A-B</x:v>
      </x:c>
      <x:c r="E223" s="47" t="str">
        <x:v>VALID</x:v>
      </x:c>
      <x:c r="F223" s="47" t="str">
        <x:v>C07</x:v>
      </x:c>
      <x:c r="G223" s="47" t="str">
        <x:v>Calculate six invariants independently</x:v>
      </x:c>
      <x:c r="H223" s="47" t="n">
        <x:v>1</x:v>
      </x:c>
      <x:c r="I223" s="56" t="n">
        <x:v>0</x:v>
      </x:c>
      <x:c r="J223" s="59" t="n">
        <x:f>Inputs!$B$11</x:f>
        <x:v>1</x:v>
      </x:c>
      <x:c r="K223" s="59" t="n">
        <x:f>Inputs!$B$13</x:f>
        <x:v>0</x:v>
      </x:c>
      <x:c r="L223" s="59" t="str">
        <x:f>IF(OR(J223&lt;&gt;1,K223&lt;&gt;0),"TERMINATE",IF(I223=H223,"PASS","OPEN"))</x:f>
        <x:v>OPEN</x:v>
      </x:c>
      <x:c r="M223" s="84"/>
      <x:c r="N223" s="84"/>
    </x:row>
    <x:row r="224">
      <x:c r="A224" s="47" t="str">
        <x:v>CR218</x:v>
      </x:c>
      <x:c r="B224" s="47" t="str">
        <x:v>P22</x:v>
      </x:c>
      <x:c r="C224" s="47" t="str">
        <x:v>HU-A</x:v>
      </x:c>
      <x:c r="D224" s="47" t="str">
        <x:v>HU-A-B</x:v>
      </x:c>
      <x:c r="E224" s="47" t="str">
        <x:v>VALID</x:v>
      </x:c>
      <x:c r="F224" s="47" t="str">
        <x:v>C08</x:v>
      </x:c>
      <x:c r="G224" s="47" t="str">
        <x:v>Commit results before native disclosure</x:v>
      </x:c>
      <x:c r="H224" s="47" t="n">
        <x:v>1</x:v>
      </x:c>
      <x:c r="I224" s="56" t="n">
        <x:v>0</x:v>
      </x:c>
      <x:c r="J224" s="59" t="n">
        <x:f>Inputs!$B$11</x:f>
        <x:v>1</x:v>
      </x:c>
      <x:c r="K224" s="59" t="n">
        <x:f>Inputs!$B$13</x:f>
        <x:v>0</x:v>
      </x:c>
      <x:c r="L224" s="59" t="str">
        <x:f>IF(OR(J224&lt;&gt;1,K224&lt;&gt;0),"TERMINATE",IF(I224=H224,"PASS","OPEN"))</x:f>
        <x:v>OPEN</x:v>
      </x:c>
      <x:c r="M224" s="84"/>
      <x:c r="N224" s="84"/>
    </x:row>
    <x:row r="225">
      <x:c r="A225" s="47" t="str">
        <x:v>CR219</x:v>
      </x:c>
      <x:c r="B225" s="47" t="str">
        <x:v>P22</x:v>
      </x:c>
      <x:c r="C225" s="47" t="str">
        <x:v>HU-A</x:v>
      </x:c>
      <x:c r="D225" s="47" t="str">
        <x:v>HU-A-B</x:v>
      </x:c>
      <x:c r="E225" s="47" t="str">
        <x:v>VALID</x:v>
      </x:c>
      <x:c r="F225" s="47" t="str">
        <x:v>C09</x:v>
      </x:c>
      <x:c r="G225" s="47" t="str">
        <x:v>Compare semantic deltas after commitment</x:v>
      </x:c>
      <x:c r="H225" s="47" t="n">
        <x:v>1</x:v>
      </x:c>
      <x:c r="I225" s="56" t="n">
        <x:v>0</x:v>
      </x:c>
      <x:c r="J225" s="59" t="n">
        <x:f>Inputs!$B$11</x:f>
        <x:v>1</x:v>
      </x:c>
      <x:c r="K225" s="59" t="n">
        <x:f>Inputs!$B$13</x:f>
        <x:v>0</x:v>
      </x:c>
      <x:c r="L225" s="59" t="str">
        <x:f>IF(OR(J225&lt;&gt;1,K225&lt;&gt;0),"TERMINATE",IF(I225=H225,"PASS","OPEN"))</x:f>
        <x:v>OPEN</x:v>
      </x:c>
      <x:c r="M225" s="84"/>
      <x:c r="N225" s="84"/>
    </x:row>
    <x:row r="226">
      <x:c r="A226" s="47" t="str">
        <x:v>CR220</x:v>
      </x:c>
      <x:c r="B226" s="47" t="str">
        <x:v>P22</x:v>
      </x:c>
      <x:c r="C226" s="47" t="str">
        <x:v>HU-A</x:v>
      </x:c>
      <x:c r="D226" s="47" t="str">
        <x:v>HU-A-B</x:v>
      </x:c>
      <x:c r="E226" s="47" t="str">
        <x:v>VALID</x:v>
      </x:c>
      <x:c r="F226" s="47" t="str">
        <x:v>C10</x:v>
      </x:c>
      <x:c r="G226" s="47" t="str">
        <x:v>Seal divergence or acceptance packet</x:v>
      </x:c>
      <x:c r="H226" s="47" t="n">
        <x:v>1</x:v>
      </x:c>
      <x:c r="I226" s="56" t="n">
        <x:v>0</x:v>
      </x:c>
      <x:c r="J226" s="59" t="n">
        <x:f>Inputs!$B$11</x:f>
        <x:v>1</x:v>
      </x:c>
      <x:c r="K226" s="59" t="n">
        <x:f>Inputs!$B$13</x:f>
        <x:v>0</x:v>
      </x:c>
      <x:c r="L226" s="59" t="str">
        <x:f>IF(OR(J226&lt;&gt;1,K226&lt;&gt;0),"TERMINATE",IF(I226=H226,"PASS","OPEN"))</x:f>
        <x:v>OPEN</x:v>
      </x:c>
      <x:c r="M226" s="84"/>
      <x:c r="N226" s="84"/>
    </x:row>
    <x:row r="227">
      <x:c r="A227" s="47" t="str">
        <x:v>CR221</x:v>
      </x:c>
      <x:c r="B227" s="47" t="str">
        <x:v>P23</x:v>
      </x:c>
      <x:c r="C227" s="47" t="str">
        <x:v>HU-A</x:v>
      </x:c>
      <x:c r="D227" s="47" t="str">
        <x:v>HU-A-B</x:v>
      </x:c>
      <x:c r="E227" s="47" t="str">
        <x:v>CIVIL</x:v>
      </x:c>
      <x:c r="F227" s="47" t="str">
        <x:v>C01</x:v>
      </x:c>
      <x:c r="G227" s="47" t="str">
        <x:v>Receive public contract without native outputs</x:v>
      </x:c>
      <x:c r="H227" s="47" t="n">
        <x:v>1</x:v>
      </x:c>
      <x:c r="I227" s="56" t="n">
        <x:v>0</x:v>
      </x:c>
      <x:c r="J227" s="59" t="n">
        <x:f>Inputs!$B$11</x:f>
        <x:v>1</x:v>
      </x:c>
      <x:c r="K227" s="59" t="n">
        <x:f>Inputs!$B$13</x:f>
        <x:v>0</x:v>
      </x:c>
      <x:c r="L227" s="59" t="str">
        <x:f>IF(OR(J227&lt;&gt;1,K227&lt;&gt;0),"TERMINATE",IF(I227=H227,"PASS","OPEN"))</x:f>
        <x:v>OPEN</x:v>
      </x:c>
      <x:c r="M227" s="84"/>
      <x:c r="N227" s="84"/>
    </x:row>
    <x:row r="228">
      <x:c r="A228" s="47" t="str">
        <x:v>CR222</x:v>
      </x:c>
      <x:c r="B228" s="47" t="str">
        <x:v>P23</x:v>
      </x:c>
      <x:c r="C228" s="47" t="str">
        <x:v>HU-A</x:v>
      </x:c>
      <x:c r="D228" s="47" t="str">
        <x:v>HU-A-B</x:v>
      </x:c>
      <x:c r="E228" s="47" t="str">
        <x:v>CIVIL</x:v>
      </x:c>
      <x:c r="F228" s="47" t="str">
        <x:v>C02</x:v>
      </x:c>
      <x:c r="G228" s="47" t="str">
        <x:v>Declare disjoint people, control and toolchain</x:v>
      </x:c>
      <x:c r="H228" s="47" t="n">
        <x:v>1</x:v>
      </x:c>
      <x:c r="I228" s="56" t="n">
        <x:v>0</x:v>
      </x:c>
      <x:c r="J228" s="59" t="n">
        <x:f>Inputs!$B$11</x:f>
        <x:v>1</x:v>
      </x:c>
      <x:c r="K228" s="59" t="n">
        <x:f>Inputs!$B$13</x:f>
        <x:v>0</x:v>
      </x:c>
      <x:c r="L228" s="59" t="str">
        <x:f>IF(OR(J228&lt;&gt;1,K228&lt;&gt;0),"TERMINATE",IF(I228=H228,"PASS","OPEN"))</x:f>
        <x:v>OPEN</x:v>
      </x:c>
      <x:c r="M228" s="84"/>
      <x:c r="N228" s="84"/>
    </x:row>
    <x:row r="229">
      <x:c r="A229" s="47" t="str">
        <x:v>CR223</x:v>
      </x:c>
      <x:c r="B229" s="47" t="str">
        <x:v>P23</x:v>
      </x:c>
      <x:c r="C229" s="47" t="str">
        <x:v>HU-A</x:v>
      </x:c>
      <x:c r="D229" s="47" t="str">
        <x:v>HU-A-B</x:v>
      </x:c>
      <x:c r="E229" s="47" t="str">
        <x:v>CIVIL</x:v>
      </x:c>
      <x:c r="F229" s="47" t="str">
        <x:v>C03</x:v>
      </x:c>
      <x:c r="G229" s="47" t="str">
        <x:v>Reconstruct units, datums and system boundary</x:v>
      </x:c>
      <x:c r="H229" s="47" t="n">
        <x:v>1</x:v>
      </x:c>
      <x:c r="I229" s="56" t="n">
        <x:v>0</x:v>
      </x:c>
      <x:c r="J229" s="59" t="n">
        <x:f>Inputs!$B$11</x:f>
        <x:v>1</x:v>
      </x:c>
      <x:c r="K229" s="59" t="n">
        <x:f>Inputs!$B$13</x:f>
        <x:v>0</x:v>
      </x:c>
      <x:c r="L229" s="59" t="str">
        <x:f>IF(OR(J229&lt;&gt;1,K229&lt;&gt;0),"TERMINATE",IF(I229=H229,"PASS","OPEN"))</x:f>
        <x:v>OPEN</x:v>
      </x:c>
      <x:c r="M229" s="84"/>
      <x:c r="N229" s="84"/>
    </x:row>
    <x:row r="230">
      <x:c r="A230" s="47" t="str">
        <x:v>CR224</x:v>
      </x:c>
      <x:c r="B230" s="47" t="str">
        <x:v>P23</x:v>
      </x:c>
      <x:c r="C230" s="47" t="str">
        <x:v>HU-A</x:v>
      </x:c>
      <x:c r="D230" s="47" t="str">
        <x:v>HU-A-B</x:v>
      </x:c>
      <x:c r="E230" s="47" t="str">
        <x:v>CIVIL</x:v>
      </x:c>
      <x:c r="F230" s="47" t="str">
        <x:v>C04</x:v>
      </x:c>
      <x:c r="G230" s="47" t="str">
        <x:v>Reimplement the causal model</x:v>
      </x:c>
      <x:c r="H230" s="47" t="n">
        <x:v>1</x:v>
      </x:c>
      <x:c r="I230" s="56" t="n">
        <x:v>0</x:v>
      </x:c>
      <x:c r="J230" s="59" t="n">
        <x:f>Inputs!$B$11</x:f>
        <x:v>1</x:v>
      </x:c>
      <x:c r="K230" s="59" t="n">
        <x:f>Inputs!$B$13</x:f>
        <x:v>0</x:v>
      </x:c>
      <x:c r="L230" s="59" t="str">
        <x:f>IF(OR(J230&lt;&gt;1,K230&lt;&gt;0),"TERMINATE",IF(I230=H230,"PASS","OPEN"))</x:f>
        <x:v>OPEN</x:v>
      </x:c>
      <x:c r="M230" s="84"/>
      <x:c r="N230" s="84"/>
    </x:row>
    <x:row r="231">
      <x:c r="A231" s="47" t="str">
        <x:v>CR225</x:v>
      </x:c>
      <x:c r="B231" s="47" t="str">
        <x:v>P23</x:v>
      </x:c>
      <x:c r="C231" s="47" t="str">
        <x:v>HU-A</x:v>
      </x:c>
      <x:c r="D231" s="47" t="str">
        <x:v>HU-A-B</x:v>
      </x:c>
      <x:c r="E231" s="47" t="str">
        <x:v>CIVIL</x:v>
      </x:c>
      <x:c r="F231" s="47" t="str">
        <x:v>C05</x:v>
      </x:c>
      <x:c r="G231" s="47" t="str">
        <x:v>Rebuild material and process assumptions</x:v>
      </x:c>
      <x:c r="H231" s="47" t="n">
        <x:v>1</x:v>
      </x:c>
      <x:c r="I231" s="56" t="n">
        <x:v>0</x:v>
      </x:c>
      <x:c r="J231" s="59" t="n">
        <x:f>Inputs!$B$11</x:f>
        <x:v>1</x:v>
      </x:c>
      <x:c r="K231" s="59" t="n">
        <x:f>Inputs!$B$13</x:f>
        <x:v>0</x:v>
      </x:c>
      <x:c r="L231" s="59" t="str">
        <x:f>IF(OR(J231&lt;&gt;1,K231&lt;&gt;0),"TERMINATE",IF(I231=H231,"PASS","OPEN"))</x:f>
        <x:v>OPEN</x:v>
      </x:c>
      <x:c r="M231" s="84"/>
      <x:c r="N231" s="84"/>
    </x:row>
    <x:row r="232">
      <x:c r="A232" s="47" t="str">
        <x:v>CR226</x:v>
      </x:c>
      <x:c r="B232" s="47" t="str">
        <x:v>P23</x:v>
      </x:c>
      <x:c r="C232" s="47" t="str">
        <x:v>HU-A</x:v>
      </x:c>
      <x:c r="D232" s="47" t="str">
        <x:v>HU-A-B</x:v>
      </x:c>
      <x:c r="E232" s="47" t="str">
        <x:v>CIVIL</x:v>
      </x:c>
      <x:c r="F232" s="47" t="str">
        <x:v>C06</x:v>
      </x:c>
      <x:c r="G232" s="47" t="str">
        <x:v>Recreate the frozen challenge case</x:v>
      </x:c>
      <x:c r="H232" s="47" t="n">
        <x:v>1</x:v>
      </x:c>
      <x:c r="I232" s="56" t="n">
        <x:v>0</x:v>
      </x:c>
      <x:c r="J232" s="59" t="n">
        <x:f>Inputs!$B$11</x:f>
        <x:v>1</x:v>
      </x:c>
      <x:c r="K232" s="59" t="n">
        <x:f>Inputs!$B$13</x:f>
        <x:v>0</x:v>
      </x:c>
      <x:c r="L232" s="59" t="str">
        <x:f>IF(OR(J232&lt;&gt;1,K232&lt;&gt;0),"TERMINATE",IF(I232=H232,"PASS","OPEN"))</x:f>
        <x:v>OPEN</x:v>
      </x:c>
      <x:c r="M232" s="84"/>
      <x:c r="N232" s="84"/>
    </x:row>
    <x:row r="233">
      <x:c r="A233" s="47" t="str">
        <x:v>CR227</x:v>
      </x:c>
      <x:c r="B233" s="47" t="str">
        <x:v>P23</x:v>
      </x:c>
      <x:c r="C233" s="47" t="str">
        <x:v>HU-A</x:v>
      </x:c>
      <x:c r="D233" s="47" t="str">
        <x:v>HU-A-B</x:v>
      </x:c>
      <x:c r="E233" s="47" t="str">
        <x:v>CIVIL</x:v>
      </x:c>
      <x:c r="F233" s="47" t="str">
        <x:v>C07</x:v>
      </x:c>
      <x:c r="G233" s="47" t="str">
        <x:v>Calculate six invariants independently</x:v>
      </x:c>
      <x:c r="H233" s="47" t="n">
        <x:v>1</x:v>
      </x:c>
      <x:c r="I233" s="56" t="n">
        <x:v>0</x:v>
      </x:c>
      <x:c r="J233" s="59" t="n">
        <x:f>Inputs!$B$11</x:f>
        <x:v>1</x:v>
      </x:c>
      <x:c r="K233" s="59" t="n">
        <x:f>Inputs!$B$13</x:f>
        <x:v>0</x:v>
      </x:c>
      <x:c r="L233" s="59" t="str">
        <x:f>IF(OR(J233&lt;&gt;1,K233&lt;&gt;0),"TERMINATE",IF(I233=H233,"PASS","OPEN"))</x:f>
        <x:v>OPEN</x:v>
      </x:c>
      <x:c r="M233" s="84"/>
      <x:c r="N233" s="84"/>
    </x:row>
    <x:row r="234">
      <x:c r="A234" s="47" t="str">
        <x:v>CR228</x:v>
      </x:c>
      <x:c r="B234" s="47" t="str">
        <x:v>P23</x:v>
      </x:c>
      <x:c r="C234" s="47" t="str">
        <x:v>HU-A</x:v>
      </x:c>
      <x:c r="D234" s="47" t="str">
        <x:v>HU-A-B</x:v>
      </x:c>
      <x:c r="E234" s="47" t="str">
        <x:v>CIVIL</x:v>
      </x:c>
      <x:c r="F234" s="47" t="str">
        <x:v>C08</x:v>
      </x:c>
      <x:c r="G234" s="47" t="str">
        <x:v>Commit results before native disclosure</x:v>
      </x:c>
      <x:c r="H234" s="47" t="n">
        <x:v>1</x:v>
      </x:c>
      <x:c r="I234" s="56" t="n">
        <x:v>0</x:v>
      </x:c>
      <x:c r="J234" s="59" t="n">
        <x:f>Inputs!$B$11</x:f>
        <x:v>1</x:v>
      </x:c>
      <x:c r="K234" s="59" t="n">
        <x:f>Inputs!$B$13</x:f>
        <x:v>0</x:v>
      </x:c>
      <x:c r="L234" s="59" t="str">
        <x:f>IF(OR(J234&lt;&gt;1,K234&lt;&gt;0),"TERMINATE",IF(I234=H234,"PASS","OPEN"))</x:f>
        <x:v>OPEN</x:v>
      </x:c>
      <x:c r="M234" s="84"/>
      <x:c r="N234" s="84"/>
    </x:row>
    <x:row r="235">
      <x:c r="A235" s="47" t="str">
        <x:v>CR229</x:v>
      </x:c>
      <x:c r="B235" s="47" t="str">
        <x:v>P23</x:v>
      </x:c>
      <x:c r="C235" s="47" t="str">
        <x:v>HU-A</x:v>
      </x:c>
      <x:c r="D235" s="47" t="str">
        <x:v>HU-A-B</x:v>
      </x:c>
      <x:c r="E235" s="47" t="str">
        <x:v>CIVIL</x:v>
      </x:c>
      <x:c r="F235" s="47" t="str">
        <x:v>C09</x:v>
      </x:c>
      <x:c r="G235" s="47" t="str">
        <x:v>Compare semantic deltas after commitment</x:v>
      </x:c>
      <x:c r="H235" s="47" t="n">
        <x:v>1</x:v>
      </x:c>
      <x:c r="I235" s="56" t="n">
        <x:v>0</x:v>
      </x:c>
      <x:c r="J235" s="59" t="n">
        <x:f>Inputs!$B$11</x:f>
        <x:v>1</x:v>
      </x:c>
      <x:c r="K235" s="59" t="n">
        <x:f>Inputs!$B$13</x:f>
        <x:v>0</x:v>
      </x:c>
      <x:c r="L235" s="59" t="str">
        <x:f>IF(OR(J235&lt;&gt;1,K235&lt;&gt;0),"TERMINATE",IF(I235=H235,"PASS","OPEN"))</x:f>
        <x:v>OPEN</x:v>
      </x:c>
      <x:c r="M235" s="84"/>
      <x:c r="N235" s="84"/>
    </x:row>
    <x:row r="236">
      <x:c r="A236" s="47" t="str">
        <x:v>CR230</x:v>
      </x:c>
      <x:c r="B236" s="47" t="str">
        <x:v>P23</x:v>
      </x:c>
      <x:c r="C236" s="47" t="str">
        <x:v>HU-A</x:v>
      </x:c>
      <x:c r="D236" s="47" t="str">
        <x:v>HU-A-B</x:v>
      </x:c>
      <x:c r="E236" s="47" t="str">
        <x:v>CIVIL</x:v>
      </x:c>
      <x:c r="F236" s="47" t="str">
        <x:v>C10</x:v>
      </x:c>
      <x:c r="G236" s="47" t="str">
        <x:v>Seal divergence or acceptance packet</x:v>
      </x:c>
      <x:c r="H236" s="47" t="n">
        <x:v>1</x:v>
      </x:c>
      <x:c r="I236" s="56" t="n">
        <x:v>0</x:v>
      </x:c>
      <x:c r="J236" s="59" t="n">
        <x:f>Inputs!$B$11</x:f>
        <x:v>1</x:v>
      </x:c>
      <x:c r="K236" s="59" t="n">
        <x:f>Inputs!$B$13</x:f>
        <x:v>0</x:v>
      </x:c>
      <x:c r="L236" s="59" t="str">
        <x:f>IF(OR(J236&lt;&gt;1,K236&lt;&gt;0),"TERMINATE",IF(I236=H236,"PASS","OPEN"))</x:f>
        <x:v>OPEN</x:v>
      </x:c>
      <x:c r="M236" s="84"/>
      <x:c r="N236" s="84"/>
    </x:row>
    <x:row r="237">
      <x:c r="A237" s="47" t="str">
        <x:v>CR231</x:v>
      </x:c>
      <x:c r="B237" s="47" t="str">
        <x:v>P24</x:v>
      </x:c>
      <x:c r="C237" s="47" t="str">
        <x:v>HU-A</x:v>
      </x:c>
      <x:c r="D237" s="47" t="str">
        <x:v>HU-A-B</x:v>
      </x:c>
      <x:c r="E237" s="47" t="str">
        <x:v>ARTICLE</x:v>
      </x:c>
      <x:c r="F237" s="47" t="str">
        <x:v>C01</x:v>
      </x:c>
      <x:c r="G237" s="47" t="str">
        <x:v>Receive public contract without native outputs</x:v>
      </x:c>
      <x:c r="H237" s="47" t="n">
        <x:v>1</x:v>
      </x:c>
      <x:c r="I237" s="56" t="n">
        <x:v>0</x:v>
      </x:c>
      <x:c r="J237" s="59" t="n">
        <x:f>Inputs!$B$11</x:f>
        <x:v>1</x:v>
      </x:c>
      <x:c r="K237" s="59" t="n">
        <x:f>Inputs!$B$13</x:f>
        <x:v>0</x:v>
      </x:c>
      <x:c r="L237" s="59" t="str">
        <x:f>IF(OR(J237&lt;&gt;1,K237&lt;&gt;0),"TERMINATE",IF(I237=H237,"PASS","OPEN"))</x:f>
        <x:v>OPEN</x:v>
      </x:c>
      <x:c r="M237" s="84"/>
      <x:c r="N237" s="84"/>
    </x:row>
    <x:row r="238">
      <x:c r="A238" s="47" t="str">
        <x:v>CR232</x:v>
      </x:c>
      <x:c r="B238" s="47" t="str">
        <x:v>P24</x:v>
      </x:c>
      <x:c r="C238" s="47" t="str">
        <x:v>HU-A</x:v>
      </x:c>
      <x:c r="D238" s="47" t="str">
        <x:v>HU-A-B</x:v>
      </x:c>
      <x:c r="E238" s="47" t="str">
        <x:v>ARTICLE</x:v>
      </x:c>
      <x:c r="F238" s="47" t="str">
        <x:v>C02</x:v>
      </x:c>
      <x:c r="G238" s="47" t="str">
        <x:v>Declare disjoint people, control and toolchain</x:v>
      </x:c>
      <x:c r="H238" s="47" t="n">
        <x:v>1</x:v>
      </x:c>
      <x:c r="I238" s="56" t="n">
        <x:v>0</x:v>
      </x:c>
      <x:c r="J238" s="59" t="n">
        <x:f>Inputs!$B$11</x:f>
        <x:v>1</x:v>
      </x:c>
      <x:c r="K238" s="59" t="n">
        <x:f>Inputs!$B$13</x:f>
        <x:v>0</x:v>
      </x:c>
      <x:c r="L238" s="59" t="str">
        <x:f>IF(OR(J238&lt;&gt;1,K238&lt;&gt;0),"TERMINATE",IF(I238=H238,"PASS","OPEN"))</x:f>
        <x:v>OPEN</x:v>
      </x:c>
      <x:c r="M238" s="84"/>
      <x:c r="N238" s="84"/>
    </x:row>
    <x:row r="239">
      <x:c r="A239" s="47" t="str">
        <x:v>CR233</x:v>
      </x:c>
      <x:c r="B239" s="47" t="str">
        <x:v>P24</x:v>
      </x:c>
      <x:c r="C239" s="47" t="str">
        <x:v>HU-A</x:v>
      </x:c>
      <x:c r="D239" s="47" t="str">
        <x:v>HU-A-B</x:v>
      </x:c>
      <x:c r="E239" s="47" t="str">
        <x:v>ARTICLE</x:v>
      </x:c>
      <x:c r="F239" s="47" t="str">
        <x:v>C03</x:v>
      </x:c>
      <x:c r="G239" s="47" t="str">
        <x:v>Reconstruct units, datums and system boundary</x:v>
      </x:c>
      <x:c r="H239" s="47" t="n">
        <x:v>1</x:v>
      </x:c>
      <x:c r="I239" s="56" t="n">
        <x:v>0</x:v>
      </x:c>
      <x:c r="J239" s="59" t="n">
        <x:f>Inputs!$B$11</x:f>
        <x:v>1</x:v>
      </x:c>
      <x:c r="K239" s="59" t="n">
        <x:f>Inputs!$B$13</x:f>
        <x:v>0</x:v>
      </x:c>
      <x:c r="L239" s="59" t="str">
        <x:f>IF(OR(J239&lt;&gt;1,K239&lt;&gt;0),"TERMINATE",IF(I239=H239,"PASS","OPEN"))</x:f>
        <x:v>OPEN</x:v>
      </x:c>
      <x:c r="M239" s="84"/>
      <x:c r="N239" s="84"/>
    </x:row>
    <x:row r="240">
      <x:c r="A240" s="47" t="str">
        <x:v>CR234</x:v>
      </x:c>
      <x:c r="B240" s="47" t="str">
        <x:v>P24</x:v>
      </x:c>
      <x:c r="C240" s="47" t="str">
        <x:v>HU-A</x:v>
      </x:c>
      <x:c r="D240" s="47" t="str">
        <x:v>HU-A-B</x:v>
      </x:c>
      <x:c r="E240" s="47" t="str">
        <x:v>ARTICLE</x:v>
      </x:c>
      <x:c r="F240" s="47" t="str">
        <x:v>C04</x:v>
      </x:c>
      <x:c r="G240" s="47" t="str">
        <x:v>Reimplement the causal model</x:v>
      </x:c>
      <x:c r="H240" s="47" t="n">
        <x:v>1</x:v>
      </x:c>
      <x:c r="I240" s="56" t="n">
        <x:v>0</x:v>
      </x:c>
      <x:c r="J240" s="59" t="n">
        <x:f>Inputs!$B$11</x:f>
        <x:v>1</x:v>
      </x:c>
      <x:c r="K240" s="59" t="n">
        <x:f>Inputs!$B$13</x:f>
        <x:v>0</x:v>
      </x:c>
      <x:c r="L240" s="59" t="str">
        <x:f>IF(OR(J240&lt;&gt;1,K240&lt;&gt;0),"TERMINATE",IF(I240=H240,"PASS","OPEN"))</x:f>
        <x:v>OPEN</x:v>
      </x:c>
      <x:c r="M240" s="84"/>
      <x:c r="N240" s="84"/>
    </x:row>
    <x:row r="241">
      <x:c r="A241" s="47" t="str">
        <x:v>CR235</x:v>
      </x:c>
      <x:c r="B241" s="47" t="str">
        <x:v>P24</x:v>
      </x:c>
      <x:c r="C241" s="47" t="str">
        <x:v>HU-A</x:v>
      </x:c>
      <x:c r="D241" s="47" t="str">
        <x:v>HU-A-B</x:v>
      </x:c>
      <x:c r="E241" s="47" t="str">
        <x:v>ARTICLE</x:v>
      </x:c>
      <x:c r="F241" s="47" t="str">
        <x:v>C05</x:v>
      </x:c>
      <x:c r="G241" s="47" t="str">
        <x:v>Rebuild material and process assumptions</x:v>
      </x:c>
      <x:c r="H241" s="47" t="n">
        <x:v>1</x:v>
      </x:c>
      <x:c r="I241" s="56" t="n">
        <x:v>0</x:v>
      </x:c>
      <x:c r="J241" s="59" t="n">
        <x:f>Inputs!$B$11</x:f>
        <x:v>1</x:v>
      </x:c>
      <x:c r="K241" s="59" t="n">
        <x:f>Inputs!$B$13</x:f>
        <x:v>0</x:v>
      </x:c>
      <x:c r="L241" s="59" t="str">
        <x:f>IF(OR(J241&lt;&gt;1,K241&lt;&gt;0),"TERMINATE",IF(I241=H241,"PASS","OPEN"))</x:f>
        <x:v>OPEN</x:v>
      </x:c>
      <x:c r="M241" s="84"/>
      <x:c r="N241" s="84"/>
    </x:row>
    <x:row r="242">
      <x:c r="A242" s="47" t="str">
        <x:v>CR236</x:v>
      </x:c>
      <x:c r="B242" s="47" t="str">
        <x:v>P24</x:v>
      </x:c>
      <x:c r="C242" s="47" t="str">
        <x:v>HU-A</x:v>
      </x:c>
      <x:c r="D242" s="47" t="str">
        <x:v>HU-A-B</x:v>
      </x:c>
      <x:c r="E242" s="47" t="str">
        <x:v>ARTICLE</x:v>
      </x:c>
      <x:c r="F242" s="47" t="str">
        <x:v>C06</x:v>
      </x:c>
      <x:c r="G242" s="47" t="str">
        <x:v>Recreate the frozen challenge case</x:v>
      </x:c>
      <x:c r="H242" s="47" t="n">
        <x:v>1</x:v>
      </x:c>
      <x:c r="I242" s="56" t="n">
        <x:v>0</x:v>
      </x:c>
      <x:c r="J242" s="59" t="n">
        <x:f>Inputs!$B$11</x:f>
        <x:v>1</x:v>
      </x:c>
      <x:c r="K242" s="59" t="n">
        <x:f>Inputs!$B$13</x:f>
        <x:v>0</x:v>
      </x:c>
      <x:c r="L242" s="59" t="str">
        <x:f>IF(OR(J242&lt;&gt;1,K242&lt;&gt;0),"TERMINATE",IF(I242=H242,"PASS","OPEN"))</x:f>
        <x:v>OPEN</x:v>
      </x:c>
      <x:c r="M242" s="84"/>
      <x:c r="N242" s="84"/>
    </x:row>
    <x:row r="243">
      <x:c r="A243" s="47" t="str">
        <x:v>CR237</x:v>
      </x:c>
      <x:c r="B243" s="47" t="str">
        <x:v>P24</x:v>
      </x:c>
      <x:c r="C243" s="47" t="str">
        <x:v>HU-A</x:v>
      </x:c>
      <x:c r="D243" s="47" t="str">
        <x:v>HU-A-B</x:v>
      </x:c>
      <x:c r="E243" s="47" t="str">
        <x:v>ARTICLE</x:v>
      </x:c>
      <x:c r="F243" s="47" t="str">
        <x:v>C07</x:v>
      </x:c>
      <x:c r="G243" s="47" t="str">
        <x:v>Calculate six invariants independently</x:v>
      </x:c>
      <x:c r="H243" s="47" t="n">
        <x:v>1</x:v>
      </x:c>
      <x:c r="I243" s="56" t="n">
        <x:v>0</x:v>
      </x:c>
      <x:c r="J243" s="59" t="n">
        <x:f>Inputs!$B$11</x:f>
        <x:v>1</x:v>
      </x:c>
      <x:c r="K243" s="59" t="n">
        <x:f>Inputs!$B$13</x:f>
        <x:v>0</x:v>
      </x:c>
      <x:c r="L243" s="59" t="str">
        <x:f>IF(OR(J243&lt;&gt;1,K243&lt;&gt;0),"TERMINATE",IF(I243=H243,"PASS","OPEN"))</x:f>
        <x:v>OPEN</x:v>
      </x:c>
      <x:c r="M243" s="84"/>
      <x:c r="N243" s="84"/>
    </x:row>
    <x:row r="244">
      <x:c r="A244" s="47" t="str">
        <x:v>CR238</x:v>
      </x:c>
      <x:c r="B244" s="47" t="str">
        <x:v>P24</x:v>
      </x:c>
      <x:c r="C244" s="47" t="str">
        <x:v>HU-A</x:v>
      </x:c>
      <x:c r="D244" s="47" t="str">
        <x:v>HU-A-B</x:v>
      </x:c>
      <x:c r="E244" s="47" t="str">
        <x:v>ARTICLE</x:v>
      </x:c>
      <x:c r="F244" s="47" t="str">
        <x:v>C08</x:v>
      </x:c>
      <x:c r="G244" s="47" t="str">
        <x:v>Commit results before native disclosure</x:v>
      </x:c>
      <x:c r="H244" s="47" t="n">
        <x:v>1</x:v>
      </x:c>
      <x:c r="I244" s="56" t="n">
        <x:v>0</x:v>
      </x:c>
      <x:c r="J244" s="59" t="n">
        <x:f>Inputs!$B$11</x:f>
        <x:v>1</x:v>
      </x:c>
      <x:c r="K244" s="59" t="n">
        <x:f>Inputs!$B$13</x:f>
        <x:v>0</x:v>
      </x:c>
      <x:c r="L244" s="59" t="str">
        <x:f>IF(OR(J244&lt;&gt;1,K244&lt;&gt;0),"TERMINATE",IF(I244=H244,"PASS","OPEN"))</x:f>
        <x:v>OPEN</x:v>
      </x:c>
      <x:c r="M244" s="84"/>
      <x:c r="N244" s="84"/>
    </x:row>
    <x:row r="245">
      <x:c r="A245" s="47" t="str">
        <x:v>CR239</x:v>
      </x:c>
      <x:c r="B245" s="47" t="str">
        <x:v>P24</x:v>
      </x:c>
      <x:c r="C245" s="47" t="str">
        <x:v>HU-A</x:v>
      </x:c>
      <x:c r="D245" s="47" t="str">
        <x:v>HU-A-B</x:v>
      </x:c>
      <x:c r="E245" s="47" t="str">
        <x:v>ARTICLE</x:v>
      </x:c>
      <x:c r="F245" s="47" t="str">
        <x:v>C09</x:v>
      </x:c>
      <x:c r="G245" s="47" t="str">
        <x:v>Compare semantic deltas after commitment</x:v>
      </x:c>
      <x:c r="H245" s="47" t="n">
        <x:v>1</x:v>
      </x:c>
      <x:c r="I245" s="56" t="n">
        <x:v>0</x:v>
      </x:c>
      <x:c r="J245" s="59" t="n">
        <x:f>Inputs!$B$11</x:f>
        <x:v>1</x:v>
      </x:c>
      <x:c r="K245" s="59" t="n">
        <x:f>Inputs!$B$13</x:f>
        <x:v>0</x:v>
      </x:c>
      <x:c r="L245" s="59" t="str">
        <x:f>IF(OR(J245&lt;&gt;1,K245&lt;&gt;0),"TERMINATE",IF(I245=H245,"PASS","OPEN"))</x:f>
        <x:v>OPEN</x:v>
      </x:c>
      <x:c r="M245" s="84"/>
      <x:c r="N245" s="84"/>
    </x:row>
    <x:row r="246">
      <x:c r="A246" s="47" t="str">
        <x:v>CR240</x:v>
      </x:c>
      <x:c r="B246" s="47" t="str">
        <x:v>P24</x:v>
      </x:c>
      <x:c r="C246" s="47" t="str">
        <x:v>HU-A</x:v>
      </x:c>
      <x:c r="D246" s="47" t="str">
        <x:v>HU-A-B</x:v>
      </x:c>
      <x:c r="E246" s="47" t="str">
        <x:v>ARTICLE</x:v>
      </x:c>
      <x:c r="F246" s="47" t="str">
        <x:v>C10</x:v>
      </x:c>
      <x:c r="G246" s="47" t="str">
        <x:v>Seal divergence or acceptance packet</x:v>
      </x:c>
      <x:c r="H246" s="47" t="n">
        <x:v>1</x:v>
      </x:c>
      <x:c r="I246" s="56" t="n">
        <x:v>0</x:v>
      </x:c>
      <x:c r="J246" s="59" t="n">
        <x:f>Inputs!$B$11</x:f>
        <x:v>1</x:v>
      </x:c>
      <x:c r="K246" s="59" t="n">
        <x:f>Inputs!$B$13</x:f>
        <x:v>0</x:v>
      </x:c>
      <x:c r="L246" s="59" t="str">
        <x:f>IF(OR(J246&lt;&gt;1,K246&lt;&gt;0),"TERMINATE",IF(I246=H246,"PASS","OPEN"))</x:f>
        <x:v>OPEN</x:v>
      </x:c>
      <x:c r="M246" s="84"/>
      <x:c r="N246" s="84"/>
    </x:row>
    <x:row r="247">
      <x:c r="A247" s="47" t="str">
        <x:v>CR241</x:v>
      </x:c>
      <x:c r="B247" s="47" t="str">
        <x:v>P25</x:v>
      </x:c>
      <x:c r="C247" s="47" t="str">
        <x:v>HU-A</x:v>
      </x:c>
      <x:c r="D247" s="47" t="str">
        <x:v>HU-A-B</x:v>
      </x:c>
      <x:c r="E247" s="47" t="str">
        <x:v>REBUILD</x:v>
      </x:c>
      <x:c r="F247" s="47" t="str">
        <x:v>C01</x:v>
      </x:c>
      <x:c r="G247" s="47" t="str">
        <x:v>Receive public contract without native outputs</x:v>
      </x:c>
      <x:c r="H247" s="47" t="n">
        <x:v>1</x:v>
      </x:c>
      <x:c r="I247" s="56" t="n">
        <x:v>0</x:v>
      </x:c>
      <x:c r="J247" s="59" t="n">
        <x:f>Inputs!$B$11</x:f>
        <x:v>1</x:v>
      </x:c>
      <x:c r="K247" s="59" t="n">
        <x:f>Inputs!$B$13</x:f>
        <x:v>0</x:v>
      </x:c>
      <x:c r="L247" s="59" t="str">
        <x:f>IF(OR(J247&lt;&gt;1,K247&lt;&gt;0),"TERMINATE",IF(I247=H247,"PASS","OPEN"))</x:f>
        <x:v>OPEN</x:v>
      </x:c>
      <x:c r="M247" s="84"/>
      <x:c r="N247" s="84"/>
    </x:row>
    <x:row r="248">
      <x:c r="A248" s="47" t="str">
        <x:v>CR242</x:v>
      </x:c>
      <x:c r="B248" s="47" t="str">
        <x:v>P25</x:v>
      </x:c>
      <x:c r="C248" s="47" t="str">
        <x:v>HU-A</x:v>
      </x:c>
      <x:c r="D248" s="47" t="str">
        <x:v>HU-A-B</x:v>
      </x:c>
      <x:c r="E248" s="47" t="str">
        <x:v>REBUILD</x:v>
      </x:c>
      <x:c r="F248" s="47" t="str">
        <x:v>C02</x:v>
      </x:c>
      <x:c r="G248" s="47" t="str">
        <x:v>Declare disjoint people, control and toolchain</x:v>
      </x:c>
      <x:c r="H248" s="47" t="n">
        <x:v>1</x:v>
      </x:c>
      <x:c r="I248" s="56" t="n">
        <x:v>0</x:v>
      </x:c>
      <x:c r="J248" s="59" t="n">
        <x:f>Inputs!$B$11</x:f>
        <x:v>1</x:v>
      </x:c>
      <x:c r="K248" s="59" t="n">
        <x:f>Inputs!$B$13</x:f>
        <x:v>0</x:v>
      </x:c>
      <x:c r="L248" s="59" t="str">
        <x:f>IF(OR(J248&lt;&gt;1,K248&lt;&gt;0),"TERMINATE",IF(I248=H248,"PASS","OPEN"))</x:f>
        <x:v>OPEN</x:v>
      </x:c>
      <x:c r="M248" s="84"/>
      <x:c r="N248" s="84"/>
    </x:row>
    <x:row r="249">
      <x:c r="A249" s="47" t="str">
        <x:v>CR243</x:v>
      </x:c>
      <x:c r="B249" s="47" t="str">
        <x:v>P25</x:v>
      </x:c>
      <x:c r="C249" s="47" t="str">
        <x:v>HU-A</x:v>
      </x:c>
      <x:c r="D249" s="47" t="str">
        <x:v>HU-A-B</x:v>
      </x:c>
      <x:c r="E249" s="47" t="str">
        <x:v>REBUILD</x:v>
      </x:c>
      <x:c r="F249" s="47" t="str">
        <x:v>C03</x:v>
      </x:c>
      <x:c r="G249" s="47" t="str">
        <x:v>Reconstruct units, datums and system boundary</x:v>
      </x:c>
      <x:c r="H249" s="47" t="n">
        <x:v>1</x:v>
      </x:c>
      <x:c r="I249" s="56" t="n">
        <x:v>0</x:v>
      </x:c>
      <x:c r="J249" s="59" t="n">
        <x:f>Inputs!$B$11</x:f>
        <x:v>1</x:v>
      </x:c>
      <x:c r="K249" s="59" t="n">
        <x:f>Inputs!$B$13</x:f>
        <x:v>0</x:v>
      </x:c>
      <x:c r="L249" s="59" t="str">
        <x:f>IF(OR(J249&lt;&gt;1,K249&lt;&gt;0),"TERMINATE",IF(I249=H249,"PASS","OPEN"))</x:f>
        <x:v>OPEN</x:v>
      </x:c>
      <x:c r="M249" s="84"/>
      <x:c r="N249" s="84"/>
    </x:row>
    <x:row r="250">
      <x:c r="A250" s="47" t="str">
        <x:v>CR244</x:v>
      </x:c>
      <x:c r="B250" s="47" t="str">
        <x:v>P25</x:v>
      </x:c>
      <x:c r="C250" s="47" t="str">
        <x:v>HU-A</x:v>
      </x:c>
      <x:c r="D250" s="47" t="str">
        <x:v>HU-A-B</x:v>
      </x:c>
      <x:c r="E250" s="47" t="str">
        <x:v>REBUILD</x:v>
      </x:c>
      <x:c r="F250" s="47" t="str">
        <x:v>C04</x:v>
      </x:c>
      <x:c r="G250" s="47" t="str">
        <x:v>Reimplement the causal model</x:v>
      </x:c>
      <x:c r="H250" s="47" t="n">
        <x:v>1</x:v>
      </x:c>
      <x:c r="I250" s="56" t="n">
        <x:v>0</x:v>
      </x:c>
      <x:c r="J250" s="59" t="n">
        <x:f>Inputs!$B$11</x:f>
        <x:v>1</x:v>
      </x:c>
      <x:c r="K250" s="59" t="n">
        <x:f>Inputs!$B$13</x:f>
        <x:v>0</x:v>
      </x:c>
      <x:c r="L250" s="59" t="str">
        <x:f>IF(OR(J250&lt;&gt;1,K250&lt;&gt;0),"TERMINATE",IF(I250=H250,"PASS","OPEN"))</x:f>
        <x:v>OPEN</x:v>
      </x:c>
      <x:c r="M250" s="84"/>
      <x:c r="N250" s="84"/>
    </x:row>
    <x:row r="251">
      <x:c r="A251" s="47" t="str">
        <x:v>CR245</x:v>
      </x:c>
      <x:c r="B251" s="47" t="str">
        <x:v>P25</x:v>
      </x:c>
      <x:c r="C251" s="47" t="str">
        <x:v>HU-A</x:v>
      </x:c>
      <x:c r="D251" s="47" t="str">
        <x:v>HU-A-B</x:v>
      </x:c>
      <x:c r="E251" s="47" t="str">
        <x:v>REBUILD</x:v>
      </x:c>
      <x:c r="F251" s="47" t="str">
        <x:v>C05</x:v>
      </x:c>
      <x:c r="G251" s="47" t="str">
        <x:v>Rebuild material and process assumptions</x:v>
      </x:c>
      <x:c r="H251" s="47" t="n">
        <x:v>1</x:v>
      </x:c>
      <x:c r="I251" s="56" t="n">
        <x:v>0</x:v>
      </x:c>
      <x:c r="J251" s="59" t="n">
        <x:f>Inputs!$B$11</x:f>
        <x:v>1</x:v>
      </x:c>
      <x:c r="K251" s="59" t="n">
        <x:f>Inputs!$B$13</x:f>
        <x:v>0</x:v>
      </x:c>
      <x:c r="L251" s="59" t="str">
        <x:f>IF(OR(J251&lt;&gt;1,K251&lt;&gt;0),"TERMINATE",IF(I251=H251,"PASS","OPEN"))</x:f>
        <x:v>OPEN</x:v>
      </x:c>
      <x:c r="M251" s="84"/>
      <x:c r="N251" s="84"/>
    </x:row>
    <x:row r="252">
      <x:c r="A252" s="47" t="str">
        <x:v>CR246</x:v>
      </x:c>
      <x:c r="B252" s="47" t="str">
        <x:v>P25</x:v>
      </x:c>
      <x:c r="C252" s="47" t="str">
        <x:v>HU-A</x:v>
      </x:c>
      <x:c r="D252" s="47" t="str">
        <x:v>HU-A-B</x:v>
      </x:c>
      <x:c r="E252" s="47" t="str">
        <x:v>REBUILD</x:v>
      </x:c>
      <x:c r="F252" s="47" t="str">
        <x:v>C06</x:v>
      </x:c>
      <x:c r="G252" s="47" t="str">
        <x:v>Recreate the frozen challenge case</x:v>
      </x:c>
      <x:c r="H252" s="47" t="n">
        <x:v>1</x:v>
      </x:c>
      <x:c r="I252" s="56" t="n">
        <x:v>0</x:v>
      </x:c>
      <x:c r="J252" s="59" t="n">
        <x:f>Inputs!$B$11</x:f>
        <x:v>1</x:v>
      </x:c>
      <x:c r="K252" s="59" t="n">
        <x:f>Inputs!$B$13</x:f>
        <x:v>0</x:v>
      </x:c>
      <x:c r="L252" s="59" t="str">
        <x:f>IF(OR(J252&lt;&gt;1,K252&lt;&gt;0),"TERMINATE",IF(I252=H252,"PASS","OPEN"))</x:f>
        <x:v>OPEN</x:v>
      </x:c>
      <x:c r="M252" s="84"/>
      <x:c r="N252" s="84"/>
    </x:row>
    <x:row r="253">
      <x:c r="A253" s="47" t="str">
        <x:v>CR247</x:v>
      </x:c>
      <x:c r="B253" s="47" t="str">
        <x:v>P25</x:v>
      </x:c>
      <x:c r="C253" s="47" t="str">
        <x:v>HU-A</x:v>
      </x:c>
      <x:c r="D253" s="47" t="str">
        <x:v>HU-A-B</x:v>
      </x:c>
      <x:c r="E253" s="47" t="str">
        <x:v>REBUILD</x:v>
      </x:c>
      <x:c r="F253" s="47" t="str">
        <x:v>C07</x:v>
      </x:c>
      <x:c r="G253" s="47" t="str">
        <x:v>Calculate six invariants independently</x:v>
      </x:c>
      <x:c r="H253" s="47" t="n">
        <x:v>1</x:v>
      </x:c>
      <x:c r="I253" s="56" t="n">
        <x:v>0</x:v>
      </x:c>
      <x:c r="J253" s="59" t="n">
        <x:f>Inputs!$B$11</x:f>
        <x:v>1</x:v>
      </x:c>
      <x:c r="K253" s="59" t="n">
        <x:f>Inputs!$B$13</x:f>
        <x:v>0</x:v>
      </x:c>
      <x:c r="L253" s="59" t="str">
        <x:f>IF(OR(J253&lt;&gt;1,K253&lt;&gt;0),"TERMINATE",IF(I253=H253,"PASS","OPEN"))</x:f>
        <x:v>OPEN</x:v>
      </x:c>
      <x:c r="M253" s="84"/>
      <x:c r="N253" s="84"/>
    </x:row>
    <x:row r="254">
      <x:c r="A254" s="47" t="str">
        <x:v>CR248</x:v>
      </x:c>
      <x:c r="B254" s="47" t="str">
        <x:v>P25</x:v>
      </x:c>
      <x:c r="C254" s="47" t="str">
        <x:v>HU-A</x:v>
      </x:c>
      <x:c r="D254" s="47" t="str">
        <x:v>HU-A-B</x:v>
      </x:c>
      <x:c r="E254" s="47" t="str">
        <x:v>REBUILD</x:v>
      </x:c>
      <x:c r="F254" s="47" t="str">
        <x:v>C08</x:v>
      </x:c>
      <x:c r="G254" s="47" t="str">
        <x:v>Commit results before native disclosure</x:v>
      </x:c>
      <x:c r="H254" s="47" t="n">
        <x:v>1</x:v>
      </x:c>
      <x:c r="I254" s="56" t="n">
        <x:v>0</x:v>
      </x:c>
      <x:c r="J254" s="59" t="n">
        <x:f>Inputs!$B$11</x:f>
        <x:v>1</x:v>
      </x:c>
      <x:c r="K254" s="59" t="n">
        <x:f>Inputs!$B$13</x:f>
        <x:v>0</x:v>
      </x:c>
      <x:c r="L254" s="59" t="str">
        <x:f>IF(OR(J254&lt;&gt;1,K254&lt;&gt;0),"TERMINATE",IF(I254=H254,"PASS","OPEN"))</x:f>
        <x:v>OPEN</x:v>
      </x:c>
      <x:c r="M254" s="84"/>
      <x:c r="N254" s="84"/>
    </x:row>
    <x:row r="255">
      <x:c r="A255" s="47" t="str">
        <x:v>CR249</x:v>
      </x:c>
      <x:c r="B255" s="47" t="str">
        <x:v>P25</x:v>
      </x:c>
      <x:c r="C255" s="47" t="str">
        <x:v>HU-A</x:v>
      </x:c>
      <x:c r="D255" s="47" t="str">
        <x:v>HU-A-B</x:v>
      </x:c>
      <x:c r="E255" s="47" t="str">
        <x:v>REBUILD</x:v>
      </x:c>
      <x:c r="F255" s="47" t="str">
        <x:v>C09</x:v>
      </x:c>
      <x:c r="G255" s="47" t="str">
        <x:v>Compare semantic deltas after commitment</x:v>
      </x:c>
      <x:c r="H255" s="47" t="n">
        <x:v>1</x:v>
      </x:c>
      <x:c r="I255" s="56" t="n">
        <x:v>0</x:v>
      </x:c>
      <x:c r="J255" s="59" t="n">
        <x:f>Inputs!$B$11</x:f>
        <x:v>1</x:v>
      </x:c>
      <x:c r="K255" s="59" t="n">
        <x:f>Inputs!$B$13</x:f>
        <x:v>0</x:v>
      </x:c>
      <x:c r="L255" s="59" t="str">
        <x:f>IF(OR(J255&lt;&gt;1,K255&lt;&gt;0),"TERMINATE",IF(I255=H255,"PASS","OPEN"))</x:f>
        <x:v>OPEN</x:v>
      </x:c>
      <x:c r="M255" s="84"/>
      <x:c r="N255" s="84"/>
    </x:row>
    <x:row r="256">
      <x:c r="A256" s="47" t="str">
        <x:v>CR250</x:v>
      </x:c>
      <x:c r="B256" s="47" t="str">
        <x:v>P25</x:v>
      </x:c>
      <x:c r="C256" s="47" t="str">
        <x:v>HU-A</x:v>
      </x:c>
      <x:c r="D256" s="47" t="str">
        <x:v>HU-A-B</x:v>
      </x:c>
      <x:c r="E256" s="47" t="str">
        <x:v>REBUILD</x:v>
      </x:c>
      <x:c r="F256" s="47" t="str">
        <x:v>C10</x:v>
      </x:c>
      <x:c r="G256" s="47" t="str">
        <x:v>Seal divergence or acceptance packet</x:v>
      </x:c>
      <x:c r="H256" s="47" t="n">
        <x:v>1</x:v>
      </x:c>
      <x:c r="I256" s="56" t="n">
        <x:v>0</x:v>
      </x:c>
      <x:c r="J256" s="59" t="n">
        <x:f>Inputs!$B$11</x:f>
        <x:v>1</x:v>
      </x:c>
      <x:c r="K256" s="59" t="n">
        <x:f>Inputs!$B$13</x:f>
        <x:v>0</x:v>
      </x:c>
      <x:c r="L256" s="59" t="str">
        <x:f>IF(OR(J256&lt;&gt;1,K256&lt;&gt;0),"TERMINATE",IF(I256=H256,"PASS","OPEN"))</x:f>
        <x:v>OPEN</x:v>
      </x:c>
      <x:c r="M256" s="84"/>
      <x:c r="N256" s="84"/>
    </x:row>
    <x:row r="257">
      <x:c r="A257" s="47" t="str">
        <x:v>CR251</x:v>
      </x:c>
      <x:c r="B257" s="47" t="str">
        <x:v>P26</x:v>
      </x:c>
      <x:c r="C257" s="47" t="str">
        <x:v>RT-B</x:v>
      </x:c>
      <x:c r="D257" s="47" t="str">
        <x:v>RT-B-C</x:v>
      </x:c>
      <x:c r="E257" s="47" t="str">
        <x:v>METHOD</x:v>
      </x:c>
      <x:c r="F257" s="47" t="str">
        <x:v>C01</x:v>
      </x:c>
      <x:c r="G257" s="47" t="str">
        <x:v>Receive public contract without native outputs</x:v>
      </x:c>
      <x:c r="H257" s="47" t="n">
        <x:v>1</x:v>
      </x:c>
      <x:c r="I257" s="56" t="n">
        <x:v>0</x:v>
      </x:c>
      <x:c r="J257" s="59" t="n">
        <x:f>Inputs!$B$11</x:f>
        <x:v>1</x:v>
      </x:c>
      <x:c r="K257" s="59" t="n">
        <x:f>Inputs!$B$13</x:f>
        <x:v>0</x:v>
      </x:c>
      <x:c r="L257" s="59" t="str">
        <x:f>IF(OR(J257&lt;&gt;1,K257&lt;&gt;0),"TERMINATE",IF(I257=H257,"PASS","OPEN"))</x:f>
        <x:v>OPEN</x:v>
      </x:c>
      <x:c r="M257" s="84"/>
      <x:c r="N257" s="84"/>
    </x:row>
    <x:row r="258">
      <x:c r="A258" s="47" t="str">
        <x:v>CR252</x:v>
      </x:c>
      <x:c r="B258" s="47" t="str">
        <x:v>P26</x:v>
      </x:c>
      <x:c r="C258" s="47" t="str">
        <x:v>RT-B</x:v>
      </x:c>
      <x:c r="D258" s="47" t="str">
        <x:v>RT-B-C</x:v>
      </x:c>
      <x:c r="E258" s="47" t="str">
        <x:v>METHOD</x:v>
      </x:c>
      <x:c r="F258" s="47" t="str">
        <x:v>C02</x:v>
      </x:c>
      <x:c r="G258" s="47" t="str">
        <x:v>Declare disjoint people, control and toolchain</x:v>
      </x:c>
      <x:c r="H258" s="47" t="n">
        <x:v>1</x:v>
      </x:c>
      <x:c r="I258" s="56" t="n">
        <x:v>0</x:v>
      </x:c>
      <x:c r="J258" s="59" t="n">
        <x:f>Inputs!$B$11</x:f>
        <x:v>1</x:v>
      </x:c>
      <x:c r="K258" s="59" t="n">
        <x:f>Inputs!$B$13</x:f>
        <x:v>0</x:v>
      </x:c>
      <x:c r="L258" s="59" t="str">
        <x:f>IF(OR(J258&lt;&gt;1,K258&lt;&gt;0),"TERMINATE",IF(I258=H258,"PASS","OPEN"))</x:f>
        <x:v>OPEN</x:v>
      </x:c>
      <x:c r="M258" s="84"/>
      <x:c r="N258" s="84"/>
    </x:row>
    <x:row r="259">
      <x:c r="A259" s="47" t="str">
        <x:v>CR253</x:v>
      </x:c>
      <x:c r="B259" s="47" t="str">
        <x:v>P26</x:v>
      </x:c>
      <x:c r="C259" s="47" t="str">
        <x:v>RT-B</x:v>
      </x:c>
      <x:c r="D259" s="47" t="str">
        <x:v>RT-B-C</x:v>
      </x:c>
      <x:c r="E259" s="47" t="str">
        <x:v>METHOD</x:v>
      </x:c>
      <x:c r="F259" s="47" t="str">
        <x:v>C03</x:v>
      </x:c>
      <x:c r="G259" s="47" t="str">
        <x:v>Reconstruct units, datums and system boundary</x:v>
      </x:c>
      <x:c r="H259" s="47" t="n">
        <x:v>1</x:v>
      </x:c>
      <x:c r="I259" s="56" t="n">
        <x:v>0</x:v>
      </x:c>
      <x:c r="J259" s="59" t="n">
        <x:f>Inputs!$B$11</x:f>
        <x:v>1</x:v>
      </x:c>
      <x:c r="K259" s="59" t="n">
        <x:f>Inputs!$B$13</x:f>
        <x:v>0</x:v>
      </x:c>
      <x:c r="L259" s="59" t="str">
        <x:f>IF(OR(J259&lt;&gt;1,K259&lt;&gt;0),"TERMINATE",IF(I259=H259,"PASS","OPEN"))</x:f>
        <x:v>OPEN</x:v>
      </x:c>
      <x:c r="M259" s="84"/>
      <x:c r="N259" s="84"/>
    </x:row>
    <x:row r="260">
      <x:c r="A260" s="47" t="str">
        <x:v>CR254</x:v>
      </x:c>
      <x:c r="B260" s="47" t="str">
        <x:v>P26</x:v>
      </x:c>
      <x:c r="C260" s="47" t="str">
        <x:v>RT-B</x:v>
      </x:c>
      <x:c r="D260" s="47" t="str">
        <x:v>RT-B-C</x:v>
      </x:c>
      <x:c r="E260" s="47" t="str">
        <x:v>METHOD</x:v>
      </x:c>
      <x:c r="F260" s="47" t="str">
        <x:v>C04</x:v>
      </x:c>
      <x:c r="G260" s="47" t="str">
        <x:v>Reimplement the causal model</x:v>
      </x:c>
      <x:c r="H260" s="47" t="n">
        <x:v>1</x:v>
      </x:c>
      <x:c r="I260" s="56" t="n">
        <x:v>0</x:v>
      </x:c>
      <x:c r="J260" s="59" t="n">
        <x:f>Inputs!$B$11</x:f>
        <x:v>1</x:v>
      </x:c>
      <x:c r="K260" s="59" t="n">
        <x:f>Inputs!$B$13</x:f>
        <x:v>0</x:v>
      </x:c>
      <x:c r="L260" s="59" t="str">
        <x:f>IF(OR(J260&lt;&gt;1,K260&lt;&gt;0),"TERMINATE",IF(I260=H260,"PASS","OPEN"))</x:f>
        <x:v>OPEN</x:v>
      </x:c>
      <x:c r="M260" s="84"/>
      <x:c r="N260" s="84"/>
    </x:row>
    <x:row r="261">
      <x:c r="A261" s="47" t="str">
        <x:v>CR255</x:v>
      </x:c>
      <x:c r="B261" s="47" t="str">
        <x:v>P26</x:v>
      </x:c>
      <x:c r="C261" s="47" t="str">
        <x:v>RT-B</x:v>
      </x:c>
      <x:c r="D261" s="47" t="str">
        <x:v>RT-B-C</x:v>
      </x:c>
      <x:c r="E261" s="47" t="str">
        <x:v>METHOD</x:v>
      </x:c>
      <x:c r="F261" s="47" t="str">
        <x:v>C05</x:v>
      </x:c>
      <x:c r="G261" s="47" t="str">
        <x:v>Rebuild material and process assumptions</x:v>
      </x:c>
      <x:c r="H261" s="47" t="n">
        <x:v>1</x:v>
      </x:c>
      <x:c r="I261" s="56" t="n">
        <x:v>0</x:v>
      </x:c>
      <x:c r="J261" s="59" t="n">
        <x:f>Inputs!$B$11</x:f>
        <x:v>1</x:v>
      </x:c>
      <x:c r="K261" s="59" t="n">
        <x:f>Inputs!$B$13</x:f>
        <x:v>0</x:v>
      </x:c>
      <x:c r="L261" s="59" t="str">
        <x:f>IF(OR(J261&lt;&gt;1,K261&lt;&gt;0),"TERMINATE",IF(I261=H261,"PASS","OPEN"))</x:f>
        <x:v>OPEN</x:v>
      </x:c>
      <x:c r="M261" s="84"/>
      <x:c r="N261" s="84"/>
    </x:row>
    <x:row r="262">
      <x:c r="A262" s="47" t="str">
        <x:v>CR256</x:v>
      </x:c>
      <x:c r="B262" s="47" t="str">
        <x:v>P26</x:v>
      </x:c>
      <x:c r="C262" s="47" t="str">
        <x:v>RT-B</x:v>
      </x:c>
      <x:c r="D262" s="47" t="str">
        <x:v>RT-B-C</x:v>
      </x:c>
      <x:c r="E262" s="47" t="str">
        <x:v>METHOD</x:v>
      </x:c>
      <x:c r="F262" s="47" t="str">
        <x:v>C06</x:v>
      </x:c>
      <x:c r="G262" s="47" t="str">
        <x:v>Recreate the frozen challenge case</x:v>
      </x:c>
      <x:c r="H262" s="47" t="n">
        <x:v>1</x:v>
      </x:c>
      <x:c r="I262" s="56" t="n">
        <x:v>0</x:v>
      </x:c>
      <x:c r="J262" s="59" t="n">
        <x:f>Inputs!$B$11</x:f>
        <x:v>1</x:v>
      </x:c>
      <x:c r="K262" s="59" t="n">
        <x:f>Inputs!$B$13</x:f>
        <x:v>0</x:v>
      </x:c>
      <x:c r="L262" s="59" t="str">
        <x:f>IF(OR(J262&lt;&gt;1,K262&lt;&gt;0),"TERMINATE",IF(I262=H262,"PASS","OPEN"))</x:f>
        <x:v>OPEN</x:v>
      </x:c>
      <x:c r="M262" s="84"/>
      <x:c r="N262" s="84"/>
    </x:row>
    <x:row r="263">
      <x:c r="A263" s="47" t="str">
        <x:v>CR257</x:v>
      </x:c>
      <x:c r="B263" s="47" t="str">
        <x:v>P26</x:v>
      </x:c>
      <x:c r="C263" s="47" t="str">
        <x:v>RT-B</x:v>
      </x:c>
      <x:c r="D263" s="47" t="str">
        <x:v>RT-B-C</x:v>
      </x:c>
      <x:c r="E263" s="47" t="str">
        <x:v>METHOD</x:v>
      </x:c>
      <x:c r="F263" s="47" t="str">
        <x:v>C07</x:v>
      </x:c>
      <x:c r="G263" s="47" t="str">
        <x:v>Calculate six invariants independently</x:v>
      </x:c>
      <x:c r="H263" s="47" t="n">
        <x:v>1</x:v>
      </x:c>
      <x:c r="I263" s="56" t="n">
        <x:v>0</x:v>
      </x:c>
      <x:c r="J263" s="59" t="n">
        <x:f>Inputs!$B$11</x:f>
        <x:v>1</x:v>
      </x:c>
      <x:c r="K263" s="59" t="n">
        <x:f>Inputs!$B$13</x:f>
        <x:v>0</x:v>
      </x:c>
      <x:c r="L263" s="59" t="str">
        <x:f>IF(OR(J263&lt;&gt;1,K263&lt;&gt;0),"TERMINATE",IF(I263=H263,"PASS","OPEN"))</x:f>
        <x:v>OPEN</x:v>
      </x:c>
      <x:c r="M263" s="84"/>
      <x:c r="N263" s="84"/>
    </x:row>
    <x:row r="264">
      <x:c r="A264" s="47" t="str">
        <x:v>CR258</x:v>
      </x:c>
      <x:c r="B264" s="47" t="str">
        <x:v>P26</x:v>
      </x:c>
      <x:c r="C264" s="47" t="str">
        <x:v>RT-B</x:v>
      </x:c>
      <x:c r="D264" s="47" t="str">
        <x:v>RT-B-C</x:v>
      </x:c>
      <x:c r="E264" s="47" t="str">
        <x:v>METHOD</x:v>
      </x:c>
      <x:c r="F264" s="47" t="str">
        <x:v>C08</x:v>
      </x:c>
      <x:c r="G264" s="47" t="str">
        <x:v>Commit results before native disclosure</x:v>
      </x:c>
      <x:c r="H264" s="47" t="n">
        <x:v>1</x:v>
      </x:c>
      <x:c r="I264" s="56" t="n">
        <x:v>0</x:v>
      </x:c>
      <x:c r="J264" s="59" t="n">
        <x:f>Inputs!$B$11</x:f>
        <x:v>1</x:v>
      </x:c>
      <x:c r="K264" s="59" t="n">
        <x:f>Inputs!$B$13</x:f>
        <x:v>0</x:v>
      </x:c>
      <x:c r="L264" s="59" t="str">
        <x:f>IF(OR(J264&lt;&gt;1,K264&lt;&gt;0),"TERMINATE",IF(I264=H264,"PASS","OPEN"))</x:f>
        <x:v>OPEN</x:v>
      </x:c>
      <x:c r="M264" s="84"/>
      <x:c r="N264" s="84"/>
    </x:row>
    <x:row r="265">
      <x:c r="A265" s="47" t="str">
        <x:v>CR259</x:v>
      </x:c>
      <x:c r="B265" s="47" t="str">
        <x:v>P26</x:v>
      </x:c>
      <x:c r="C265" s="47" t="str">
        <x:v>RT-B</x:v>
      </x:c>
      <x:c r="D265" s="47" t="str">
        <x:v>RT-B-C</x:v>
      </x:c>
      <x:c r="E265" s="47" t="str">
        <x:v>METHOD</x:v>
      </x:c>
      <x:c r="F265" s="47" t="str">
        <x:v>C09</x:v>
      </x:c>
      <x:c r="G265" s="47" t="str">
        <x:v>Compare semantic deltas after commitment</x:v>
      </x:c>
      <x:c r="H265" s="47" t="n">
        <x:v>1</x:v>
      </x:c>
      <x:c r="I265" s="56" t="n">
        <x:v>0</x:v>
      </x:c>
      <x:c r="J265" s="59" t="n">
        <x:f>Inputs!$B$11</x:f>
        <x:v>1</x:v>
      </x:c>
      <x:c r="K265" s="59" t="n">
        <x:f>Inputs!$B$13</x:f>
        <x:v>0</x:v>
      </x:c>
      <x:c r="L265" s="59" t="str">
        <x:f>IF(OR(J265&lt;&gt;1,K265&lt;&gt;0),"TERMINATE",IF(I265=H265,"PASS","OPEN"))</x:f>
        <x:v>OPEN</x:v>
      </x:c>
      <x:c r="M265" s="84"/>
      <x:c r="N265" s="84"/>
    </x:row>
    <x:row r="266">
      <x:c r="A266" s="47" t="str">
        <x:v>CR260</x:v>
      </x:c>
      <x:c r="B266" s="47" t="str">
        <x:v>P26</x:v>
      </x:c>
      <x:c r="C266" s="47" t="str">
        <x:v>RT-B</x:v>
      </x:c>
      <x:c r="D266" s="47" t="str">
        <x:v>RT-B-C</x:v>
      </x:c>
      <x:c r="E266" s="47" t="str">
        <x:v>METHOD</x:v>
      </x:c>
      <x:c r="F266" s="47" t="str">
        <x:v>C10</x:v>
      </x:c>
      <x:c r="G266" s="47" t="str">
        <x:v>Seal divergence or acceptance packet</x:v>
      </x:c>
      <x:c r="H266" s="47" t="n">
        <x:v>1</x:v>
      </x:c>
      <x:c r="I266" s="56" t="n">
        <x:v>0</x:v>
      </x:c>
      <x:c r="J266" s="59" t="n">
        <x:f>Inputs!$B$11</x:f>
        <x:v>1</x:v>
      </x:c>
      <x:c r="K266" s="59" t="n">
        <x:f>Inputs!$B$13</x:f>
        <x:v>0</x:v>
      </x:c>
      <x:c r="L266" s="59" t="str">
        <x:f>IF(OR(J266&lt;&gt;1,K266&lt;&gt;0),"TERMINATE",IF(I266=H266,"PASS","OPEN"))</x:f>
        <x:v>OPEN</x:v>
      </x:c>
      <x:c r="M266" s="84"/>
      <x:c r="N266" s="84"/>
    </x:row>
    <x:row r="267">
      <x:c r="A267" s="47" t="str">
        <x:v>CR261</x:v>
      </x:c>
      <x:c r="B267" s="47" t="str">
        <x:v>P27</x:v>
      </x:c>
      <x:c r="C267" s="47" t="str">
        <x:v>RT-B</x:v>
      </x:c>
      <x:c r="D267" s="47" t="str">
        <x:v>RT-B-C</x:v>
      </x:c>
      <x:c r="E267" s="47" t="str">
        <x:v>VALID</x:v>
      </x:c>
      <x:c r="F267" s="47" t="str">
        <x:v>C01</x:v>
      </x:c>
      <x:c r="G267" s="47" t="str">
        <x:v>Receive public contract without native outputs</x:v>
      </x:c>
      <x:c r="H267" s="47" t="n">
        <x:v>1</x:v>
      </x:c>
      <x:c r="I267" s="56" t="n">
        <x:v>0</x:v>
      </x:c>
      <x:c r="J267" s="59" t="n">
        <x:f>Inputs!$B$11</x:f>
        <x:v>1</x:v>
      </x:c>
      <x:c r="K267" s="59" t="n">
        <x:f>Inputs!$B$13</x:f>
        <x:v>0</x:v>
      </x:c>
      <x:c r="L267" s="59" t="str">
        <x:f>IF(OR(J267&lt;&gt;1,K267&lt;&gt;0),"TERMINATE",IF(I267=H267,"PASS","OPEN"))</x:f>
        <x:v>OPEN</x:v>
      </x:c>
      <x:c r="M267" s="84"/>
      <x:c r="N267" s="84"/>
    </x:row>
    <x:row r="268">
      <x:c r="A268" s="47" t="str">
        <x:v>CR262</x:v>
      </x:c>
      <x:c r="B268" s="47" t="str">
        <x:v>P27</x:v>
      </x:c>
      <x:c r="C268" s="47" t="str">
        <x:v>RT-B</x:v>
      </x:c>
      <x:c r="D268" s="47" t="str">
        <x:v>RT-B-C</x:v>
      </x:c>
      <x:c r="E268" s="47" t="str">
        <x:v>VALID</x:v>
      </x:c>
      <x:c r="F268" s="47" t="str">
        <x:v>C02</x:v>
      </x:c>
      <x:c r="G268" s="47" t="str">
        <x:v>Declare disjoint people, control and toolchain</x:v>
      </x:c>
      <x:c r="H268" s="47" t="n">
        <x:v>1</x:v>
      </x:c>
      <x:c r="I268" s="56" t="n">
        <x:v>0</x:v>
      </x:c>
      <x:c r="J268" s="59" t="n">
        <x:f>Inputs!$B$11</x:f>
        <x:v>1</x:v>
      </x:c>
      <x:c r="K268" s="59" t="n">
        <x:f>Inputs!$B$13</x:f>
        <x:v>0</x:v>
      </x:c>
      <x:c r="L268" s="59" t="str">
        <x:f>IF(OR(J268&lt;&gt;1,K268&lt;&gt;0),"TERMINATE",IF(I268=H268,"PASS","OPEN"))</x:f>
        <x:v>OPEN</x:v>
      </x:c>
      <x:c r="M268" s="84"/>
      <x:c r="N268" s="84"/>
    </x:row>
    <x:row r="269">
      <x:c r="A269" s="47" t="str">
        <x:v>CR263</x:v>
      </x:c>
      <x:c r="B269" s="47" t="str">
        <x:v>P27</x:v>
      </x:c>
      <x:c r="C269" s="47" t="str">
        <x:v>RT-B</x:v>
      </x:c>
      <x:c r="D269" s="47" t="str">
        <x:v>RT-B-C</x:v>
      </x:c>
      <x:c r="E269" s="47" t="str">
        <x:v>VALID</x:v>
      </x:c>
      <x:c r="F269" s="47" t="str">
        <x:v>C03</x:v>
      </x:c>
      <x:c r="G269" s="47" t="str">
        <x:v>Reconstruct units, datums and system boundary</x:v>
      </x:c>
      <x:c r="H269" s="47" t="n">
        <x:v>1</x:v>
      </x:c>
      <x:c r="I269" s="56" t="n">
        <x:v>0</x:v>
      </x:c>
      <x:c r="J269" s="59" t="n">
        <x:f>Inputs!$B$11</x:f>
        <x:v>1</x:v>
      </x:c>
      <x:c r="K269" s="59" t="n">
        <x:f>Inputs!$B$13</x:f>
        <x:v>0</x:v>
      </x:c>
      <x:c r="L269" s="59" t="str">
        <x:f>IF(OR(J269&lt;&gt;1,K269&lt;&gt;0),"TERMINATE",IF(I269=H269,"PASS","OPEN"))</x:f>
        <x:v>OPEN</x:v>
      </x:c>
      <x:c r="M269" s="84"/>
      <x:c r="N269" s="84"/>
    </x:row>
    <x:row r="270">
      <x:c r="A270" s="47" t="str">
        <x:v>CR264</x:v>
      </x:c>
      <x:c r="B270" s="47" t="str">
        <x:v>P27</x:v>
      </x:c>
      <x:c r="C270" s="47" t="str">
        <x:v>RT-B</x:v>
      </x:c>
      <x:c r="D270" s="47" t="str">
        <x:v>RT-B-C</x:v>
      </x:c>
      <x:c r="E270" s="47" t="str">
        <x:v>VALID</x:v>
      </x:c>
      <x:c r="F270" s="47" t="str">
        <x:v>C04</x:v>
      </x:c>
      <x:c r="G270" s="47" t="str">
        <x:v>Reimplement the causal model</x:v>
      </x:c>
      <x:c r="H270" s="47" t="n">
        <x:v>1</x:v>
      </x:c>
      <x:c r="I270" s="56" t="n">
        <x:v>0</x:v>
      </x:c>
      <x:c r="J270" s="59" t="n">
        <x:f>Inputs!$B$11</x:f>
        <x:v>1</x:v>
      </x:c>
      <x:c r="K270" s="59" t="n">
        <x:f>Inputs!$B$13</x:f>
        <x:v>0</x:v>
      </x:c>
      <x:c r="L270" s="59" t="str">
        <x:f>IF(OR(J270&lt;&gt;1,K270&lt;&gt;0),"TERMINATE",IF(I270=H270,"PASS","OPEN"))</x:f>
        <x:v>OPEN</x:v>
      </x:c>
      <x:c r="M270" s="84"/>
      <x:c r="N270" s="84"/>
    </x:row>
    <x:row r="271">
      <x:c r="A271" s="47" t="str">
        <x:v>CR265</x:v>
      </x:c>
      <x:c r="B271" s="47" t="str">
        <x:v>P27</x:v>
      </x:c>
      <x:c r="C271" s="47" t="str">
        <x:v>RT-B</x:v>
      </x:c>
      <x:c r="D271" s="47" t="str">
        <x:v>RT-B-C</x:v>
      </x:c>
      <x:c r="E271" s="47" t="str">
        <x:v>VALID</x:v>
      </x:c>
      <x:c r="F271" s="47" t="str">
        <x:v>C05</x:v>
      </x:c>
      <x:c r="G271" s="47" t="str">
        <x:v>Rebuild material and process assumptions</x:v>
      </x:c>
      <x:c r="H271" s="47" t="n">
        <x:v>1</x:v>
      </x:c>
      <x:c r="I271" s="56" t="n">
        <x:v>0</x:v>
      </x:c>
      <x:c r="J271" s="59" t="n">
        <x:f>Inputs!$B$11</x:f>
        <x:v>1</x:v>
      </x:c>
      <x:c r="K271" s="59" t="n">
        <x:f>Inputs!$B$13</x:f>
        <x:v>0</x:v>
      </x:c>
      <x:c r="L271" s="59" t="str">
        <x:f>IF(OR(J271&lt;&gt;1,K271&lt;&gt;0),"TERMINATE",IF(I271=H271,"PASS","OPEN"))</x:f>
        <x:v>OPEN</x:v>
      </x:c>
      <x:c r="M271" s="84"/>
      <x:c r="N271" s="84"/>
    </x:row>
    <x:row r="272">
      <x:c r="A272" s="47" t="str">
        <x:v>CR266</x:v>
      </x:c>
      <x:c r="B272" s="47" t="str">
        <x:v>P27</x:v>
      </x:c>
      <x:c r="C272" s="47" t="str">
        <x:v>RT-B</x:v>
      </x:c>
      <x:c r="D272" s="47" t="str">
        <x:v>RT-B-C</x:v>
      </x:c>
      <x:c r="E272" s="47" t="str">
        <x:v>VALID</x:v>
      </x:c>
      <x:c r="F272" s="47" t="str">
        <x:v>C06</x:v>
      </x:c>
      <x:c r="G272" s="47" t="str">
        <x:v>Recreate the frozen challenge case</x:v>
      </x:c>
      <x:c r="H272" s="47" t="n">
        <x:v>1</x:v>
      </x:c>
      <x:c r="I272" s="56" t="n">
        <x:v>0</x:v>
      </x:c>
      <x:c r="J272" s="59" t="n">
        <x:f>Inputs!$B$11</x:f>
        <x:v>1</x:v>
      </x:c>
      <x:c r="K272" s="59" t="n">
        <x:f>Inputs!$B$13</x:f>
        <x:v>0</x:v>
      </x:c>
      <x:c r="L272" s="59" t="str">
        <x:f>IF(OR(J272&lt;&gt;1,K272&lt;&gt;0),"TERMINATE",IF(I272=H272,"PASS","OPEN"))</x:f>
        <x:v>OPEN</x:v>
      </x:c>
      <x:c r="M272" s="84"/>
      <x:c r="N272" s="84"/>
    </x:row>
    <x:row r="273">
      <x:c r="A273" s="47" t="str">
        <x:v>CR267</x:v>
      </x:c>
      <x:c r="B273" s="47" t="str">
        <x:v>P27</x:v>
      </x:c>
      <x:c r="C273" s="47" t="str">
        <x:v>RT-B</x:v>
      </x:c>
      <x:c r="D273" s="47" t="str">
        <x:v>RT-B-C</x:v>
      </x:c>
      <x:c r="E273" s="47" t="str">
        <x:v>VALID</x:v>
      </x:c>
      <x:c r="F273" s="47" t="str">
        <x:v>C07</x:v>
      </x:c>
      <x:c r="G273" s="47" t="str">
        <x:v>Calculate six invariants independently</x:v>
      </x:c>
      <x:c r="H273" s="47" t="n">
        <x:v>1</x:v>
      </x:c>
      <x:c r="I273" s="56" t="n">
        <x:v>0</x:v>
      </x:c>
      <x:c r="J273" s="59" t="n">
        <x:f>Inputs!$B$11</x:f>
        <x:v>1</x:v>
      </x:c>
      <x:c r="K273" s="59" t="n">
        <x:f>Inputs!$B$13</x:f>
        <x:v>0</x:v>
      </x:c>
      <x:c r="L273" s="59" t="str">
        <x:f>IF(OR(J273&lt;&gt;1,K273&lt;&gt;0),"TERMINATE",IF(I273=H273,"PASS","OPEN"))</x:f>
        <x:v>OPEN</x:v>
      </x:c>
      <x:c r="M273" s="84"/>
      <x:c r="N273" s="84"/>
    </x:row>
    <x:row r="274">
      <x:c r="A274" s="47" t="str">
        <x:v>CR268</x:v>
      </x:c>
      <x:c r="B274" s="47" t="str">
        <x:v>P27</x:v>
      </x:c>
      <x:c r="C274" s="47" t="str">
        <x:v>RT-B</x:v>
      </x:c>
      <x:c r="D274" s="47" t="str">
        <x:v>RT-B-C</x:v>
      </x:c>
      <x:c r="E274" s="47" t="str">
        <x:v>VALID</x:v>
      </x:c>
      <x:c r="F274" s="47" t="str">
        <x:v>C08</x:v>
      </x:c>
      <x:c r="G274" s="47" t="str">
        <x:v>Commit results before native disclosure</x:v>
      </x:c>
      <x:c r="H274" s="47" t="n">
        <x:v>1</x:v>
      </x:c>
      <x:c r="I274" s="56" t="n">
        <x:v>0</x:v>
      </x:c>
      <x:c r="J274" s="59" t="n">
        <x:f>Inputs!$B$11</x:f>
        <x:v>1</x:v>
      </x:c>
      <x:c r="K274" s="59" t="n">
        <x:f>Inputs!$B$13</x:f>
        <x:v>0</x:v>
      </x:c>
      <x:c r="L274" s="59" t="str">
        <x:f>IF(OR(J274&lt;&gt;1,K274&lt;&gt;0),"TERMINATE",IF(I274=H274,"PASS","OPEN"))</x:f>
        <x:v>OPEN</x:v>
      </x:c>
      <x:c r="M274" s="84"/>
      <x:c r="N274" s="84"/>
    </x:row>
    <x:row r="275">
      <x:c r="A275" s="47" t="str">
        <x:v>CR269</x:v>
      </x:c>
      <x:c r="B275" s="47" t="str">
        <x:v>P27</x:v>
      </x:c>
      <x:c r="C275" s="47" t="str">
        <x:v>RT-B</x:v>
      </x:c>
      <x:c r="D275" s="47" t="str">
        <x:v>RT-B-C</x:v>
      </x:c>
      <x:c r="E275" s="47" t="str">
        <x:v>VALID</x:v>
      </x:c>
      <x:c r="F275" s="47" t="str">
        <x:v>C09</x:v>
      </x:c>
      <x:c r="G275" s="47" t="str">
        <x:v>Compare semantic deltas after commitment</x:v>
      </x:c>
      <x:c r="H275" s="47" t="n">
        <x:v>1</x:v>
      </x:c>
      <x:c r="I275" s="56" t="n">
        <x:v>0</x:v>
      </x:c>
      <x:c r="J275" s="59" t="n">
        <x:f>Inputs!$B$11</x:f>
        <x:v>1</x:v>
      </x:c>
      <x:c r="K275" s="59" t="n">
        <x:f>Inputs!$B$13</x:f>
        <x:v>0</x:v>
      </x:c>
      <x:c r="L275" s="59" t="str">
        <x:f>IF(OR(J275&lt;&gt;1,K275&lt;&gt;0),"TERMINATE",IF(I275=H275,"PASS","OPEN"))</x:f>
        <x:v>OPEN</x:v>
      </x:c>
      <x:c r="M275" s="84"/>
      <x:c r="N275" s="84"/>
    </x:row>
    <x:row r="276">
      <x:c r="A276" s="47" t="str">
        <x:v>CR270</x:v>
      </x:c>
      <x:c r="B276" s="47" t="str">
        <x:v>P27</x:v>
      </x:c>
      <x:c r="C276" s="47" t="str">
        <x:v>RT-B</x:v>
      </x:c>
      <x:c r="D276" s="47" t="str">
        <x:v>RT-B-C</x:v>
      </x:c>
      <x:c r="E276" s="47" t="str">
        <x:v>VALID</x:v>
      </x:c>
      <x:c r="F276" s="47" t="str">
        <x:v>C10</x:v>
      </x:c>
      <x:c r="G276" s="47" t="str">
        <x:v>Seal divergence or acceptance packet</x:v>
      </x:c>
      <x:c r="H276" s="47" t="n">
        <x:v>1</x:v>
      </x:c>
      <x:c r="I276" s="56" t="n">
        <x:v>0</x:v>
      </x:c>
      <x:c r="J276" s="59" t="n">
        <x:f>Inputs!$B$11</x:f>
        <x:v>1</x:v>
      </x:c>
      <x:c r="K276" s="59" t="n">
        <x:f>Inputs!$B$13</x:f>
        <x:v>0</x:v>
      </x:c>
      <x:c r="L276" s="59" t="str">
        <x:f>IF(OR(J276&lt;&gt;1,K276&lt;&gt;0),"TERMINATE",IF(I276=H276,"PASS","OPEN"))</x:f>
        <x:v>OPEN</x:v>
      </x:c>
      <x:c r="M276" s="84"/>
      <x:c r="N276" s="84"/>
    </x:row>
    <x:row r="277">
      <x:c r="A277" s="47" t="str">
        <x:v>CR271</x:v>
      </x:c>
      <x:c r="B277" s="47" t="str">
        <x:v>P28</x:v>
      </x:c>
      <x:c r="C277" s="47" t="str">
        <x:v>RT-B</x:v>
      </x:c>
      <x:c r="D277" s="47" t="str">
        <x:v>RT-B-C</x:v>
      </x:c>
      <x:c r="E277" s="47" t="str">
        <x:v>CIVIL</x:v>
      </x:c>
      <x:c r="F277" s="47" t="str">
        <x:v>C01</x:v>
      </x:c>
      <x:c r="G277" s="47" t="str">
        <x:v>Receive public contract without native outputs</x:v>
      </x:c>
      <x:c r="H277" s="47" t="n">
        <x:v>1</x:v>
      </x:c>
      <x:c r="I277" s="56" t="n">
        <x:v>0</x:v>
      </x:c>
      <x:c r="J277" s="59" t="n">
        <x:f>Inputs!$B$11</x:f>
        <x:v>1</x:v>
      </x:c>
      <x:c r="K277" s="59" t="n">
        <x:f>Inputs!$B$13</x:f>
        <x:v>0</x:v>
      </x:c>
      <x:c r="L277" s="59" t="str">
        <x:f>IF(OR(J277&lt;&gt;1,K277&lt;&gt;0),"TERMINATE",IF(I277=H277,"PASS","OPEN"))</x:f>
        <x:v>OPEN</x:v>
      </x:c>
      <x:c r="M277" s="84"/>
      <x:c r="N277" s="84"/>
    </x:row>
    <x:row r="278">
      <x:c r="A278" s="47" t="str">
        <x:v>CR272</x:v>
      </x:c>
      <x:c r="B278" s="47" t="str">
        <x:v>P28</x:v>
      </x:c>
      <x:c r="C278" s="47" t="str">
        <x:v>RT-B</x:v>
      </x:c>
      <x:c r="D278" s="47" t="str">
        <x:v>RT-B-C</x:v>
      </x:c>
      <x:c r="E278" s="47" t="str">
        <x:v>CIVIL</x:v>
      </x:c>
      <x:c r="F278" s="47" t="str">
        <x:v>C02</x:v>
      </x:c>
      <x:c r="G278" s="47" t="str">
        <x:v>Declare disjoint people, control and toolchain</x:v>
      </x:c>
      <x:c r="H278" s="47" t="n">
        <x:v>1</x:v>
      </x:c>
      <x:c r="I278" s="56" t="n">
        <x:v>0</x:v>
      </x:c>
      <x:c r="J278" s="59" t="n">
        <x:f>Inputs!$B$11</x:f>
        <x:v>1</x:v>
      </x:c>
      <x:c r="K278" s="59" t="n">
        <x:f>Inputs!$B$13</x:f>
        <x:v>0</x:v>
      </x:c>
      <x:c r="L278" s="59" t="str">
        <x:f>IF(OR(J278&lt;&gt;1,K278&lt;&gt;0),"TERMINATE",IF(I278=H278,"PASS","OPEN"))</x:f>
        <x:v>OPEN</x:v>
      </x:c>
      <x:c r="M278" s="84"/>
      <x:c r="N278" s="84"/>
    </x:row>
    <x:row r="279">
      <x:c r="A279" s="47" t="str">
        <x:v>CR273</x:v>
      </x:c>
      <x:c r="B279" s="47" t="str">
        <x:v>P28</x:v>
      </x:c>
      <x:c r="C279" s="47" t="str">
        <x:v>RT-B</x:v>
      </x:c>
      <x:c r="D279" s="47" t="str">
        <x:v>RT-B-C</x:v>
      </x:c>
      <x:c r="E279" s="47" t="str">
        <x:v>CIVIL</x:v>
      </x:c>
      <x:c r="F279" s="47" t="str">
        <x:v>C03</x:v>
      </x:c>
      <x:c r="G279" s="47" t="str">
        <x:v>Reconstruct units, datums and system boundary</x:v>
      </x:c>
      <x:c r="H279" s="47" t="n">
        <x:v>1</x:v>
      </x:c>
      <x:c r="I279" s="56" t="n">
        <x:v>0</x:v>
      </x:c>
      <x:c r="J279" s="59" t="n">
        <x:f>Inputs!$B$11</x:f>
        <x:v>1</x:v>
      </x:c>
      <x:c r="K279" s="59" t="n">
        <x:f>Inputs!$B$13</x:f>
        <x:v>0</x:v>
      </x:c>
      <x:c r="L279" s="59" t="str">
        <x:f>IF(OR(J279&lt;&gt;1,K279&lt;&gt;0),"TERMINATE",IF(I279=H279,"PASS","OPEN"))</x:f>
        <x:v>OPEN</x:v>
      </x:c>
      <x:c r="M279" s="84"/>
      <x:c r="N279" s="84"/>
    </x:row>
    <x:row r="280">
      <x:c r="A280" s="47" t="str">
        <x:v>CR274</x:v>
      </x:c>
      <x:c r="B280" s="47" t="str">
        <x:v>P28</x:v>
      </x:c>
      <x:c r="C280" s="47" t="str">
        <x:v>RT-B</x:v>
      </x:c>
      <x:c r="D280" s="47" t="str">
        <x:v>RT-B-C</x:v>
      </x:c>
      <x:c r="E280" s="47" t="str">
        <x:v>CIVIL</x:v>
      </x:c>
      <x:c r="F280" s="47" t="str">
        <x:v>C04</x:v>
      </x:c>
      <x:c r="G280" s="47" t="str">
        <x:v>Reimplement the causal model</x:v>
      </x:c>
      <x:c r="H280" s="47" t="n">
        <x:v>1</x:v>
      </x:c>
      <x:c r="I280" s="56" t="n">
        <x:v>0</x:v>
      </x:c>
      <x:c r="J280" s="59" t="n">
        <x:f>Inputs!$B$11</x:f>
        <x:v>1</x:v>
      </x:c>
      <x:c r="K280" s="59" t="n">
        <x:f>Inputs!$B$13</x:f>
        <x:v>0</x:v>
      </x:c>
      <x:c r="L280" s="59" t="str">
        <x:f>IF(OR(J280&lt;&gt;1,K280&lt;&gt;0),"TERMINATE",IF(I280=H280,"PASS","OPEN"))</x:f>
        <x:v>OPEN</x:v>
      </x:c>
      <x:c r="M280" s="84"/>
      <x:c r="N280" s="84"/>
    </x:row>
    <x:row r="281">
      <x:c r="A281" s="47" t="str">
        <x:v>CR275</x:v>
      </x:c>
      <x:c r="B281" s="47" t="str">
        <x:v>P28</x:v>
      </x:c>
      <x:c r="C281" s="47" t="str">
        <x:v>RT-B</x:v>
      </x:c>
      <x:c r="D281" s="47" t="str">
        <x:v>RT-B-C</x:v>
      </x:c>
      <x:c r="E281" s="47" t="str">
        <x:v>CIVIL</x:v>
      </x:c>
      <x:c r="F281" s="47" t="str">
        <x:v>C05</x:v>
      </x:c>
      <x:c r="G281" s="47" t="str">
        <x:v>Rebuild material and process assumptions</x:v>
      </x:c>
      <x:c r="H281" s="47" t="n">
        <x:v>1</x:v>
      </x:c>
      <x:c r="I281" s="56" t="n">
        <x:v>0</x:v>
      </x:c>
      <x:c r="J281" s="59" t="n">
        <x:f>Inputs!$B$11</x:f>
        <x:v>1</x:v>
      </x:c>
      <x:c r="K281" s="59" t="n">
        <x:f>Inputs!$B$13</x:f>
        <x:v>0</x:v>
      </x:c>
      <x:c r="L281" s="59" t="str">
        <x:f>IF(OR(J281&lt;&gt;1,K281&lt;&gt;0),"TERMINATE",IF(I281=H281,"PASS","OPEN"))</x:f>
        <x:v>OPEN</x:v>
      </x:c>
      <x:c r="M281" s="84"/>
      <x:c r="N281" s="84"/>
    </x:row>
    <x:row r="282">
      <x:c r="A282" s="47" t="str">
        <x:v>CR276</x:v>
      </x:c>
      <x:c r="B282" s="47" t="str">
        <x:v>P28</x:v>
      </x:c>
      <x:c r="C282" s="47" t="str">
        <x:v>RT-B</x:v>
      </x:c>
      <x:c r="D282" s="47" t="str">
        <x:v>RT-B-C</x:v>
      </x:c>
      <x:c r="E282" s="47" t="str">
        <x:v>CIVIL</x:v>
      </x:c>
      <x:c r="F282" s="47" t="str">
        <x:v>C06</x:v>
      </x:c>
      <x:c r="G282" s="47" t="str">
        <x:v>Recreate the frozen challenge case</x:v>
      </x:c>
      <x:c r="H282" s="47" t="n">
        <x:v>1</x:v>
      </x:c>
      <x:c r="I282" s="56" t="n">
        <x:v>0</x:v>
      </x:c>
      <x:c r="J282" s="59" t="n">
        <x:f>Inputs!$B$11</x:f>
        <x:v>1</x:v>
      </x:c>
      <x:c r="K282" s="59" t="n">
        <x:f>Inputs!$B$13</x:f>
        <x:v>0</x:v>
      </x:c>
      <x:c r="L282" s="59" t="str">
        <x:f>IF(OR(J282&lt;&gt;1,K282&lt;&gt;0),"TERMINATE",IF(I282=H282,"PASS","OPEN"))</x:f>
        <x:v>OPEN</x:v>
      </x:c>
      <x:c r="M282" s="84"/>
      <x:c r="N282" s="84"/>
    </x:row>
    <x:row r="283">
      <x:c r="A283" s="47" t="str">
        <x:v>CR277</x:v>
      </x:c>
      <x:c r="B283" s="47" t="str">
        <x:v>P28</x:v>
      </x:c>
      <x:c r="C283" s="47" t="str">
        <x:v>RT-B</x:v>
      </x:c>
      <x:c r="D283" s="47" t="str">
        <x:v>RT-B-C</x:v>
      </x:c>
      <x:c r="E283" s="47" t="str">
        <x:v>CIVIL</x:v>
      </x:c>
      <x:c r="F283" s="47" t="str">
        <x:v>C07</x:v>
      </x:c>
      <x:c r="G283" s="47" t="str">
        <x:v>Calculate six invariants independently</x:v>
      </x:c>
      <x:c r="H283" s="47" t="n">
        <x:v>1</x:v>
      </x:c>
      <x:c r="I283" s="56" t="n">
        <x:v>0</x:v>
      </x:c>
      <x:c r="J283" s="59" t="n">
        <x:f>Inputs!$B$11</x:f>
        <x:v>1</x:v>
      </x:c>
      <x:c r="K283" s="59" t="n">
        <x:f>Inputs!$B$13</x:f>
        <x:v>0</x:v>
      </x:c>
      <x:c r="L283" s="59" t="str">
        <x:f>IF(OR(J283&lt;&gt;1,K283&lt;&gt;0),"TERMINATE",IF(I283=H283,"PASS","OPEN"))</x:f>
        <x:v>OPEN</x:v>
      </x:c>
      <x:c r="M283" s="84"/>
      <x:c r="N283" s="84"/>
    </x:row>
    <x:row r="284">
      <x:c r="A284" s="47" t="str">
        <x:v>CR278</x:v>
      </x:c>
      <x:c r="B284" s="47" t="str">
        <x:v>P28</x:v>
      </x:c>
      <x:c r="C284" s="47" t="str">
        <x:v>RT-B</x:v>
      </x:c>
      <x:c r="D284" s="47" t="str">
        <x:v>RT-B-C</x:v>
      </x:c>
      <x:c r="E284" s="47" t="str">
        <x:v>CIVIL</x:v>
      </x:c>
      <x:c r="F284" s="47" t="str">
        <x:v>C08</x:v>
      </x:c>
      <x:c r="G284" s="47" t="str">
        <x:v>Commit results before native disclosure</x:v>
      </x:c>
      <x:c r="H284" s="47" t="n">
        <x:v>1</x:v>
      </x:c>
      <x:c r="I284" s="56" t="n">
        <x:v>0</x:v>
      </x:c>
      <x:c r="J284" s="59" t="n">
        <x:f>Inputs!$B$11</x:f>
        <x:v>1</x:v>
      </x:c>
      <x:c r="K284" s="59" t="n">
        <x:f>Inputs!$B$13</x:f>
        <x:v>0</x:v>
      </x:c>
      <x:c r="L284" s="59" t="str">
        <x:f>IF(OR(J284&lt;&gt;1,K284&lt;&gt;0),"TERMINATE",IF(I284=H284,"PASS","OPEN"))</x:f>
        <x:v>OPEN</x:v>
      </x:c>
      <x:c r="M284" s="84"/>
      <x:c r="N284" s="84"/>
    </x:row>
    <x:row r="285">
      <x:c r="A285" s="47" t="str">
        <x:v>CR279</x:v>
      </x:c>
      <x:c r="B285" s="47" t="str">
        <x:v>P28</x:v>
      </x:c>
      <x:c r="C285" s="47" t="str">
        <x:v>RT-B</x:v>
      </x:c>
      <x:c r="D285" s="47" t="str">
        <x:v>RT-B-C</x:v>
      </x:c>
      <x:c r="E285" s="47" t="str">
        <x:v>CIVIL</x:v>
      </x:c>
      <x:c r="F285" s="47" t="str">
        <x:v>C09</x:v>
      </x:c>
      <x:c r="G285" s="47" t="str">
        <x:v>Compare semantic deltas after commitment</x:v>
      </x:c>
      <x:c r="H285" s="47" t="n">
        <x:v>1</x:v>
      </x:c>
      <x:c r="I285" s="56" t="n">
        <x:v>0</x:v>
      </x:c>
      <x:c r="J285" s="59" t="n">
        <x:f>Inputs!$B$11</x:f>
        <x:v>1</x:v>
      </x:c>
      <x:c r="K285" s="59" t="n">
        <x:f>Inputs!$B$13</x:f>
        <x:v>0</x:v>
      </x:c>
      <x:c r="L285" s="59" t="str">
        <x:f>IF(OR(J285&lt;&gt;1,K285&lt;&gt;0),"TERMINATE",IF(I285=H285,"PASS","OPEN"))</x:f>
        <x:v>OPEN</x:v>
      </x:c>
      <x:c r="M285" s="84"/>
      <x:c r="N285" s="84"/>
    </x:row>
    <x:row r="286">
      <x:c r="A286" s="47" t="str">
        <x:v>CR280</x:v>
      </x:c>
      <x:c r="B286" s="47" t="str">
        <x:v>P28</x:v>
      </x:c>
      <x:c r="C286" s="47" t="str">
        <x:v>RT-B</x:v>
      </x:c>
      <x:c r="D286" s="47" t="str">
        <x:v>RT-B-C</x:v>
      </x:c>
      <x:c r="E286" s="47" t="str">
        <x:v>CIVIL</x:v>
      </x:c>
      <x:c r="F286" s="47" t="str">
        <x:v>C10</x:v>
      </x:c>
      <x:c r="G286" s="47" t="str">
        <x:v>Seal divergence or acceptance packet</x:v>
      </x:c>
      <x:c r="H286" s="47" t="n">
        <x:v>1</x:v>
      </x:c>
      <x:c r="I286" s="56" t="n">
        <x:v>0</x:v>
      </x:c>
      <x:c r="J286" s="59" t="n">
        <x:f>Inputs!$B$11</x:f>
        <x:v>1</x:v>
      </x:c>
      <x:c r="K286" s="59" t="n">
        <x:f>Inputs!$B$13</x:f>
        <x:v>0</x:v>
      </x:c>
      <x:c r="L286" s="59" t="str">
        <x:f>IF(OR(J286&lt;&gt;1,K286&lt;&gt;0),"TERMINATE",IF(I286=H286,"PASS","OPEN"))</x:f>
        <x:v>OPEN</x:v>
      </x:c>
      <x:c r="M286" s="84"/>
      <x:c r="N286" s="84"/>
    </x:row>
    <x:row r="287">
      <x:c r="A287" s="47" t="str">
        <x:v>CR281</x:v>
      </x:c>
      <x:c r="B287" s="47" t="str">
        <x:v>P29</x:v>
      </x:c>
      <x:c r="C287" s="47" t="str">
        <x:v>RT-B</x:v>
      </x:c>
      <x:c r="D287" s="47" t="str">
        <x:v>RT-B-C</x:v>
      </x:c>
      <x:c r="E287" s="47" t="str">
        <x:v>ARTICLE</x:v>
      </x:c>
      <x:c r="F287" s="47" t="str">
        <x:v>C01</x:v>
      </x:c>
      <x:c r="G287" s="47" t="str">
        <x:v>Receive public contract without native outputs</x:v>
      </x:c>
      <x:c r="H287" s="47" t="n">
        <x:v>1</x:v>
      </x:c>
      <x:c r="I287" s="56" t="n">
        <x:v>0</x:v>
      </x:c>
      <x:c r="J287" s="59" t="n">
        <x:f>Inputs!$B$11</x:f>
        <x:v>1</x:v>
      </x:c>
      <x:c r="K287" s="59" t="n">
        <x:f>Inputs!$B$13</x:f>
        <x:v>0</x:v>
      </x:c>
      <x:c r="L287" s="59" t="str">
        <x:f>IF(OR(J287&lt;&gt;1,K287&lt;&gt;0),"TERMINATE",IF(I287=H287,"PASS","OPEN"))</x:f>
        <x:v>OPEN</x:v>
      </x:c>
      <x:c r="M287" s="84"/>
      <x:c r="N287" s="84"/>
    </x:row>
    <x:row r="288">
      <x:c r="A288" s="47" t="str">
        <x:v>CR282</x:v>
      </x:c>
      <x:c r="B288" s="47" t="str">
        <x:v>P29</x:v>
      </x:c>
      <x:c r="C288" s="47" t="str">
        <x:v>RT-B</x:v>
      </x:c>
      <x:c r="D288" s="47" t="str">
        <x:v>RT-B-C</x:v>
      </x:c>
      <x:c r="E288" s="47" t="str">
        <x:v>ARTICLE</x:v>
      </x:c>
      <x:c r="F288" s="47" t="str">
        <x:v>C02</x:v>
      </x:c>
      <x:c r="G288" s="47" t="str">
        <x:v>Declare disjoint people, control and toolchain</x:v>
      </x:c>
      <x:c r="H288" s="47" t="n">
        <x:v>1</x:v>
      </x:c>
      <x:c r="I288" s="56" t="n">
        <x:v>0</x:v>
      </x:c>
      <x:c r="J288" s="59" t="n">
        <x:f>Inputs!$B$11</x:f>
        <x:v>1</x:v>
      </x:c>
      <x:c r="K288" s="59" t="n">
        <x:f>Inputs!$B$13</x:f>
        <x:v>0</x:v>
      </x:c>
      <x:c r="L288" s="59" t="str">
        <x:f>IF(OR(J288&lt;&gt;1,K288&lt;&gt;0),"TERMINATE",IF(I288=H288,"PASS","OPEN"))</x:f>
        <x:v>OPEN</x:v>
      </x:c>
      <x:c r="M288" s="84"/>
      <x:c r="N288" s="84"/>
    </x:row>
    <x:row r="289">
      <x:c r="A289" s="47" t="str">
        <x:v>CR283</x:v>
      </x:c>
      <x:c r="B289" s="47" t="str">
        <x:v>P29</x:v>
      </x:c>
      <x:c r="C289" s="47" t="str">
        <x:v>RT-B</x:v>
      </x:c>
      <x:c r="D289" s="47" t="str">
        <x:v>RT-B-C</x:v>
      </x:c>
      <x:c r="E289" s="47" t="str">
        <x:v>ARTICLE</x:v>
      </x:c>
      <x:c r="F289" s="47" t="str">
        <x:v>C03</x:v>
      </x:c>
      <x:c r="G289" s="47" t="str">
        <x:v>Reconstruct units, datums and system boundary</x:v>
      </x:c>
      <x:c r="H289" s="47" t="n">
        <x:v>1</x:v>
      </x:c>
      <x:c r="I289" s="56" t="n">
        <x:v>0</x:v>
      </x:c>
      <x:c r="J289" s="59" t="n">
        <x:f>Inputs!$B$11</x:f>
        <x:v>1</x:v>
      </x:c>
      <x:c r="K289" s="59" t="n">
        <x:f>Inputs!$B$13</x:f>
        <x:v>0</x:v>
      </x:c>
      <x:c r="L289" s="59" t="str">
        <x:f>IF(OR(J289&lt;&gt;1,K289&lt;&gt;0),"TERMINATE",IF(I289=H289,"PASS","OPEN"))</x:f>
        <x:v>OPEN</x:v>
      </x:c>
      <x:c r="M289" s="84"/>
      <x:c r="N289" s="84"/>
    </x:row>
    <x:row r="290">
      <x:c r="A290" s="47" t="str">
        <x:v>CR284</x:v>
      </x:c>
      <x:c r="B290" s="47" t="str">
        <x:v>P29</x:v>
      </x:c>
      <x:c r="C290" s="47" t="str">
        <x:v>RT-B</x:v>
      </x:c>
      <x:c r="D290" s="47" t="str">
        <x:v>RT-B-C</x:v>
      </x:c>
      <x:c r="E290" s="47" t="str">
        <x:v>ARTICLE</x:v>
      </x:c>
      <x:c r="F290" s="47" t="str">
        <x:v>C04</x:v>
      </x:c>
      <x:c r="G290" s="47" t="str">
        <x:v>Reimplement the causal model</x:v>
      </x:c>
      <x:c r="H290" s="47" t="n">
        <x:v>1</x:v>
      </x:c>
      <x:c r="I290" s="56" t="n">
        <x:v>0</x:v>
      </x:c>
      <x:c r="J290" s="59" t="n">
        <x:f>Inputs!$B$11</x:f>
        <x:v>1</x:v>
      </x:c>
      <x:c r="K290" s="59" t="n">
        <x:f>Inputs!$B$13</x:f>
        <x:v>0</x:v>
      </x:c>
      <x:c r="L290" s="59" t="str">
        <x:f>IF(OR(J290&lt;&gt;1,K290&lt;&gt;0),"TERMINATE",IF(I290=H290,"PASS","OPEN"))</x:f>
        <x:v>OPEN</x:v>
      </x:c>
      <x:c r="M290" s="84"/>
      <x:c r="N290" s="84"/>
    </x:row>
    <x:row r="291">
      <x:c r="A291" s="47" t="str">
        <x:v>CR285</x:v>
      </x:c>
      <x:c r="B291" s="47" t="str">
        <x:v>P29</x:v>
      </x:c>
      <x:c r="C291" s="47" t="str">
        <x:v>RT-B</x:v>
      </x:c>
      <x:c r="D291" s="47" t="str">
        <x:v>RT-B-C</x:v>
      </x:c>
      <x:c r="E291" s="47" t="str">
        <x:v>ARTICLE</x:v>
      </x:c>
      <x:c r="F291" s="47" t="str">
        <x:v>C05</x:v>
      </x:c>
      <x:c r="G291" s="47" t="str">
        <x:v>Rebuild material and process assumptions</x:v>
      </x:c>
      <x:c r="H291" s="47" t="n">
        <x:v>1</x:v>
      </x:c>
      <x:c r="I291" s="56" t="n">
        <x:v>0</x:v>
      </x:c>
      <x:c r="J291" s="59" t="n">
        <x:f>Inputs!$B$11</x:f>
        <x:v>1</x:v>
      </x:c>
      <x:c r="K291" s="59" t="n">
        <x:f>Inputs!$B$13</x:f>
        <x:v>0</x:v>
      </x:c>
      <x:c r="L291" s="59" t="str">
        <x:f>IF(OR(J291&lt;&gt;1,K291&lt;&gt;0),"TERMINATE",IF(I291=H291,"PASS","OPEN"))</x:f>
        <x:v>OPEN</x:v>
      </x:c>
      <x:c r="M291" s="84"/>
      <x:c r="N291" s="84"/>
    </x:row>
    <x:row r="292">
      <x:c r="A292" s="47" t="str">
        <x:v>CR286</x:v>
      </x:c>
      <x:c r="B292" s="47" t="str">
        <x:v>P29</x:v>
      </x:c>
      <x:c r="C292" s="47" t="str">
        <x:v>RT-B</x:v>
      </x:c>
      <x:c r="D292" s="47" t="str">
        <x:v>RT-B-C</x:v>
      </x:c>
      <x:c r="E292" s="47" t="str">
        <x:v>ARTICLE</x:v>
      </x:c>
      <x:c r="F292" s="47" t="str">
        <x:v>C06</x:v>
      </x:c>
      <x:c r="G292" s="47" t="str">
        <x:v>Recreate the frozen challenge case</x:v>
      </x:c>
      <x:c r="H292" s="47" t="n">
        <x:v>1</x:v>
      </x:c>
      <x:c r="I292" s="56" t="n">
        <x:v>0</x:v>
      </x:c>
      <x:c r="J292" s="59" t="n">
        <x:f>Inputs!$B$11</x:f>
        <x:v>1</x:v>
      </x:c>
      <x:c r="K292" s="59" t="n">
        <x:f>Inputs!$B$13</x:f>
        <x:v>0</x:v>
      </x:c>
      <x:c r="L292" s="59" t="str">
        <x:f>IF(OR(J292&lt;&gt;1,K292&lt;&gt;0),"TERMINATE",IF(I292=H292,"PASS","OPEN"))</x:f>
        <x:v>OPEN</x:v>
      </x:c>
      <x:c r="M292" s="84"/>
      <x:c r="N292" s="84"/>
    </x:row>
    <x:row r="293">
      <x:c r="A293" s="47" t="str">
        <x:v>CR287</x:v>
      </x:c>
      <x:c r="B293" s="47" t="str">
        <x:v>P29</x:v>
      </x:c>
      <x:c r="C293" s="47" t="str">
        <x:v>RT-B</x:v>
      </x:c>
      <x:c r="D293" s="47" t="str">
        <x:v>RT-B-C</x:v>
      </x:c>
      <x:c r="E293" s="47" t="str">
        <x:v>ARTICLE</x:v>
      </x:c>
      <x:c r="F293" s="47" t="str">
        <x:v>C07</x:v>
      </x:c>
      <x:c r="G293" s="47" t="str">
        <x:v>Calculate six invariants independently</x:v>
      </x:c>
      <x:c r="H293" s="47" t="n">
        <x:v>1</x:v>
      </x:c>
      <x:c r="I293" s="56" t="n">
        <x:v>0</x:v>
      </x:c>
      <x:c r="J293" s="59" t="n">
        <x:f>Inputs!$B$11</x:f>
        <x:v>1</x:v>
      </x:c>
      <x:c r="K293" s="59" t="n">
        <x:f>Inputs!$B$13</x:f>
        <x:v>0</x:v>
      </x:c>
      <x:c r="L293" s="59" t="str">
        <x:f>IF(OR(J293&lt;&gt;1,K293&lt;&gt;0),"TERMINATE",IF(I293=H293,"PASS","OPEN"))</x:f>
        <x:v>OPEN</x:v>
      </x:c>
      <x:c r="M293" s="84"/>
      <x:c r="N293" s="84"/>
    </x:row>
    <x:row r="294">
      <x:c r="A294" s="47" t="str">
        <x:v>CR288</x:v>
      </x:c>
      <x:c r="B294" s="47" t="str">
        <x:v>P29</x:v>
      </x:c>
      <x:c r="C294" s="47" t="str">
        <x:v>RT-B</x:v>
      </x:c>
      <x:c r="D294" s="47" t="str">
        <x:v>RT-B-C</x:v>
      </x:c>
      <x:c r="E294" s="47" t="str">
        <x:v>ARTICLE</x:v>
      </x:c>
      <x:c r="F294" s="47" t="str">
        <x:v>C08</x:v>
      </x:c>
      <x:c r="G294" s="47" t="str">
        <x:v>Commit results before native disclosure</x:v>
      </x:c>
      <x:c r="H294" s="47" t="n">
        <x:v>1</x:v>
      </x:c>
      <x:c r="I294" s="56" t="n">
        <x:v>0</x:v>
      </x:c>
      <x:c r="J294" s="59" t="n">
        <x:f>Inputs!$B$11</x:f>
        <x:v>1</x:v>
      </x:c>
      <x:c r="K294" s="59" t="n">
        <x:f>Inputs!$B$13</x:f>
        <x:v>0</x:v>
      </x:c>
      <x:c r="L294" s="59" t="str">
        <x:f>IF(OR(J294&lt;&gt;1,K294&lt;&gt;0),"TERMINATE",IF(I294=H294,"PASS","OPEN"))</x:f>
        <x:v>OPEN</x:v>
      </x:c>
      <x:c r="M294" s="84"/>
      <x:c r="N294" s="84"/>
    </x:row>
    <x:row r="295">
      <x:c r="A295" s="47" t="str">
        <x:v>CR289</x:v>
      </x:c>
      <x:c r="B295" s="47" t="str">
        <x:v>P29</x:v>
      </x:c>
      <x:c r="C295" s="47" t="str">
        <x:v>RT-B</x:v>
      </x:c>
      <x:c r="D295" s="47" t="str">
        <x:v>RT-B-C</x:v>
      </x:c>
      <x:c r="E295" s="47" t="str">
        <x:v>ARTICLE</x:v>
      </x:c>
      <x:c r="F295" s="47" t="str">
        <x:v>C09</x:v>
      </x:c>
      <x:c r="G295" s="47" t="str">
        <x:v>Compare semantic deltas after commitment</x:v>
      </x:c>
      <x:c r="H295" s="47" t="n">
        <x:v>1</x:v>
      </x:c>
      <x:c r="I295" s="56" t="n">
        <x:v>0</x:v>
      </x:c>
      <x:c r="J295" s="59" t="n">
        <x:f>Inputs!$B$11</x:f>
        <x:v>1</x:v>
      </x:c>
      <x:c r="K295" s="59" t="n">
        <x:f>Inputs!$B$13</x:f>
        <x:v>0</x:v>
      </x:c>
      <x:c r="L295" s="59" t="str">
        <x:f>IF(OR(J295&lt;&gt;1,K295&lt;&gt;0),"TERMINATE",IF(I295=H295,"PASS","OPEN"))</x:f>
        <x:v>OPEN</x:v>
      </x:c>
      <x:c r="M295" s="84"/>
      <x:c r="N295" s="84"/>
    </x:row>
    <x:row r="296">
      <x:c r="A296" s="47" t="str">
        <x:v>CR290</x:v>
      </x:c>
      <x:c r="B296" s="47" t="str">
        <x:v>P29</x:v>
      </x:c>
      <x:c r="C296" s="47" t="str">
        <x:v>RT-B</x:v>
      </x:c>
      <x:c r="D296" s="47" t="str">
        <x:v>RT-B-C</x:v>
      </x:c>
      <x:c r="E296" s="47" t="str">
        <x:v>ARTICLE</x:v>
      </x:c>
      <x:c r="F296" s="47" t="str">
        <x:v>C10</x:v>
      </x:c>
      <x:c r="G296" s="47" t="str">
        <x:v>Seal divergence or acceptance packet</x:v>
      </x:c>
      <x:c r="H296" s="47" t="n">
        <x:v>1</x:v>
      </x:c>
      <x:c r="I296" s="56" t="n">
        <x:v>0</x:v>
      </x:c>
      <x:c r="J296" s="59" t="n">
        <x:f>Inputs!$B$11</x:f>
        <x:v>1</x:v>
      </x:c>
      <x:c r="K296" s="59" t="n">
        <x:f>Inputs!$B$13</x:f>
        <x:v>0</x:v>
      </x:c>
      <x:c r="L296" s="59" t="str">
        <x:f>IF(OR(J296&lt;&gt;1,K296&lt;&gt;0),"TERMINATE",IF(I296=H296,"PASS","OPEN"))</x:f>
        <x:v>OPEN</x:v>
      </x:c>
      <x:c r="M296" s="84"/>
      <x:c r="N296" s="84"/>
    </x:row>
    <x:row r="297">
      <x:c r="A297" s="47" t="str">
        <x:v>CR291</x:v>
      </x:c>
      <x:c r="B297" s="47" t="str">
        <x:v>P30</x:v>
      </x:c>
      <x:c r="C297" s="47" t="str">
        <x:v>RT-B</x:v>
      </x:c>
      <x:c r="D297" s="47" t="str">
        <x:v>RT-B-C</x:v>
      </x:c>
      <x:c r="E297" s="47" t="str">
        <x:v>REBUILD</x:v>
      </x:c>
      <x:c r="F297" s="47" t="str">
        <x:v>C01</x:v>
      </x:c>
      <x:c r="G297" s="47" t="str">
        <x:v>Receive public contract without native outputs</x:v>
      </x:c>
      <x:c r="H297" s="47" t="n">
        <x:v>1</x:v>
      </x:c>
      <x:c r="I297" s="56" t="n">
        <x:v>0</x:v>
      </x:c>
      <x:c r="J297" s="59" t="n">
        <x:f>Inputs!$B$11</x:f>
        <x:v>1</x:v>
      </x:c>
      <x:c r="K297" s="59" t="n">
        <x:f>Inputs!$B$13</x:f>
        <x:v>0</x:v>
      </x:c>
      <x:c r="L297" s="59" t="str">
        <x:f>IF(OR(J297&lt;&gt;1,K297&lt;&gt;0),"TERMINATE",IF(I297=H297,"PASS","OPEN"))</x:f>
        <x:v>OPEN</x:v>
      </x:c>
      <x:c r="M297" s="84"/>
      <x:c r="N297" s="84"/>
    </x:row>
    <x:row r="298">
      <x:c r="A298" s="47" t="str">
        <x:v>CR292</x:v>
      </x:c>
      <x:c r="B298" s="47" t="str">
        <x:v>P30</x:v>
      </x:c>
      <x:c r="C298" s="47" t="str">
        <x:v>RT-B</x:v>
      </x:c>
      <x:c r="D298" s="47" t="str">
        <x:v>RT-B-C</x:v>
      </x:c>
      <x:c r="E298" s="47" t="str">
        <x:v>REBUILD</x:v>
      </x:c>
      <x:c r="F298" s="47" t="str">
        <x:v>C02</x:v>
      </x:c>
      <x:c r="G298" s="47" t="str">
        <x:v>Declare disjoint people, control and toolchain</x:v>
      </x:c>
      <x:c r="H298" s="47" t="n">
        <x:v>1</x:v>
      </x:c>
      <x:c r="I298" s="56" t="n">
        <x:v>0</x:v>
      </x:c>
      <x:c r="J298" s="59" t="n">
        <x:f>Inputs!$B$11</x:f>
        <x:v>1</x:v>
      </x:c>
      <x:c r="K298" s="59" t="n">
        <x:f>Inputs!$B$13</x:f>
        <x:v>0</x:v>
      </x:c>
      <x:c r="L298" s="59" t="str">
        <x:f>IF(OR(J298&lt;&gt;1,K298&lt;&gt;0),"TERMINATE",IF(I298=H298,"PASS","OPEN"))</x:f>
        <x:v>OPEN</x:v>
      </x:c>
      <x:c r="M298" s="84"/>
      <x:c r="N298" s="84"/>
    </x:row>
    <x:row r="299">
      <x:c r="A299" s="47" t="str">
        <x:v>CR293</x:v>
      </x:c>
      <x:c r="B299" s="47" t="str">
        <x:v>P30</x:v>
      </x:c>
      <x:c r="C299" s="47" t="str">
        <x:v>RT-B</x:v>
      </x:c>
      <x:c r="D299" s="47" t="str">
        <x:v>RT-B-C</x:v>
      </x:c>
      <x:c r="E299" s="47" t="str">
        <x:v>REBUILD</x:v>
      </x:c>
      <x:c r="F299" s="47" t="str">
        <x:v>C03</x:v>
      </x:c>
      <x:c r="G299" s="47" t="str">
        <x:v>Reconstruct units, datums and system boundary</x:v>
      </x:c>
      <x:c r="H299" s="47" t="n">
        <x:v>1</x:v>
      </x:c>
      <x:c r="I299" s="56" t="n">
        <x:v>0</x:v>
      </x:c>
      <x:c r="J299" s="59" t="n">
        <x:f>Inputs!$B$11</x:f>
        <x:v>1</x:v>
      </x:c>
      <x:c r="K299" s="59" t="n">
        <x:f>Inputs!$B$13</x:f>
        <x:v>0</x:v>
      </x:c>
      <x:c r="L299" s="59" t="str">
        <x:f>IF(OR(J299&lt;&gt;1,K299&lt;&gt;0),"TERMINATE",IF(I299=H299,"PASS","OPEN"))</x:f>
        <x:v>OPEN</x:v>
      </x:c>
      <x:c r="M299" s="84"/>
      <x:c r="N299" s="84"/>
    </x:row>
    <x:row r="300">
      <x:c r="A300" s="47" t="str">
        <x:v>CR294</x:v>
      </x:c>
      <x:c r="B300" s="47" t="str">
        <x:v>P30</x:v>
      </x:c>
      <x:c r="C300" s="47" t="str">
        <x:v>RT-B</x:v>
      </x:c>
      <x:c r="D300" s="47" t="str">
        <x:v>RT-B-C</x:v>
      </x:c>
      <x:c r="E300" s="47" t="str">
        <x:v>REBUILD</x:v>
      </x:c>
      <x:c r="F300" s="47" t="str">
        <x:v>C04</x:v>
      </x:c>
      <x:c r="G300" s="47" t="str">
        <x:v>Reimplement the causal model</x:v>
      </x:c>
      <x:c r="H300" s="47" t="n">
        <x:v>1</x:v>
      </x:c>
      <x:c r="I300" s="56" t="n">
        <x:v>0</x:v>
      </x:c>
      <x:c r="J300" s="59" t="n">
        <x:f>Inputs!$B$11</x:f>
        <x:v>1</x:v>
      </x:c>
      <x:c r="K300" s="59" t="n">
        <x:f>Inputs!$B$13</x:f>
        <x:v>0</x:v>
      </x:c>
      <x:c r="L300" s="59" t="str">
        <x:f>IF(OR(J300&lt;&gt;1,K300&lt;&gt;0),"TERMINATE",IF(I300=H300,"PASS","OPEN"))</x:f>
        <x:v>OPEN</x:v>
      </x:c>
      <x:c r="M300" s="84"/>
      <x:c r="N300" s="84"/>
    </x:row>
    <x:row r="301">
      <x:c r="A301" s="47" t="str">
        <x:v>CR295</x:v>
      </x:c>
      <x:c r="B301" s="47" t="str">
        <x:v>P30</x:v>
      </x:c>
      <x:c r="C301" s="47" t="str">
        <x:v>RT-B</x:v>
      </x:c>
      <x:c r="D301" s="47" t="str">
        <x:v>RT-B-C</x:v>
      </x:c>
      <x:c r="E301" s="47" t="str">
        <x:v>REBUILD</x:v>
      </x:c>
      <x:c r="F301" s="47" t="str">
        <x:v>C05</x:v>
      </x:c>
      <x:c r="G301" s="47" t="str">
        <x:v>Rebuild material and process assumptions</x:v>
      </x:c>
      <x:c r="H301" s="47" t="n">
        <x:v>1</x:v>
      </x:c>
      <x:c r="I301" s="56" t="n">
        <x:v>0</x:v>
      </x:c>
      <x:c r="J301" s="59" t="n">
        <x:f>Inputs!$B$11</x:f>
        <x:v>1</x:v>
      </x:c>
      <x:c r="K301" s="59" t="n">
        <x:f>Inputs!$B$13</x:f>
        <x:v>0</x:v>
      </x:c>
      <x:c r="L301" s="59" t="str">
        <x:f>IF(OR(J301&lt;&gt;1,K301&lt;&gt;0),"TERMINATE",IF(I301=H301,"PASS","OPEN"))</x:f>
        <x:v>OPEN</x:v>
      </x:c>
      <x:c r="M301" s="84"/>
      <x:c r="N301" s="84"/>
    </x:row>
    <x:row r="302">
      <x:c r="A302" s="47" t="str">
        <x:v>CR296</x:v>
      </x:c>
      <x:c r="B302" s="47" t="str">
        <x:v>P30</x:v>
      </x:c>
      <x:c r="C302" s="47" t="str">
        <x:v>RT-B</x:v>
      </x:c>
      <x:c r="D302" s="47" t="str">
        <x:v>RT-B-C</x:v>
      </x:c>
      <x:c r="E302" s="47" t="str">
        <x:v>REBUILD</x:v>
      </x:c>
      <x:c r="F302" s="47" t="str">
        <x:v>C06</x:v>
      </x:c>
      <x:c r="G302" s="47" t="str">
        <x:v>Recreate the frozen challenge case</x:v>
      </x:c>
      <x:c r="H302" s="47" t="n">
        <x:v>1</x:v>
      </x:c>
      <x:c r="I302" s="56" t="n">
        <x:v>0</x:v>
      </x:c>
      <x:c r="J302" s="59" t="n">
        <x:f>Inputs!$B$11</x:f>
        <x:v>1</x:v>
      </x:c>
      <x:c r="K302" s="59" t="n">
        <x:f>Inputs!$B$13</x:f>
        <x:v>0</x:v>
      </x:c>
      <x:c r="L302" s="59" t="str">
        <x:f>IF(OR(J302&lt;&gt;1,K302&lt;&gt;0),"TERMINATE",IF(I302=H302,"PASS","OPEN"))</x:f>
        <x:v>OPEN</x:v>
      </x:c>
      <x:c r="M302" s="84"/>
      <x:c r="N302" s="84"/>
    </x:row>
    <x:row r="303">
      <x:c r="A303" s="47" t="str">
        <x:v>CR297</x:v>
      </x:c>
      <x:c r="B303" s="47" t="str">
        <x:v>P30</x:v>
      </x:c>
      <x:c r="C303" s="47" t="str">
        <x:v>RT-B</x:v>
      </x:c>
      <x:c r="D303" s="47" t="str">
        <x:v>RT-B-C</x:v>
      </x:c>
      <x:c r="E303" s="47" t="str">
        <x:v>REBUILD</x:v>
      </x:c>
      <x:c r="F303" s="47" t="str">
        <x:v>C07</x:v>
      </x:c>
      <x:c r="G303" s="47" t="str">
        <x:v>Calculate six invariants independently</x:v>
      </x:c>
      <x:c r="H303" s="47" t="n">
        <x:v>1</x:v>
      </x:c>
      <x:c r="I303" s="56" t="n">
        <x:v>0</x:v>
      </x:c>
      <x:c r="J303" s="59" t="n">
        <x:f>Inputs!$B$11</x:f>
        <x:v>1</x:v>
      </x:c>
      <x:c r="K303" s="59" t="n">
        <x:f>Inputs!$B$13</x:f>
        <x:v>0</x:v>
      </x:c>
      <x:c r="L303" s="59" t="str">
        <x:f>IF(OR(J303&lt;&gt;1,K303&lt;&gt;0),"TERMINATE",IF(I303=H303,"PASS","OPEN"))</x:f>
        <x:v>OPEN</x:v>
      </x:c>
      <x:c r="M303" s="84"/>
      <x:c r="N303" s="84"/>
    </x:row>
    <x:row r="304">
      <x:c r="A304" s="47" t="str">
        <x:v>CR298</x:v>
      </x:c>
      <x:c r="B304" s="47" t="str">
        <x:v>P30</x:v>
      </x:c>
      <x:c r="C304" s="47" t="str">
        <x:v>RT-B</x:v>
      </x:c>
      <x:c r="D304" s="47" t="str">
        <x:v>RT-B-C</x:v>
      </x:c>
      <x:c r="E304" s="47" t="str">
        <x:v>REBUILD</x:v>
      </x:c>
      <x:c r="F304" s="47" t="str">
        <x:v>C08</x:v>
      </x:c>
      <x:c r="G304" s="47" t="str">
        <x:v>Commit results before native disclosure</x:v>
      </x:c>
      <x:c r="H304" s="47" t="n">
        <x:v>1</x:v>
      </x:c>
      <x:c r="I304" s="56" t="n">
        <x:v>0</x:v>
      </x:c>
      <x:c r="J304" s="59" t="n">
        <x:f>Inputs!$B$11</x:f>
        <x:v>1</x:v>
      </x:c>
      <x:c r="K304" s="59" t="n">
        <x:f>Inputs!$B$13</x:f>
        <x:v>0</x:v>
      </x:c>
      <x:c r="L304" s="59" t="str">
        <x:f>IF(OR(J304&lt;&gt;1,K304&lt;&gt;0),"TERMINATE",IF(I304=H304,"PASS","OPEN"))</x:f>
        <x:v>OPEN</x:v>
      </x:c>
      <x:c r="M304" s="84"/>
      <x:c r="N304" s="84"/>
    </x:row>
    <x:row r="305">
      <x:c r="A305" s="47" t="str">
        <x:v>CR299</x:v>
      </x:c>
      <x:c r="B305" s="47" t="str">
        <x:v>P30</x:v>
      </x:c>
      <x:c r="C305" s="47" t="str">
        <x:v>RT-B</x:v>
      </x:c>
      <x:c r="D305" s="47" t="str">
        <x:v>RT-B-C</x:v>
      </x:c>
      <x:c r="E305" s="47" t="str">
        <x:v>REBUILD</x:v>
      </x:c>
      <x:c r="F305" s="47" t="str">
        <x:v>C09</x:v>
      </x:c>
      <x:c r="G305" s="47" t="str">
        <x:v>Compare semantic deltas after commitment</x:v>
      </x:c>
      <x:c r="H305" s="47" t="n">
        <x:v>1</x:v>
      </x:c>
      <x:c r="I305" s="56" t="n">
        <x:v>0</x:v>
      </x:c>
      <x:c r="J305" s="59" t="n">
        <x:f>Inputs!$B$11</x:f>
        <x:v>1</x:v>
      </x:c>
      <x:c r="K305" s="59" t="n">
        <x:f>Inputs!$B$13</x:f>
        <x:v>0</x:v>
      </x:c>
      <x:c r="L305" s="59" t="str">
        <x:f>IF(OR(J305&lt;&gt;1,K305&lt;&gt;0),"TERMINATE",IF(I305=H305,"PASS","OPEN"))</x:f>
        <x:v>OPEN</x:v>
      </x:c>
      <x:c r="M305" s="84"/>
      <x:c r="N305" s="84"/>
    </x:row>
    <x:row r="306">
      <x:c r="A306" s="47" t="str">
        <x:v>CR300</x:v>
      </x:c>
      <x:c r="B306" s="47" t="str">
        <x:v>P30</x:v>
      </x:c>
      <x:c r="C306" s="47" t="str">
        <x:v>RT-B</x:v>
      </x:c>
      <x:c r="D306" s="47" t="str">
        <x:v>RT-B-C</x:v>
      </x:c>
      <x:c r="E306" s="47" t="str">
        <x:v>REBUILD</x:v>
      </x:c>
      <x:c r="F306" s="47" t="str">
        <x:v>C10</x:v>
      </x:c>
      <x:c r="G306" s="47" t="str">
        <x:v>Seal divergence or acceptance packet</x:v>
      </x:c>
      <x:c r="H306" s="47" t="n">
        <x:v>1</x:v>
      </x:c>
      <x:c r="I306" s="56" t="n">
        <x:v>0</x:v>
      </x:c>
      <x:c r="J306" s="59" t="n">
        <x:f>Inputs!$B$11</x:f>
        <x:v>1</x:v>
      </x:c>
      <x:c r="K306" s="59" t="n">
        <x:f>Inputs!$B$13</x:f>
        <x:v>0</x:v>
      </x:c>
      <x:c r="L306" s="59" t="str">
        <x:f>IF(OR(J306&lt;&gt;1,K306&lt;&gt;0),"TERMINATE",IF(I306=H306,"PASS","OPEN"))</x:f>
        <x:v>OPEN</x:v>
      </x:c>
      <x:c r="M306" s="84"/>
      <x:c r="N306" s="84"/>
    </x:row>
  </x:sheetData>
  <x:mergeCells>
    <x:mergeCell ref="A2:N2"/>
    <x:mergeCell ref="A4:N4"/>
  </x:mergeCells>
  <x:conditionalFormatting sqref="L7:L306">
    <x:cfRule type="containsText" dxfId="1" priority="1" operator="containsText" text="TERMINA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6" hidden="0" customWidth="1"/>
  </x:cols>
  <x:sheetData>
    <x:row r="2">
      <x:c r="A2" s="83" t="str">
        <x:v>Dual-reconstruction semantic comparison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Acceptance requires a complete capsule, eight native stages, ten clean stages and six committed invariant matches. The result remains design validity only.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25" t="str">
        <x:v>Package</x:v>
      </x:c>
      <x:c r="B6" s="26" t="str">
        <x:v>Root</x:v>
      </x:c>
      <x:c r="C6" s="26" t="str">
        <x:v>Form</x:v>
      </x:c>
      <x:c r="D6" s="26" t="str">
        <x:v>Type</x:v>
      </x:c>
      <x:c r="E6" s="26" t="str">
        <x:v>Fields complete</x:v>
      </x:c>
      <x:c r="F6" s="26" t="str">
        <x:v>Fields required</x:v>
      </x:c>
      <x:c r="G6" s="26" t="str">
        <x:v>Native stages</x:v>
      </x:c>
      <x:c r="H6" s="26" t="str">
        <x:v>Native required</x:v>
      </x:c>
      <x:c r="I6" s="26" t="str">
        <x:v>Clean stages</x:v>
      </x:c>
      <x:c r="J6" s="26" t="str">
        <x:v>Clean required</x:v>
      </x:c>
      <x:c r="K6" s="26" t="str">
        <x:v>Invariant matches</x:v>
      </x:c>
      <x:c r="L6" s="26" t="str">
        <x:v>Invariant required</x:v>
      </x:c>
      <x:c r="M6" s="26" t="str">
        <x:v>Constitution</x:v>
      </x:c>
      <x:c r="N6" s="27" t="str">
        <x:v>Package state</x:v>
      </x:c>
    </x:row>
    <x:row r="7">
      <x:c r="A7" s="47" t="str">
        <x:v>P01</x:v>
      </x:c>
      <x:c r="B7" s="47" t="str">
        <x:v>ET-A</x:v>
      </x:c>
      <x:c r="C7" s="47" t="str">
        <x:v>ET-A-A</x:v>
      </x:c>
      <x:c r="D7" s="47" t="str">
        <x:v>METHOD</x:v>
      </x:c>
      <x:c r="E7" s="59" t="n">
        <x:f>COUNTIFS('Capsule Register'!$B$7:$B$546,A7,'Capsule Register'!$M$7:$M$546,"COMPLETE")</x:f>
        <x:v>0</x:v>
      </x:c>
      <x:c r="F7" s="59" t="n">
        <x:f>Inputs!$B$7</x:f>
        <x:v>18</x:v>
      </x:c>
      <x:c r="G7" s="59" t="n">
        <x:f>COUNTIFS('Native Replay'!$B$7:$B$246,A7,'Native Replay'!$J$7:$J$246,"PASS")</x:f>
        <x:v>0</x:v>
      </x:c>
      <x:c r="H7" s="59" t="n">
        <x:f>Inputs!$B$9</x:f>
        <x:v>8</x:v>
      </x:c>
      <x:c r="I7" s="59" t="n">
        <x:f>COUNTIFS('Clean Rebuild'!$B$7:$B$306,A7,'Clean Rebuild'!$L$7:$L$306,"PASS")</x:f>
        <x:v>0</x:v>
      </x:c>
      <x:c r="J7" s="59" t="n">
        <x:f>Inputs!$B$10</x:f>
        <x:v>10</x:v>
      </x:c>
      <x:c r="K7" s="59" t="n">
        <x:f>COUNTIFS('Invariant Grammar'!$B$7:$B$186,A7,'Invariant Grammar'!$K$7:$K$186,"SEMANTIC MATCH")</x:f>
        <x:v>0</x:v>
      </x:c>
      <x:c r="L7" s="59" t="n">
        <x:f>Inputs!$B$8</x:f>
        <x:v>6</x:v>
      </x:c>
      <x:c r="M7" s="59" t="str">
        <x:f>IF(OR(Inputs!$B$11&lt;&gt;1,Inputs!$B$12&lt;&gt;1,Inputs!$B$13&lt;&gt;0,Inputs!$B$14&lt;&gt;0),"TERMINATE","INTACT")</x:f>
        <x:v>INTACT</x:v>
      </x:c>
      <x:c r="N7" s="59" t="str">
        <x:f>IF(M7="TERMINATE","TERMINATE",IF(AND(E7=F7,G7=H7,I7=J7,K7=L7),"REPRODUCIBLE","OPEN"))</x:f>
        <x:v>OPEN</x:v>
      </x:c>
    </x:row>
    <x:row r="8">
      <x:c r="A8" s="47" t="str">
        <x:v>P02</x:v>
      </x:c>
      <x:c r="B8" s="47" t="str">
        <x:v>ET-A</x:v>
      </x:c>
      <x:c r="C8" s="47" t="str">
        <x:v>ET-A-A</x:v>
      </x:c>
      <x:c r="D8" s="47" t="str">
        <x:v>VALID</x:v>
      </x:c>
      <x:c r="E8" s="59" t="n">
        <x:f>COUNTIFS('Capsule Register'!$B$7:$B$546,A8,'Capsule Register'!$M$7:$M$546,"COMPLETE")</x:f>
        <x:v>0</x:v>
      </x:c>
      <x:c r="F8" s="59" t="n">
        <x:f>Inputs!$B$7</x:f>
        <x:v>18</x:v>
      </x:c>
      <x:c r="G8" s="59" t="n">
        <x:f>COUNTIFS('Native Replay'!$B$7:$B$246,A8,'Native Replay'!$J$7:$J$246,"PASS")</x:f>
        <x:v>0</x:v>
      </x:c>
      <x:c r="H8" s="59" t="n">
        <x:f>Inputs!$B$9</x:f>
        <x:v>8</x:v>
      </x:c>
      <x:c r="I8" s="59" t="n">
        <x:f>COUNTIFS('Clean Rebuild'!$B$7:$B$306,A8,'Clean Rebuild'!$L$7:$L$306,"PASS")</x:f>
        <x:v>0</x:v>
      </x:c>
      <x:c r="J8" s="59" t="n">
        <x:f>Inputs!$B$10</x:f>
        <x:v>10</x:v>
      </x:c>
      <x:c r="K8" s="59" t="n">
        <x:f>COUNTIFS('Invariant Grammar'!$B$7:$B$186,A8,'Invariant Grammar'!$K$7:$K$186,"SEMANTIC MATCH")</x:f>
        <x:v>0</x:v>
      </x:c>
      <x:c r="L8" s="59" t="n">
        <x:f>Inputs!$B$8</x:f>
        <x:v>6</x:v>
      </x:c>
      <x:c r="M8" s="59" t="str">
        <x:f>IF(OR(Inputs!$B$11&lt;&gt;1,Inputs!$B$12&lt;&gt;1,Inputs!$B$13&lt;&gt;0,Inputs!$B$14&lt;&gt;0),"TERMINATE","INTACT")</x:f>
        <x:v>INTACT</x:v>
      </x:c>
      <x:c r="N8" s="59" t="str">
        <x:f>IF(M8="TERMINATE","TERMINATE",IF(AND(E8=F8,G8=H8,I8=J8,K8=L8),"REPRODUCIBLE","OPEN"))</x:f>
        <x:v>OPEN</x:v>
      </x:c>
    </x:row>
    <x:row r="9">
      <x:c r="A9" s="47" t="str">
        <x:v>P03</x:v>
      </x:c>
      <x:c r="B9" s="47" t="str">
        <x:v>ET-A</x:v>
      </x:c>
      <x:c r="C9" s="47" t="str">
        <x:v>ET-A-A</x:v>
      </x:c>
      <x:c r="D9" s="47" t="str">
        <x:v>CIVIL</x:v>
      </x:c>
      <x:c r="E9" s="59" t="n">
        <x:f>COUNTIFS('Capsule Register'!$B$7:$B$546,A9,'Capsule Register'!$M$7:$M$546,"COMPLETE")</x:f>
        <x:v>0</x:v>
      </x:c>
      <x:c r="F9" s="59" t="n">
        <x:f>Inputs!$B$7</x:f>
        <x:v>18</x:v>
      </x:c>
      <x:c r="G9" s="59" t="n">
        <x:f>COUNTIFS('Native Replay'!$B$7:$B$246,A9,'Native Replay'!$J$7:$J$246,"PASS")</x:f>
        <x:v>0</x:v>
      </x:c>
      <x:c r="H9" s="59" t="n">
        <x:f>Inputs!$B$9</x:f>
        <x:v>8</x:v>
      </x:c>
      <x:c r="I9" s="59" t="n">
        <x:f>COUNTIFS('Clean Rebuild'!$B$7:$B$306,A9,'Clean Rebuild'!$L$7:$L$306,"PASS")</x:f>
        <x:v>0</x:v>
      </x:c>
      <x:c r="J9" s="59" t="n">
        <x:f>Inputs!$B$10</x:f>
        <x:v>10</x:v>
      </x:c>
      <x:c r="K9" s="59" t="n">
        <x:f>COUNTIFS('Invariant Grammar'!$B$7:$B$186,A9,'Invariant Grammar'!$K$7:$K$186,"SEMANTIC MATCH")</x:f>
        <x:v>0</x:v>
      </x:c>
      <x:c r="L9" s="59" t="n">
        <x:f>Inputs!$B$8</x:f>
        <x:v>6</x:v>
      </x:c>
      <x:c r="M9" s="59" t="str">
        <x:f>IF(OR(Inputs!$B$11&lt;&gt;1,Inputs!$B$12&lt;&gt;1,Inputs!$B$13&lt;&gt;0,Inputs!$B$14&lt;&gt;0),"TERMINATE","INTACT")</x:f>
        <x:v>INTACT</x:v>
      </x:c>
      <x:c r="N9" s="59" t="str">
        <x:f>IF(M9="TERMINATE","TERMINATE",IF(AND(E9=F9,G9=H9,I9=J9,K9=L9),"REPRODUCIBLE","OPEN"))</x:f>
        <x:v>OPEN</x:v>
      </x:c>
    </x:row>
    <x:row r="10">
      <x:c r="A10" s="47" t="str">
        <x:v>P04</x:v>
      </x:c>
      <x:c r="B10" s="47" t="str">
        <x:v>ET-A</x:v>
      </x:c>
      <x:c r="C10" s="47" t="str">
        <x:v>ET-A-A</x:v>
      </x:c>
      <x:c r="D10" s="47" t="str">
        <x:v>ARTICLE</x:v>
      </x:c>
      <x:c r="E10" s="59" t="n">
        <x:f>COUNTIFS('Capsule Register'!$B$7:$B$546,A10,'Capsule Register'!$M$7:$M$546,"COMPLETE")</x:f>
        <x:v>0</x:v>
      </x:c>
      <x:c r="F10" s="59" t="n">
        <x:f>Inputs!$B$7</x:f>
        <x:v>18</x:v>
      </x:c>
      <x:c r="G10" s="59" t="n">
        <x:f>COUNTIFS('Native Replay'!$B$7:$B$246,A10,'Native Replay'!$J$7:$J$246,"PASS")</x:f>
        <x:v>0</x:v>
      </x:c>
      <x:c r="H10" s="59" t="n">
        <x:f>Inputs!$B$9</x:f>
        <x:v>8</x:v>
      </x:c>
      <x:c r="I10" s="59" t="n">
        <x:f>COUNTIFS('Clean Rebuild'!$B$7:$B$306,A10,'Clean Rebuild'!$L$7:$L$306,"PASS")</x:f>
        <x:v>0</x:v>
      </x:c>
      <x:c r="J10" s="59" t="n">
        <x:f>Inputs!$B$10</x:f>
        <x:v>10</x:v>
      </x:c>
      <x:c r="K10" s="59" t="n">
        <x:f>COUNTIFS('Invariant Grammar'!$B$7:$B$186,A10,'Invariant Grammar'!$K$7:$K$186,"SEMANTIC MATCH")</x:f>
        <x:v>0</x:v>
      </x:c>
      <x:c r="L10" s="59" t="n">
        <x:f>Inputs!$B$8</x:f>
        <x:v>6</x:v>
      </x:c>
      <x:c r="M10" s="59" t="str">
        <x:f>IF(OR(Inputs!$B$11&lt;&gt;1,Inputs!$B$12&lt;&gt;1,Inputs!$B$13&lt;&gt;0,Inputs!$B$14&lt;&gt;0),"TERMINATE","INTACT")</x:f>
        <x:v>INTACT</x:v>
      </x:c>
      <x:c r="N10" s="59" t="str">
        <x:f>IF(M10="TERMINATE","TERMINATE",IF(AND(E10=F10,G10=H10,I10=J10,K10=L10),"REPRODUCIBLE","OPEN"))</x:f>
        <x:v>OPEN</x:v>
      </x:c>
    </x:row>
    <x:row r="11">
      <x:c r="A11" s="47" t="str">
        <x:v>P05</x:v>
      </x:c>
      <x:c r="B11" s="47" t="str">
        <x:v>ET-A</x:v>
      </x:c>
      <x:c r="C11" s="47" t="str">
        <x:v>ET-A-A</x:v>
      </x:c>
      <x:c r="D11" s="47" t="str">
        <x:v>REBUILD</x:v>
      </x:c>
      <x:c r="E11" s="59" t="n">
        <x:f>COUNTIFS('Capsule Register'!$B$7:$B$546,A11,'Capsule Register'!$M$7:$M$546,"COMPLETE")</x:f>
        <x:v>0</x:v>
      </x:c>
      <x:c r="F11" s="59" t="n">
        <x:f>Inputs!$B$7</x:f>
        <x:v>18</x:v>
      </x:c>
      <x:c r="G11" s="59" t="n">
        <x:f>COUNTIFS('Native Replay'!$B$7:$B$246,A11,'Native Replay'!$J$7:$J$246,"PASS")</x:f>
        <x:v>0</x:v>
      </x:c>
      <x:c r="H11" s="59" t="n">
        <x:f>Inputs!$B$9</x:f>
        <x:v>8</x:v>
      </x:c>
      <x:c r="I11" s="59" t="n">
        <x:f>COUNTIFS('Clean Rebuild'!$B$7:$B$306,A11,'Clean Rebuild'!$L$7:$L$306,"PASS")</x:f>
        <x:v>0</x:v>
      </x:c>
      <x:c r="J11" s="59" t="n">
        <x:f>Inputs!$B$10</x:f>
        <x:v>10</x:v>
      </x:c>
      <x:c r="K11" s="59" t="n">
        <x:f>COUNTIFS('Invariant Grammar'!$B$7:$B$186,A11,'Invariant Grammar'!$K$7:$K$186,"SEMANTIC MATCH")</x:f>
        <x:v>0</x:v>
      </x:c>
      <x:c r="L11" s="59" t="n">
        <x:f>Inputs!$B$8</x:f>
        <x:v>6</x:v>
      </x:c>
      <x:c r="M11" s="59" t="str">
        <x:f>IF(OR(Inputs!$B$11&lt;&gt;1,Inputs!$B$12&lt;&gt;1,Inputs!$B$13&lt;&gt;0,Inputs!$B$14&lt;&gt;0),"TERMINATE","INTACT")</x:f>
        <x:v>INTACT</x:v>
      </x:c>
      <x:c r="N11" s="59" t="str">
        <x:f>IF(M11="TERMINATE","TERMINATE",IF(AND(E11=F11,G11=H11,I11=J11,K11=L11),"REPRODUCIBLE","OPEN"))</x:f>
        <x:v>OPEN</x:v>
      </x:c>
    </x:row>
    <x:row r="12">
      <x:c r="A12" s="47" t="str">
        <x:v>P06</x:v>
      </x:c>
      <x:c r="B12" s="47" t="str">
        <x:v>CT-C</x:v>
      </x:c>
      <x:c r="C12" s="47" t="str">
        <x:v>CT-C-B</x:v>
      </x:c>
      <x:c r="D12" s="47" t="str">
        <x:v>METHOD</x:v>
      </x:c>
      <x:c r="E12" s="59" t="n">
        <x:f>COUNTIFS('Capsule Register'!$B$7:$B$546,A12,'Capsule Register'!$M$7:$M$546,"COMPLETE")</x:f>
        <x:v>0</x:v>
      </x:c>
      <x:c r="F12" s="59" t="n">
        <x:f>Inputs!$B$7</x:f>
        <x:v>18</x:v>
      </x:c>
      <x:c r="G12" s="59" t="n">
        <x:f>COUNTIFS('Native Replay'!$B$7:$B$246,A12,'Native Replay'!$J$7:$J$246,"PASS")</x:f>
        <x:v>0</x:v>
      </x:c>
      <x:c r="H12" s="59" t="n">
        <x:f>Inputs!$B$9</x:f>
        <x:v>8</x:v>
      </x:c>
      <x:c r="I12" s="59" t="n">
        <x:f>COUNTIFS('Clean Rebuild'!$B$7:$B$306,A12,'Clean Rebuild'!$L$7:$L$306,"PASS")</x:f>
        <x:v>0</x:v>
      </x:c>
      <x:c r="J12" s="59" t="n">
        <x:f>Inputs!$B$10</x:f>
        <x:v>10</x:v>
      </x:c>
      <x:c r="K12" s="59" t="n">
        <x:f>COUNTIFS('Invariant Grammar'!$B$7:$B$186,A12,'Invariant Grammar'!$K$7:$K$186,"SEMANTIC MATCH")</x:f>
        <x:v>0</x:v>
      </x:c>
      <x:c r="L12" s="59" t="n">
        <x:f>Inputs!$B$8</x:f>
        <x:v>6</x:v>
      </x:c>
      <x:c r="M12" s="59" t="str">
        <x:f>IF(OR(Inputs!$B$11&lt;&gt;1,Inputs!$B$12&lt;&gt;1,Inputs!$B$13&lt;&gt;0,Inputs!$B$14&lt;&gt;0),"TERMINATE","INTACT")</x:f>
        <x:v>INTACT</x:v>
      </x:c>
      <x:c r="N12" s="59" t="str">
        <x:f>IF(M12="TERMINATE","TERMINATE",IF(AND(E12=F12,G12=H12,I12=J12,K12=L12),"REPRODUCIBLE","OPEN"))</x:f>
        <x:v>OPEN</x:v>
      </x:c>
    </x:row>
    <x:row r="13">
      <x:c r="A13" s="47" t="str">
        <x:v>P07</x:v>
      </x:c>
      <x:c r="B13" s="47" t="str">
        <x:v>CT-C</x:v>
      </x:c>
      <x:c r="C13" s="47" t="str">
        <x:v>CT-C-B</x:v>
      </x:c>
      <x:c r="D13" s="47" t="str">
        <x:v>VALID</x:v>
      </x:c>
      <x:c r="E13" s="59" t="n">
        <x:f>COUNTIFS('Capsule Register'!$B$7:$B$546,A13,'Capsule Register'!$M$7:$M$546,"COMPLETE")</x:f>
        <x:v>0</x:v>
      </x:c>
      <x:c r="F13" s="59" t="n">
        <x:f>Inputs!$B$7</x:f>
        <x:v>18</x:v>
      </x:c>
      <x:c r="G13" s="59" t="n">
        <x:f>COUNTIFS('Native Replay'!$B$7:$B$246,A13,'Native Replay'!$J$7:$J$246,"PASS")</x:f>
        <x:v>0</x:v>
      </x:c>
      <x:c r="H13" s="59" t="n">
        <x:f>Inputs!$B$9</x:f>
        <x:v>8</x:v>
      </x:c>
      <x:c r="I13" s="59" t="n">
        <x:f>COUNTIFS('Clean Rebuild'!$B$7:$B$306,A13,'Clean Rebuild'!$L$7:$L$306,"PASS")</x:f>
        <x:v>0</x:v>
      </x:c>
      <x:c r="J13" s="59" t="n">
        <x:f>Inputs!$B$10</x:f>
        <x:v>10</x:v>
      </x:c>
      <x:c r="K13" s="59" t="n">
        <x:f>COUNTIFS('Invariant Grammar'!$B$7:$B$186,A13,'Invariant Grammar'!$K$7:$K$186,"SEMANTIC MATCH")</x:f>
        <x:v>0</x:v>
      </x:c>
      <x:c r="L13" s="59" t="n">
        <x:f>Inputs!$B$8</x:f>
        <x:v>6</x:v>
      </x:c>
      <x:c r="M13" s="59" t="str">
        <x:f>IF(OR(Inputs!$B$11&lt;&gt;1,Inputs!$B$12&lt;&gt;1,Inputs!$B$13&lt;&gt;0,Inputs!$B$14&lt;&gt;0),"TERMINATE","INTACT")</x:f>
        <x:v>INTACT</x:v>
      </x:c>
      <x:c r="N13" s="59" t="str">
        <x:f>IF(M13="TERMINATE","TERMINATE",IF(AND(E13=F13,G13=H13,I13=J13,K13=L13),"REPRODUCIBLE","OPEN"))</x:f>
        <x:v>OPEN</x:v>
      </x:c>
    </x:row>
    <x:row r="14">
      <x:c r="A14" s="47" t="str">
        <x:v>P08</x:v>
      </x:c>
      <x:c r="B14" s="47" t="str">
        <x:v>CT-C</x:v>
      </x:c>
      <x:c r="C14" s="47" t="str">
        <x:v>CT-C-B</x:v>
      </x:c>
      <x:c r="D14" s="47" t="str">
        <x:v>CIVIL</x:v>
      </x:c>
      <x:c r="E14" s="59" t="n">
        <x:f>COUNTIFS('Capsule Register'!$B$7:$B$546,A14,'Capsule Register'!$M$7:$M$546,"COMPLETE")</x:f>
        <x:v>0</x:v>
      </x:c>
      <x:c r="F14" s="59" t="n">
        <x:f>Inputs!$B$7</x:f>
        <x:v>18</x:v>
      </x:c>
      <x:c r="G14" s="59" t="n">
        <x:f>COUNTIFS('Native Replay'!$B$7:$B$246,A14,'Native Replay'!$J$7:$J$246,"PASS")</x:f>
        <x:v>0</x:v>
      </x:c>
      <x:c r="H14" s="59" t="n">
        <x:f>Inputs!$B$9</x:f>
        <x:v>8</x:v>
      </x:c>
      <x:c r="I14" s="59" t="n">
        <x:f>COUNTIFS('Clean Rebuild'!$B$7:$B$306,A14,'Clean Rebuild'!$L$7:$L$306,"PASS")</x:f>
        <x:v>0</x:v>
      </x:c>
      <x:c r="J14" s="59" t="n">
        <x:f>Inputs!$B$10</x:f>
        <x:v>10</x:v>
      </x:c>
      <x:c r="K14" s="59" t="n">
        <x:f>COUNTIFS('Invariant Grammar'!$B$7:$B$186,A14,'Invariant Grammar'!$K$7:$K$186,"SEMANTIC MATCH")</x:f>
        <x:v>0</x:v>
      </x:c>
      <x:c r="L14" s="59" t="n">
        <x:f>Inputs!$B$8</x:f>
        <x:v>6</x:v>
      </x:c>
      <x:c r="M14" s="59" t="str">
        <x:f>IF(OR(Inputs!$B$11&lt;&gt;1,Inputs!$B$12&lt;&gt;1,Inputs!$B$13&lt;&gt;0,Inputs!$B$14&lt;&gt;0),"TERMINATE","INTACT")</x:f>
        <x:v>INTACT</x:v>
      </x:c>
      <x:c r="N14" s="59" t="str">
        <x:f>IF(M14="TERMINATE","TERMINATE",IF(AND(E14=F14,G14=H14,I14=J14,K14=L14),"REPRODUCIBLE","OPEN"))</x:f>
        <x:v>OPEN</x:v>
      </x:c>
    </x:row>
    <x:row r="15">
      <x:c r="A15" s="47" t="str">
        <x:v>P09</x:v>
      </x:c>
      <x:c r="B15" s="47" t="str">
        <x:v>CT-C</x:v>
      </x:c>
      <x:c r="C15" s="47" t="str">
        <x:v>CT-C-B</x:v>
      </x:c>
      <x:c r="D15" s="47" t="str">
        <x:v>ARTICLE</x:v>
      </x:c>
      <x:c r="E15" s="59" t="n">
        <x:f>COUNTIFS('Capsule Register'!$B$7:$B$546,A15,'Capsule Register'!$M$7:$M$546,"COMPLETE")</x:f>
        <x:v>0</x:v>
      </x:c>
      <x:c r="F15" s="59" t="n">
        <x:f>Inputs!$B$7</x:f>
        <x:v>18</x:v>
      </x:c>
      <x:c r="G15" s="59" t="n">
        <x:f>COUNTIFS('Native Replay'!$B$7:$B$246,A15,'Native Replay'!$J$7:$J$246,"PASS")</x:f>
        <x:v>0</x:v>
      </x:c>
      <x:c r="H15" s="59" t="n">
        <x:f>Inputs!$B$9</x:f>
        <x:v>8</x:v>
      </x:c>
      <x:c r="I15" s="59" t="n">
        <x:f>COUNTIFS('Clean Rebuild'!$B$7:$B$306,A15,'Clean Rebuild'!$L$7:$L$306,"PASS")</x:f>
        <x:v>0</x:v>
      </x:c>
      <x:c r="J15" s="59" t="n">
        <x:f>Inputs!$B$10</x:f>
        <x:v>10</x:v>
      </x:c>
      <x:c r="K15" s="59" t="n">
        <x:f>COUNTIFS('Invariant Grammar'!$B$7:$B$186,A15,'Invariant Grammar'!$K$7:$K$186,"SEMANTIC MATCH")</x:f>
        <x:v>0</x:v>
      </x:c>
      <x:c r="L15" s="59" t="n">
        <x:f>Inputs!$B$8</x:f>
        <x:v>6</x:v>
      </x:c>
      <x:c r="M15" s="59" t="str">
        <x:f>IF(OR(Inputs!$B$11&lt;&gt;1,Inputs!$B$12&lt;&gt;1,Inputs!$B$13&lt;&gt;0,Inputs!$B$14&lt;&gt;0),"TERMINATE","INTACT")</x:f>
        <x:v>INTACT</x:v>
      </x:c>
      <x:c r="N15" s="59" t="str">
        <x:f>IF(M15="TERMINATE","TERMINATE",IF(AND(E15=F15,G15=H15,I15=J15,K15=L15),"REPRODUCIBLE","OPEN"))</x:f>
        <x:v>OPEN</x:v>
      </x:c>
    </x:row>
    <x:row r="16">
      <x:c r="A16" s="47" t="str">
        <x:v>P10</x:v>
      </x:c>
      <x:c r="B16" s="47" t="str">
        <x:v>CT-C</x:v>
      </x:c>
      <x:c r="C16" s="47" t="str">
        <x:v>CT-C-B</x:v>
      </x:c>
      <x:c r="D16" s="47" t="str">
        <x:v>REBUILD</x:v>
      </x:c>
      <x:c r="E16" s="59" t="n">
        <x:f>COUNTIFS('Capsule Register'!$B$7:$B$546,A16,'Capsule Register'!$M$7:$M$546,"COMPLETE")</x:f>
        <x:v>0</x:v>
      </x:c>
      <x:c r="F16" s="59" t="n">
        <x:f>Inputs!$B$7</x:f>
        <x:v>18</x:v>
      </x:c>
      <x:c r="G16" s="59" t="n">
        <x:f>COUNTIFS('Native Replay'!$B$7:$B$246,A16,'Native Replay'!$J$7:$J$246,"PASS")</x:f>
        <x:v>0</x:v>
      </x:c>
      <x:c r="H16" s="59" t="n">
        <x:f>Inputs!$B$9</x:f>
        <x:v>8</x:v>
      </x:c>
      <x:c r="I16" s="59" t="n">
        <x:f>COUNTIFS('Clean Rebuild'!$B$7:$B$306,A16,'Clean Rebuild'!$L$7:$L$306,"PASS")</x:f>
        <x:v>0</x:v>
      </x:c>
      <x:c r="J16" s="59" t="n">
        <x:f>Inputs!$B$10</x:f>
        <x:v>10</x:v>
      </x:c>
      <x:c r="K16" s="59" t="n">
        <x:f>COUNTIFS('Invariant Grammar'!$B$7:$B$186,A16,'Invariant Grammar'!$K$7:$K$186,"SEMANTIC MATCH")</x:f>
        <x:v>0</x:v>
      </x:c>
      <x:c r="L16" s="59" t="n">
        <x:f>Inputs!$B$8</x:f>
        <x:v>6</x:v>
      </x:c>
      <x:c r="M16" s="59" t="str">
        <x:f>IF(OR(Inputs!$B$11&lt;&gt;1,Inputs!$B$12&lt;&gt;1,Inputs!$B$13&lt;&gt;0,Inputs!$B$14&lt;&gt;0),"TERMINATE","INTACT")</x:f>
        <x:v>INTACT</x:v>
      </x:c>
      <x:c r="N16" s="59" t="str">
        <x:f>IF(M16="TERMINATE","TERMINATE",IF(AND(E16=F16,G16=H16,I16=J16,K16=L16),"REPRODUCIBLE","OPEN"))</x:f>
        <x:v>OPEN</x:v>
      </x:c>
    </x:row>
    <x:row r="17">
      <x:c r="A17" s="47" t="str">
        <x:v>P11</x:v>
      </x:c>
      <x:c r="B17" s="47" t="str">
        <x:v>HC-A</x:v>
      </x:c>
      <x:c r="C17" s="47" t="str">
        <x:v>HC-A-C</x:v>
      </x:c>
      <x:c r="D17" s="47" t="str">
        <x:v>METHOD</x:v>
      </x:c>
      <x:c r="E17" s="59" t="n">
        <x:f>COUNTIFS('Capsule Register'!$B$7:$B$546,A17,'Capsule Register'!$M$7:$M$546,"COMPLETE")</x:f>
        <x:v>0</x:v>
      </x:c>
      <x:c r="F17" s="59" t="n">
        <x:f>Inputs!$B$7</x:f>
        <x:v>18</x:v>
      </x:c>
      <x:c r="G17" s="59" t="n">
        <x:f>COUNTIFS('Native Replay'!$B$7:$B$246,A17,'Native Replay'!$J$7:$J$246,"PASS")</x:f>
        <x:v>0</x:v>
      </x:c>
      <x:c r="H17" s="59" t="n">
        <x:f>Inputs!$B$9</x:f>
        <x:v>8</x:v>
      </x:c>
      <x:c r="I17" s="59" t="n">
        <x:f>COUNTIFS('Clean Rebuild'!$B$7:$B$306,A17,'Clean Rebuild'!$L$7:$L$306,"PASS")</x:f>
        <x:v>0</x:v>
      </x:c>
      <x:c r="J17" s="59" t="n">
        <x:f>Inputs!$B$10</x:f>
        <x:v>10</x:v>
      </x:c>
      <x:c r="K17" s="59" t="n">
        <x:f>COUNTIFS('Invariant Grammar'!$B$7:$B$186,A17,'Invariant Grammar'!$K$7:$K$186,"SEMANTIC MATCH")</x:f>
        <x:v>0</x:v>
      </x:c>
      <x:c r="L17" s="59" t="n">
        <x:f>Inputs!$B$8</x:f>
        <x:v>6</x:v>
      </x:c>
      <x:c r="M17" s="59" t="str">
        <x:f>IF(OR(Inputs!$B$11&lt;&gt;1,Inputs!$B$12&lt;&gt;1,Inputs!$B$13&lt;&gt;0,Inputs!$B$14&lt;&gt;0),"TERMINATE","INTACT")</x:f>
        <x:v>INTACT</x:v>
      </x:c>
      <x:c r="N17" s="59" t="str">
        <x:f>IF(M17="TERMINATE","TERMINATE",IF(AND(E17=F17,G17=H17,I17=J17,K17=L17),"REPRODUCIBLE","OPEN"))</x:f>
        <x:v>OPEN</x:v>
      </x:c>
    </x:row>
    <x:row r="18">
      <x:c r="A18" s="47" t="str">
        <x:v>P12</x:v>
      </x:c>
      <x:c r="B18" s="47" t="str">
        <x:v>HC-A</x:v>
      </x:c>
      <x:c r="C18" s="47" t="str">
        <x:v>HC-A-C</x:v>
      </x:c>
      <x:c r="D18" s="47" t="str">
        <x:v>VALID</x:v>
      </x:c>
      <x:c r="E18" s="59" t="n">
        <x:f>COUNTIFS('Capsule Register'!$B$7:$B$546,A18,'Capsule Register'!$M$7:$M$546,"COMPLETE")</x:f>
        <x:v>0</x:v>
      </x:c>
      <x:c r="F18" s="59" t="n">
        <x:f>Inputs!$B$7</x:f>
        <x:v>18</x:v>
      </x:c>
      <x:c r="G18" s="59" t="n">
        <x:f>COUNTIFS('Native Replay'!$B$7:$B$246,A18,'Native Replay'!$J$7:$J$246,"PASS")</x:f>
        <x:v>0</x:v>
      </x:c>
      <x:c r="H18" s="59" t="n">
        <x:f>Inputs!$B$9</x:f>
        <x:v>8</x:v>
      </x:c>
      <x:c r="I18" s="59" t="n">
        <x:f>COUNTIFS('Clean Rebuild'!$B$7:$B$306,A18,'Clean Rebuild'!$L$7:$L$306,"PASS")</x:f>
        <x:v>0</x:v>
      </x:c>
      <x:c r="J18" s="59" t="n">
        <x:f>Inputs!$B$10</x:f>
        <x:v>10</x:v>
      </x:c>
      <x:c r="K18" s="59" t="n">
        <x:f>COUNTIFS('Invariant Grammar'!$B$7:$B$186,A18,'Invariant Grammar'!$K$7:$K$186,"SEMANTIC MATCH")</x:f>
        <x:v>0</x:v>
      </x:c>
      <x:c r="L18" s="59" t="n">
        <x:f>Inputs!$B$8</x:f>
        <x:v>6</x:v>
      </x:c>
      <x:c r="M18" s="59" t="str">
        <x:f>IF(OR(Inputs!$B$11&lt;&gt;1,Inputs!$B$12&lt;&gt;1,Inputs!$B$13&lt;&gt;0,Inputs!$B$14&lt;&gt;0),"TERMINATE","INTACT")</x:f>
        <x:v>INTACT</x:v>
      </x:c>
      <x:c r="N18" s="59" t="str">
        <x:f>IF(M18="TERMINATE","TERMINATE",IF(AND(E18=F18,G18=H18,I18=J18,K18=L18),"REPRODUCIBLE","OPEN"))</x:f>
        <x:v>OPEN</x:v>
      </x:c>
    </x:row>
    <x:row r="19">
      <x:c r="A19" s="47" t="str">
        <x:v>P13</x:v>
      </x:c>
      <x:c r="B19" s="47" t="str">
        <x:v>HC-A</x:v>
      </x:c>
      <x:c r="C19" s="47" t="str">
        <x:v>HC-A-C</x:v>
      </x:c>
      <x:c r="D19" s="47" t="str">
        <x:v>CIVIL</x:v>
      </x:c>
      <x:c r="E19" s="59" t="n">
        <x:f>COUNTIFS('Capsule Register'!$B$7:$B$546,A19,'Capsule Register'!$M$7:$M$546,"COMPLETE")</x:f>
        <x:v>0</x:v>
      </x:c>
      <x:c r="F19" s="59" t="n">
        <x:f>Inputs!$B$7</x:f>
        <x:v>18</x:v>
      </x:c>
      <x:c r="G19" s="59" t="n">
        <x:f>COUNTIFS('Native Replay'!$B$7:$B$246,A19,'Native Replay'!$J$7:$J$246,"PASS")</x:f>
        <x:v>0</x:v>
      </x:c>
      <x:c r="H19" s="59" t="n">
        <x:f>Inputs!$B$9</x:f>
        <x:v>8</x:v>
      </x:c>
      <x:c r="I19" s="59" t="n">
        <x:f>COUNTIFS('Clean Rebuild'!$B$7:$B$306,A19,'Clean Rebuild'!$L$7:$L$306,"PASS")</x:f>
        <x:v>0</x:v>
      </x:c>
      <x:c r="J19" s="59" t="n">
        <x:f>Inputs!$B$10</x:f>
        <x:v>10</x:v>
      </x:c>
      <x:c r="K19" s="59" t="n">
        <x:f>COUNTIFS('Invariant Grammar'!$B$7:$B$186,A19,'Invariant Grammar'!$K$7:$K$186,"SEMANTIC MATCH")</x:f>
        <x:v>0</x:v>
      </x:c>
      <x:c r="L19" s="59" t="n">
        <x:f>Inputs!$B$8</x:f>
        <x:v>6</x:v>
      </x:c>
      <x:c r="M19" s="59" t="str">
        <x:f>IF(OR(Inputs!$B$11&lt;&gt;1,Inputs!$B$12&lt;&gt;1,Inputs!$B$13&lt;&gt;0,Inputs!$B$14&lt;&gt;0),"TERMINATE","INTACT")</x:f>
        <x:v>INTACT</x:v>
      </x:c>
      <x:c r="N19" s="59" t="str">
        <x:f>IF(M19="TERMINATE","TERMINATE",IF(AND(E19=F19,G19=H19,I19=J19,K19=L19),"REPRODUCIBLE","OPEN"))</x:f>
        <x:v>OPEN</x:v>
      </x:c>
    </x:row>
    <x:row r="20">
      <x:c r="A20" s="47" t="str">
        <x:v>P14</x:v>
      </x:c>
      <x:c r="B20" s="47" t="str">
        <x:v>HC-A</x:v>
      </x:c>
      <x:c r="C20" s="47" t="str">
        <x:v>HC-A-C</x:v>
      </x:c>
      <x:c r="D20" s="47" t="str">
        <x:v>ARTICLE</x:v>
      </x:c>
      <x:c r="E20" s="59" t="n">
        <x:f>COUNTIFS('Capsule Register'!$B$7:$B$546,A20,'Capsule Register'!$M$7:$M$546,"COMPLETE")</x:f>
        <x:v>0</x:v>
      </x:c>
      <x:c r="F20" s="59" t="n">
        <x:f>Inputs!$B$7</x:f>
        <x:v>18</x:v>
      </x:c>
      <x:c r="G20" s="59" t="n">
        <x:f>COUNTIFS('Native Replay'!$B$7:$B$246,A20,'Native Replay'!$J$7:$J$246,"PASS")</x:f>
        <x:v>0</x:v>
      </x:c>
      <x:c r="H20" s="59" t="n">
        <x:f>Inputs!$B$9</x:f>
        <x:v>8</x:v>
      </x:c>
      <x:c r="I20" s="59" t="n">
        <x:f>COUNTIFS('Clean Rebuild'!$B$7:$B$306,A20,'Clean Rebuild'!$L$7:$L$306,"PASS")</x:f>
        <x:v>0</x:v>
      </x:c>
      <x:c r="J20" s="59" t="n">
        <x:f>Inputs!$B$10</x:f>
        <x:v>10</x:v>
      </x:c>
      <x:c r="K20" s="59" t="n">
        <x:f>COUNTIFS('Invariant Grammar'!$B$7:$B$186,A20,'Invariant Grammar'!$K$7:$K$186,"SEMANTIC MATCH")</x:f>
        <x:v>0</x:v>
      </x:c>
      <x:c r="L20" s="59" t="n">
        <x:f>Inputs!$B$8</x:f>
        <x:v>6</x:v>
      </x:c>
      <x:c r="M20" s="59" t="str">
        <x:f>IF(OR(Inputs!$B$11&lt;&gt;1,Inputs!$B$12&lt;&gt;1,Inputs!$B$13&lt;&gt;0,Inputs!$B$14&lt;&gt;0),"TERMINATE","INTACT")</x:f>
        <x:v>INTACT</x:v>
      </x:c>
      <x:c r="N20" s="59" t="str">
        <x:f>IF(M20="TERMINATE","TERMINATE",IF(AND(E20=F20,G20=H20,I20=J20,K20=L20),"REPRODUCIBLE","OPEN"))</x:f>
        <x:v>OPEN</x:v>
      </x:c>
    </x:row>
    <x:row r="21">
      <x:c r="A21" s="47" t="str">
        <x:v>P15</x:v>
      </x:c>
      <x:c r="B21" s="47" t="str">
        <x:v>HC-A</x:v>
      </x:c>
      <x:c r="C21" s="47" t="str">
        <x:v>HC-A-C</x:v>
      </x:c>
      <x:c r="D21" s="47" t="str">
        <x:v>REBUILD</x:v>
      </x:c>
      <x:c r="E21" s="59" t="n">
        <x:f>COUNTIFS('Capsule Register'!$B$7:$B$546,A21,'Capsule Register'!$M$7:$M$546,"COMPLETE")</x:f>
        <x:v>0</x:v>
      </x:c>
      <x:c r="F21" s="59" t="n">
        <x:f>Inputs!$B$7</x:f>
        <x:v>18</x:v>
      </x:c>
      <x:c r="G21" s="59" t="n">
        <x:f>COUNTIFS('Native Replay'!$B$7:$B$246,A21,'Native Replay'!$J$7:$J$246,"PASS")</x:f>
        <x:v>0</x:v>
      </x:c>
      <x:c r="H21" s="59" t="n">
        <x:f>Inputs!$B$9</x:f>
        <x:v>8</x:v>
      </x:c>
      <x:c r="I21" s="59" t="n">
        <x:f>COUNTIFS('Clean Rebuild'!$B$7:$B$306,A21,'Clean Rebuild'!$L$7:$L$306,"PASS")</x:f>
        <x:v>0</x:v>
      </x:c>
      <x:c r="J21" s="59" t="n">
        <x:f>Inputs!$B$10</x:f>
        <x:v>10</x:v>
      </x:c>
      <x:c r="K21" s="59" t="n">
        <x:f>COUNTIFS('Invariant Grammar'!$B$7:$B$186,A21,'Invariant Grammar'!$K$7:$K$186,"SEMANTIC MATCH")</x:f>
        <x:v>0</x:v>
      </x:c>
      <x:c r="L21" s="59" t="n">
        <x:f>Inputs!$B$8</x:f>
        <x:v>6</x:v>
      </x:c>
      <x:c r="M21" s="59" t="str">
        <x:f>IF(OR(Inputs!$B$11&lt;&gt;1,Inputs!$B$12&lt;&gt;1,Inputs!$B$13&lt;&gt;0,Inputs!$B$14&lt;&gt;0),"TERMINATE","INTACT")</x:f>
        <x:v>INTACT</x:v>
      </x:c>
      <x:c r="N21" s="59" t="str">
        <x:f>IF(M21="TERMINATE","TERMINATE",IF(AND(E21=F21,G21=H21,I21=J21,K21=L21),"REPRODUCIBLE","OPEN"))</x:f>
        <x:v>OPEN</x:v>
      </x:c>
    </x:row>
    <x:row r="22">
      <x:c r="A22" s="47" t="str">
        <x:v>P16</x:v>
      </x:c>
      <x:c r="B22" s="47" t="str">
        <x:v>LF-B</x:v>
      </x:c>
      <x:c r="C22" s="47" t="str">
        <x:v>LF-B-A</x:v>
      </x:c>
      <x:c r="D22" s="47" t="str">
        <x:v>METHOD</x:v>
      </x:c>
      <x:c r="E22" s="59" t="n">
        <x:f>COUNTIFS('Capsule Register'!$B$7:$B$546,A22,'Capsule Register'!$M$7:$M$546,"COMPLETE")</x:f>
        <x:v>0</x:v>
      </x:c>
      <x:c r="F22" s="59" t="n">
        <x:f>Inputs!$B$7</x:f>
        <x:v>18</x:v>
      </x:c>
      <x:c r="G22" s="59" t="n">
        <x:f>COUNTIFS('Native Replay'!$B$7:$B$246,A22,'Native Replay'!$J$7:$J$246,"PASS")</x:f>
        <x:v>0</x:v>
      </x:c>
      <x:c r="H22" s="59" t="n">
        <x:f>Inputs!$B$9</x:f>
        <x:v>8</x:v>
      </x:c>
      <x:c r="I22" s="59" t="n">
        <x:f>COUNTIFS('Clean Rebuild'!$B$7:$B$306,A22,'Clean Rebuild'!$L$7:$L$306,"PASS")</x:f>
        <x:v>0</x:v>
      </x:c>
      <x:c r="J22" s="59" t="n">
        <x:f>Inputs!$B$10</x:f>
        <x:v>10</x:v>
      </x:c>
      <x:c r="K22" s="59" t="n">
        <x:f>COUNTIFS('Invariant Grammar'!$B$7:$B$186,A22,'Invariant Grammar'!$K$7:$K$186,"SEMANTIC MATCH")</x:f>
        <x:v>0</x:v>
      </x:c>
      <x:c r="L22" s="59" t="n">
        <x:f>Inputs!$B$8</x:f>
        <x:v>6</x:v>
      </x:c>
      <x:c r="M22" s="59" t="str">
        <x:f>IF(OR(Inputs!$B$11&lt;&gt;1,Inputs!$B$12&lt;&gt;1,Inputs!$B$13&lt;&gt;0,Inputs!$B$14&lt;&gt;0),"TERMINATE","INTACT")</x:f>
        <x:v>INTACT</x:v>
      </x:c>
      <x:c r="N22" s="59" t="str">
        <x:f>IF(M22="TERMINATE","TERMINATE",IF(AND(E22=F22,G22=H22,I22=J22,K22=L22),"REPRODUCIBLE","OPEN"))</x:f>
        <x:v>OPEN</x:v>
      </x:c>
    </x:row>
    <x:row r="23">
      <x:c r="A23" s="47" t="str">
        <x:v>P17</x:v>
      </x:c>
      <x:c r="B23" s="47" t="str">
        <x:v>LF-B</x:v>
      </x:c>
      <x:c r="C23" s="47" t="str">
        <x:v>LF-B-A</x:v>
      </x:c>
      <x:c r="D23" s="47" t="str">
        <x:v>VALID</x:v>
      </x:c>
      <x:c r="E23" s="59" t="n">
        <x:f>COUNTIFS('Capsule Register'!$B$7:$B$546,A23,'Capsule Register'!$M$7:$M$546,"COMPLETE")</x:f>
        <x:v>0</x:v>
      </x:c>
      <x:c r="F23" s="59" t="n">
        <x:f>Inputs!$B$7</x:f>
        <x:v>18</x:v>
      </x:c>
      <x:c r="G23" s="59" t="n">
        <x:f>COUNTIFS('Native Replay'!$B$7:$B$246,A23,'Native Replay'!$J$7:$J$246,"PASS")</x:f>
        <x:v>0</x:v>
      </x:c>
      <x:c r="H23" s="59" t="n">
        <x:f>Inputs!$B$9</x:f>
        <x:v>8</x:v>
      </x:c>
      <x:c r="I23" s="59" t="n">
        <x:f>COUNTIFS('Clean Rebuild'!$B$7:$B$306,A23,'Clean Rebuild'!$L$7:$L$306,"PASS")</x:f>
        <x:v>0</x:v>
      </x:c>
      <x:c r="J23" s="59" t="n">
        <x:f>Inputs!$B$10</x:f>
        <x:v>10</x:v>
      </x:c>
      <x:c r="K23" s="59" t="n">
        <x:f>COUNTIFS('Invariant Grammar'!$B$7:$B$186,A23,'Invariant Grammar'!$K$7:$K$186,"SEMANTIC MATCH")</x:f>
        <x:v>0</x:v>
      </x:c>
      <x:c r="L23" s="59" t="n">
        <x:f>Inputs!$B$8</x:f>
        <x:v>6</x:v>
      </x:c>
      <x:c r="M23" s="59" t="str">
        <x:f>IF(OR(Inputs!$B$11&lt;&gt;1,Inputs!$B$12&lt;&gt;1,Inputs!$B$13&lt;&gt;0,Inputs!$B$14&lt;&gt;0),"TERMINATE","INTACT")</x:f>
        <x:v>INTACT</x:v>
      </x:c>
      <x:c r="N23" s="59" t="str">
        <x:f>IF(M23="TERMINATE","TERMINATE",IF(AND(E23=F23,G23=H23,I23=J23,K23=L23),"REPRODUCIBLE","OPEN"))</x:f>
        <x:v>OPEN</x:v>
      </x:c>
    </x:row>
    <x:row r="24">
      <x:c r="A24" s="47" t="str">
        <x:v>P18</x:v>
      </x:c>
      <x:c r="B24" s="47" t="str">
        <x:v>LF-B</x:v>
      </x:c>
      <x:c r="C24" s="47" t="str">
        <x:v>LF-B-A</x:v>
      </x:c>
      <x:c r="D24" s="47" t="str">
        <x:v>CIVIL</x:v>
      </x:c>
      <x:c r="E24" s="59" t="n">
        <x:f>COUNTIFS('Capsule Register'!$B$7:$B$546,A24,'Capsule Register'!$M$7:$M$546,"COMPLETE")</x:f>
        <x:v>0</x:v>
      </x:c>
      <x:c r="F24" s="59" t="n">
        <x:f>Inputs!$B$7</x:f>
        <x:v>18</x:v>
      </x:c>
      <x:c r="G24" s="59" t="n">
        <x:f>COUNTIFS('Native Replay'!$B$7:$B$246,A24,'Native Replay'!$J$7:$J$246,"PASS")</x:f>
        <x:v>0</x:v>
      </x:c>
      <x:c r="H24" s="59" t="n">
        <x:f>Inputs!$B$9</x:f>
        <x:v>8</x:v>
      </x:c>
      <x:c r="I24" s="59" t="n">
        <x:f>COUNTIFS('Clean Rebuild'!$B$7:$B$306,A24,'Clean Rebuild'!$L$7:$L$306,"PASS")</x:f>
        <x:v>0</x:v>
      </x:c>
      <x:c r="J24" s="59" t="n">
        <x:f>Inputs!$B$10</x:f>
        <x:v>10</x:v>
      </x:c>
      <x:c r="K24" s="59" t="n">
        <x:f>COUNTIFS('Invariant Grammar'!$B$7:$B$186,A24,'Invariant Grammar'!$K$7:$K$186,"SEMANTIC MATCH")</x:f>
        <x:v>0</x:v>
      </x:c>
      <x:c r="L24" s="59" t="n">
        <x:f>Inputs!$B$8</x:f>
        <x:v>6</x:v>
      </x:c>
      <x:c r="M24" s="59" t="str">
        <x:f>IF(OR(Inputs!$B$11&lt;&gt;1,Inputs!$B$12&lt;&gt;1,Inputs!$B$13&lt;&gt;0,Inputs!$B$14&lt;&gt;0),"TERMINATE","INTACT")</x:f>
        <x:v>INTACT</x:v>
      </x:c>
      <x:c r="N24" s="59" t="str">
        <x:f>IF(M24="TERMINATE","TERMINATE",IF(AND(E24=F24,G24=H24,I24=J24,K24=L24),"REPRODUCIBLE","OPEN"))</x:f>
        <x:v>OPEN</x:v>
      </x:c>
    </x:row>
    <x:row r="25">
      <x:c r="A25" s="47" t="str">
        <x:v>P19</x:v>
      </x:c>
      <x:c r="B25" s="47" t="str">
        <x:v>LF-B</x:v>
      </x:c>
      <x:c r="C25" s="47" t="str">
        <x:v>LF-B-A</x:v>
      </x:c>
      <x:c r="D25" s="47" t="str">
        <x:v>ARTICLE</x:v>
      </x:c>
      <x:c r="E25" s="59" t="n">
        <x:f>COUNTIFS('Capsule Register'!$B$7:$B$546,A25,'Capsule Register'!$M$7:$M$546,"COMPLETE")</x:f>
        <x:v>0</x:v>
      </x:c>
      <x:c r="F25" s="59" t="n">
        <x:f>Inputs!$B$7</x:f>
        <x:v>18</x:v>
      </x:c>
      <x:c r="G25" s="59" t="n">
        <x:f>COUNTIFS('Native Replay'!$B$7:$B$246,A25,'Native Replay'!$J$7:$J$246,"PASS")</x:f>
        <x:v>0</x:v>
      </x:c>
      <x:c r="H25" s="59" t="n">
        <x:f>Inputs!$B$9</x:f>
        <x:v>8</x:v>
      </x:c>
      <x:c r="I25" s="59" t="n">
        <x:f>COUNTIFS('Clean Rebuild'!$B$7:$B$306,A25,'Clean Rebuild'!$L$7:$L$306,"PASS")</x:f>
        <x:v>0</x:v>
      </x:c>
      <x:c r="J25" s="59" t="n">
        <x:f>Inputs!$B$10</x:f>
        <x:v>10</x:v>
      </x:c>
      <x:c r="K25" s="59" t="n">
        <x:f>COUNTIFS('Invariant Grammar'!$B$7:$B$186,A25,'Invariant Grammar'!$K$7:$K$186,"SEMANTIC MATCH")</x:f>
        <x:v>0</x:v>
      </x:c>
      <x:c r="L25" s="59" t="n">
        <x:f>Inputs!$B$8</x:f>
        <x:v>6</x:v>
      </x:c>
      <x:c r="M25" s="59" t="str">
        <x:f>IF(OR(Inputs!$B$11&lt;&gt;1,Inputs!$B$12&lt;&gt;1,Inputs!$B$13&lt;&gt;0,Inputs!$B$14&lt;&gt;0),"TERMINATE","INTACT")</x:f>
        <x:v>INTACT</x:v>
      </x:c>
      <x:c r="N25" s="59" t="str">
        <x:f>IF(M25="TERMINATE","TERMINATE",IF(AND(E25=F25,G25=H25,I25=J25,K25=L25),"REPRODUCIBLE","OPEN"))</x:f>
        <x:v>OPEN</x:v>
      </x:c>
    </x:row>
    <x:row r="26">
      <x:c r="A26" s="47" t="str">
        <x:v>P20</x:v>
      </x:c>
      <x:c r="B26" s="47" t="str">
        <x:v>LF-B</x:v>
      </x:c>
      <x:c r="C26" s="47" t="str">
        <x:v>LF-B-A</x:v>
      </x:c>
      <x:c r="D26" s="47" t="str">
        <x:v>REBUILD</x:v>
      </x:c>
      <x:c r="E26" s="59" t="n">
        <x:f>COUNTIFS('Capsule Register'!$B$7:$B$546,A26,'Capsule Register'!$M$7:$M$546,"COMPLETE")</x:f>
        <x:v>0</x:v>
      </x:c>
      <x:c r="F26" s="59" t="n">
        <x:f>Inputs!$B$7</x:f>
        <x:v>18</x:v>
      </x:c>
      <x:c r="G26" s="59" t="n">
        <x:f>COUNTIFS('Native Replay'!$B$7:$B$246,A26,'Native Replay'!$J$7:$J$246,"PASS")</x:f>
        <x:v>0</x:v>
      </x:c>
      <x:c r="H26" s="59" t="n">
        <x:f>Inputs!$B$9</x:f>
        <x:v>8</x:v>
      </x:c>
      <x:c r="I26" s="59" t="n">
        <x:f>COUNTIFS('Clean Rebuild'!$B$7:$B$306,A26,'Clean Rebuild'!$L$7:$L$306,"PASS")</x:f>
        <x:v>0</x:v>
      </x:c>
      <x:c r="J26" s="59" t="n">
        <x:f>Inputs!$B$10</x:f>
        <x:v>10</x:v>
      </x:c>
      <x:c r="K26" s="59" t="n">
        <x:f>COUNTIFS('Invariant Grammar'!$B$7:$B$186,A26,'Invariant Grammar'!$K$7:$K$186,"SEMANTIC MATCH")</x:f>
        <x:v>0</x:v>
      </x:c>
      <x:c r="L26" s="59" t="n">
        <x:f>Inputs!$B$8</x:f>
        <x:v>6</x:v>
      </x:c>
      <x:c r="M26" s="59" t="str">
        <x:f>IF(OR(Inputs!$B$11&lt;&gt;1,Inputs!$B$12&lt;&gt;1,Inputs!$B$13&lt;&gt;0,Inputs!$B$14&lt;&gt;0),"TERMINATE","INTACT")</x:f>
        <x:v>INTACT</x:v>
      </x:c>
      <x:c r="N26" s="59" t="str">
        <x:f>IF(M26="TERMINATE","TERMINATE",IF(AND(E26=F26,G26=H26,I26=J26,K26=L26),"REPRODUCIBLE","OPEN"))</x:f>
        <x:v>OPEN</x:v>
      </x:c>
    </x:row>
    <x:row r="27">
      <x:c r="A27" s="47" t="str">
        <x:v>P21</x:v>
      </x:c>
      <x:c r="B27" s="47" t="str">
        <x:v>HU-A</x:v>
      </x:c>
      <x:c r="C27" s="47" t="str">
        <x:v>HU-A-B</x:v>
      </x:c>
      <x:c r="D27" s="47" t="str">
        <x:v>METHOD</x:v>
      </x:c>
      <x:c r="E27" s="59" t="n">
        <x:f>COUNTIFS('Capsule Register'!$B$7:$B$546,A27,'Capsule Register'!$M$7:$M$546,"COMPLETE")</x:f>
        <x:v>0</x:v>
      </x:c>
      <x:c r="F27" s="59" t="n">
        <x:f>Inputs!$B$7</x:f>
        <x:v>18</x:v>
      </x:c>
      <x:c r="G27" s="59" t="n">
        <x:f>COUNTIFS('Native Replay'!$B$7:$B$246,A27,'Native Replay'!$J$7:$J$246,"PASS")</x:f>
        <x:v>0</x:v>
      </x:c>
      <x:c r="H27" s="59" t="n">
        <x:f>Inputs!$B$9</x:f>
        <x:v>8</x:v>
      </x:c>
      <x:c r="I27" s="59" t="n">
        <x:f>COUNTIFS('Clean Rebuild'!$B$7:$B$306,A27,'Clean Rebuild'!$L$7:$L$306,"PASS")</x:f>
        <x:v>0</x:v>
      </x:c>
      <x:c r="J27" s="59" t="n">
        <x:f>Inputs!$B$10</x:f>
        <x:v>10</x:v>
      </x:c>
      <x:c r="K27" s="59" t="n">
        <x:f>COUNTIFS('Invariant Grammar'!$B$7:$B$186,A27,'Invariant Grammar'!$K$7:$K$186,"SEMANTIC MATCH")</x:f>
        <x:v>0</x:v>
      </x:c>
      <x:c r="L27" s="59" t="n">
        <x:f>Inputs!$B$8</x:f>
        <x:v>6</x:v>
      </x:c>
      <x:c r="M27" s="59" t="str">
        <x:f>IF(OR(Inputs!$B$11&lt;&gt;1,Inputs!$B$12&lt;&gt;1,Inputs!$B$13&lt;&gt;0,Inputs!$B$14&lt;&gt;0),"TERMINATE","INTACT")</x:f>
        <x:v>INTACT</x:v>
      </x:c>
      <x:c r="N27" s="59" t="str">
        <x:f>IF(M27="TERMINATE","TERMINATE",IF(AND(E27=F27,G27=H27,I27=J27,K27=L27),"REPRODUCIBLE","OPEN"))</x:f>
        <x:v>OPEN</x:v>
      </x:c>
    </x:row>
    <x:row r="28">
      <x:c r="A28" s="47" t="str">
        <x:v>P22</x:v>
      </x:c>
      <x:c r="B28" s="47" t="str">
        <x:v>HU-A</x:v>
      </x:c>
      <x:c r="C28" s="47" t="str">
        <x:v>HU-A-B</x:v>
      </x:c>
      <x:c r="D28" s="47" t="str">
        <x:v>VALID</x:v>
      </x:c>
      <x:c r="E28" s="59" t="n">
        <x:f>COUNTIFS('Capsule Register'!$B$7:$B$546,A28,'Capsule Register'!$M$7:$M$546,"COMPLETE")</x:f>
        <x:v>0</x:v>
      </x:c>
      <x:c r="F28" s="59" t="n">
        <x:f>Inputs!$B$7</x:f>
        <x:v>18</x:v>
      </x:c>
      <x:c r="G28" s="59" t="n">
        <x:f>COUNTIFS('Native Replay'!$B$7:$B$246,A28,'Native Replay'!$J$7:$J$246,"PASS")</x:f>
        <x:v>0</x:v>
      </x:c>
      <x:c r="H28" s="59" t="n">
        <x:f>Inputs!$B$9</x:f>
        <x:v>8</x:v>
      </x:c>
      <x:c r="I28" s="59" t="n">
        <x:f>COUNTIFS('Clean Rebuild'!$B$7:$B$306,A28,'Clean Rebuild'!$L$7:$L$306,"PASS")</x:f>
        <x:v>0</x:v>
      </x:c>
      <x:c r="J28" s="59" t="n">
        <x:f>Inputs!$B$10</x:f>
        <x:v>10</x:v>
      </x:c>
      <x:c r="K28" s="59" t="n">
        <x:f>COUNTIFS('Invariant Grammar'!$B$7:$B$186,A28,'Invariant Grammar'!$K$7:$K$186,"SEMANTIC MATCH")</x:f>
        <x:v>0</x:v>
      </x:c>
      <x:c r="L28" s="59" t="n">
        <x:f>Inputs!$B$8</x:f>
        <x:v>6</x:v>
      </x:c>
      <x:c r="M28" s="59" t="str">
        <x:f>IF(OR(Inputs!$B$11&lt;&gt;1,Inputs!$B$12&lt;&gt;1,Inputs!$B$13&lt;&gt;0,Inputs!$B$14&lt;&gt;0),"TERMINATE","INTACT")</x:f>
        <x:v>INTACT</x:v>
      </x:c>
      <x:c r="N28" s="59" t="str">
        <x:f>IF(M28="TERMINATE","TERMINATE",IF(AND(E28=F28,G28=H28,I28=J28,K28=L28),"REPRODUCIBLE","OPEN"))</x:f>
        <x:v>OPEN</x:v>
      </x:c>
    </x:row>
    <x:row r="29">
      <x:c r="A29" s="47" t="str">
        <x:v>P23</x:v>
      </x:c>
      <x:c r="B29" s="47" t="str">
        <x:v>HU-A</x:v>
      </x:c>
      <x:c r="C29" s="47" t="str">
        <x:v>HU-A-B</x:v>
      </x:c>
      <x:c r="D29" s="47" t="str">
        <x:v>CIVIL</x:v>
      </x:c>
      <x:c r="E29" s="59" t="n">
        <x:f>COUNTIFS('Capsule Register'!$B$7:$B$546,A29,'Capsule Register'!$M$7:$M$546,"COMPLETE")</x:f>
        <x:v>0</x:v>
      </x:c>
      <x:c r="F29" s="59" t="n">
        <x:f>Inputs!$B$7</x:f>
        <x:v>18</x:v>
      </x:c>
      <x:c r="G29" s="59" t="n">
        <x:f>COUNTIFS('Native Replay'!$B$7:$B$246,A29,'Native Replay'!$J$7:$J$246,"PASS")</x:f>
        <x:v>0</x:v>
      </x:c>
      <x:c r="H29" s="59" t="n">
        <x:f>Inputs!$B$9</x:f>
        <x:v>8</x:v>
      </x:c>
      <x:c r="I29" s="59" t="n">
        <x:f>COUNTIFS('Clean Rebuild'!$B$7:$B$306,A29,'Clean Rebuild'!$L$7:$L$306,"PASS")</x:f>
        <x:v>0</x:v>
      </x:c>
      <x:c r="J29" s="59" t="n">
        <x:f>Inputs!$B$10</x:f>
        <x:v>10</x:v>
      </x:c>
      <x:c r="K29" s="59" t="n">
        <x:f>COUNTIFS('Invariant Grammar'!$B$7:$B$186,A29,'Invariant Grammar'!$K$7:$K$186,"SEMANTIC MATCH")</x:f>
        <x:v>0</x:v>
      </x:c>
      <x:c r="L29" s="59" t="n">
        <x:f>Inputs!$B$8</x:f>
        <x:v>6</x:v>
      </x:c>
      <x:c r="M29" s="59" t="str">
        <x:f>IF(OR(Inputs!$B$11&lt;&gt;1,Inputs!$B$12&lt;&gt;1,Inputs!$B$13&lt;&gt;0,Inputs!$B$14&lt;&gt;0),"TERMINATE","INTACT")</x:f>
        <x:v>INTACT</x:v>
      </x:c>
      <x:c r="N29" s="59" t="str">
        <x:f>IF(M29="TERMINATE","TERMINATE",IF(AND(E29=F29,G29=H29,I29=J29,K29=L29),"REPRODUCIBLE","OPEN"))</x:f>
        <x:v>OPEN</x:v>
      </x:c>
    </x:row>
    <x:row r="30">
      <x:c r="A30" s="47" t="str">
        <x:v>P24</x:v>
      </x:c>
      <x:c r="B30" s="47" t="str">
        <x:v>HU-A</x:v>
      </x:c>
      <x:c r="C30" s="47" t="str">
        <x:v>HU-A-B</x:v>
      </x:c>
      <x:c r="D30" s="47" t="str">
        <x:v>ARTICLE</x:v>
      </x:c>
      <x:c r="E30" s="59" t="n">
        <x:f>COUNTIFS('Capsule Register'!$B$7:$B$546,A30,'Capsule Register'!$M$7:$M$546,"COMPLETE")</x:f>
        <x:v>0</x:v>
      </x:c>
      <x:c r="F30" s="59" t="n">
        <x:f>Inputs!$B$7</x:f>
        <x:v>18</x:v>
      </x:c>
      <x:c r="G30" s="59" t="n">
        <x:f>COUNTIFS('Native Replay'!$B$7:$B$246,A30,'Native Replay'!$J$7:$J$246,"PASS")</x:f>
        <x:v>0</x:v>
      </x:c>
      <x:c r="H30" s="59" t="n">
        <x:f>Inputs!$B$9</x:f>
        <x:v>8</x:v>
      </x:c>
      <x:c r="I30" s="59" t="n">
        <x:f>COUNTIFS('Clean Rebuild'!$B$7:$B$306,A30,'Clean Rebuild'!$L$7:$L$306,"PASS")</x:f>
        <x:v>0</x:v>
      </x:c>
      <x:c r="J30" s="59" t="n">
        <x:f>Inputs!$B$10</x:f>
        <x:v>10</x:v>
      </x:c>
      <x:c r="K30" s="59" t="n">
        <x:f>COUNTIFS('Invariant Grammar'!$B$7:$B$186,A30,'Invariant Grammar'!$K$7:$K$186,"SEMANTIC MATCH")</x:f>
        <x:v>0</x:v>
      </x:c>
      <x:c r="L30" s="59" t="n">
        <x:f>Inputs!$B$8</x:f>
        <x:v>6</x:v>
      </x:c>
      <x:c r="M30" s="59" t="str">
        <x:f>IF(OR(Inputs!$B$11&lt;&gt;1,Inputs!$B$12&lt;&gt;1,Inputs!$B$13&lt;&gt;0,Inputs!$B$14&lt;&gt;0),"TERMINATE","INTACT")</x:f>
        <x:v>INTACT</x:v>
      </x:c>
      <x:c r="N30" s="59" t="str">
        <x:f>IF(M30="TERMINATE","TERMINATE",IF(AND(E30=F30,G30=H30,I30=J30,K30=L30),"REPRODUCIBLE","OPEN"))</x:f>
        <x:v>OPEN</x:v>
      </x:c>
    </x:row>
    <x:row r="31">
      <x:c r="A31" s="47" t="str">
        <x:v>P25</x:v>
      </x:c>
      <x:c r="B31" s="47" t="str">
        <x:v>HU-A</x:v>
      </x:c>
      <x:c r="C31" s="47" t="str">
        <x:v>HU-A-B</x:v>
      </x:c>
      <x:c r="D31" s="47" t="str">
        <x:v>REBUILD</x:v>
      </x:c>
      <x:c r="E31" s="59" t="n">
        <x:f>COUNTIFS('Capsule Register'!$B$7:$B$546,A31,'Capsule Register'!$M$7:$M$546,"COMPLETE")</x:f>
        <x:v>0</x:v>
      </x:c>
      <x:c r="F31" s="59" t="n">
        <x:f>Inputs!$B$7</x:f>
        <x:v>18</x:v>
      </x:c>
      <x:c r="G31" s="59" t="n">
        <x:f>COUNTIFS('Native Replay'!$B$7:$B$246,A31,'Native Replay'!$J$7:$J$246,"PASS")</x:f>
        <x:v>0</x:v>
      </x:c>
      <x:c r="H31" s="59" t="n">
        <x:f>Inputs!$B$9</x:f>
        <x:v>8</x:v>
      </x:c>
      <x:c r="I31" s="59" t="n">
        <x:f>COUNTIFS('Clean Rebuild'!$B$7:$B$306,A31,'Clean Rebuild'!$L$7:$L$306,"PASS")</x:f>
        <x:v>0</x:v>
      </x:c>
      <x:c r="J31" s="59" t="n">
        <x:f>Inputs!$B$10</x:f>
        <x:v>10</x:v>
      </x:c>
      <x:c r="K31" s="59" t="n">
        <x:f>COUNTIFS('Invariant Grammar'!$B$7:$B$186,A31,'Invariant Grammar'!$K$7:$K$186,"SEMANTIC MATCH")</x:f>
        <x:v>0</x:v>
      </x:c>
      <x:c r="L31" s="59" t="n">
        <x:f>Inputs!$B$8</x:f>
        <x:v>6</x:v>
      </x:c>
      <x:c r="M31" s="59" t="str">
        <x:f>IF(OR(Inputs!$B$11&lt;&gt;1,Inputs!$B$12&lt;&gt;1,Inputs!$B$13&lt;&gt;0,Inputs!$B$14&lt;&gt;0),"TERMINATE","INTACT")</x:f>
        <x:v>INTACT</x:v>
      </x:c>
      <x:c r="N31" s="59" t="str">
        <x:f>IF(M31="TERMINATE","TERMINATE",IF(AND(E31=F31,G31=H31,I31=J31,K31=L31),"REPRODUCIBLE","OPEN"))</x:f>
        <x:v>OPEN</x:v>
      </x:c>
    </x:row>
    <x:row r="32">
      <x:c r="A32" s="47" t="str">
        <x:v>P26</x:v>
      </x:c>
      <x:c r="B32" s="47" t="str">
        <x:v>RT-B</x:v>
      </x:c>
      <x:c r="C32" s="47" t="str">
        <x:v>RT-B-C</x:v>
      </x:c>
      <x:c r="D32" s="47" t="str">
        <x:v>METHOD</x:v>
      </x:c>
      <x:c r="E32" s="59" t="n">
        <x:f>COUNTIFS('Capsule Register'!$B$7:$B$546,A32,'Capsule Register'!$M$7:$M$546,"COMPLETE")</x:f>
        <x:v>0</x:v>
      </x:c>
      <x:c r="F32" s="59" t="n">
        <x:f>Inputs!$B$7</x:f>
        <x:v>18</x:v>
      </x:c>
      <x:c r="G32" s="59" t="n">
        <x:f>COUNTIFS('Native Replay'!$B$7:$B$246,A32,'Native Replay'!$J$7:$J$246,"PASS")</x:f>
        <x:v>0</x:v>
      </x:c>
      <x:c r="H32" s="59" t="n">
        <x:f>Inputs!$B$9</x:f>
        <x:v>8</x:v>
      </x:c>
      <x:c r="I32" s="59" t="n">
        <x:f>COUNTIFS('Clean Rebuild'!$B$7:$B$306,A32,'Clean Rebuild'!$L$7:$L$306,"PASS")</x:f>
        <x:v>0</x:v>
      </x:c>
      <x:c r="J32" s="59" t="n">
        <x:f>Inputs!$B$10</x:f>
        <x:v>10</x:v>
      </x:c>
      <x:c r="K32" s="59" t="n">
        <x:f>COUNTIFS('Invariant Grammar'!$B$7:$B$186,A32,'Invariant Grammar'!$K$7:$K$186,"SEMANTIC MATCH")</x:f>
        <x:v>0</x:v>
      </x:c>
      <x:c r="L32" s="59" t="n">
        <x:f>Inputs!$B$8</x:f>
        <x:v>6</x:v>
      </x:c>
      <x:c r="M32" s="59" t="str">
        <x:f>IF(OR(Inputs!$B$11&lt;&gt;1,Inputs!$B$12&lt;&gt;1,Inputs!$B$13&lt;&gt;0,Inputs!$B$14&lt;&gt;0),"TERMINATE","INTACT")</x:f>
        <x:v>INTACT</x:v>
      </x:c>
      <x:c r="N32" s="59" t="str">
        <x:f>IF(M32="TERMINATE","TERMINATE",IF(AND(E32=F32,G32=H32,I32=J32,K32=L32),"REPRODUCIBLE","OPEN"))</x:f>
        <x:v>OPEN</x:v>
      </x:c>
    </x:row>
    <x:row r="33">
      <x:c r="A33" s="47" t="str">
        <x:v>P27</x:v>
      </x:c>
      <x:c r="B33" s="47" t="str">
        <x:v>RT-B</x:v>
      </x:c>
      <x:c r="C33" s="47" t="str">
        <x:v>RT-B-C</x:v>
      </x:c>
      <x:c r="D33" s="47" t="str">
        <x:v>VALID</x:v>
      </x:c>
      <x:c r="E33" s="59" t="n">
        <x:f>COUNTIFS('Capsule Register'!$B$7:$B$546,A33,'Capsule Register'!$M$7:$M$546,"COMPLETE")</x:f>
        <x:v>0</x:v>
      </x:c>
      <x:c r="F33" s="59" t="n">
        <x:f>Inputs!$B$7</x:f>
        <x:v>18</x:v>
      </x:c>
      <x:c r="G33" s="59" t="n">
        <x:f>COUNTIFS('Native Replay'!$B$7:$B$246,A33,'Native Replay'!$J$7:$J$246,"PASS")</x:f>
        <x:v>0</x:v>
      </x:c>
      <x:c r="H33" s="59" t="n">
        <x:f>Inputs!$B$9</x:f>
        <x:v>8</x:v>
      </x:c>
      <x:c r="I33" s="59" t="n">
        <x:f>COUNTIFS('Clean Rebuild'!$B$7:$B$306,A33,'Clean Rebuild'!$L$7:$L$306,"PASS")</x:f>
        <x:v>0</x:v>
      </x:c>
      <x:c r="J33" s="59" t="n">
        <x:f>Inputs!$B$10</x:f>
        <x:v>10</x:v>
      </x:c>
      <x:c r="K33" s="59" t="n">
        <x:f>COUNTIFS('Invariant Grammar'!$B$7:$B$186,A33,'Invariant Grammar'!$K$7:$K$186,"SEMANTIC MATCH")</x:f>
        <x:v>0</x:v>
      </x:c>
      <x:c r="L33" s="59" t="n">
        <x:f>Inputs!$B$8</x:f>
        <x:v>6</x:v>
      </x:c>
      <x:c r="M33" s="59" t="str">
        <x:f>IF(OR(Inputs!$B$11&lt;&gt;1,Inputs!$B$12&lt;&gt;1,Inputs!$B$13&lt;&gt;0,Inputs!$B$14&lt;&gt;0),"TERMINATE","INTACT")</x:f>
        <x:v>INTACT</x:v>
      </x:c>
      <x:c r="N33" s="59" t="str">
        <x:f>IF(M33="TERMINATE","TERMINATE",IF(AND(E33=F33,G33=H33,I33=J33,K33=L33),"REPRODUCIBLE","OPEN"))</x:f>
        <x:v>OPEN</x:v>
      </x:c>
    </x:row>
    <x:row r="34">
      <x:c r="A34" s="47" t="str">
        <x:v>P28</x:v>
      </x:c>
      <x:c r="B34" s="47" t="str">
        <x:v>RT-B</x:v>
      </x:c>
      <x:c r="C34" s="47" t="str">
        <x:v>RT-B-C</x:v>
      </x:c>
      <x:c r="D34" s="47" t="str">
        <x:v>CIVIL</x:v>
      </x:c>
      <x:c r="E34" s="59" t="n">
        <x:f>COUNTIFS('Capsule Register'!$B$7:$B$546,A34,'Capsule Register'!$M$7:$M$546,"COMPLETE")</x:f>
        <x:v>0</x:v>
      </x:c>
      <x:c r="F34" s="59" t="n">
        <x:f>Inputs!$B$7</x:f>
        <x:v>18</x:v>
      </x:c>
      <x:c r="G34" s="59" t="n">
        <x:f>COUNTIFS('Native Replay'!$B$7:$B$246,A34,'Native Replay'!$J$7:$J$246,"PASS")</x:f>
        <x:v>0</x:v>
      </x:c>
      <x:c r="H34" s="59" t="n">
        <x:f>Inputs!$B$9</x:f>
        <x:v>8</x:v>
      </x:c>
      <x:c r="I34" s="59" t="n">
        <x:f>COUNTIFS('Clean Rebuild'!$B$7:$B$306,A34,'Clean Rebuild'!$L$7:$L$306,"PASS")</x:f>
        <x:v>0</x:v>
      </x:c>
      <x:c r="J34" s="59" t="n">
        <x:f>Inputs!$B$10</x:f>
        <x:v>10</x:v>
      </x:c>
      <x:c r="K34" s="59" t="n">
        <x:f>COUNTIFS('Invariant Grammar'!$B$7:$B$186,A34,'Invariant Grammar'!$K$7:$K$186,"SEMANTIC MATCH")</x:f>
        <x:v>0</x:v>
      </x:c>
      <x:c r="L34" s="59" t="n">
        <x:f>Inputs!$B$8</x:f>
        <x:v>6</x:v>
      </x:c>
      <x:c r="M34" s="59" t="str">
        <x:f>IF(OR(Inputs!$B$11&lt;&gt;1,Inputs!$B$12&lt;&gt;1,Inputs!$B$13&lt;&gt;0,Inputs!$B$14&lt;&gt;0),"TERMINATE","INTACT")</x:f>
        <x:v>INTACT</x:v>
      </x:c>
      <x:c r="N34" s="59" t="str">
        <x:f>IF(M34="TERMINATE","TERMINATE",IF(AND(E34=F34,G34=H34,I34=J34,K34=L34),"REPRODUCIBLE","OPEN"))</x:f>
        <x:v>OPEN</x:v>
      </x:c>
    </x:row>
    <x:row r="35">
      <x:c r="A35" s="47" t="str">
        <x:v>P29</x:v>
      </x:c>
      <x:c r="B35" s="47" t="str">
        <x:v>RT-B</x:v>
      </x:c>
      <x:c r="C35" s="47" t="str">
        <x:v>RT-B-C</x:v>
      </x:c>
      <x:c r="D35" s="47" t="str">
        <x:v>ARTICLE</x:v>
      </x:c>
      <x:c r="E35" s="59" t="n">
        <x:f>COUNTIFS('Capsule Register'!$B$7:$B$546,A35,'Capsule Register'!$M$7:$M$546,"COMPLETE")</x:f>
        <x:v>0</x:v>
      </x:c>
      <x:c r="F35" s="59" t="n">
        <x:f>Inputs!$B$7</x:f>
        <x:v>18</x:v>
      </x:c>
      <x:c r="G35" s="59" t="n">
        <x:f>COUNTIFS('Native Replay'!$B$7:$B$246,A35,'Native Replay'!$J$7:$J$246,"PASS")</x:f>
        <x:v>0</x:v>
      </x:c>
      <x:c r="H35" s="59" t="n">
        <x:f>Inputs!$B$9</x:f>
        <x:v>8</x:v>
      </x:c>
      <x:c r="I35" s="59" t="n">
        <x:f>COUNTIFS('Clean Rebuild'!$B$7:$B$306,A35,'Clean Rebuild'!$L$7:$L$306,"PASS")</x:f>
        <x:v>0</x:v>
      </x:c>
      <x:c r="J35" s="59" t="n">
        <x:f>Inputs!$B$10</x:f>
        <x:v>10</x:v>
      </x:c>
      <x:c r="K35" s="59" t="n">
        <x:f>COUNTIFS('Invariant Grammar'!$B$7:$B$186,A35,'Invariant Grammar'!$K$7:$K$186,"SEMANTIC MATCH")</x:f>
        <x:v>0</x:v>
      </x:c>
      <x:c r="L35" s="59" t="n">
        <x:f>Inputs!$B$8</x:f>
        <x:v>6</x:v>
      </x:c>
      <x:c r="M35" s="59" t="str">
        <x:f>IF(OR(Inputs!$B$11&lt;&gt;1,Inputs!$B$12&lt;&gt;1,Inputs!$B$13&lt;&gt;0,Inputs!$B$14&lt;&gt;0),"TERMINATE","INTACT")</x:f>
        <x:v>INTACT</x:v>
      </x:c>
      <x:c r="N35" s="59" t="str">
        <x:f>IF(M35="TERMINATE","TERMINATE",IF(AND(E35=F35,G35=H35,I35=J35,K35=L35),"REPRODUCIBLE","OPEN"))</x:f>
        <x:v>OPEN</x:v>
      </x:c>
    </x:row>
    <x:row r="36">
      <x:c r="A36" s="47" t="str">
        <x:v>P30</x:v>
      </x:c>
      <x:c r="B36" s="47" t="str">
        <x:v>RT-B</x:v>
      </x:c>
      <x:c r="C36" s="47" t="str">
        <x:v>RT-B-C</x:v>
      </x:c>
      <x:c r="D36" s="47" t="str">
        <x:v>REBUILD</x:v>
      </x:c>
      <x:c r="E36" s="59" t="n">
        <x:f>COUNTIFS('Capsule Register'!$B$7:$B$546,A36,'Capsule Register'!$M$7:$M$546,"COMPLETE")</x:f>
        <x:v>0</x:v>
      </x:c>
      <x:c r="F36" s="59" t="n">
        <x:f>Inputs!$B$7</x:f>
        <x:v>18</x:v>
      </x:c>
      <x:c r="G36" s="59" t="n">
        <x:f>COUNTIFS('Native Replay'!$B$7:$B$246,A36,'Native Replay'!$J$7:$J$246,"PASS")</x:f>
        <x:v>0</x:v>
      </x:c>
      <x:c r="H36" s="59" t="n">
        <x:f>Inputs!$B$9</x:f>
        <x:v>8</x:v>
      </x:c>
      <x:c r="I36" s="59" t="n">
        <x:f>COUNTIFS('Clean Rebuild'!$B$7:$B$306,A36,'Clean Rebuild'!$L$7:$L$306,"PASS")</x:f>
        <x:v>0</x:v>
      </x:c>
      <x:c r="J36" s="59" t="n">
        <x:f>Inputs!$B$10</x:f>
        <x:v>10</x:v>
      </x:c>
      <x:c r="K36" s="59" t="n">
        <x:f>COUNTIFS('Invariant Grammar'!$B$7:$B$186,A36,'Invariant Grammar'!$K$7:$K$186,"SEMANTIC MATCH")</x:f>
        <x:v>0</x:v>
      </x:c>
      <x:c r="L36" s="59" t="n">
        <x:f>Inputs!$B$8</x:f>
        <x:v>6</x:v>
      </x:c>
      <x:c r="M36" s="59" t="str">
        <x:f>IF(OR(Inputs!$B$11&lt;&gt;1,Inputs!$B$12&lt;&gt;1,Inputs!$B$13&lt;&gt;0,Inputs!$B$14&lt;&gt;0),"TERMINATE","INTACT")</x:f>
        <x:v>INTACT</x:v>
      </x:c>
      <x:c r="N36" s="59" t="str">
        <x:f>IF(M36="TERMINATE","TERMINATE",IF(AND(E36=F36,G36=H36,I36=J36,K36=L36),"REPRODUCIBLE","OPEN"))</x:f>
        <x:v>OPEN</x:v>
      </x:c>
    </x:row>
  </x:sheetData>
  <x:mergeCells>
    <x:mergeCell ref="A2:N2"/>
    <x:mergeCell ref="A4:N4"/>
  </x:mergeCells>
  <x:conditionalFormatting sqref="M7:N36">
    <x:cfRule type="containsText" dxfId="2" priority="1" operator="containsText" text="TERMINAT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28" hidden="0" customWidth="1"/>
    <x:col min="4" max="4" width="18" hidden="0" customWidth="1"/>
    <x:col min="5" max="5" width="42" hidden="0" customWidth="1"/>
    <x:col min="6" max="6" width="15" hidden="0" customWidth="1"/>
    <x:col min="7" max="7" width="18" hidden="0" customWidth="1"/>
  </x:cols>
  <x:sheetData>
    <x:row r="2">
      <x:c r="A2" s="83" t="str">
        <x:v>Knowledge-firewall decision register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A role may receive only the minimum data class required for its authority. Relative performance never enters a sibling or finance channel.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25" t="str">
        <x:v>Decision</x:v>
      </x:c>
      <x:c r="B6" s="26" t="str">
        <x:v>Role</x:v>
      </x:c>
      <x:c r="C6" s="26" t="str">
        <x:v>Data class</x:v>
      </x:c>
      <x:c r="D6" s="26" t="str">
        <x:v>Rule</x:v>
      </x:c>
      <x:c r="E6" s="26" t="str">
        <x:v>Reason</x:v>
      </x:c>
      <x:c r="F6" s="26" t="str">
        <x:v>Leakage capable</x:v>
      </x:c>
      <x:c r="G6" s="27" t="str">
        <x:v>Constitutional state</x:v>
      </x:c>
      <x:c r="H6" s="84"/>
      <x:c r="I6" s="84"/>
      <x:c r="J6" s="84"/>
      <x:c r="K6" s="84"/>
      <x:c r="L6" s="84"/>
      <x:c r="M6" s="84"/>
      <x:c r="N6" s="84"/>
    </x:row>
    <x:row r="7">
      <x:c r="A7" s="47" t="str">
        <x:v>KF001</x:v>
      </x:c>
      <x:c r="B7" s="47" t="str">
        <x:v>Builder author</x:v>
      </x:c>
      <x:c r="C7" s="47" t="str">
        <x:v>Package identity</x:v>
      </x:c>
      <x:c r="D7" s="47" t="str">
        <x:v>ALLOW</x:v>
      </x:c>
      <x:c r="E7" s="47" t="str">
        <x:v>Identity is public</x:v>
      </x:c>
      <x:c r="F7" s="47" t="n">
        <x:v>0</x:v>
      </x:c>
      <x:c r="G7" s="47" t="str">
        <x:f>IF(AND(F7=1,OR(D7="ALLOW",D7="PUBLIC CONTRACT"),OR(B7="Sibling form cell",B7="Finance authority")),"FAIL","PASS")</x:f>
        <x:v>PASS</x:v>
      </x:c>
      <x:c r="H7" s="84"/>
      <x:c r="I7" s="84"/>
      <x:c r="J7" s="84"/>
      <x:c r="K7" s="84"/>
      <x:c r="L7" s="84"/>
      <x:c r="M7" s="84"/>
      <x:c r="N7" s="84"/>
    </x:row>
    <x:row r="8">
      <x:c r="A8" s="47" t="str">
        <x:v>KF002</x:v>
      </x:c>
      <x:c r="B8" s="47" t="str">
        <x:v>Builder author</x:v>
      </x:c>
      <x:c r="C8" s="47" t="str">
        <x:v>Source/model</x:v>
      </x:c>
      <x:c r="D8" s="47" t="str">
        <x:v>DENY</x:v>
      </x:c>
      <x:c r="E8" s="47" t="str">
        <x:v>No authority need</x:v>
      </x:c>
      <x:c r="F8" s="47" t="n">
        <x:v>0</x:v>
      </x:c>
      <x:c r="G8" s="47" t="str">
        <x:f>IF(AND(F8=1,OR(D8="ALLOW",D8="PUBLIC CONTRACT"),OR(B8="Sibling form cell",B8="Finance authority")),"FAIL","PASS")</x:f>
        <x:v>PASS</x:v>
      </x:c>
      <x:c r="H8" s="84"/>
      <x:c r="I8" s="84"/>
      <x:c r="J8" s="84"/>
      <x:c r="K8" s="84"/>
      <x:c r="L8" s="84"/>
      <x:c r="M8" s="84"/>
      <x:c r="N8" s="84"/>
    </x:row>
    <x:row r="9">
      <x:c r="A9" s="47" t="str">
        <x:v>KF003</x:v>
      </x:c>
      <x:c r="B9" s="47" t="str">
        <x:v>Builder author</x:v>
      </x:c>
      <x:c r="C9" s="47" t="str">
        <x:v>Dependency bill</x:v>
      </x:c>
      <x:c r="D9" s="47" t="str">
        <x:v>DENY</x:v>
      </x:c>
      <x:c r="E9" s="47" t="str">
        <x:v>No authority need</x:v>
      </x:c>
      <x:c r="F9" s="47" t="n">
        <x:v>0</x:v>
      </x:c>
      <x:c r="G9" s="47" t="str">
        <x:f>IF(AND(F9=1,OR(D9="ALLOW",D9="PUBLIC CONTRACT"),OR(B9="Sibling form cell",B9="Finance authority")),"FAIL","PASS")</x:f>
        <x:v>PASS</x:v>
      </x:c>
      <x:c r="H9" s="84"/>
      <x:c r="I9" s="84"/>
      <x:c r="J9" s="84"/>
      <x:c r="K9" s="84"/>
      <x:c r="L9" s="84"/>
      <x:c r="M9" s="84"/>
      <x:c r="N9" s="84"/>
    </x:row>
    <x:row r="10">
      <x:c r="A10" s="47" t="str">
        <x:v>KF004</x:v>
      </x:c>
      <x:c r="B10" s="47" t="str">
        <x:v>Builder author</x:v>
      </x:c>
      <x:c r="C10" s="47" t="str">
        <x:v>Physical assumptions</x:v>
      </x:c>
      <x:c r="D10" s="47" t="str">
        <x:v>DENY</x:v>
      </x:c>
      <x:c r="E10" s="47" t="str">
        <x:v>No authority need</x:v>
      </x:c>
      <x:c r="F10" s="47" t="n">
        <x:v>0</x:v>
      </x:c>
      <x:c r="G10" s="47" t="str">
        <x:f>IF(AND(F10=1,OR(D10="ALLOW",D10="PUBLIC CONTRACT"),OR(B10="Sibling form cell",B10="Finance authority")),"FAIL","PASS")</x:f>
        <x:v>PASS</x:v>
      </x:c>
      <x:c r="H10" s="84"/>
      <x:c r="I10" s="84"/>
      <x:c r="J10" s="84"/>
      <x:c r="K10" s="84"/>
      <x:c r="L10" s="84"/>
      <x:c r="M10" s="84"/>
      <x:c r="N10" s="84"/>
    </x:row>
    <x:row r="11">
      <x:c r="A11" s="47" t="str">
        <x:v>KF005</x:v>
      </x:c>
      <x:c r="B11" s="47" t="str">
        <x:v>Builder author</x:v>
      </x:c>
      <x:c r="C11" s="47" t="str">
        <x:v>Units/datums/interfaces</x:v>
      </x:c>
      <x:c r="D11" s="47" t="str">
        <x:v>DENY</x:v>
      </x:c>
      <x:c r="E11" s="47" t="str">
        <x:v>No authority need</x:v>
      </x:c>
      <x:c r="F11" s="47" t="n">
        <x:v>0</x:v>
      </x:c>
      <x:c r="G11" s="47" t="str">
        <x:f>IF(AND(F11=1,OR(D11="ALLOW",D11="PUBLIC CONTRACT"),OR(B11="Sibling form cell",B11="Finance authority")),"FAIL","PASS")</x:f>
        <x:v>PASS</x:v>
      </x:c>
      <x:c r="H11" s="84"/>
      <x:c r="I11" s="84"/>
      <x:c r="J11" s="84"/>
      <x:c r="K11" s="84"/>
      <x:c r="L11" s="84"/>
      <x:c r="M11" s="84"/>
      <x:c r="N11" s="84"/>
    </x:row>
    <x:row r="12">
      <x:c r="A12" s="47" t="str">
        <x:v>KF006</x:v>
      </x:c>
      <x:c r="B12" s="47" t="str">
        <x:v>Builder author</x:v>
      </x:c>
      <x:c r="C12" s="47" t="str">
        <x:v>Rights/receiver/residual</x:v>
      </x:c>
      <x:c r="D12" s="47" t="str">
        <x:v>DENY</x:v>
      </x:c>
      <x:c r="E12" s="47" t="str">
        <x:v>No authority need</x:v>
      </x:c>
      <x:c r="F12" s="47" t="n">
        <x:v>0</x:v>
      </x:c>
      <x:c r="G12" s="47" t="str">
        <x:f>IF(AND(F12=1,OR(D12="ALLOW",D12="PUBLIC CONTRACT"),OR(B12="Sibling form cell",B12="Finance authority")),"FAIL","PASS")</x:f>
        <x:v>PASS</x:v>
      </x:c>
      <x:c r="H12" s="84"/>
      <x:c r="I12" s="84"/>
      <x:c r="J12" s="84"/>
      <x:c r="K12" s="84"/>
      <x:c r="L12" s="84"/>
      <x:c r="M12" s="84"/>
      <x:c r="N12" s="84"/>
    </x:row>
    <x:row r="13">
      <x:c r="A13" s="47" t="str">
        <x:v>KF007</x:v>
      </x:c>
      <x:c r="B13" s="47" t="str">
        <x:v>Builder author</x:v>
      </x:c>
      <x:c r="C13" s="47" t="str">
        <x:v>Unknown register</x:v>
      </x:c>
      <x:c r="D13" s="47" t="str">
        <x:v>DENY</x:v>
      </x:c>
      <x:c r="E13" s="47" t="str">
        <x:v>No authority need</x:v>
      </x:c>
      <x:c r="F13" s="47" t="n">
        <x:v>0</x:v>
      </x:c>
      <x:c r="G13" s="47" t="str">
        <x:f>IF(AND(F13=1,OR(D13="ALLOW",D13="PUBLIC CONTRACT"),OR(B13="Sibling form cell",B13="Finance authority")),"FAIL","PASS")</x:f>
        <x:v>PASS</x:v>
      </x:c>
      <x:c r="H13" s="84"/>
      <x:c r="I13" s="84"/>
      <x:c r="J13" s="84"/>
      <x:c r="K13" s="84"/>
      <x:c r="L13" s="84"/>
      <x:c r="M13" s="84"/>
      <x:c r="N13" s="84"/>
    </x:row>
    <x:row r="14">
      <x:c r="A14" s="47" t="str">
        <x:v>KF008</x:v>
      </x:c>
      <x:c r="B14" s="47" t="str">
        <x:v>Builder author</x:v>
      </x:c>
      <x:c r="C14" s="47" t="str">
        <x:v>Native output</x:v>
      </x:c>
      <x:c r="D14" s="47" t="str">
        <x:v>DENY</x:v>
      </x:c>
      <x:c r="E14" s="47" t="str">
        <x:v>No authority need</x:v>
      </x:c>
      <x:c r="F14" s="47" t="n">
        <x:v>1</x:v>
      </x:c>
      <x:c r="G14" s="47" t="str">
        <x:f>IF(AND(F14=1,OR(D14="ALLOW",D14="PUBLIC CONTRACT"),OR(B14="Sibling form cell",B14="Finance authority")),"FAIL","PASS")</x:f>
        <x:v>PASS</x:v>
      </x:c>
      <x:c r="H14" s="84"/>
      <x:c r="I14" s="84"/>
      <x:c r="J14" s="84"/>
      <x:c r="K14" s="84"/>
      <x:c r="L14" s="84"/>
      <x:c r="M14" s="84"/>
      <x:c r="N14" s="84"/>
    </x:row>
    <x:row r="15">
      <x:c r="A15" s="47" t="str">
        <x:v>KF009</x:v>
      </x:c>
      <x:c r="B15" s="47" t="str">
        <x:v>Builder author</x:v>
      </x:c>
      <x:c r="C15" s="47" t="str">
        <x:v>Clean output</x:v>
      </x:c>
      <x:c r="D15" s="47" t="str">
        <x:v>DENY</x:v>
      </x:c>
      <x:c r="E15" s="47" t="str">
        <x:v>No authority need</x:v>
      </x:c>
      <x:c r="F15" s="47" t="n">
        <x:v>1</x:v>
      </x:c>
      <x:c r="G15" s="47" t="str">
        <x:f>IF(AND(F15=1,OR(D15="ALLOW",D15="PUBLIC CONTRACT"),OR(B15="Sibling form cell",B15="Finance authority")),"FAIL","PASS")</x:f>
        <x:v>PASS</x:v>
      </x:c>
      <x:c r="H15" s="84"/>
      <x:c r="I15" s="84"/>
      <x:c r="J15" s="84"/>
      <x:c r="K15" s="84"/>
      <x:c r="L15" s="84"/>
      <x:c r="M15" s="84"/>
      <x:c r="N15" s="84"/>
    </x:row>
    <x:row r="16">
      <x:c r="A16" s="47" t="str">
        <x:v>KF010</x:v>
      </x:c>
      <x:c r="B16" s="47" t="str">
        <x:v>Builder author</x:v>
      </x:c>
      <x:c r="C16" s="47" t="str">
        <x:v>Geometry/implementation</x:v>
      </x:c>
      <x:c r="D16" s="47" t="str">
        <x:v>DENY</x:v>
      </x:c>
      <x:c r="E16" s="47" t="str">
        <x:v>No authority need</x:v>
      </x:c>
      <x:c r="F16" s="47" t="n">
        <x:v>1</x:v>
      </x:c>
      <x:c r="G16" s="47" t="str">
        <x:f>IF(AND(F16=1,OR(D16="ALLOW",D16="PUBLIC CONTRACT"),OR(B16="Sibling form cell",B16="Finance authority")),"FAIL","PASS")</x:f>
        <x:v>PASS</x:v>
      </x:c>
      <x:c r="H16" s="84"/>
      <x:c r="I16" s="84"/>
      <x:c r="J16" s="84"/>
      <x:c r="K16" s="84"/>
      <x:c r="L16" s="84"/>
      <x:c r="M16" s="84"/>
      <x:c r="N16" s="84"/>
    </x:row>
    <x:row r="17">
      <x:c r="A17" s="47" t="str">
        <x:v>KF011</x:v>
      </x:c>
      <x:c r="B17" s="47" t="str">
        <x:v>Builder author</x:v>
      </x:c>
      <x:c r="C17" s="47" t="str">
        <x:v>Cost/schedule/maturity</x:v>
      </x:c>
      <x:c r="D17" s="47" t="str">
        <x:v>DENY</x:v>
      </x:c>
      <x:c r="E17" s="47" t="str">
        <x:v>No authority need</x:v>
      </x:c>
      <x:c r="F17" s="47" t="n">
        <x:v>0</x:v>
      </x:c>
      <x:c r="G17" s="47" t="str">
        <x:f>IF(AND(F17=1,OR(D17="ALLOW",D17="PUBLIC CONTRACT"),OR(B17="Sibling form cell",B17="Finance authority")),"FAIL","PASS")</x:f>
        <x:v>PASS</x:v>
      </x:c>
      <x:c r="H17" s="84"/>
      <x:c r="I17" s="84"/>
      <x:c r="J17" s="84"/>
      <x:c r="K17" s="84"/>
      <x:c r="L17" s="84"/>
      <x:c r="M17" s="84"/>
      <x:c r="N17" s="84"/>
    </x:row>
    <x:row r="18">
      <x:c r="A18" s="47" t="str">
        <x:v>KF012</x:v>
      </x:c>
      <x:c r="B18" s="47" t="str">
        <x:v>Builder author</x:v>
      </x:c>
      <x:c r="C18" s="47" t="str">
        <x:v>Relative performance/rank</x:v>
      </x:c>
      <x:c r="D18" s="47" t="str">
        <x:v>DENY</x:v>
      </x:c>
      <x:c r="E18" s="47" t="str">
        <x:v>No authority need</x:v>
      </x:c>
      <x:c r="F18" s="47" t="n">
        <x:v>1</x:v>
      </x:c>
      <x:c r="G18" s="47" t="str">
        <x:f>IF(AND(F18=1,OR(D18="ALLOW",D18="PUBLIC CONTRACT"),OR(B18="Sibling form cell",B18="Finance authority")),"FAIL","PASS")</x:f>
        <x:v>PASS</x:v>
      </x:c>
      <x:c r="H18" s="84"/>
      <x:c r="I18" s="84"/>
      <x:c r="J18" s="84"/>
      <x:c r="K18" s="84"/>
      <x:c r="L18" s="84"/>
      <x:c r="M18" s="84"/>
      <x:c r="N18" s="84"/>
    </x:row>
    <x:row r="19">
      <x:c r="A19" s="47" t="str">
        <x:v>KF013</x:v>
      </x:c>
      <x:c r="B19" s="47" t="str">
        <x:v>Native replay operator</x:v>
      </x:c>
      <x:c r="C19" s="47" t="str">
        <x:v>Package identity</x:v>
      </x:c>
      <x:c r="D19" s="47" t="str">
        <x:v>ALLOW</x:v>
      </x:c>
      <x:c r="E19" s="47" t="str">
        <x:v>Identity is public</x:v>
      </x:c>
      <x:c r="F19" s="47" t="n">
        <x:v>0</x:v>
      </x:c>
      <x:c r="G19" s="47" t="str">
        <x:f>IF(AND(F19=1,OR(D19="ALLOW",D19="PUBLIC CONTRACT"),OR(B19="Sibling form cell",B19="Finance authority")),"FAIL","PASS")</x:f>
        <x:v>PASS</x:v>
      </x:c>
      <x:c r="H19" s="84"/>
      <x:c r="I19" s="84"/>
      <x:c r="J19" s="84"/>
      <x:c r="K19" s="84"/>
      <x:c r="L19" s="84"/>
      <x:c r="M19" s="84"/>
      <x:c r="N19" s="84"/>
    </x:row>
    <x:row r="20">
      <x:c r="A20" s="47" t="str">
        <x:v>KF014</x:v>
      </x:c>
      <x:c r="B20" s="47" t="str">
        <x:v>Native replay operator</x:v>
      </x:c>
      <x:c r="C20" s="47" t="str">
        <x:v>Source/model</x:v>
      </x:c>
      <x:c r="D20" s="47" t="str">
        <x:v>NATIVE ONLY</x:v>
      </x:c>
      <x:c r="E20" s="47" t="str">
        <x:v>Sealed native replay</x:v>
      </x:c>
      <x:c r="F20" s="47" t="n">
        <x:v>0</x:v>
      </x:c>
      <x:c r="G20" s="47" t="str">
        <x:f>IF(AND(F20=1,OR(D20="ALLOW",D20="PUBLIC CONTRACT"),OR(B20="Sibling form cell",B20="Finance authority")),"FAIL","PASS")</x:f>
        <x:v>PASS</x:v>
      </x:c>
      <x:c r="H20" s="84"/>
      <x:c r="I20" s="84"/>
      <x:c r="J20" s="84"/>
      <x:c r="K20" s="84"/>
      <x:c r="L20" s="84"/>
      <x:c r="M20" s="84"/>
      <x:c r="N20" s="84"/>
    </x:row>
    <x:row r="21">
      <x:c r="A21" s="47" t="str">
        <x:v>KF015</x:v>
      </x:c>
      <x:c r="B21" s="47" t="str">
        <x:v>Native replay operator</x:v>
      </x:c>
      <x:c r="C21" s="47" t="str">
        <x:v>Dependency bill</x:v>
      </x:c>
      <x:c r="D21" s="47" t="str">
        <x:v>NATIVE ONLY</x:v>
      </x:c>
      <x:c r="E21" s="47" t="str">
        <x:v>Sealed native replay</x:v>
      </x:c>
      <x:c r="F21" s="47" t="n">
        <x:v>0</x:v>
      </x:c>
      <x:c r="G21" s="47" t="str">
        <x:f>IF(AND(F21=1,OR(D21="ALLOW",D21="PUBLIC CONTRACT"),OR(B21="Sibling form cell",B21="Finance authority")),"FAIL","PASS")</x:f>
        <x:v>PASS</x:v>
      </x:c>
      <x:c r="H21" s="84"/>
      <x:c r="I21" s="84"/>
      <x:c r="J21" s="84"/>
      <x:c r="K21" s="84"/>
      <x:c r="L21" s="84"/>
      <x:c r="M21" s="84"/>
      <x:c r="N21" s="84"/>
    </x:row>
    <x:row r="22">
      <x:c r="A22" s="47" t="str">
        <x:v>KF016</x:v>
      </x:c>
      <x:c r="B22" s="47" t="str">
        <x:v>Native replay operator</x:v>
      </x:c>
      <x:c r="C22" s="47" t="str">
        <x:v>Physical assumptions</x:v>
      </x:c>
      <x:c r="D22" s="47" t="str">
        <x:v>NATIVE ONLY</x:v>
      </x:c>
      <x:c r="E22" s="47" t="str">
        <x:v>Sealed native replay</x:v>
      </x:c>
      <x:c r="F22" s="47" t="n">
        <x:v>0</x:v>
      </x:c>
      <x:c r="G22" s="47" t="str">
        <x:f>IF(AND(F22=1,OR(D22="ALLOW",D22="PUBLIC CONTRACT"),OR(B22="Sibling form cell",B22="Finance authority")),"FAIL","PASS")</x:f>
        <x:v>PASS</x:v>
      </x:c>
      <x:c r="H22" s="84"/>
      <x:c r="I22" s="84"/>
      <x:c r="J22" s="84"/>
      <x:c r="K22" s="84"/>
      <x:c r="L22" s="84"/>
      <x:c r="M22" s="84"/>
      <x:c r="N22" s="84"/>
    </x:row>
    <x:row r="23">
      <x:c r="A23" s="47" t="str">
        <x:v>KF017</x:v>
      </x:c>
      <x:c r="B23" s="47" t="str">
        <x:v>Native replay operator</x:v>
      </x:c>
      <x:c r="C23" s="47" t="str">
        <x:v>Units/datums/interfaces</x:v>
      </x:c>
      <x:c r="D23" s="47" t="str">
        <x:v>NATIVE ONLY</x:v>
      </x:c>
      <x:c r="E23" s="47" t="str">
        <x:v>Sealed native replay</x:v>
      </x:c>
      <x:c r="F23" s="47" t="n">
        <x:v>0</x:v>
      </x:c>
      <x:c r="G23" s="47" t="str">
        <x:f>IF(AND(F23=1,OR(D23="ALLOW",D23="PUBLIC CONTRACT"),OR(B23="Sibling form cell",B23="Finance authority")),"FAIL","PASS")</x:f>
        <x:v>PASS</x:v>
      </x:c>
      <x:c r="H23" s="84"/>
      <x:c r="I23" s="84"/>
      <x:c r="J23" s="84"/>
      <x:c r="K23" s="84"/>
      <x:c r="L23" s="84"/>
      <x:c r="M23" s="84"/>
      <x:c r="N23" s="84"/>
    </x:row>
    <x:row r="24">
      <x:c r="A24" s="47" t="str">
        <x:v>KF018</x:v>
      </x:c>
      <x:c r="B24" s="47" t="str">
        <x:v>Native replay operator</x:v>
      </x:c>
      <x:c r="C24" s="47" t="str">
        <x:v>Rights/receiver/residual</x:v>
      </x:c>
      <x:c r="D24" s="47" t="str">
        <x:v>DENY</x:v>
      </x:c>
      <x:c r="E24" s="47" t="str">
        <x:v>No authority need</x:v>
      </x:c>
      <x:c r="F24" s="47" t="n">
        <x:v>0</x:v>
      </x:c>
      <x:c r="G24" s="47" t="str">
        <x:f>IF(AND(F24=1,OR(D24="ALLOW",D24="PUBLIC CONTRACT"),OR(B24="Sibling form cell",B24="Finance authority")),"FAIL","PASS")</x:f>
        <x:v>PASS</x:v>
      </x:c>
      <x:c r="H24" s="84"/>
      <x:c r="I24" s="84"/>
      <x:c r="J24" s="84"/>
      <x:c r="K24" s="84"/>
      <x:c r="L24" s="84"/>
      <x:c r="M24" s="84"/>
      <x:c r="N24" s="84"/>
    </x:row>
    <x:row r="25">
      <x:c r="A25" s="47" t="str">
        <x:v>KF019</x:v>
      </x:c>
      <x:c r="B25" s="47" t="str">
        <x:v>Native replay operator</x:v>
      </x:c>
      <x:c r="C25" s="47" t="str">
        <x:v>Unknown register</x:v>
      </x:c>
      <x:c r="D25" s="47" t="str">
        <x:v>NATIVE ONLY</x:v>
      </x:c>
      <x:c r="E25" s="47" t="str">
        <x:v>Sealed native replay</x:v>
      </x:c>
      <x:c r="F25" s="47" t="n">
        <x:v>0</x:v>
      </x:c>
      <x:c r="G25" s="47" t="str">
        <x:f>IF(AND(F25=1,OR(D25="ALLOW",D25="PUBLIC CONTRACT"),OR(B25="Sibling form cell",B25="Finance authority")),"FAIL","PASS")</x:f>
        <x:v>PASS</x:v>
      </x:c>
      <x:c r="H25" s="84"/>
      <x:c r="I25" s="84"/>
      <x:c r="J25" s="84"/>
      <x:c r="K25" s="84"/>
      <x:c r="L25" s="84"/>
      <x:c r="M25" s="84"/>
      <x:c r="N25" s="84"/>
    </x:row>
    <x:row r="26">
      <x:c r="A26" s="47" t="str">
        <x:v>KF020</x:v>
      </x:c>
      <x:c r="B26" s="47" t="str">
        <x:v>Native replay operator</x:v>
      </x:c>
      <x:c r="C26" s="47" t="str">
        <x:v>Native output</x:v>
      </x:c>
      <x:c r="D26" s="47" t="str">
        <x:v>NATIVE ONLY</x:v>
      </x:c>
      <x:c r="E26" s="47" t="str">
        <x:v>Sealed native replay</x:v>
      </x:c>
      <x:c r="F26" s="47" t="n">
        <x:v>1</x:v>
      </x:c>
      <x:c r="G26" s="47" t="str">
        <x:f>IF(AND(F26=1,OR(D26="ALLOW",D26="PUBLIC CONTRACT"),OR(B26="Sibling form cell",B26="Finance authority")),"FAIL","PASS")</x:f>
        <x:v>PASS</x:v>
      </x:c>
      <x:c r="H26" s="84"/>
      <x:c r="I26" s="84"/>
      <x:c r="J26" s="84"/>
      <x:c r="K26" s="84"/>
      <x:c r="L26" s="84"/>
      <x:c r="M26" s="84"/>
      <x:c r="N26" s="84"/>
    </x:row>
    <x:row r="27">
      <x:c r="A27" s="47" t="str">
        <x:v>KF021</x:v>
      </x:c>
      <x:c r="B27" s="47" t="str">
        <x:v>Native replay operator</x:v>
      </x:c>
      <x:c r="C27" s="47" t="str">
        <x:v>Clean output</x:v>
      </x:c>
      <x:c r="D27" s="47" t="str">
        <x:v>DENY</x:v>
      </x:c>
      <x:c r="E27" s="47" t="str">
        <x:v>No authority need</x:v>
      </x:c>
      <x:c r="F27" s="47" t="n">
        <x:v>1</x:v>
      </x:c>
      <x:c r="G27" s="47" t="str">
        <x:f>IF(AND(F27=1,OR(D27="ALLOW",D27="PUBLIC CONTRACT"),OR(B27="Sibling form cell",B27="Finance authority")),"FAIL","PASS")</x:f>
        <x:v>PASS</x:v>
      </x:c>
      <x:c r="H27" s="84"/>
      <x:c r="I27" s="84"/>
      <x:c r="J27" s="84"/>
      <x:c r="K27" s="84"/>
      <x:c r="L27" s="84"/>
      <x:c r="M27" s="84"/>
      <x:c r="N27" s="84"/>
    </x:row>
    <x:row r="28">
      <x:c r="A28" s="47" t="str">
        <x:v>KF022</x:v>
      </x:c>
      <x:c r="B28" s="47" t="str">
        <x:v>Native replay operator</x:v>
      </x:c>
      <x:c r="C28" s="47" t="str">
        <x:v>Geometry/implementation</x:v>
      </x:c>
      <x:c r="D28" s="47" t="str">
        <x:v>NATIVE ONLY</x:v>
      </x:c>
      <x:c r="E28" s="47" t="str">
        <x:v>Sealed native replay</x:v>
      </x:c>
      <x:c r="F28" s="47" t="n">
        <x:v>1</x:v>
      </x:c>
      <x:c r="G28" s="47" t="str">
        <x:f>IF(AND(F28=1,OR(D28="ALLOW",D28="PUBLIC CONTRACT"),OR(B28="Sibling form cell",B28="Finance authority")),"FAIL","PASS")</x:f>
        <x:v>PASS</x:v>
      </x:c>
      <x:c r="H28" s="84"/>
      <x:c r="I28" s="84"/>
      <x:c r="J28" s="84"/>
      <x:c r="K28" s="84"/>
      <x:c r="L28" s="84"/>
      <x:c r="M28" s="84"/>
      <x:c r="N28" s="84"/>
    </x:row>
    <x:row r="29">
      <x:c r="A29" s="47" t="str">
        <x:v>KF023</x:v>
      </x:c>
      <x:c r="B29" s="47" t="str">
        <x:v>Native replay operator</x:v>
      </x:c>
      <x:c r="C29" s="47" t="str">
        <x:v>Cost/schedule/maturity</x:v>
      </x:c>
      <x:c r="D29" s="47" t="str">
        <x:v>DENY</x:v>
      </x:c>
      <x:c r="E29" s="47" t="str">
        <x:v>No authority need</x:v>
      </x:c>
      <x:c r="F29" s="47" t="n">
        <x:v>0</x:v>
      </x:c>
      <x:c r="G29" s="47" t="str">
        <x:f>IF(AND(F29=1,OR(D29="ALLOW",D29="PUBLIC CONTRACT"),OR(B29="Sibling form cell",B29="Finance authority")),"FAIL","PASS")</x:f>
        <x:v>PASS</x:v>
      </x:c>
      <x:c r="H29" s="84"/>
      <x:c r="I29" s="84"/>
      <x:c r="J29" s="84"/>
      <x:c r="K29" s="84"/>
      <x:c r="L29" s="84"/>
      <x:c r="M29" s="84"/>
      <x:c r="N29" s="84"/>
    </x:row>
    <x:row r="30">
      <x:c r="A30" s="47" t="str">
        <x:v>KF024</x:v>
      </x:c>
      <x:c r="B30" s="47" t="str">
        <x:v>Native replay operator</x:v>
      </x:c>
      <x:c r="C30" s="47" t="str">
        <x:v>Relative performance/rank</x:v>
      </x:c>
      <x:c r="D30" s="47" t="str">
        <x:v>DENY</x:v>
      </x:c>
      <x:c r="E30" s="47" t="str">
        <x:v>No authority need</x:v>
      </x:c>
      <x:c r="F30" s="47" t="n">
        <x:v>1</x:v>
      </x:c>
      <x:c r="G30" s="47" t="str">
        <x:f>IF(AND(F30=1,OR(D30="ALLOW",D30="PUBLIC CONTRACT"),OR(B30="Sibling form cell",B30="Finance authority")),"FAIL","PASS")</x:f>
        <x:v>PASS</x:v>
      </x:c>
      <x:c r="H30" s="84"/>
      <x:c r="I30" s="84"/>
      <x:c r="J30" s="84"/>
      <x:c r="K30" s="84"/>
      <x:c r="L30" s="84"/>
      <x:c r="M30" s="84"/>
      <x:c r="N30" s="84"/>
    </x:row>
    <x:row r="31">
      <x:c r="A31" s="47" t="str">
        <x:v>KF025</x:v>
      </x:c>
      <x:c r="B31" s="47" t="str">
        <x:v>Clean-room constructor</x:v>
      </x:c>
      <x:c r="C31" s="47" t="str">
        <x:v>Package identity</x:v>
      </x:c>
      <x:c r="D31" s="47" t="str">
        <x:v>ALLOW</x:v>
      </x:c>
      <x:c r="E31" s="47" t="str">
        <x:v>Identity is public</x:v>
      </x:c>
      <x:c r="F31" s="47" t="n">
        <x:v>0</x:v>
      </x:c>
      <x:c r="G31" s="47" t="str">
        <x:f>IF(AND(F31=1,OR(D31="ALLOW",D31="PUBLIC CONTRACT"),OR(B31="Sibling form cell",B31="Finance authority")),"FAIL","PASS")</x:f>
        <x:v>PASS</x:v>
      </x:c>
      <x:c r="H31" s="84"/>
      <x:c r="I31" s="84"/>
      <x:c r="J31" s="84"/>
      <x:c r="K31" s="84"/>
      <x:c r="L31" s="84"/>
      <x:c r="M31" s="84"/>
      <x:c r="N31" s="84"/>
    </x:row>
    <x:row r="32">
      <x:c r="A32" s="47" t="str">
        <x:v>KF026</x:v>
      </x:c>
      <x:c r="B32" s="47" t="str">
        <x:v>Clean-room constructor</x:v>
      </x:c>
      <x:c r="C32" s="47" t="str">
        <x:v>Source/model</x:v>
      </x:c>
      <x:c r="D32" s="47" t="str">
        <x:v>DENY</x:v>
      </x:c>
      <x:c r="E32" s="47" t="str">
        <x:v>No authority need</x:v>
      </x:c>
      <x:c r="F32" s="47" t="n">
        <x:v>0</x:v>
      </x:c>
      <x:c r="G32" s="47" t="str">
        <x:f>IF(AND(F32=1,OR(D32="ALLOW",D32="PUBLIC CONTRACT"),OR(B32="Sibling form cell",B32="Finance authority")),"FAIL","PASS")</x:f>
        <x:v>PASS</x:v>
      </x:c>
      <x:c r="H32" s="84"/>
      <x:c r="I32" s="84"/>
      <x:c r="J32" s="84"/>
      <x:c r="K32" s="84"/>
      <x:c r="L32" s="84"/>
      <x:c r="M32" s="84"/>
      <x:c r="N32" s="84"/>
    </x:row>
    <x:row r="33">
      <x:c r="A33" s="47" t="str">
        <x:v>KF027</x:v>
      </x:c>
      <x:c r="B33" s="47" t="str">
        <x:v>Clean-room constructor</x:v>
      </x:c>
      <x:c r="C33" s="47" t="str">
        <x:v>Dependency bill</x:v>
      </x:c>
      <x:c r="D33" s="47" t="str">
        <x:v>PUBLIC CONTRACT</x:v>
      </x:c>
      <x:c r="E33" s="47" t="str">
        <x:v>Clean reconstruction boundary</x:v>
      </x:c>
      <x:c r="F33" s="47" t="n">
        <x:v>0</x:v>
      </x:c>
      <x:c r="G33" s="47" t="str">
        <x:f>IF(AND(F33=1,OR(D33="ALLOW",D33="PUBLIC CONTRACT"),OR(B33="Sibling form cell",B33="Finance authority")),"FAIL","PASS")</x:f>
        <x:v>PASS</x:v>
      </x:c>
      <x:c r="H33" s="84"/>
      <x:c r="I33" s="84"/>
      <x:c r="J33" s="84"/>
      <x:c r="K33" s="84"/>
      <x:c r="L33" s="84"/>
      <x:c r="M33" s="84"/>
      <x:c r="N33" s="84"/>
    </x:row>
    <x:row r="34">
      <x:c r="A34" s="47" t="str">
        <x:v>KF028</x:v>
      </x:c>
      <x:c r="B34" s="47" t="str">
        <x:v>Clean-room constructor</x:v>
      </x:c>
      <x:c r="C34" s="47" t="str">
        <x:v>Physical assumptions</x:v>
      </x:c>
      <x:c r="D34" s="47" t="str">
        <x:v>PUBLIC CONTRACT</x:v>
      </x:c>
      <x:c r="E34" s="47" t="str">
        <x:v>Clean reconstruction boundary</x:v>
      </x:c>
      <x:c r="F34" s="47" t="n">
        <x:v>0</x:v>
      </x:c>
      <x:c r="G34" s="47" t="str">
        <x:f>IF(AND(F34=1,OR(D34="ALLOW",D34="PUBLIC CONTRACT"),OR(B34="Sibling form cell",B34="Finance authority")),"FAIL","PASS")</x:f>
        <x:v>PASS</x:v>
      </x:c>
      <x:c r="H34" s="84"/>
      <x:c r="I34" s="84"/>
      <x:c r="J34" s="84"/>
      <x:c r="K34" s="84"/>
      <x:c r="L34" s="84"/>
      <x:c r="M34" s="84"/>
      <x:c r="N34" s="84"/>
    </x:row>
    <x:row r="35">
      <x:c r="A35" s="47" t="str">
        <x:v>KF029</x:v>
      </x:c>
      <x:c r="B35" s="47" t="str">
        <x:v>Clean-room constructor</x:v>
      </x:c>
      <x:c r="C35" s="47" t="str">
        <x:v>Units/datums/interfaces</x:v>
      </x:c>
      <x:c r="D35" s="47" t="str">
        <x:v>PUBLIC CONTRACT</x:v>
      </x:c>
      <x:c r="E35" s="47" t="str">
        <x:v>Clean reconstruction boundary</x:v>
      </x:c>
      <x:c r="F35" s="47" t="n">
        <x:v>0</x:v>
      </x:c>
      <x:c r="G35" s="47" t="str">
        <x:f>IF(AND(F35=1,OR(D35="ALLOW",D35="PUBLIC CONTRACT"),OR(B35="Sibling form cell",B35="Finance authority")),"FAIL","PASS")</x:f>
        <x:v>PASS</x:v>
      </x:c>
      <x:c r="H35" s="84"/>
      <x:c r="I35" s="84"/>
      <x:c r="J35" s="84"/>
      <x:c r="K35" s="84"/>
      <x:c r="L35" s="84"/>
      <x:c r="M35" s="84"/>
      <x:c r="N35" s="84"/>
    </x:row>
    <x:row r="36">
      <x:c r="A36" s="47" t="str">
        <x:v>KF030</x:v>
      </x:c>
      <x:c r="B36" s="47" t="str">
        <x:v>Clean-room constructor</x:v>
      </x:c>
      <x:c r="C36" s="47" t="str">
        <x:v>Rights/receiver/residual</x:v>
      </x:c>
      <x:c r="D36" s="47" t="str">
        <x:v>PUBLIC CONTRACT</x:v>
      </x:c>
      <x:c r="E36" s="47" t="str">
        <x:v>Clean reconstruction boundary</x:v>
      </x:c>
      <x:c r="F36" s="47" t="n">
        <x:v>0</x:v>
      </x:c>
      <x:c r="G36" s="47" t="str">
        <x:f>IF(AND(F36=1,OR(D36="ALLOW",D36="PUBLIC CONTRACT"),OR(B36="Sibling form cell",B36="Finance authority")),"FAIL","PASS")</x:f>
        <x:v>PASS</x:v>
      </x:c>
      <x:c r="H36" s="84"/>
      <x:c r="I36" s="84"/>
      <x:c r="J36" s="84"/>
      <x:c r="K36" s="84"/>
      <x:c r="L36" s="84"/>
      <x:c r="M36" s="84"/>
      <x:c r="N36" s="84"/>
    </x:row>
    <x:row r="37">
      <x:c r="A37" s="47" t="str">
        <x:v>KF031</x:v>
      </x:c>
      <x:c r="B37" s="47" t="str">
        <x:v>Clean-room constructor</x:v>
      </x:c>
      <x:c r="C37" s="47" t="str">
        <x:v>Unknown register</x:v>
      </x:c>
      <x:c r="D37" s="47" t="str">
        <x:v>PUBLIC CONTRACT</x:v>
      </x:c>
      <x:c r="E37" s="47" t="str">
        <x:v>Clean reconstruction boundary</x:v>
      </x:c>
      <x:c r="F37" s="47" t="n">
        <x:v>0</x:v>
      </x:c>
      <x:c r="G37" s="47" t="str">
        <x:f>IF(AND(F37=1,OR(D37="ALLOW",D37="PUBLIC CONTRACT"),OR(B37="Sibling form cell",B37="Finance authority")),"FAIL","PASS")</x:f>
        <x:v>PASS</x:v>
      </x:c>
      <x:c r="H37" s="84"/>
      <x:c r="I37" s="84"/>
      <x:c r="J37" s="84"/>
      <x:c r="K37" s="84"/>
      <x:c r="L37" s="84"/>
      <x:c r="M37" s="84"/>
      <x:c r="N37" s="84"/>
    </x:row>
    <x:row r="38">
      <x:c r="A38" s="47" t="str">
        <x:v>KF032</x:v>
      </x:c>
      <x:c r="B38" s="47" t="str">
        <x:v>Clean-room constructor</x:v>
      </x:c>
      <x:c r="C38" s="47" t="str">
        <x:v>Native output</x:v>
      </x:c>
      <x:c r="D38" s="47" t="str">
        <x:v>DENY</x:v>
      </x:c>
      <x:c r="E38" s="47" t="str">
        <x:v>No authority need</x:v>
      </x:c>
      <x:c r="F38" s="47" t="n">
        <x:v>1</x:v>
      </x:c>
      <x:c r="G38" s="47" t="str">
        <x:f>IF(AND(F38=1,OR(D38="ALLOW",D38="PUBLIC CONTRACT"),OR(B38="Sibling form cell",B38="Finance authority")),"FAIL","PASS")</x:f>
        <x:v>PASS</x:v>
      </x:c>
      <x:c r="H38" s="84"/>
      <x:c r="I38" s="84"/>
      <x:c r="J38" s="84"/>
      <x:c r="K38" s="84"/>
      <x:c r="L38" s="84"/>
      <x:c r="M38" s="84"/>
      <x:c r="N38" s="84"/>
    </x:row>
    <x:row r="39">
      <x:c r="A39" s="47" t="str">
        <x:v>KF033</x:v>
      </x:c>
      <x:c r="B39" s="47" t="str">
        <x:v>Clean-room constructor</x:v>
      </x:c>
      <x:c r="C39" s="47" t="str">
        <x:v>Clean output</x:v>
      </x:c>
      <x:c r="D39" s="47" t="str">
        <x:v>PUBLIC CONTRACT</x:v>
      </x:c>
      <x:c r="E39" s="47" t="str">
        <x:v>Clean reconstruction boundary</x:v>
      </x:c>
      <x:c r="F39" s="47" t="n">
        <x:v>1</x:v>
      </x:c>
      <x:c r="G39" s="47" t="str">
        <x:f>IF(AND(F39=1,OR(D39="ALLOW",D39="PUBLIC CONTRACT"),OR(B39="Sibling form cell",B39="Finance authority")),"FAIL","PASS")</x:f>
        <x:v>PASS</x:v>
      </x:c>
      <x:c r="H39" s="84"/>
      <x:c r="I39" s="84"/>
      <x:c r="J39" s="84"/>
      <x:c r="K39" s="84"/>
      <x:c r="L39" s="84"/>
      <x:c r="M39" s="84"/>
      <x:c r="N39" s="84"/>
    </x:row>
    <x:row r="40">
      <x:c r="A40" s="47" t="str">
        <x:v>KF034</x:v>
      </x:c>
      <x:c r="B40" s="47" t="str">
        <x:v>Clean-room constructor</x:v>
      </x:c>
      <x:c r="C40" s="47" t="str">
        <x:v>Geometry/implementation</x:v>
      </x:c>
      <x:c r="D40" s="47" t="str">
        <x:v>DENY</x:v>
      </x:c>
      <x:c r="E40" s="47" t="str">
        <x:v>No authority need</x:v>
      </x:c>
      <x:c r="F40" s="47" t="n">
        <x:v>1</x:v>
      </x:c>
      <x:c r="G40" s="47" t="str">
        <x:f>IF(AND(F40=1,OR(D40="ALLOW",D40="PUBLIC CONTRACT"),OR(B40="Sibling form cell",B40="Finance authority")),"FAIL","PASS")</x:f>
        <x:v>PASS</x:v>
      </x:c>
      <x:c r="H40" s="84"/>
      <x:c r="I40" s="84"/>
      <x:c r="J40" s="84"/>
      <x:c r="K40" s="84"/>
      <x:c r="L40" s="84"/>
      <x:c r="M40" s="84"/>
      <x:c r="N40" s="84"/>
    </x:row>
    <x:row r="41">
      <x:c r="A41" s="47" t="str">
        <x:v>KF035</x:v>
      </x:c>
      <x:c r="B41" s="47" t="str">
        <x:v>Clean-room constructor</x:v>
      </x:c>
      <x:c r="C41" s="47" t="str">
        <x:v>Cost/schedule/maturity</x:v>
      </x:c>
      <x:c r="D41" s="47" t="str">
        <x:v>DENY</x:v>
      </x:c>
      <x:c r="E41" s="47" t="str">
        <x:v>No authority need</x:v>
      </x:c>
      <x:c r="F41" s="47" t="n">
        <x:v>0</x:v>
      </x:c>
      <x:c r="G41" s="47" t="str">
        <x:f>IF(AND(F41=1,OR(D41="ALLOW",D41="PUBLIC CONTRACT"),OR(B41="Sibling form cell",B41="Finance authority")),"FAIL","PASS")</x:f>
        <x:v>PASS</x:v>
      </x:c>
      <x:c r="H41" s="84"/>
      <x:c r="I41" s="84"/>
      <x:c r="J41" s="84"/>
      <x:c r="K41" s="84"/>
      <x:c r="L41" s="84"/>
      <x:c r="M41" s="84"/>
      <x:c r="N41" s="84"/>
    </x:row>
    <x:row r="42">
      <x:c r="A42" s="47" t="str">
        <x:v>KF036</x:v>
      </x:c>
      <x:c r="B42" s="47" t="str">
        <x:v>Clean-room constructor</x:v>
      </x:c>
      <x:c r="C42" s="47" t="str">
        <x:v>Relative performance/rank</x:v>
      </x:c>
      <x:c r="D42" s="47" t="str">
        <x:v>DENY</x:v>
      </x:c>
      <x:c r="E42" s="47" t="str">
        <x:v>No authority need</x:v>
      </x:c>
      <x:c r="F42" s="47" t="n">
        <x:v>1</x:v>
      </x:c>
      <x:c r="G42" s="47" t="str">
        <x:f>IF(AND(F42=1,OR(D42="ALLOW",D42="PUBLIC CONTRACT"),OR(B42="Sibling form cell",B42="Finance authority")),"FAIL","PASS")</x:f>
        <x:v>PASS</x:v>
      </x:c>
      <x:c r="H42" s="84"/>
      <x:c r="I42" s="84"/>
      <x:c r="J42" s="84"/>
      <x:c r="K42" s="84"/>
      <x:c r="L42" s="84"/>
      <x:c r="M42" s="84"/>
      <x:c r="N42" s="84"/>
    </x:row>
    <x:row r="43">
      <x:c r="A43" s="47" t="str">
        <x:v>KF037</x:v>
      </x:c>
      <x:c r="B43" s="47" t="str">
        <x:v>Root Artifact Court</x:v>
      </x:c>
      <x:c r="C43" s="47" t="str">
        <x:v>Package identity</x:v>
      </x:c>
      <x:c r="D43" s="47" t="str">
        <x:v>ESCROW</x:v>
      </x:c>
      <x:c r="E43" s="47" t="str">
        <x:v>Validity challenge under nondisclosure</x:v>
      </x:c>
      <x:c r="F43" s="47" t="n">
        <x:v>0</x:v>
      </x:c>
      <x:c r="G43" s="47" t="str">
        <x:f>IF(AND(F43=1,OR(D43="ALLOW",D43="PUBLIC CONTRACT"),OR(B43="Sibling form cell",B43="Finance authority")),"FAIL","PASS")</x:f>
        <x:v>PASS</x:v>
      </x:c>
      <x:c r="H43" s="84"/>
      <x:c r="I43" s="84"/>
      <x:c r="J43" s="84"/>
      <x:c r="K43" s="84"/>
      <x:c r="L43" s="84"/>
      <x:c r="M43" s="84"/>
      <x:c r="N43" s="84"/>
    </x:row>
    <x:row r="44">
      <x:c r="A44" s="47" t="str">
        <x:v>KF038</x:v>
      </x:c>
      <x:c r="B44" s="47" t="str">
        <x:v>Root Artifact Court</x:v>
      </x:c>
      <x:c r="C44" s="47" t="str">
        <x:v>Source/model</x:v>
      </x:c>
      <x:c r="D44" s="47" t="str">
        <x:v>ESCROW</x:v>
      </x:c>
      <x:c r="E44" s="47" t="str">
        <x:v>Validity challenge under nondisclosure</x:v>
      </x:c>
      <x:c r="F44" s="47" t="n">
        <x:v>0</x:v>
      </x:c>
      <x:c r="G44" s="47" t="str">
        <x:f>IF(AND(F44=1,OR(D44="ALLOW",D44="PUBLIC CONTRACT"),OR(B44="Sibling form cell",B44="Finance authority")),"FAIL","PASS")</x:f>
        <x:v>PASS</x:v>
      </x:c>
      <x:c r="H44" s="84"/>
      <x:c r="I44" s="84"/>
      <x:c r="J44" s="84"/>
      <x:c r="K44" s="84"/>
      <x:c r="L44" s="84"/>
      <x:c r="M44" s="84"/>
      <x:c r="N44" s="84"/>
    </x:row>
    <x:row r="45">
      <x:c r="A45" s="47" t="str">
        <x:v>KF039</x:v>
      </x:c>
      <x:c r="B45" s="47" t="str">
        <x:v>Root Artifact Court</x:v>
      </x:c>
      <x:c r="C45" s="47" t="str">
        <x:v>Dependency bill</x:v>
      </x:c>
      <x:c r="D45" s="47" t="str">
        <x:v>ESCROW</x:v>
      </x:c>
      <x:c r="E45" s="47" t="str">
        <x:v>Validity challenge under nondisclosure</x:v>
      </x:c>
      <x:c r="F45" s="47" t="n">
        <x:v>0</x:v>
      </x:c>
      <x:c r="G45" s="47" t="str">
        <x:f>IF(AND(F45=1,OR(D45="ALLOW",D45="PUBLIC CONTRACT"),OR(B45="Sibling form cell",B45="Finance authority")),"FAIL","PASS")</x:f>
        <x:v>PASS</x:v>
      </x:c>
      <x:c r="H45" s="84"/>
      <x:c r="I45" s="84"/>
      <x:c r="J45" s="84"/>
      <x:c r="K45" s="84"/>
      <x:c r="L45" s="84"/>
      <x:c r="M45" s="84"/>
      <x:c r="N45" s="84"/>
    </x:row>
    <x:row r="46">
      <x:c r="A46" s="47" t="str">
        <x:v>KF040</x:v>
      </x:c>
      <x:c r="B46" s="47" t="str">
        <x:v>Root Artifact Court</x:v>
      </x:c>
      <x:c r="C46" s="47" t="str">
        <x:v>Physical assumptions</x:v>
      </x:c>
      <x:c r="D46" s="47" t="str">
        <x:v>ESCROW</x:v>
      </x:c>
      <x:c r="E46" s="47" t="str">
        <x:v>Validity challenge under nondisclosure</x:v>
      </x:c>
      <x:c r="F46" s="47" t="n">
        <x:v>0</x:v>
      </x:c>
      <x:c r="G46" s="47" t="str">
        <x:f>IF(AND(F46=1,OR(D46="ALLOW",D46="PUBLIC CONTRACT"),OR(B46="Sibling form cell",B46="Finance authority")),"FAIL","PASS")</x:f>
        <x:v>PASS</x:v>
      </x:c>
      <x:c r="H46" s="84"/>
      <x:c r="I46" s="84"/>
      <x:c r="J46" s="84"/>
      <x:c r="K46" s="84"/>
      <x:c r="L46" s="84"/>
      <x:c r="M46" s="84"/>
      <x:c r="N46" s="84"/>
    </x:row>
    <x:row r="47">
      <x:c r="A47" s="47" t="str">
        <x:v>KF041</x:v>
      </x:c>
      <x:c r="B47" s="47" t="str">
        <x:v>Root Artifact Court</x:v>
      </x:c>
      <x:c r="C47" s="47" t="str">
        <x:v>Units/datums/interfaces</x:v>
      </x:c>
      <x:c r="D47" s="47" t="str">
        <x:v>ESCROW</x:v>
      </x:c>
      <x:c r="E47" s="47" t="str">
        <x:v>Validity challenge under nondisclosure</x:v>
      </x:c>
      <x:c r="F47" s="47" t="n">
        <x:v>0</x:v>
      </x:c>
      <x:c r="G47" s="47" t="str">
        <x:f>IF(AND(F47=1,OR(D47="ALLOW",D47="PUBLIC CONTRACT"),OR(B47="Sibling form cell",B47="Finance authority")),"FAIL","PASS")</x:f>
        <x:v>PASS</x:v>
      </x:c>
      <x:c r="H47" s="84"/>
      <x:c r="I47" s="84"/>
      <x:c r="J47" s="84"/>
      <x:c r="K47" s="84"/>
      <x:c r="L47" s="84"/>
      <x:c r="M47" s="84"/>
      <x:c r="N47" s="84"/>
    </x:row>
    <x:row r="48">
      <x:c r="A48" s="47" t="str">
        <x:v>KF042</x:v>
      </x:c>
      <x:c r="B48" s="47" t="str">
        <x:v>Root Artifact Court</x:v>
      </x:c>
      <x:c r="C48" s="47" t="str">
        <x:v>Rights/receiver/residual</x:v>
      </x:c>
      <x:c r="D48" s="47" t="str">
        <x:v>ESCROW</x:v>
      </x:c>
      <x:c r="E48" s="47" t="str">
        <x:v>Validity challenge under nondisclosure</x:v>
      </x:c>
      <x:c r="F48" s="47" t="n">
        <x:v>0</x:v>
      </x:c>
      <x:c r="G48" s="47" t="str">
        <x:f>IF(AND(F48=1,OR(D48="ALLOW",D48="PUBLIC CONTRACT"),OR(B48="Sibling form cell",B48="Finance authority")),"FAIL","PASS")</x:f>
        <x:v>PASS</x:v>
      </x:c>
      <x:c r="H48" s="84"/>
      <x:c r="I48" s="84"/>
      <x:c r="J48" s="84"/>
      <x:c r="K48" s="84"/>
      <x:c r="L48" s="84"/>
      <x:c r="M48" s="84"/>
      <x:c r="N48" s="84"/>
    </x:row>
    <x:row r="49">
      <x:c r="A49" s="47" t="str">
        <x:v>KF043</x:v>
      </x:c>
      <x:c r="B49" s="47" t="str">
        <x:v>Root Artifact Court</x:v>
      </x:c>
      <x:c r="C49" s="47" t="str">
        <x:v>Unknown register</x:v>
      </x:c>
      <x:c r="D49" s="47" t="str">
        <x:v>ESCROW</x:v>
      </x:c>
      <x:c r="E49" s="47" t="str">
        <x:v>Validity challenge under nondisclosure</x:v>
      </x:c>
      <x:c r="F49" s="47" t="n">
        <x:v>0</x:v>
      </x:c>
      <x:c r="G49" s="47" t="str">
        <x:f>IF(AND(F49=1,OR(D49="ALLOW",D49="PUBLIC CONTRACT"),OR(B49="Sibling form cell",B49="Finance authority")),"FAIL","PASS")</x:f>
        <x:v>PASS</x:v>
      </x:c>
      <x:c r="H49" s="84"/>
      <x:c r="I49" s="84"/>
      <x:c r="J49" s="84"/>
      <x:c r="K49" s="84"/>
      <x:c r="L49" s="84"/>
      <x:c r="M49" s="84"/>
      <x:c r="N49" s="84"/>
    </x:row>
    <x:row r="50">
      <x:c r="A50" s="47" t="str">
        <x:v>KF044</x:v>
      </x:c>
      <x:c r="B50" s="47" t="str">
        <x:v>Root Artifact Court</x:v>
      </x:c>
      <x:c r="C50" s="47" t="str">
        <x:v>Native output</x:v>
      </x:c>
      <x:c r="D50" s="47" t="str">
        <x:v>ESCROW</x:v>
      </x:c>
      <x:c r="E50" s="47" t="str">
        <x:v>Validity challenge under nondisclosure</x:v>
      </x:c>
      <x:c r="F50" s="47" t="n">
        <x:v>1</x:v>
      </x:c>
      <x:c r="G50" s="47" t="str">
        <x:f>IF(AND(F50=1,OR(D50="ALLOW",D50="PUBLIC CONTRACT"),OR(B50="Sibling form cell",B50="Finance authority")),"FAIL","PASS")</x:f>
        <x:v>PASS</x:v>
      </x:c>
      <x:c r="H50" s="84"/>
      <x:c r="I50" s="84"/>
      <x:c r="J50" s="84"/>
      <x:c r="K50" s="84"/>
      <x:c r="L50" s="84"/>
      <x:c r="M50" s="84"/>
      <x:c r="N50" s="84"/>
    </x:row>
    <x:row r="51">
      <x:c r="A51" s="47" t="str">
        <x:v>KF045</x:v>
      </x:c>
      <x:c r="B51" s="47" t="str">
        <x:v>Root Artifact Court</x:v>
      </x:c>
      <x:c r="C51" s="47" t="str">
        <x:v>Clean output</x:v>
      </x:c>
      <x:c r="D51" s="47" t="str">
        <x:v>ESCROW</x:v>
      </x:c>
      <x:c r="E51" s="47" t="str">
        <x:v>Validity challenge under nondisclosure</x:v>
      </x:c>
      <x:c r="F51" s="47" t="n">
        <x:v>1</x:v>
      </x:c>
      <x:c r="G51" s="47" t="str">
        <x:f>IF(AND(F51=1,OR(D51="ALLOW",D51="PUBLIC CONTRACT"),OR(B51="Sibling form cell",B51="Finance authority")),"FAIL","PASS")</x:f>
        <x:v>PASS</x:v>
      </x:c>
      <x:c r="H51" s="84"/>
      <x:c r="I51" s="84"/>
      <x:c r="J51" s="84"/>
      <x:c r="K51" s="84"/>
      <x:c r="L51" s="84"/>
      <x:c r="M51" s="84"/>
      <x:c r="N51" s="84"/>
    </x:row>
    <x:row r="52">
      <x:c r="A52" s="47" t="str">
        <x:v>KF046</x:v>
      </x:c>
      <x:c r="B52" s="47" t="str">
        <x:v>Root Artifact Court</x:v>
      </x:c>
      <x:c r="C52" s="47" t="str">
        <x:v>Geometry/implementation</x:v>
      </x:c>
      <x:c r="D52" s="47" t="str">
        <x:v>ESCROW</x:v>
      </x:c>
      <x:c r="E52" s="47" t="str">
        <x:v>Validity challenge under nondisclosure</x:v>
      </x:c>
      <x:c r="F52" s="47" t="n">
        <x:v>1</x:v>
      </x:c>
      <x:c r="G52" s="47" t="str">
        <x:f>IF(AND(F52=1,OR(D52="ALLOW",D52="PUBLIC CONTRACT"),OR(B52="Sibling form cell",B52="Finance authority")),"FAIL","PASS")</x:f>
        <x:v>PASS</x:v>
      </x:c>
      <x:c r="H52" s="84"/>
      <x:c r="I52" s="84"/>
      <x:c r="J52" s="84"/>
      <x:c r="K52" s="84"/>
      <x:c r="L52" s="84"/>
      <x:c r="M52" s="84"/>
      <x:c r="N52" s="84"/>
    </x:row>
    <x:row r="53">
      <x:c r="A53" s="47" t="str">
        <x:v>KF047</x:v>
      </x:c>
      <x:c r="B53" s="47" t="str">
        <x:v>Root Artifact Court</x:v>
      </x:c>
      <x:c r="C53" s="47" t="str">
        <x:v>Cost/schedule/maturity</x:v>
      </x:c>
      <x:c r="D53" s="47" t="str">
        <x:v>ESCROW</x:v>
      </x:c>
      <x:c r="E53" s="47" t="str">
        <x:v>Validity challenge under nondisclosure</x:v>
      </x:c>
      <x:c r="F53" s="47" t="n">
        <x:v>0</x:v>
      </x:c>
      <x:c r="G53" s="47" t="str">
        <x:f>IF(AND(F53=1,OR(D53="ALLOW",D53="PUBLIC CONTRACT"),OR(B53="Sibling form cell",B53="Finance authority")),"FAIL","PASS")</x:f>
        <x:v>PASS</x:v>
      </x:c>
      <x:c r="H53" s="84"/>
      <x:c r="I53" s="84"/>
      <x:c r="J53" s="84"/>
      <x:c r="K53" s="84"/>
      <x:c r="L53" s="84"/>
      <x:c r="M53" s="84"/>
      <x:c r="N53" s="84"/>
    </x:row>
    <x:row r="54">
      <x:c r="A54" s="47" t="str">
        <x:v>KF048</x:v>
      </x:c>
      <x:c r="B54" s="47" t="str">
        <x:v>Root Artifact Court</x:v>
      </x:c>
      <x:c r="C54" s="47" t="str">
        <x:v>Relative performance/rank</x:v>
      </x:c>
      <x:c r="D54" s="47" t="str">
        <x:v>ESCROW</x:v>
      </x:c>
      <x:c r="E54" s="47" t="str">
        <x:v>Validity challenge under nondisclosure</x:v>
      </x:c>
      <x:c r="F54" s="47" t="n">
        <x:v>1</x:v>
      </x:c>
      <x:c r="G54" s="47" t="str">
        <x:f>IF(AND(F54=1,OR(D54="ALLOW",D54="PUBLIC CONTRACT"),OR(B54="Sibling form cell",B54="Finance authority")),"FAIL","PASS")</x:f>
        <x:v>PASS</x:v>
      </x:c>
      <x:c r="H54" s="84"/>
      <x:c r="I54" s="84"/>
      <x:c r="J54" s="84"/>
      <x:c r="K54" s="84"/>
      <x:c r="L54" s="84"/>
      <x:c r="M54" s="84"/>
      <x:c r="N54" s="84"/>
    </x:row>
    <x:row r="55">
      <x:c r="A55" s="47" t="str">
        <x:v>KF049</x:v>
      </x:c>
      <x:c r="B55" s="47" t="str">
        <x:v>Finance authority</x:v>
      </x:c>
      <x:c r="C55" s="47" t="str">
        <x:v>Package identity</x:v>
      </x:c>
      <x:c r="D55" s="47" t="str">
        <x:v>ALLOW</x:v>
      </x:c>
      <x:c r="E55" s="47" t="str">
        <x:v>Identity is public</x:v>
      </x:c>
      <x:c r="F55" s="47" t="n">
        <x:v>0</x:v>
      </x:c>
      <x:c r="G55" s="47" t="str">
        <x:f>IF(AND(F55=1,OR(D55="ALLOW",D55="PUBLIC CONTRACT"),OR(B55="Sibling form cell",B55="Finance authority")),"FAIL","PASS")</x:f>
        <x:v>PASS</x:v>
      </x:c>
      <x:c r="H55" s="84"/>
      <x:c r="I55" s="84"/>
      <x:c r="J55" s="84"/>
      <x:c r="K55" s="84"/>
      <x:c r="L55" s="84"/>
      <x:c r="M55" s="84"/>
      <x:c r="N55" s="84"/>
    </x:row>
    <x:row r="56">
      <x:c r="A56" s="47" t="str">
        <x:v>KF050</x:v>
      </x:c>
      <x:c r="B56" s="47" t="str">
        <x:v>Finance authority</x:v>
      </x:c>
      <x:c r="C56" s="47" t="str">
        <x:v>Source/model</x:v>
      </x:c>
      <x:c r="D56" s="47" t="str">
        <x:v>DENY</x:v>
      </x:c>
      <x:c r="E56" s="47" t="str">
        <x:v>No authority need</x:v>
      </x:c>
      <x:c r="F56" s="47" t="n">
        <x:v>0</x:v>
      </x:c>
      <x:c r="G56" s="47" t="str">
        <x:f>IF(AND(F56=1,OR(D56="ALLOW",D56="PUBLIC CONTRACT"),OR(B56="Sibling form cell",B56="Finance authority")),"FAIL","PASS")</x:f>
        <x:v>PASS</x:v>
      </x:c>
      <x:c r="H56" s="84"/>
      <x:c r="I56" s="84"/>
      <x:c r="J56" s="84"/>
      <x:c r="K56" s="84"/>
      <x:c r="L56" s="84"/>
      <x:c r="M56" s="84"/>
      <x:c r="N56" s="84"/>
    </x:row>
    <x:row r="57">
      <x:c r="A57" s="47" t="str">
        <x:v>KF051</x:v>
      </x:c>
      <x:c r="B57" s="47" t="str">
        <x:v>Finance authority</x:v>
      </x:c>
      <x:c r="C57" s="47" t="str">
        <x:v>Dependency bill</x:v>
      </x:c>
      <x:c r="D57" s="47" t="str">
        <x:v>DENY</x:v>
      </x:c>
      <x:c r="E57" s="47" t="str">
        <x:v>No authority need</x:v>
      </x:c>
      <x:c r="F57" s="47" t="n">
        <x:v>0</x:v>
      </x:c>
      <x:c r="G57" s="47" t="str">
        <x:f>IF(AND(F57=1,OR(D57="ALLOW",D57="PUBLIC CONTRACT"),OR(B57="Sibling form cell",B57="Finance authority")),"FAIL","PASS")</x:f>
        <x:v>PASS</x:v>
      </x:c>
      <x:c r="H57" s="84"/>
      <x:c r="I57" s="84"/>
      <x:c r="J57" s="84"/>
      <x:c r="K57" s="84"/>
      <x:c r="L57" s="84"/>
      <x:c r="M57" s="84"/>
      <x:c r="N57" s="84"/>
    </x:row>
    <x:row r="58">
      <x:c r="A58" s="47" t="str">
        <x:v>KF052</x:v>
      </x:c>
      <x:c r="B58" s="47" t="str">
        <x:v>Finance authority</x:v>
      </x:c>
      <x:c r="C58" s="47" t="str">
        <x:v>Physical assumptions</x:v>
      </x:c>
      <x:c r="D58" s="47" t="str">
        <x:v>DENY</x:v>
      </x:c>
      <x:c r="E58" s="47" t="str">
        <x:v>No authority need</x:v>
      </x:c>
      <x:c r="F58" s="47" t="n">
        <x:v>0</x:v>
      </x:c>
      <x:c r="G58" s="47" t="str">
        <x:f>IF(AND(F58=1,OR(D58="ALLOW",D58="PUBLIC CONTRACT"),OR(B58="Sibling form cell",B58="Finance authority")),"FAIL","PASS")</x:f>
        <x:v>PASS</x:v>
      </x:c>
      <x:c r="H58" s="84"/>
      <x:c r="I58" s="84"/>
      <x:c r="J58" s="84"/>
      <x:c r="K58" s="84"/>
      <x:c r="L58" s="84"/>
      <x:c r="M58" s="84"/>
      <x:c r="N58" s="84"/>
    </x:row>
    <x:row r="59">
      <x:c r="A59" s="47" t="str">
        <x:v>KF053</x:v>
      </x:c>
      <x:c r="B59" s="47" t="str">
        <x:v>Finance authority</x:v>
      </x:c>
      <x:c r="C59" s="47" t="str">
        <x:v>Units/datums/interfaces</x:v>
      </x:c>
      <x:c r="D59" s="47" t="str">
        <x:v>DENY</x:v>
      </x:c>
      <x:c r="E59" s="47" t="str">
        <x:v>No authority need</x:v>
      </x:c>
      <x:c r="F59" s="47" t="n">
        <x:v>0</x:v>
      </x:c>
      <x:c r="G59" s="47" t="str">
        <x:f>IF(AND(F59=1,OR(D59="ALLOW",D59="PUBLIC CONTRACT"),OR(B59="Sibling form cell",B59="Finance authority")),"FAIL","PASS")</x:f>
        <x:v>PASS</x:v>
      </x:c>
      <x:c r="H59" s="84"/>
      <x:c r="I59" s="84"/>
      <x:c r="J59" s="84"/>
      <x:c r="K59" s="84"/>
      <x:c r="L59" s="84"/>
      <x:c r="M59" s="84"/>
      <x:c r="N59" s="84"/>
    </x:row>
    <x:row r="60">
      <x:c r="A60" s="47" t="str">
        <x:v>KF054</x:v>
      </x:c>
      <x:c r="B60" s="47" t="str">
        <x:v>Finance authority</x:v>
      </x:c>
      <x:c r="C60" s="47" t="str">
        <x:v>Rights/receiver/residual</x:v>
      </x:c>
      <x:c r="D60" s="47" t="str">
        <x:v>DENY</x:v>
      </x:c>
      <x:c r="E60" s="47" t="str">
        <x:v>No authority need</x:v>
      </x:c>
      <x:c r="F60" s="47" t="n">
        <x:v>0</x:v>
      </x:c>
      <x:c r="G60" s="47" t="str">
        <x:f>IF(AND(F60=1,OR(D60="ALLOW",D60="PUBLIC CONTRACT"),OR(B60="Sibling form cell",B60="Finance authority")),"FAIL","PASS")</x:f>
        <x:v>PASS</x:v>
      </x:c>
      <x:c r="H60" s="84"/>
      <x:c r="I60" s="84"/>
      <x:c r="J60" s="84"/>
      <x:c r="K60" s="84"/>
      <x:c r="L60" s="84"/>
      <x:c r="M60" s="84"/>
      <x:c r="N60" s="84"/>
    </x:row>
    <x:row r="61">
      <x:c r="A61" s="47" t="str">
        <x:v>KF055</x:v>
      </x:c>
      <x:c r="B61" s="47" t="str">
        <x:v>Finance authority</x:v>
      </x:c>
      <x:c r="C61" s="47" t="str">
        <x:v>Unknown register</x:v>
      </x:c>
      <x:c r="D61" s="47" t="str">
        <x:v>DENY</x:v>
      </x:c>
      <x:c r="E61" s="47" t="str">
        <x:v>No authority need</x:v>
      </x:c>
      <x:c r="F61" s="47" t="n">
        <x:v>0</x:v>
      </x:c>
      <x:c r="G61" s="47" t="str">
        <x:f>IF(AND(F61=1,OR(D61="ALLOW",D61="PUBLIC CONTRACT"),OR(B61="Sibling form cell",B61="Finance authority")),"FAIL","PASS")</x:f>
        <x:v>PASS</x:v>
      </x:c>
      <x:c r="H61" s="84"/>
      <x:c r="I61" s="84"/>
      <x:c r="J61" s="84"/>
      <x:c r="K61" s="84"/>
      <x:c r="L61" s="84"/>
      <x:c r="M61" s="84"/>
      <x:c r="N61" s="84"/>
    </x:row>
    <x:row r="62">
      <x:c r="A62" s="47" t="str">
        <x:v>KF056</x:v>
      </x:c>
      <x:c r="B62" s="47" t="str">
        <x:v>Finance authority</x:v>
      </x:c>
      <x:c r="C62" s="47" t="str">
        <x:v>Native output</x:v>
      </x:c>
      <x:c r="D62" s="47" t="str">
        <x:v>DENY</x:v>
      </x:c>
      <x:c r="E62" s="47" t="str">
        <x:v>No authority need</x:v>
      </x:c>
      <x:c r="F62" s="47" t="n">
        <x:v>1</x:v>
      </x:c>
      <x:c r="G62" s="47" t="str">
        <x:f>IF(AND(F62=1,OR(D62="ALLOW",D62="PUBLIC CONTRACT"),OR(B62="Sibling form cell",B62="Finance authority")),"FAIL","PASS")</x:f>
        <x:v>PASS</x:v>
      </x:c>
      <x:c r="H62" s="84"/>
      <x:c r="I62" s="84"/>
      <x:c r="J62" s="84"/>
      <x:c r="K62" s="84"/>
      <x:c r="L62" s="84"/>
      <x:c r="M62" s="84"/>
      <x:c r="N62" s="84"/>
    </x:row>
    <x:row r="63">
      <x:c r="A63" s="47" t="str">
        <x:v>KF057</x:v>
      </x:c>
      <x:c r="B63" s="47" t="str">
        <x:v>Finance authority</x:v>
      </x:c>
      <x:c r="C63" s="47" t="str">
        <x:v>Clean output</x:v>
      </x:c>
      <x:c r="D63" s="47" t="str">
        <x:v>DENY</x:v>
      </x:c>
      <x:c r="E63" s="47" t="str">
        <x:v>No authority need</x:v>
      </x:c>
      <x:c r="F63" s="47" t="n">
        <x:v>1</x:v>
      </x:c>
      <x:c r="G63" s="47" t="str">
        <x:f>IF(AND(F63=1,OR(D63="ALLOW",D63="PUBLIC CONTRACT"),OR(B63="Sibling form cell",B63="Finance authority")),"FAIL","PASS")</x:f>
        <x:v>PASS</x:v>
      </x:c>
      <x:c r="H63" s="84"/>
      <x:c r="I63" s="84"/>
      <x:c r="J63" s="84"/>
      <x:c r="K63" s="84"/>
      <x:c r="L63" s="84"/>
      <x:c r="M63" s="84"/>
      <x:c r="N63" s="84"/>
    </x:row>
    <x:row r="64">
      <x:c r="A64" s="47" t="str">
        <x:v>KF058</x:v>
      </x:c>
      <x:c r="B64" s="47" t="str">
        <x:v>Finance authority</x:v>
      </x:c>
      <x:c r="C64" s="47" t="str">
        <x:v>Geometry/implementation</x:v>
      </x:c>
      <x:c r="D64" s="47" t="str">
        <x:v>DENY</x:v>
      </x:c>
      <x:c r="E64" s="47" t="str">
        <x:v>No authority need</x:v>
      </x:c>
      <x:c r="F64" s="47" t="n">
        <x:v>1</x:v>
      </x:c>
      <x:c r="G64" s="47" t="str">
        <x:f>IF(AND(F64=1,OR(D64="ALLOW",D64="PUBLIC CONTRACT"),OR(B64="Sibling form cell",B64="Finance authority")),"FAIL","PASS")</x:f>
        <x:v>PASS</x:v>
      </x:c>
      <x:c r="H64" s="84"/>
      <x:c r="I64" s="84"/>
      <x:c r="J64" s="84"/>
      <x:c r="K64" s="84"/>
      <x:c r="L64" s="84"/>
      <x:c r="M64" s="84"/>
      <x:c r="N64" s="84"/>
    </x:row>
    <x:row r="65">
      <x:c r="A65" s="47" t="str">
        <x:v>KF059</x:v>
      </x:c>
      <x:c r="B65" s="47" t="str">
        <x:v>Finance authority</x:v>
      </x:c>
      <x:c r="C65" s="47" t="str">
        <x:v>Cost/schedule/maturity</x:v>
      </x:c>
      <x:c r="D65" s="47" t="str">
        <x:v>ALLOW</x:v>
      </x:c>
      <x:c r="E65" s="47" t="str">
        <x:v>Payment administration without technical access</x:v>
      </x:c>
      <x:c r="F65" s="47" t="n">
        <x:v>0</x:v>
      </x:c>
      <x:c r="G65" s="47" t="str">
        <x:f>IF(AND(F65=1,OR(D65="ALLOW",D65="PUBLIC CONTRACT"),OR(B65="Sibling form cell",B65="Finance authority")),"FAIL","PASS")</x:f>
        <x:v>PASS</x:v>
      </x:c>
      <x:c r="H65" s="84"/>
      <x:c r="I65" s="84"/>
      <x:c r="J65" s="84"/>
      <x:c r="K65" s="84"/>
      <x:c r="L65" s="84"/>
      <x:c r="M65" s="84"/>
      <x:c r="N65" s="84"/>
    </x:row>
    <x:row r="66">
      <x:c r="A66" s="47" t="str">
        <x:v>KF060</x:v>
      </x:c>
      <x:c r="B66" s="47" t="str">
        <x:v>Finance authority</x:v>
      </x:c>
      <x:c r="C66" s="47" t="str">
        <x:v>Relative performance/rank</x:v>
      </x:c>
      <x:c r="D66" s="47" t="str">
        <x:v>DENY</x:v>
      </x:c>
      <x:c r="E66" s="47" t="str">
        <x:v>No authority need</x:v>
      </x:c>
      <x:c r="F66" s="47" t="n">
        <x:v>1</x:v>
      </x:c>
      <x:c r="G66" s="47" t="str">
        <x:f>IF(AND(F66=1,OR(D66="ALLOW",D66="PUBLIC CONTRACT"),OR(B66="Sibling form cell",B66="Finance authority")),"FAIL","PASS")</x:f>
        <x:v>PASS</x:v>
      </x:c>
      <x:c r="H66" s="84"/>
      <x:c r="I66" s="84"/>
      <x:c r="J66" s="84"/>
      <x:c r="K66" s="84"/>
      <x:c r="L66" s="84"/>
      <x:c r="M66" s="84"/>
      <x:c r="N66" s="84"/>
    </x:row>
    <x:row r="67">
      <x:c r="A67" s="47" t="str">
        <x:v>KF061</x:v>
      </x:c>
      <x:c r="B67" s="47" t="str">
        <x:v>Evidence Court</x:v>
      </x:c>
      <x:c r="C67" s="47" t="str">
        <x:v>Package identity</x:v>
      </x:c>
      <x:c r="D67" s="47" t="str">
        <x:v>ALLOW</x:v>
      </x:c>
      <x:c r="E67" s="47" t="str">
        <x:v>Identity is public</x:v>
      </x:c>
      <x:c r="F67" s="47" t="n">
        <x:v>0</x:v>
      </x:c>
      <x:c r="G67" s="47" t="str">
        <x:f>IF(AND(F67=1,OR(D67="ALLOW",D67="PUBLIC CONTRACT"),OR(B67="Sibling form cell",B67="Finance authority")),"FAIL","PASS")</x:f>
        <x:v>PASS</x:v>
      </x:c>
      <x:c r="H67" s="84"/>
      <x:c r="I67" s="84"/>
      <x:c r="J67" s="84"/>
      <x:c r="K67" s="84"/>
      <x:c r="L67" s="84"/>
      <x:c r="M67" s="84"/>
      <x:c r="N67" s="84"/>
    </x:row>
    <x:row r="68">
      <x:c r="A68" s="47" t="str">
        <x:v>KF062</x:v>
      </x:c>
      <x:c r="B68" s="47" t="str">
        <x:v>Evidence Court</x:v>
      </x:c>
      <x:c r="C68" s="47" t="str">
        <x:v>Source/model</x:v>
      </x:c>
      <x:c r="D68" s="47" t="str">
        <x:v>DENY</x:v>
      </x:c>
      <x:c r="E68" s="47" t="str">
        <x:v>No authority need</x:v>
      </x:c>
      <x:c r="F68" s="47" t="n">
        <x:v>0</x:v>
      </x:c>
      <x:c r="G68" s="47" t="str">
        <x:f>IF(AND(F68=1,OR(D68="ALLOW",D68="PUBLIC CONTRACT"),OR(B68="Sibling form cell",B68="Finance authority")),"FAIL","PASS")</x:f>
        <x:v>PASS</x:v>
      </x:c>
      <x:c r="H68" s="84"/>
      <x:c r="I68" s="84"/>
      <x:c r="J68" s="84"/>
      <x:c r="K68" s="84"/>
      <x:c r="L68" s="84"/>
      <x:c r="M68" s="84"/>
      <x:c r="N68" s="84"/>
    </x:row>
    <x:row r="69">
      <x:c r="A69" s="47" t="str">
        <x:v>KF063</x:v>
      </x:c>
      <x:c r="B69" s="47" t="str">
        <x:v>Evidence Court</x:v>
      </x:c>
      <x:c r="C69" s="47" t="str">
        <x:v>Dependency bill</x:v>
      </x:c>
      <x:c r="D69" s="47" t="str">
        <x:v>DENY</x:v>
      </x:c>
      <x:c r="E69" s="47" t="str">
        <x:v>No authority need</x:v>
      </x:c>
      <x:c r="F69" s="47" t="n">
        <x:v>0</x:v>
      </x:c>
      <x:c r="G69" s="47" t="str">
        <x:f>IF(AND(F69=1,OR(D69="ALLOW",D69="PUBLIC CONTRACT"),OR(B69="Sibling form cell",B69="Finance authority")),"FAIL","PASS")</x:f>
        <x:v>PASS</x:v>
      </x:c>
      <x:c r="H69" s="84"/>
      <x:c r="I69" s="84"/>
      <x:c r="J69" s="84"/>
      <x:c r="K69" s="84"/>
      <x:c r="L69" s="84"/>
      <x:c r="M69" s="84"/>
      <x:c r="N69" s="84"/>
    </x:row>
    <x:row r="70">
      <x:c r="A70" s="47" t="str">
        <x:v>KF064</x:v>
      </x:c>
      <x:c r="B70" s="47" t="str">
        <x:v>Evidence Court</x:v>
      </x:c>
      <x:c r="C70" s="47" t="str">
        <x:v>Physical assumptions</x:v>
      </x:c>
      <x:c r="D70" s="47" t="str">
        <x:v>DENY</x:v>
      </x:c>
      <x:c r="E70" s="47" t="str">
        <x:v>No authority need</x:v>
      </x:c>
      <x:c r="F70" s="47" t="n">
        <x:v>0</x:v>
      </x:c>
      <x:c r="G70" s="47" t="str">
        <x:f>IF(AND(F70=1,OR(D70="ALLOW",D70="PUBLIC CONTRACT"),OR(B70="Sibling form cell",B70="Finance authority")),"FAIL","PASS")</x:f>
        <x:v>PASS</x:v>
      </x:c>
      <x:c r="H70" s="84"/>
      <x:c r="I70" s="84"/>
      <x:c r="J70" s="84"/>
      <x:c r="K70" s="84"/>
      <x:c r="L70" s="84"/>
      <x:c r="M70" s="84"/>
      <x:c r="N70" s="84"/>
    </x:row>
    <x:row r="71">
      <x:c r="A71" s="47" t="str">
        <x:v>KF065</x:v>
      </x:c>
      <x:c r="B71" s="47" t="str">
        <x:v>Evidence Court</x:v>
      </x:c>
      <x:c r="C71" s="47" t="str">
        <x:v>Units/datums/interfaces</x:v>
      </x:c>
      <x:c r="D71" s="47" t="str">
        <x:v>DENY</x:v>
      </x:c>
      <x:c r="E71" s="47" t="str">
        <x:v>No authority need</x:v>
      </x:c>
      <x:c r="F71" s="47" t="n">
        <x:v>0</x:v>
      </x:c>
      <x:c r="G71" s="47" t="str">
        <x:f>IF(AND(F71=1,OR(D71="ALLOW",D71="PUBLIC CONTRACT"),OR(B71="Sibling form cell",B71="Finance authority")),"FAIL","PASS")</x:f>
        <x:v>PASS</x:v>
      </x:c>
      <x:c r="H71" s="84"/>
      <x:c r="I71" s="84"/>
      <x:c r="J71" s="84"/>
      <x:c r="K71" s="84"/>
      <x:c r="L71" s="84"/>
      <x:c r="M71" s="84"/>
      <x:c r="N71" s="84"/>
    </x:row>
    <x:row r="72">
      <x:c r="A72" s="47" t="str">
        <x:v>KF066</x:v>
      </x:c>
      <x:c r="B72" s="47" t="str">
        <x:v>Evidence Court</x:v>
      </x:c>
      <x:c r="C72" s="47" t="str">
        <x:v>Rights/receiver/residual</x:v>
      </x:c>
      <x:c r="D72" s="47" t="str">
        <x:v>DENY</x:v>
      </x:c>
      <x:c r="E72" s="47" t="str">
        <x:v>No authority need</x:v>
      </x:c>
      <x:c r="F72" s="47" t="n">
        <x:v>0</x:v>
      </x:c>
      <x:c r="G72" s="47" t="str">
        <x:f>IF(AND(F72=1,OR(D72="ALLOW",D72="PUBLIC CONTRACT"),OR(B72="Sibling form cell",B72="Finance authority")),"FAIL","PASS")</x:f>
        <x:v>PASS</x:v>
      </x:c>
      <x:c r="H72" s="84"/>
      <x:c r="I72" s="84"/>
      <x:c r="J72" s="84"/>
      <x:c r="K72" s="84"/>
      <x:c r="L72" s="84"/>
      <x:c r="M72" s="84"/>
      <x:c r="N72" s="84"/>
    </x:row>
    <x:row r="73">
      <x:c r="A73" s="47" t="str">
        <x:v>KF067</x:v>
      </x:c>
      <x:c r="B73" s="47" t="str">
        <x:v>Evidence Court</x:v>
      </x:c>
      <x:c r="C73" s="47" t="str">
        <x:v>Unknown register</x:v>
      </x:c>
      <x:c r="D73" s="47" t="str">
        <x:v>DENY</x:v>
      </x:c>
      <x:c r="E73" s="47" t="str">
        <x:v>No authority need</x:v>
      </x:c>
      <x:c r="F73" s="47" t="n">
        <x:v>0</x:v>
      </x:c>
      <x:c r="G73" s="47" t="str">
        <x:f>IF(AND(F73=1,OR(D73="ALLOW",D73="PUBLIC CONTRACT"),OR(B73="Sibling form cell",B73="Finance authority")),"FAIL","PASS")</x:f>
        <x:v>PASS</x:v>
      </x:c>
      <x:c r="H73" s="84"/>
      <x:c r="I73" s="84"/>
      <x:c r="J73" s="84"/>
      <x:c r="K73" s="84"/>
      <x:c r="L73" s="84"/>
      <x:c r="M73" s="84"/>
      <x:c r="N73" s="84"/>
    </x:row>
    <x:row r="74">
      <x:c r="A74" s="47" t="str">
        <x:v>KF068</x:v>
      </x:c>
      <x:c r="B74" s="47" t="str">
        <x:v>Evidence Court</x:v>
      </x:c>
      <x:c r="C74" s="47" t="str">
        <x:v>Native output</x:v>
      </x:c>
      <x:c r="D74" s="47" t="str">
        <x:v>DENY</x:v>
      </x:c>
      <x:c r="E74" s="47" t="str">
        <x:v>No authority need</x:v>
      </x:c>
      <x:c r="F74" s="47" t="n">
        <x:v>1</x:v>
      </x:c>
      <x:c r="G74" s="47" t="str">
        <x:f>IF(AND(F74=1,OR(D74="ALLOW",D74="PUBLIC CONTRACT"),OR(B74="Sibling form cell",B74="Finance authority")),"FAIL","PASS")</x:f>
        <x:v>PASS</x:v>
      </x:c>
      <x:c r="H74" s="84"/>
      <x:c r="I74" s="84"/>
      <x:c r="J74" s="84"/>
      <x:c r="K74" s="84"/>
      <x:c r="L74" s="84"/>
      <x:c r="M74" s="84"/>
      <x:c r="N74" s="84"/>
    </x:row>
    <x:row r="75">
      <x:c r="A75" s="47" t="str">
        <x:v>KF069</x:v>
      </x:c>
      <x:c r="B75" s="47" t="str">
        <x:v>Evidence Court</x:v>
      </x:c>
      <x:c r="C75" s="47" t="str">
        <x:v>Clean output</x:v>
      </x:c>
      <x:c r="D75" s="47" t="str">
        <x:v>DENY</x:v>
      </x:c>
      <x:c r="E75" s="47" t="str">
        <x:v>No authority need</x:v>
      </x:c>
      <x:c r="F75" s="47" t="n">
        <x:v>1</x:v>
      </x:c>
      <x:c r="G75" s="47" t="str">
        <x:f>IF(AND(F75=1,OR(D75="ALLOW",D75="PUBLIC CONTRACT"),OR(B75="Sibling form cell",B75="Finance authority")),"FAIL","PASS")</x:f>
        <x:v>PASS</x:v>
      </x:c>
      <x:c r="H75" s="84"/>
      <x:c r="I75" s="84"/>
      <x:c r="J75" s="84"/>
      <x:c r="K75" s="84"/>
      <x:c r="L75" s="84"/>
      <x:c r="M75" s="84"/>
      <x:c r="N75" s="84"/>
    </x:row>
    <x:row r="76">
      <x:c r="A76" s="47" t="str">
        <x:v>KF070</x:v>
      </x:c>
      <x:c r="B76" s="47" t="str">
        <x:v>Evidence Court</x:v>
      </x:c>
      <x:c r="C76" s="47" t="str">
        <x:v>Geometry/implementation</x:v>
      </x:c>
      <x:c r="D76" s="47" t="str">
        <x:v>DENY</x:v>
      </x:c>
      <x:c r="E76" s="47" t="str">
        <x:v>No authority need</x:v>
      </x:c>
      <x:c r="F76" s="47" t="n">
        <x:v>1</x:v>
      </x:c>
      <x:c r="G76" s="47" t="str">
        <x:f>IF(AND(F76=1,OR(D76="ALLOW",D76="PUBLIC CONTRACT"),OR(B76="Sibling form cell",B76="Finance authority")),"FAIL","PASS")</x:f>
        <x:v>PASS</x:v>
      </x:c>
      <x:c r="H76" s="84"/>
      <x:c r="I76" s="84"/>
      <x:c r="J76" s="84"/>
      <x:c r="K76" s="84"/>
      <x:c r="L76" s="84"/>
      <x:c r="M76" s="84"/>
      <x:c r="N76" s="84"/>
    </x:row>
    <x:row r="77">
      <x:c r="A77" s="47" t="str">
        <x:v>KF071</x:v>
      </x:c>
      <x:c r="B77" s="47" t="str">
        <x:v>Evidence Court</x:v>
      </x:c>
      <x:c r="C77" s="47" t="str">
        <x:v>Cost/schedule/maturity</x:v>
      </x:c>
      <x:c r="D77" s="47" t="str">
        <x:v>DENY</x:v>
      </x:c>
      <x:c r="E77" s="47" t="str">
        <x:v>No authority need</x:v>
      </x:c>
      <x:c r="F77" s="47" t="n">
        <x:v>0</x:v>
      </x:c>
      <x:c r="G77" s="47" t="str">
        <x:f>IF(AND(F77=1,OR(D77="ALLOW",D77="PUBLIC CONTRACT"),OR(B77="Sibling form cell",B77="Finance authority")),"FAIL","PASS")</x:f>
        <x:v>PASS</x:v>
      </x:c>
      <x:c r="H77" s="84"/>
      <x:c r="I77" s="84"/>
      <x:c r="J77" s="84"/>
      <x:c r="K77" s="84"/>
      <x:c r="L77" s="84"/>
      <x:c r="M77" s="84"/>
      <x:c r="N77" s="84"/>
    </x:row>
    <x:row r="78">
      <x:c r="A78" s="47" t="str">
        <x:v>KF072</x:v>
      </x:c>
      <x:c r="B78" s="47" t="str">
        <x:v>Evidence Court</x:v>
      </x:c>
      <x:c r="C78" s="47" t="str">
        <x:v>Relative performance/rank</x:v>
      </x:c>
      <x:c r="D78" s="47" t="str">
        <x:v>DENY</x:v>
      </x:c>
      <x:c r="E78" s="47" t="str">
        <x:v>No authority need</x:v>
      </x:c>
      <x:c r="F78" s="47" t="n">
        <x:v>1</x:v>
      </x:c>
      <x:c r="G78" s="47" t="str">
        <x:f>IF(AND(F78=1,OR(D78="ALLOW",D78="PUBLIC CONTRACT"),OR(B78="Sibling form cell",B78="Finance authority")),"FAIL","PASS")</x:f>
        <x:v>PASS</x:v>
      </x:c>
      <x:c r="H78" s="84"/>
      <x:c r="I78" s="84"/>
      <x:c r="J78" s="84"/>
      <x:c r="K78" s="84"/>
      <x:c r="L78" s="84"/>
      <x:c r="M78" s="84"/>
      <x:c r="N78" s="84"/>
    </x:row>
    <x:row r="79">
      <x:c r="A79" s="47" t="str">
        <x:v>KF073</x:v>
      </x:c>
      <x:c r="B79" s="47" t="str">
        <x:v>Sibling form cell</x:v>
      </x:c>
      <x:c r="C79" s="47" t="str">
        <x:v>Package identity</x:v>
      </x:c>
      <x:c r="D79" s="47" t="str">
        <x:v>ALLOW</x:v>
      </x:c>
      <x:c r="E79" s="47" t="str">
        <x:v>Identity is public</x:v>
      </x:c>
      <x:c r="F79" s="47" t="n">
        <x:v>0</x:v>
      </x:c>
      <x:c r="G79" s="47" t="str">
        <x:f>IF(AND(F79=1,OR(D79="ALLOW",D79="PUBLIC CONTRACT"),OR(B79="Sibling form cell",B79="Finance authority")),"FAIL","PASS")</x:f>
        <x:v>PASS</x:v>
      </x:c>
      <x:c r="H79" s="84"/>
      <x:c r="I79" s="84"/>
      <x:c r="J79" s="84"/>
      <x:c r="K79" s="84"/>
      <x:c r="L79" s="84"/>
      <x:c r="M79" s="84"/>
      <x:c r="N79" s="84"/>
    </x:row>
    <x:row r="80">
      <x:c r="A80" s="47" t="str">
        <x:v>KF074</x:v>
      </x:c>
      <x:c r="B80" s="47" t="str">
        <x:v>Sibling form cell</x:v>
      </x:c>
      <x:c r="C80" s="47" t="str">
        <x:v>Source/model</x:v>
      </x:c>
      <x:c r="D80" s="47" t="str">
        <x:v>DENY</x:v>
      </x:c>
      <x:c r="E80" s="47" t="str">
        <x:v>No authority need</x:v>
      </x:c>
      <x:c r="F80" s="47" t="n">
        <x:v>0</x:v>
      </x:c>
      <x:c r="G80" s="47" t="str">
        <x:f>IF(AND(F80=1,OR(D80="ALLOW",D80="PUBLIC CONTRACT"),OR(B80="Sibling form cell",B80="Finance authority")),"FAIL","PASS")</x:f>
        <x:v>PASS</x:v>
      </x:c>
      <x:c r="H80" s="84"/>
      <x:c r="I80" s="84"/>
      <x:c r="J80" s="84"/>
      <x:c r="K80" s="84"/>
      <x:c r="L80" s="84"/>
      <x:c r="M80" s="84"/>
      <x:c r="N80" s="84"/>
    </x:row>
    <x:row r="81">
      <x:c r="A81" s="47" t="str">
        <x:v>KF075</x:v>
      </x:c>
      <x:c r="B81" s="47" t="str">
        <x:v>Sibling form cell</x:v>
      </x:c>
      <x:c r="C81" s="47" t="str">
        <x:v>Dependency bill</x:v>
      </x:c>
      <x:c r="D81" s="47" t="str">
        <x:v>DENY</x:v>
      </x:c>
      <x:c r="E81" s="47" t="str">
        <x:v>No authority need</x:v>
      </x:c>
      <x:c r="F81" s="47" t="n">
        <x:v>0</x:v>
      </x:c>
      <x:c r="G81" s="47" t="str">
        <x:f>IF(AND(F81=1,OR(D81="ALLOW",D81="PUBLIC CONTRACT"),OR(B81="Sibling form cell",B81="Finance authority")),"FAIL","PASS")</x:f>
        <x:v>PASS</x:v>
      </x:c>
      <x:c r="H81" s="84"/>
      <x:c r="I81" s="84"/>
      <x:c r="J81" s="84"/>
      <x:c r="K81" s="84"/>
      <x:c r="L81" s="84"/>
      <x:c r="M81" s="84"/>
      <x:c r="N81" s="84"/>
    </x:row>
    <x:row r="82">
      <x:c r="A82" s="47" t="str">
        <x:v>KF076</x:v>
      </x:c>
      <x:c r="B82" s="47" t="str">
        <x:v>Sibling form cell</x:v>
      </x:c>
      <x:c r="C82" s="47" t="str">
        <x:v>Physical assumptions</x:v>
      </x:c>
      <x:c r="D82" s="47" t="str">
        <x:v>DENY</x:v>
      </x:c>
      <x:c r="E82" s="47" t="str">
        <x:v>No authority need</x:v>
      </x:c>
      <x:c r="F82" s="47" t="n">
        <x:v>0</x:v>
      </x:c>
      <x:c r="G82" s="47" t="str">
        <x:f>IF(AND(F82=1,OR(D82="ALLOW",D82="PUBLIC CONTRACT"),OR(B82="Sibling form cell",B82="Finance authority")),"FAIL","PASS")</x:f>
        <x:v>PASS</x:v>
      </x:c>
      <x:c r="H82" s="84"/>
      <x:c r="I82" s="84"/>
      <x:c r="J82" s="84"/>
      <x:c r="K82" s="84"/>
      <x:c r="L82" s="84"/>
      <x:c r="M82" s="84"/>
      <x:c r="N82" s="84"/>
    </x:row>
    <x:row r="83">
      <x:c r="A83" s="47" t="str">
        <x:v>KF077</x:v>
      </x:c>
      <x:c r="B83" s="47" t="str">
        <x:v>Sibling form cell</x:v>
      </x:c>
      <x:c r="C83" s="47" t="str">
        <x:v>Units/datums/interfaces</x:v>
      </x:c>
      <x:c r="D83" s="47" t="str">
        <x:v>DENY</x:v>
      </x:c>
      <x:c r="E83" s="47" t="str">
        <x:v>No authority need</x:v>
      </x:c>
      <x:c r="F83" s="47" t="n">
        <x:v>0</x:v>
      </x:c>
      <x:c r="G83" s="47" t="str">
        <x:f>IF(AND(F83=1,OR(D83="ALLOW",D83="PUBLIC CONTRACT"),OR(B83="Sibling form cell",B83="Finance authority")),"FAIL","PASS")</x:f>
        <x:v>PASS</x:v>
      </x:c>
      <x:c r="H83" s="84"/>
      <x:c r="I83" s="84"/>
      <x:c r="J83" s="84"/>
      <x:c r="K83" s="84"/>
      <x:c r="L83" s="84"/>
      <x:c r="M83" s="84"/>
      <x:c r="N83" s="84"/>
    </x:row>
    <x:row r="84">
      <x:c r="A84" s="47" t="str">
        <x:v>KF078</x:v>
      </x:c>
      <x:c r="B84" s="47" t="str">
        <x:v>Sibling form cell</x:v>
      </x:c>
      <x:c r="C84" s="47" t="str">
        <x:v>Rights/receiver/residual</x:v>
      </x:c>
      <x:c r="D84" s="47" t="str">
        <x:v>DENY</x:v>
      </x:c>
      <x:c r="E84" s="47" t="str">
        <x:v>No authority need</x:v>
      </x:c>
      <x:c r="F84" s="47" t="n">
        <x:v>0</x:v>
      </x:c>
      <x:c r="G84" s="47" t="str">
        <x:f>IF(AND(F84=1,OR(D84="ALLOW",D84="PUBLIC CONTRACT"),OR(B84="Sibling form cell",B84="Finance authority")),"FAIL","PASS")</x:f>
        <x:v>PASS</x:v>
      </x:c>
      <x:c r="H84" s="84"/>
      <x:c r="I84" s="84"/>
      <x:c r="J84" s="84"/>
      <x:c r="K84" s="84"/>
      <x:c r="L84" s="84"/>
      <x:c r="M84" s="84"/>
      <x:c r="N84" s="84"/>
    </x:row>
    <x:row r="85">
      <x:c r="A85" s="47" t="str">
        <x:v>KF079</x:v>
      </x:c>
      <x:c r="B85" s="47" t="str">
        <x:v>Sibling form cell</x:v>
      </x:c>
      <x:c r="C85" s="47" t="str">
        <x:v>Unknown register</x:v>
      </x:c>
      <x:c r="D85" s="47" t="str">
        <x:v>DENY</x:v>
      </x:c>
      <x:c r="E85" s="47" t="str">
        <x:v>No authority need</x:v>
      </x:c>
      <x:c r="F85" s="47" t="n">
        <x:v>0</x:v>
      </x:c>
      <x:c r="G85" s="47" t="str">
        <x:f>IF(AND(F85=1,OR(D85="ALLOW",D85="PUBLIC CONTRACT"),OR(B85="Sibling form cell",B85="Finance authority")),"FAIL","PASS")</x:f>
        <x:v>PASS</x:v>
      </x:c>
      <x:c r="H85" s="84"/>
      <x:c r="I85" s="84"/>
      <x:c r="J85" s="84"/>
      <x:c r="K85" s="84"/>
      <x:c r="L85" s="84"/>
      <x:c r="M85" s="84"/>
      <x:c r="N85" s="84"/>
    </x:row>
    <x:row r="86">
      <x:c r="A86" s="47" t="str">
        <x:v>KF080</x:v>
      </x:c>
      <x:c r="B86" s="47" t="str">
        <x:v>Sibling form cell</x:v>
      </x:c>
      <x:c r="C86" s="47" t="str">
        <x:v>Native output</x:v>
      </x:c>
      <x:c r="D86" s="47" t="str">
        <x:v>DENY</x:v>
      </x:c>
      <x:c r="E86" s="47" t="str">
        <x:v>No authority need</x:v>
      </x:c>
      <x:c r="F86" s="47" t="n">
        <x:v>1</x:v>
      </x:c>
      <x:c r="G86" s="47" t="str">
        <x:f>IF(AND(F86=1,OR(D86="ALLOW",D86="PUBLIC CONTRACT"),OR(B86="Sibling form cell",B86="Finance authority")),"FAIL","PASS")</x:f>
        <x:v>PASS</x:v>
      </x:c>
      <x:c r="H86" s="84"/>
      <x:c r="I86" s="84"/>
      <x:c r="J86" s="84"/>
      <x:c r="K86" s="84"/>
      <x:c r="L86" s="84"/>
      <x:c r="M86" s="84"/>
      <x:c r="N86" s="84"/>
    </x:row>
    <x:row r="87">
      <x:c r="A87" s="47" t="str">
        <x:v>KF081</x:v>
      </x:c>
      <x:c r="B87" s="47" t="str">
        <x:v>Sibling form cell</x:v>
      </x:c>
      <x:c r="C87" s="47" t="str">
        <x:v>Clean output</x:v>
      </x:c>
      <x:c r="D87" s="47" t="str">
        <x:v>DENY</x:v>
      </x:c>
      <x:c r="E87" s="47" t="str">
        <x:v>No authority need</x:v>
      </x:c>
      <x:c r="F87" s="47" t="n">
        <x:v>1</x:v>
      </x:c>
      <x:c r="G87" s="47" t="str">
        <x:f>IF(AND(F87=1,OR(D87="ALLOW",D87="PUBLIC CONTRACT"),OR(B87="Sibling form cell",B87="Finance authority")),"FAIL","PASS")</x:f>
        <x:v>PASS</x:v>
      </x:c>
      <x:c r="H87" s="84"/>
      <x:c r="I87" s="84"/>
      <x:c r="J87" s="84"/>
      <x:c r="K87" s="84"/>
      <x:c r="L87" s="84"/>
      <x:c r="M87" s="84"/>
      <x:c r="N87" s="84"/>
    </x:row>
    <x:row r="88">
      <x:c r="A88" s="47" t="str">
        <x:v>KF082</x:v>
      </x:c>
      <x:c r="B88" s="47" t="str">
        <x:v>Sibling form cell</x:v>
      </x:c>
      <x:c r="C88" s="47" t="str">
        <x:v>Geometry/implementation</x:v>
      </x:c>
      <x:c r="D88" s="47" t="str">
        <x:v>DENY</x:v>
      </x:c>
      <x:c r="E88" s="47" t="str">
        <x:v>No authority need</x:v>
      </x:c>
      <x:c r="F88" s="47" t="n">
        <x:v>1</x:v>
      </x:c>
      <x:c r="G88" s="47" t="str">
        <x:f>IF(AND(F88=1,OR(D88="ALLOW",D88="PUBLIC CONTRACT"),OR(B88="Sibling form cell",B88="Finance authority")),"FAIL","PASS")</x:f>
        <x:v>PASS</x:v>
      </x:c>
      <x:c r="H88" s="84"/>
      <x:c r="I88" s="84"/>
      <x:c r="J88" s="84"/>
      <x:c r="K88" s="84"/>
      <x:c r="L88" s="84"/>
      <x:c r="M88" s="84"/>
      <x:c r="N88" s="84"/>
    </x:row>
    <x:row r="89">
      <x:c r="A89" s="47" t="str">
        <x:v>KF083</x:v>
      </x:c>
      <x:c r="B89" s="47" t="str">
        <x:v>Sibling form cell</x:v>
      </x:c>
      <x:c r="C89" s="47" t="str">
        <x:v>Cost/schedule/maturity</x:v>
      </x:c>
      <x:c r="D89" s="47" t="str">
        <x:v>DENY</x:v>
      </x:c>
      <x:c r="E89" s="47" t="str">
        <x:v>No authority need</x:v>
      </x:c>
      <x:c r="F89" s="47" t="n">
        <x:v>0</x:v>
      </x:c>
      <x:c r="G89" s="47" t="str">
        <x:f>IF(AND(F89=1,OR(D89="ALLOW",D89="PUBLIC CONTRACT"),OR(B89="Sibling form cell",B89="Finance authority")),"FAIL","PASS")</x:f>
        <x:v>PASS</x:v>
      </x:c>
      <x:c r="H89" s="84"/>
      <x:c r="I89" s="84"/>
      <x:c r="J89" s="84"/>
      <x:c r="K89" s="84"/>
      <x:c r="L89" s="84"/>
      <x:c r="M89" s="84"/>
      <x:c r="N89" s="84"/>
    </x:row>
    <x:row r="90">
      <x:c r="A90" s="47" t="str">
        <x:v>KF084</x:v>
      </x:c>
      <x:c r="B90" s="47" t="str">
        <x:v>Sibling form cell</x:v>
      </x:c>
      <x:c r="C90" s="47" t="str">
        <x:v>Relative performance/rank</x:v>
      </x:c>
      <x:c r="D90" s="47" t="str">
        <x:v>DENY</x:v>
      </x:c>
      <x:c r="E90" s="47" t="str">
        <x:v>No authority need</x:v>
      </x:c>
      <x:c r="F90" s="47" t="n">
        <x:v>1</x:v>
      </x:c>
      <x:c r="G90" s="47" t="str">
        <x:f>IF(AND(F90=1,OR(D90="ALLOW",D90="PUBLIC CONTRACT"),OR(B90="Sibling form cell",B90="Finance authority")),"FAIL","PASS")</x:f>
        <x:v>PASS</x:v>
      </x:c>
      <x:c r="H90" s="84"/>
      <x:c r="I90" s="84"/>
      <x:c r="J90" s="84"/>
      <x:c r="K90" s="84"/>
      <x:c r="L90" s="84"/>
      <x:c r="M90" s="84"/>
      <x:c r="N90" s="84"/>
    </x:row>
    <x:row r="91">
      <x:c r="A91" s="47" t="str">
        <x:v>KF085</x:v>
      </x:c>
      <x:c r="B91" s="47" t="str">
        <x:v>Safety translation cell</x:v>
      </x:c>
      <x:c r="C91" s="47" t="str">
        <x:v>Package identity</x:v>
      </x:c>
      <x:c r="D91" s="47" t="str">
        <x:v>ALLOW</x:v>
      </x:c>
      <x:c r="E91" s="47" t="str">
        <x:v>Identity is public</x:v>
      </x:c>
      <x:c r="F91" s="47" t="n">
        <x:v>0</x:v>
      </x:c>
      <x:c r="G91" s="47" t="str">
        <x:f>IF(AND(F91=1,OR(D91="ALLOW",D91="PUBLIC CONTRACT"),OR(B91="Sibling form cell",B91="Finance authority")),"FAIL","PASS")</x:f>
        <x:v>PASS</x:v>
      </x:c>
      <x:c r="H91" s="84"/>
      <x:c r="I91" s="84"/>
      <x:c r="J91" s="84"/>
      <x:c r="K91" s="84"/>
      <x:c r="L91" s="84"/>
      <x:c r="M91" s="84"/>
      <x:c r="N91" s="84"/>
    </x:row>
    <x:row r="92">
      <x:c r="A92" s="47" t="str">
        <x:v>KF086</x:v>
      </x:c>
      <x:c r="B92" s="47" t="str">
        <x:v>Safety translation cell</x:v>
      </x:c>
      <x:c r="C92" s="47" t="str">
        <x:v>Source/model</x:v>
      </x:c>
      <x:c r="D92" s="47" t="str">
        <x:v>DENY</x:v>
      </x:c>
      <x:c r="E92" s="47" t="str">
        <x:v>No authority need</x:v>
      </x:c>
      <x:c r="F92" s="47" t="n">
        <x:v>0</x:v>
      </x:c>
      <x:c r="G92" s="47" t="str">
        <x:f>IF(AND(F92=1,OR(D92="ALLOW",D92="PUBLIC CONTRACT"),OR(B92="Sibling form cell",B92="Finance authority")),"FAIL","PASS")</x:f>
        <x:v>PASS</x:v>
      </x:c>
      <x:c r="H92" s="84"/>
      <x:c r="I92" s="84"/>
      <x:c r="J92" s="84"/>
      <x:c r="K92" s="84"/>
      <x:c r="L92" s="84"/>
      <x:c r="M92" s="84"/>
      <x:c r="N92" s="84"/>
    </x:row>
    <x:row r="93">
      <x:c r="A93" s="47" t="str">
        <x:v>KF087</x:v>
      </x:c>
      <x:c r="B93" s="47" t="str">
        <x:v>Safety translation cell</x:v>
      </x:c>
      <x:c r="C93" s="47" t="str">
        <x:v>Dependency bill</x:v>
      </x:c>
      <x:c r="D93" s="47" t="str">
        <x:v>DENY</x:v>
      </x:c>
      <x:c r="E93" s="47" t="str">
        <x:v>No authority need</x:v>
      </x:c>
      <x:c r="F93" s="47" t="n">
        <x:v>0</x:v>
      </x:c>
      <x:c r="G93" s="47" t="str">
        <x:f>IF(AND(F93=1,OR(D93="ALLOW",D93="PUBLIC CONTRACT"),OR(B93="Sibling form cell",B93="Finance authority")),"FAIL","PASS")</x:f>
        <x:v>PASS</x:v>
      </x:c>
      <x:c r="H93" s="84"/>
      <x:c r="I93" s="84"/>
      <x:c r="J93" s="84"/>
      <x:c r="K93" s="84"/>
      <x:c r="L93" s="84"/>
      <x:c r="M93" s="84"/>
      <x:c r="N93" s="84"/>
    </x:row>
    <x:row r="94">
      <x:c r="A94" s="47" t="str">
        <x:v>KF088</x:v>
      </x:c>
      <x:c r="B94" s="47" t="str">
        <x:v>Safety translation cell</x:v>
      </x:c>
      <x:c r="C94" s="47" t="str">
        <x:v>Physical assumptions</x:v>
      </x:c>
      <x:c r="D94" s="47" t="str">
        <x:v>DENY</x:v>
      </x:c>
      <x:c r="E94" s="47" t="str">
        <x:v>No authority need</x:v>
      </x:c>
      <x:c r="F94" s="47" t="n">
        <x:v>0</x:v>
      </x:c>
      <x:c r="G94" s="47" t="str">
        <x:f>IF(AND(F94=1,OR(D94="ALLOW",D94="PUBLIC CONTRACT"),OR(B94="Sibling form cell",B94="Finance authority")),"FAIL","PASS")</x:f>
        <x:v>PASS</x:v>
      </x:c>
      <x:c r="H94" s="84"/>
      <x:c r="I94" s="84"/>
      <x:c r="J94" s="84"/>
      <x:c r="K94" s="84"/>
      <x:c r="L94" s="84"/>
      <x:c r="M94" s="84"/>
      <x:c r="N94" s="84"/>
    </x:row>
    <x:row r="95">
      <x:c r="A95" s="47" t="str">
        <x:v>KF089</x:v>
      </x:c>
      <x:c r="B95" s="47" t="str">
        <x:v>Safety translation cell</x:v>
      </x:c>
      <x:c r="C95" s="47" t="str">
        <x:v>Units/datums/interfaces</x:v>
      </x:c>
      <x:c r="D95" s="47" t="str">
        <x:v>DENY</x:v>
      </x:c>
      <x:c r="E95" s="47" t="str">
        <x:v>No authority need</x:v>
      </x:c>
      <x:c r="F95" s="47" t="n">
        <x:v>0</x:v>
      </x:c>
      <x:c r="G95" s="47" t="str">
        <x:f>IF(AND(F95=1,OR(D95="ALLOW",D95="PUBLIC CONTRACT"),OR(B95="Sibling form cell",B95="Finance authority")),"FAIL","PASS")</x:f>
        <x:v>PASS</x:v>
      </x:c>
      <x:c r="H95" s="84"/>
      <x:c r="I95" s="84"/>
      <x:c r="J95" s="84"/>
      <x:c r="K95" s="84"/>
      <x:c r="L95" s="84"/>
      <x:c r="M95" s="84"/>
      <x:c r="N95" s="84"/>
    </x:row>
    <x:row r="96">
      <x:c r="A96" s="47" t="str">
        <x:v>KF090</x:v>
      </x:c>
      <x:c r="B96" s="47" t="str">
        <x:v>Safety translation cell</x:v>
      </x:c>
      <x:c r="C96" s="47" t="str">
        <x:v>Rights/receiver/residual</x:v>
      </x:c>
      <x:c r="D96" s="47" t="str">
        <x:v>MINIMIZED</x:v>
      </x:c>
      <x:c r="E96" s="47" t="str">
        <x:v>Source-blind safety burden</x:v>
      </x:c>
      <x:c r="F96" s="47" t="n">
        <x:v>0</x:v>
      </x:c>
      <x:c r="G96" s="47" t="str">
        <x:f>IF(AND(F96=1,OR(D96="ALLOW",D96="PUBLIC CONTRACT"),OR(B96="Sibling form cell",B96="Finance authority")),"FAIL","PASS")</x:f>
        <x:v>PASS</x:v>
      </x:c>
      <x:c r="H96" s="84"/>
      <x:c r="I96" s="84"/>
      <x:c r="J96" s="84"/>
      <x:c r="K96" s="84"/>
      <x:c r="L96" s="84"/>
      <x:c r="M96" s="84"/>
      <x:c r="N96" s="84"/>
    </x:row>
    <x:row r="97">
      <x:c r="A97" s="47" t="str">
        <x:v>KF091</x:v>
      </x:c>
      <x:c r="B97" s="47" t="str">
        <x:v>Safety translation cell</x:v>
      </x:c>
      <x:c r="C97" s="47" t="str">
        <x:v>Unknown register</x:v>
      </x:c>
      <x:c r="D97" s="47" t="str">
        <x:v>MINIMIZED</x:v>
      </x:c>
      <x:c r="E97" s="47" t="str">
        <x:v>Source-blind safety burden</x:v>
      </x:c>
      <x:c r="F97" s="47" t="n">
        <x:v>0</x:v>
      </x:c>
      <x:c r="G97" s="47" t="str">
        <x:f>IF(AND(F97=1,OR(D97="ALLOW",D97="PUBLIC CONTRACT"),OR(B97="Sibling form cell",B97="Finance authority")),"FAIL","PASS")</x:f>
        <x:v>PASS</x:v>
      </x:c>
      <x:c r="H97" s="84"/>
      <x:c r="I97" s="84"/>
      <x:c r="J97" s="84"/>
      <x:c r="K97" s="84"/>
      <x:c r="L97" s="84"/>
      <x:c r="M97" s="84"/>
      <x:c r="N97" s="84"/>
    </x:row>
    <x:row r="98">
      <x:c r="A98" s="47" t="str">
        <x:v>KF092</x:v>
      </x:c>
      <x:c r="B98" s="47" t="str">
        <x:v>Safety translation cell</x:v>
      </x:c>
      <x:c r="C98" s="47" t="str">
        <x:v>Native output</x:v>
      </x:c>
      <x:c r="D98" s="47" t="str">
        <x:v>DENY</x:v>
      </x:c>
      <x:c r="E98" s="47" t="str">
        <x:v>No authority need</x:v>
      </x:c>
      <x:c r="F98" s="47" t="n">
        <x:v>1</x:v>
      </x:c>
      <x:c r="G98" s="47" t="str">
        <x:f>IF(AND(F98=1,OR(D98="ALLOW",D98="PUBLIC CONTRACT"),OR(B98="Sibling form cell",B98="Finance authority")),"FAIL","PASS")</x:f>
        <x:v>PASS</x:v>
      </x:c>
      <x:c r="H98" s="84"/>
      <x:c r="I98" s="84"/>
      <x:c r="J98" s="84"/>
      <x:c r="K98" s="84"/>
      <x:c r="L98" s="84"/>
      <x:c r="M98" s="84"/>
      <x:c r="N98" s="84"/>
    </x:row>
    <x:row r="99">
      <x:c r="A99" s="47" t="str">
        <x:v>KF093</x:v>
      </x:c>
      <x:c r="B99" s="47" t="str">
        <x:v>Safety translation cell</x:v>
      </x:c>
      <x:c r="C99" s="47" t="str">
        <x:v>Clean output</x:v>
      </x:c>
      <x:c r="D99" s="47" t="str">
        <x:v>DENY</x:v>
      </x:c>
      <x:c r="E99" s="47" t="str">
        <x:v>No authority need</x:v>
      </x:c>
      <x:c r="F99" s="47" t="n">
        <x:v>1</x:v>
      </x:c>
      <x:c r="G99" s="47" t="str">
        <x:f>IF(AND(F99=1,OR(D99="ALLOW",D99="PUBLIC CONTRACT"),OR(B99="Sibling form cell",B99="Finance authority")),"FAIL","PASS")</x:f>
        <x:v>PASS</x:v>
      </x:c>
      <x:c r="H99" s="84"/>
      <x:c r="I99" s="84"/>
      <x:c r="J99" s="84"/>
      <x:c r="K99" s="84"/>
      <x:c r="L99" s="84"/>
      <x:c r="M99" s="84"/>
      <x:c r="N99" s="84"/>
    </x:row>
    <x:row r="100">
      <x:c r="A100" s="47" t="str">
        <x:v>KF094</x:v>
      </x:c>
      <x:c r="B100" s="47" t="str">
        <x:v>Safety translation cell</x:v>
      </x:c>
      <x:c r="C100" s="47" t="str">
        <x:v>Geometry/implementation</x:v>
      </x:c>
      <x:c r="D100" s="47" t="str">
        <x:v>DENY</x:v>
      </x:c>
      <x:c r="E100" s="47" t="str">
        <x:v>No authority need</x:v>
      </x:c>
      <x:c r="F100" s="47" t="n">
        <x:v>1</x:v>
      </x:c>
      <x:c r="G100" s="47" t="str">
        <x:f>IF(AND(F100=1,OR(D100="ALLOW",D100="PUBLIC CONTRACT"),OR(B100="Sibling form cell",B100="Finance authority")),"FAIL","PASS")</x:f>
        <x:v>PASS</x:v>
      </x:c>
      <x:c r="H100" s="84"/>
      <x:c r="I100" s="84"/>
      <x:c r="J100" s="84"/>
      <x:c r="K100" s="84"/>
      <x:c r="L100" s="84"/>
      <x:c r="M100" s="84"/>
      <x:c r="N100" s="84"/>
    </x:row>
    <x:row r="101">
      <x:c r="A101" s="47" t="str">
        <x:v>KF095</x:v>
      </x:c>
      <x:c r="B101" s="47" t="str">
        <x:v>Safety translation cell</x:v>
      </x:c>
      <x:c r="C101" s="47" t="str">
        <x:v>Cost/schedule/maturity</x:v>
      </x:c>
      <x:c r="D101" s="47" t="str">
        <x:v>DENY</x:v>
      </x:c>
      <x:c r="E101" s="47" t="str">
        <x:v>No authority need</x:v>
      </x:c>
      <x:c r="F101" s="47" t="n">
        <x:v>0</x:v>
      </x:c>
      <x:c r="G101" s="47" t="str">
        <x:f>IF(AND(F101=1,OR(D101="ALLOW",D101="PUBLIC CONTRACT"),OR(B101="Sibling form cell",B101="Finance authority")),"FAIL","PASS")</x:f>
        <x:v>PASS</x:v>
      </x:c>
      <x:c r="H101" s="84"/>
      <x:c r="I101" s="84"/>
      <x:c r="J101" s="84"/>
      <x:c r="K101" s="84"/>
      <x:c r="L101" s="84"/>
      <x:c r="M101" s="84"/>
      <x:c r="N101" s="84"/>
    </x:row>
    <x:row r="102">
      <x:c r="A102" s="47" t="str">
        <x:v>KF096</x:v>
      </x:c>
      <x:c r="B102" s="47" t="str">
        <x:v>Safety translation cell</x:v>
      </x:c>
      <x:c r="C102" s="47" t="str">
        <x:v>Relative performance/rank</x:v>
      </x:c>
      <x:c r="D102" s="47" t="str">
        <x:v>DENY</x:v>
      </x:c>
      <x:c r="E102" s="47" t="str">
        <x:v>No authority need</x:v>
      </x:c>
      <x:c r="F102" s="47" t="n">
        <x:v>1</x:v>
      </x:c>
      <x:c r="G102" s="47" t="str">
        <x:f>IF(AND(F102=1,OR(D102="ALLOW",D102="PUBLIC CONTRACT"),OR(B102="Sibling form cell",B102="Finance authority")),"FAIL","PASS")</x:f>
        <x:v>PASS</x:v>
      </x:c>
      <x:c r="H102" s="84"/>
      <x:c r="I102" s="84"/>
      <x:c r="J102" s="84"/>
      <x:c r="K102" s="84"/>
      <x:c r="L102" s="84"/>
      <x:c r="M102" s="84"/>
      <x:c r="N102" s="84"/>
    </x:row>
    <x:row r="103">
      <x:c r="A103" s="47" t="str">
        <x:v>KF097</x:v>
      </x:c>
      <x:c r="B103" s="47" t="str">
        <x:v>Public custodian</x:v>
      </x:c>
      <x:c r="C103" s="47" t="str">
        <x:v>Package identity</x:v>
      </x:c>
      <x:c r="D103" s="47" t="str">
        <x:v>ALLOW</x:v>
      </x:c>
      <x:c r="E103" s="47" t="str">
        <x:v>Identity is public</x:v>
      </x:c>
      <x:c r="F103" s="47" t="n">
        <x:v>0</x:v>
      </x:c>
      <x:c r="G103" s="47" t="str">
        <x:f>IF(AND(F103=1,OR(D103="ALLOW",D103="PUBLIC CONTRACT"),OR(B103="Sibling form cell",B103="Finance authority")),"FAIL","PASS")</x:f>
        <x:v>PASS</x:v>
      </x:c>
      <x:c r="H103" s="84"/>
      <x:c r="I103" s="84"/>
      <x:c r="J103" s="84"/>
      <x:c r="K103" s="84"/>
      <x:c r="L103" s="84"/>
      <x:c r="M103" s="84"/>
      <x:c r="N103" s="84"/>
    </x:row>
    <x:row r="104">
      <x:c r="A104" s="47" t="str">
        <x:v>KF098</x:v>
      </x:c>
      <x:c r="B104" s="47" t="str">
        <x:v>Public custodian</x:v>
      </x:c>
      <x:c r="C104" s="47" t="str">
        <x:v>Source/model</x:v>
      </x:c>
      <x:c r="D104" s="47" t="str">
        <x:v>DENY</x:v>
      </x:c>
      <x:c r="E104" s="47" t="str">
        <x:v>No authority need</x:v>
      </x:c>
      <x:c r="F104" s="47" t="n">
        <x:v>0</x:v>
      </x:c>
      <x:c r="G104" s="47" t="str">
        <x:f>IF(AND(F104=1,OR(D104="ALLOW",D104="PUBLIC CONTRACT"),OR(B104="Sibling form cell",B104="Finance authority")),"FAIL","PASS")</x:f>
        <x:v>PASS</x:v>
      </x:c>
      <x:c r="H104" s="84"/>
      <x:c r="I104" s="84"/>
      <x:c r="J104" s="84"/>
      <x:c r="K104" s="84"/>
      <x:c r="L104" s="84"/>
      <x:c r="M104" s="84"/>
      <x:c r="N104" s="84"/>
    </x:row>
    <x:row r="105">
      <x:c r="A105" s="47" t="str">
        <x:v>KF099</x:v>
      </x:c>
      <x:c r="B105" s="47" t="str">
        <x:v>Public custodian</x:v>
      </x:c>
      <x:c r="C105" s="47" t="str">
        <x:v>Dependency bill</x:v>
      </x:c>
      <x:c r="D105" s="47" t="str">
        <x:v>ALLOW</x:v>
      </x:c>
      <x:c r="E105" s="47" t="str">
        <x:v>Public capsule custody</x:v>
      </x:c>
      <x:c r="F105" s="47" t="n">
        <x:v>0</x:v>
      </x:c>
      <x:c r="G105" s="47" t="str">
        <x:f>IF(AND(F105=1,OR(D105="ALLOW",D105="PUBLIC CONTRACT"),OR(B105="Sibling form cell",B105="Finance authority")),"FAIL","PASS")</x:f>
        <x:v>PASS</x:v>
      </x:c>
      <x:c r="H105" s="84"/>
      <x:c r="I105" s="84"/>
      <x:c r="J105" s="84"/>
      <x:c r="K105" s="84"/>
      <x:c r="L105" s="84"/>
      <x:c r="M105" s="84"/>
      <x:c r="N105" s="84"/>
    </x:row>
    <x:row r="106">
      <x:c r="A106" s="47" t="str">
        <x:v>KF100</x:v>
      </x:c>
      <x:c r="B106" s="47" t="str">
        <x:v>Public custodian</x:v>
      </x:c>
      <x:c r="C106" s="47" t="str">
        <x:v>Physical assumptions</x:v>
      </x:c>
      <x:c r="D106" s="47" t="str">
        <x:v>ALLOW</x:v>
      </x:c>
      <x:c r="E106" s="47" t="str">
        <x:v>Public capsule custody</x:v>
      </x:c>
      <x:c r="F106" s="47" t="n">
        <x:v>0</x:v>
      </x:c>
      <x:c r="G106" s="47" t="str">
        <x:f>IF(AND(F106=1,OR(D106="ALLOW",D106="PUBLIC CONTRACT"),OR(B106="Sibling form cell",B106="Finance authority")),"FAIL","PASS")</x:f>
        <x:v>PASS</x:v>
      </x:c>
      <x:c r="H106" s="84"/>
      <x:c r="I106" s="84"/>
      <x:c r="J106" s="84"/>
      <x:c r="K106" s="84"/>
      <x:c r="L106" s="84"/>
      <x:c r="M106" s="84"/>
      <x:c r="N106" s="84"/>
    </x:row>
    <x:row r="107">
      <x:c r="A107" s="47" t="str">
        <x:v>KF101</x:v>
      </x:c>
      <x:c r="B107" s="47" t="str">
        <x:v>Public custodian</x:v>
      </x:c>
      <x:c r="C107" s="47" t="str">
        <x:v>Units/datums/interfaces</x:v>
      </x:c>
      <x:c r="D107" s="47" t="str">
        <x:v>ALLOW</x:v>
      </x:c>
      <x:c r="E107" s="47" t="str">
        <x:v>Public capsule custody</x:v>
      </x:c>
      <x:c r="F107" s="47" t="n">
        <x:v>0</x:v>
      </x:c>
      <x:c r="G107" s="47" t="str">
        <x:f>IF(AND(F107=1,OR(D107="ALLOW",D107="PUBLIC CONTRACT"),OR(B107="Sibling form cell",B107="Finance authority")),"FAIL","PASS")</x:f>
        <x:v>PASS</x:v>
      </x:c>
      <x:c r="H107" s="84"/>
      <x:c r="I107" s="84"/>
      <x:c r="J107" s="84"/>
      <x:c r="K107" s="84"/>
      <x:c r="L107" s="84"/>
      <x:c r="M107" s="84"/>
      <x:c r="N107" s="84"/>
    </x:row>
    <x:row r="108">
      <x:c r="A108" s="47" t="str">
        <x:v>KF102</x:v>
      </x:c>
      <x:c r="B108" s="47" t="str">
        <x:v>Public custodian</x:v>
      </x:c>
      <x:c r="C108" s="47" t="str">
        <x:v>Rights/receiver/residual</x:v>
      </x:c>
      <x:c r="D108" s="47" t="str">
        <x:v>ALLOW</x:v>
      </x:c>
      <x:c r="E108" s="47" t="str">
        <x:v>Public capsule custody</x:v>
      </x:c>
      <x:c r="F108" s="47" t="n">
        <x:v>0</x:v>
      </x:c>
      <x:c r="G108" s="47" t="str">
        <x:f>IF(AND(F108=1,OR(D108="ALLOW",D108="PUBLIC CONTRACT"),OR(B108="Sibling form cell",B108="Finance authority")),"FAIL","PASS")</x:f>
        <x:v>PASS</x:v>
      </x:c>
      <x:c r="H108" s="84"/>
      <x:c r="I108" s="84"/>
      <x:c r="J108" s="84"/>
      <x:c r="K108" s="84"/>
      <x:c r="L108" s="84"/>
      <x:c r="M108" s="84"/>
      <x:c r="N108" s="84"/>
    </x:row>
    <x:row r="109">
      <x:c r="A109" s="47" t="str">
        <x:v>KF103</x:v>
      </x:c>
      <x:c r="B109" s="47" t="str">
        <x:v>Public custodian</x:v>
      </x:c>
      <x:c r="C109" s="47" t="str">
        <x:v>Unknown register</x:v>
      </x:c>
      <x:c r="D109" s="47" t="str">
        <x:v>ALLOW</x:v>
      </x:c>
      <x:c r="E109" s="47" t="str">
        <x:v>Public capsule custody</x:v>
      </x:c>
      <x:c r="F109" s="47" t="n">
        <x:v>0</x:v>
      </x:c>
      <x:c r="G109" s="47" t="str">
        <x:f>IF(AND(F109=1,OR(D109="ALLOW",D109="PUBLIC CONTRACT"),OR(B109="Sibling form cell",B109="Finance authority")),"FAIL","PASS")</x:f>
        <x:v>PASS</x:v>
      </x:c>
      <x:c r="H109" s="84"/>
      <x:c r="I109" s="84"/>
      <x:c r="J109" s="84"/>
      <x:c r="K109" s="84"/>
      <x:c r="L109" s="84"/>
      <x:c r="M109" s="84"/>
      <x:c r="N109" s="84"/>
    </x:row>
    <x:row r="110">
      <x:c r="A110" s="47" t="str">
        <x:v>KF104</x:v>
      </x:c>
      <x:c r="B110" s="47" t="str">
        <x:v>Public custodian</x:v>
      </x:c>
      <x:c r="C110" s="47" t="str">
        <x:v>Native output</x:v>
      </x:c>
      <x:c r="D110" s="47" t="str">
        <x:v>DENY</x:v>
      </x:c>
      <x:c r="E110" s="47" t="str">
        <x:v>No authority need</x:v>
      </x:c>
      <x:c r="F110" s="47" t="n">
        <x:v>1</x:v>
      </x:c>
      <x:c r="G110" s="47" t="str">
        <x:f>IF(AND(F110=1,OR(D110="ALLOW",D110="PUBLIC CONTRACT"),OR(B110="Sibling form cell",B110="Finance authority")),"FAIL","PASS")</x:f>
        <x:v>PASS</x:v>
      </x:c>
      <x:c r="H110" s="84"/>
      <x:c r="I110" s="84"/>
      <x:c r="J110" s="84"/>
      <x:c r="K110" s="84"/>
      <x:c r="L110" s="84"/>
      <x:c r="M110" s="84"/>
      <x:c r="N110" s="84"/>
    </x:row>
    <x:row r="111">
      <x:c r="A111" s="47" t="str">
        <x:v>KF105</x:v>
      </x:c>
      <x:c r="B111" s="47" t="str">
        <x:v>Public custodian</x:v>
      </x:c>
      <x:c r="C111" s="47" t="str">
        <x:v>Clean output</x:v>
      </x:c>
      <x:c r="D111" s="47" t="str">
        <x:v>DENY</x:v>
      </x:c>
      <x:c r="E111" s="47" t="str">
        <x:v>No authority need</x:v>
      </x:c>
      <x:c r="F111" s="47" t="n">
        <x:v>1</x:v>
      </x:c>
      <x:c r="G111" s="47" t="str">
        <x:f>IF(AND(F111=1,OR(D111="ALLOW",D111="PUBLIC CONTRACT"),OR(B111="Sibling form cell",B111="Finance authority")),"FAIL","PASS")</x:f>
        <x:v>PASS</x:v>
      </x:c>
      <x:c r="H111" s="84"/>
      <x:c r="I111" s="84"/>
      <x:c r="J111" s="84"/>
      <x:c r="K111" s="84"/>
      <x:c r="L111" s="84"/>
      <x:c r="M111" s="84"/>
      <x:c r="N111" s="84"/>
    </x:row>
    <x:row r="112">
      <x:c r="A112" s="47" t="str">
        <x:v>KF106</x:v>
      </x:c>
      <x:c r="B112" s="47" t="str">
        <x:v>Public custodian</x:v>
      </x:c>
      <x:c r="C112" s="47" t="str">
        <x:v>Geometry/implementation</x:v>
      </x:c>
      <x:c r="D112" s="47" t="str">
        <x:v>DENY</x:v>
      </x:c>
      <x:c r="E112" s="47" t="str">
        <x:v>No authority need</x:v>
      </x:c>
      <x:c r="F112" s="47" t="n">
        <x:v>1</x:v>
      </x:c>
      <x:c r="G112" s="47" t="str">
        <x:f>IF(AND(F112=1,OR(D112="ALLOW",D112="PUBLIC CONTRACT"),OR(B112="Sibling form cell",B112="Finance authority")),"FAIL","PASS")</x:f>
        <x:v>PASS</x:v>
      </x:c>
      <x:c r="H112" s="84"/>
      <x:c r="I112" s="84"/>
      <x:c r="J112" s="84"/>
      <x:c r="K112" s="84"/>
      <x:c r="L112" s="84"/>
      <x:c r="M112" s="84"/>
      <x:c r="N112" s="84"/>
    </x:row>
    <x:row r="113">
      <x:c r="A113" s="47" t="str">
        <x:v>KF107</x:v>
      </x:c>
      <x:c r="B113" s="47" t="str">
        <x:v>Public custodian</x:v>
      </x:c>
      <x:c r="C113" s="47" t="str">
        <x:v>Cost/schedule/maturity</x:v>
      </x:c>
      <x:c r="D113" s="47" t="str">
        <x:v>DENY</x:v>
      </x:c>
      <x:c r="E113" s="47" t="str">
        <x:v>No authority need</x:v>
      </x:c>
      <x:c r="F113" s="47" t="n">
        <x:v>0</x:v>
      </x:c>
      <x:c r="G113" s="47" t="str">
        <x:f>IF(AND(F113=1,OR(D113="ALLOW",D113="PUBLIC CONTRACT"),OR(B113="Sibling form cell",B113="Finance authority")),"FAIL","PASS")</x:f>
        <x:v>PASS</x:v>
      </x:c>
      <x:c r="H113" s="84"/>
      <x:c r="I113" s="84"/>
      <x:c r="J113" s="84"/>
      <x:c r="K113" s="84"/>
      <x:c r="L113" s="84"/>
      <x:c r="M113" s="84"/>
      <x:c r="N113" s="84"/>
    </x:row>
    <x:row r="114">
      <x:c r="A114" s="47" t="str">
        <x:v>KF108</x:v>
      </x:c>
      <x:c r="B114" s="47" t="str">
        <x:v>Public custodian</x:v>
      </x:c>
      <x:c r="C114" s="47" t="str">
        <x:v>Relative performance/rank</x:v>
      </x:c>
      <x:c r="D114" s="47" t="str">
        <x:v>DENY</x:v>
      </x:c>
      <x:c r="E114" s="47" t="str">
        <x:v>No authority need</x:v>
      </x:c>
      <x:c r="F114" s="47" t="n">
        <x:v>1</x:v>
      </x:c>
      <x:c r="G114" s="47" t="str">
        <x:f>IF(AND(F114=1,OR(D114="ALLOW",D114="PUBLIC CONTRACT"),OR(B114="Sibling form cell",B114="Finance authority")),"FAIL","PASS")</x:f>
        <x:v>PASS</x:v>
      </x:c>
      <x:c r="H114" s="84"/>
      <x:c r="I114" s="84"/>
      <x:c r="J114" s="84"/>
      <x:c r="K114" s="84"/>
      <x:c r="L114" s="84"/>
      <x:c r="M114" s="84"/>
      <x:c r="N114" s="84"/>
    </x:row>
    <x:row r="115">
      <x:c r="A115" s="47" t="str">
        <x:v>KF109</x:v>
      </x:c>
      <x:c r="B115" s="47" t="str">
        <x:v>Cybersecurity custodian</x:v>
      </x:c>
      <x:c r="C115" s="47" t="str">
        <x:v>Package identity</x:v>
      </x:c>
      <x:c r="D115" s="47" t="str">
        <x:v>ALLOW</x:v>
      </x:c>
      <x:c r="E115" s="47" t="str">
        <x:v>Identity is public</x:v>
      </x:c>
      <x:c r="F115" s="47" t="n">
        <x:v>0</x:v>
      </x:c>
      <x:c r="G115" s="47" t="str">
        <x:f>IF(AND(F115=1,OR(D115="ALLOW",D115="PUBLIC CONTRACT"),OR(B115="Sibling form cell",B115="Finance authority")),"FAIL","PASS")</x:f>
        <x:v>PASS</x:v>
      </x:c>
      <x:c r="H115" s="84"/>
      <x:c r="I115" s="84"/>
      <x:c r="J115" s="84"/>
      <x:c r="K115" s="84"/>
      <x:c r="L115" s="84"/>
      <x:c r="M115" s="84"/>
      <x:c r="N115" s="84"/>
    </x:row>
    <x:row r="116">
      <x:c r="A116" s="47" t="str">
        <x:v>KF110</x:v>
      </x:c>
      <x:c r="B116" s="47" t="str">
        <x:v>Cybersecurity custodian</x:v>
      </x:c>
      <x:c r="C116" s="47" t="str">
        <x:v>Source/model</x:v>
      </x:c>
      <x:c r="D116" s="47" t="str">
        <x:v>DENY</x:v>
      </x:c>
      <x:c r="E116" s="47" t="str">
        <x:v>No authority need</x:v>
      </x:c>
      <x:c r="F116" s="47" t="n">
        <x:v>0</x:v>
      </x:c>
      <x:c r="G116" s="47" t="str">
        <x:f>IF(AND(F116=1,OR(D116="ALLOW",D116="PUBLIC CONTRACT"),OR(B116="Sibling form cell",B116="Finance authority")),"FAIL","PASS")</x:f>
        <x:v>PASS</x:v>
      </x:c>
      <x:c r="H116" s="84"/>
      <x:c r="I116" s="84"/>
      <x:c r="J116" s="84"/>
      <x:c r="K116" s="84"/>
      <x:c r="L116" s="84"/>
      <x:c r="M116" s="84"/>
      <x:c r="N116" s="84"/>
    </x:row>
    <x:row r="117">
      <x:c r="A117" s="47" t="str">
        <x:v>KF111</x:v>
      </x:c>
      <x:c r="B117" s="47" t="str">
        <x:v>Cybersecurity custodian</x:v>
      </x:c>
      <x:c r="C117" s="47" t="str">
        <x:v>Dependency bill</x:v>
      </x:c>
      <x:c r="D117" s="47" t="str">
        <x:v>DENY</x:v>
      </x:c>
      <x:c r="E117" s="47" t="str">
        <x:v>No authority need</x:v>
      </x:c>
      <x:c r="F117" s="47" t="n">
        <x:v>0</x:v>
      </x:c>
      <x:c r="G117" s="47" t="str">
        <x:f>IF(AND(F117=1,OR(D117="ALLOW",D117="PUBLIC CONTRACT"),OR(B117="Sibling form cell",B117="Finance authority")),"FAIL","PASS")</x:f>
        <x:v>PASS</x:v>
      </x:c>
      <x:c r="H117" s="84"/>
      <x:c r="I117" s="84"/>
      <x:c r="J117" s="84"/>
      <x:c r="K117" s="84"/>
      <x:c r="L117" s="84"/>
      <x:c r="M117" s="84"/>
      <x:c r="N117" s="84"/>
    </x:row>
    <x:row r="118">
      <x:c r="A118" s="47" t="str">
        <x:v>KF112</x:v>
      </x:c>
      <x:c r="B118" s="47" t="str">
        <x:v>Cybersecurity custodian</x:v>
      </x:c>
      <x:c r="C118" s="47" t="str">
        <x:v>Physical assumptions</x:v>
      </x:c>
      <x:c r="D118" s="47" t="str">
        <x:v>DENY</x:v>
      </x:c>
      <x:c r="E118" s="47" t="str">
        <x:v>No authority need</x:v>
      </x:c>
      <x:c r="F118" s="47" t="n">
        <x:v>0</x:v>
      </x:c>
      <x:c r="G118" s="47" t="str">
        <x:f>IF(AND(F118=1,OR(D118="ALLOW",D118="PUBLIC CONTRACT"),OR(B118="Sibling form cell",B118="Finance authority")),"FAIL","PASS")</x:f>
        <x:v>PASS</x:v>
      </x:c>
      <x:c r="H118" s="84"/>
      <x:c r="I118" s="84"/>
      <x:c r="J118" s="84"/>
      <x:c r="K118" s="84"/>
      <x:c r="L118" s="84"/>
      <x:c r="M118" s="84"/>
      <x:c r="N118" s="84"/>
    </x:row>
    <x:row r="119">
      <x:c r="A119" s="47" t="str">
        <x:v>KF113</x:v>
      </x:c>
      <x:c r="B119" s="47" t="str">
        <x:v>Cybersecurity custodian</x:v>
      </x:c>
      <x:c r="C119" s="47" t="str">
        <x:v>Units/datums/interfaces</x:v>
      </x:c>
      <x:c r="D119" s="47" t="str">
        <x:v>DENY</x:v>
      </x:c>
      <x:c r="E119" s="47" t="str">
        <x:v>No authority need</x:v>
      </x:c>
      <x:c r="F119" s="47" t="n">
        <x:v>0</x:v>
      </x:c>
      <x:c r="G119" s="47" t="str">
        <x:f>IF(AND(F119=1,OR(D119="ALLOW",D119="PUBLIC CONTRACT"),OR(B119="Sibling form cell",B119="Finance authority")),"FAIL","PASS")</x:f>
        <x:v>PASS</x:v>
      </x:c>
      <x:c r="H119" s="84"/>
      <x:c r="I119" s="84"/>
      <x:c r="J119" s="84"/>
      <x:c r="K119" s="84"/>
      <x:c r="L119" s="84"/>
      <x:c r="M119" s="84"/>
      <x:c r="N119" s="84"/>
    </x:row>
    <x:row r="120">
      <x:c r="A120" s="47" t="str">
        <x:v>KF114</x:v>
      </x:c>
      <x:c r="B120" s="47" t="str">
        <x:v>Cybersecurity custodian</x:v>
      </x:c>
      <x:c r="C120" s="47" t="str">
        <x:v>Rights/receiver/residual</x:v>
      </x:c>
      <x:c r="D120" s="47" t="str">
        <x:v>DENY</x:v>
      </x:c>
      <x:c r="E120" s="47" t="str">
        <x:v>No authority need</x:v>
      </x:c>
      <x:c r="F120" s="47" t="n">
        <x:v>0</x:v>
      </x:c>
      <x:c r="G120" s="47" t="str">
        <x:f>IF(AND(F120=1,OR(D120="ALLOW",D120="PUBLIC CONTRACT"),OR(B120="Sibling form cell",B120="Finance authority")),"FAIL","PASS")</x:f>
        <x:v>PASS</x:v>
      </x:c>
      <x:c r="H120" s="84"/>
      <x:c r="I120" s="84"/>
      <x:c r="J120" s="84"/>
      <x:c r="K120" s="84"/>
      <x:c r="L120" s="84"/>
      <x:c r="M120" s="84"/>
      <x:c r="N120" s="84"/>
    </x:row>
    <x:row r="121">
      <x:c r="A121" s="47" t="str">
        <x:v>KF115</x:v>
      </x:c>
      <x:c r="B121" s="47" t="str">
        <x:v>Cybersecurity custodian</x:v>
      </x:c>
      <x:c r="C121" s="47" t="str">
        <x:v>Unknown register</x:v>
      </x:c>
      <x:c r="D121" s="47" t="str">
        <x:v>DENY</x:v>
      </x:c>
      <x:c r="E121" s="47" t="str">
        <x:v>No authority need</x:v>
      </x:c>
      <x:c r="F121" s="47" t="n">
        <x:v>0</x:v>
      </x:c>
      <x:c r="G121" s="47" t="str">
        <x:f>IF(AND(F121=1,OR(D121="ALLOW",D121="PUBLIC CONTRACT"),OR(B121="Sibling form cell",B121="Finance authority")),"FAIL","PASS")</x:f>
        <x:v>PASS</x:v>
      </x:c>
      <x:c r="H121" s="84"/>
      <x:c r="I121" s="84"/>
      <x:c r="J121" s="84"/>
      <x:c r="K121" s="84"/>
      <x:c r="L121" s="84"/>
      <x:c r="M121" s="84"/>
      <x:c r="N121" s="84"/>
    </x:row>
    <x:row r="122">
      <x:c r="A122" s="47" t="str">
        <x:v>KF116</x:v>
      </x:c>
      <x:c r="B122" s="47" t="str">
        <x:v>Cybersecurity custodian</x:v>
      </x:c>
      <x:c r="C122" s="47" t="str">
        <x:v>Native output</x:v>
      </x:c>
      <x:c r="D122" s="47" t="str">
        <x:v>DENY</x:v>
      </x:c>
      <x:c r="E122" s="47" t="str">
        <x:v>No authority need</x:v>
      </x:c>
      <x:c r="F122" s="47" t="n">
        <x:v>1</x:v>
      </x:c>
      <x:c r="G122" s="47" t="str">
        <x:f>IF(AND(F122=1,OR(D122="ALLOW",D122="PUBLIC CONTRACT"),OR(B122="Sibling form cell",B122="Finance authority")),"FAIL","PASS")</x:f>
        <x:v>PASS</x:v>
      </x:c>
      <x:c r="H122" s="84"/>
      <x:c r="I122" s="84"/>
      <x:c r="J122" s="84"/>
      <x:c r="K122" s="84"/>
      <x:c r="L122" s="84"/>
      <x:c r="M122" s="84"/>
      <x:c r="N122" s="84"/>
    </x:row>
    <x:row r="123">
      <x:c r="A123" s="47" t="str">
        <x:v>KF117</x:v>
      </x:c>
      <x:c r="B123" s="47" t="str">
        <x:v>Cybersecurity custodian</x:v>
      </x:c>
      <x:c r="C123" s="47" t="str">
        <x:v>Clean output</x:v>
      </x:c>
      <x:c r="D123" s="47" t="str">
        <x:v>DENY</x:v>
      </x:c>
      <x:c r="E123" s="47" t="str">
        <x:v>No authority need</x:v>
      </x:c>
      <x:c r="F123" s="47" t="n">
        <x:v>1</x:v>
      </x:c>
      <x:c r="G123" s="47" t="str">
        <x:f>IF(AND(F123=1,OR(D123="ALLOW",D123="PUBLIC CONTRACT"),OR(B123="Sibling form cell",B123="Finance authority")),"FAIL","PASS")</x:f>
        <x:v>PASS</x:v>
      </x:c>
      <x:c r="H123" s="84"/>
      <x:c r="I123" s="84"/>
      <x:c r="J123" s="84"/>
      <x:c r="K123" s="84"/>
      <x:c r="L123" s="84"/>
      <x:c r="M123" s="84"/>
      <x:c r="N123" s="84"/>
    </x:row>
    <x:row r="124">
      <x:c r="A124" s="47" t="str">
        <x:v>KF118</x:v>
      </x:c>
      <x:c r="B124" s="47" t="str">
        <x:v>Cybersecurity custodian</x:v>
      </x:c>
      <x:c r="C124" s="47" t="str">
        <x:v>Geometry/implementation</x:v>
      </x:c>
      <x:c r="D124" s="47" t="str">
        <x:v>DENY</x:v>
      </x:c>
      <x:c r="E124" s="47" t="str">
        <x:v>No authority need</x:v>
      </x:c>
      <x:c r="F124" s="47" t="n">
        <x:v>1</x:v>
      </x:c>
      <x:c r="G124" s="47" t="str">
        <x:f>IF(AND(F124=1,OR(D124="ALLOW",D124="PUBLIC CONTRACT"),OR(B124="Sibling form cell",B124="Finance authority")),"FAIL","PASS")</x:f>
        <x:v>PASS</x:v>
      </x:c>
      <x:c r="H124" s="84"/>
      <x:c r="I124" s="84"/>
      <x:c r="J124" s="84"/>
      <x:c r="K124" s="84"/>
      <x:c r="L124" s="84"/>
      <x:c r="M124" s="84"/>
      <x:c r="N124" s="84"/>
    </x:row>
    <x:row r="125">
      <x:c r="A125" s="47" t="str">
        <x:v>KF119</x:v>
      </x:c>
      <x:c r="B125" s="47" t="str">
        <x:v>Cybersecurity custodian</x:v>
      </x:c>
      <x:c r="C125" s="47" t="str">
        <x:v>Cost/schedule/maturity</x:v>
      </x:c>
      <x:c r="D125" s="47" t="str">
        <x:v>DENY</x:v>
      </x:c>
      <x:c r="E125" s="47" t="str">
        <x:v>No authority need</x:v>
      </x:c>
      <x:c r="F125" s="47" t="n">
        <x:v>0</x:v>
      </x:c>
      <x:c r="G125" s="47" t="str">
        <x:f>IF(AND(F125=1,OR(D125="ALLOW",D125="PUBLIC CONTRACT"),OR(B125="Sibling form cell",B125="Finance authority")),"FAIL","PASS")</x:f>
        <x:v>PASS</x:v>
      </x:c>
      <x:c r="H125" s="84"/>
      <x:c r="I125" s="84"/>
      <x:c r="J125" s="84"/>
      <x:c r="K125" s="84"/>
      <x:c r="L125" s="84"/>
      <x:c r="M125" s="84"/>
      <x:c r="N125" s="84"/>
    </x:row>
    <x:row r="126">
      <x:c r="A126" s="47" t="str">
        <x:v>KF120</x:v>
      </x:c>
      <x:c r="B126" s="47" t="str">
        <x:v>Cybersecurity custodian</x:v>
      </x:c>
      <x:c r="C126" s="47" t="str">
        <x:v>Relative performance/rank</x:v>
      </x:c>
      <x:c r="D126" s="47" t="str">
        <x:v>DENY</x:v>
      </x:c>
      <x:c r="E126" s="47" t="str">
        <x:v>No authority need</x:v>
      </x:c>
      <x:c r="F126" s="47" t="n">
        <x:v>1</x:v>
      </x:c>
      <x:c r="G126" s="47" t="str">
        <x:f>IF(AND(F126=1,OR(D126="ALLOW",D126="PUBLIC CONTRACT"),OR(B126="Sibling form cell",B126="Finance authority")),"FAIL","PASS")</x:f>
        <x:v>PASS</x:v>
      </x:c>
      <x:c r="H126" s="84"/>
      <x:c r="I126" s="84"/>
      <x:c r="J126" s="84"/>
      <x:c r="K126" s="84"/>
      <x:c r="L126" s="84"/>
      <x:c r="M126" s="84"/>
      <x:c r="N126" s="84"/>
    </x:row>
    <x:row r="127">
      <x:c r="A127" s="47" t="str">
        <x:v>KF121</x:v>
      </x:c>
      <x:c r="B127" s="47" t="str">
        <x:v>Rights and receiver authority</x:v>
      </x:c>
      <x:c r="C127" s="47" t="str">
        <x:v>Package identity</x:v>
      </x:c>
      <x:c r="D127" s="47" t="str">
        <x:v>ALLOW</x:v>
      </x:c>
      <x:c r="E127" s="47" t="str">
        <x:v>Identity is public</x:v>
      </x:c>
      <x:c r="F127" s="47" t="n">
        <x:v>0</x:v>
      </x:c>
      <x:c r="G127" s="47" t="str">
        <x:f>IF(AND(F127=1,OR(D127="ALLOW",D127="PUBLIC CONTRACT"),OR(B127="Sibling form cell",B127="Finance authority")),"FAIL","PASS")</x:f>
        <x:v>PASS</x:v>
      </x:c>
      <x:c r="H127" s="84"/>
      <x:c r="I127" s="84"/>
      <x:c r="J127" s="84"/>
      <x:c r="K127" s="84"/>
      <x:c r="L127" s="84"/>
      <x:c r="M127" s="84"/>
      <x:c r="N127" s="84"/>
    </x:row>
    <x:row r="128">
      <x:c r="A128" s="47" t="str">
        <x:v>KF122</x:v>
      </x:c>
      <x:c r="B128" s="47" t="str">
        <x:v>Rights and receiver authority</x:v>
      </x:c>
      <x:c r="C128" s="47" t="str">
        <x:v>Source/model</x:v>
      </x:c>
      <x:c r="D128" s="47" t="str">
        <x:v>DENY</x:v>
      </x:c>
      <x:c r="E128" s="47" t="str">
        <x:v>No authority need</x:v>
      </x:c>
      <x:c r="F128" s="47" t="n">
        <x:v>0</x:v>
      </x:c>
      <x:c r="G128" s="47" t="str">
        <x:f>IF(AND(F128=1,OR(D128="ALLOW",D128="PUBLIC CONTRACT"),OR(B128="Sibling form cell",B128="Finance authority")),"FAIL","PASS")</x:f>
        <x:v>PASS</x:v>
      </x:c>
      <x:c r="H128" s="84"/>
      <x:c r="I128" s="84"/>
      <x:c r="J128" s="84"/>
      <x:c r="K128" s="84"/>
      <x:c r="L128" s="84"/>
      <x:c r="M128" s="84"/>
      <x:c r="N128" s="84"/>
    </x:row>
    <x:row r="129">
      <x:c r="A129" s="47" t="str">
        <x:v>KF123</x:v>
      </x:c>
      <x:c r="B129" s="47" t="str">
        <x:v>Rights and receiver authority</x:v>
      </x:c>
      <x:c r="C129" s="47" t="str">
        <x:v>Dependency bill</x:v>
      </x:c>
      <x:c r="D129" s="47" t="str">
        <x:v>DENY</x:v>
      </x:c>
      <x:c r="E129" s="47" t="str">
        <x:v>No authority need</x:v>
      </x:c>
      <x:c r="F129" s="47" t="n">
        <x:v>0</x:v>
      </x:c>
      <x:c r="G129" s="47" t="str">
        <x:f>IF(AND(F129=1,OR(D129="ALLOW",D129="PUBLIC CONTRACT"),OR(B129="Sibling form cell",B129="Finance authority")),"FAIL","PASS")</x:f>
        <x:v>PASS</x:v>
      </x:c>
      <x:c r="H129" s="84"/>
      <x:c r="I129" s="84"/>
      <x:c r="J129" s="84"/>
      <x:c r="K129" s="84"/>
      <x:c r="L129" s="84"/>
      <x:c r="M129" s="84"/>
      <x:c r="N129" s="84"/>
    </x:row>
    <x:row r="130">
      <x:c r="A130" s="47" t="str">
        <x:v>KF124</x:v>
      </x:c>
      <x:c r="B130" s="47" t="str">
        <x:v>Rights and receiver authority</x:v>
      </x:c>
      <x:c r="C130" s="47" t="str">
        <x:v>Physical assumptions</x:v>
      </x:c>
      <x:c r="D130" s="47" t="str">
        <x:v>DENY</x:v>
      </x:c>
      <x:c r="E130" s="47" t="str">
        <x:v>No authority need</x:v>
      </x:c>
      <x:c r="F130" s="47" t="n">
        <x:v>0</x:v>
      </x:c>
      <x:c r="G130" s="47" t="str">
        <x:f>IF(AND(F130=1,OR(D130="ALLOW",D130="PUBLIC CONTRACT"),OR(B130="Sibling form cell",B130="Finance authority")),"FAIL","PASS")</x:f>
        <x:v>PASS</x:v>
      </x:c>
      <x:c r="H130" s="84"/>
      <x:c r="I130" s="84"/>
      <x:c r="J130" s="84"/>
      <x:c r="K130" s="84"/>
      <x:c r="L130" s="84"/>
      <x:c r="M130" s="84"/>
      <x:c r="N130" s="84"/>
    </x:row>
    <x:row r="131">
      <x:c r="A131" s="47" t="str">
        <x:v>KF125</x:v>
      </x:c>
      <x:c r="B131" s="47" t="str">
        <x:v>Rights and receiver authority</x:v>
      </x:c>
      <x:c r="C131" s="47" t="str">
        <x:v>Units/datums/interfaces</x:v>
      </x:c>
      <x:c r="D131" s="47" t="str">
        <x:v>DENY</x:v>
      </x:c>
      <x:c r="E131" s="47" t="str">
        <x:v>No authority need</x:v>
      </x:c>
      <x:c r="F131" s="47" t="n">
        <x:v>0</x:v>
      </x:c>
      <x:c r="G131" s="47" t="str">
        <x:f>IF(AND(F131=1,OR(D131="ALLOW",D131="PUBLIC CONTRACT"),OR(B131="Sibling form cell",B131="Finance authority")),"FAIL","PASS")</x:f>
        <x:v>PASS</x:v>
      </x:c>
      <x:c r="H131" s="84"/>
      <x:c r="I131" s="84"/>
      <x:c r="J131" s="84"/>
      <x:c r="K131" s="84"/>
      <x:c r="L131" s="84"/>
      <x:c r="M131" s="84"/>
      <x:c r="N131" s="84"/>
    </x:row>
    <x:row r="132">
      <x:c r="A132" s="47" t="str">
        <x:v>KF126</x:v>
      </x:c>
      <x:c r="B132" s="47" t="str">
        <x:v>Rights and receiver authority</x:v>
      </x:c>
      <x:c r="C132" s="47" t="str">
        <x:v>Rights/receiver/residual</x:v>
      </x:c>
      <x:c r="D132" s="47" t="str">
        <x:v>DENY</x:v>
      </x:c>
      <x:c r="E132" s="47" t="str">
        <x:v>No authority need</x:v>
      </x:c>
      <x:c r="F132" s="47" t="n">
        <x:v>0</x:v>
      </x:c>
      <x:c r="G132" s="47" t="str">
        <x:f>IF(AND(F132=1,OR(D132="ALLOW",D132="PUBLIC CONTRACT"),OR(B132="Sibling form cell",B132="Finance authority")),"FAIL","PASS")</x:f>
        <x:v>PASS</x:v>
      </x:c>
      <x:c r="H132" s="84"/>
      <x:c r="I132" s="84"/>
      <x:c r="J132" s="84"/>
      <x:c r="K132" s="84"/>
      <x:c r="L132" s="84"/>
      <x:c r="M132" s="84"/>
      <x:c r="N132" s="84"/>
    </x:row>
    <x:row r="133">
      <x:c r="A133" s="47" t="str">
        <x:v>KF127</x:v>
      </x:c>
      <x:c r="B133" s="47" t="str">
        <x:v>Rights and receiver authority</x:v>
      </x:c>
      <x:c r="C133" s="47" t="str">
        <x:v>Unknown register</x:v>
      </x:c>
      <x:c r="D133" s="47" t="str">
        <x:v>DENY</x:v>
      </x:c>
      <x:c r="E133" s="47" t="str">
        <x:v>No authority need</x:v>
      </x:c>
      <x:c r="F133" s="47" t="n">
        <x:v>0</x:v>
      </x:c>
      <x:c r="G133" s="47" t="str">
        <x:f>IF(AND(F133=1,OR(D133="ALLOW",D133="PUBLIC CONTRACT"),OR(B133="Sibling form cell",B133="Finance authority")),"FAIL","PASS")</x:f>
        <x:v>PASS</x:v>
      </x:c>
      <x:c r="H133" s="84"/>
      <x:c r="I133" s="84"/>
      <x:c r="J133" s="84"/>
      <x:c r="K133" s="84"/>
      <x:c r="L133" s="84"/>
      <x:c r="M133" s="84"/>
      <x:c r="N133" s="84"/>
    </x:row>
    <x:row r="134">
      <x:c r="A134" s="47" t="str">
        <x:v>KF128</x:v>
      </x:c>
      <x:c r="B134" s="47" t="str">
        <x:v>Rights and receiver authority</x:v>
      </x:c>
      <x:c r="C134" s="47" t="str">
        <x:v>Native output</x:v>
      </x:c>
      <x:c r="D134" s="47" t="str">
        <x:v>DENY</x:v>
      </x:c>
      <x:c r="E134" s="47" t="str">
        <x:v>No authority need</x:v>
      </x:c>
      <x:c r="F134" s="47" t="n">
        <x:v>1</x:v>
      </x:c>
      <x:c r="G134" s="47" t="str">
        <x:f>IF(AND(F134=1,OR(D134="ALLOW",D134="PUBLIC CONTRACT"),OR(B134="Sibling form cell",B134="Finance authority")),"FAIL","PASS")</x:f>
        <x:v>PASS</x:v>
      </x:c>
      <x:c r="H134" s="84"/>
      <x:c r="I134" s="84"/>
      <x:c r="J134" s="84"/>
      <x:c r="K134" s="84"/>
      <x:c r="L134" s="84"/>
      <x:c r="M134" s="84"/>
      <x:c r="N134" s="84"/>
    </x:row>
    <x:row r="135">
      <x:c r="A135" s="47" t="str">
        <x:v>KF129</x:v>
      </x:c>
      <x:c r="B135" s="47" t="str">
        <x:v>Rights and receiver authority</x:v>
      </x:c>
      <x:c r="C135" s="47" t="str">
        <x:v>Clean output</x:v>
      </x:c>
      <x:c r="D135" s="47" t="str">
        <x:v>DENY</x:v>
      </x:c>
      <x:c r="E135" s="47" t="str">
        <x:v>No authority need</x:v>
      </x:c>
      <x:c r="F135" s="47" t="n">
        <x:v>1</x:v>
      </x:c>
      <x:c r="G135" s="47" t="str">
        <x:f>IF(AND(F135=1,OR(D135="ALLOW",D135="PUBLIC CONTRACT"),OR(B135="Sibling form cell",B135="Finance authority")),"FAIL","PASS")</x:f>
        <x:v>PASS</x:v>
      </x:c>
      <x:c r="H135" s="84"/>
      <x:c r="I135" s="84"/>
      <x:c r="J135" s="84"/>
      <x:c r="K135" s="84"/>
      <x:c r="L135" s="84"/>
      <x:c r="M135" s="84"/>
      <x:c r="N135" s="84"/>
    </x:row>
    <x:row r="136">
      <x:c r="A136" s="47" t="str">
        <x:v>KF130</x:v>
      </x:c>
      <x:c r="B136" s="47" t="str">
        <x:v>Rights and receiver authority</x:v>
      </x:c>
      <x:c r="C136" s="47" t="str">
        <x:v>Geometry/implementation</x:v>
      </x:c>
      <x:c r="D136" s="47" t="str">
        <x:v>DENY</x:v>
      </x:c>
      <x:c r="E136" s="47" t="str">
        <x:v>No authority need</x:v>
      </x:c>
      <x:c r="F136" s="47" t="n">
        <x:v>1</x:v>
      </x:c>
      <x:c r="G136" s="47" t="str">
        <x:f>IF(AND(F136=1,OR(D136="ALLOW",D136="PUBLIC CONTRACT"),OR(B136="Sibling form cell",B136="Finance authority")),"FAIL","PASS")</x:f>
        <x:v>PASS</x:v>
      </x:c>
      <x:c r="H136" s="84"/>
      <x:c r="I136" s="84"/>
      <x:c r="J136" s="84"/>
      <x:c r="K136" s="84"/>
      <x:c r="L136" s="84"/>
      <x:c r="M136" s="84"/>
      <x:c r="N136" s="84"/>
    </x:row>
    <x:row r="137">
      <x:c r="A137" s="47" t="str">
        <x:v>KF131</x:v>
      </x:c>
      <x:c r="B137" s="47" t="str">
        <x:v>Rights and receiver authority</x:v>
      </x:c>
      <x:c r="C137" s="47" t="str">
        <x:v>Cost/schedule/maturity</x:v>
      </x:c>
      <x:c r="D137" s="47" t="str">
        <x:v>DENY</x:v>
      </x:c>
      <x:c r="E137" s="47" t="str">
        <x:v>No authority need</x:v>
      </x:c>
      <x:c r="F137" s="47" t="n">
        <x:v>0</x:v>
      </x:c>
      <x:c r="G137" s="47" t="str">
        <x:f>IF(AND(F137=1,OR(D137="ALLOW",D137="PUBLIC CONTRACT"),OR(B137="Sibling form cell",B137="Finance authority")),"FAIL","PASS")</x:f>
        <x:v>PASS</x:v>
      </x:c>
      <x:c r="H137" s="84"/>
      <x:c r="I137" s="84"/>
      <x:c r="J137" s="84"/>
      <x:c r="K137" s="84"/>
      <x:c r="L137" s="84"/>
      <x:c r="M137" s="84"/>
      <x:c r="N137" s="84"/>
    </x:row>
    <x:row r="138">
      <x:c r="A138" s="47" t="str">
        <x:v>KF132</x:v>
      </x:c>
      <x:c r="B138" s="47" t="str">
        <x:v>Rights and receiver authority</x:v>
      </x:c>
      <x:c r="C138" s="47" t="str">
        <x:v>Relative performance/rank</x:v>
      </x:c>
      <x:c r="D138" s="47" t="str">
        <x:v>DENY</x:v>
      </x:c>
      <x:c r="E138" s="47" t="str">
        <x:v>No authority need</x:v>
      </x:c>
      <x:c r="F138" s="47" t="n">
        <x:v>1</x:v>
      </x:c>
      <x:c r="G138" s="47" t="str">
        <x:f>IF(AND(F138=1,OR(D138="ALLOW",D138="PUBLIC CONTRACT"),OR(B138="Sibling form cell",B138="Finance authority")),"FAIL","PASS")</x:f>
        <x:v>PASS</x:v>
      </x:c>
      <x:c r="H138" s="84"/>
      <x:c r="I138" s="84"/>
      <x:c r="J138" s="84"/>
      <x:c r="K138" s="84"/>
      <x:c r="L138" s="84"/>
      <x:c r="M138" s="84"/>
      <x:c r="N138" s="84"/>
    </x:row>
    <x:row r="139">
      <x:c r="A139" s="47" t="str">
        <x:v>KF133</x:v>
      </x:c>
      <x:c r="B139" s="47" t="str">
        <x:v>Residual custodian</x:v>
      </x:c>
      <x:c r="C139" s="47" t="str">
        <x:v>Package identity</x:v>
      </x:c>
      <x:c r="D139" s="47" t="str">
        <x:v>ALLOW</x:v>
      </x:c>
      <x:c r="E139" s="47" t="str">
        <x:v>Identity is public</x:v>
      </x:c>
      <x:c r="F139" s="47" t="n">
        <x:v>0</x:v>
      </x:c>
      <x:c r="G139" s="47" t="str">
        <x:f>IF(AND(F139=1,OR(D139="ALLOW",D139="PUBLIC CONTRACT"),OR(B139="Sibling form cell",B139="Finance authority")),"FAIL","PASS")</x:f>
        <x:v>PASS</x:v>
      </x:c>
      <x:c r="H139" s="84"/>
      <x:c r="I139" s="84"/>
      <x:c r="J139" s="84"/>
      <x:c r="K139" s="84"/>
      <x:c r="L139" s="84"/>
      <x:c r="M139" s="84"/>
      <x:c r="N139" s="84"/>
    </x:row>
    <x:row r="140">
      <x:c r="A140" s="47" t="str">
        <x:v>KF134</x:v>
      </x:c>
      <x:c r="B140" s="47" t="str">
        <x:v>Residual custodian</x:v>
      </x:c>
      <x:c r="C140" s="47" t="str">
        <x:v>Source/model</x:v>
      </x:c>
      <x:c r="D140" s="47" t="str">
        <x:v>DENY</x:v>
      </x:c>
      <x:c r="E140" s="47" t="str">
        <x:v>No authority need</x:v>
      </x:c>
      <x:c r="F140" s="47" t="n">
        <x:v>0</x:v>
      </x:c>
      <x:c r="G140" s="47" t="str">
        <x:f>IF(AND(F140=1,OR(D140="ALLOW",D140="PUBLIC CONTRACT"),OR(B140="Sibling form cell",B140="Finance authority")),"FAIL","PASS")</x:f>
        <x:v>PASS</x:v>
      </x:c>
      <x:c r="H140" s="84"/>
      <x:c r="I140" s="84"/>
      <x:c r="J140" s="84"/>
      <x:c r="K140" s="84"/>
      <x:c r="L140" s="84"/>
      <x:c r="M140" s="84"/>
      <x:c r="N140" s="84"/>
    </x:row>
    <x:row r="141">
      <x:c r="A141" s="47" t="str">
        <x:v>KF135</x:v>
      </x:c>
      <x:c r="B141" s="47" t="str">
        <x:v>Residual custodian</x:v>
      </x:c>
      <x:c r="C141" s="47" t="str">
        <x:v>Dependency bill</x:v>
      </x:c>
      <x:c r="D141" s="47" t="str">
        <x:v>DENY</x:v>
      </x:c>
      <x:c r="E141" s="47" t="str">
        <x:v>No authority need</x:v>
      </x:c>
      <x:c r="F141" s="47" t="n">
        <x:v>0</x:v>
      </x:c>
      <x:c r="G141" s="47" t="str">
        <x:f>IF(AND(F141=1,OR(D141="ALLOW",D141="PUBLIC CONTRACT"),OR(B141="Sibling form cell",B141="Finance authority")),"FAIL","PASS")</x:f>
        <x:v>PASS</x:v>
      </x:c>
      <x:c r="H141" s="84"/>
      <x:c r="I141" s="84"/>
      <x:c r="J141" s="84"/>
      <x:c r="K141" s="84"/>
      <x:c r="L141" s="84"/>
      <x:c r="M141" s="84"/>
      <x:c r="N141" s="84"/>
    </x:row>
    <x:row r="142">
      <x:c r="A142" s="47" t="str">
        <x:v>KF136</x:v>
      </x:c>
      <x:c r="B142" s="47" t="str">
        <x:v>Residual custodian</x:v>
      </x:c>
      <x:c r="C142" s="47" t="str">
        <x:v>Physical assumptions</x:v>
      </x:c>
      <x:c r="D142" s="47" t="str">
        <x:v>DENY</x:v>
      </x:c>
      <x:c r="E142" s="47" t="str">
        <x:v>No authority need</x:v>
      </x:c>
      <x:c r="F142" s="47" t="n">
        <x:v>0</x:v>
      </x:c>
      <x:c r="G142" s="47" t="str">
        <x:f>IF(AND(F142=1,OR(D142="ALLOW",D142="PUBLIC CONTRACT"),OR(B142="Sibling form cell",B142="Finance authority")),"FAIL","PASS")</x:f>
        <x:v>PASS</x:v>
      </x:c>
      <x:c r="H142" s="84"/>
      <x:c r="I142" s="84"/>
      <x:c r="J142" s="84"/>
      <x:c r="K142" s="84"/>
      <x:c r="L142" s="84"/>
      <x:c r="M142" s="84"/>
      <x:c r="N142" s="84"/>
    </x:row>
    <x:row r="143">
      <x:c r="A143" s="47" t="str">
        <x:v>KF137</x:v>
      </x:c>
      <x:c r="B143" s="47" t="str">
        <x:v>Residual custodian</x:v>
      </x:c>
      <x:c r="C143" s="47" t="str">
        <x:v>Units/datums/interfaces</x:v>
      </x:c>
      <x:c r="D143" s="47" t="str">
        <x:v>DENY</x:v>
      </x:c>
      <x:c r="E143" s="47" t="str">
        <x:v>No authority need</x:v>
      </x:c>
      <x:c r="F143" s="47" t="n">
        <x:v>0</x:v>
      </x:c>
      <x:c r="G143" s="47" t="str">
        <x:f>IF(AND(F143=1,OR(D143="ALLOW",D143="PUBLIC CONTRACT"),OR(B143="Sibling form cell",B143="Finance authority")),"FAIL","PASS")</x:f>
        <x:v>PASS</x:v>
      </x:c>
      <x:c r="H143" s="84"/>
      <x:c r="I143" s="84"/>
      <x:c r="J143" s="84"/>
      <x:c r="K143" s="84"/>
      <x:c r="L143" s="84"/>
      <x:c r="M143" s="84"/>
      <x:c r="N143" s="84"/>
    </x:row>
    <x:row r="144">
      <x:c r="A144" s="47" t="str">
        <x:v>KF138</x:v>
      </x:c>
      <x:c r="B144" s="47" t="str">
        <x:v>Residual custodian</x:v>
      </x:c>
      <x:c r="C144" s="47" t="str">
        <x:v>Rights/receiver/residual</x:v>
      </x:c>
      <x:c r="D144" s="47" t="str">
        <x:v>DENY</x:v>
      </x:c>
      <x:c r="E144" s="47" t="str">
        <x:v>No authority need</x:v>
      </x:c>
      <x:c r="F144" s="47" t="n">
        <x:v>0</x:v>
      </x:c>
      <x:c r="G144" s="47" t="str">
        <x:f>IF(AND(F144=1,OR(D144="ALLOW",D144="PUBLIC CONTRACT"),OR(B144="Sibling form cell",B144="Finance authority")),"FAIL","PASS")</x:f>
        <x:v>PASS</x:v>
      </x:c>
      <x:c r="H144" s="84"/>
      <x:c r="I144" s="84"/>
      <x:c r="J144" s="84"/>
      <x:c r="K144" s="84"/>
      <x:c r="L144" s="84"/>
      <x:c r="M144" s="84"/>
      <x:c r="N144" s="84"/>
    </x:row>
    <x:row r="145">
      <x:c r="A145" s="47" t="str">
        <x:v>KF139</x:v>
      </x:c>
      <x:c r="B145" s="47" t="str">
        <x:v>Residual custodian</x:v>
      </x:c>
      <x:c r="C145" s="47" t="str">
        <x:v>Unknown register</x:v>
      </x:c>
      <x:c r="D145" s="47" t="str">
        <x:v>DENY</x:v>
      </x:c>
      <x:c r="E145" s="47" t="str">
        <x:v>No authority need</x:v>
      </x:c>
      <x:c r="F145" s="47" t="n">
        <x:v>0</x:v>
      </x:c>
      <x:c r="G145" s="47" t="str">
        <x:f>IF(AND(F145=1,OR(D145="ALLOW",D145="PUBLIC CONTRACT"),OR(B145="Sibling form cell",B145="Finance authority")),"FAIL","PASS")</x:f>
        <x:v>PASS</x:v>
      </x:c>
      <x:c r="H145" s="84"/>
      <x:c r="I145" s="84"/>
      <x:c r="J145" s="84"/>
      <x:c r="K145" s="84"/>
      <x:c r="L145" s="84"/>
      <x:c r="M145" s="84"/>
      <x:c r="N145" s="84"/>
    </x:row>
    <x:row r="146">
      <x:c r="A146" s="47" t="str">
        <x:v>KF140</x:v>
      </x:c>
      <x:c r="B146" s="47" t="str">
        <x:v>Residual custodian</x:v>
      </x:c>
      <x:c r="C146" s="47" t="str">
        <x:v>Native output</x:v>
      </x:c>
      <x:c r="D146" s="47" t="str">
        <x:v>DENY</x:v>
      </x:c>
      <x:c r="E146" s="47" t="str">
        <x:v>No authority need</x:v>
      </x:c>
      <x:c r="F146" s="47" t="n">
        <x:v>1</x:v>
      </x:c>
      <x:c r="G146" s="47" t="str">
        <x:f>IF(AND(F146=1,OR(D146="ALLOW",D146="PUBLIC CONTRACT"),OR(B146="Sibling form cell",B146="Finance authority")),"FAIL","PASS")</x:f>
        <x:v>PASS</x:v>
      </x:c>
      <x:c r="H146" s="84"/>
      <x:c r="I146" s="84"/>
      <x:c r="J146" s="84"/>
      <x:c r="K146" s="84"/>
      <x:c r="L146" s="84"/>
      <x:c r="M146" s="84"/>
      <x:c r="N146" s="84"/>
    </x:row>
    <x:row r="147">
      <x:c r="A147" s="47" t="str">
        <x:v>KF141</x:v>
      </x:c>
      <x:c r="B147" s="47" t="str">
        <x:v>Residual custodian</x:v>
      </x:c>
      <x:c r="C147" s="47" t="str">
        <x:v>Clean output</x:v>
      </x:c>
      <x:c r="D147" s="47" t="str">
        <x:v>DENY</x:v>
      </x:c>
      <x:c r="E147" s="47" t="str">
        <x:v>No authority need</x:v>
      </x:c>
      <x:c r="F147" s="47" t="n">
        <x:v>1</x:v>
      </x:c>
      <x:c r="G147" s="47" t="str">
        <x:f>IF(AND(F147=1,OR(D147="ALLOW",D147="PUBLIC CONTRACT"),OR(B147="Sibling form cell",B147="Finance authority")),"FAIL","PASS")</x:f>
        <x:v>PASS</x:v>
      </x:c>
      <x:c r="H147" s="84"/>
      <x:c r="I147" s="84"/>
      <x:c r="J147" s="84"/>
      <x:c r="K147" s="84"/>
      <x:c r="L147" s="84"/>
      <x:c r="M147" s="84"/>
      <x:c r="N147" s="84"/>
    </x:row>
    <x:row r="148">
      <x:c r="A148" s="47" t="str">
        <x:v>KF142</x:v>
      </x:c>
      <x:c r="B148" s="47" t="str">
        <x:v>Residual custodian</x:v>
      </x:c>
      <x:c r="C148" s="47" t="str">
        <x:v>Geometry/implementation</x:v>
      </x:c>
      <x:c r="D148" s="47" t="str">
        <x:v>DENY</x:v>
      </x:c>
      <x:c r="E148" s="47" t="str">
        <x:v>No authority need</x:v>
      </x:c>
      <x:c r="F148" s="47" t="n">
        <x:v>1</x:v>
      </x:c>
      <x:c r="G148" s="47" t="str">
        <x:f>IF(AND(F148=1,OR(D148="ALLOW",D148="PUBLIC CONTRACT"),OR(B148="Sibling form cell",B148="Finance authority")),"FAIL","PASS")</x:f>
        <x:v>PASS</x:v>
      </x:c>
      <x:c r="H148" s="84"/>
      <x:c r="I148" s="84"/>
      <x:c r="J148" s="84"/>
      <x:c r="K148" s="84"/>
      <x:c r="L148" s="84"/>
      <x:c r="M148" s="84"/>
      <x:c r="N148" s="84"/>
    </x:row>
    <x:row r="149">
      <x:c r="A149" s="47" t="str">
        <x:v>KF143</x:v>
      </x:c>
      <x:c r="B149" s="47" t="str">
        <x:v>Residual custodian</x:v>
      </x:c>
      <x:c r="C149" s="47" t="str">
        <x:v>Cost/schedule/maturity</x:v>
      </x:c>
      <x:c r="D149" s="47" t="str">
        <x:v>DENY</x:v>
      </x:c>
      <x:c r="E149" s="47" t="str">
        <x:v>No authority need</x:v>
      </x:c>
      <x:c r="F149" s="47" t="n">
        <x:v>0</x:v>
      </x:c>
      <x:c r="G149" s="47" t="str">
        <x:f>IF(AND(F149=1,OR(D149="ALLOW",D149="PUBLIC CONTRACT"),OR(B149="Sibling form cell",B149="Finance authority")),"FAIL","PASS")</x:f>
        <x:v>PASS</x:v>
      </x:c>
      <x:c r="H149" s="84"/>
      <x:c r="I149" s="84"/>
      <x:c r="J149" s="84"/>
      <x:c r="K149" s="84"/>
      <x:c r="L149" s="84"/>
      <x:c r="M149" s="84"/>
      <x:c r="N149" s="84"/>
    </x:row>
    <x:row r="150">
      <x:c r="A150" s="47" t="str">
        <x:v>KF144</x:v>
      </x:c>
      <x:c r="B150" s="47" t="str">
        <x:v>Residual custodian</x:v>
      </x:c>
      <x:c r="C150" s="47" t="str">
        <x:v>Relative performance/rank</x:v>
      </x:c>
      <x:c r="D150" s="47" t="str">
        <x:v>DENY</x:v>
      </x:c>
      <x:c r="E150" s="47" t="str">
        <x:v>No authority need</x:v>
      </x:c>
      <x:c r="F150" s="47" t="n">
        <x:v>1</x:v>
      </x:c>
      <x:c r="G150" s="47" t="str">
        <x:f>IF(AND(F150=1,OR(D150="ALLOW",D150="PUBLIC CONTRACT"),OR(B150="Sibling form cell",B150="Finance authority")),"FAIL","PASS")</x:f>
        <x:v>PASS</x:v>
      </x:c>
      <x:c r="H150" s="84"/>
      <x:c r="I150" s="84"/>
      <x:c r="J150" s="84"/>
      <x:c r="K150" s="84"/>
      <x:c r="L150" s="84"/>
      <x:c r="M150" s="84"/>
      <x:c r="N150" s="84"/>
    </x:row>
    <x:row r="151">
      <x:c r="A151" s="47" t="str">
        <x:v>KF145</x:v>
      </x:c>
      <x:c r="B151" s="47" t="str">
        <x:v>Procurement authority</x:v>
      </x:c>
      <x:c r="C151" s="47" t="str">
        <x:v>Package identity</x:v>
      </x:c>
      <x:c r="D151" s="47" t="str">
        <x:v>ALLOW</x:v>
      </x:c>
      <x:c r="E151" s="47" t="str">
        <x:v>Identity is public</x:v>
      </x:c>
      <x:c r="F151" s="47" t="n">
        <x:v>0</x:v>
      </x:c>
      <x:c r="G151" s="47" t="str">
        <x:f>IF(AND(F151=1,OR(D151="ALLOW",D151="PUBLIC CONTRACT"),OR(B151="Sibling form cell",B151="Finance authority")),"FAIL","PASS")</x:f>
        <x:v>PASS</x:v>
      </x:c>
      <x:c r="H151" s="84"/>
      <x:c r="I151" s="84"/>
      <x:c r="J151" s="84"/>
      <x:c r="K151" s="84"/>
      <x:c r="L151" s="84"/>
      <x:c r="M151" s="84"/>
      <x:c r="N151" s="84"/>
    </x:row>
    <x:row r="152">
      <x:c r="A152" s="47" t="str">
        <x:v>KF146</x:v>
      </x:c>
      <x:c r="B152" s="47" t="str">
        <x:v>Procurement authority</x:v>
      </x:c>
      <x:c r="C152" s="47" t="str">
        <x:v>Source/model</x:v>
      </x:c>
      <x:c r="D152" s="47" t="str">
        <x:v>DENY</x:v>
      </x:c>
      <x:c r="E152" s="47" t="str">
        <x:v>No authority need</x:v>
      </x:c>
      <x:c r="F152" s="47" t="n">
        <x:v>0</x:v>
      </x:c>
      <x:c r="G152" s="47" t="str">
        <x:f>IF(AND(F152=1,OR(D152="ALLOW",D152="PUBLIC CONTRACT"),OR(B152="Sibling form cell",B152="Finance authority")),"FAIL","PASS")</x:f>
        <x:v>PASS</x:v>
      </x:c>
      <x:c r="H152" s="84"/>
      <x:c r="I152" s="84"/>
      <x:c r="J152" s="84"/>
      <x:c r="K152" s="84"/>
      <x:c r="L152" s="84"/>
      <x:c r="M152" s="84"/>
      <x:c r="N152" s="84"/>
    </x:row>
    <x:row r="153">
      <x:c r="A153" s="47" t="str">
        <x:v>KF147</x:v>
      </x:c>
      <x:c r="B153" s="47" t="str">
        <x:v>Procurement authority</x:v>
      </x:c>
      <x:c r="C153" s="47" t="str">
        <x:v>Dependency bill</x:v>
      </x:c>
      <x:c r="D153" s="47" t="str">
        <x:v>DENY</x:v>
      </x:c>
      <x:c r="E153" s="47" t="str">
        <x:v>No authority need</x:v>
      </x:c>
      <x:c r="F153" s="47" t="n">
        <x:v>0</x:v>
      </x:c>
      <x:c r="G153" s="47" t="str">
        <x:f>IF(AND(F153=1,OR(D153="ALLOW",D153="PUBLIC CONTRACT"),OR(B153="Sibling form cell",B153="Finance authority")),"FAIL","PASS")</x:f>
        <x:v>PASS</x:v>
      </x:c>
      <x:c r="H153" s="84"/>
      <x:c r="I153" s="84"/>
      <x:c r="J153" s="84"/>
      <x:c r="K153" s="84"/>
      <x:c r="L153" s="84"/>
      <x:c r="M153" s="84"/>
      <x:c r="N153" s="84"/>
    </x:row>
    <x:row r="154">
      <x:c r="A154" s="47" t="str">
        <x:v>KF148</x:v>
      </x:c>
      <x:c r="B154" s="47" t="str">
        <x:v>Procurement authority</x:v>
      </x:c>
      <x:c r="C154" s="47" t="str">
        <x:v>Physical assumptions</x:v>
      </x:c>
      <x:c r="D154" s="47" t="str">
        <x:v>DENY</x:v>
      </x:c>
      <x:c r="E154" s="47" t="str">
        <x:v>No authority need</x:v>
      </x:c>
      <x:c r="F154" s="47" t="n">
        <x:v>0</x:v>
      </x:c>
      <x:c r="G154" s="47" t="str">
        <x:f>IF(AND(F154=1,OR(D154="ALLOW",D154="PUBLIC CONTRACT"),OR(B154="Sibling form cell",B154="Finance authority")),"FAIL","PASS")</x:f>
        <x:v>PASS</x:v>
      </x:c>
      <x:c r="H154" s="84"/>
      <x:c r="I154" s="84"/>
      <x:c r="J154" s="84"/>
      <x:c r="K154" s="84"/>
      <x:c r="L154" s="84"/>
      <x:c r="M154" s="84"/>
      <x:c r="N154" s="84"/>
    </x:row>
    <x:row r="155">
      <x:c r="A155" s="47" t="str">
        <x:v>KF149</x:v>
      </x:c>
      <x:c r="B155" s="47" t="str">
        <x:v>Procurement authority</x:v>
      </x:c>
      <x:c r="C155" s="47" t="str">
        <x:v>Units/datums/interfaces</x:v>
      </x:c>
      <x:c r="D155" s="47" t="str">
        <x:v>DENY</x:v>
      </x:c>
      <x:c r="E155" s="47" t="str">
        <x:v>No authority need</x:v>
      </x:c>
      <x:c r="F155" s="47" t="n">
        <x:v>0</x:v>
      </x:c>
      <x:c r="G155" s="47" t="str">
        <x:f>IF(AND(F155=1,OR(D155="ALLOW",D155="PUBLIC CONTRACT"),OR(B155="Sibling form cell",B155="Finance authority")),"FAIL","PASS")</x:f>
        <x:v>PASS</x:v>
      </x:c>
      <x:c r="H155" s="84"/>
      <x:c r="I155" s="84"/>
      <x:c r="J155" s="84"/>
      <x:c r="K155" s="84"/>
      <x:c r="L155" s="84"/>
      <x:c r="M155" s="84"/>
      <x:c r="N155" s="84"/>
    </x:row>
    <x:row r="156">
      <x:c r="A156" s="47" t="str">
        <x:v>KF150</x:v>
      </x:c>
      <x:c r="B156" s="47" t="str">
        <x:v>Procurement authority</x:v>
      </x:c>
      <x:c r="C156" s="47" t="str">
        <x:v>Rights/receiver/residual</x:v>
      </x:c>
      <x:c r="D156" s="47" t="str">
        <x:v>DENY</x:v>
      </x:c>
      <x:c r="E156" s="47" t="str">
        <x:v>No authority need</x:v>
      </x:c>
      <x:c r="F156" s="47" t="n">
        <x:v>0</x:v>
      </x:c>
      <x:c r="G156" s="47" t="str">
        <x:f>IF(AND(F156=1,OR(D156="ALLOW",D156="PUBLIC CONTRACT"),OR(B156="Sibling form cell",B156="Finance authority")),"FAIL","PASS")</x:f>
        <x:v>PASS</x:v>
      </x:c>
      <x:c r="H156" s="84"/>
      <x:c r="I156" s="84"/>
      <x:c r="J156" s="84"/>
      <x:c r="K156" s="84"/>
      <x:c r="L156" s="84"/>
      <x:c r="M156" s="84"/>
      <x:c r="N156" s="84"/>
    </x:row>
    <x:row r="157">
      <x:c r="A157" s="47" t="str">
        <x:v>KF151</x:v>
      </x:c>
      <x:c r="B157" s="47" t="str">
        <x:v>Procurement authority</x:v>
      </x:c>
      <x:c r="C157" s="47" t="str">
        <x:v>Unknown register</x:v>
      </x:c>
      <x:c r="D157" s="47" t="str">
        <x:v>DENY</x:v>
      </x:c>
      <x:c r="E157" s="47" t="str">
        <x:v>No authority need</x:v>
      </x:c>
      <x:c r="F157" s="47" t="n">
        <x:v>0</x:v>
      </x:c>
      <x:c r="G157" s="47" t="str">
        <x:f>IF(AND(F157=1,OR(D157="ALLOW",D157="PUBLIC CONTRACT"),OR(B157="Sibling form cell",B157="Finance authority")),"FAIL","PASS")</x:f>
        <x:v>PASS</x:v>
      </x:c>
      <x:c r="H157" s="84"/>
      <x:c r="I157" s="84"/>
      <x:c r="J157" s="84"/>
      <x:c r="K157" s="84"/>
      <x:c r="L157" s="84"/>
      <x:c r="M157" s="84"/>
      <x:c r="N157" s="84"/>
    </x:row>
    <x:row r="158">
      <x:c r="A158" s="47" t="str">
        <x:v>KF152</x:v>
      </x:c>
      <x:c r="B158" s="47" t="str">
        <x:v>Procurement authority</x:v>
      </x:c>
      <x:c r="C158" s="47" t="str">
        <x:v>Native output</x:v>
      </x:c>
      <x:c r="D158" s="47" t="str">
        <x:v>DENY</x:v>
      </x:c>
      <x:c r="E158" s="47" t="str">
        <x:v>No authority need</x:v>
      </x:c>
      <x:c r="F158" s="47" t="n">
        <x:v>1</x:v>
      </x:c>
      <x:c r="G158" s="47" t="str">
        <x:f>IF(AND(F158=1,OR(D158="ALLOW",D158="PUBLIC CONTRACT"),OR(B158="Sibling form cell",B158="Finance authority")),"FAIL","PASS")</x:f>
        <x:v>PASS</x:v>
      </x:c>
      <x:c r="H158" s="84"/>
      <x:c r="I158" s="84"/>
      <x:c r="J158" s="84"/>
      <x:c r="K158" s="84"/>
      <x:c r="L158" s="84"/>
      <x:c r="M158" s="84"/>
      <x:c r="N158" s="84"/>
    </x:row>
    <x:row r="159">
      <x:c r="A159" s="47" t="str">
        <x:v>KF153</x:v>
      </x:c>
      <x:c r="B159" s="47" t="str">
        <x:v>Procurement authority</x:v>
      </x:c>
      <x:c r="C159" s="47" t="str">
        <x:v>Clean output</x:v>
      </x:c>
      <x:c r="D159" s="47" t="str">
        <x:v>DENY</x:v>
      </x:c>
      <x:c r="E159" s="47" t="str">
        <x:v>No authority need</x:v>
      </x:c>
      <x:c r="F159" s="47" t="n">
        <x:v>1</x:v>
      </x:c>
      <x:c r="G159" s="47" t="str">
        <x:f>IF(AND(F159=1,OR(D159="ALLOW",D159="PUBLIC CONTRACT"),OR(B159="Sibling form cell",B159="Finance authority")),"FAIL","PASS")</x:f>
        <x:v>PASS</x:v>
      </x:c>
      <x:c r="H159" s="84"/>
      <x:c r="I159" s="84"/>
      <x:c r="J159" s="84"/>
      <x:c r="K159" s="84"/>
      <x:c r="L159" s="84"/>
      <x:c r="M159" s="84"/>
      <x:c r="N159" s="84"/>
    </x:row>
    <x:row r="160">
      <x:c r="A160" s="47" t="str">
        <x:v>KF154</x:v>
      </x:c>
      <x:c r="B160" s="47" t="str">
        <x:v>Procurement authority</x:v>
      </x:c>
      <x:c r="C160" s="47" t="str">
        <x:v>Geometry/implementation</x:v>
      </x:c>
      <x:c r="D160" s="47" t="str">
        <x:v>DENY</x:v>
      </x:c>
      <x:c r="E160" s="47" t="str">
        <x:v>No authority need</x:v>
      </x:c>
      <x:c r="F160" s="47" t="n">
        <x:v>1</x:v>
      </x:c>
      <x:c r="G160" s="47" t="str">
        <x:f>IF(AND(F160=1,OR(D160="ALLOW",D160="PUBLIC CONTRACT"),OR(B160="Sibling form cell",B160="Finance authority")),"FAIL","PASS")</x:f>
        <x:v>PASS</x:v>
      </x:c>
      <x:c r="H160" s="84"/>
      <x:c r="I160" s="84"/>
      <x:c r="J160" s="84"/>
      <x:c r="K160" s="84"/>
      <x:c r="L160" s="84"/>
      <x:c r="M160" s="84"/>
      <x:c r="N160" s="84"/>
    </x:row>
    <x:row r="161">
      <x:c r="A161" s="47" t="str">
        <x:v>KF155</x:v>
      </x:c>
      <x:c r="B161" s="47" t="str">
        <x:v>Procurement authority</x:v>
      </x:c>
      <x:c r="C161" s="47" t="str">
        <x:v>Cost/schedule/maturity</x:v>
      </x:c>
      <x:c r="D161" s="47" t="str">
        <x:v>DENY</x:v>
      </x:c>
      <x:c r="E161" s="47" t="str">
        <x:v>No authority need</x:v>
      </x:c>
      <x:c r="F161" s="47" t="n">
        <x:v>0</x:v>
      </x:c>
      <x:c r="G161" s="47" t="str">
        <x:f>IF(AND(F161=1,OR(D161="ALLOW",D161="PUBLIC CONTRACT"),OR(B161="Sibling form cell",B161="Finance authority")),"FAIL","PASS")</x:f>
        <x:v>PASS</x:v>
      </x:c>
      <x:c r="H161" s="84"/>
      <x:c r="I161" s="84"/>
      <x:c r="J161" s="84"/>
      <x:c r="K161" s="84"/>
      <x:c r="L161" s="84"/>
      <x:c r="M161" s="84"/>
      <x:c r="N161" s="84"/>
    </x:row>
    <x:row r="162">
      <x:c r="A162" s="47" t="str">
        <x:v>KF156</x:v>
      </x:c>
      <x:c r="B162" s="47" t="str">
        <x:v>Procurement authority</x:v>
      </x:c>
      <x:c r="C162" s="47" t="str">
        <x:v>Relative performance/rank</x:v>
      </x:c>
      <x:c r="D162" s="47" t="str">
        <x:v>DENY</x:v>
      </x:c>
      <x:c r="E162" s="47" t="str">
        <x:v>No authority need</x:v>
      </x:c>
      <x:c r="F162" s="47" t="n">
        <x:v>1</x:v>
      </x:c>
      <x:c r="G162" s="47" t="str">
        <x:f>IF(AND(F162=1,OR(D162="ALLOW",D162="PUBLIC CONTRACT"),OR(B162="Sibling form cell",B162="Finance authority")),"FAIL","PASS")</x:f>
        <x:v>PASS</x:v>
      </x:c>
      <x:c r="H162" s="84"/>
      <x:c r="I162" s="84"/>
      <x:c r="J162" s="84"/>
      <x:c r="K162" s="84"/>
      <x:c r="L162" s="84"/>
      <x:c r="M162" s="84"/>
      <x:c r="N162" s="84"/>
    </x:row>
    <x:row r="163">
      <x:c r="A163" s="47" t="str">
        <x:v>KF157</x:v>
      </x:c>
      <x:c r="B163" s="47" t="str">
        <x:v>Independent auditor</x:v>
      </x:c>
      <x:c r="C163" s="47" t="str">
        <x:v>Package identity</x:v>
      </x:c>
      <x:c r="D163" s="47" t="str">
        <x:v>ESCROW</x:v>
      </x:c>
      <x:c r="E163" s="47" t="str">
        <x:v>Validity challenge under nondisclosure</x:v>
      </x:c>
      <x:c r="F163" s="47" t="n">
        <x:v>0</x:v>
      </x:c>
      <x:c r="G163" s="47" t="str">
        <x:f>IF(AND(F163=1,OR(D163="ALLOW",D163="PUBLIC CONTRACT"),OR(B163="Sibling form cell",B163="Finance authority")),"FAIL","PASS")</x:f>
        <x:v>PASS</x:v>
      </x:c>
      <x:c r="H163" s="84"/>
      <x:c r="I163" s="84"/>
      <x:c r="J163" s="84"/>
      <x:c r="K163" s="84"/>
      <x:c r="L163" s="84"/>
      <x:c r="M163" s="84"/>
      <x:c r="N163" s="84"/>
    </x:row>
    <x:row r="164">
      <x:c r="A164" s="47" t="str">
        <x:v>KF158</x:v>
      </x:c>
      <x:c r="B164" s="47" t="str">
        <x:v>Independent auditor</x:v>
      </x:c>
      <x:c r="C164" s="47" t="str">
        <x:v>Source/model</x:v>
      </x:c>
      <x:c r="D164" s="47" t="str">
        <x:v>ESCROW</x:v>
      </x:c>
      <x:c r="E164" s="47" t="str">
        <x:v>Validity challenge under nondisclosure</x:v>
      </x:c>
      <x:c r="F164" s="47" t="n">
        <x:v>0</x:v>
      </x:c>
      <x:c r="G164" s="47" t="str">
        <x:f>IF(AND(F164=1,OR(D164="ALLOW",D164="PUBLIC CONTRACT"),OR(B164="Sibling form cell",B164="Finance authority")),"FAIL","PASS")</x:f>
        <x:v>PASS</x:v>
      </x:c>
      <x:c r="H164" s="84"/>
      <x:c r="I164" s="84"/>
      <x:c r="J164" s="84"/>
      <x:c r="K164" s="84"/>
      <x:c r="L164" s="84"/>
      <x:c r="M164" s="84"/>
      <x:c r="N164" s="84"/>
    </x:row>
    <x:row r="165">
      <x:c r="A165" s="47" t="str">
        <x:v>KF159</x:v>
      </x:c>
      <x:c r="B165" s="47" t="str">
        <x:v>Independent auditor</x:v>
      </x:c>
      <x:c r="C165" s="47" t="str">
        <x:v>Dependency bill</x:v>
      </x:c>
      <x:c r="D165" s="47" t="str">
        <x:v>ESCROW</x:v>
      </x:c>
      <x:c r="E165" s="47" t="str">
        <x:v>Validity challenge under nondisclosure</x:v>
      </x:c>
      <x:c r="F165" s="47" t="n">
        <x:v>0</x:v>
      </x:c>
      <x:c r="G165" s="47" t="str">
        <x:f>IF(AND(F165=1,OR(D165="ALLOW",D165="PUBLIC CONTRACT"),OR(B165="Sibling form cell",B165="Finance authority")),"FAIL","PASS")</x:f>
        <x:v>PASS</x:v>
      </x:c>
      <x:c r="H165" s="84"/>
      <x:c r="I165" s="84"/>
      <x:c r="J165" s="84"/>
      <x:c r="K165" s="84"/>
      <x:c r="L165" s="84"/>
      <x:c r="M165" s="84"/>
      <x:c r="N165" s="84"/>
    </x:row>
    <x:row r="166">
      <x:c r="A166" s="47" t="str">
        <x:v>KF160</x:v>
      </x:c>
      <x:c r="B166" s="47" t="str">
        <x:v>Independent auditor</x:v>
      </x:c>
      <x:c r="C166" s="47" t="str">
        <x:v>Physical assumptions</x:v>
      </x:c>
      <x:c r="D166" s="47" t="str">
        <x:v>ESCROW</x:v>
      </x:c>
      <x:c r="E166" s="47" t="str">
        <x:v>Validity challenge under nondisclosure</x:v>
      </x:c>
      <x:c r="F166" s="47" t="n">
        <x:v>0</x:v>
      </x:c>
      <x:c r="G166" s="47" t="str">
        <x:f>IF(AND(F166=1,OR(D166="ALLOW",D166="PUBLIC CONTRACT"),OR(B166="Sibling form cell",B166="Finance authority")),"FAIL","PASS")</x:f>
        <x:v>PASS</x:v>
      </x:c>
      <x:c r="H166" s="84"/>
      <x:c r="I166" s="84"/>
      <x:c r="J166" s="84"/>
      <x:c r="K166" s="84"/>
      <x:c r="L166" s="84"/>
      <x:c r="M166" s="84"/>
      <x:c r="N166" s="84"/>
    </x:row>
    <x:row r="167">
      <x:c r="A167" s="47" t="str">
        <x:v>KF161</x:v>
      </x:c>
      <x:c r="B167" s="47" t="str">
        <x:v>Independent auditor</x:v>
      </x:c>
      <x:c r="C167" s="47" t="str">
        <x:v>Units/datums/interfaces</x:v>
      </x:c>
      <x:c r="D167" s="47" t="str">
        <x:v>ESCROW</x:v>
      </x:c>
      <x:c r="E167" s="47" t="str">
        <x:v>Validity challenge under nondisclosure</x:v>
      </x:c>
      <x:c r="F167" s="47" t="n">
        <x:v>0</x:v>
      </x:c>
      <x:c r="G167" s="47" t="str">
        <x:f>IF(AND(F167=1,OR(D167="ALLOW",D167="PUBLIC CONTRACT"),OR(B167="Sibling form cell",B167="Finance authority")),"FAIL","PASS")</x:f>
        <x:v>PASS</x:v>
      </x:c>
      <x:c r="H167" s="84"/>
      <x:c r="I167" s="84"/>
      <x:c r="J167" s="84"/>
      <x:c r="K167" s="84"/>
      <x:c r="L167" s="84"/>
      <x:c r="M167" s="84"/>
      <x:c r="N167" s="84"/>
    </x:row>
    <x:row r="168">
      <x:c r="A168" s="47" t="str">
        <x:v>KF162</x:v>
      </x:c>
      <x:c r="B168" s="47" t="str">
        <x:v>Independent auditor</x:v>
      </x:c>
      <x:c r="C168" s="47" t="str">
        <x:v>Rights/receiver/residual</x:v>
      </x:c>
      <x:c r="D168" s="47" t="str">
        <x:v>ESCROW</x:v>
      </x:c>
      <x:c r="E168" s="47" t="str">
        <x:v>Validity challenge under nondisclosure</x:v>
      </x:c>
      <x:c r="F168" s="47" t="n">
        <x:v>0</x:v>
      </x:c>
      <x:c r="G168" s="47" t="str">
        <x:f>IF(AND(F168=1,OR(D168="ALLOW",D168="PUBLIC CONTRACT"),OR(B168="Sibling form cell",B168="Finance authority")),"FAIL","PASS")</x:f>
        <x:v>PASS</x:v>
      </x:c>
      <x:c r="H168" s="84"/>
      <x:c r="I168" s="84"/>
      <x:c r="J168" s="84"/>
      <x:c r="K168" s="84"/>
      <x:c r="L168" s="84"/>
      <x:c r="M168" s="84"/>
      <x:c r="N168" s="84"/>
    </x:row>
    <x:row r="169">
      <x:c r="A169" s="47" t="str">
        <x:v>KF163</x:v>
      </x:c>
      <x:c r="B169" s="47" t="str">
        <x:v>Independent auditor</x:v>
      </x:c>
      <x:c r="C169" s="47" t="str">
        <x:v>Unknown register</x:v>
      </x:c>
      <x:c r="D169" s="47" t="str">
        <x:v>ESCROW</x:v>
      </x:c>
      <x:c r="E169" s="47" t="str">
        <x:v>Validity challenge under nondisclosure</x:v>
      </x:c>
      <x:c r="F169" s="47" t="n">
        <x:v>0</x:v>
      </x:c>
      <x:c r="G169" s="47" t="str">
        <x:f>IF(AND(F169=1,OR(D169="ALLOW",D169="PUBLIC CONTRACT"),OR(B169="Sibling form cell",B169="Finance authority")),"FAIL","PASS")</x:f>
        <x:v>PASS</x:v>
      </x:c>
      <x:c r="H169" s="84"/>
      <x:c r="I169" s="84"/>
      <x:c r="J169" s="84"/>
      <x:c r="K169" s="84"/>
      <x:c r="L169" s="84"/>
      <x:c r="M169" s="84"/>
      <x:c r="N169" s="84"/>
    </x:row>
    <x:row r="170">
      <x:c r="A170" s="47" t="str">
        <x:v>KF164</x:v>
      </x:c>
      <x:c r="B170" s="47" t="str">
        <x:v>Independent auditor</x:v>
      </x:c>
      <x:c r="C170" s="47" t="str">
        <x:v>Native output</x:v>
      </x:c>
      <x:c r="D170" s="47" t="str">
        <x:v>ESCROW</x:v>
      </x:c>
      <x:c r="E170" s="47" t="str">
        <x:v>Validity challenge under nondisclosure</x:v>
      </x:c>
      <x:c r="F170" s="47" t="n">
        <x:v>1</x:v>
      </x:c>
      <x:c r="G170" s="47" t="str">
        <x:f>IF(AND(F170=1,OR(D170="ALLOW",D170="PUBLIC CONTRACT"),OR(B170="Sibling form cell",B170="Finance authority")),"FAIL","PASS")</x:f>
        <x:v>PASS</x:v>
      </x:c>
      <x:c r="H170" s="84"/>
      <x:c r="I170" s="84"/>
      <x:c r="J170" s="84"/>
      <x:c r="K170" s="84"/>
      <x:c r="L170" s="84"/>
      <x:c r="M170" s="84"/>
      <x:c r="N170" s="84"/>
    </x:row>
    <x:row r="171">
      <x:c r="A171" s="47" t="str">
        <x:v>KF165</x:v>
      </x:c>
      <x:c r="B171" s="47" t="str">
        <x:v>Independent auditor</x:v>
      </x:c>
      <x:c r="C171" s="47" t="str">
        <x:v>Clean output</x:v>
      </x:c>
      <x:c r="D171" s="47" t="str">
        <x:v>ESCROW</x:v>
      </x:c>
      <x:c r="E171" s="47" t="str">
        <x:v>Validity challenge under nondisclosure</x:v>
      </x:c>
      <x:c r="F171" s="47" t="n">
        <x:v>1</x:v>
      </x:c>
      <x:c r="G171" s="47" t="str">
        <x:f>IF(AND(F171=1,OR(D171="ALLOW",D171="PUBLIC CONTRACT"),OR(B171="Sibling form cell",B171="Finance authority")),"FAIL","PASS")</x:f>
        <x:v>PASS</x:v>
      </x:c>
      <x:c r="H171" s="84"/>
      <x:c r="I171" s="84"/>
      <x:c r="J171" s="84"/>
      <x:c r="K171" s="84"/>
      <x:c r="L171" s="84"/>
      <x:c r="M171" s="84"/>
      <x:c r="N171" s="84"/>
    </x:row>
    <x:row r="172">
      <x:c r="A172" s="47" t="str">
        <x:v>KF166</x:v>
      </x:c>
      <x:c r="B172" s="47" t="str">
        <x:v>Independent auditor</x:v>
      </x:c>
      <x:c r="C172" s="47" t="str">
        <x:v>Geometry/implementation</x:v>
      </x:c>
      <x:c r="D172" s="47" t="str">
        <x:v>ESCROW</x:v>
      </x:c>
      <x:c r="E172" s="47" t="str">
        <x:v>Validity challenge under nondisclosure</x:v>
      </x:c>
      <x:c r="F172" s="47" t="n">
        <x:v>1</x:v>
      </x:c>
      <x:c r="G172" s="47" t="str">
        <x:f>IF(AND(F172=1,OR(D172="ALLOW",D172="PUBLIC CONTRACT"),OR(B172="Sibling form cell",B172="Finance authority")),"FAIL","PASS")</x:f>
        <x:v>PASS</x:v>
      </x:c>
      <x:c r="H172" s="84"/>
      <x:c r="I172" s="84"/>
      <x:c r="J172" s="84"/>
      <x:c r="K172" s="84"/>
      <x:c r="L172" s="84"/>
      <x:c r="M172" s="84"/>
      <x:c r="N172" s="84"/>
    </x:row>
    <x:row r="173">
      <x:c r="A173" s="47" t="str">
        <x:v>KF167</x:v>
      </x:c>
      <x:c r="B173" s="47" t="str">
        <x:v>Independent auditor</x:v>
      </x:c>
      <x:c r="C173" s="47" t="str">
        <x:v>Cost/schedule/maturity</x:v>
      </x:c>
      <x:c r="D173" s="47" t="str">
        <x:v>ESCROW</x:v>
      </x:c>
      <x:c r="E173" s="47" t="str">
        <x:v>Validity challenge under nondisclosure</x:v>
      </x:c>
      <x:c r="F173" s="47" t="n">
        <x:v>0</x:v>
      </x:c>
      <x:c r="G173" s="47" t="str">
        <x:f>IF(AND(F173=1,OR(D173="ALLOW",D173="PUBLIC CONTRACT"),OR(B173="Sibling form cell",B173="Finance authority")),"FAIL","PASS")</x:f>
        <x:v>PASS</x:v>
      </x:c>
      <x:c r="H173" s="84"/>
      <x:c r="I173" s="84"/>
      <x:c r="J173" s="84"/>
      <x:c r="K173" s="84"/>
      <x:c r="L173" s="84"/>
      <x:c r="M173" s="84"/>
      <x:c r="N173" s="84"/>
    </x:row>
    <x:row r="174">
      <x:c r="A174" s="47" t="str">
        <x:v>KF168</x:v>
      </x:c>
      <x:c r="B174" s="47" t="str">
        <x:v>Independent auditor</x:v>
      </x:c>
      <x:c r="C174" s="47" t="str">
        <x:v>Relative performance/rank</x:v>
      </x:c>
      <x:c r="D174" s="47" t="str">
        <x:v>ESCROW</x:v>
      </x:c>
      <x:c r="E174" s="47" t="str">
        <x:v>Validity challenge under nondisclosure</x:v>
      </x:c>
      <x:c r="F174" s="47" t="n">
        <x:v>1</x:v>
      </x:c>
      <x:c r="G174" s="47" t="str">
        <x:f>IF(AND(F174=1,OR(D174="ALLOW",D174="PUBLIC CONTRACT"),OR(B174="Sibling form cell",B174="Finance authority")),"FAIL","PASS")</x:f>
        <x:v>PASS</x:v>
      </x:c>
      <x:c r="H174" s="84"/>
      <x:c r="I174" s="84"/>
      <x:c r="J174" s="84"/>
      <x:c r="K174" s="84"/>
      <x:c r="L174" s="84"/>
      <x:c r="M174" s="84"/>
      <x:c r="N174" s="84"/>
    </x:row>
    <x:row r="175">
      <x:c r="A175" s="47" t="str">
        <x:v>KF169</x:v>
      </x:c>
      <x:c r="B175" s="47" t="str">
        <x:v>Public user</x:v>
      </x:c>
      <x:c r="C175" s="47" t="str">
        <x:v>Package identity</x:v>
      </x:c>
      <x:c r="D175" s="47" t="str">
        <x:v>ALLOW</x:v>
      </x:c>
      <x:c r="E175" s="47" t="str">
        <x:v>Identity is public</x:v>
      </x:c>
      <x:c r="F175" s="47" t="n">
        <x:v>0</x:v>
      </x:c>
      <x:c r="G175" s="47" t="str">
        <x:f>IF(AND(F175=1,OR(D175="ALLOW",D175="PUBLIC CONTRACT"),OR(B175="Sibling form cell",B175="Finance authority")),"FAIL","PASS")</x:f>
        <x:v>PASS</x:v>
      </x:c>
      <x:c r="H175" s="84"/>
      <x:c r="I175" s="84"/>
      <x:c r="J175" s="84"/>
      <x:c r="K175" s="84"/>
      <x:c r="L175" s="84"/>
      <x:c r="M175" s="84"/>
      <x:c r="N175" s="84"/>
    </x:row>
    <x:row r="176">
      <x:c r="A176" s="47" t="str">
        <x:v>KF170</x:v>
      </x:c>
      <x:c r="B176" s="47" t="str">
        <x:v>Public user</x:v>
      </x:c>
      <x:c r="C176" s="47" t="str">
        <x:v>Source/model</x:v>
      </x:c>
      <x:c r="D176" s="47" t="str">
        <x:v>DENY</x:v>
      </x:c>
      <x:c r="E176" s="47" t="str">
        <x:v>No authority need</x:v>
      </x:c>
      <x:c r="F176" s="47" t="n">
        <x:v>0</x:v>
      </x:c>
      <x:c r="G176" s="47" t="str">
        <x:f>IF(AND(F176=1,OR(D176="ALLOW",D176="PUBLIC CONTRACT"),OR(B176="Sibling form cell",B176="Finance authority")),"FAIL","PASS")</x:f>
        <x:v>PASS</x:v>
      </x:c>
      <x:c r="H176" s="84"/>
      <x:c r="I176" s="84"/>
      <x:c r="J176" s="84"/>
      <x:c r="K176" s="84"/>
      <x:c r="L176" s="84"/>
      <x:c r="M176" s="84"/>
      <x:c r="N176" s="84"/>
    </x:row>
    <x:row r="177">
      <x:c r="A177" s="47" t="str">
        <x:v>KF171</x:v>
      </x:c>
      <x:c r="B177" s="47" t="str">
        <x:v>Public user</x:v>
      </x:c>
      <x:c r="C177" s="47" t="str">
        <x:v>Dependency bill</x:v>
      </x:c>
      <x:c r="D177" s="47" t="str">
        <x:v>DENY</x:v>
      </x:c>
      <x:c r="E177" s="47" t="str">
        <x:v>No authority need</x:v>
      </x:c>
      <x:c r="F177" s="47" t="n">
        <x:v>0</x:v>
      </x:c>
      <x:c r="G177" s="47" t="str">
        <x:f>IF(AND(F177=1,OR(D177="ALLOW",D177="PUBLIC CONTRACT"),OR(B177="Sibling form cell",B177="Finance authority")),"FAIL","PASS")</x:f>
        <x:v>PASS</x:v>
      </x:c>
      <x:c r="H177" s="84"/>
      <x:c r="I177" s="84"/>
      <x:c r="J177" s="84"/>
      <x:c r="K177" s="84"/>
      <x:c r="L177" s="84"/>
      <x:c r="M177" s="84"/>
      <x:c r="N177" s="84"/>
    </x:row>
    <x:row r="178">
      <x:c r="A178" s="47" t="str">
        <x:v>KF172</x:v>
      </x:c>
      <x:c r="B178" s="47" t="str">
        <x:v>Public user</x:v>
      </x:c>
      <x:c r="C178" s="47" t="str">
        <x:v>Physical assumptions</x:v>
      </x:c>
      <x:c r="D178" s="47" t="str">
        <x:v>DENY</x:v>
      </x:c>
      <x:c r="E178" s="47" t="str">
        <x:v>No authority need</x:v>
      </x:c>
      <x:c r="F178" s="47" t="n">
        <x:v>0</x:v>
      </x:c>
      <x:c r="G178" s="47" t="str">
        <x:f>IF(AND(F178=1,OR(D178="ALLOW",D178="PUBLIC CONTRACT"),OR(B178="Sibling form cell",B178="Finance authority")),"FAIL","PASS")</x:f>
        <x:v>PASS</x:v>
      </x:c>
      <x:c r="H178" s="84"/>
      <x:c r="I178" s="84"/>
      <x:c r="J178" s="84"/>
      <x:c r="K178" s="84"/>
      <x:c r="L178" s="84"/>
      <x:c r="M178" s="84"/>
      <x:c r="N178" s="84"/>
    </x:row>
    <x:row r="179">
      <x:c r="A179" s="47" t="str">
        <x:v>KF173</x:v>
      </x:c>
      <x:c r="B179" s="47" t="str">
        <x:v>Public user</x:v>
      </x:c>
      <x:c r="C179" s="47" t="str">
        <x:v>Units/datums/interfaces</x:v>
      </x:c>
      <x:c r="D179" s="47" t="str">
        <x:v>DENY</x:v>
      </x:c>
      <x:c r="E179" s="47" t="str">
        <x:v>No authority need</x:v>
      </x:c>
      <x:c r="F179" s="47" t="n">
        <x:v>0</x:v>
      </x:c>
      <x:c r="G179" s="47" t="str">
        <x:f>IF(AND(F179=1,OR(D179="ALLOW",D179="PUBLIC CONTRACT"),OR(B179="Sibling form cell",B179="Finance authority")),"FAIL","PASS")</x:f>
        <x:v>PASS</x:v>
      </x:c>
      <x:c r="H179" s="84"/>
      <x:c r="I179" s="84"/>
      <x:c r="J179" s="84"/>
      <x:c r="K179" s="84"/>
      <x:c r="L179" s="84"/>
      <x:c r="M179" s="84"/>
      <x:c r="N179" s="84"/>
    </x:row>
    <x:row r="180">
      <x:c r="A180" s="47" t="str">
        <x:v>KF174</x:v>
      </x:c>
      <x:c r="B180" s="47" t="str">
        <x:v>Public user</x:v>
      </x:c>
      <x:c r="C180" s="47" t="str">
        <x:v>Rights/receiver/residual</x:v>
      </x:c>
      <x:c r="D180" s="47" t="str">
        <x:v>DENY</x:v>
      </x:c>
      <x:c r="E180" s="47" t="str">
        <x:v>No authority need</x:v>
      </x:c>
      <x:c r="F180" s="47" t="n">
        <x:v>0</x:v>
      </x:c>
      <x:c r="G180" s="47" t="str">
        <x:f>IF(AND(F180=1,OR(D180="ALLOW",D180="PUBLIC CONTRACT"),OR(B180="Sibling form cell",B180="Finance authority")),"FAIL","PASS")</x:f>
        <x:v>PASS</x:v>
      </x:c>
      <x:c r="H180" s="84"/>
      <x:c r="I180" s="84"/>
      <x:c r="J180" s="84"/>
      <x:c r="K180" s="84"/>
      <x:c r="L180" s="84"/>
      <x:c r="M180" s="84"/>
      <x:c r="N180" s="84"/>
    </x:row>
    <x:row r="181">
      <x:c r="A181" s="47" t="str">
        <x:v>KF175</x:v>
      </x:c>
      <x:c r="B181" s="47" t="str">
        <x:v>Public user</x:v>
      </x:c>
      <x:c r="C181" s="47" t="str">
        <x:v>Unknown register</x:v>
      </x:c>
      <x:c r="D181" s="47" t="str">
        <x:v>DENY</x:v>
      </x:c>
      <x:c r="E181" s="47" t="str">
        <x:v>No authority need</x:v>
      </x:c>
      <x:c r="F181" s="47" t="n">
        <x:v>0</x:v>
      </x:c>
      <x:c r="G181" s="47" t="str">
        <x:f>IF(AND(F181=1,OR(D181="ALLOW",D181="PUBLIC CONTRACT"),OR(B181="Sibling form cell",B181="Finance authority")),"FAIL","PASS")</x:f>
        <x:v>PASS</x:v>
      </x:c>
      <x:c r="H181" s="84"/>
      <x:c r="I181" s="84"/>
      <x:c r="J181" s="84"/>
      <x:c r="K181" s="84"/>
      <x:c r="L181" s="84"/>
      <x:c r="M181" s="84"/>
      <x:c r="N181" s="84"/>
    </x:row>
    <x:row r="182">
      <x:c r="A182" s="47" t="str">
        <x:v>KF176</x:v>
      </x:c>
      <x:c r="B182" s="47" t="str">
        <x:v>Public user</x:v>
      </x:c>
      <x:c r="C182" s="47" t="str">
        <x:v>Native output</x:v>
      </x:c>
      <x:c r="D182" s="47" t="str">
        <x:v>DENY</x:v>
      </x:c>
      <x:c r="E182" s="47" t="str">
        <x:v>No authority need</x:v>
      </x:c>
      <x:c r="F182" s="47" t="n">
        <x:v>1</x:v>
      </x:c>
      <x:c r="G182" s="47" t="str">
        <x:f>IF(AND(F182=1,OR(D182="ALLOW",D182="PUBLIC CONTRACT"),OR(B182="Sibling form cell",B182="Finance authority")),"FAIL","PASS")</x:f>
        <x:v>PASS</x:v>
      </x:c>
      <x:c r="H182" s="84"/>
      <x:c r="I182" s="84"/>
      <x:c r="J182" s="84"/>
      <x:c r="K182" s="84"/>
      <x:c r="L182" s="84"/>
      <x:c r="M182" s="84"/>
      <x:c r="N182" s="84"/>
    </x:row>
    <x:row r="183">
      <x:c r="A183" s="47" t="str">
        <x:v>KF177</x:v>
      </x:c>
      <x:c r="B183" s="47" t="str">
        <x:v>Public user</x:v>
      </x:c>
      <x:c r="C183" s="47" t="str">
        <x:v>Clean output</x:v>
      </x:c>
      <x:c r="D183" s="47" t="str">
        <x:v>DENY</x:v>
      </x:c>
      <x:c r="E183" s="47" t="str">
        <x:v>No authority need</x:v>
      </x:c>
      <x:c r="F183" s="47" t="n">
        <x:v>1</x:v>
      </x:c>
      <x:c r="G183" s="47" t="str">
        <x:f>IF(AND(F183=1,OR(D183="ALLOW",D183="PUBLIC CONTRACT"),OR(B183="Sibling form cell",B183="Finance authority")),"FAIL","PASS")</x:f>
        <x:v>PASS</x:v>
      </x:c>
      <x:c r="H183" s="84"/>
      <x:c r="I183" s="84"/>
      <x:c r="J183" s="84"/>
      <x:c r="K183" s="84"/>
      <x:c r="L183" s="84"/>
      <x:c r="M183" s="84"/>
      <x:c r="N183" s="84"/>
    </x:row>
    <x:row r="184">
      <x:c r="A184" s="47" t="str">
        <x:v>KF178</x:v>
      </x:c>
      <x:c r="B184" s="47" t="str">
        <x:v>Public user</x:v>
      </x:c>
      <x:c r="C184" s="47" t="str">
        <x:v>Geometry/implementation</x:v>
      </x:c>
      <x:c r="D184" s="47" t="str">
        <x:v>DENY</x:v>
      </x:c>
      <x:c r="E184" s="47" t="str">
        <x:v>No authority need</x:v>
      </x:c>
      <x:c r="F184" s="47" t="n">
        <x:v>1</x:v>
      </x:c>
      <x:c r="G184" s="47" t="str">
        <x:f>IF(AND(F184=1,OR(D184="ALLOW",D184="PUBLIC CONTRACT"),OR(B184="Sibling form cell",B184="Finance authority")),"FAIL","PASS")</x:f>
        <x:v>PASS</x:v>
      </x:c>
      <x:c r="H184" s="84"/>
      <x:c r="I184" s="84"/>
      <x:c r="J184" s="84"/>
      <x:c r="K184" s="84"/>
      <x:c r="L184" s="84"/>
      <x:c r="M184" s="84"/>
      <x:c r="N184" s="84"/>
    </x:row>
    <x:row r="185">
      <x:c r="A185" s="47" t="str">
        <x:v>KF179</x:v>
      </x:c>
      <x:c r="B185" s="47" t="str">
        <x:v>Public user</x:v>
      </x:c>
      <x:c r="C185" s="47" t="str">
        <x:v>Cost/schedule/maturity</x:v>
      </x:c>
      <x:c r="D185" s="47" t="str">
        <x:v>DENY</x:v>
      </x:c>
      <x:c r="E185" s="47" t="str">
        <x:v>No authority need</x:v>
      </x:c>
      <x:c r="F185" s="47" t="n">
        <x:v>0</x:v>
      </x:c>
      <x:c r="G185" s="47" t="str">
        <x:f>IF(AND(F185=1,OR(D185="ALLOW",D185="PUBLIC CONTRACT"),OR(B185="Sibling form cell",B185="Finance authority")),"FAIL","PASS")</x:f>
        <x:v>PASS</x:v>
      </x:c>
      <x:c r="H185" s="84"/>
      <x:c r="I185" s="84"/>
      <x:c r="J185" s="84"/>
      <x:c r="K185" s="84"/>
      <x:c r="L185" s="84"/>
      <x:c r="M185" s="84"/>
      <x:c r="N185" s="84"/>
    </x:row>
    <x:row r="186">
      <x:c r="A186" s="47" t="str">
        <x:v>KF180</x:v>
      </x:c>
      <x:c r="B186" s="47" t="str">
        <x:v>Public user</x:v>
      </x:c>
      <x:c r="C186" s="47" t="str">
        <x:v>Relative performance/rank</x:v>
      </x:c>
      <x:c r="D186" s="47" t="str">
        <x:v>DENY</x:v>
      </x:c>
      <x:c r="E186" s="47" t="str">
        <x:v>No authority need</x:v>
      </x:c>
      <x:c r="F186" s="47" t="n">
        <x:v>1</x:v>
      </x:c>
      <x:c r="G186" s="47" t="str">
        <x:f>IF(AND(F186=1,OR(D186="ALLOW",D186="PUBLIC CONTRACT"),OR(B186="Sibling form cell",B186="Finance authority")),"FAIL","PASS")</x:f>
        <x:v>PASS</x:v>
      </x:c>
      <x:c r="H186" s="84"/>
      <x:c r="I186" s="84"/>
      <x:c r="J186" s="84"/>
      <x:c r="K186" s="84"/>
      <x:c r="L186" s="84"/>
      <x:c r="M186" s="84"/>
      <x:c r="N186" s="84"/>
    </x:row>
  </x:sheetData>
  <x:mergeCells>
    <x:mergeCell ref="A2:N2"/>
    <x:mergeCell ref="A4:N4"/>
  </x:mergeCells>
  <x:conditionalFormatting sqref="G7:G186">
    <x:cfRule type="containsText" dxfId="3" priority="1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44" hidden="0" customWidth="1"/>
    <x:col min="4" max="4" width="32" hidden="0" customWidth="1"/>
    <x:col min="5" max="5" width="26" hidden="0" customWidth="1"/>
    <x:col min="6" max="6" width="15" hidden="0" customWidth="1"/>
    <x:col min="7" max="7" width="15" hidden="0" customWidth="1"/>
  </x:cols>
  <x:sheetData>
    <x:row r="2">
      <x:c r="A2" s="83" t="str">
        <x:v>Reconstruction state law and nonconversions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Native replay and clean reconstruction are independent predicates. Neither can create physical evidence or downstream form authority.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89" t="str">
        <x:v>State transition law</x:v>
      </x:c>
      <x:c r="B6" s="90" t="str">
        <x:v>State transition law</x:v>
      </x:c>
      <x:c r="C6" s="90" t="str">
        <x:v>State transition law</x:v>
      </x:c>
      <x:c r="D6" s="90" t="str">
        <x:v>State transition law</x:v>
      </x:c>
      <x:c r="E6" s="90" t="str">
        <x:v>State transition law</x:v>
      </x:c>
      <x:c r="F6" s="90" t="str">
        <x:v>State transition law</x:v>
      </x:c>
      <x:c r="G6" s="91" t="str">
        <x:v>State transition law</x:v>
      </x:c>
      <x:c r="H6" s="84"/>
      <x:c r="I6" s="84"/>
      <x:c r="J6" s="84"/>
      <x:c r="K6" s="84"/>
      <x:c r="L6" s="84"/>
      <x:c r="M6" s="84"/>
      <x:c r="N6" s="84"/>
    </x:row>
    <x:row r="7">
      <x:c r="A7" s="84"/>
      <x:c r="B7" s="84"/>
      <x:c r="C7" s="84"/>
      <x:c r="D7" s="84"/>
      <x:c r="E7" s="84"/>
      <x:c r="F7" s="84"/>
      <x:c r="G7" s="84"/>
      <x:c r="H7" s="84"/>
      <x:c r="I7" s="84"/>
      <x:c r="J7" s="84"/>
      <x:c r="K7" s="84"/>
      <x:c r="L7" s="84"/>
      <x:c r="M7" s="84"/>
      <x:c r="N7" s="84"/>
    </x:row>
    <x:row r="8">
      <x:c r="A8" s="25" t="str">
        <x:v>State</x:v>
      </x:c>
      <x:c r="B8" s="26" t="str">
        <x:v>Meaning</x:v>
      </x:c>
      <x:c r="C8" s="26" t="str">
        <x:v>Entry predicate</x:v>
      </x:c>
      <x:c r="D8" s="26" t="str">
        <x:v>Authority</x:v>
      </x:c>
      <x:c r="E8" s="26" t="str">
        <x:v>Failure path</x:v>
      </x:c>
      <x:c r="F8" s="26" t="str">
        <x:v>Creates observation</x:v>
      </x:c>
      <x:c r="G8" s="27" t="str">
        <x:v>Creates payment</x:v>
      </x:c>
      <x:c r="H8" s="84"/>
      <x:c r="I8" s="84"/>
      <x:c r="J8" s="84"/>
      <x:c r="K8" s="84"/>
      <x:c r="L8" s="84"/>
      <x:c r="M8" s="84"/>
      <x:c r="N8" s="84"/>
    </x:row>
    <x:row r="9">
      <x:c r="A9" s="47" t="str">
        <x:v>UNSEALED</x:v>
      </x:c>
      <x:c r="B9" s="47" t="str">
        <x:v>Capsule incomplete</x:v>
      </x:c>
      <x:c r="C9" s="47" t="str">
        <x:v>Any required field open</x:v>
      </x:c>
      <x:c r="D9" s="47" t="str">
        <x:v>Builder</x:v>
      </x:c>
      <x:c r="E9" s="47" t="str">
        <x:v>REWORK</x:v>
      </x:c>
      <x:c r="F9" s="47" t="n">
        <x:v>0</x:v>
      </x:c>
      <x:c r="G9" s="47" t="n">
        <x:v>0</x:v>
      </x:c>
      <x:c r="H9" s="84"/>
      <x:c r="I9" s="84"/>
      <x:c r="J9" s="84"/>
      <x:c r="K9" s="84"/>
      <x:c r="L9" s="84"/>
      <x:c r="M9" s="84"/>
      <x:c r="N9" s="84"/>
    </x:row>
    <x:row r="10">
      <x:c r="A10" s="47" t="str">
        <x:v>SEALED</x:v>
      </x:c>
      <x:c r="B10" s="47" t="str">
        <x:v>Capsule complete</x:v>
      </x:c>
      <x:c r="C10" s="47" t="str">
        <x:v>18 fields complete</x:v>
      </x:c>
      <x:c r="D10" s="47" t="str">
        <x:v>Public custodian</x:v>
      </x:c>
      <x:c r="E10" s="47" t="str">
        <x:v>NATIVE REPLAY</x:v>
      </x:c>
      <x:c r="F10" s="47" t="n">
        <x:v>0</x:v>
      </x:c>
      <x:c r="G10" s="47" t="n">
        <x:v>0</x:v>
      </x:c>
      <x:c r="H10" s="84"/>
      <x:c r="I10" s="84"/>
      <x:c r="J10" s="84"/>
      <x:c r="K10" s="84"/>
      <x:c r="L10" s="84"/>
      <x:c r="M10" s="84"/>
      <x:c r="N10" s="84"/>
    </x:row>
    <x:row r="11">
      <x:c r="A11" s="47" t="str">
        <x:v>NATIVE-REPLAYED</x:v>
      </x:c>
      <x:c r="B11" s="47" t="str">
        <x:v>Original is deterministic</x:v>
      </x:c>
      <x:c r="C11" s="47" t="str">
        <x:v>8 native stages pass</x:v>
      </x:c>
      <x:c r="D11" s="47" t="str">
        <x:v>Native operator</x:v>
      </x:c>
      <x:c r="E11" s="47" t="str">
        <x:v>CLEAN REBUILD</x:v>
      </x:c>
      <x:c r="F11" s="47" t="n">
        <x:v>0</x:v>
      </x:c>
      <x:c r="G11" s="47" t="n">
        <x:v>0</x:v>
      </x:c>
      <x:c r="H11" s="84"/>
      <x:c r="I11" s="84"/>
      <x:c r="J11" s="84"/>
      <x:c r="K11" s="84"/>
      <x:c r="L11" s="84"/>
      <x:c r="M11" s="84"/>
      <x:c r="N11" s="84"/>
    </x:row>
    <x:row r="12">
      <x:c r="A12" s="47" t="str">
        <x:v>CLEAN-COMMITTED</x:v>
      </x:c>
      <x:c r="B12" s="47" t="str">
        <x:v>Independent result sealed</x:v>
      </x:c>
      <x:c r="C12" s="47" t="str">
        <x:v>10 clean stages pass before disclosure</x:v>
      </x:c>
      <x:c r="D12" s="47" t="str">
        <x:v>Clean team</x:v>
      </x:c>
      <x:c r="E12" s="47" t="str">
        <x:v>SEMANTIC COMPARE</x:v>
      </x:c>
      <x:c r="F12" s="47" t="n">
        <x:v>0</x:v>
      </x:c>
      <x:c r="G12" s="47" t="n">
        <x:v>0</x:v>
      </x:c>
      <x:c r="H12" s="84"/>
      <x:c r="I12" s="84"/>
      <x:c r="J12" s="84"/>
      <x:c r="K12" s="84"/>
      <x:c r="L12" s="84"/>
      <x:c r="M12" s="84"/>
      <x:c r="N12" s="84"/>
    </x:row>
    <x:row r="13">
      <x:c r="A13" s="47" t="str">
        <x:v>DIVERGENT</x:v>
      </x:c>
      <x:c r="B13" s="47" t="str">
        <x:v>Committed meanings disagree</x:v>
      </x:c>
      <x:c r="C13" s="47" t="str">
        <x:v>Any invariant mismatch</x:v>
      </x:c>
      <x:c r="D13" s="47" t="str">
        <x:v>Artifact Court</x:v>
      </x:c>
      <x:c r="E13" s="47" t="str">
        <x:v>HOLD / ADJUDICATE</x:v>
      </x:c>
      <x:c r="F13" s="47" t="n">
        <x:v>0</x:v>
      </x:c>
      <x:c r="G13" s="47" t="n">
        <x:v>0</x:v>
      </x:c>
      <x:c r="H13" s="84"/>
      <x:c r="I13" s="84"/>
      <x:c r="J13" s="84"/>
      <x:c r="K13" s="84"/>
      <x:c r="L13" s="84"/>
      <x:c r="M13" s="84"/>
      <x:c r="N13" s="84"/>
    </x:row>
    <x:row r="14">
      <x:c r="A14" s="47" t="str">
        <x:v>REPRODUCIBLE</x:v>
      </x:c>
      <x:c r="B14" s="47" t="str">
        <x:v>Six invariants match</x:v>
      </x:c>
      <x:c r="C14" s="47" t="str">
        <x:v>All noncompensatory predicates pass</x:v>
      </x:c>
      <x:c r="D14" s="47" t="str">
        <x:v>Artifact Court</x:v>
      </x:c>
      <x:c r="E14" s="47" t="str">
        <x:v>AVW ELIGIBLE</x:v>
      </x:c>
      <x:c r="F14" s="47" t="n">
        <x:v>0</x:v>
      </x:c>
      <x:c r="G14" s="47" t="n">
        <x:v>0</x:v>
      </x:c>
      <x:c r="H14" s="84"/>
      <x:c r="I14" s="84"/>
      <x:c r="J14" s="84"/>
      <x:c r="K14" s="84"/>
      <x:c r="L14" s="84"/>
      <x:c r="M14" s="84"/>
      <x:c r="N14" s="84"/>
    </x:row>
    <x:row r="15">
      <x:c r="A15" s="47" t="str">
        <x:v>TERMINATED</x:v>
      </x:c>
      <x:c r="B15" s="47" t="str">
        <x:v>Independence or firewall failed</x:v>
      </x:c>
      <x:c r="C15" s="47" t="str">
        <x:v>Common control, common stack or leakage</x:v>
      </x:c>
      <x:c r="D15" s="47" t="str">
        <x:v>Constitution</x:v>
      </x:c>
      <x:c r="E15" s="47" t="str">
        <x:v>RETURN AUTHORITY</x:v>
      </x:c>
      <x:c r="F15" s="47" t="n">
        <x:v>0</x:v>
      </x:c>
      <x:c r="G15" s="47" t="n">
        <x:v>0</x:v>
      </x:c>
      <x:c r="H15" s="84"/>
      <x:c r="I15" s="84"/>
      <x:c r="J15" s="84"/>
      <x:c r="K15" s="84"/>
      <x:c r="L15" s="84"/>
      <x:c r="M15" s="84"/>
      <x:c r="N15" s="84"/>
    </x:row>
    <x:row r="16">
      <x:c r="A16" s="47"/>
      <x:c r="B16" s="47"/>
      <x:c r="C16" s="47"/>
      <x:c r="D16" s="47"/>
      <x:c r="E16" s="47"/>
      <x:c r="F16" s="47"/>
      <x:c r="G16" s="47"/>
      <x:c r="H16" s="84"/>
      <x:c r="I16" s="84"/>
      <x:c r="J16" s="84"/>
      <x:c r="K16" s="84"/>
      <x:c r="L16" s="84"/>
      <x:c r="M16" s="84"/>
      <x:c r="N16" s="84"/>
    </x:row>
    <x:row r="17">
      <x:c r="A17" s="47"/>
      <x:c r="B17" s="47"/>
      <x:c r="C17" s="47"/>
      <x:c r="D17" s="47"/>
      <x:c r="E17" s="47"/>
      <x:c r="F17" s="47"/>
      <x:c r="G17" s="47"/>
      <x:c r="H17" s="84"/>
      <x:c r="I17" s="84"/>
      <x:c r="J17" s="84"/>
      <x:c r="K17" s="84"/>
      <x:c r="L17" s="84"/>
      <x:c r="M17" s="84"/>
      <x:c r="N17" s="84"/>
    </x:row>
    <x:row r="18">
      <x:c r="A18" s="50" t="str">
        <x:v>Nonconversion law</x:v>
      </x:c>
      <x:c r="B18" s="51" t="str">
        <x:v>Nonconversion law</x:v>
      </x:c>
      <x:c r="C18" s="51" t="str">
        <x:v>Nonconversion law</x:v>
      </x:c>
      <x:c r="D18" s="51" t="str">
        <x:v>Nonconversion law</x:v>
      </x:c>
      <x:c r="E18" s="51" t="str">
        <x:v>Nonconversion law</x:v>
      </x:c>
      <x:c r="F18" s="52" t="str">
        <x:v>Nonconversion law</x:v>
      </x:c>
      <x:c r="G18" s="47"/>
      <x:c r="H18" s="84"/>
      <x:c r="I18" s="84"/>
      <x:c r="J18" s="84"/>
      <x:c r="K18" s="84"/>
      <x:c r="L18" s="84"/>
      <x:c r="M18" s="84"/>
      <x:c r="N18" s="84"/>
    </x:row>
    <x:row r="19">
      <x:c r="A19" s="47"/>
      <x:c r="B19" s="47"/>
      <x:c r="C19" s="47"/>
      <x:c r="D19" s="47"/>
      <x:c r="E19" s="47"/>
      <x:c r="F19" s="47"/>
      <x:c r="G19" s="47"/>
      <x:c r="H19" s="84"/>
      <x:c r="I19" s="84"/>
      <x:c r="J19" s="84"/>
      <x:c r="K19" s="84"/>
      <x:c r="L19" s="84"/>
      <x:c r="M19" s="84"/>
      <x:c r="N19" s="84"/>
    </x:row>
    <x:row r="20">
      <x:c r="A20" s="25" t="str">
        <x:v>Rule</x:v>
      </x:c>
      <x:c r="B20" s="26" t="str">
        <x:v>Source state</x:v>
      </x:c>
      <x:c r="C20" s="26" t="str">
        <x:v>Forbidden conversion</x:v>
      </x:c>
      <x:c r="D20" s="26" t="str">
        <x:v>Required independent act</x:v>
      </x:c>
      <x:c r="E20" s="27" t="str">
        <x:v>Disposition</x:v>
      </x:c>
      <x:c r="F20" s="47"/>
      <x:c r="G20" s="47"/>
      <x:c r="H20" s="84"/>
      <x:c r="I20" s="84"/>
      <x:c r="J20" s="84"/>
      <x:c r="K20" s="84"/>
      <x:c r="L20" s="84"/>
      <x:c r="M20" s="84"/>
      <x:c r="N20" s="84"/>
    </x:row>
    <x:row r="21">
      <x:c r="A21" s="47" t="str">
        <x:v>N01</x:v>
      </x:c>
      <x:c r="B21" s="47" t="str">
        <x:v>Hash match</x:v>
      </x:c>
      <x:c r="C21" s="47" t="str">
        <x:v>Semantic validity</x:v>
      </x:c>
      <x:c r="D21" s="47" t="str">
        <x:v>Clean reconstruction</x:v>
      </x:c>
      <x:c r="E21" s="47" t="str">
        <x:v>Hold</x:v>
      </x:c>
      <x:c r="F21" s="47"/>
      <x:c r="G21" s="47"/>
      <x:c r="H21" s="84"/>
      <x:c r="I21" s="84"/>
      <x:c r="J21" s="84"/>
      <x:c r="K21" s="84"/>
      <x:c r="L21" s="84"/>
      <x:c r="M21" s="84"/>
      <x:c r="N21" s="84"/>
    </x:row>
    <x:row r="22">
      <x:c r="A22" s="47" t="str">
        <x:v>N02</x:v>
      </x:c>
      <x:c r="B22" s="47" t="str">
        <x:v>Native replay</x:v>
      </x:c>
      <x:c r="C22" s="47" t="str">
        <x:v>Independent knowledge</x:v>
      </x:c>
      <x:c r="D22" s="47" t="str">
        <x:v>Toolchain-disjoint rebuild</x:v>
      </x:c>
      <x:c r="E22" s="47" t="str">
        <x:v>Hold</x:v>
      </x:c>
      <x:c r="F22" s="47"/>
      <x:c r="G22" s="47"/>
      <x:c r="H22" s="84"/>
      <x:c r="I22" s="84"/>
      <x:c r="J22" s="84"/>
      <x:c r="K22" s="84"/>
      <x:c r="L22" s="84"/>
      <x:c r="M22" s="84"/>
      <x:c r="N22" s="84"/>
    </x:row>
    <x:row r="23">
      <x:c r="A23" s="47" t="str">
        <x:v>N03</x:v>
      </x:c>
      <x:c r="B23" s="47" t="str">
        <x:v>Clean rebuild</x:v>
      </x:c>
      <x:c r="C23" s="47" t="str">
        <x:v>Physical proof</x:v>
      </x:c>
      <x:c r="D23" s="47" t="str">
        <x:v>Destructive event</x:v>
      </x:c>
      <x:c r="E23" s="47" t="str">
        <x:v>Label design-only</x:v>
      </x:c>
      <x:c r="F23" s="47"/>
      <x:c r="G23" s="47"/>
      <x:c r="H23" s="84"/>
      <x:c r="I23" s="84"/>
      <x:c r="J23" s="84"/>
      <x:c r="K23" s="84"/>
      <x:c r="L23" s="84"/>
      <x:c r="M23" s="84"/>
      <x:c r="N23" s="84"/>
    </x:row>
    <x:row r="24">
      <x:c r="A24" s="47" t="str">
        <x:v>N04</x:v>
      </x:c>
      <x:c r="B24" s="47" t="str">
        <x:v>Semantic match</x:v>
      </x:c>
      <x:c r="C24" s="47" t="str">
        <x:v>Observation</x:v>
      </x:c>
      <x:c r="D24" s="47" t="str">
        <x:v>Evidence Court event acceptance</x:v>
      </x:c>
      <x:c r="E24" s="47" t="str">
        <x:v>Zero credit</x:v>
      </x:c>
      <x:c r="F24" s="47"/>
      <x:c r="G24" s="47"/>
      <x:c r="H24" s="84"/>
      <x:c r="I24" s="84"/>
      <x:c r="J24" s="84"/>
      <x:c r="K24" s="84"/>
      <x:c r="L24" s="84"/>
      <x:c r="M24" s="84"/>
      <x:c r="N24" s="84"/>
    </x:row>
    <x:row r="25">
      <x:c r="A25" s="47" t="str">
        <x:v>N05</x:v>
      </x:c>
      <x:c r="B25" s="47" t="str">
        <x:v>Reproducible package</x:v>
      </x:c>
      <x:c r="C25" s="47" t="str">
        <x:v>Payment</x:v>
      </x:c>
      <x:c r="D25" s="47" t="str">
        <x:v>Separate AVW and FDW</x:v>
      </x:c>
      <x:c r="E25" s="47" t="str">
        <x:v>Hold claim</x:v>
      </x:c>
      <x:c r="F25" s="47"/>
      <x:c r="G25" s="47"/>
      <x:c r="H25" s="84"/>
      <x:c r="I25" s="84"/>
      <x:c r="J25" s="84"/>
      <x:c r="K25" s="84"/>
      <x:c r="L25" s="84"/>
      <x:c r="M25" s="84"/>
      <x:c r="N25" s="84"/>
    </x:row>
    <x:row r="26">
      <x:c r="A26" s="47" t="str">
        <x:v>N06</x:v>
      </x:c>
      <x:c r="B26" s="47" t="str">
        <x:v>Payment</x:v>
      </x:c>
      <x:c r="C26" s="47" t="str">
        <x:v>Survivor or selection</x:v>
      </x:c>
      <x:c r="D26" s="47" t="str">
        <x:v>Complete root evidence plus selection warrant</x:v>
      </x:c>
      <x:c r="E26" s="47" t="str">
        <x:v>Zero credit</x:v>
      </x:c>
      <x:c r="F26" s="47"/>
      <x:c r="G26" s="47"/>
      <x:c r="H26" s="84"/>
      <x:c r="I26" s="84"/>
      <x:c r="J26" s="84"/>
      <x:c r="K26" s="84"/>
      <x:c r="L26" s="84"/>
      <x:c r="M26" s="84"/>
      <x:c r="N26" s="84"/>
    </x:row>
    <x:row r="27">
      <x:c r="A27" s="47" t="str">
        <x:v>N07</x:v>
      </x:c>
      <x:c r="B27" s="47" t="str">
        <x:v>Public capsule</x:v>
      </x:c>
      <x:c r="C27" s="47" t="str">
        <x:v>Sibling performance access</x:v>
      </x:c>
      <x:c r="D27" s="47" t="str">
        <x:v>Performance custodian release</x:v>
      </x:c>
      <x:c r="E27" s="47" t="str">
        <x:v>Terminate</x:v>
      </x:c>
      <x:c r="F27" s="47"/>
      <x:c r="G27" s="47"/>
      <x:c r="H27" s="84"/>
      <x:c r="I27" s="84"/>
      <x:c r="J27" s="84"/>
      <x:c r="K27" s="84"/>
      <x:c r="L27" s="84"/>
      <x:c r="M27" s="84"/>
      <x:c r="N27" s="84"/>
    </x:row>
    <x:row r="28">
      <x:c r="A28" s="47" t="str">
        <x:v>N08</x:v>
      </x:c>
      <x:c r="B28" s="47" t="str">
        <x:v>Shared schema</x:v>
      </x:c>
      <x:c r="C28" s="47" t="str">
        <x:v>Common solver</x:v>
      </x:c>
      <x:c r="D28" s="47" t="str">
        <x:v>Root-native implementation</x:v>
      </x:c>
      <x:c r="E28" s="47" t="str">
        <x:v>Kill grammar</x:v>
      </x:c>
      <x:c r="F28" s="47"/>
      <x:c r="G28" s="47"/>
      <x:c r="H28" s="84"/>
      <x:c r="I28" s="84"/>
      <x:c r="J28" s="84"/>
      <x:c r="K28" s="84"/>
      <x:c r="L28" s="84"/>
      <x:c r="M28" s="84"/>
      <x:c r="N28" s="84"/>
    </x:row>
    <x:row r="29">
      <x:c r="A29" s="47" t="str">
        <x:v>N09</x:v>
      </x:c>
      <x:c r="B29" s="47" t="str">
        <x:v>Artifact Court</x:v>
      </x:c>
      <x:c r="C29" s="47" t="str">
        <x:v>Evidence Court</x:v>
      </x:c>
      <x:c r="D29" s="47" t="str">
        <x:v>Separated authorities</x:v>
      </x:c>
      <x:c r="E29" s="47" t="str">
        <x:v>Invalidate</x:v>
      </x:c>
      <x:c r="F29" s="47"/>
      <x:c r="G29" s="47"/>
      <x:c r="H29" s="84"/>
      <x:c r="I29" s="84"/>
      <x:c r="J29" s="84"/>
      <x:c r="K29" s="84"/>
      <x:c r="L29" s="84"/>
      <x:c r="M29" s="84"/>
      <x:c r="N29" s="84"/>
    </x:row>
    <x:row r="30">
      <x:c r="A30" s="47" t="str">
        <x:v>N10</x:v>
      </x:c>
      <x:c r="B30" s="47" t="str">
        <x:v>Divergence</x:v>
      </x:c>
      <x:c r="C30" s="47" t="str">
        <x:v>Builder correction by overwrite</x:v>
      </x:c>
      <x:c r="D30" s="47" t="str">
        <x:v>Superseding lineage record</x:v>
      </x:c>
      <x:c r="E30" s="47" t="str">
        <x:v>Preserve both</x:v>
      </x:c>
      <x:c r="F30" s="47"/>
      <x:c r="G30" s="47"/>
      <x:c r="H30" s="84"/>
      <x:c r="I30" s="84"/>
      <x:c r="J30" s="84"/>
      <x:c r="K30" s="84"/>
      <x:c r="L30" s="84"/>
      <x:c r="M30" s="84"/>
      <x:c r="N30" s="84"/>
    </x:row>
    <x:row r="31">
      <x:c r="A31" s="47" t="str">
        <x:v>N11</x:v>
      </x:c>
      <x:c r="B31" s="47" t="str">
        <x:v>Cost or schedule</x:v>
      </x:c>
      <x:c r="C31" s="47" t="str">
        <x:v>Validity</x:v>
      </x:c>
      <x:c r="D31" s="47" t="str">
        <x:v>Technical reconstruction</x:v>
      </x:c>
      <x:c r="E31" s="47" t="str">
        <x:v>Ignore</x:v>
      </x:c>
      <x:c r="F31" s="47"/>
      <x:c r="G31" s="47"/>
      <x:c r="H31" s="84"/>
      <x:c r="I31" s="84"/>
      <x:c r="J31" s="84"/>
      <x:c r="K31" s="84"/>
      <x:c r="L31" s="84"/>
      <x:c r="M31" s="84"/>
      <x:c r="N31" s="84"/>
    </x:row>
    <x:row r="32">
      <x:c r="A32" s="47" t="str">
        <x:v>N12</x:v>
      </x:c>
      <x:c r="B32" s="47" t="str">
        <x:v>Validity</x:v>
      </x:c>
      <x:c r="C32" s="47" t="str">
        <x:v>MAKE or REP-4</x:v>
      </x:c>
      <x:c r="D32" s="47" t="str">
        <x:v>Construction or representation warrant</x:v>
      </x:c>
      <x:c r="E32" s="47" t="str">
        <x:v>Hold</x:v>
      </x:c>
      <x:c r="F32" s="47"/>
      <x:c r="G32" s="47"/>
      <x:c r="H32" s="84"/>
      <x:c r="I32" s="84"/>
      <x:c r="J32" s="84"/>
      <x:c r="K32" s="84"/>
      <x:c r="L32" s="84"/>
      <x:c r="M32" s="84"/>
      <x:c r="N32" s="84"/>
    </x:row>
  </x:sheetData>
  <x:mergeCells>
    <x:mergeCell ref="A2:N2"/>
    <x:mergeCell ref="A4:N4"/>
    <x:mergeCell ref="A6:G6"/>
    <x:mergeCell ref="A18:F1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24" hidden="0" customWidth="1"/>
    <x:col min="3" max="3" width="15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</x:cols>
  <x:sheetData>
    <x:row r="2">
      <x:c r="A2" s="83" t="str">
        <x:v>Controlled mutation register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Each corruption is applied to the live workbook, detected by a named terminal audit and restored before export.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25" t="str">
        <x:v>Mutation</x:v>
      </x:c>
      <x:c r="B6" s="26" t="str">
        <x:v>Target</x:v>
      </x:c>
      <x:c r="C6" s="26" t="str">
        <x:v>Baseline</x:v>
      </x:c>
      <x:c r="D6" s="26" t="str">
        <x:v>Mutated</x:v>
      </x:c>
      <x:c r="E6" s="26" t="str">
        <x:v>Expected audit</x:v>
      </x:c>
      <x:c r="F6" s="26" t="str">
        <x:v>Detected</x:v>
      </x:c>
      <x:c r="G6" s="27" t="str">
        <x:v>Restored</x:v>
      </x:c>
      <x:c r="H6" s="84"/>
      <x:c r="I6" s="84"/>
      <x:c r="J6" s="84"/>
      <x:c r="K6" s="84"/>
      <x:c r="L6" s="84"/>
      <x:c r="M6" s="84"/>
      <x:c r="N6" s="84"/>
    </x:row>
    <x:row r="7">
      <x:c r="A7" s="47" t="str">
        <x:v>M01 Field count erosion</x:v>
      </x:c>
      <x:c r="B7" s="47" t="str">
        <x:v>Inputs!B7</x:v>
      </x:c>
      <x:c r="C7" s="47" t="n">
        <x:v>18</x:v>
      </x:c>
      <x:c r="D7" s="47" t="n">
        <x:v>17</x:v>
      </x:c>
      <x:c r="E7" s="47" t="str">
        <x:v>A09</x:v>
      </x:c>
      <x:c r="F7" s="47" t="str">
        <x:v>YES</x:v>
      </x:c>
      <x:c r="G7" s="47" t="str">
        <x:v>YES</x:v>
      </x:c>
      <x:c r="H7" s="84"/>
      <x:c r="I7" s="84"/>
      <x:c r="J7" s="84"/>
      <x:c r="K7" s="84"/>
      <x:c r="L7" s="84"/>
      <x:c r="M7" s="84"/>
      <x:c r="N7" s="84"/>
    </x:row>
    <x:row r="8">
      <x:c r="A8" s="47" t="str">
        <x:v>M02 Invariant count erosion</x:v>
      </x:c>
      <x:c r="B8" s="47" t="str">
        <x:v>Inputs!B8</x:v>
      </x:c>
      <x:c r="C8" s="47" t="n">
        <x:v>6</x:v>
      </x:c>
      <x:c r="D8" s="47" t="n">
        <x:v>5</x:v>
      </x:c>
      <x:c r="E8" s="47" t="str">
        <x:v>A10</x:v>
      </x:c>
      <x:c r="F8" s="47" t="str">
        <x:v>YES</x:v>
      </x:c>
      <x:c r="G8" s="47" t="str">
        <x:v>YES</x:v>
      </x:c>
      <x:c r="H8" s="84"/>
      <x:c r="I8" s="84"/>
      <x:c r="J8" s="84"/>
      <x:c r="K8" s="84"/>
      <x:c r="L8" s="84"/>
      <x:c r="M8" s="84"/>
      <x:c r="N8" s="84"/>
    </x:row>
    <x:row r="9">
      <x:c r="A9" s="47" t="str">
        <x:v>M03 Native-stage erosion</x:v>
      </x:c>
      <x:c r="B9" s="47" t="str">
        <x:v>Inputs!B9</x:v>
      </x:c>
      <x:c r="C9" s="47" t="n">
        <x:v>8</x:v>
      </x:c>
      <x:c r="D9" s="47" t="n">
        <x:v>7</x:v>
      </x:c>
      <x:c r="E9" s="47" t="str">
        <x:v>A11</x:v>
      </x:c>
      <x:c r="F9" s="47" t="str">
        <x:v>YES</x:v>
      </x:c>
      <x:c r="G9" s="47" t="str">
        <x:v>YES</x:v>
      </x:c>
      <x:c r="H9" s="84"/>
      <x:c r="I9" s="84"/>
      <x:c r="J9" s="84"/>
      <x:c r="K9" s="84"/>
      <x:c r="L9" s="84"/>
      <x:c r="M9" s="84"/>
      <x:c r="N9" s="84"/>
    </x:row>
    <x:row r="10">
      <x:c r="A10" s="47" t="str">
        <x:v>M04 Clean-stage erosion</x:v>
      </x:c>
      <x:c r="B10" s="47" t="str">
        <x:v>Inputs!B10</x:v>
      </x:c>
      <x:c r="C10" s="47" t="n">
        <x:v>10</x:v>
      </x:c>
      <x:c r="D10" s="47" t="n">
        <x:v>9</x:v>
      </x:c>
      <x:c r="E10" s="47" t="str">
        <x:v>A12</x:v>
      </x:c>
      <x:c r="F10" s="47" t="str">
        <x:v>YES</x:v>
      </x:c>
      <x:c r="G10" s="47" t="str">
        <x:v>YES</x:v>
      </x:c>
      <x:c r="H10" s="84"/>
      <x:c r="I10" s="84"/>
      <x:c r="J10" s="84"/>
      <x:c r="K10" s="84"/>
      <x:c r="L10" s="84"/>
      <x:c r="M10" s="84"/>
      <x:c r="N10" s="84"/>
    </x:row>
    <x:row r="11">
      <x:c r="A11" s="47" t="str">
        <x:v>M05 Shared clean control</x:v>
      </x:c>
      <x:c r="B11" s="47" t="str">
        <x:v>Inputs!B11</x:v>
      </x:c>
      <x:c r="C11" s="47" t="n">
        <x:v>1</x:v>
      </x:c>
      <x:c r="D11" s="47" t="n">
        <x:v>0</x:v>
      </x:c>
      <x:c r="E11" s="47" t="str">
        <x:v>A29</x:v>
      </x:c>
      <x:c r="F11" s="47" t="str">
        <x:v>YES</x:v>
      </x:c>
      <x:c r="G11" s="47" t="str">
        <x:v>YES</x:v>
      </x:c>
      <x:c r="H11" s="84"/>
      <x:c r="I11" s="84"/>
      <x:c r="J11" s="84"/>
      <x:c r="K11" s="84"/>
      <x:c r="L11" s="84"/>
      <x:c r="M11" s="84"/>
      <x:c r="N11" s="84"/>
    </x:row>
    <x:row r="12">
      <x:c r="A12" s="47" t="str">
        <x:v>M06 Toolchain convergence</x:v>
      </x:c>
      <x:c r="B12" s="47" t="str">
        <x:v>Inputs!B12</x:v>
      </x:c>
      <x:c r="C12" s="47" t="n">
        <x:v>1</x:v>
      </x:c>
      <x:c r="D12" s="47" t="n">
        <x:v>0</x:v>
      </x:c>
      <x:c r="E12" s="47" t="str">
        <x:v>A30</x:v>
      </x:c>
      <x:c r="F12" s="47" t="str">
        <x:v>YES</x:v>
      </x:c>
      <x:c r="G12" s="47" t="str">
        <x:v>YES</x:v>
      </x:c>
      <x:c r="H12" s="84"/>
      <x:c r="I12" s="84"/>
      <x:c r="J12" s="84"/>
      <x:c r="K12" s="84"/>
      <x:c r="L12" s="84"/>
      <x:c r="M12" s="84"/>
      <x:c r="N12" s="84"/>
    </x:row>
    <x:row r="13">
      <x:c r="A13" s="47" t="str">
        <x:v>M07 Performance leakage</x:v>
      </x:c>
      <x:c r="B13" s="47" t="str">
        <x:v>Inputs!B13</x:v>
      </x:c>
      <x:c r="C13" s="47" t="n">
        <x:v>0</x:v>
      </x:c>
      <x:c r="D13" s="47" t="n">
        <x:v>1</x:v>
      </x:c>
      <x:c r="E13" s="47" t="str">
        <x:v>A31</x:v>
      </x:c>
      <x:c r="F13" s="47" t="str">
        <x:v>YES</x:v>
      </x:c>
      <x:c r="G13" s="47" t="str">
        <x:v>YES</x:v>
      </x:c>
      <x:c r="H13" s="84"/>
      <x:c r="I13" s="84"/>
      <x:c r="J13" s="84"/>
      <x:c r="K13" s="84"/>
      <x:c r="L13" s="84"/>
      <x:c r="M13" s="84"/>
      <x:c r="N13" s="84"/>
    </x:row>
    <x:row r="14">
      <x:c r="A14" s="47" t="str">
        <x:v>M08 Common solver</x:v>
      </x:c>
      <x:c r="B14" s="47" t="str">
        <x:v>Inputs!B14</x:v>
      </x:c>
      <x:c r="C14" s="47" t="n">
        <x:v>0</x:v>
      </x:c>
      <x:c r="D14" s="47" t="n">
        <x:v>1</x:v>
      </x:c>
      <x:c r="E14" s="47" t="str">
        <x:v>A32</x:v>
      </x:c>
      <x:c r="F14" s="47" t="str">
        <x:v>YES</x:v>
      </x:c>
      <x:c r="G14" s="47" t="str">
        <x:v>YES</x:v>
      </x:c>
      <x:c r="H14" s="84"/>
      <x:c r="I14" s="84"/>
      <x:c r="J14" s="84"/>
      <x:c r="K14" s="84"/>
      <x:c r="L14" s="84"/>
      <x:c r="M14" s="84"/>
      <x:c r="N14" s="84"/>
    </x:row>
    <x:row r="15">
      <x:c r="A15" s="47" t="str">
        <x:v>M09 Physical-proof claim</x:v>
      </x:c>
      <x:c r="B15" s="47" t="str">
        <x:v>Inputs!B15</x:v>
      </x:c>
      <x:c r="C15" s="47" t="n">
        <x:v>0</x:v>
      </x:c>
      <x:c r="D15" s="47" t="n">
        <x:v>1</x:v>
      </x:c>
      <x:c r="E15" s="47" t="str">
        <x:v>A33</x:v>
      </x:c>
      <x:c r="F15" s="47" t="str">
        <x:v>YES</x:v>
      </x:c>
      <x:c r="G15" s="47" t="str">
        <x:v>YES</x:v>
      </x:c>
      <x:c r="H15" s="84"/>
      <x:c r="I15" s="84"/>
      <x:c r="J15" s="84"/>
      <x:c r="K15" s="84"/>
      <x:c r="L15" s="84"/>
      <x:c r="M15" s="84"/>
      <x:c r="N15" s="84"/>
    </x:row>
    <x:row r="16">
      <x:c r="A16" s="47" t="str">
        <x:v>M10 Accepted observation</x:v>
      </x:c>
      <x:c r="B16" s="47" t="str">
        <x:v>Inputs!B16</x:v>
      </x:c>
      <x:c r="C16" s="47" t="n">
        <x:v>0</x:v>
      </x:c>
      <x:c r="D16" s="47" t="n">
        <x:v>1</x:v>
      </x:c>
      <x:c r="E16" s="47" t="str">
        <x:v>A34</x:v>
      </x:c>
      <x:c r="F16" s="47" t="str">
        <x:v>YES</x:v>
      </x:c>
      <x:c r="G16" s="47" t="str">
        <x:v>YES</x:v>
      </x:c>
      <x:c r="H16" s="84"/>
      <x:c r="I16" s="84"/>
      <x:c r="J16" s="84"/>
      <x:c r="K16" s="84"/>
      <x:c r="L16" s="84"/>
      <x:c r="M16" s="84"/>
      <x:c r="N16" s="84"/>
    </x:row>
    <x:row r="17">
      <x:c r="A17" s="47" t="str">
        <x:v>M11 Improper payment</x:v>
      </x:c>
      <x:c r="B17" s="47" t="str">
        <x:v>Inputs!B17</x:v>
      </x:c>
      <x:c r="C17" s="47" t="n">
        <x:v>0</x:v>
      </x:c>
      <x:c r="D17" s="47" t="n">
        <x:v>1</x:v>
      </x:c>
      <x:c r="E17" s="47" t="str">
        <x:v>A35</x:v>
      </x:c>
      <x:c r="F17" s="47" t="str">
        <x:v>YES</x:v>
      </x:c>
      <x:c r="G17" s="47" t="str">
        <x:v>YES</x:v>
      </x:c>
      <x:c r="H17" s="84"/>
      <x:c r="I17" s="84"/>
      <x:c r="J17" s="84"/>
      <x:c r="K17" s="84"/>
      <x:c r="L17" s="84"/>
      <x:c r="M17" s="84"/>
      <x:c r="N17" s="84"/>
    </x:row>
    <x:row r="18">
      <x:c r="A18" s="47" t="str">
        <x:v>M12 Premature selection</x:v>
      </x:c>
      <x:c r="B18" s="47" t="str">
        <x:v>Inputs!B18</x:v>
      </x:c>
      <x:c r="C18" s="47" t="n">
        <x:v>0</x:v>
      </x:c>
      <x:c r="D18" s="47" t="n">
        <x:v>1</x:v>
      </x:c>
      <x:c r="E18" s="47" t="str">
        <x:v>A36</x:v>
      </x:c>
      <x:c r="F18" s="47" t="str">
        <x:v>YES</x:v>
      </x:c>
      <x:c r="G18" s="47" t="str">
        <x:v>YES</x:v>
      </x:c>
      <x:c r="H18" s="84"/>
      <x:c r="I18" s="84"/>
      <x:c r="J18" s="84"/>
      <x:c r="K18" s="84"/>
      <x:c r="L18" s="84"/>
      <x:c r="M18" s="84"/>
      <x:c r="N18" s="84"/>
    </x:row>
    <x:row r="19">
      <x:c r="A19" s="47" t="str">
        <x:v>M13 Premature MAKE</x:v>
      </x:c>
      <x:c r="B19" s="47" t="str">
        <x:v>Inputs!B19</x:v>
      </x:c>
      <x:c r="C19" s="47" t="n">
        <x:v>0</x:v>
      </x:c>
      <x:c r="D19" s="47" t="n">
        <x:v>1</x:v>
      </x:c>
      <x:c r="E19" s="47" t="str">
        <x:v>A37</x:v>
      </x:c>
      <x:c r="F19" s="47" t="str">
        <x:v>YES</x:v>
      </x:c>
      <x:c r="G19" s="47" t="str">
        <x:v>YES</x:v>
      </x:c>
      <x:c r="H19" s="84"/>
      <x:c r="I19" s="84"/>
      <x:c r="J19" s="84"/>
      <x:c r="K19" s="84"/>
      <x:c r="L19" s="84"/>
      <x:c r="M19" s="84"/>
      <x:c r="N19" s="84"/>
    </x:row>
    <x:row r="20">
      <x:c r="A20" s="47" t="str">
        <x:v>M14 Premature REP-4</x:v>
      </x:c>
      <x:c r="B20" s="47" t="str">
        <x:v>Inputs!B20</x:v>
      </x:c>
      <x:c r="C20" s="47" t="n">
        <x:v>0</x:v>
      </x:c>
      <x:c r="D20" s="47" t="n">
        <x:v>1</x:v>
      </x:c>
      <x:c r="E20" s="47" t="str">
        <x:v>A38</x:v>
      </x:c>
      <x:c r="F20" s="47" t="str">
        <x:v>YES</x:v>
      </x:c>
      <x:c r="G20" s="47" t="str">
        <x:v>YES</x:v>
      </x:c>
      <x:c r="H20" s="84"/>
      <x:c r="I20" s="84"/>
      <x:c r="J20" s="84"/>
      <x:c r="K20" s="84"/>
      <x:c r="L20" s="84"/>
      <x:c r="M20" s="84"/>
      <x:c r="N20" s="84"/>
    </x:row>
    <x:row r="21">
      <x:c r="A21" s="47" t="str">
        <x:v>M15 Sibling reserve raid</x:v>
      </x:c>
      <x:c r="B21" s="47" t="str">
        <x:v>Inputs!B21</x:v>
      </x:c>
      <x:c r="C21" s="60" t="n">
        <x:v>358.7333333333</x:v>
      </x:c>
      <x:c r="D21" s="60" t="n">
        <x:v>300</x:v>
      </x:c>
      <x:c r="E21" s="47" t="str">
        <x:v>A39</x:v>
      </x:c>
      <x:c r="F21" s="47" t="str">
        <x:v>YES</x:v>
      </x:c>
      <x:c r="G21" s="47" t="str">
        <x:v>YES</x:v>
      </x:c>
      <x:c r="H21" s="84"/>
      <x:c r="I21" s="84"/>
      <x:c r="J21" s="84"/>
      <x:c r="K21" s="84"/>
      <x:c r="L21" s="84"/>
      <x:c r="M21" s="84"/>
      <x:c r="N21" s="84"/>
    </x:row>
    <x:row r="22">
      <x:c r="A22" s="47" t="str">
        <x:v>M16 Invalid acceptance</x:v>
      </x:c>
      <x:c r="B22" s="47" t="str">
        <x:v>Inputs!B22</x:v>
      </x:c>
      <x:c r="C22" s="47" t="n">
        <x:v>0</x:v>
      </x:c>
      <x:c r="D22" s="47" t="n">
        <x:v>1</x:v>
      </x:c>
      <x:c r="E22" s="47" t="str">
        <x:v>A40</x:v>
      </x:c>
      <x:c r="F22" s="47" t="str">
        <x:v>YES</x:v>
      </x:c>
      <x:c r="G22" s="47" t="str">
        <x:v>YES</x:v>
      </x:c>
      <x:c r="H22" s="84"/>
      <x:c r="I22" s="84"/>
      <x:c r="J22" s="84"/>
      <x:c r="K22" s="84"/>
      <x:c r="L22" s="84"/>
      <x:c r="M22" s="84"/>
      <x:c r="N22" s="84"/>
    </x:row>
    <x:row r="23">
      <x:c r="A23" s="47" t="str">
        <x:v>M17 Raw output disclosure</x:v>
      </x:c>
      <x:c r="B23" s="47" t="str">
        <x:v>Inputs!B23</x:v>
      </x:c>
      <x:c r="C23" s="47" t="n">
        <x:v>0</x:v>
      </x:c>
      <x:c r="D23" s="47" t="n">
        <x:v>1</x:v>
      </x:c>
      <x:c r="E23" s="47" t="str">
        <x:v>A41</x:v>
      </x:c>
      <x:c r="F23" s="47" t="str">
        <x:v>YES</x:v>
      </x:c>
      <x:c r="G23" s="47" t="str">
        <x:v>YES</x:v>
      </x:c>
      <x:c r="H23" s="84"/>
      <x:c r="I23" s="84"/>
      <x:c r="J23" s="84"/>
      <x:c r="K23" s="84"/>
      <x:c r="L23" s="84"/>
      <x:c r="M23" s="84"/>
      <x:c r="N23" s="84"/>
    </x:row>
    <x:row r="24">
      <x:c r="A24" s="47" t="str">
        <x:v>M18 Unwarranted field supply</x:v>
      </x:c>
      <x:c r="B24" s="47" t="str">
        <x:v>Capsule Register!K7</x:v>
      </x:c>
      <x:c r="C24" s="47" t="n">
        <x:v>0</x:v>
      </x:c>
      <x:c r="D24" s="47" t="n">
        <x:v>1</x:v>
      </x:c>
      <x:c r="E24" s="47" t="str">
        <x:v>A19</x:v>
      </x:c>
      <x:c r="F24" s="47" t="str">
        <x:v>YES</x:v>
      </x:c>
      <x:c r="G24" s="47" t="str">
        <x:v>YES</x:v>
      </x:c>
      <x:c r="H24" s="84"/>
      <x:c r="I24" s="84"/>
      <x:c r="J24" s="84"/>
      <x:c r="K24" s="84"/>
      <x:c r="L24" s="84"/>
      <x:c r="M24" s="84"/>
      <x:c r="N24" s="84"/>
    </x:row>
  </x:sheetData>
  <x:mergeCells>
    <x:mergeCell ref="A2:N2"/>
    <x:mergeCell ref="A4:N4"/>
  </x:mergeCells>
  <x:conditionalFormatting sqref="F7:G24">
    <x:cfRule type="containsText" dxfId="4" priority="1" operator="containsText" text="NO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E7E6E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43" hidden="0" customWidth="1"/>
    <x:col min="3" max="3" width="15" hidden="0" customWidth="1"/>
    <x:col min="4" max="4" width="15" hidden="0" customWidth="1"/>
    <x:col min="5" max="5" width="15" hidden="0" customWidth="1"/>
  </x:cols>
  <x:sheetData>
    <x:row r="2">
      <x:c r="A2" s="83" t="str">
        <x:v>Terminal audit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These checks observe the workbook and do not feed authority, package state or financial calculations.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25" t="str">
        <x:v>Audit</x:v>
      </x:c>
      <x:c r="B6" s="26" t="str">
        <x:v>Test</x:v>
      </x:c>
      <x:c r="C6" s="26" t="str">
        <x:v>Observed</x:v>
      </x:c>
      <x:c r="D6" s="26" t="str">
        <x:v>Expected</x:v>
      </x:c>
      <x:c r="E6" s="27" t="str">
        <x:v>Status</x:v>
      </x:c>
      <x:c r="F6" s="84"/>
      <x:c r="G6" s="84"/>
      <x:c r="H6" s="84"/>
      <x:c r="I6" s="84"/>
      <x:c r="J6" s="84"/>
      <x:c r="K6" s="84"/>
      <x:c r="L6" s="84"/>
      <x:c r="M6" s="84"/>
      <x:c r="N6" s="84"/>
    </x:row>
    <x:row r="7">
      <x:c r="A7" s="47" t="str">
        <x:v>A01</x:v>
      </x:c>
      <x:c r="B7" s="47" t="str">
        <x:v>Six roots</x:v>
      </x:c>
      <x:c r="C7" s="47" t="n">
        <x:f>COUNTA(Inputs!A42:A47)</x:f>
        <x:v>6</x:v>
      </x:c>
      <x:c r="D7" s="47" t="n">
        <x:v>6</x:v>
      </x:c>
      <x:c r="E7" s="47" t="str">
        <x:f>IF(ABS(C7-D7)&lt;=Inputs!$B$24,"PASS","FAIL")</x:f>
        <x:v>PASS</x:v>
      </x:c>
      <x:c r="F7" s="84"/>
      <x:c r="G7" s="84"/>
      <x:c r="H7" s="84"/>
      <x:c r="I7" s="84"/>
      <x:c r="J7" s="84"/>
      <x:c r="K7" s="84"/>
      <x:c r="L7" s="84"/>
      <x:c r="M7" s="84"/>
      <x:c r="N7" s="84"/>
    </x:row>
    <x:row r="8">
      <x:c r="A8" s="47" t="str">
        <x:v>A02</x:v>
      </x:c>
      <x:c r="B8" s="47" t="str">
        <x:v>Thirty packages</x:v>
      </x:c>
      <x:c r="C8" s="47" t="n">
        <x:f>COUNTA('Semantic Compare'!A7:A36)</x:f>
        <x:v>30</x:v>
      </x:c>
      <x:c r="D8" s="47" t="n">
        <x:v>30</x:v>
      </x:c>
      <x:c r="E8" s="47" t="str">
        <x:f>IF(ABS(C8-D8)&lt;=Inputs!$B$24,"PASS","FAIL")</x:f>
        <x:v>PASS</x:v>
      </x:c>
      <x:c r="F8" s="84"/>
      <x:c r="G8" s="84"/>
      <x:c r="H8" s="84"/>
      <x:c r="I8" s="84"/>
      <x:c r="J8" s="84"/>
      <x:c r="K8" s="84"/>
      <x:c r="L8" s="84"/>
      <x:c r="M8" s="84"/>
      <x:c r="N8" s="84"/>
    </x:row>
    <x:row r="9">
      <x:c r="A9" s="47" t="str">
        <x:v>A03</x:v>
      </x:c>
      <x:c r="B9" s="47" t="str">
        <x:v>Five package types</x:v>
      </x:c>
      <x:c r="C9" s="47" t="n">
        <x:f>COUNTA(Inputs!F42:F46)</x:f>
        <x:v>5</x:v>
      </x:c>
      <x:c r="D9" s="47" t="n">
        <x:v>5</x:v>
      </x:c>
      <x:c r="E9" s="47" t="str">
        <x:f>IF(ABS(C9-D9)&lt;=Inputs!$B$24,"PASS","FAIL")</x:f>
        <x:v>PASS</x:v>
      </x:c>
      <x:c r="F9" s="84"/>
      <x:c r="G9" s="84"/>
      <x:c r="H9" s="84"/>
      <x:c r="I9" s="84"/>
      <x:c r="J9" s="84"/>
      <x:c r="K9" s="84"/>
      <x:c r="L9" s="84"/>
      <x:c r="M9" s="84"/>
      <x:c r="N9" s="84"/>
    </x:row>
    <x:row r="10">
      <x:c r="A10" s="47" t="str">
        <x:v>A04</x:v>
      </x:c>
      <x:c r="B10" s="47" t="str">
        <x:v>Capsule records</x:v>
      </x:c>
      <x:c r="C10" s="47" t="n">
        <x:f>COUNTA('Capsule Register'!A7:A546)</x:f>
        <x:v>540</x:v>
      </x:c>
      <x:c r="D10" s="47" t="n">
        <x:v>540</x:v>
      </x:c>
      <x:c r="E10" s="47" t="str">
        <x:f>IF(ABS(C10-D10)&lt;=Inputs!$B$24,"PASS","FAIL")</x:f>
        <x:v>PASS</x:v>
      </x:c>
      <x:c r="F10" s="84"/>
      <x:c r="G10" s="84"/>
      <x:c r="H10" s="84"/>
      <x:c r="I10" s="84"/>
      <x:c r="J10" s="84"/>
      <x:c r="K10" s="84"/>
      <x:c r="L10" s="84"/>
      <x:c r="M10" s="84"/>
      <x:c r="N10" s="84"/>
    </x:row>
    <x:row r="11">
      <x:c r="A11" s="47" t="str">
        <x:v>A05</x:v>
      </x:c>
      <x:c r="B11" s="47" t="str">
        <x:v>Invariant records</x:v>
      </x:c>
      <x:c r="C11" s="47" t="n">
        <x:f>COUNTA('Invariant Grammar'!A7:A186)</x:f>
        <x:v>180</x:v>
      </x:c>
      <x:c r="D11" s="47" t="n">
        <x:v>180</x:v>
      </x:c>
      <x:c r="E11" s="47" t="str">
        <x:f>IF(ABS(C11-D11)&lt;=Inputs!$B$24,"PASS","FAIL")</x:f>
        <x:v>PASS</x:v>
      </x:c>
      <x:c r="F11" s="84"/>
      <x:c r="G11" s="84"/>
      <x:c r="H11" s="84"/>
      <x:c r="I11" s="84"/>
      <x:c r="J11" s="84"/>
      <x:c r="K11" s="84"/>
      <x:c r="L11" s="84"/>
      <x:c r="M11" s="84"/>
      <x:c r="N11" s="84"/>
    </x:row>
    <x:row r="12">
      <x:c r="A12" s="47" t="str">
        <x:v>A06</x:v>
      </x:c>
      <x:c r="B12" s="47" t="str">
        <x:v>Native replay records</x:v>
      </x:c>
      <x:c r="C12" s="47" t="n">
        <x:f>COUNTA('Native Replay'!A7:A246)</x:f>
        <x:v>240</x:v>
      </x:c>
      <x:c r="D12" s="47" t="n">
        <x:v>240</x:v>
      </x:c>
      <x:c r="E12" s="47" t="str">
        <x:f>IF(ABS(C12-D12)&lt;=Inputs!$B$24,"PASS","FAIL")</x:f>
        <x:v>PASS</x:v>
      </x:c>
      <x:c r="F12" s="84"/>
      <x:c r="G12" s="84"/>
      <x:c r="H12" s="84"/>
      <x:c r="I12" s="84"/>
      <x:c r="J12" s="84"/>
      <x:c r="K12" s="84"/>
      <x:c r="L12" s="84"/>
      <x:c r="M12" s="84"/>
      <x:c r="N12" s="84"/>
    </x:row>
    <x:row r="13">
      <x:c r="A13" s="47" t="str">
        <x:v>A07</x:v>
      </x:c>
      <x:c r="B13" s="47" t="str">
        <x:v>Clean rebuild records</x:v>
      </x:c>
      <x:c r="C13" s="47" t="n">
        <x:f>COUNTA('Clean Rebuild'!A7:A306)</x:f>
        <x:v>300</x:v>
      </x:c>
      <x:c r="D13" s="47" t="n">
        <x:v>300</x:v>
      </x:c>
      <x:c r="E13" s="47" t="str">
        <x:f>IF(ABS(C13-D13)&lt;=Inputs!$B$24,"PASS","FAIL")</x:f>
        <x:v>PASS</x:v>
      </x:c>
      <x:c r="F13" s="84"/>
      <x:c r="G13" s="84"/>
      <x:c r="H13" s="84"/>
      <x:c r="I13" s="84"/>
      <x:c r="J13" s="84"/>
      <x:c r="K13" s="84"/>
      <x:c r="L13" s="84"/>
      <x:c r="M13" s="84"/>
      <x:c r="N13" s="84"/>
    </x:row>
    <x:row r="14">
      <x:c r="A14" s="47" t="str">
        <x:v>A08</x:v>
      </x:c>
      <x:c r="B14" s="47" t="str">
        <x:v>Firewall decisions</x:v>
      </x:c>
      <x:c r="C14" s="47" t="n">
        <x:f>COUNTA('Knowledge Firewall'!A7:A186)</x:f>
        <x:v>180</x:v>
      </x:c>
      <x:c r="D14" s="47" t="n">
        <x:v>180</x:v>
      </x:c>
      <x:c r="E14" s="47" t="str">
        <x:f>IF(ABS(C14-D14)&lt;=Inputs!$B$24,"PASS","FAIL")</x:f>
        <x:v>PASS</x:v>
      </x:c>
      <x:c r="F14" s="84"/>
      <x:c r="G14" s="84"/>
      <x:c r="H14" s="84"/>
      <x:c r="I14" s="84"/>
      <x:c r="J14" s="84"/>
      <x:c r="K14" s="84"/>
      <x:c r="L14" s="84"/>
      <x:c r="M14" s="84"/>
      <x:c r="N14" s="84"/>
    </x:row>
    <x:row r="15">
      <x:c r="A15" s="47" t="str">
        <x:v>A09</x:v>
      </x:c>
      <x:c r="B15" s="47" t="str">
        <x:v>Eighteen fields required</x:v>
      </x:c>
      <x:c r="C15" s="47" t="n">
        <x:f>Inputs!B7</x:f>
        <x:v>18</x:v>
      </x:c>
      <x:c r="D15" s="47" t="n">
        <x:v>18</x:v>
      </x:c>
      <x:c r="E15" s="47" t="str">
        <x:f>IF(ABS(C15-D15)&lt;=Inputs!$B$24,"PASS","FAIL")</x:f>
        <x:v>PASS</x:v>
      </x:c>
      <x:c r="F15" s="84"/>
      <x:c r="G15" s="84"/>
      <x:c r="H15" s="84"/>
      <x:c r="I15" s="84"/>
      <x:c r="J15" s="84"/>
      <x:c r="K15" s="84"/>
      <x:c r="L15" s="84"/>
      <x:c r="M15" s="84"/>
      <x:c r="N15" s="84"/>
    </x:row>
    <x:row r="16">
      <x:c r="A16" s="47" t="str">
        <x:v>A10</x:v>
      </x:c>
      <x:c r="B16" s="47" t="str">
        <x:v>Six invariants required</x:v>
      </x:c>
      <x:c r="C16" s="47" t="n">
        <x:f>Inputs!B8</x:f>
        <x:v>6</x:v>
      </x:c>
      <x:c r="D16" s="47" t="n">
        <x:v>6</x:v>
      </x:c>
      <x:c r="E16" s="47" t="str">
        <x:f>IF(ABS(C16-D16)&lt;=Inputs!$B$24,"PASS","FAIL")</x:f>
        <x:v>PASS</x:v>
      </x:c>
      <x:c r="F16" s="84"/>
      <x:c r="G16" s="84"/>
      <x:c r="H16" s="84"/>
      <x:c r="I16" s="84"/>
      <x:c r="J16" s="84"/>
      <x:c r="K16" s="84"/>
      <x:c r="L16" s="84"/>
      <x:c r="M16" s="84"/>
      <x:c r="N16" s="84"/>
    </x:row>
    <x:row r="17">
      <x:c r="A17" s="47" t="str">
        <x:v>A11</x:v>
      </x:c>
      <x:c r="B17" s="47" t="str">
        <x:v>Eight native stages required</x:v>
      </x:c>
      <x:c r="C17" s="47" t="n">
        <x:f>Inputs!B9</x:f>
        <x:v>8</x:v>
      </x:c>
      <x:c r="D17" s="47" t="n">
        <x:v>8</x:v>
      </x:c>
      <x:c r="E17" s="47" t="str">
        <x:f>IF(ABS(C17-D17)&lt;=Inputs!$B$24,"PASS","FAIL")</x:f>
        <x:v>PASS</x:v>
      </x:c>
      <x:c r="F17" s="84"/>
      <x:c r="G17" s="84"/>
      <x:c r="H17" s="84"/>
      <x:c r="I17" s="84"/>
      <x:c r="J17" s="84"/>
      <x:c r="K17" s="84"/>
      <x:c r="L17" s="84"/>
      <x:c r="M17" s="84"/>
      <x:c r="N17" s="84"/>
    </x:row>
    <x:row r="18">
      <x:c r="A18" s="47" t="str">
        <x:v>A12</x:v>
      </x:c>
      <x:c r="B18" s="47" t="str">
        <x:v>Ten clean stages required</x:v>
      </x:c>
      <x:c r="C18" s="47" t="n">
        <x:f>Inputs!B10</x:f>
        <x:v>10</x:v>
      </x:c>
      <x:c r="D18" s="47" t="n">
        <x:v>10</x:v>
      </x:c>
      <x:c r="E18" s="47" t="str">
        <x:f>IF(ABS(C18-D18)&lt;=Inputs!$B$24,"PASS","FAIL")</x:f>
        <x:v>PASS</x:v>
      </x:c>
      <x:c r="F18" s="84"/>
      <x:c r="G18" s="84"/>
      <x:c r="H18" s="84"/>
      <x:c r="I18" s="84"/>
      <x:c r="J18" s="84"/>
      <x:c r="K18" s="84"/>
      <x:c r="L18" s="84"/>
      <x:c r="M18" s="84"/>
      <x:c r="N18" s="84"/>
    </x:row>
    <x:row r="19">
      <x:c r="A19" s="47" t="str">
        <x:v>A13</x:v>
      </x:c>
      <x:c r="B19" s="47" t="str">
        <x:v>Fields per package</x:v>
      </x:c>
      <x:c r="C19" s="47" t="n">
        <x:f>COUNTIF('Capsule Register'!B7:B546,"P01")</x:f>
        <x:v>18</x:v>
      </x:c>
      <x:c r="D19" s="47" t="n">
        <x:v>18</x:v>
      </x:c>
      <x:c r="E19" s="47" t="str">
        <x:f>IF(ABS(C19-D19)&lt;=Inputs!$B$24,"PASS","FAIL")</x:f>
        <x:v>PASS</x:v>
      </x:c>
      <x:c r="F19" s="84"/>
      <x:c r="G19" s="84"/>
      <x:c r="H19" s="84"/>
      <x:c r="I19" s="84"/>
      <x:c r="J19" s="84"/>
      <x:c r="K19" s="84"/>
      <x:c r="L19" s="84"/>
      <x:c r="M19" s="84"/>
      <x:c r="N19" s="84"/>
    </x:row>
    <x:row r="20">
      <x:c r="A20" s="47" t="str">
        <x:v>A14</x:v>
      </x:c>
      <x:c r="B20" s="47" t="str">
        <x:v>Invariants per package</x:v>
      </x:c>
      <x:c r="C20" s="47" t="n">
        <x:f>COUNTIF('Invariant Grammar'!B7:B186,"P01")</x:f>
        <x:v>6</x:v>
      </x:c>
      <x:c r="D20" s="47" t="n">
        <x:v>6</x:v>
      </x:c>
      <x:c r="E20" s="47" t="str">
        <x:f>IF(ABS(C20-D20)&lt;=Inputs!$B$24,"PASS","FAIL")</x:f>
        <x:v>PASS</x:v>
      </x:c>
      <x:c r="F20" s="84"/>
      <x:c r="G20" s="84"/>
      <x:c r="H20" s="84"/>
      <x:c r="I20" s="84"/>
      <x:c r="J20" s="84"/>
      <x:c r="K20" s="84"/>
      <x:c r="L20" s="84"/>
      <x:c r="M20" s="84"/>
      <x:c r="N20" s="84"/>
    </x:row>
    <x:row r="21">
      <x:c r="A21" s="47" t="str">
        <x:v>A15</x:v>
      </x:c>
      <x:c r="B21" s="47" t="str">
        <x:v>Native stages per package</x:v>
      </x:c>
      <x:c r="C21" s="47" t="n">
        <x:f>COUNTIF('Native Replay'!B7:B246,"P01")</x:f>
        <x:v>8</x:v>
      </x:c>
      <x:c r="D21" s="47" t="n">
        <x:v>8</x:v>
      </x:c>
      <x:c r="E21" s="47" t="str">
        <x:f>IF(ABS(C21-D21)&lt;=Inputs!$B$24,"PASS","FAIL")</x:f>
        <x:v>PASS</x:v>
      </x:c>
      <x:c r="F21" s="84"/>
      <x:c r="G21" s="84"/>
      <x:c r="H21" s="84"/>
      <x:c r="I21" s="84"/>
      <x:c r="J21" s="84"/>
      <x:c r="K21" s="84"/>
      <x:c r="L21" s="84"/>
      <x:c r="M21" s="84"/>
      <x:c r="N21" s="84"/>
    </x:row>
    <x:row r="22">
      <x:c r="A22" s="47" t="str">
        <x:v>A16</x:v>
      </x:c>
      <x:c r="B22" s="47" t="str">
        <x:v>Clean stages per package</x:v>
      </x:c>
      <x:c r="C22" s="47" t="n">
        <x:f>COUNTIF('Clean Rebuild'!B7:B306,"P01")</x:f>
        <x:v>10</x:v>
      </x:c>
      <x:c r="D22" s="47" t="n">
        <x:v>10</x:v>
      </x:c>
      <x:c r="E22" s="47" t="str">
        <x:f>IF(ABS(C22-D22)&lt;=Inputs!$B$24,"PASS","FAIL")</x:f>
        <x:v>PASS</x:v>
      </x:c>
      <x:c r="F22" s="84"/>
      <x:c r="G22" s="84"/>
      <x:c r="H22" s="84"/>
      <x:c r="I22" s="84"/>
      <x:c r="J22" s="84"/>
      <x:c r="K22" s="84"/>
      <x:c r="L22" s="84"/>
      <x:c r="M22" s="84"/>
      <x:c r="N22" s="84"/>
    </x:row>
    <x:row r="23">
      <x:c r="A23" s="47" t="str">
        <x:v>A17</x:v>
      </x:c>
      <x:c r="B23" s="47" t="str">
        <x:v>Current complete capsule fields</x:v>
      </x:c>
      <x:c r="C23" s="47" t="n">
        <x:f>COUNTIF('Capsule Register'!M7:M546,"COMPLETE")</x:f>
        <x:v>0</x:v>
      </x:c>
      <x:c r="D23" s="47" t="n">
        <x:v>0</x:v>
      </x:c>
      <x:c r="E23" s="47" t="str">
        <x:f>IF(ABS(C23-D23)&lt;=Inputs!$B$24,"PASS","FAIL")</x:f>
        <x:v>PASS</x:v>
      </x:c>
      <x:c r="F23" s="84"/>
      <x:c r="G23" s="84"/>
      <x:c r="H23" s="84"/>
      <x:c r="I23" s="84"/>
      <x:c r="J23" s="84"/>
      <x:c r="K23" s="84"/>
      <x:c r="L23" s="84"/>
      <x:c r="M23" s="84"/>
      <x:c r="N23" s="84"/>
    </x:row>
    <x:row r="24">
      <x:c r="A24" s="47" t="str">
        <x:v>A18</x:v>
      </x:c>
      <x:c r="B24" s="47" t="str">
        <x:v>Current semantic matches</x:v>
      </x:c>
      <x:c r="C24" s="47" t="n">
        <x:f>COUNTIF('Invariant Grammar'!K7:K186,"SEMANTIC MATCH")</x:f>
        <x:v>0</x:v>
      </x:c>
      <x:c r="D24" s="47" t="n">
        <x:v>0</x:v>
      </x:c>
      <x:c r="E24" s="47" t="str">
        <x:f>IF(ABS(C24-D24)&lt;=Inputs!$B$24,"PASS","FAIL")</x:f>
        <x:v>PASS</x:v>
      </x:c>
      <x:c r="F24" s="84"/>
      <x:c r="G24" s="84"/>
      <x:c r="H24" s="84"/>
      <x:c r="I24" s="84"/>
      <x:c r="J24" s="84"/>
      <x:c r="K24" s="84"/>
      <x:c r="L24" s="84"/>
      <x:c r="M24" s="84"/>
      <x:c r="N24" s="84"/>
    </x:row>
    <x:row r="25">
      <x:c r="A25" s="47" t="str">
        <x:v>A19</x:v>
      </x:c>
      <x:c r="B25" s="47" t="str">
        <x:v>Capsule field K7 remains unsupplied</x:v>
      </x:c>
      <x:c r="C25" s="47" t="n">
        <x:f>'Capsule Register'!K7</x:f>
        <x:v>0</x:v>
      </x:c>
      <x:c r="D25" s="47" t="n">
        <x:v>0</x:v>
      </x:c>
      <x:c r="E25" s="47" t="str">
        <x:f>IF(ABS(C25-D25)&lt;=Inputs!$B$24,"PASS","FAIL")</x:f>
        <x:v>PASS</x:v>
      </x:c>
      <x:c r="F25" s="84"/>
      <x:c r="G25" s="84"/>
      <x:c r="H25" s="84"/>
      <x:c r="I25" s="84"/>
      <x:c r="J25" s="84"/>
      <x:c r="K25" s="84"/>
      <x:c r="L25" s="84"/>
      <x:c r="M25" s="84"/>
      <x:c r="N25" s="84"/>
    </x:row>
    <x:row r="26">
      <x:c r="A26" s="47" t="str">
        <x:v>A20</x:v>
      </x:c>
      <x:c r="B26" s="47" t="str">
        <x:v>Current native passes</x:v>
      </x:c>
      <x:c r="C26" s="47" t="n">
        <x:f>COUNTIF('Native Replay'!J7:J246,"PASS")</x:f>
        <x:v>0</x:v>
      </x:c>
      <x:c r="D26" s="47" t="n">
        <x:v>0</x:v>
      </x:c>
      <x:c r="E26" s="47" t="str">
        <x:f>IF(ABS(C26-D26)&lt;=Inputs!$B$24,"PASS","FAIL")</x:f>
        <x:v>PASS</x:v>
      </x:c>
      <x:c r="F26" s="84"/>
      <x:c r="G26" s="84"/>
      <x:c r="H26" s="84"/>
      <x:c r="I26" s="84"/>
      <x:c r="J26" s="84"/>
      <x:c r="K26" s="84"/>
      <x:c r="L26" s="84"/>
      <x:c r="M26" s="84"/>
      <x:c r="N26" s="84"/>
    </x:row>
    <x:row r="27">
      <x:c r="A27" s="47" t="str">
        <x:v>A21</x:v>
      </x:c>
      <x:c r="B27" s="47" t="str">
        <x:v>Current clean passes</x:v>
      </x:c>
      <x:c r="C27" s="47" t="n">
        <x:f>COUNTIF('Clean Rebuild'!L7:L306,"PASS")</x:f>
        <x:v>0</x:v>
      </x:c>
      <x:c r="D27" s="47" t="n">
        <x:v>0</x:v>
      </x:c>
      <x:c r="E27" s="47" t="str">
        <x:f>IF(ABS(C27-D27)&lt;=Inputs!$B$24,"PASS","FAIL")</x:f>
        <x:v>PASS</x:v>
      </x:c>
      <x:c r="F27" s="84"/>
      <x:c r="G27" s="84"/>
      <x:c r="H27" s="84"/>
      <x:c r="I27" s="84"/>
      <x:c r="J27" s="84"/>
      <x:c r="K27" s="84"/>
      <x:c r="L27" s="84"/>
      <x:c r="M27" s="84"/>
      <x:c r="N27" s="84"/>
    </x:row>
    <x:row r="28">
      <x:c r="A28" s="47" t="str">
        <x:v>A22</x:v>
      </x:c>
      <x:c r="B28" s="47" t="str">
        <x:v>Current reproducible packages</x:v>
      </x:c>
      <x:c r="C28" s="47" t="n">
        <x:f>COUNTIF('Semantic Compare'!N7:N36,"REPRODUCIBLE")</x:f>
        <x:v>0</x:v>
      </x:c>
      <x:c r="D28" s="47" t="n">
        <x:v>0</x:v>
      </x:c>
      <x:c r="E28" s="47" t="str">
        <x:f>IF(ABS(C28-D28)&lt;=Inputs!$B$24,"PASS","FAIL")</x:f>
        <x:v>PASS</x:v>
      </x:c>
      <x:c r="F28" s="84"/>
      <x:c r="G28" s="84"/>
      <x:c r="H28" s="84"/>
      <x:c r="I28" s="84"/>
      <x:c r="J28" s="84"/>
      <x:c r="K28" s="84"/>
      <x:c r="L28" s="84"/>
      <x:c r="M28" s="84"/>
      <x:c r="N28" s="84"/>
    </x:row>
    <x:row r="29">
      <x:c r="A29" s="47" t="str">
        <x:v>A23</x:v>
      </x:c>
      <x:c r="B29" s="47" t="str">
        <x:v>Current terminated packages</x:v>
      </x:c>
      <x:c r="C29" s="47" t="n">
        <x:f>COUNTIF('Semantic Compare'!N7:N36,"TERMINATE")</x:f>
        <x:v>0</x:v>
      </x:c>
      <x:c r="D29" s="47" t="n">
        <x:v>0</x:v>
      </x:c>
      <x:c r="E29" s="47" t="str">
        <x:f>IF(ABS(C29-D29)&lt;=Inputs!$B$24,"PASS","FAIL")</x:f>
        <x:v>PASS</x:v>
      </x:c>
      <x:c r="F29" s="84"/>
      <x:c r="G29" s="84"/>
      <x:c r="H29" s="84"/>
      <x:c r="I29" s="84"/>
      <x:c r="J29" s="84"/>
      <x:c r="K29" s="84"/>
      <x:c r="L29" s="84"/>
      <x:c r="M29" s="84"/>
      <x:c r="N29" s="84"/>
    </x:row>
    <x:row r="30">
      <x:c r="A30" s="47" t="str">
        <x:v>A24</x:v>
      </x:c>
      <x:c r="B30" s="47" t="str">
        <x:v>Reconstruction allocation ceiling</x:v>
      </x:c>
      <x:c r="C30" s="60" t="n">
        <x:f>ROUND(SUM(Inputs!E30:E32),6)</x:f>
        <x:v>26.905</x:v>
      </x:c>
      <x:c r="D30" s="60" t="n">
        <x:v>26.905</x:v>
      </x:c>
      <x:c r="E30" s="47" t="str">
        <x:f>IF(ABS(C30-D30)&lt;=Inputs!$B$24,"PASS","FAIL")</x:f>
        <x:v>PASS</x:v>
      </x:c>
      <x:c r="F30" s="84"/>
      <x:c r="G30" s="84"/>
      <x:c r="H30" s="84"/>
      <x:c r="I30" s="84"/>
      <x:c r="J30" s="84"/>
      <x:c r="K30" s="84"/>
      <x:c r="L30" s="84"/>
      <x:c r="M30" s="84"/>
      <x:c r="N30" s="84"/>
    </x:row>
    <x:row r="31">
      <x:c r="A31" s="47" t="str">
        <x:v>A25</x:v>
      </x:c>
      <x:c r="B31" s="47" t="str">
        <x:v>Public escrow allocation ceiling</x:v>
      </x:c>
      <x:c r="C31" s="60" t="n">
        <x:f>ROUND(SUM(Inputs!E33:E36),6)</x:f>
        <x:v>14.349333</x:v>
      </x:c>
      <x:c r="D31" s="60" t="n">
        <x:v>14.349333</x:v>
      </x:c>
      <x:c r="E31" s="47" t="str">
        <x:f>IF(ABS(C31-D31)&lt;=Inputs!$B$24,"PASS","FAIL")</x:f>
        <x:v>PASS</x:v>
      </x:c>
      <x:c r="F31" s="84"/>
      <x:c r="G31" s="84"/>
      <x:c r="H31" s="84"/>
      <x:c r="I31" s="84"/>
      <x:c r="J31" s="84"/>
      <x:c r="K31" s="84"/>
      <x:c r="L31" s="84"/>
      <x:c r="M31" s="84"/>
      <x:c r="N31" s="84"/>
    </x:row>
    <x:row r="32">
      <x:c r="A32" s="47" t="str">
        <x:v>A26</x:v>
      </x:c>
      <x:c r="B32" s="47" t="str">
        <x:v>Combined technical-estate ceiling</x:v>
      </x:c>
      <x:c r="C32" s="60" t="n">
        <x:f>ROUND(SUM(Inputs!E30:E36),6)</x:f>
        <x:v>41.254333</x:v>
      </x:c>
      <x:c r="D32" s="60" t="n">
        <x:v>41.254333</x:v>
      </x:c>
      <x:c r="E32" s="47" t="str">
        <x:f>IF(ABS(C32-D32)&lt;=Inputs!$B$24,"PASS","FAIL")</x:f>
        <x:v>PASS</x:v>
      </x:c>
      <x:c r="F32" s="84"/>
      <x:c r="G32" s="84"/>
      <x:c r="H32" s="84"/>
      <x:c r="I32" s="84"/>
      <x:c r="J32" s="84"/>
      <x:c r="K32" s="84"/>
      <x:c r="L32" s="84"/>
      <x:c r="M32" s="84"/>
      <x:c r="N32" s="84"/>
    </x:row>
    <x:row r="33">
      <x:c r="A33" s="47" t="str">
        <x:v>A27</x:v>
      </x:c>
      <x:c r="B33" s="47" t="str">
        <x:v>Reconstruction shares sum</x:v>
      </x:c>
      <x:c r="C33" s="47" t="n">
        <x:f>ROUND(SUM(Inputs!D30:D32),6)</x:f>
        <x:v>1</x:v>
      </x:c>
      <x:c r="D33" s="47" t="n">
        <x:v>1</x:v>
      </x:c>
      <x:c r="E33" s="47" t="str">
        <x:f>IF(ABS(C33-D33)&lt;=Inputs!$B$24,"PASS","FAIL")</x:f>
        <x:v>PASS</x:v>
      </x:c>
      <x:c r="F33" s="84"/>
      <x:c r="G33" s="84"/>
      <x:c r="H33" s="84"/>
      <x:c r="I33" s="84"/>
      <x:c r="J33" s="84"/>
      <x:c r="K33" s="84"/>
      <x:c r="L33" s="84"/>
      <x:c r="M33" s="84"/>
      <x:c r="N33" s="84"/>
    </x:row>
    <x:row r="34">
      <x:c r="A34" s="47" t="str">
        <x:v>A28</x:v>
      </x:c>
      <x:c r="B34" s="47" t="str">
        <x:v>Escrow shares sum</x:v>
      </x:c>
      <x:c r="C34" s="47" t="n">
        <x:f>ROUND(SUM(Inputs!D33:D36),6)</x:f>
        <x:v>1</x:v>
      </x:c>
      <x:c r="D34" s="47" t="n">
        <x:v>1</x:v>
      </x:c>
      <x:c r="E34" s="47" t="str">
        <x:f>IF(ABS(C34-D34)&lt;=Inputs!$B$24,"PASS","FAIL")</x:f>
        <x:v>PASS</x:v>
      </x:c>
      <x:c r="F34" s="84"/>
      <x:c r="G34" s="84"/>
      <x:c r="H34" s="84"/>
      <x:c r="I34" s="84"/>
      <x:c r="J34" s="84"/>
      <x:c r="K34" s="84"/>
      <x:c r="L34" s="84"/>
      <x:c r="M34" s="84"/>
      <x:c r="N34" s="84"/>
    </x:row>
    <x:row r="35">
      <x:c r="A35" s="47" t="str">
        <x:v>A29</x:v>
      </x:c>
      <x:c r="B35" s="47" t="str">
        <x:v>Separate clean control</x:v>
      </x:c>
      <x:c r="C35" s="47" t="n">
        <x:f>Inputs!B11</x:f>
        <x:v>1</x:v>
      </x:c>
      <x:c r="D35" s="47" t="n">
        <x:v>1</x:v>
      </x:c>
      <x:c r="E35" s="47" t="str">
        <x:f>IF(ABS(C35-D35)&lt;=Inputs!$B$24,"PASS","FAIL")</x:f>
        <x:v>PASS</x:v>
      </x:c>
      <x:c r="F35" s="84"/>
      <x:c r="G35" s="84"/>
      <x:c r="H35" s="84"/>
      <x:c r="I35" s="84"/>
      <x:c r="J35" s="84"/>
      <x:c r="K35" s="84"/>
      <x:c r="L35" s="84"/>
      <x:c r="M35" s="84"/>
      <x:c r="N35" s="84"/>
    </x:row>
    <x:row r="36">
      <x:c r="A36" s="47" t="str">
        <x:v>A30</x:v>
      </x:c>
      <x:c r="B36" s="47" t="str">
        <x:v>Toolchain disjointness</x:v>
      </x:c>
      <x:c r="C36" s="47" t="n">
        <x:f>Inputs!B12</x:f>
        <x:v>1</x:v>
      </x:c>
      <x:c r="D36" s="47" t="n">
        <x:v>1</x:v>
      </x:c>
      <x:c r="E36" s="47" t="str">
        <x:f>IF(ABS(C36-D36)&lt;=Inputs!$B$24,"PASS","FAIL")</x:f>
        <x:v>PASS</x:v>
      </x:c>
      <x:c r="F36" s="84"/>
      <x:c r="G36" s="84"/>
      <x:c r="H36" s="84"/>
      <x:c r="I36" s="84"/>
      <x:c r="J36" s="84"/>
      <x:c r="K36" s="84"/>
      <x:c r="L36" s="84"/>
      <x:c r="M36" s="84"/>
      <x:c r="N36" s="84"/>
    </x:row>
    <x:row r="37">
      <x:c r="A37" s="47" t="str">
        <x:v>A31</x:v>
      </x:c>
      <x:c r="B37" s="47" t="str">
        <x:v>No sibling performance leakage</x:v>
      </x:c>
      <x:c r="C37" s="47" t="n">
        <x:f>Inputs!B13</x:f>
        <x:v>0</x:v>
      </x:c>
      <x:c r="D37" s="47" t="n">
        <x:v>0</x:v>
      </x:c>
      <x:c r="E37" s="47" t="str">
        <x:f>IF(ABS(C37-D37)&lt;=Inputs!$B$24,"PASS","FAIL")</x:f>
        <x:v>PASS</x:v>
      </x:c>
      <x:c r="F37" s="84"/>
      <x:c r="G37" s="84"/>
      <x:c r="H37" s="84"/>
      <x:c r="I37" s="84"/>
      <x:c r="J37" s="84"/>
      <x:c r="K37" s="84"/>
      <x:c r="L37" s="84"/>
      <x:c r="M37" s="84"/>
      <x:c r="N37" s="84"/>
    </x:row>
    <x:row r="38">
      <x:c r="A38" s="47" t="str">
        <x:v>A32</x:v>
      </x:c>
      <x:c r="B38" s="47" t="str">
        <x:v>No common solver</x:v>
      </x:c>
      <x:c r="C38" s="47" t="n">
        <x:f>Inputs!B14</x:f>
        <x:v>0</x:v>
      </x:c>
      <x:c r="D38" s="47" t="n">
        <x:v>0</x:v>
      </x:c>
      <x:c r="E38" s="47" t="str">
        <x:f>IF(ABS(C38-D38)&lt;=Inputs!$B$24,"PASS","FAIL")</x:f>
        <x:v>PASS</x:v>
      </x:c>
      <x:c r="F38" s="84"/>
      <x:c r="G38" s="84"/>
      <x:c r="H38" s="84"/>
      <x:c r="I38" s="84"/>
      <x:c r="J38" s="84"/>
      <x:c r="K38" s="84"/>
      <x:c r="L38" s="84"/>
      <x:c r="M38" s="84"/>
      <x:c r="N38" s="84"/>
    </x:row>
    <x:row r="39">
      <x:c r="A39" s="47" t="str">
        <x:v>A33</x:v>
      </x:c>
      <x:c r="B39" s="47" t="str">
        <x:v>No physical-proof claim</x:v>
      </x:c>
      <x:c r="C39" s="47" t="n">
        <x:f>Inputs!B15</x:f>
        <x:v>0</x:v>
      </x:c>
      <x:c r="D39" s="47" t="n">
        <x:v>0</x:v>
      </x:c>
      <x:c r="E39" s="47" t="str">
        <x:f>IF(ABS(C39-D39)&lt;=Inputs!$B$24,"PASS","FAIL")</x:f>
        <x:v>PASS</x:v>
      </x:c>
      <x:c r="F39" s="84"/>
      <x:c r="G39" s="84"/>
      <x:c r="H39" s="84"/>
      <x:c r="I39" s="84"/>
      <x:c r="J39" s="84"/>
      <x:c r="K39" s="84"/>
      <x:c r="L39" s="84"/>
      <x:c r="M39" s="84"/>
      <x:c r="N39" s="84"/>
    </x:row>
    <x:row r="40">
      <x:c r="A40" s="47" t="str">
        <x:v>A34</x:v>
      </x:c>
      <x:c r="B40" s="47" t="str">
        <x:v>Accepted observations zero</x:v>
      </x:c>
      <x:c r="C40" s="47" t="n">
        <x:f>Inputs!B16</x:f>
        <x:v>0</x:v>
      </x:c>
      <x:c r="D40" s="47" t="n">
        <x:v>0</x:v>
      </x:c>
      <x:c r="E40" s="47" t="str">
        <x:f>IF(ABS(C40-D40)&lt;=Inputs!$B$24,"PASS","FAIL")</x:f>
        <x:v>PASS</x:v>
      </x:c>
      <x:c r="F40" s="84"/>
      <x:c r="G40" s="84"/>
      <x:c r="H40" s="84"/>
      <x:c r="I40" s="84"/>
      <x:c r="J40" s="84"/>
      <x:c r="K40" s="84"/>
      <x:c r="L40" s="84"/>
      <x:c r="M40" s="84"/>
      <x:c r="N40" s="84"/>
    </x:row>
    <x:row r="41">
      <x:c r="A41" s="47" t="str">
        <x:v>A35</x:v>
      </x:c>
      <x:c r="B41" s="47" t="str">
        <x:v>Paid amount zero</x:v>
      </x:c>
      <x:c r="C41" s="47" t="n">
        <x:f>Inputs!B17</x:f>
        <x:v>0</x:v>
      </x:c>
      <x:c r="D41" s="47" t="n">
        <x:v>0</x:v>
      </x:c>
      <x:c r="E41" s="47" t="str">
        <x:f>IF(ABS(C41-D41)&lt;=Inputs!$B$24,"PASS","FAIL")</x:f>
        <x:v>PASS</x:v>
      </x:c>
      <x:c r="F41" s="84"/>
      <x:c r="G41" s="84"/>
      <x:c r="H41" s="84"/>
      <x:c r="I41" s="84"/>
      <x:c r="J41" s="84"/>
      <x:c r="K41" s="84"/>
      <x:c r="L41" s="84"/>
      <x:c r="M41" s="84"/>
      <x:c r="N41" s="84"/>
    </x:row>
    <x:row r="42">
      <x:c r="A42" s="47" t="str">
        <x:v>A36</x:v>
      </x:c>
      <x:c r="B42" s="47" t="str">
        <x:v>Selected forms zero</x:v>
      </x:c>
      <x:c r="C42" s="47" t="n">
        <x:f>Inputs!B18</x:f>
        <x:v>0</x:v>
      </x:c>
      <x:c r="D42" s="47" t="n">
        <x:v>0</x:v>
      </x:c>
      <x:c r="E42" s="47" t="str">
        <x:f>IF(ABS(C42-D42)&lt;=Inputs!$B$24,"PASS","FAIL")</x:f>
        <x:v>PASS</x:v>
      </x:c>
      <x:c r="F42" s="84"/>
      <x:c r="G42" s="84"/>
      <x:c r="H42" s="84"/>
      <x:c r="I42" s="84"/>
      <x:c r="J42" s="84"/>
      <x:c r="K42" s="84"/>
      <x:c r="L42" s="84"/>
      <x:c r="M42" s="84"/>
      <x:c r="N42" s="84"/>
    </x:row>
    <x:row r="43">
      <x:c r="A43" s="47" t="str">
        <x:v>A37</x:v>
      </x:c>
      <x:c r="B43" s="47" t="str">
        <x:v>MAKE zero</x:v>
      </x:c>
      <x:c r="C43" s="47" t="n">
        <x:f>Inputs!B19</x:f>
        <x:v>0</x:v>
      </x:c>
      <x:c r="D43" s="47" t="n">
        <x:v>0</x:v>
      </x:c>
      <x:c r="E43" s="47" t="str">
        <x:f>IF(ABS(C43-D43)&lt;=Inputs!$B$24,"PASS","FAIL")</x:f>
        <x:v>PASS</x:v>
      </x:c>
      <x:c r="F43" s="84"/>
      <x:c r="G43" s="84"/>
      <x:c r="H43" s="84"/>
      <x:c r="I43" s="84"/>
      <x:c r="J43" s="84"/>
      <x:c r="K43" s="84"/>
      <x:c r="L43" s="84"/>
      <x:c r="M43" s="84"/>
      <x:c r="N43" s="84"/>
    </x:row>
    <x:row r="44">
      <x:c r="A44" s="47" t="str">
        <x:v>A38</x:v>
      </x:c>
      <x:c r="B44" s="47" t="str">
        <x:v>REP-4 zero</x:v>
      </x:c>
      <x:c r="C44" s="47" t="n">
        <x:f>Inputs!B20</x:f>
        <x:v>0</x:v>
      </x:c>
      <x:c r="D44" s="47" t="n">
        <x:v>0</x:v>
      </x:c>
      <x:c r="E44" s="47" t="str">
        <x:f>IF(ABS(C44-D44)&lt;=Inputs!$B$24,"PASS","FAIL")</x:f>
        <x:v>PASS</x:v>
      </x:c>
      <x:c r="F44" s="84"/>
      <x:c r="G44" s="84"/>
      <x:c r="H44" s="84"/>
      <x:c r="I44" s="84"/>
      <x:c r="J44" s="84"/>
      <x:c r="K44" s="84"/>
      <x:c r="L44" s="84"/>
      <x:c r="M44" s="84"/>
      <x:c r="N44" s="84"/>
    </x:row>
    <x:row r="45">
      <x:c r="A45" s="47" t="str">
        <x:v>A39</x:v>
      </x:c>
      <x:c r="B45" s="47" t="str">
        <x:v>Protected sibling reserve</x:v>
      </x:c>
      <x:c r="C45" s="60" t="n">
        <x:f>ROUND(Inputs!B21,6)</x:f>
        <x:v>358.733333</x:v>
      </x:c>
      <x:c r="D45" s="60" t="n">
        <x:v>358.733333</x:v>
      </x:c>
      <x:c r="E45" s="47" t="str">
        <x:f>IF(ABS(C45-D45)&lt;=Inputs!$B$24,"PASS","FAIL")</x:f>
        <x:v>PASS</x:v>
      </x:c>
      <x:c r="F45" s="84"/>
      <x:c r="G45" s="84"/>
      <x:c r="H45" s="84"/>
      <x:c r="I45" s="84"/>
      <x:c r="J45" s="84"/>
      <x:c r="K45" s="84"/>
      <x:c r="L45" s="84"/>
      <x:c r="M45" s="84"/>
      <x:c r="N45" s="84"/>
    </x:row>
    <x:row r="46">
      <x:c r="A46" s="47" t="str">
        <x:v>A40</x:v>
      </x:c>
      <x:c r="B46" s="47" t="str">
        <x:v>Invalid accepted packages zero</x:v>
      </x:c>
      <x:c r="C46" s="47" t="n">
        <x:f>Inputs!B22</x:f>
        <x:v>0</x:v>
      </x:c>
      <x:c r="D46" s="47" t="n">
        <x:v>0</x:v>
      </x:c>
      <x:c r="E46" s="47" t="str">
        <x:f>IF(ABS(C46-D46)&lt;=Inputs!$B$24,"PASS","FAIL")</x:f>
        <x:v>PASS</x:v>
      </x:c>
      <x:c r="F46" s="84"/>
      <x:c r="G46" s="84"/>
      <x:c r="H46" s="84"/>
      <x:c r="I46" s="84"/>
      <x:c r="J46" s="84"/>
      <x:c r="K46" s="84"/>
      <x:c r="L46" s="84"/>
      <x:c r="M46" s="84"/>
      <x:c r="N46" s="84"/>
    </x:row>
    <x:row r="47">
      <x:c r="A47" s="47" t="str">
        <x:v>A41</x:v>
      </x:c>
      <x:c r="B47" s="47" t="str">
        <x:v>Raw performance disclosure zero</x:v>
      </x:c>
      <x:c r="C47" s="47" t="n">
        <x:f>Inputs!B23</x:f>
        <x:v>0</x:v>
      </x:c>
      <x:c r="D47" s="47" t="n">
        <x:v>0</x:v>
      </x:c>
      <x:c r="E47" s="47" t="str">
        <x:f>IF(ABS(C47-D47)&lt;=Inputs!$B$24,"PASS","FAIL")</x:f>
        <x:v>PASS</x:v>
      </x:c>
      <x:c r="F47" s="84"/>
      <x:c r="G47" s="84"/>
      <x:c r="H47" s="84"/>
      <x:c r="I47" s="84"/>
      <x:c r="J47" s="84"/>
      <x:c r="K47" s="84"/>
      <x:c r="L47" s="84"/>
      <x:c r="M47" s="84"/>
      <x:c r="N47" s="84"/>
    </x:row>
    <x:row r="48">
      <x:c r="A48" s="47" t="str">
        <x:v>A42</x:v>
      </x:c>
      <x:c r="B48" s="47" t="str">
        <x:v>Kernel has six required elements</x:v>
      </x:c>
      <x:c r="C48" s="47" t="n">
        <x:f>COUNTIF(Inputs!B53:B61,"REQUIRED")</x:f>
        <x:v>6</x:v>
      </x:c>
      <x:c r="D48" s="47" t="n">
        <x:v>6</x:v>
      </x:c>
      <x:c r="E48" s="47" t="str">
        <x:f>IF(ABS(C48-D48)&lt;=Inputs!$B$24,"PASS","FAIL")</x:f>
        <x:v>PASS</x:v>
      </x:c>
      <x:c r="F48" s="84"/>
      <x:c r="G48" s="84"/>
      <x:c r="H48" s="84"/>
      <x:c r="I48" s="84"/>
      <x:c r="J48" s="84"/>
      <x:c r="K48" s="84"/>
      <x:c r="L48" s="84"/>
      <x:c r="M48" s="84"/>
      <x:c r="N48" s="84"/>
    </x:row>
    <x:row r="49">
      <x:c r="A49" s="47" t="str">
        <x:v>A43</x:v>
      </x:c>
      <x:c r="B49" s="47" t="str">
        <x:v>Kernel has three prohibited payloads</x:v>
      </x:c>
      <x:c r="C49" s="47" t="n">
        <x:f>COUNTIF(Inputs!B53:B61,"PROHIBITED")</x:f>
        <x:v>3</x:v>
      </x:c>
      <x:c r="D49" s="47" t="n">
        <x:v>3</x:v>
      </x:c>
      <x:c r="E49" s="47" t="str">
        <x:f>IF(ABS(C49-D49)&lt;=Inputs!$B$24,"PASS","FAIL")</x:f>
        <x:v>PASS</x:v>
      </x:c>
      <x:c r="F49" s="84"/>
      <x:c r="G49" s="84"/>
      <x:c r="H49" s="84"/>
      <x:c r="I49" s="84"/>
      <x:c r="J49" s="84"/>
      <x:c r="K49" s="84"/>
      <x:c r="L49" s="84"/>
      <x:c r="M49" s="84"/>
      <x:c r="N49" s="84"/>
    </x:row>
    <x:row r="50">
      <x:c r="A50" s="47" t="str">
        <x:v>A44</x:v>
      </x:c>
      <x:c r="B50" s="47" t="str">
        <x:v>Firewall policy has no failures</x:v>
      </x:c>
      <x:c r="C50" s="47" t="n">
        <x:f>COUNTIF('Knowledge Firewall'!G7:G186,"FAIL")</x:f>
        <x:v>0</x:v>
      </x:c>
      <x:c r="D50" s="47" t="n">
        <x:v>0</x:v>
      </x:c>
      <x:c r="E50" s="47" t="str">
        <x:f>IF(ABS(C50-D50)&lt;=Inputs!$B$24,"PASS","FAIL")</x:f>
        <x:v>PASS</x:v>
      </x:c>
      <x:c r="F50" s="84"/>
      <x:c r="G50" s="84"/>
      <x:c r="H50" s="84"/>
      <x:c r="I50" s="84"/>
      <x:c r="J50" s="84"/>
      <x:c r="K50" s="84"/>
      <x:c r="L50" s="84"/>
      <x:c r="M50" s="84"/>
      <x:c r="N50" s="84"/>
    </x:row>
    <x:row r="51">
      <x:c r="A51" s="47" t="str">
        <x:v>A45</x:v>
      </x:c>
      <x:c r="B51" s="47" t="str">
        <x:v>Every package constitution intact</x:v>
      </x:c>
      <x:c r="C51" s="47" t="n">
        <x:f>COUNTIF('Semantic Compare'!M7:M36,"INTACT")</x:f>
        <x:v>30</x:v>
      </x:c>
      <x:c r="D51" s="47" t="n">
        <x:v>30</x:v>
      </x:c>
      <x:c r="E51" s="47" t="str">
        <x:f>IF(ABS(C51-D51)&lt;=Inputs!$B$24,"PASS","FAIL")</x:f>
        <x:v>PASS</x:v>
      </x:c>
      <x:c r="F51" s="84"/>
      <x:c r="G51" s="84"/>
      <x:c r="H51" s="84"/>
      <x:c r="I51" s="84"/>
      <x:c r="J51" s="84"/>
      <x:c r="K51" s="84"/>
      <x:c r="L51" s="84"/>
      <x:c r="M51" s="84"/>
      <x:c r="N51" s="84"/>
    </x:row>
    <x:row r="52">
      <x:c r="A52" s="47" t="str">
        <x:v>A46</x:v>
      </x:c>
      <x:c r="B52" s="47" t="str">
        <x:v>All package states open</x:v>
      </x:c>
      <x:c r="C52" s="47" t="n">
        <x:f>COUNTIF('Semantic Compare'!N7:N36,"OPEN")</x:f>
        <x:v>30</x:v>
      </x:c>
      <x:c r="D52" s="47" t="n">
        <x:v>30</x:v>
      </x:c>
      <x:c r="E52" s="47" t="str">
        <x:f>IF(ABS(C52-D52)&lt;=Inputs!$B$24,"PASS","FAIL")</x:f>
        <x:v>PASS</x:v>
      </x:c>
      <x:c r="F52" s="84"/>
      <x:c r="G52" s="84"/>
      <x:c r="H52" s="84"/>
      <x:c r="I52" s="84"/>
      <x:c r="J52" s="84"/>
      <x:c r="K52" s="84"/>
      <x:c r="L52" s="84"/>
      <x:c r="M52" s="84"/>
      <x:c r="N52" s="84"/>
    </x:row>
    <x:row r="53">
      <x:c r="A53" s="47" t="str">
        <x:v>A47</x:v>
      </x:c>
      <x:c r="B53" s="47" t="str">
        <x:v>Seven state-law rows</x:v>
      </x:c>
      <x:c r="C53" s="47" t="n">
        <x:f>COUNTA('State Law'!A9:A15)</x:f>
        <x:v>7</x:v>
      </x:c>
      <x:c r="D53" s="47" t="n">
        <x:v>7</x:v>
      </x:c>
      <x:c r="E53" s="47" t="str">
        <x:f>IF(ABS(C53-D53)&lt;=Inputs!$B$24,"PASS","FAIL")</x:f>
        <x:v>PASS</x:v>
      </x:c>
      <x:c r="F53" s="84"/>
      <x:c r="G53" s="84"/>
      <x:c r="H53" s="84"/>
      <x:c r="I53" s="84"/>
      <x:c r="J53" s="84"/>
      <x:c r="K53" s="84"/>
      <x:c r="L53" s="84"/>
      <x:c r="M53" s="84"/>
      <x:c r="N53" s="84"/>
    </x:row>
    <x:row r="54">
      <x:c r="A54" s="47" t="str">
        <x:v>A48</x:v>
      </x:c>
      <x:c r="B54" s="47" t="str">
        <x:v>Twelve nonconversion laws</x:v>
      </x:c>
      <x:c r="C54" s="47" t="n">
        <x:f>COUNTA('State Law'!A21:A32)</x:f>
        <x:v>12</x:v>
      </x:c>
      <x:c r="D54" s="47" t="n">
        <x:v>12</x:v>
      </x:c>
      <x:c r="E54" s="47" t="str">
        <x:f>IF(ABS(C54-D54)&lt;=Inputs!$B$24,"PASS","FAIL")</x:f>
        <x:v>PASS</x:v>
      </x:c>
      <x:c r="F54" s="84"/>
      <x:c r="G54" s="84"/>
      <x:c r="H54" s="84"/>
      <x:c r="I54" s="84"/>
      <x:c r="J54" s="84"/>
      <x:c r="K54" s="84"/>
      <x:c r="L54" s="84"/>
      <x:c r="M54" s="84"/>
      <x:c r="N54" s="84"/>
    </x:row>
    <x:row r="55">
      <x:c r="A55" s="47" t="str">
        <x:v>A49</x:v>
      </x:c>
      <x:c r="B55" s="47" t="str">
        <x:v>Allocation nonnegative</x:v>
      </x:c>
      <x:c r="C55" s="47" t="n">
        <x:f>COUNTIF(Inputs!E30:E36,"&lt;0")</x:f>
        <x:v>0</x:v>
      </x:c>
      <x:c r="D55" s="47" t="n">
        <x:v>0</x:v>
      </x:c>
      <x:c r="E55" s="47" t="str">
        <x:f>IF(ABS(C55-D55)&lt;=Inputs!$B$24,"PASS","FAIL")</x:f>
        <x:v>PASS</x:v>
      </x:c>
      <x:c r="F55" s="84"/>
      <x:c r="G55" s="84"/>
      <x:c r="H55" s="84"/>
      <x:c r="I55" s="84"/>
      <x:c r="J55" s="84"/>
      <x:c r="K55" s="84"/>
      <x:c r="L55" s="84"/>
      <x:c r="M55" s="84"/>
      <x:c r="N55" s="84"/>
    </x:row>
    <x:row r="56">
      <x:c r="A56" s="47" t="str">
        <x:v>A50</x:v>
      </x:c>
      <x:c r="B56" s="47" t="str">
        <x:v>No formula authority depends on Audit</x:v>
      </x:c>
      <x:c r="C56" s="47" t="n">
        <x:f>1</x:f>
        <x:v>1</x:v>
      </x:c>
      <x:c r="D56" s="47" t="n">
        <x:v>1</x:v>
      </x:c>
      <x:c r="E56" s="47" t="str">
        <x:f>IF(ABS(C56-D56)&lt;=Inputs!$B$24,"PASS","FAIL")</x:f>
        <x:v>PASS</x:v>
      </x:c>
      <x:c r="F56" s="84"/>
      <x:c r="G56" s="84"/>
      <x:c r="H56" s="84"/>
      <x:c r="I56" s="84"/>
      <x:c r="J56" s="84"/>
      <x:c r="K56" s="84"/>
      <x:c r="L56" s="84"/>
      <x:c r="M56" s="84"/>
      <x:c r="N56" s="84"/>
    </x:row>
  </x:sheetData>
  <x:mergeCells>
    <x:mergeCell ref="A2:N2"/>
    <x:mergeCell ref="A4:N4"/>
  </x:mergeCells>
  <x:conditionalFormatting sqref="E7:E56">
    <x:cfRule type="containsText" dxfId="5" priority="1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95"/>
      <x:c r="B1" s="95"/>
      <x:c r="C1" s="95"/>
      <x:c r="D1" s="95"/>
      <x:c r="E1" s="95"/>
      <x:c r="F1" s="95"/>
      <x:c r="G1" s="84"/>
      <x:c r="H1" s="84"/>
      <x:c r="I1" s="84"/>
      <x:c r="J1" s="84"/>
      <x:c r="K1" s="84"/>
      <x:c r="L1" s="84"/>
      <x:c r="M1" s="84"/>
      <x:c r="N1" s="84"/>
    </x:row>
    <x:row r="2">
      <x:c r="A2" s="83" t="str">
        <x:v>Model notes and limits</x:v>
      </x:c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6" t="str">
        <x:v>This workbook constitutes a design-reconstructability grammar. It records no completed artifact, observed event or validated machine.</x:v>
      </x:c>
      <x:c r="B4" s="84"/>
      <x:c r="C4" s="84"/>
      <x:c r="D4" s="84"/>
      <x:c r="E4" s="84"/>
      <x:c r="F4" s="84"/>
      <x:c r="G4" s="84"/>
      <x:c r="H4" s="84"/>
      <x:c r="I4" s="84"/>
      <x:c r="J4" s="84"/>
      <x:c r="K4" s="84"/>
      <x:c r="L4" s="84"/>
      <x:c r="M4" s="84"/>
      <x:c r="N4" s="84"/>
    </x:row>
    <x:row r="5">
      <x:c r="A5" s="84"/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</x:row>
    <x:row r="6">
      <x:c r="A6" s="89" t="str">
        <x:v>Purpose</x:v>
      </x:c>
      <x:c r="B6" s="90" t="str">
        <x:v>Purpose</x:v>
      </x:c>
      <x:c r="C6" s="90" t="str">
        <x:v>Purpose</x:v>
      </x:c>
      <x:c r="D6" s="90" t="str">
        <x:v>Purpose</x:v>
      </x:c>
      <x:c r="E6" s="90" t="str">
        <x:v>Purpose</x:v>
      </x:c>
      <x:c r="F6" s="91" t="str">
        <x:v>Purpose</x:v>
      </x:c>
      <x:c r="G6" s="84"/>
      <x:c r="H6" s="84"/>
      <x:c r="I6" s="84"/>
      <x:c r="J6" s="84"/>
      <x:c r="K6" s="84"/>
      <x:c r="L6" s="84"/>
      <x:c r="M6" s="84"/>
      <x:c r="N6" s="84"/>
    </x:row>
    <x:row r="7">
      <x:c r="A7" s="84"/>
      <x:c r="B7" s="84"/>
      <x:c r="C7" s="84"/>
      <x:c r="D7" s="84"/>
      <x:c r="E7" s="84"/>
      <x:c r="F7" s="84"/>
      <x:c r="G7" s="84"/>
      <x:c r="H7" s="84"/>
      <x:c r="I7" s="84"/>
      <x:c r="J7" s="84"/>
      <x:c r="K7" s="84"/>
      <x:c r="L7" s="84"/>
      <x:c r="M7" s="84"/>
      <x:c r="N7" s="84"/>
    </x:row>
    <x:row r="8" ht="33" customHeight="1">
      <x:c r="A8" s="47" t="str">
        <x:v>DRG-1 makes a design package reconstructable without imposing one solver, geometry, controller or technical owner across six roots.</x:v>
      </x:c>
      <x:c r="B8" s="47"/>
      <x:c r="C8" s="47"/>
      <x:c r="D8" s="47"/>
      <x:c r="E8" s="47"/>
      <x:c r="F8" s="47"/>
      <x:c r="G8" s="84"/>
      <x:c r="H8" s="84"/>
      <x:c r="I8" s="84"/>
      <x:c r="J8" s="84"/>
      <x:c r="K8" s="84"/>
      <x:c r="L8" s="84"/>
      <x:c r="M8" s="84"/>
      <x:c r="N8" s="84"/>
    </x:row>
    <x:row r="9" ht="33" customHeight="1">
      <x:c r="A9" s="47" t="str">
        <x:v>A source capsule holds eighteen typed fields. Native replay tests deterministic execution. Clean reconstruction tests whether an independent team can rebuild the public meaning.</x:v>
      </x:c>
      <x:c r="B9" s="47"/>
      <x:c r="C9" s="47"/>
      <x:c r="D9" s="47"/>
      <x:c r="E9" s="47"/>
      <x:c r="F9" s="47"/>
      <x:c r="G9" s="84"/>
      <x:c r="H9" s="84"/>
      <x:c r="I9" s="84"/>
      <x:c r="J9" s="84"/>
      <x:c r="K9" s="84"/>
      <x:c r="L9" s="84"/>
      <x:c r="M9" s="84"/>
      <x:c r="N9" s="84"/>
    </x:row>
    <x:row r="10" ht="33" customHeight="1">
      <x:c r="A10" s="47" t="str">
        <x:v>Six semantic invariants compare the two committed results. Semantic agreement is design reproducibility only; destructive physical evidence remains a separate authority.</x:v>
      </x:c>
      <x:c r="B10" s="47"/>
      <x:c r="C10" s="47"/>
      <x:c r="D10" s="47"/>
      <x:c r="E10" s="47"/>
      <x:c r="F10" s="47"/>
      <x:c r="G10" s="84"/>
      <x:c r="H10" s="84"/>
      <x:c r="I10" s="84"/>
      <x:c r="J10" s="84"/>
      <x:c r="K10" s="84"/>
      <x:c r="L10" s="84"/>
      <x:c r="M10" s="84"/>
      <x:c r="N10" s="84"/>
    </x:row>
    <x:row r="11" ht="33" customHeight="1">
      <x:c r="A11" s="47" t="str">
        <x:v>The USD41.3M technical-estate ceiling is an internal planning allocation of the Pass 231 reconstruction and public-escrow accounts. It adds no money.</x:v>
      </x:c>
      <x:c r="B11" s="47"/>
      <x:c r="C11" s="47"/>
      <x:c r="D11" s="47"/>
      <x:c r="E11" s="47"/>
      <x:c r="F11" s="47"/>
      <x:c r="G11" s="84"/>
      <x:c r="H11" s="84"/>
      <x:c r="I11" s="84"/>
      <x:c r="J11" s="84"/>
      <x:c r="K11" s="84"/>
      <x:c r="L11" s="84"/>
      <x:c r="M11" s="84"/>
      <x:c r="N11" s="84"/>
    </x:row>
    <x:row r="12" ht="33" customHeight="1">
      <x:c r="A12" s="47" t="str">
        <x:v>All completion, payment, observation, selection, MAKE and REP-4 ledgers remain zero.</x:v>
      </x:c>
      <x:c r="B12" s="47"/>
      <x:c r="C12" s="47"/>
      <x:c r="D12" s="47"/>
      <x:c r="E12" s="47"/>
      <x:c r="F12" s="47"/>
      <x:c r="G12" s="84"/>
      <x:c r="H12" s="84"/>
      <x:c r="I12" s="84"/>
      <x:c r="J12" s="84"/>
      <x:c r="K12" s="84"/>
      <x:c r="L12" s="84"/>
      <x:c r="M12" s="84"/>
      <x:c r="N12" s="84"/>
    </x:row>
    <x:row r="13">
      <x:c r="A13" s="47"/>
      <x:c r="B13" s="47"/>
      <x:c r="C13" s="47"/>
      <x:c r="D13" s="47"/>
      <x:c r="E13" s="47"/>
      <x:c r="F13" s="47"/>
      <x:c r="G13" s="84"/>
      <x:c r="H13" s="84"/>
      <x:c r="I13" s="84"/>
      <x:c r="J13" s="84"/>
      <x:c r="K13" s="84"/>
      <x:c r="L13" s="84"/>
      <x:c r="M13" s="84"/>
      <x:c r="N13" s="84"/>
    </x:row>
    <x:row r="14">
      <x:c r="A14" s="47"/>
      <x:c r="B14" s="47"/>
      <x:c r="C14" s="47"/>
      <x:c r="D14" s="47"/>
      <x:c r="E14" s="47"/>
      <x:c r="F14" s="47"/>
      <x:c r="G14" s="84"/>
      <x:c r="H14" s="84"/>
      <x:c r="I14" s="84"/>
      <x:c r="J14" s="84"/>
      <x:c r="K14" s="84"/>
      <x:c r="L14" s="84"/>
      <x:c r="M14" s="84"/>
      <x:c r="N14" s="84"/>
    </x:row>
    <x:row r="15">
      <x:c r="A15" s="50" t="str">
        <x:v>Novel capabilities to develop</x:v>
      </x:c>
      <x:c r="B15" s="51" t="str">
        <x:v>Novel capabilities to develop</x:v>
      </x:c>
      <x:c r="C15" s="51" t="str">
        <x:v>Novel capabilities to develop</x:v>
      </x:c>
      <x:c r="D15" s="51" t="str">
        <x:v>Novel capabilities to develop</x:v>
      </x:c>
      <x:c r="E15" s="51" t="str">
        <x:v>Novel capabilities to develop</x:v>
      </x:c>
      <x:c r="F15" s="52" t="str">
        <x:v>Novel capabilities to develop</x:v>
      </x:c>
      <x:c r="G15" s="84"/>
      <x:c r="H15" s="84"/>
      <x:c r="I15" s="84"/>
      <x:c r="J15" s="84"/>
      <x:c r="K15" s="84"/>
      <x:c r="L15" s="84"/>
      <x:c r="M15" s="84"/>
      <x:c r="N15" s="84"/>
    </x:row>
    <x:row r="16">
      <x:c r="A16" s="47"/>
      <x:c r="B16" s="47"/>
      <x:c r="C16" s="47"/>
      <x:c r="D16" s="47"/>
      <x:c r="E16" s="47"/>
      <x:c r="F16" s="47"/>
      <x:c r="G16" s="84"/>
      <x:c r="H16" s="84"/>
      <x:c r="I16" s="84"/>
      <x:c r="J16" s="84"/>
      <x:c r="K16" s="84"/>
      <x:c r="L16" s="84"/>
      <x:c r="M16" s="84"/>
      <x:c r="N16" s="84"/>
    </x:row>
    <x:row r="17" ht="29" customHeight="1">
      <x:c r="A17" s="47" t="str">
        <x:v>Content-addressed engineering capsules that bind executable and physical dependencies.</x:v>
      </x:c>
      <x:c r="B17" s="47"/>
      <x:c r="C17" s="47"/>
      <x:c r="D17" s="47"/>
      <x:c r="E17" s="47"/>
      <x:c r="F17" s="47"/>
      <x:c r="G17" s="84"/>
      <x:c r="H17" s="84"/>
      <x:c r="I17" s="84"/>
      <x:c r="J17" s="84"/>
      <x:c r="K17" s="84"/>
      <x:c r="L17" s="84"/>
      <x:c r="M17" s="84"/>
      <x:c r="N17" s="84"/>
    </x:row>
    <x:row r="18" ht="29" customHeight="1">
      <x:c r="A18" s="47" t="str">
        <x:v>Hermetic native environments that remain replayable after vendor exit.</x:v>
      </x:c>
      <x:c r="B18" s="47"/>
      <x:c r="C18" s="47"/>
      <x:c r="D18" s="47"/>
      <x:c r="E18" s="47"/>
      <x:c r="F18" s="47"/>
      <x:c r="G18" s="84"/>
      <x:c r="H18" s="84"/>
      <x:c r="I18" s="84"/>
      <x:c r="J18" s="84"/>
      <x:c r="K18" s="84"/>
      <x:c r="L18" s="84"/>
      <x:c r="M18" s="84"/>
      <x:c r="N18" s="84"/>
    </x:row>
    <x:row r="19" ht="29" customHeight="1">
      <x:c r="A19" s="47" t="str">
        <x:v>Dissimilar-tool clean rooms that compare semantic invariants instead of file identity.</x:v>
      </x:c>
      <x:c r="B19" s="47"/>
      <x:c r="C19" s="47"/>
      <x:c r="D19" s="47"/>
      <x:c r="E19" s="47"/>
      <x:c r="F19" s="47"/>
      <x:c r="G19" s="84"/>
      <x:c r="H19" s="84"/>
      <x:c r="I19" s="84"/>
      <x:c r="J19" s="84"/>
      <x:c r="K19" s="84"/>
      <x:c r="L19" s="84"/>
      <x:c r="M19" s="84"/>
      <x:c r="N19" s="84"/>
    </x:row>
    <x:row r="20" ht="29" customHeight="1">
      <x:c r="A20" s="47" t="str">
        <x:v>Machine-verifiable causal, rights, receiver and residual graphs.</x:v>
      </x:c>
      <x:c r="B20" s="47"/>
      <x:c r="C20" s="47"/>
      <x:c r="D20" s="47"/>
      <x:c r="E20" s="47"/>
      <x:c r="F20" s="47"/>
      <x:c r="G20" s="84"/>
      <x:c r="H20" s="84"/>
      <x:c r="I20" s="84"/>
      <x:c r="J20" s="84"/>
      <x:c r="K20" s="84"/>
      <x:c r="L20" s="84"/>
      <x:c r="M20" s="84"/>
      <x:c r="N20" s="84"/>
    </x:row>
    <x:row r="21" ht="29" customHeight="1">
      <x:c r="A21" s="47" t="str">
        <x:v>Commit-before-disclosure enclaves and performance-blind output escrow.</x:v>
      </x:c>
      <x:c r="B21" s="47"/>
      <x:c r="C21" s="47"/>
      <x:c r="D21" s="47"/>
      <x:c r="E21" s="47"/>
      <x:c r="F21" s="47"/>
      <x:c r="G21" s="84"/>
      <x:c r="H21" s="84"/>
      <x:c r="I21" s="84"/>
      <x:c r="J21" s="84"/>
      <x:c r="K21" s="84"/>
      <x:c r="L21" s="84"/>
      <x:c r="M21" s="84"/>
      <x:c r="N21" s="84"/>
    </x:row>
    <x:row r="22" ht="29" customHeight="1">
      <x:c r="A22" s="47" t="str">
        <x:v>Disconnected public archives that preserve failed and superseded states.</x:v>
      </x:c>
      <x:c r="B22" s="47"/>
      <x:c r="C22" s="47"/>
      <x:c r="D22" s="47"/>
      <x:c r="E22" s="47"/>
      <x:c r="F22" s="47"/>
      <x:c r="G22" s="84"/>
      <x:c r="H22" s="84"/>
      <x:c r="I22" s="84"/>
      <x:c r="J22" s="84"/>
      <x:c r="K22" s="84"/>
      <x:c r="L22" s="84"/>
      <x:c r="M22" s="84"/>
      <x:c r="N22" s="84"/>
    </x:row>
    <x:row r="23">
      <x:c r="A23" s="47"/>
      <x:c r="B23" s="47"/>
      <x:c r="C23" s="47"/>
      <x:c r="D23" s="47"/>
      <x:c r="E23" s="47"/>
      <x:c r="F23" s="47"/>
      <x:c r="G23" s="84"/>
      <x:c r="H23" s="84"/>
      <x:c r="I23" s="84"/>
      <x:c r="J23" s="84"/>
      <x:c r="K23" s="84"/>
      <x:c r="L23" s="84"/>
      <x:c r="M23" s="84"/>
      <x:c r="N23" s="84"/>
    </x:row>
    <x:row r="24">
      <x:c r="A24" s="47"/>
      <x:c r="B24" s="47"/>
      <x:c r="C24" s="47"/>
      <x:c r="D24" s="47"/>
      <x:c r="E24" s="47"/>
      <x:c r="F24" s="47"/>
      <x:c r="G24" s="84"/>
      <x:c r="H24" s="84"/>
      <x:c r="I24" s="84"/>
      <x:c r="J24" s="84"/>
      <x:c r="K24" s="84"/>
      <x:c r="L24" s="84"/>
      <x:c r="M24" s="84"/>
      <x:c r="N24" s="84"/>
    </x:row>
    <x:row r="25">
      <x:c r="A25" s="50" t="str">
        <x:v>Limits</x:v>
      </x:c>
      <x:c r="B25" s="51" t="str">
        <x:v>Limits</x:v>
      </x:c>
      <x:c r="C25" s="51" t="str">
        <x:v>Limits</x:v>
      </x:c>
      <x:c r="D25" s="51" t="str">
        <x:v>Limits</x:v>
      </x:c>
      <x:c r="E25" s="51" t="str">
        <x:v>Limits</x:v>
      </x:c>
      <x:c r="F25" s="52" t="str">
        <x:v>Limits</x:v>
      </x:c>
      <x:c r="G25" s="84"/>
      <x:c r="H25" s="84"/>
      <x:c r="I25" s="84"/>
      <x:c r="J25" s="84"/>
      <x:c r="K25" s="84"/>
      <x:c r="L25" s="84"/>
      <x:c r="M25" s="84"/>
      <x:c r="N25" s="84"/>
    </x:row>
    <x:row r="26">
      <x:c r="A26" s="47"/>
      <x:c r="B26" s="47"/>
      <x:c r="C26" s="47"/>
      <x:c r="D26" s="47"/>
      <x:c r="E26" s="47"/>
      <x:c r="F26" s="47"/>
      <x:c r="G26" s="84"/>
      <x:c r="H26" s="84"/>
      <x:c r="I26" s="84"/>
      <x:c r="J26" s="84"/>
      <x:c r="K26" s="84"/>
      <x:c r="L26" s="84"/>
      <x:c r="M26" s="84"/>
      <x:c r="N26" s="84"/>
    </x:row>
    <x:row r="27" ht="34" customHeight="1">
      <x:c r="A27" s="47" t="str">
        <x:v>No external sources were used. Passes 226, 229, 230 and 231 are the repository inputs.</x:v>
      </x:c>
      <x:c r="B27" s="47"/>
      <x:c r="C27" s="47"/>
      <x:c r="D27" s="47"/>
      <x:c r="E27" s="47"/>
      <x:c r="F27" s="47"/>
      <x:c r="G27" s="84"/>
      <x:c r="H27" s="84"/>
      <x:c r="I27" s="84"/>
      <x:c r="J27" s="84"/>
      <x:c r="K27" s="84"/>
      <x:c r="L27" s="84"/>
      <x:c r="M27" s="84"/>
      <x:c r="N27" s="84"/>
    </x:row>
    <x:row r="28" ht="34" customHeight="1">
      <x:c r="A28" s="47" t="str">
        <x:v>Costs and allocations are planning controls, not evidence of efficiency or procurement estimates.</x:v>
      </x:c>
      <x:c r="B28" s="47"/>
      <x:c r="C28" s="47"/>
      <x:c r="D28" s="47"/>
      <x:c r="E28" s="47"/>
      <x:c r="F28" s="47"/>
      <x:c r="G28" s="84"/>
      <x:c r="H28" s="84"/>
      <x:c r="I28" s="84"/>
      <x:c r="J28" s="84"/>
      <x:c r="K28" s="84"/>
      <x:c r="L28" s="84"/>
      <x:c r="M28" s="84"/>
      <x:c r="N28" s="84"/>
    </x:row>
    <x:row r="29" ht="34" customHeight="1">
      <x:c r="A29" s="47" t="str">
        <x:v>A common kernel that must absorb a solver, geometry or predicted performance fails the decision and kills this grammar branch.</x:v>
      </x:c>
      <x:c r="B29" s="47"/>
      <x:c r="C29" s="47"/>
      <x:c r="D29" s="47"/>
      <x:c r="E29" s="47"/>
      <x:c r="F29" s="47"/>
      <x:c r="G29" s="84"/>
      <x:c r="H29" s="84"/>
      <x:c r="I29" s="84"/>
      <x:c r="J29" s="84"/>
      <x:c r="K29" s="84"/>
      <x:c r="L29" s="84"/>
      <x:c r="M29" s="84"/>
      <x:c r="N29" s="84"/>
    </x:row>
    <x:row r="30" ht="34" customHeight="1">
      <x:c r="A30" s="47" t="str">
        <x:v>Vehicle and facility renderings remain deferred.</x:v>
      </x:c>
      <x:c r="B30" s="47"/>
      <x:c r="C30" s="47"/>
      <x:c r="D30" s="47"/>
      <x:c r="E30" s="47"/>
      <x:c r="F30" s="47"/>
      <x:c r="G30" s="84"/>
      <x:c r="H30" s="84"/>
      <x:c r="I30" s="84"/>
      <x:c r="J30" s="84"/>
      <x:c r="K30" s="84"/>
      <x:c r="L30" s="84"/>
      <x:c r="M30" s="84"/>
      <x:c r="N30" s="84"/>
    </x:row>
  </x:sheetData>
  <x:mergeCells>
    <x:mergeCell ref="A2:N2"/>
    <x:mergeCell ref="A4:N4"/>
    <x:mergeCell ref="A6:F6"/>
    <x:mergeCell ref="A8:F8"/>
    <x:mergeCell ref="A9:F9"/>
    <x:mergeCell ref="A10:F10"/>
    <x:mergeCell ref="A11:F11"/>
    <x:mergeCell ref="A12:F12"/>
    <x:mergeCell ref="A15:F15"/>
    <x:mergeCell ref="A17:F17"/>
    <x:mergeCell ref="A18:F18"/>
    <x:mergeCell ref="A19:F19"/>
    <x:mergeCell ref="A20:F20"/>
    <x:mergeCell ref="A21:F21"/>
    <x:mergeCell ref="A22:F22"/>
    <x:mergeCell ref="A25:F25"/>
    <x:mergeCell ref="A27:F27"/>
    <x:mergeCell ref="A28:F28"/>
    <x:mergeCell ref="A29:F29"/>
    <x:mergeCell ref="A30:F30"/>
  </x:mergeCells>
  <x:pageMargins left="0.7" right="0.7" top="0.75" bottom="0.75" header="0.3" footer="0.3"/>
</x:worksheet>
</file>