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Root Architecture" sheetId="3" state="visible" r:id="rId5"/>
    <sheet name="Section Bills" sheetId="4" state="visible" r:id="rId6"/>
    <sheet name="Cell Register" sheetId="5" state="visible" r:id="rId7"/>
    <sheet name="Gap Migration" sheetId="6" state="visible" r:id="rId8"/>
    <sheet name="Keystone Protocols" sheetId="7" state="visible" r:id="rId9"/>
    <sheet name="Rebuild Protocols" sheetId="8" state="visible" r:id="rId10"/>
    <sheet name="Rebuild Clocks" sheetId="9" state="visible" r:id="rId11"/>
    <sheet name="Isolation Map" sheetId="10" state="visible" r:id="rId12"/>
    <sheet name="Technology Thrusts" sheetId="11" state="visible" r:id="rId13"/>
    <sheet name="Sensitivity" sheetId="12" state="visible" r:id="rId14"/>
    <sheet name="Finance" sheetId="13" state="visible" r:id="rId15"/>
    <sheet name="Release Gates" sheetId="14" state="visible" r:id="rId16"/>
    <sheet name="Mutations" sheetId="15" state="visible" r:id="rId17"/>
    <sheet name="Audit" sheetId="16" state="visible" r:id="rId18"/>
    <sheet name="Sources &amp; Limits" sheetId="17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<sst xmlns="http://schemas.openxmlformats.org/spreadsheetml/2006/main" count="5460" uniqueCount="1177">
  <si>
    <t xml:space="preserve">Six-root internal-section architecture</t>
  </si>
  <si>
    <t xml:space="preserve">Decision</t>
  </si>
  <si>
    <t xml:space="preserve">Value</t>
  </si>
  <si>
    <t xml:space="preserve">Unit</t>
  </si>
  <si>
    <t xml:space="preserve">State</t>
  </si>
  <si>
    <t xml:space="preserve">Interpretation</t>
  </si>
  <si>
    <t xml:space="preserve">root-native sections</t>
  </si>
  <si>
    <t xml:space="preserve">count</t>
  </si>
  <si>
    <t xml:space="preserve">FROZEN FOR FALSIFICATION</t>
  </si>
  <si>
    <t xml:space="preserve">Decision
Freeze six different internal falsification sections. Sixty nominal and largest-cell-loss cells close under the selected screen. Eighty-four cells now have executable, root-native protocols but no observations. The sections may be built for hostile proof; they may not be treated as validated platforms, production designs or exterior-rendering authority.</t>
  </si>
  <si>
    <t xml:space="preserve">cell decisions</t>
  </si>
  <si>
    <t xml:space="preserve">COMPLETE</t>
  </si>
  <si>
    <t xml:space="preserve">design-close cells</t>
  </si>
  <si>
    <t xml:space="preserve">CONTROLLED HYPOTHESIS</t>
  </si>
  <si>
    <t xml:space="preserve">measurement-ready cells</t>
  </si>
  <si>
    <t xml:space="preserve">EVIDENCE EMPTY</t>
  </si>
  <si>
    <t xml:space="preserve">unscoped cells</t>
  </si>
  <si>
    <t xml:space="preserve">ZERO</t>
  </si>
  <si>
    <t xml:space="preserve">legacy gaps with successor</t>
  </si>
  <si>
    <t xml:space="preserve">physical observations</t>
  </si>
  <si>
    <t xml:space="preserve">G06 credits</t>
  </si>
  <si>
    <t xml:space="preserve">System</t>
  </si>
  <si>
    <t xml:space="preserve">Root</t>
  </si>
  <si>
    <t xml:space="preserve">Article</t>
  </si>
  <si>
    <t xml:space="preserve">Design close</t>
  </si>
  <si>
    <t xml:space="preserve">Measurement ready</t>
  </si>
  <si>
    <t xml:space="preserve">Unscoped</t>
  </si>
  <si>
    <t xml:space="preserve">Minimum W03 margin</t>
  </si>
  <si>
    <t xml:space="preserve">G06</t>
  </si>
  <si>
    <t xml:space="preserve">Disposition</t>
  </si>
  <si>
    <t xml:space="preserve">Governing architecture</t>
  </si>
  <si>
    <t xml:space="preserve">MS-ET</t>
  </si>
  <si>
    <t xml:space="preserve">ET-A</t>
  </si>
  <si>
    <t xml:space="preserve">Pelagic exchange cell</t>
  </si>
  <si>
    <t xml:space="preserve">two complete exchange paths and motion-decoupled custody</t>
  </si>
  <si>
    <t xml:space="preserve">MS-CT</t>
  </si>
  <si>
    <t xml:space="preserve">CT-C</t>
  </si>
  <si>
    <t xml:space="preserve">Occupied-building utility-spine sector</t>
  </si>
  <si>
    <t xml:space="preserve">seven isolated energy cells and five fault-contained service trunks</t>
  </si>
  <si>
    <t xml:space="preserve">MS-HC</t>
  </si>
  <si>
    <t xml:space="preserve">HC-A</t>
  </si>
  <si>
    <t xml:space="preserve">Atmospheric intervention cell</t>
  </si>
  <si>
    <t xml:space="preserve">five attributable held-line sectors and eight energy cells</t>
  </si>
  <si>
    <t xml:space="preserve">MS-LF</t>
  </si>
  <si>
    <t xml:space="preserve">LF-B</t>
  </si>
  <si>
    <t xml:space="preserve">Geothermal source position</t>
  </si>
  <si>
    <t xml:space="preserve">loss-separable access, conversion, route, buffer and residual sections</t>
  </si>
  <si>
    <t xml:space="preserve">MS-HU</t>
  </si>
  <si>
    <t xml:space="preserve">HU-A</t>
  </si>
  <si>
    <t xml:space="preserve">Complete clinical island</t>
  </si>
  <si>
    <t xml:space="preserve">eight access cells without deleting ten indivisible care lines</t>
  </si>
  <si>
    <t xml:space="preserve">MS-RT</t>
  </si>
  <si>
    <t xml:space="preserve">RT-B</t>
  </si>
  <si>
    <t xml:space="preserve">Disconnected microfactory mesh</t>
  </si>
  <si>
    <t xml:space="preserve">seven process-energy cells and five complete process meshes</t>
  </si>
  <si>
    <t xml:space="preserve">Internal-section architecture controls</t>
  </si>
  <si>
    <t xml:space="preserve">Blue cells are controlled design inputs. Physical observations remain empty and every release state remains held.</t>
  </si>
  <si>
    <t xml:space="preserve">Control</t>
  </si>
  <si>
    <t xml:space="preserve">Authority</t>
  </si>
  <si>
    <t xml:space="preserve">adverse coefficient screen</t>
  </si>
  <si>
    <t xml:space="preserve">share</t>
  </si>
  <si>
    <t xml:space="preserve">Pass 218 selected screen</t>
  </si>
  <si>
    <t xml:space="preserve">closure threshold</t>
  </si>
  <si>
    <t xml:space="preserve">ratio</t>
  </si>
  <si>
    <t xml:space="preserve">Pass 216 endpoint rule</t>
  </si>
  <si>
    <t xml:space="preserve">roots</t>
  </si>
  <si>
    <t xml:space="preserve">Pass 211 / 216</t>
  </si>
  <si>
    <t xml:space="preserve">accounts</t>
  </si>
  <si>
    <t xml:space="preserve">Pass 217</t>
  </si>
  <si>
    <t xml:space="preserve">worlds</t>
  </si>
  <si>
    <t xml:space="preserve">closure cells</t>
  </si>
  <si>
    <t xml:space="preserve">direct arithmetic</t>
  </si>
  <si>
    <t xml:space="preserve">legacy gaps</t>
  </si>
  <si>
    <t xml:space="preserve">Pass 218</t>
  </si>
  <si>
    <t xml:space="preserve">option ceiling</t>
  </si>
  <si>
    <t xml:space="preserve">USD B</t>
  </si>
  <si>
    <t xml:space="preserve">Pass 215</t>
  </si>
  <si>
    <t xml:space="preserve">FRAME share</t>
  </si>
  <si>
    <t xml:space="preserve">FRAME ceiling</t>
  </si>
  <si>
    <t xml:space="preserve">accepted authority</t>
  </si>
  <si>
    <t xml:space="preserve">held</t>
  </si>
  <si>
    <t xml:space="preserve">paid authority</t>
  </si>
  <si>
    <t xml:space="preserve">source empty</t>
  </si>
  <si>
    <t xml:space="preserve">capability credit</t>
  </si>
  <si>
    <t xml:space="preserve">production credit</t>
  </si>
  <si>
    <t xml:space="preserve">rendering authority</t>
  </si>
  <si>
    <t xml:space="preserve">Six internal sections frozen for falsification</t>
  </si>
  <si>
    <t xml:space="preserve">A frozen falsification section says what must be built and measured. It does not claim evidence, platform form or production readiness.</t>
  </si>
  <si>
    <t xml:space="preserve">Design-close cells</t>
  </si>
  <si>
    <t xml:space="preserve">Measurement-ready cells</t>
  </si>
  <si>
    <t xml:space="preserve">Negative cells</t>
  </si>
  <si>
    <t xml:space="preserve">Unscoped cells</t>
  </si>
  <si>
    <t xml:space="preserve">All 24 specified</t>
  </si>
  <si>
    <t xml:space="preserve">G06 credit</t>
  </si>
  <si>
    <t xml:space="preserve">Six root-native internal section bills</t>
  </si>
  <si>
    <t xml:space="preserve">These are minimum falsification configurations. They select internal partitions and test boundaries, not exterior geometry or a production design.</t>
  </si>
  <si>
    <t xml:space="preserve">Account</t>
  </si>
  <si>
    <t xml:space="preserve">Closure account</t>
  </si>
  <si>
    <t xml:space="preserve">Internal section</t>
  </si>
  <si>
    <t xml:space="preserve">Installed cells</t>
  </si>
  <si>
    <t xml:space="preserve">Cells after loss</t>
  </si>
  <si>
    <t xml:space="preserve">Cell rating</t>
  </si>
  <si>
    <t xml:space="preserve">W01 owned capacity</t>
  </si>
  <si>
    <t xml:space="preserve">W01 requirement</t>
  </si>
  <si>
    <t xml:space="preserve">W03 survivor capacity</t>
  </si>
  <si>
    <t xml:space="preserve">W03 requirement</t>
  </si>
  <si>
    <t xml:space="preserve">Causal isolation</t>
  </si>
  <si>
    <t xml:space="preserve">Cold-rebuild object</t>
  </si>
  <si>
    <t xml:space="preserve">Basis</t>
  </si>
  <si>
    <t xml:space="preserve">Adverse screen</t>
  </si>
  <si>
    <t xml:space="preserve">W01 lower ratio</t>
  </si>
  <si>
    <t xml:space="preserve">W03 lower ratio</t>
  </si>
  <si>
    <t xml:space="preserve">Minimum margin</t>
  </si>
  <si>
    <t xml:space="preserve">Section state</t>
  </si>
  <si>
    <t xml:space="preserve">A01</t>
  </si>
  <si>
    <t xml:space="preserve">Mass and material custody</t>
  </si>
  <si>
    <t xml:space="preserve">8 independent access cells</t>
  </si>
  <si>
    <t xml:space="preserve">t</t>
  </si>
  <si>
    <t xml:space="preserve">separate lift, handling and custody path per cell</t>
  </si>
  <si>
    <t xml:space="preserve">rebuild access cell and serial custody from frozen bill</t>
  </si>
  <si>
    <t xml:space="preserve">Pass 182 plus Pass 218 screen</t>
  </si>
  <si>
    <t xml:space="preserve">A02</t>
  </si>
  <si>
    <t xml:space="preserve">Energy and heat</t>
  </si>
  <si>
    <t xml:space="preserve">6 black-start generation cells</t>
  </si>
  <si>
    <t xml:space="preserve">MW</t>
  </si>
  <si>
    <t xml:space="preserve">cell-local breaker, start source and heat rejection</t>
  </si>
  <si>
    <t xml:space="preserve">rebuild generator, switchgear and heat path</t>
  </si>
  <si>
    <t xml:space="preserve">Pass 182 retained</t>
  </si>
  <si>
    <t xml:space="preserve">A03</t>
  </si>
  <si>
    <t xml:space="preserve">Geometry and load path</t>
  </si>
  <si>
    <t xml:space="preserve">2 complete motion-decoupled exchange paths</t>
  </si>
  <si>
    <t xml:space="preserve">t/h</t>
  </si>
  <si>
    <t xml:space="preserve">either path crosses moving source, transition, custody and handoff</t>
  </si>
  <si>
    <t xml:space="preserve">rebuild connector, transition and metering chain</t>
  </si>
  <si>
    <t xml:space="preserve">RZ-01</t>
  </si>
  <si>
    <t xml:space="preserve">A04</t>
  </si>
  <si>
    <t xml:space="preserve">Safe state and human boundary</t>
  </si>
  <si>
    <t xml:space="preserve">6 independent refuge and receiver zones</t>
  </si>
  <si>
    <t xml:space="preserve">each zone has detection, refuge, egress and manual safeing</t>
  </si>
  <si>
    <t xml:space="preserve">rebuild safe-state chain and prove lawful egress</t>
  </si>
  <si>
    <t xml:space="preserve">A05</t>
  </si>
  <si>
    <t xml:space="preserve">Residual and environmental custody</t>
  </si>
  <si>
    <t xml:space="preserve">6 contained residual cells</t>
  </si>
  <si>
    <t xml:space="preserve">t/day</t>
  </si>
  <si>
    <t xml:space="preserve">each cell owns treatment, buffer and discharge custody</t>
  </si>
  <si>
    <t xml:space="preserve">rebuild residual cell and reconcile inventory</t>
  </si>
  <si>
    <t xml:space="preserve">A06</t>
  </si>
  <si>
    <t xml:space="preserve">Removal and cold reconstruction</t>
  </si>
  <si>
    <t xml:space="preserve">sealed exchange-section reconstruction chain</t>
  </si>
  <si>
    <t xml:space="preserve">h</t>
  </si>
  <si>
    <t xml:space="preserve">records, tools, calibration and clean team remain outside candidate runtime</t>
  </si>
  <si>
    <t xml:space="preserve">outside team rebuilds complete causal section within 168 h</t>
  </si>
  <si>
    <t xml:space="preserve">Pass 219 protocol</t>
  </si>
  <si>
    <t xml:space="preserve">10 independently admitted insertion cells</t>
  </si>
  <si>
    <t xml:space="preserve">each cell owns lifting, reversible attachment and removal custody</t>
  </si>
  <si>
    <t xml:space="preserve">rebuild one insertion cell at occupied receiver</t>
  </si>
  <si>
    <t xml:space="preserve">7 isolated generation cells</t>
  </si>
  <si>
    <t xml:space="preserve">cell-local breaker, black start and thermal containment</t>
  </si>
  <si>
    <t xml:space="preserve">rebuild one 7.2 MW cell and isolation boundary</t>
  </si>
  <si>
    <t xml:space="preserve">RZ-02</t>
  </si>
  <si>
    <t xml:space="preserve">5 complete multi-utility trunk corridors</t>
  </si>
  <si>
    <t xml:space="preserve">each corridor carries isolated power, water, communications, smoke and dirty return</t>
  </si>
  <si>
    <t xml:space="preserve">rebuild reversible attachment and five service boundaries</t>
  </si>
  <si>
    <t xml:space="preserve">8 separately safe occupied zones</t>
  </si>
  <si>
    <t xml:space="preserve">smoke, contamination, egress and manual control do not cross zones</t>
  </si>
  <si>
    <t xml:space="preserve">rebuild one safe zone without displacing the receiver</t>
  </si>
  <si>
    <t xml:space="preserve">6 dirty-return treatment cells</t>
  </si>
  <si>
    <t xml:space="preserve">valved return, contained buffer and sampled discharge per cell</t>
  </si>
  <si>
    <t xml:space="preserve">rebuild dirty-return cell and reconcile building inventory</t>
  </si>
  <si>
    <t xml:space="preserve">sealed occupied-spine reconstruction chain</t>
  </si>
  <si>
    <t xml:space="preserve">public attachment datum and clean tools survive loss of candidate runtime</t>
  </si>
  <si>
    <t xml:space="preserve">outside team removes and rebuilds section within 168 h</t>
  </si>
  <si>
    <t xml:space="preserve">10 independently admitted intervention cells</t>
  </si>
  <si>
    <t xml:space="preserve">carrier, refill and working-fluid custody remain serially separate</t>
  </si>
  <si>
    <t xml:space="preserve">rebuild intervention cell and custody record</t>
  </si>
  <si>
    <t xml:space="preserve">8 isolated intervention-energy cells</t>
  </si>
  <si>
    <t xml:space="preserve">cell-local conversion, start source and heat rejection</t>
  </si>
  <si>
    <t xml:space="preserve">rebuild one 20.6 MW energy cell</t>
  </si>
  <si>
    <t xml:space="preserve">RZ-04</t>
  </si>
  <si>
    <t xml:space="preserve">5 independently attributable held-line sectors</t>
  </si>
  <si>
    <t xml:space="preserve">km/day</t>
  </si>
  <si>
    <t xml:space="preserve">each sector joins plume observation, delivery and protected edge</t>
  </si>
  <si>
    <t xml:space="preserve">rebuild one kilometre-scale causal sector</t>
  </si>
  <si>
    <t xml:space="preserve">RZ-03</t>
  </si>
  <si>
    <t xml:space="preserve">8 protected response and avoidance zones</t>
  </si>
  <si>
    <t xml:space="preserve">independent avoidance, responder refuge and manual termination</t>
  </si>
  <si>
    <t xml:space="preserve">rebuild one protected zone and its public release</t>
  </si>
  <si>
    <t xml:space="preserve">6 runoff and working-fluid custody cells</t>
  </si>
  <si>
    <t xml:space="preserve">source, deposition, runoff and recovered material reconcile per cell</t>
  </si>
  <si>
    <t xml:space="preserve">rebuild fluid and runoff custody chain</t>
  </si>
  <si>
    <t xml:space="preserve">sealed atmospheric-section reconstruction chain</t>
  </si>
  <si>
    <t xml:space="preserve">public plume record and calibration survive deletion of mission runtime</t>
  </si>
  <si>
    <t xml:space="preserve">outside team recreates sensing-to-runoff section within 168 h</t>
  </si>
  <si>
    <t xml:space="preserve">9 independent 3.99 kt access slots; 8 required</t>
  </si>
  <si>
    <t xml:space="preserve">kt</t>
  </si>
  <si>
    <t xml:space="preserve">one access slot may disappear without deleting credited source hardware</t>
  </si>
  <si>
    <t xml:space="preserve">rebuild access schedule and custody for all required source sections</t>
  </si>
  <si>
    <t xml:space="preserve">RZ-05 decomposition</t>
  </si>
  <si>
    <t xml:space="preserve">4 isolated conversion cells</t>
  </si>
  <si>
    <t xml:space="preserve">separate conversion, breaker, black start and heat rejection per cell</t>
  </si>
  <si>
    <t xml:space="preserve">rebuild one 13 MW conversion cell</t>
  </si>
  <si>
    <t xml:space="preserve">RZ-06</t>
  </si>
  <si>
    <t xml:space="preserve">2 independently usable 15.5 km water paths</t>
  </si>
  <si>
    <t xml:space="preserve">pipe-km</t>
  </si>
  <si>
    <t xml:space="preserve">either surveyed path reaches the lawful receiver without a shared active junction</t>
  </si>
  <si>
    <t xml:space="preserve">rebuild one buried route and verify alignment</t>
  </si>
  <si>
    <t xml:space="preserve">RZ-07</t>
  </si>
  <si>
    <t xml:space="preserve">3 isolated 13,000 m3 product-water cells</t>
  </si>
  <si>
    <t xml:space="preserve">thousand m3</t>
  </si>
  <si>
    <t xml:space="preserve">buffer cells have separate valves, sensing and safe discharge</t>
  </si>
  <si>
    <t xml:space="preserve">rebuild one buffer cell and black-start boundary</t>
  </si>
  <si>
    <t xml:space="preserve">RZ-08</t>
  </si>
  <si>
    <t xml:space="preserve">3 isolated 10,300 m3/day injection paths</t>
  </si>
  <si>
    <t xml:space="preserve">thousand m3/day</t>
  </si>
  <si>
    <t xml:space="preserve">production, brine treatment, injection and hazard sensing separate by path</t>
  </si>
  <si>
    <t xml:space="preserve">rebuild injection path and subsurface custody</t>
  </si>
  <si>
    <t xml:space="preserve">RZ-09</t>
  </si>
  <si>
    <t xml:space="preserve">sealed geothermal-position reconstruction chain</t>
  </si>
  <si>
    <t xml:space="preserve">public subsurface truth and bore registry survive loss of source-house runtime</t>
  </si>
  <si>
    <t xml:space="preserve">outside team recreates bores-to-injection section within 168 h</t>
  </si>
  <si>
    <t xml:space="preserve">8 independent 7.35 kt access cells</t>
  </si>
  <si>
    <t xml:space="preserve">access loss cannot remove a care line or relationship record</t>
  </si>
  <si>
    <t xml:space="preserve">rebuild access cell while preserving clinical custody</t>
  </si>
  <si>
    <t xml:space="preserve">RZ-10</t>
  </si>
  <si>
    <t xml:space="preserve">6 isolated clinical-utility cells</t>
  </si>
  <si>
    <t xml:space="preserve">each cell owns black start, sterile heat and cold-chain rejection</t>
  </si>
  <si>
    <t xml:space="preserve">rebuild one 11 MW utility cell</t>
  </si>
  <si>
    <t xml:space="preserve">10 indivisible care lines over separated transfer routes</t>
  </si>
  <si>
    <t xml:space="preserve">care-line completeness survives access loss; transfer routes fail independently</t>
  </si>
  <si>
    <t xml:space="preserve">rebuild one care-route interface without deleting episode scope</t>
  </si>
  <si>
    <t xml:space="preserve">8 separately safe clinical and refuge zones</t>
  </si>
  <si>
    <t xml:space="preserve">sterile isolation, refuge, egress and patient rights remain zone-local</t>
  </si>
  <si>
    <t xml:space="preserve">rebuild one safe clinical zone</t>
  </si>
  <si>
    <t xml:space="preserve">6 clinical residual cells</t>
  </si>
  <si>
    <t xml:space="preserve">sterile and dirty counterflow, quarantine and disposal remain separate</t>
  </si>
  <si>
    <t xml:space="preserve">rebuild residual cell and signed disposition</t>
  </si>
  <si>
    <t xml:space="preserve">sealed clinical-island reconstruction chain</t>
  </si>
  <si>
    <t xml:space="preserve">lawful person and relationship records remain public while candidate runtime is absent</t>
  </si>
  <si>
    <t xml:space="preserve">outside team recreates all ten care-line interfaces within 168 h</t>
  </si>
  <si>
    <t xml:space="preserve">10 independent 8.40 kt process-access cells</t>
  </si>
  <si>
    <t xml:space="preserve">feedstock, tooling, product and rejected material remain serially attributable</t>
  </si>
  <si>
    <t xml:space="preserve">rebuild one process-access cell</t>
  </si>
  <si>
    <t xml:space="preserve">7 isolated process-energy cells</t>
  </si>
  <si>
    <t xml:space="preserve">cell-local conversion, black start and process heat rejection</t>
  </si>
  <si>
    <t xml:space="preserve">rebuild one 26.5 MW process-energy cell</t>
  </si>
  <si>
    <t xml:space="preserve">RZ-11</t>
  </si>
  <si>
    <t xml:space="preserve">5 complete disconnected process meshes</t>
  </si>
  <si>
    <t xml:space="preserve">each mesh spans dirty return, diagnosis, manufacture, inspection and release</t>
  </si>
  <si>
    <t xml:space="preserve">rebuild one complete mesh from public interfaces</t>
  </si>
  <si>
    <t xml:space="preserve">9 independent release and receiver envelopes</t>
  </si>
  <si>
    <t xml:space="preserve">quarantine, manual stop and signed release remain locally enforceable</t>
  </si>
  <si>
    <t xml:space="preserve">rebuild one receiver/release envelope</t>
  </si>
  <si>
    <t xml:space="preserve">6 rejected-material treatment cells</t>
  </si>
  <si>
    <t xml:space="preserve">dirty input, reject, recovery and disposal balance per cell</t>
  </si>
  <si>
    <t xml:space="preserve">rebuild residual treatment and reconcile material ancestry</t>
  </si>
  <si>
    <t xml:space="preserve">sealed microfactory reconstruction chain</t>
  </si>
  <si>
    <t xml:space="preserve">public material and calibration standards survive loss of process planner</t>
  </si>
  <si>
    <t xml:space="preserve">outside team recreates dirty-return-to-release mesh within 168 h</t>
  </si>
  <si>
    <t xml:space="preserve">One hundred forty-four section-account-world decisions</t>
  </si>
  <si>
    <t xml:space="preserve">Sixty cells close by design arithmetic. Eighty-four have executable protocols but require observations. No specification is evidence and no root earns G06.</t>
  </si>
  <si>
    <t xml:space="preserve">Cell</t>
  </si>
  <si>
    <t xml:space="preserve">World</t>
  </si>
  <si>
    <t xml:space="preserve">World state</t>
  </si>
  <si>
    <t xml:space="preserve">Section row</t>
  </si>
  <si>
    <t xml:space="preserve">Capacity / limit</t>
  </si>
  <si>
    <t xml:space="preserve">Requirement / burden</t>
  </si>
  <si>
    <t xml:space="preserve">Lower-bound ratio</t>
  </si>
  <si>
    <t xml:space="preserve">Successor specification</t>
  </si>
  <si>
    <t xml:space="preserve">Specification executable</t>
  </si>
  <si>
    <t xml:space="preserve">Evidence accepted</t>
  </si>
  <si>
    <t xml:space="preserve">Host contribution</t>
  </si>
  <si>
    <t xml:space="preserve">ET-A-A01-W01</t>
  </si>
  <si>
    <t xml:space="preserve">W01</t>
  </si>
  <si>
    <t xml:space="preserve">Nominal mission</t>
  </si>
  <si>
    <t xml:space="preserve">ET-A-A01-W02</t>
  </si>
  <si>
    <t xml:space="preserve">W02</t>
  </si>
  <si>
    <t xml:space="preserve">Fatal-keystone challenge</t>
  </si>
  <si>
    <t xml:space="preserve">KX-ET-A-A01</t>
  </si>
  <si>
    <t xml:space="preserve">ET-A-A01-W03</t>
  </si>
  <si>
    <t xml:space="preserve">W03</t>
  </si>
  <si>
    <t xml:space="preserve">Largest-independent-cell loss</t>
  </si>
  <si>
    <t xml:space="preserve">ET-A-A01-W04</t>
  </si>
  <si>
    <t xml:space="preserve">W04</t>
  </si>
  <si>
    <t xml:space="preserve">Cold reconstruction</t>
  </si>
  <si>
    <t xml:space="preserve">RC-ET-A-A01</t>
  </si>
  <si>
    <t xml:space="preserve">ET-A-A02-W01</t>
  </si>
  <si>
    <t xml:space="preserve">ET-A-A02-W02</t>
  </si>
  <si>
    <t xml:space="preserve">KX-ET-A-A02</t>
  </si>
  <si>
    <t xml:space="preserve">ET-A-A02-W03</t>
  </si>
  <si>
    <t xml:space="preserve">ET-A-A02-W04</t>
  </si>
  <si>
    <t xml:space="preserve">RC-ET-A-A02</t>
  </si>
  <si>
    <t xml:space="preserve">ET-A-A03-W01</t>
  </si>
  <si>
    <t xml:space="preserve">ET-A-A03-W02</t>
  </si>
  <si>
    <t xml:space="preserve">KX-ET-A-A03</t>
  </si>
  <si>
    <t xml:space="preserve">ET-A-A03-W03</t>
  </si>
  <si>
    <t xml:space="preserve">ET-A-A03-W04</t>
  </si>
  <si>
    <t xml:space="preserve">RC-ET-A-A03</t>
  </si>
  <si>
    <t xml:space="preserve">ET-A-A04-W01</t>
  </si>
  <si>
    <t xml:space="preserve">ET-A-A04-W02</t>
  </si>
  <si>
    <t xml:space="preserve">KX-ET-A-A04</t>
  </si>
  <si>
    <t xml:space="preserve">ET-A-A04-W03</t>
  </si>
  <si>
    <t xml:space="preserve">ET-A-A04-W04</t>
  </si>
  <si>
    <t xml:space="preserve">RC-ET-A-A04</t>
  </si>
  <si>
    <t xml:space="preserve">ET-A-A05-W01</t>
  </si>
  <si>
    <t xml:space="preserve">ET-A-A05-W02</t>
  </si>
  <si>
    <t xml:space="preserve">KX-ET-A-A05</t>
  </si>
  <si>
    <t xml:space="preserve">ET-A-A05-W03</t>
  </si>
  <si>
    <t xml:space="preserve">ET-A-A05-W04</t>
  </si>
  <si>
    <t xml:space="preserve">RC-ET-A-A05</t>
  </si>
  <si>
    <t xml:space="preserve">ET-A-A06-W01</t>
  </si>
  <si>
    <t xml:space="preserve">RB-ET-A-W01</t>
  </si>
  <si>
    <t xml:space="preserve">ET-A-A06-W02</t>
  </si>
  <si>
    <t xml:space="preserve">KX-ET-A-A06</t>
  </si>
  <si>
    <t xml:space="preserve">ET-A-A06-W03</t>
  </si>
  <si>
    <t xml:space="preserve">RB-ET-A-W03</t>
  </si>
  <si>
    <t xml:space="preserve">ET-A-A06-W04</t>
  </si>
  <si>
    <t xml:space="preserve">RC-ET-A-A06</t>
  </si>
  <si>
    <t xml:space="preserve">CT-C-A01-W01</t>
  </si>
  <si>
    <t xml:space="preserve">CT-C-A01-W02</t>
  </si>
  <si>
    <t xml:space="preserve">KX-CT-C-A01</t>
  </si>
  <si>
    <t xml:space="preserve">CT-C-A01-W03</t>
  </si>
  <si>
    <t xml:space="preserve">CT-C-A01-W04</t>
  </si>
  <si>
    <t xml:space="preserve">RC-CT-C-A01</t>
  </si>
  <si>
    <t xml:space="preserve">CT-C-A02-W01</t>
  </si>
  <si>
    <t xml:space="preserve">CT-C-A02-W02</t>
  </si>
  <si>
    <t xml:space="preserve">KX-CT-C-A02</t>
  </si>
  <si>
    <t xml:space="preserve">CT-C-A02-W03</t>
  </si>
  <si>
    <t xml:space="preserve">CT-C-A02-W04</t>
  </si>
  <si>
    <t xml:space="preserve">RC-CT-C-A02</t>
  </si>
  <si>
    <t xml:space="preserve">CT-C-A03-W01</t>
  </si>
  <si>
    <t xml:space="preserve">CT-C-A03-W02</t>
  </si>
  <si>
    <t xml:space="preserve">KX-CT-C-A03</t>
  </si>
  <si>
    <t xml:space="preserve">CT-C-A03-W03</t>
  </si>
  <si>
    <t xml:space="preserve">CT-C-A03-W04</t>
  </si>
  <si>
    <t xml:space="preserve">RC-CT-C-A03</t>
  </si>
  <si>
    <t xml:space="preserve">CT-C-A04-W01</t>
  </si>
  <si>
    <t xml:space="preserve">CT-C-A04-W02</t>
  </si>
  <si>
    <t xml:space="preserve">KX-CT-C-A04</t>
  </si>
  <si>
    <t xml:space="preserve">CT-C-A04-W03</t>
  </si>
  <si>
    <t xml:space="preserve">CT-C-A04-W04</t>
  </si>
  <si>
    <t xml:space="preserve">RC-CT-C-A04</t>
  </si>
  <si>
    <t xml:space="preserve">CT-C-A05-W01</t>
  </si>
  <si>
    <t xml:space="preserve">CT-C-A05-W02</t>
  </si>
  <si>
    <t xml:space="preserve">KX-CT-C-A05</t>
  </si>
  <si>
    <t xml:space="preserve">CT-C-A05-W03</t>
  </si>
  <si>
    <t xml:space="preserve">CT-C-A05-W04</t>
  </si>
  <si>
    <t xml:space="preserve">RC-CT-C-A05</t>
  </si>
  <si>
    <t xml:space="preserve">CT-C-A06-W01</t>
  </si>
  <si>
    <t xml:space="preserve">RB-CT-C-W01</t>
  </si>
  <si>
    <t xml:space="preserve">CT-C-A06-W02</t>
  </si>
  <si>
    <t xml:space="preserve">KX-CT-C-A06</t>
  </si>
  <si>
    <t xml:space="preserve">CT-C-A06-W03</t>
  </si>
  <si>
    <t xml:space="preserve">RB-CT-C-W03</t>
  </si>
  <si>
    <t xml:space="preserve">CT-C-A06-W04</t>
  </si>
  <si>
    <t xml:space="preserve">RC-CT-C-A06</t>
  </si>
  <si>
    <t xml:space="preserve">HC-A-A01-W01</t>
  </si>
  <si>
    <t xml:space="preserve">HC-A-A01-W02</t>
  </si>
  <si>
    <t xml:space="preserve">KX-HC-A-A01</t>
  </si>
  <si>
    <t xml:space="preserve">HC-A-A01-W03</t>
  </si>
  <si>
    <t xml:space="preserve">HC-A-A01-W04</t>
  </si>
  <si>
    <t xml:space="preserve">RC-HC-A-A01</t>
  </si>
  <si>
    <t xml:space="preserve">HC-A-A02-W01</t>
  </si>
  <si>
    <t xml:space="preserve">HC-A-A02-W02</t>
  </si>
  <si>
    <t xml:space="preserve">KX-HC-A-A02</t>
  </si>
  <si>
    <t xml:space="preserve">HC-A-A02-W03</t>
  </si>
  <si>
    <t xml:space="preserve">HC-A-A02-W04</t>
  </si>
  <si>
    <t xml:space="preserve">RC-HC-A-A02</t>
  </si>
  <si>
    <t xml:space="preserve">HC-A-A03-W01</t>
  </si>
  <si>
    <t xml:space="preserve">HC-A-A03-W02</t>
  </si>
  <si>
    <t xml:space="preserve">KX-HC-A-A03</t>
  </si>
  <si>
    <t xml:space="preserve">HC-A-A03-W03</t>
  </si>
  <si>
    <t xml:space="preserve">HC-A-A03-W04</t>
  </si>
  <si>
    <t xml:space="preserve">RC-HC-A-A03</t>
  </si>
  <si>
    <t xml:space="preserve">HC-A-A04-W01</t>
  </si>
  <si>
    <t xml:space="preserve">HC-A-A04-W02</t>
  </si>
  <si>
    <t xml:space="preserve">KX-HC-A-A04</t>
  </si>
  <si>
    <t xml:space="preserve">HC-A-A04-W03</t>
  </si>
  <si>
    <t xml:space="preserve">HC-A-A04-W04</t>
  </si>
  <si>
    <t xml:space="preserve">RC-HC-A-A04</t>
  </si>
  <si>
    <t xml:space="preserve">HC-A-A05-W01</t>
  </si>
  <si>
    <t xml:space="preserve">HC-A-A05-W02</t>
  </si>
  <si>
    <t xml:space="preserve">KX-HC-A-A05</t>
  </si>
  <si>
    <t xml:space="preserve">HC-A-A05-W03</t>
  </si>
  <si>
    <t xml:space="preserve">HC-A-A05-W04</t>
  </si>
  <si>
    <t xml:space="preserve">RC-HC-A-A05</t>
  </si>
  <si>
    <t xml:space="preserve">HC-A-A06-W01</t>
  </si>
  <si>
    <t xml:space="preserve">RB-HC-A-W01</t>
  </si>
  <si>
    <t xml:space="preserve">HC-A-A06-W02</t>
  </si>
  <si>
    <t xml:space="preserve">KX-HC-A-A06</t>
  </si>
  <si>
    <t xml:space="preserve">HC-A-A06-W03</t>
  </si>
  <si>
    <t xml:space="preserve">RB-HC-A-W03</t>
  </si>
  <si>
    <t xml:space="preserve">HC-A-A06-W04</t>
  </si>
  <si>
    <t xml:space="preserve">RC-HC-A-A06</t>
  </si>
  <si>
    <t xml:space="preserve">LF-B-A01-W01</t>
  </si>
  <si>
    <t xml:space="preserve">LF-B-A01-W02</t>
  </si>
  <si>
    <t xml:space="preserve">KX-LF-B-A01</t>
  </si>
  <si>
    <t xml:space="preserve">LF-B-A01-W03</t>
  </si>
  <si>
    <t xml:space="preserve">MA-LF-B-A01-W03</t>
  </si>
  <si>
    <t xml:space="preserve">LF-B-A01-W04</t>
  </si>
  <si>
    <t xml:space="preserve">RC-LF-B-A01</t>
  </si>
  <si>
    <t xml:space="preserve">LF-B-A02-W01</t>
  </si>
  <si>
    <t xml:space="preserve">LF-B-A02-W02</t>
  </si>
  <si>
    <t xml:space="preserve">KX-LF-B-A02</t>
  </si>
  <si>
    <t xml:space="preserve">LF-B-A02-W03</t>
  </si>
  <si>
    <t xml:space="preserve">LF-B-A02-W04</t>
  </si>
  <si>
    <t xml:space="preserve">RC-LF-B-A02</t>
  </si>
  <si>
    <t xml:space="preserve">LF-B-A03-W01</t>
  </si>
  <si>
    <t xml:space="preserve">LF-B-A03-W02</t>
  </si>
  <si>
    <t xml:space="preserve">KX-LF-B-A03</t>
  </si>
  <si>
    <t xml:space="preserve">LF-B-A03-W03</t>
  </si>
  <si>
    <t xml:space="preserve">LF-B-A03-W04</t>
  </si>
  <si>
    <t xml:space="preserve">RC-LF-B-A03</t>
  </si>
  <si>
    <t xml:space="preserve">LF-B-A04-W01</t>
  </si>
  <si>
    <t xml:space="preserve">LF-B-A04-W02</t>
  </si>
  <si>
    <t xml:space="preserve">KX-LF-B-A04</t>
  </si>
  <si>
    <t xml:space="preserve">LF-B-A04-W03</t>
  </si>
  <si>
    <t xml:space="preserve">LF-B-A04-W04</t>
  </si>
  <si>
    <t xml:space="preserve">RC-LF-B-A04</t>
  </si>
  <si>
    <t xml:space="preserve">LF-B-A05-W01</t>
  </si>
  <si>
    <t xml:space="preserve">LF-B-A05-W02</t>
  </si>
  <si>
    <t xml:space="preserve">KX-LF-B-A05</t>
  </si>
  <si>
    <t xml:space="preserve">LF-B-A05-W03</t>
  </si>
  <si>
    <t xml:space="preserve">LF-B-A05-W04</t>
  </si>
  <si>
    <t xml:space="preserve">RC-LF-B-A05</t>
  </si>
  <si>
    <t xml:space="preserve">LF-B-A06-W01</t>
  </si>
  <si>
    <t xml:space="preserve">RB-LF-B-W01</t>
  </si>
  <si>
    <t xml:space="preserve">LF-B-A06-W02</t>
  </si>
  <si>
    <t xml:space="preserve">KX-LF-B-A06</t>
  </si>
  <si>
    <t xml:space="preserve">LF-B-A06-W03</t>
  </si>
  <si>
    <t xml:space="preserve">RB-LF-B-W03</t>
  </si>
  <si>
    <t xml:space="preserve">LF-B-A06-W04</t>
  </si>
  <si>
    <t xml:space="preserve">RC-LF-B-A06</t>
  </si>
  <si>
    <t xml:space="preserve">HU-A-A01-W01</t>
  </si>
  <si>
    <t xml:space="preserve">HU-A-A01-W02</t>
  </si>
  <si>
    <t xml:space="preserve">KX-HU-A-A01</t>
  </si>
  <si>
    <t xml:space="preserve">HU-A-A01-W03</t>
  </si>
  <si>
    <t xml:space="preserve">HU-A-A01-W04</t>
  </si>
  <si>
    <t xml:space="preserve">RC-HU-A-A01</t>
  </si>
  <si>
    <t xml:space="preserve">HU-A-A02-W01</t>
  </si>
  <si>
    <t xml:space="preserve">HU-A-A02-W02</t>
  </si>
  <si>
    <t xml:space="preserve">KX-HU-A-A02</t>
  </si>
  <si>
    <t xml:space="preserve">HU-A-A02-W03</t>
  </si>
  <si>
    <t xml:space="preserve">HU-A-A02-W04</t>
  </si>
  <si>
    <t xml:space="preserve">RC-HU-A-A02</t>
  </si>
  <si>
    <t xml:space="preserve">HU-A-A03-W01</t>
  </si>
  <si>
    <t xml:space="preserve">HU-A-A03-W02</t>
  </si>
  <si>
    <t xml:space="preserve">KX-HU-A-A03</t>
  </si>
  <si>
    <t xml:space="preserve">HU-A-A03-W03</t>
  </si>
  <si>
    <t xml:space="preserve">HU-A-A03-W04</t>
  </si>
  <si>
    <t xml:space="preserve">RC-HU-A-A03</t>
  </si>
  <si>
    <t xml:space="preserve">HU-A-A04-W01</t>
  </si>
  <si>
    <t xml:space="preserve">HU-A-A04-W02</t>
  </si>
  <si>
    <t xml:space="preserve">KX-HU-A-A04</t>
  </si>
  <si>
    <t xml:space="preserve">HU-A-A04-W03</t>
  </si>
  <si>
    <t xml:space="preserve">HU-A-A04-W04</t>
  </si>
  <si>
    <t xml:space="preserve">RC-HU-A-A04</t>
  </si>
  <si>
    <t xml:space="preserve">HU-A-A05-W01</t>
  </si>
  <si>
    <t xml:space="preserve">HU-A-A05-W02</t>
  </si>
  <si>
    <t xml:space="preserve">KX-HU-A-A05</t>
  </si>
  <si>
    <t xml:space="preserve">HU-A-A05-W03</t>
  </si>
  <si>
    <t xml:space="preserve">HU-A-A05-W04</t>
  </si>
  <si>
    <t xml:space="preserve">RC-HU-A-A05</t>
  </si>
  <si>
    <t xml:space="preserve">HU-A-A06-W01</t>
  </si>
  <si>
    <t xml:space="preserve">RB-HU-A-W01</t>
  </si>
  <si>
    <t xml:space="preserve">HU-A-A06-W02</t>
  </si>
  <si>
    <t xml:space="preserve">KX-HU-A-A06</t>
  </si>
  <si>
    <t xml:space="preserve">HU-A-A06-W03</t>
  </si>
  <si>
    <t xml:space="preserve">RB-HU-A-W03</t>
  </si>
  <si>
    <t xml:space="preserve">HU-A-A06-W04</t>
  </si>
  <si>
    <t xml:space="preserve">RC-HU-A-A06</t>
  </si>
  <si>
    <t xml:space="preserve">RT-B-A01-W01</t>
  </si>
  <si>
    <t xml:space="preserve">RT-B-A01-W02</t>
  </si>
  <si>
    <t xml:space="preserve">KX-RT-B-A01</t>
  </si>
  <si>
    <t xml:space="preserve">RT-B-A01-W03</t>
  </si>
  <si>
    <t xml:space="preserve">RT-B-A01-W04</t>
  </si>
  <si>
    <t xml:space="preserve">RC-RT-B-A01</t>
  </si>
  <si>
    <t xml:space="preserve">RT-B-A02-W01</t>
  </si>
  <si>
    <t xml:space="preserve">RT-B-A02-W02</t>
  </si>
  <si>
    <t xml:space="preserve">KX-RT-B-A02</t>
  </si>
  <si>
    <t xml:space="preserve">RT-B-A02-W03</t>
  </si>
  <si>
    <t xml:space="preserve">RT-B-A02-W04</t>
  </si>
  <si>
    <t xml:space="preserve">RC-RT-B-A02</t>
  </si>
  <si>
    <t xml:space="preserve">RT-B-A03-W01</t>
  </si>
  <si>
    <t xml:space="preserve">RT-B-A03-W02</t>
  </si>
  <si>
    <t xml:space="preserve">KX-RT-B-A03</t>
  </si>
  <si>
    <t xml:space="preserve">RT-B-A03-W03</t>
  </si>
  <si>
    <t xml:space="preserve">RT-B-A03-W04</t>
  </si>
  <si>
    <t xml:space="preserve">RC-RT-B-A03</t>
  </si>
  <si>
    <t xml:space="preserve">RT-B-A04-W01</t>
  </si>
  <si>
    <t xml:space="preserve">RT-B-A04-W02</t>
  </si>
  <si>
    <t xml:space="preserve">KX-RT-B-A04</t>
  </si>
  <si>
    <t xml:space="preserve">RT-B-A04-W03</t>
  </si>
  <si>
    <t xml:space="preserve">RT-B-A04-W04</t>
  </si>
  <si>
    <t xml:space="preserve">RC-RT-B-A04</t>
  </si>
  <si>
    <t xml:space="preserve">RT-B-A05-W01</t>
  </si>
  <si>
    <t xml:space="preserve">RT-B-A05-W02</t>
  </si>
  <si>
    <t xml:space="preserve">KX-RT-B-A05</t>
  </si>
  <si>
    <t xml:space="preserve">RT-B-A05-W03</t>
  </si>
  <si>
    <t xml:space="preserve">RT-B-A05-W04</t>
  </si>
  <si>
    <t xml:space="preserve">RC-RT-B-A05</t>
  </si>
  <si>
    <t xml:space="preserve">RT-B-A06-W01</t>
  </si>
  <si>
    <t xml:space="preserve">RB-RT-B-W01</t>
  </si>
  <si>
    <t xml:space="preserve">RT-B-A06-W02</t>
  </si>
  <si>
    <t xml:space="preserve">KX-RT-B-A06</t>
  </si>
  <si>
    <t xml:space="preserve">RT-B-A06-W03</t>
  </si>
  <si>
    <t xml:space="preserve">RB-RT-B-W03</t>
  </si>
  <si>
    <t xml:space="preserve">RT-B-A06-W04</t>
  </si>
  <si>
    <t xml:space="preserve">RC-RT-B-A06</t>
  </si>
  <si>
    <t xml:space="preserve">Eighty-five inherited gaps now have executable successors</t>
  </si>
  <si>
    <t xml:space="preserve">One LF-B access gap is now defined by architecture and still awaits test. The other eighty-four are measurement-ready and evidence-empty.</t>
  </si>
  <si>
    <t xml:space="preserve">Legacy gap</t>
  </si>
  <si>
    <t xml:space="preserve">Original absence</t>
  </si>
  <si>
    <t xml:space="preserve">Protocol owner</t>
  </si>
  <si>
    <t xml:space="preserve">Acceptance criterion</t>
  </si>
  <si>
    <t xml:space="preserve">Executable</t>
  </si>
  <si>
    <t xml:space="preserve">Resolved by design</t>
  </si>
  <si>
    <t xml:space="preserve">Observations</t>
  </si>
  <si>
    <t xml:space="preserve">Successor state</t>
  </si>
  <si>
    <t xml:space="preserve">fatal-keystone coefficient and valid event absent</t>
  </si>
  <si>
    <t xml:space="preserve">Keystone Protocols</t>
  </si>
  <si>
    <t xml:space="preserve">lower admitted capacity / upper burden ≥ 1.00 after the 2.5% screen</t>
  </si>
  <si>
    <t xml:space="preserve">outside-team cold-reconstruction result absent</t>
  </si>
  <si>
    <t xml:space="preserve">Rebuild Protocols</t>
  </si>
  <si>
    <t xml:space="preserve">outside team requalifies the account with signed ancestry within 168 h</t>
  </si>
  <si>
    <t xml:space="preserve">lower firm output / upper demand ≥ 1.00 after the 2.5% screen</t>
  </si>
  <si>
    <t xml:space="preserve">lower usable geometry / upper requirement ≥ 1.00 after the 2.5% screen</t>
  </si>
  <si>
    <t xml:space="preserve">every safe-state and civil-rights predicate remains true; no averaging</t>
  </si>
  <si>
    <t xml:space="preserve">lower owned treatment / upper generated residual ≥ 1.00 after the 2.5% screen</t>
  </si>
  <si>
    <t xml:space="preserve">same account requalified with signed ancestry within 168 h</t>
  </si>
  <si>
    <t xml:space="preserve">upper observed reconstruction time absent</t>
  </si>
  <si>
    <t xml:space="preserve">Rebuild Clocks</t>
  </si>
  <si>
    <t xml:space="preserve">elapsed time ≤ 168 h and same-world account requalification</t>
  </si>
  <si>
    <t xml:space="preserve">independent loss-world access envelope absent</t>
  </si>
  <si>
    <t xml:space="preserve">Section Bills</t>
  </si>
  <si>
    <t xml:space="preserve">nine slots installed; eight survivors close the 2.5% screen</t>
  </si>
  <si>
    <t xml:space="preserve">Thirty-six root-native fatal-keystone protocols</t>
  </si>
  <si>
    <t xml:space="preserve">Every challenge is full causal-interface scale. A valid terminal failure kills the lineage; a favorable protocol cannot substitute for the missing observation.</t>
  </si>
  <si>
    <t xml:space="preserve">Specification</t>
  </si>
  <si>
    <t xml:space="preserve">Scale</t>
  </si>
  <si>
    <t xml:space="preserve">Precondition</t>
  </si>
  <si>
    <t xml:space="preserve">Intervention</t>
  </si>
  <si>
    <t xml:space="preserve">Primary observation</t>
  </si>
  <si>
    <t xml:space="preserve">Sampling and custody</t>
  </si>
  <si>
    <t xml:space="preserve">Sustain window</t>
  </si>
  <si>
    <t xml:space="preserve">Pass threshold</t>
  </si>
  <si>
    <t xml:space="preserve">Immediate kill condition</t>
  </si>
  <si>
    <t xml:space="preserve">Observation</t>
  </si>
  <si>
    <t xml:space="preserve">Accepted</t>
  </si>
  <si>
    <t xml:space="preserve">full causal-interface article</t>
  </si>
  <si>
    <t xml:space="preserve">24 h rated exchange with moving source and no pier support</t>
  </si>
  <si>
    <t xml:space="preserve">remove largest access cell at transfer peak</t>
  </si>
  <si>
    <t xml:space="preserve">admitted mass or access capacity and signed custody after largest-cell loss</t>
  </si>
  <si>
    <t xml:space="preserve">serial event log plus one-minute mass and custody reconciliation</t>
  </si>
  <si>
    <t xml:space="preserve">72 h</t>
  </si>
  <si>
    <t xml:space="preserve">motion compensation, wet-to-dry transition or custody breaks complete flow</t>
  </si>
  <si>
    <t xml:space="preserve">SOURCE EMPTY</t>
  </si>
  <si>
    <t xml:space="preserve">MEASUREMENT READY</t>
  </si>
  <si>
    <t xml:space="preserve">trip largest energy cell during black start</t>
  </si>
  <si>
    <t xml:space="preserve">firm output, black-start recovery, conversion loss and heat rejection after trip</t>
  </si>
  <si>
    <t xml:space="preserve">100 Hz transient capture plus one-minute firm-output and thermal balance</t>
  </si>
  <si>
    <t xml:space="preserve">sever one complete connector at maximum relative motion</t>
  </si>
  <si>
    <t xml:space="preserve">complete usable geometry or service flow after path severance</t>
  </si>
  <si>
    <t xml:space="preserve">10 Hz load/path capture plus one-minute flow and clearance record</t>
  </si>
  <si>
    <t xml:space="preserve">isolate one refuge/receiver zone</t>
  </si>
  <si>
    <t xml:space="preserve">detection, isolation, refuge, egress, manual control and lawful disposition</t>
  </si>
  <si>
    <t xml:space="preserve">one-minute environment state plus continuous person/authority event log</t>
  </si>
  <si>
    <t xml:space="preserve">close largest residual cell</t>
  </si>
  <si>
    <t xml:space="preserve">generated residual, retained inventory, treatment capacity and accepted discharge</t>
  </si>
  <si>
    <t xml:space="preserve">one-minute mass balance plus inlet/outlet samples at intervals no longer than 6 h</t>
  </si>
  <si>
    <t xml:space="preserve">delete originating runtime, calibration index and builder contact</t>
  </si>
  <si>
    <t xml:space="preserve">elapsed outside-team rebuild, recovered ancestry and same-world requalification</t>
  </si>
  <si>
    <t xml:space="preserve">signed build-event log with elapsed time recorded to one minute</t>
  </si>
  <si>
    <t xml:space="preserve">24 h occupied service at declared household and route load</t>
  </si>
  <si>
    <t xml:space="preserve">remove largest insertion cell after reversible attachment</t>
  </si>
  <si>
    <t xml:space="preserve">attachment or utility isolation propagates structural, smoke or contamination damage</t>
  </si>
  <si>
    <t xml:space="preserve">trip one 7.2 MW cell while islanded</t>
  </si>
  <si>
    <t xml:space="preserve">hard-isolate the highest-load multi-utility trunk</t>
  </si>
  <si>
    <t xml:space="preserve">introduce smoke and contamination at one zone boundary</t>
  </si>
  <si>
    <t xml:space="preserve">block one dirty-return cell</t>
  </si>
  <si>
    <t xml:space="preserve">withhold origin geometry, attachment toolchain and runtime</t>
  </si>
  <si>
    <t xml:space="preserve">6 h causal baseline with independent plume and protected-edge observation</t>
  </si>
  <si>
    <t xml:space="preserve">remove largest admitted intervention cell</t>
  </si>
  <si>
    <t xml:space="preserve">delivered working fluid cannot be attributed to the held edge or transfers hazard</t>
  </si>
  <si>
    <t xml:space="preserve">trip one 20.6 MW energy cell during active intervention</t>
  </si>
  <si>
    <t xml:space="preserve">hard-fail one held-line sector under live plume</t>
  </si>
  <si>
    <t xml:space="preserve">force an avoidance-boundary incursion and manual termination</t>
  </si>
  <si>
    <t xml:space="preserve">deny one runoff-custody cell</t>
  </si>
  <si>
    <t xml:space="preserve">delete origin mission runtime and calibration index</t>
  </si>
  <si>
    <t xml:space="preserve">72 h stable output after the day-21 four-position state is established</t>
  </si>
  <si>
    <t xml:space="preserve">remove one 3.99 kt access slot</t>
  </si>
  <si>
    <t xml:space="preserve">30 d</t>
  </si>
  <si>
    <t xml:space="preserve">geology, drawdown, induced hazard or brine custody defeats useful output</t>
  </si>
  <si>
    <t xml:space="preserve">trip one 13 MW conversion cell</t>
  </si>
  <si>
    <t xml:space="preserve">isolate one complete 15.5 km path</t>
  </si>
  <si>
    <t xml:space="preserve">quarantine one 13,000 m3 water cell</t>
  </si>
  <si>
    <t xml:space="preserve">isolate one 10,300 m3/day injection path</t>
  </si>
  <si>
    <t xml:space="preserve">withhold bore registry, source-house runtime and proprietary tool index</t>
  </si>
  <si>
    <t xml:space="preserve">24 h complete episode mix with all ten care-line interfaces active</t>
  </si>
  <si>
    <t xml:space="preserve">remove one 7.35 kt access cell without deleting a care line</t>
  </si>
  <si>
    <t xml:space="preserve">168 h</t>
  </si>
  <si>
    <t xml:space="preserve">sterile metabolism, specialist continuity or destination state breaks an episode</t>
  </si>
  <si>
    <t xml:space="preserve">trip one 11 MW clinical-utility cell</t>
  </si>
  <si>
    <t xml:space="preserve">isolate the highest-volume transfer route</t>
  </si>
  <si>
    <t xml:space="preserve">quarantine one clinical/refuge zone</t>
  </si>
  <si>
    <t xml:space="preserve">close one clinical-residual cell</t>
  </si>
  <si>
    <t xml:space="preserve">remove origin staffing model, runtime and proprietary tool index</t>
  </si>
  <si>
    <t xml:space="preserve">24 h complete 99-position process stack under disconnected control</t>
  </si>
  <si>
    <t xml:space="preserve">remove one 8.40 kt process-access cell</t>
  </si>
  <si>
    <t xml:space="preserve">material state, calibration, ancestry or independent release is not reproducible</t>
  </si>
  <si>
    <t xml:space="preserve">trip one 26.5 MW process-energy cell</t>
  </si>
  <si>
    <t xml:space="preserve">cut one complete process mesh</t>
  </si>
  <si>
    <t xml:space="preserve">revoke one release/receiver envelope</t>
  </si>
  <si>
    <t xml:space="preserve">close one rejected-material treatment cell</t>
  </si>
  <si>
    <t xml:space="preserve">remove origin planner, calibration stack and proprietary tool index</t>
  </si>
  <si>
    <t xml:space="preserve">Thirty-six account-specific outside-team rebuild protocols</t>
  </si>
  <si>
    <t xml:space="preserve">Cold reconstruction means a clean team, frozen public records, no originating runtime and same-world requalification.</t>
  </si>
  <si>
    <t xml:space="preserve">Starting denial</t>
  </si>
  <si>
    <t xml:space="preserve">Builder</t>
  </si>
  <si>
    <t xml:space="preserve">Frozen package</t>
  </si>
  <si>
    <t xml:space="preserve">Prohibited aid</t>
  </si>
  <si>
    <t xml:space="preserve">Start event</t>
  </si>
  <si>
    <t xml:space="preserve">End event</t>
  </si>
  <si>
    <t xml:space="preserve">Deadline</t>
  </si>
  <si>
    <t xml:space="preserve">8 independent access cells disassembled to its public boundary after candidate code and private tools are removed</t>
  </si>
  <si>
    <t xml:space="preserve">outside team with no candidate-house personnel</t>
  </si>
  <si>
    <t xml:space="preserve">no origin runtime, undocumented tool, private key, live coaching or hidden host service</t>
  </si>
  <si>
    <t xml:space="preserve">sealed record, physical inventory and clean team released at the same instant</t>
  </si>
  <si>
    <t xml:space="preserve">account passes W01 and W03 with accepted serial ancestry and safe state</t>
  </si>
  <si>
    <t xml:space="preserve">6 black-start generation cells disassembled to its public boundary after candidate code and private tools are removed</t>
  </si>
  <si>
    <t xml:space="preserve">2 complete motion-decoupled exchange paths disassembled to its public boundary after candidate code and private tools are removed</t>
  </si>
  <si>
    <t xml:space="preserve">6 independent refuge and receiver zones disassembled to its public boundary after candidate code and private tools are removed</t>
  </si>
  <si>
    <t xml:space="preserve">6 contained residual cells disassembled to its public boundary after candidate code and private tools are removed</t>
  </si>
  <si>
    <t xml:space="preserve">sealed exchange-section reconstruction chain disassembled to its public boundary after candidate code and private tools are removed</t>
  </si>
  <si>
    <t xml:space="preserve">10 independently admitted insertion cells disassembled to its public boundary after candidate code and private tools are removed</t>
  </si>
  <si>
    <t xml:space="preserve">7 isolated generation cells disassembled to its public boundary after candidate code and private tools are removed</t>
  </si>
  <si>
    <t xml:space="preserve">5 complete multi-utility trunk corridors disassembled to its public boundary after candidate code and private tools are removed</t>
  </si>
  <si>
    <t xml:space="preserve">8 separately safe occupied zones disassembled to its public boundary after candidate code and private tools are removed</t>
  </si>
  <si>
    <t xml:space="preserve">6 dirty-return treatment cells disassembled to its public boundary after candidate code and private tools are removed</t>
  </si>
  <si>
    <t xml:space="preserve">sealed occupied-spine reconstruction chain disassembled to its public boundary after candidate code and private tools are removed</t>
  </si>
  <si>
    <t xml:space="preserve">10 independently admitted intervention cells disassembled to its public boundary after candidate code and private tools are removed</t>
  </si>
  <si>
    <t xml:space="preserve">8 isolated intervention-energy cells disassembled to its public boundary after candidate code and private tools are removed</t>
  </si>
  <si>
    <t xml:space="preserve">5 independently attributable held-line sectors disassembled to its public boundary after candidate code and private tools are removed</t>
  </si>
  <si>
    <t xml:space="preserve">8 protected response and avoidance zones disassembled to its public boundary after candidate code and private tools are removed</t>
  </si>
  <si>
    <t xml:space="preserve">6 runoff and working-fluid custody cells disassembled to its public boundary after candidate code and private tools are removed</t>
  </si>
  <si>
    <t xml:space="preserve">sealed atmospheric-section reconstruction chain disassembled to its public boundary after candidate code and private tools are removed</t>
  </si>
  <si>
    <t xml:space="preserve">9 independent 3.99 kt access slots; 8 required disassembled to its public boundary after candidate code and private tools are removed</t>
  </si>
  <si>
    <t xml:space="preserve">4 isolated conversion cells disassembled to its public boundary after candidate code and private tools are removed</t>
  </si>
  <si>
    <t xml:space="preserve">2 independently usable 15.5 km water paths disassembled to its public boundary after candidate code and private tools are removed</t>
  </si>
  <si>
    <t xml:space="preserve">3 isolated 13,000 m3 product-water cells disassembled to its public boundary after candidate code and private tools are removed</t>
  </si>
  <si>
    <t xml:space="preserve">3 isolated 10,300 m3/day injection paths disassembled to its public boundary after candidate code and private tools are removed</t>
  </si>
  <si>
    <t xml:space="preserve">sealed geothermal-position reconstruction chain disassembled to its public boundary after candidate code and private tools are removed</t>
  </si>
  <si>
    <t xml:space="preserve">8 independent 7.35 kt access cells disassembled to its public boundary after candidate code and private tools are removed</t>
  </si>
  <si>
    <t xml:space="preserve">6 isolated clinical-utility cells disassembled to its public boundary after candidate code and private tools are removed</t>
  </si>
  <si>
    <t xml:space="preserve">10 indivisible care lines over separated transfer routes disassembled to its public boundary after candidate code and private tools are removed</t>
  </si>
  <si>
    <t xml:space="preserve">8 separately safe clinical and refuge zones disassembled to its public boundary after candidate code and private tools are removed</t>
  </si>
  <si>
    <t xml:space="preserve">6 clinical residual cells disassembled to its public boundary after candidate code and private tools are removed</t>
  </si>
  <si>
    <t xml:space="preserve">sealed clinical-island reconstruction chain disassembled to its public boundary after candidate code and private tools are removed</t>
  </si>
  <si>
    <t xml:space="preserve">10 independent 8.40 kt process-access cells disassembled to its public boundary after candidate code and private tools are removed</t>
  </si>
  <si>
    <t xml:space="preserve">7 isolated process-energy cells disassembled to its public boundary after candidate code and private tools are removed</t>
  </si>
  <si>
    <t xml:space="preserve">5 complete disconnected process meshes disassembled to its public boundary after candidate code and private tools are removed</t>
  </si>
  <si>
    <t xml:space="preserve">9 independent release and receiver envelopes disassembled to its public boundary after candidate code and private tools are removed</t>
  </si>
  <si>
    <t xml:space="preserve">6 rejected-material treatment cells disassembled to its public boundary after candidate code and private tools are removed</t>
  </si>
  <si>
    <t xml:space="preserve">sealed microfactory reconstruction chain disassembled to its public boundary after candidate code and private tools are removed</t>
  </si>
  <si>
    <t xml:space="preserve">Twelve nominal and loss-world reconstruction clocks</t>
  </si>
  <si>
    <t xml:space="preserve">These clocks replace the twelve missing A06 W01/W03 objects with executable tests. The 168-hour ceiling is inherited, not observed.</t>
  </si>
  <si>
    <t xml:space="preserve">Starting state</t>
  </si>
  <si>
    <t xml:space="preserve">Required end state</t>
  </si>
  <si>
    <t xml:space="preserve">Clock start</t>
  </si>
  <si>
    <t xml:space="preserve">Clock stop</t>
  </si>
  <si>
    <t xml:space="preserve">Maximum</t>
  </si>
  <si>
    <t xml:space="preserve">complete causal section packed and unassembled at public boundary</t>
  </si>
  <si>
    <t xml:space="preserve">complete section passes nominal account set</t>
  </si>
  <si>
    <t xml:space="preserve">clock starts when sealed package, inventory and clean team are simultaneously released</t>
  </si>
  <si>
    <t xml:space="preserve">clock stops only after independent requalification and signed ancestry</t>
  </si>
  <si>
    <t xml:space="preserve">section operating on survivors with largest independent cell removed</t>
  </si>
  <si>
    <t xml:space="preserve">lost cell restored and section passes largest-cell-loss account set</t>
  </si>
  <si>
    <t xml:space="preserve">Thirty-six decisive independence boundaries</t>
  </si>
  <si>
    <t xml:space="preserve">A shared semantic interface is permitted. A shared mechanism, runtime, utility, safeing path or reconstruction memory is not.</t>
  </si>
  <si>
    <t xml:space="preserve">Boundary</t>
  </si>
  <si>
    <t xml:space="preserve">Decisive section</t>
  </si>
  <si>
    <t xml:space="preserve">Physical isolation barrier</t>
  </si>
  <si>
    <t xml:space="preserve">Forbidden dependency</t>
  </si>
  <si>
    <t xml:space="preserve">Independent witness</t>
  </si>
  <si>
    <t xml:space="preserve">ET-A-A01</t>
  </si>
  <si>
    <t xml:space="preserve">independent handling path, serial custody and removable cell boundary</t>
  </si>
  <si>
    <t xml:space="preserve">shared candidate runtime, hidden host utility, common safeing path or origin-team craft memory</t>
  </si>
  <si>
    <t xml:space="preserve">root-native challenge cell and independent evidence custodian</t>
  </si>
  <si>
    <t xml:space="preserve">FROZEN</t>
  </si>
  <si>
    <t xml:space="preserve">ET-A-A02</t>
  </si>
  <si>
    <t xml:space="preserve">cell-local breaker, black start, conversion and heat-rejection boundary</t>
  </si>
  <si>
    <t xml:space="preserve">ET-A-A03</t>
  </si>
  <si>
    <t xml:space="preserve">mechanical, pressure, flow and control hard disconnect at each complete path</t>
  </si>
  <si>
    <t xml:space="preserve">ET-A-A04</t>
  </si>
  <si>
    <t xml:space="preserve">separate detection, isolation, refuge, egress and manual termination</t>
  </si>
  <si>
    <t xml:space="preserve">ET-A-A05</t>
  </si>
  <si>
    <t xml:space="preserve">valved containment, measured inventory and independent accepted discharge</t>
  </si>
  <si>
    <t xml:space="preserve">ET-A-A06</t>
  </si>
  <si>
    <t xml:space="preserve">sealed public records, clean tools, independent keys and outside builder</t>
  </si>
  <si>
    <t xml:space="preserve">CT-C-A01</t>
  </si>
  <si>
    <t xml:space="preserve">CT-C-A02</t>
  </si>
  <si>
    <t xml:space="preserve">CT-C-A03</t>
  </si>
  <si>
    <t xml:space="preserve">CT-C-A04</t>
  </si>
  <si>
    <t xml:space="preserve">CT-C-A05</t>
  </si>
  <si>
    <t xml:space="preserve">CT-C-A06</t>
  </si>
  <si>
    <t xml:space="preserve">HC-A-A01</t>
  </si>
  <si>
    <t xml:space="preserve">HC-A-A02</t>
  </si>
  <si>
    <t xml:space="preserve">HC-A-A03</t>
  </si>
  <si>
    <t xml:space="preserve">HC-A-A04</t>
  </si>
  <si>
    <t xml:space="preserve">HC-A-A05</t>
  </si>
  <si>
    <t xml:space="preserve">HC-A-A06</t>
  </si>
  <si>
    <t xml:space="preserve">LF-B-A01</t>
  </si>
  <si>
    <t xml:space="preserve">LF-B-A02</t>
  </si>
  <si>
    <t xml:space="preserve">LF-B-A03</t>
  </si>
  <si>
    <t xml:space="preserve">LF-B-A04</t>
  </si>
  <si>
    <t xml:space="preserve">LF-B-A05</t>
  </si>
  <si>
    <t xml:space="preserve">LF-B-A06</t>
  </si>
  <si>
    <t xml:space="preserve">HU-A-A01</t>
  </si>
  <si>
    <t xml:space="preserve">HU-A-A02</t>
  </si>
  <si>
    <t xml:space="preserve">HU-A-A03</t>
  </si>
  <si>
    <t xml:space="preserve">HU-A-A04</t>
  </si>
  <si>
    <t xml:space="preserve">HU-A-A05</t>
  </si>
  <si>
    <t xml:space="preserve">HU-A-A06</t>
  </si>
  <si>
    <t xml:space="preserve">RT-B-A01</t>
  </si>
  <si>
    <t xml:space="preserve">RT-B-A02</t>
  </si>
  <si>
    <t xml:space="preserve">RT-B-A03</t>
  </si>
  <si>
    <t xml:space="preserve">RT-B-A04</t>
  </si>
  <si>
    <t xml:space="preserve">RT-B-A05</t>
  </si>
  <si>
    <t xml:space="preserve">RT-B-A06</t>
  </si>
  <si>
    <t xml:space="preserve">Twenty-four root-native invention campaigns</t>
  </si>
  <si>
    <t xml:space="preserve">These campaigns pursue the architecture's broken causal sections. They do not converge on a common machine, controller or production design.</t>
  </si>
  <si>
    <t xml:space="preserve">Thrust</t>
  </si>
  <si>
    <t xml:space="preserve">Technology target</t>
  </si>
  <si>
    <t xml:space="preserve">Assumption retired</t>
  </si>
  <si>
    <t xml:space="preserve">Prototype artifact</t>
  </si>
  <si>
    <t xml:space="preserve">Fatal experiment</t>
  </si>
  <si>
    <t xml:space="preserve">Article stage</t>
  </si>
  <si>
    <t xml:space="preserve">ET-A-T1</t>
  </si>
  <si>
    <t xml:space="preserve">moving-base load transfer</t>
  </si>
  <si>
    <t xml:space="preserve">fixed-base connector assumptions</t>
  </si>
  <si>
    <t xml:space="preserve">full-scale active connector under six-axis relative motion</t>
  </si>
  <si>
    <t xml:space="preserve">loss of one connector at maximum transfer load</t>
  </si>
  <si>
    <t xml:space="preserve">A2 falsification article</t>
  </si>
  <si>
    <t xml:space="preserve">HELD FOR TEST</t>
  </si>
  <si>
    <t xml:space="preserve">ET-A-T2</t>
  </si>
  <si>
    <t xml:space="preserve">self-forming shore transition</t>
  </si>
  <si>
    <t xml:space="preserve">prepared pier and crane dependence</t>
  </si>
  <si>
    <t xml:space="preserve">autonomous wet-to-dry transition with recoverable anchors</t>
  </si>
  <si>
    <t xml:space="preserve">unprepared-shore transition cannot preserve flow</t>
  </si>
  <si>
    <t xml:space="preserve">ET-A-T3</t>
  </si>
  <si>
    <t xml:space="preserve">custody metrology</t>
  </si>
  <si>
    <t xml:space="preserve">mass throughput inferred from machine state</t>
  </si>
  <si>
    <t xml:space="preserve">independent metered custody chain across media</t>
  </si>
  <si>
    <t xml:space="preserve">custody discontinuity under connector failure</t>
  </si>
  <si>
    <t xml:space="preserve">ET-A-T4</t>
  </si>
  <si>
    <t xml:space="preserve">reconstructable connectors</t>
  </si>
  <si>
    <t xml:space="preserve">vendor service as repairability</t>
  </si>
  <si>
    <t xml:space="preserve">cold-built connector from public interface records</t>
  </si>
  <si>
    <t xml:space="preserve">outside team misses 168 h requalification</t>
  </si>
  <si>
    <t xml:space="preserve">CT-C-T1</t>
  </si>
  <si>
    <t xml:space="preserve">reversible occupied-structure attachment</t>
  </si>
  <si>
    <t xml:space="preserve">permanent retrofit as insertion prerequisite</t>
  </si>
  <si>
    <t xml:space="preserve">load-spreading removable attachment cell</t>
  </si>
  <si>
    <t xml:space="preserve">attachment propagates structural damage</t>
  </si>
  <si>
    <t xml:space="preserve">CT-C-T2</t>
  </si>
  <si>
    <t xml:space="preserve">fault-contained utility trunks</t>
  </si>
  <si>
    <t xml:space="preserve">one common riser for all services</t>
  </si>
  <si>
    <t xml:space="preserve">five independently isolatable multi-utility corridors</t>
  </si>
  <si>
    <t xml:space="preserve">one trunk fault crosses another service</t>
  </si>
  <si>
    <t xml:space="preserve">CT-C-T3</t>
  </si>
  <si>
    <t xml:space="preserve">contamination-aware installation robotics</t>
  </si>
  <si>
    <t xml:space="preserve">evacuated clean workspace assumption</t>
  </si>
  <si>
    <t xml:space="preserve">robotic workcell operating through dirty/occupied boundary</t>
  </si>
  <si>
    <t xml:space="preserve">installation contaminates occupied zone</t>
  </si>
  <si>
    <t xml:space="preserve">CT-C-T4</t>
  </si>
  <si>
    <t xml:space="preserve">offline human release</t>
  </si>
  <si>
    <t xml:space="preserve">cloud workflow as lawful disposition</t>
  </si>
  <si>
    <t xml:space="preserve">local signed household and egress ledger</t>
  </si>
  <si>
    <t xml:space="preserve">network loss deletes a lawful disposition</t>
  </si>
  <si>
    <t xml:space="preserve">HC-A-T1</t>
  </si>
  <si>
    <t xml:space="preserve">plume tomography</t>
  </si>
  <si>
    <t xml:space="preserve">single forecast model as causal truth</t>
  </si>
  <si>
    <t xml:space="preserve">multi-angle independent plume observation lattice</t>
  </si>
  <si>
    <t xml:space="preserve">delivered fluid is not attributable to held edge</t>
  </si>
  <si>
    <t xml:space="preserve">HC-A-T2</t>
  </si>
  <si>
    <t xml:space="preserve">high-duty thermal flight</t>
  </si>
  <si>
    <t xml:space="preserve">short sortie duty cycle</t>
  </si>
  <si>
    <t xml:space="preserve">72 h intervention-energy and refill cell</t>
  </si>
  <si>
    <t xml:space="preserve">thermal state forces service interruption</t>
  </si>
  <si>
    <t xml:space="preserve">HC-A-T3</t>
  </si>
  <si>
    <t xml:space="preserve">causal deposition control</t>
  </si>
  <si>
    <t xml:space="preserve">coverage area as effect proxy</t>
  </si>
  <si>
    <t xml:space="preserve">one-kilometre controlled deposition section</t>
  </si>
  <si>
    <t xml:space="preserve">working fluid crosses protected boundary</t>
  </si>
  <si>
    <t xml:space="preserve">HC-A-T4</t>
  </si>
  <si>
    <t xml:space="preserve">closed refill and runoff metabolism</t>
  </si>
  <si>
    <t xml:space="preserve">host water and drainage as free services</t>
  </si>
  <si>
    <t xml:space="preserve">owned fluid preparation, recovery and runoff custody</t>
  </si>
  <si>
    <t xml:space="preserve">residual inventory does not reconcile</t>
  </si>
  <si>
    <t xml:space="preserve">LF-B-T1</t>
  </si>
  <si>
    <t xml:space="preserve">rapid subsurface inference</t>
  </si>
  <si>
    <t xml:space="preserve">multi-year field characterization</t>
  </si>
  <si>
    <t xml:space="preserve">robotic bore and distributed reservoir-truth array</t>
  </si>
  <si>
    <t xml:space="preserve">useful output requires unsafe drawdown</t>
  </si>
  <si>
    <t xml:space="preserve">LF-B-T2</t>
  </si>
  <si>
    <t xml:space="preserve">hazard-limited extraction and injection</t>
  </si>
  <si>
    <t xml:space="preserve">single-bus source optimization</t>
  </si>
  <si>
    <t xml:space="preserve">four conversion cells and three injection paths</t>
  </si>
  <si>
    <t xml:space="preserve">one failure couples energy and residual custody</t>
  </si>
  <si>
    <t xml:space="preserve">LF-B-T3</t>
  </si>
  <si>
    <t xml:space="preserve">water-brine-mineral metabolism</t>
  </si>
  <si>
    <t xml:space="preserve">brine disposal as external utility</t>
  </si>
  <si>
    <t xml:space="preserve">closed separation, product buffer and mineral/residual train</t>
  </si>
  <si>
    <t xml:space="preserve">brine or mineral burden escapes the boundary</t>
  </si>
  <si>
    <t xml:space="preserve">LF-B-T4</t>
  </si>
  <si>
    <t xml:space="preserve">autonomous buried corridors</t>
  </si>
  <si>
    <t xml:space="preserve">one trenched common route</t>
  </si>
  <si>
    <t xml:space="preserve">two independently usable robotic water paths</t>
  </si>
  <si>
    <t xml:space="preserve">one route denial removes both paths</t>
  </si>
  <si>
    <t xml:space="preserve">HU-A-T1</t>
  </si>
  <si>
    <t xml:space="preserve">acuity-reconfigurable clinical space</t>
  </si>
  <si>
    <t xml:space="preserve">fixed departmental floorplan</t>
  </si>
  <si>
    <t xml:space="preserve">complete clinical island with movable care zones</t>
  </si>
  <si>
    <t xml:space="preserve">reconfiguration deletes a care-line interface</t>
  </si>
  <si>
    <t xml:space="preserve">HU-A-T2</t>
  </si>
  <si>
    <t xml:space="preserve">sterile and dirty counterflow automation</t>
  </si>
  <si>
    <t xml:space="preserve">labor-intensive clean/dirty choreography</t>
  </si>
  <si>
    <t xml:space="preserve">robotic sterile supply and residual counterflow</t>
  </si>
  <si>
    <t xml:space="preserve">flows cross after utility loss</t>
  </si>
  <si>
    <t xml:space="preserve">HU-A-T3</t>
  </si>
  <si>
    <t xml:space="preserve">islanded clinical utilities</t>
  </si>
  <si>
    <t xml:space="preserve">hospital grid as implicit reserve</t>
  </si>
  <si>
    <t xml:space="preserve">six black-start clinical-utility cells</t>
  </si>
  <si>
    <t xml:space="preserve">one cell trip breaks definitive episode</t>
  </si>
  <si>
    <t xml:space="preserve">HU-A-T4</t>
  </si>
  <si>
    <t xml:space="preserve">relationship-preserving regulation</t>
  </si>
  <si>
    <t xml:space="preserve">bed count as clinical completion</t>
  </si>
  <si>
    <t xml:space="preserve">offline person-household-care state ledger</t>
  </si>
  <si>
    <t xml:space="preserve">destination loss breaks supported discharge</t>
  </si>
  <si>
    <t xml:space="preserve">RT-B-T1</t>
  </si>
  <si>
    <t xml:space="preserve">disconnected process planning</t>
  </si>
  <si>
    <t xml:space="preserve">cloud model as production controller</t>
  </si>
  <si>
    <t xml:space="preserve">local bounded process compiler across five meshes</t>
  </si>
  <si>
    <t xml:space="preserve">network loss stops qualified release</t>
  </si>
  <si>
    <t xml:space="preserve">RT-B-T2</t>
  </si>
  <si>
    <t xml:space="preserve">local-material qualification</t>
  </si>
  <si>
    <t xml:space="preserve">certified feedstock-only production</t>
  </si>
  <si>
    <t xml:space="preserve">field characterization and bounded material recipes</t>
  </si>
  <si>
    <t xml:space="preserve">material state cannot be reproduced</t>
  </si>
  <si>
    <t xml:space="preserve">RT-B-T3</t>
  </si>
  <si>
    <t xml:space="preserve">portable metrology</t>
  </si>
  <si>
    <t xml:space="preserve">central calibration laboratory</t>
  </si>
  <si>
    <t xml:space="preserve">independent calibration artifacts and signed standards</t>
  </si>
  <si>
    <t xml:space="preserve">primary route loss erases measurement authority</t>
  </si>
  <si>
    <t xml:space="preserve">RT-B-T4</t>
  </si>
  <si>
    <t xml:space="preserve">robotic disassembly and reconstruction</t>
  </si>
  <si>
    <t xml:space="preserve">maintainer craft memory</t>
  </si>
  <si>
    <t xml:space="preserve">machine-readable teardown and cold-build chain</t>
  </si>
  <si>
    <t xml:space="preserve">Minimum loss-world ratio by adverse screen</t>
  </si>
  <si>
    <t xml:space="preserve">The selected architecture closes at 2.5%, but its minimum margins are test targets rather than production growth allowance.</t>
  </si>
  <si>
    <t xml:space="preserve">Scenario</t>
  </si>
  <si>
    <t xml:space="preserve">Adverse movement</t>
  </si>
  <si>
    <t xml:space="preserve">Minimum pre-screen W03 ratio</t>
  </si>
  <si>
    <t xml:space="preserve">Margin</t>
  </si>
  <si>
    <t xml:space="preserve">No screen</t>
  </si>
  <si>
    <t xml:space="preserve">1% adverse</t>
  </si>
  <si>
    <t xml:space="preserve">Selected 2.5%</t>
  </si>
  <si>
    <t xml:space="preserve">5% adverse</t>
  </si>
  <si>
    <t xml:space="preserve">10% adverse</t>
  </si>
  <si>
    <t xml:space="preserve">Architecture specification releases no money</t>
  </si>
  <si>
    <t xml:space="preserve">The USD 0.538B maximum FRAME envelope is unchanged. A design specification is not an accepted artifact, award, obligation or payment.</t>
  </si>
  <si>
    <t xml:space="preserve">Option ceiling USD B</t>
  </si>
  <si>
    <t xml:space="preserve">Maximum FRAME USD B</t>
  </si>
  <si>
    <t xml:space="preserve">Accepted USD B</t>
  </si>
  <si>
    <t xml:space="preserve">Paid USD B</t>
  </si>
  <si>
    <t xml:space="preserve">HELD</t>
  </si>
  <si>
    <t xml:space="preserve">TOTAL</t>
  </si>
  <si>
    <t xml:space="preserve">six roots</t>
  </si>
  <si>
    <t xml:space="preserve">internal-section architecture</t>
  </si>
  <si>
    <t xml:space="preserve">Seventy-two requirement-to-architecture gates</t>
  </si>
  <si>
    <t xml:space="preserve">G06 is specified but not closed. Measurement readiness cannot become evidence, architecture warrant or exterior authority.</t>
  </si>
  <si>
    <t xml:space="preserve">Gate</t>
  </si>
  <si>
    <t xml:space="preserve">Order</t>
  </si>
  <si>
    <t xml:space="preserve">Gate claim</t>
  </si>
  <si>
    <t xml:space="preserve">Authority basis</t>
  </si>
  <si>
    <t xml:space="preserve">Requirement constituted</t>
  </si>
  <si>
    <t xml:space="preserve">Gate closed</t>
  </si>
  <si>
    <t xml:space="preserve">Pass 219 effect</t>
  </si>
  <si>
    <t xml:space="preserve">Exterior authority</t>
  </si>
  <si>
    <t xml:space="preserve">ET-A-G01</t>
  </si>
  <si>
    <t xml:space="preserve">denominator</t>
  </si>
  <si>
    <t xml:space="preserve">CONSTITUTED</t>
  </si>
  <si>
    <t xml:space="preserve">Pass 216 requirement record</t>
  </si>
  <si>
    <t xml:space="preserve">NO CHANGE</t>
  </si>
  <si>
    <t xml:space="preserve">n.a.</t>
  </si>
  <si>
    <t xml:space="preserve">ET-A-G02</t>
  </si>
  <si>
    <t xml:space="preserve">article boundary</t>
  </si>
  <si>
    <t xml:space="preserve">ET-A-G03</t>
  </si>
  <si>
    <t xml:space="preserve">form loads</t>
  </si>
  <si>
    <t xml:space="preserve">ET-A-G04</t>
  </si>
  <si>
    <t xml:space="preserve">interfaces</t>
  </si>
  <si>
    <t xml:space="preserve">ET-A-G05</t>
  </si>
  <si>
    <t xml:space="preserve">denial set</t>
  </si>
  <si>
    <t xml:space="preserve">ET-A-G06</t>
  </si>
  <si>
    <t xml:space="preserve">paper closure</t>
  </si>
  <si>
    <t xml:space="preserve">SPECIFIED / NOT CLOSED</t>
  </si>
  <si>
    <t xml:space="preserve">60 design cells close; 84 cells await observations</t>
  </si>
  <si>
    <t xml:space="preserve">SECTION FROZEN FOR TEST</t>
  </si>
  <si>
    <t xml:space="preserve">ET-A-G07</t>
  </si>
  <si>
    <t xml:space="preserve">safety and rights</t>
  </si>
  <si>
    <t xml:space="preserve">OPEN</t>
  </si>
  <si>
    <t xml:space="preserve">future accepted record</t>
  </si>
  <si>
    <t xml:space="preserve">ET-A-G08</t>
  </si>
  <si>
    <t xml:space="preserve">ancestry</t>
  </si>
  <si>
    <t xml:space="preserve">ET-A-G09</t>
  </si>
  <si>
    <t xml:space="preserve">executable build record</t>
  </si>
  <si>
    <t xml:space="preserve">ET-A-G10</t>
  </si>
  <si>
    <t xml:space="preserve">representative event</t>
  </si>
  <si>
    <t xml:space="preserve">ET-A-G11</t>
  </si>
  <si>
    <t xml:space="preserve">cold reconstruction</t>
  </si>
  <si>
    <t xml:space="preserve">ET-A-G12</t>
  </si>
  <si>
    <t xml:space="preserve">architecture warrant</t>
  </si>
  <si>
    <t xml:space="preserve">CT-C-G01</t>
  </si>
  <si>
    <t xml:space="preserve">CT-C-G02</t>
  </si>
  <si>
    <t xml:space="preserve">CT-C-G03</t>
  </si>
  <si>
    <t xml:space="preserve">CT-C-G04</t>
  </si>
  <si>
    <t xml:space="preserve">CT-C-G05</t>
  </si>
  <si>
    <t xml:space="preserve">CT-C-G06</t>
  </si>
  <si>
    <t xml:space="preserve">CT-C-G07</t>
  </si>
  <si>
    <t xml:space="preserve">CT-C-G08</t>
  </si>
  <si>
    <t xml:space="preserve">CT-C-G09</t>
  </si>
  <si>
    <t xml:space="preserve">CT-C-G10</t>
  </si>
  <si>
    <t xml:space="preserve">CT-C-G11</t>
  </si>
  <si>
    <t xml:space="preserve">CT-C-G12</t>
  </si>
  <si>
    <t xml:space="preserve">HC-A-G01</t>
  </si>
  <si>
    <t xml:space="preserve">HC-A-G02</t>
  </si>
  <si>
    <t xml:space="preserve">HC-A-G03</t>
  </si>
  <si>
    <t xml:space="preserve">HC-A-G04</t>
  </si>
  <si>
    <t xml:space="preserve">HC-A-G05</t>
  </si>
  <si>
    <t xml:space="preserve">HC-A-G06</t>
  </si>
  <si>
    <t xml:space="preserve">HC-A-G07</t>
  </si>
  <si>
    <t xml:space="preserve">HC-A-G08</t>
  </si>
  <si>
    <t xml:space="preserve">HC-A-G09</t>
  </si>
  <si>
    <t xml:space="preserve">HC-A-G10</t>
  </si>
  <si>
    <t xml:space="preserve">HC-A-G11</t>
  </si>
  <si>
    <t xml:space="preserve">HC-A-G12</t>
  </si>
  <si>
    <t xml:space="preserve">LF-B-G01</t>
  </si>
  <si>
    <t xml:space="preserve">LF-B-G02</t>
  </si>
  <si>
    <t xml:space="preserve">LF-B-G03</t>
  </si>
  <si>
    <t xml:space="preserve">LF-B-G04</t>
  </si>
  <si>
    <t xml:space="preserve">LF-B-G05</t>
  </si>
  <si>
    <t xml:space="preserve">LF-B-G06</t>
  </si>
  <si>
    <t xml:space="preserve">LF-B-G07</t>
  </si>
  <si>
    <t xml:space="preserve">LF-B-G08</t>
  </si>
  <si>
    <t xml:space="preserve">LF-B-G09</t>
  </si>
  <si>
    <t xml:space="preserve">LF-B-G10</t>
  </si>
  <si>
    <t xml:space="preserve">LF-B-G11</t>
  </si>
  <si>
    <t xml:space="preserve">LF-B-G12</t>
  </si>
  <si>
    <t xml:space="preserve">HU-A-G01</t>
  </si>
  <si>
    <t xml:space="preserve">HU-A-G02</t>
  </si>
  <si>
    <t xml:space="preserve">HU-A-G03</t>
  </si>
  <si>
    <t xml:space="preserve">HU-A-G04</t>
  </si>
  <si>
    <t xml:space="preserve">HU-A-G05</t>
  </si>
  <si>
    <t xml:space="preserve">HU-A-G06</t>
  </si>
  <si>
    <t xml:space="preserve">HU-A-G07</t>
  </si>
  <si>
    <t xml:space="preserve">HU-A-G08</t>
  </si>
  <si>
    <t xml:space="preserve">HU-A-G09</t>
  </si>
  <si>
    <t xml:space="preserve">HU-A-G10</t>
  </si>
  <si>
    <t xml:space="preserve">HU-A-G11</t>
  </si>
  <si>
    <t xml:space="preserve">HU-A-G12</t>
  </si>
  <si>
    <t xml:space="preserve">RT-B-G01</t>
  </si>
  <si>
    <t xml:space="preserve">RT-B-G02</t>
  </si>
  <si>
    <t xml:space="preserve">RT-B-G03</t>
  </si>
  <si>
    <t xml:space="preserve">RT-B-G04</t>
  </si>
  <si>
    <t xml:space="preserve">RT-B-G05</t>
  </si>
  <si>
    <t xml:space="preserve">RT-B-G06</t>
  </si>
  <si>
    <t xml:space="preserve">RT-B-G07</t>
  </si>
  <si>
    <t xml:space="preserve">RT-B-G08</t>
  </si>
  <si>
    <t xml:space="preserve">RT-B-G09</t>
  </si>
  <si>
    <t xml:space="preserve">RT-B-G10</t>
  </si>
  <si>
    <t xml:space="preserve">RT-B-G11</t>
  </si>
  <si>
    <t xml:space="preserve">RT-B-G12</t>
  </si>
  <si>
    <t xml:space="preserve">Restored control-mutation register</t>
  </si>
  <si>
    <t xml:space="preserve">The verifier applies every edit to a disposable in-memory workbook, recalculates, observes the named boundary and restores the baseline.</t>
  </si>
  <si>
    <t xml:space="preserve">Mutation</t>
  </si>
  <si>
    <t xml:space="preserve">Counterfactual edit</t>
  </si>
  <si>
    <t xml:space="preserve">Expected propagation</t>
  </si>
  <si>
    <t xml:space="preserve">Observed boundary</t>
  </si>
  <si>
    <t xml:space="preserve">Result</t>
  </si>
  <si>
    <t xml:space="preserve">M01</t>
  </si>
  <si>
    <t xml:space="preserve">adverse screen raised to 5%</t>
  </si>
  <si>
    <t xml:space="preserve">design-close count falls</t>
  </si>
  <si>
    <t xml:space="preserve">Audit</t>
  </si>
  <si>
    <t xml:space="preserve">DETECTED</t>
  </si>
  <si>
    <t xml:space="preserve">M02</t>
  </si>
  <si>
    <t xml:space="preserve">ET-A flow cell reduced</t>
  </si>
  <si>
    <t xml:space="preserve">negative count rises</t>
  </si>
  <si>
    <t xml:space="preserve">M03</t>
  </si>
  <si>
    <t xml:space="preserve">CT-C energy cell reduced</t>
  </si>
  <si>
    <t xml:space="preserve">M04</t>
  </si>
  <si>
    <t xml:space="preserve">HC-A held-line cell reduced</t>
  </si>
  <si>
    <t xml:space="preserve">M05</t>
  </si>
  <si>
    <t xml:space="preserve">LF-B access survivor reduced</t>
  </si>
  <si>
    <t xml:space="preserve">M06</t>
  </si>
  <si>
    <t xml:space="preserve">LF-B energy cell reduced</t>
  </si>
  <si>
    <t xml:space="preserve">M07</t>
  </si>
  <si>
    <t xml:space="preserve">HU-A access cell reduced</t>
  </si>
  <si>
    <t xml:space="preserve">M08</t>
  </si>
  <si>
    <t xml:space="preserve">RT-B energy cell reduced</t>
  </si>
  <si>
    <t xml:space="preserve">M09</t>
  </si>
  <si>
    <t xml:space="preserve">one executable specification removed</t>
  </si>
  <si>
    <t xml:space="preserve">specification coverage falls</t>
  </si>
  <si>
    <t xml:space="preserve">M10</t>
  </si>
  <si>
    <t xml:space="preserve">one gap mapping deleted</t>
  </si>
  <si>
    <t xml:space="preserve">legacy-gap count falls</t>
  </si>
  <si>
    <t xml:space="preserve">M11</t>
  </si>
  <si>
    <t xml:space="preserve">one host contribution entered</t>
  </si>
  <si>
    <t xml:space="preserve">host-zero audit fails</t>
  </si>
  <si>
    <t xml:space="preserve">M12</t>
  </si>
  <si>
    <t xml:space="preserve">one evidence acceptance entered</t>
  </si>
  <si>
    <t xml:space="preserve">evidence-zero audit fails</t>
  </si>
  <si>
    <t xml:space="preserve">M13</t>
  </si>
  <si>
    <t xml:space="preserve">one G06 credit entered</t>
  </si>
  <si>
    <t xml:space="preserve">G06-zero audit fails</t>
  </si>
  <si>
    <t xml:space="preserve">M14</t>
  </si>
  <si>
    <t xml:space="preserve">FRAME share increased</t>
  </si>
  <si>
    <t xml:space="preserve">finance reconciliation changes</t>
  </si>
  <si>
    <t xml:space="preserve">M15</t>
  </si>
  <si>
    <t xml:space="preserve">accepted money entered</t>
  </si>
  <si>
    <t xml:space="preserve">authority-held audit fails</t>
  </si>
  <si>
    <t xml:space="preserve">M16</t>
  </si>
  <si>
    <t xml:space="preserve">rendering authority entered</t>
  </si>
  <si>
    <t xml:space="preserve">rendering-held audit fails</t>
  </si>
  <si>
    <t xml:space="preserve">M17</t>
  </si>
  <si>
    <t xml:space="preserve">one isolation boundary returned</t>
  </si>
  <si>
    <t xml:space="preserve">frozen-boundary count falls</t>
  </si>
  <si>
    <t xml:space="preserve">M18</t>
  </si>
  <si>
    <t xml:space="preserve">one technology thrust removed</t>
  </si>
  <si>
    <t xml:space="preserve">technology count falls</t>
  </si>
  <si>
    <t xml:space="preserve">Terminal internal-architecture audits</t>
  </si>
  <si>
    <t xml:space="preserve">Audits read the model and do not feed any architecture, finance or release decision.</t>
  </si>
  <si>
    <t xml:space="preserve">Check</t>
  </si>
  <si>
    <t xml:space="preserve">Actual</t>
  </si>
  <si>
    <t xml:space="preserve">Expected</t>
  </si>
  <si>
    <t xml:space="preserve">root count</t>
  </si>
  <si>
    <t xml:space="preserve">section-account rows</t>
  </si>
  <si>
    <t xml:space="preserve">cell register</t>
  </si>
  <si>
    <t xml:space="preserve">negative cells</t>
  </si>
  <si>
    <t xml:space="preserve">A07</t>
  </si>
  <si>
    <t xml:space="preserve">A08</t>
  </si>
  <si>
    <t xml:space="preserve">legacy-gap mappings</t>
  </si>
  <si>
    <t xml:space="preserve">A09</t>
  </si>
  <si>
    <t xml:space="preserve">keystone specifications</t>
  </si>
  <si>
    <t xml:space="preserve">A10</t>
  </si>
  <si>
    <t xml:space="preserve">cold-reconstruction specifications</t>
  </si>
  <si>
    <t xml:space="preserve">A11</t>
  </si>
  <si>
    <t xml:space="preserve">rebuild-clock specifications</t>
  </si>
  <si>
    <t xml:space="preserve">A12</t>
  </si>
  <si>
    <t xml:space="preserve">LF-B access definition</t>
  </si>
  <si>
    <t xml:space="preserve">A13</t>
  </si>
  <si>
    <t xml:space="preserve">executable specification coverage</t>
  </si>
  <si>
    <t xml:space="preserve">A14</t>
  </si>
  <si>
    <t xml:space="preserve">design-resolved gaps</t>
  </si>
  <si>
    <t xml:space="preserve">A15</t>
  </si>
  <si>
    <t xml:space="preserve">gap observations</t>
  </si>
  <si>
    <t xml:space="preserve">A16</t>
  </si>
  <si>
    <t xml:space="preserve">gap evidence accepted</t>
  </si>
  <si>
    <t xml:space="preserve">A17</t>
  </si>
  <si>
    <t xml:space="preserve">keystone protocol rows</t>
  </si>
  <si>
    <t xml:space="preserve">A18</t>
  </si>
  <si>
    <t xml:space="preserve">rebuild protocol rows</t>
  </si>
  <si>
    <t xml:space="preserve">A19</t>
  </si>
  <si>
    <t xml:space="preserve">rebuild clock rows</t>
  </si>
  <si>
    <t xml:space="preserve">A20</t>
  </si>
  <si>
    <t xml:space="preserve">isolation boundaries</t>
  </si>
  <si>
    <t xml:space="preserve">A21</t>
  </si>
  <si>
    <t xml:space="preserve">frozen isolation boundaries</t>
  </si>
  <si>
    <t xml:space="preserve">A22</t>
  </si>
  <si>
    <t xml:space="preserve">technology thrusts</t>
  </si>
  <si>
    <t xml:space="preserve">A23</t>
  </si>
  <si>
    <t xml:space="preserve">release gates</t>
  </si>
  <si>
    <t xml:space="preserve">A24</t>
  </si>
  <si>
    <t xml:space="preserve">G06 closures</t>
  </si>
  <si>
    <t xml:space="preserve">A25</t>
  </si>
  <si>
    <t xml:space="preserve">roots fully specified</t>
  </si>
  <si>
    <t xml:space="preserve">A26</t>
  </si>
  <si>
    <t xml:space="preserve">roots frozen for test</t>
  </si>
  <si>
    <t xml:space="preserve">A27</t>
  </si>
  <si>
    <t xml:space="preserve">selected margins nonnegative</t>
  </si>
  <si>
    <t xml:space="preserve">A28</t>
  </si>
  <si>
    <t xml:space="preserve">cell-state reconciliation</t>
  </si>
  <si>
    <t xml:space="preserve">A29</t>
  </si>
  <si>
    <t xml:space="preserve">numeric W01 cells</t>
  </si>
  <si>
    <t xml:space="preserve">A30</t>
  </si>
  <si>
    <t xml:space="preserve">numeric W03 cells</t>
  </si>
  <si>
    <t xml:space="preserve">A31</t>
  </si>
  <si>
    <t xml:space="preserve">measurement W02 cells</t>
  </si>
  <si>
    <t xml:space="preserve">A32</t>
  </si>
  <si>
    <t xml:space="preserve">measurement W04 cells</t>
  </si>
  <si>
    <t xml:space="preserve">A33</t>
  </si>
  <si>
    <t xml:space="preserve">A06 W01 and W03 measurements</t>
  </si>
  <si>
    <t xml:space="preserve">A34</t>
  </si>
  <si>
    <t xml:space="preserve">host contribution zero</t>
  </si>
  <si>
    <t xml:space="preserve">A35</t>
  </si>
  <si>
    <t xml:space="preserve">cell evidence accepted zero</t>
  </si>
  <si>
    <t xml:space="preserve">A36</t>
  </si>
  <si>
    <t xml:space="preserve">option ceiling conserved</t>
  </si>
  <si>
    <t xml:space="preserve">A37</t>
  </si>
  <si>
    <t xml:space="preserve">FRAME ceiling conserved</t>
  </si>
  <si>
    <t xml:space="preserve">A38</t>
  </si>
  <si>
    <t xml:space="preserve">accepted authority zero</t>
  </si>
  <si>
    <t xml:space="preserve">A39</t>
  </si>
  <si>
    <t xml:space="preserve">paid authority zero</t>
  </si>
  <si>
    <t xml:space="preserve">A40</t>
  </si>
  <si>
    <t xml:space="preserve">capability credit zero</t>
  </si>
  <si>
    <t xml:space="preserve">A41</t>
  </si>
  <si>
    <t xml:space="preserve">production credit zero</t>
  </si>
  <si>
    <t xml:space="preserve">A42</t>
  </si>
  <si>
    <t xml:space="preserve">rendering authority zero</t>
  </si>
  <si>
    <t xml:space="preserve">A43</t>
  </si>
  <si>
    <t xml:space="preserve">mutation records</t>
  </si>
  <si>
    <t xml:space="preserve">Internal sources and decision limits</t>
  </si>
  <si>
    <t xml:space="preserve">Every quantitative claim is inherited from repository authority or identified as a new controlled design hypothesis.</t>
  </si>
  <si>
    <t xml:space="preserve">ID</t>
  </si>
  <si>
    <t xml:space="preserve">Source or limit</t>
  </si>
  <si>
    <t xml:space="preserve">Repository path or statement</t>
  </si>
  <si>
    <t xml:space="preserve">Use</t>
  </si>
  <si>
    <t xml:space="preserve">S01</t>
  </si>
  <si>
    <t xml:space="preserve">Pass 218 quantitative triage</t>
  </si>
  <si>
    <t xml:space="preserve">research/force/generation/department-of-resilience-six-root-quantitative-causal-section-triage-and-resize-constitution.md</t>
  </si>
  <si>
    <t xml:space="preserve">eleven resize orders, 85 gaps and hold dispositions</t>
  </si>
  <si>
    <t xml:space="preserve">S02</t>
  </si>
  <si>
    <t xml:space="preserve">Pass 217 causal-section closure</t>
  </si>
  <si>
    <t xml:space="preserve">research/force/generation/department-of-resilience-concurrent-six-root-causal-section-closure-constitution.md</t>
  </si>
  <si>
    <t xml:space="preserve">six accounts, four worlds, 144-cell grammar and no-host rule</t>
  </si>
  <si>
    <t xml:space="preserve">S03</t>
  </si>
  <si>
    <t xml:space="preserve">Pass 216 candidate-article requirements</t>
  </si>
  <si>
    <t xml:space="preserve">research/force/generation/department-of-resilience-six-root-form-giving-candidate-article-requirement-constitution.md</t>
  </si>
  <si>
    <t xml:space="preserve">article boundaries, fatal results and technology campaigns</t>
  </si>
  <si>
    <t xml:space="preserve">S04</t>
  </si>
  <si>
    <t xml:space="preserve">Pass 182 non-lifeline physical balances</t>
  </si>
  <si>
    <t xml:space="preserve">models/force/generation/department-of-resilience-twenty-non-lifeline-root-first-principles-physical-balance-constitution.xlsx</t>
  </si>
  <si>
    <t xml:space="preserve">five non-lifeline root capacities and 2.5% screen</t>
  </si>
  <si>
    <t xml:space="preserve">S05</t>
  </si>
  <si>
    <t xml:space="preserve">Pass 183 lifeline configurations</t>
  </si>
  <si>
    <t xml:space="preserve">models/force/generation/department-of-resilience-lifeline-four-root-physical-configuration-and-g3-entry-constitution.xlsx</t>
  </si>
  <si>
    <t xml:space="preserve">LF-B source position, service requirements and article bill</t>
  </si>
  <si>
    <t xml:space="preserve">S06</t>
  </si>
  <si>
    <t xml:space="preserve">Pass 215 construction compact</t>
  </si>
  <si>
    <t xml:space="preserve">research/force/generation/department-of-resilience-national-first-sentinel-construction-compact-and-return.md</t>
  </si>
  <si>
    <t xml:space="preserve">option and FRAME ceilings and release nonconversions</t>
  </si>
  <si>
    <t xml:space="preserve">Limit</t>
  </si>
  <si>
    <t xml:space="preserve">Meaning</t>
  </si>
  <si>
    <t xml:space="preserve">Effect</t>
  </si>
  <si>
    <t xml:space="preserve">L01</t>
  </si>
  <si>
    <t xml:space="preserve">No external sites</t>
  </si>
  <si>
    <t xml:space="preserve">Repository-only analytical pass by instruction</t>
  </si>
  <si>
    <t xml:space="preserve">No claim depends on current external evidence</t>
  </si>
  <si>
    <t xml:space="preserve">L02</t>
  </si>
  <si>
    <t xml:space="preserve">No observed performance</t>
  </si>
  <si>
    <t xml:space="preserve">All capacities remain controlled hypotheses or direct arithmetic</t>
  </si>
  <si>
    <t xml:space="preserve">Every measurement field remains empty</t>
  </si>
  <si>
    <t xml:space="preserve">L03</t>
  </si>
  <si>
    <t xml:space="preserve">Specification is not evidence</t>
  </si>
  <si>
    <t xml:space="preserve">Eighty-four measurement-ready cells remain source empty</t>
  </si>
  <si>
    <t xml:space="preserve">G06 remains zero</t>
  </si>
  <si>
    <t xml:space="preserve">L04</t>
  </si>
  <si>
    <t xml:space="preserve">No shared technical core</t>
  </si>
  <si>
    <t xml:space="preserve">Only semantic seams may be common across roots</t>
  </si>
  <si>
    <t xml:space="preserve">Each root retains its own implementation</t>
  </si>
  <si>
    <t xml:space="preserve">L05</t>
  </si>
  <si>
    <t xml:space="preserve">No production geometry</t>
  </si>
  <si>
    <t xml:space="preserve">Internal partitions and test boundaries do not choose exterior form</t>
  </si>
  <si>
    <t xml:space="preserve">Rendering remains held</t>
  </si>
  <si>
    <t xml:space="preserve">L06</t>
  </si>
  <si>
    <t xml:space="preserve">No release</t>
  </si>
  <si>
    <t xml:space="preserve">Awards, obligations, payments, capability, production and rendering remain zero</t>
  </si>
  <si>
    <t xml:space="preserve">The option and FRAME values remain ceilings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</si>
</sst>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%"/>
    <numFmt numFmtId="167" formatCode="#,##0.000"/>
    <numFmt numFmtId="168" formatCode="#,##0.00"/>
    <numFmt numFmtId="169" formatCode="\$0.000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937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F4650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rgb="FF3F465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Arial"/>
      <family val="2"/>
    </font>
    <font>
      <i val="true"/>
      <sz val="10"/>
      <color rgb="FF3F4650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9375B"/>
        <bgColor rgb="FF3F4650"/>
      </patternFill>
    </fill>
    <fill>
      <patternFill patternType="solid">
        <fgColor rgb="FFFFF2CC"/>
        <bgColor rgb="FFFCE4D6"/>
      </patternFill>
    </fill>
    <fill>
      <patternFill patternType="solid">
        <fgColor rgb="FFEAF2F8"/>
        <bgColor rgb="FFE2F0D9"/>
      </patternFill>
    </fill>
    <fill>
      <patternFill patternType="solid">
        <fgColor rgb="FF0F6B78"/>
        <bgColor rgb="FF0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9375B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4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3" fillId="4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3" fillId="4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3" fillId="4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3" fillId="4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3" fillId="4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3" fillId="4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3" fillId="4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3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3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8" fillId="3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5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5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3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ont>
        <b val="1"/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F0D9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9375B"/>
      <rgbColor rgb="FF339966"/>
      <rgbColor rgb="FF006100"/>
      <rgbColor rgb="FF333300"/>
      <rgbColor rgb="FF993300"/>
      <rgbColor rgb="FF993366"/>
      <rgbColor rgb="FF333399"/>
      <rgbColor rgb="FF3F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Minimum W03 design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"Minimum W03 margin"</c:f>
              <c:strCache>
                <c:ptCount val="1"/>
                <c:pt idx="0">
                  <c:v>Minimum W03 margin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Summary!$B$15:$B$20</c:f>
              <c:strCache>
                <c:ptCount val="6"/>
                <c:pt idx="0">
                  <c:v>ET-A</c:v>
                </c:pt>
                <c:pt idx="1">
                  <c:v>CT-C</c:v>
                </c:pt>
                <c:pt idx="2">
                  <c:v>HC-A</c:v>
                </c:pt>
                <c:pt idx="3">
                  <c:v>LF-B</c:v>
                </c:pt>
                <c:pt idx="4">
                  <c:v>HU-A</c:v>
                </c:pt>
                <c:pt idx="5">
                  <c:v>RT-B</c:v>
                </c:pt>
              </c:strCache>
            </c:strRef>
          </c:cat>
          <c:val>
            <c:numRef>
              <c:f>Summary!$G$15:$G$20</c:f>
              <c:numCache>
                <c:formatCode>0.00%</c:formatCode>
                <c:ptCount val="6"/>
                <c:pt idx="0">
                  <c:v>0.00166962699822526</c:v>
                </c:pt>
                <c:pt idx="1">
                  <c:v>0.00285714285714289</c:v>
                </c:pt>
                <c:pt idx="2">
                  <c:v>0.00339805825242712</c:v>
                </c:pt>
                <c:pt idx="3">
                  <c:v>0.00151246983105402</c:v>
                </c:pt>
                <c:pt idx="4">
                  <c:v>0.00327500000000014</c:v>
                </c:pt>
                <c:pt idx="5">
                  <c:v>0.000161290322580721</c:v>
                </c:pt>
              </c:numCache>
            </c:numRef>
          </c:val>
        </c:ser>
        <c:gapWidth val="150"/>
        <c:overlap val="0"/>
        <c:axId val="27088897"/>
        <c:axId val="74113108"/>
      </c:barChart>
      <c:catAx>
        <c:axId val="2708889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4113108"/>
        <c:crosses val="autoZero"/>
        <c:auto val="1"/>
        <c:lblAlgn val="ctr"/>
        <c:lblOffset val="100"/>
        <c:noMultiLvlLbl val="0"/>
      </c:catAx>
      <c:valAx>
        <c:axId val="7411310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7088897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17</xdr:col>
      <xdr:colOff>1267920</xdr:colOff>
      <xdr:row>17</xdr:row>
      <xdr:rowOff>190080</xdr:rowOff>
    </xdr:to>
    <xdr:graphicFrame>
      <xdr:nvGraphicFramePr>
        <xdr:cNvPr id="1" name="Chart"/>
        <xdr:cNvGraphicFramePr/>
      </xdr:nvGraphicFramePr>
      <xdr:xfrm>
        <a:off x="18819360" y="685800"/>
        <a:ext cx="7188840" cy="3085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5" min="5" style="1" width="23"/>
    <col collapsed="false" customWidth="true" hidden="false" outlineLevel="0" max="6" min="6" style="1" width="16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9" min="9" style="1" width="34"/>
    <col collapsed="false" customWidth="true" hidden="false" outlineLevel="0" max="10" min="10" style="1" width="62"/>
    <col collapsed="false" customWidth="true" hidden="false" outlineLevel="0" max="12" min="11" style="1" width="3"/>
    <col collapsed="false" customWidth="true" hidden="false" outlineLevel="0" max="13" min="13" style="1" width="12"/>
    <col collapsed="false" customWidth="true" hidden="false" outlineLevel="0" max="18" min="14" style="1" width="18"/>
  </cols>
  <sheetData>
    <row r="2" customFormat="false" ht="24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24" hidden="false" customHeight="true" outlineLevel="0" collapsed="false">
      <c r="A4" s="4" t="s">
        <v>1</v>
      </c>
      <c r="B4" s="5" t="s">
        <v>2</v>
      </c>
      <c r="C4" s="5" t="s">
        <v>3</v>
      </c>
      <c r="D4" s="5" t="s">
        <v>4</v>
      </c>
      <c r="E4" s="5"/>
      <c r="F4" s="5" t="s">
        <v>5</v>
      </c>
      <c r="G4" s="5"/>
      <c r="H4" s="6"/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false" ht="15" hidden="false" customHeight="true" outlineLevel="0" collapsed="false">
      <c r="A5" s="8" t="s">
        <v>6</v>
      </c>
      <c r="B5" s="9" t="n">
        <f aca="false">COUNTA('Root Architecture'!B7:B12)</f>
        <v>6</v>
      </c>
      <c r="C5" s="8" t="s">
        <v>7</v>
      </c>
      <c r="D5" s="10" t="s">
        <v>8</v>
      </c>
      <c r="E5" s="7"/>
      <c r="F5" s="11" t="s">
        <v>9</v>
      </c>
      <c r="G5" s="11"/>
      <c r="H5" s="11"/>
      <c r="I5" s="7"/>
      <c r="J5" s="7"/>
      <c r="K5" s="7"/>
      <c r="L5" s="7"/>
      <c r="M5" s="7"/>
      <c r="N5" s="7"/>
      <c r="O5" s="7"/>
      <c r="P5" s="7"/>
      <c r="Q5" s="7"/>
      <c r="R5" s="7"/>
    </row>
    <row r="6" customFormat="false" ht="15" hidden="false" customHeight="false" outlineLevel="0" collapsed="false">
      <c r="A6" s="12" t="s">
        <v>10</v>
      </c>
      <c r="B6" s="13" t="n">
        <f aca="false">COUNTA('Cell Register'!A7:A150)</f>
        <v>144</v>
      </c>
      <c r="C6" s="12" t="s">
        <v>7</v>
      </c>
      <c r="D6" s="14" t="s">
        <v>11</v>
      </c>
      <c r="E6" s="7"/>
      <c r="F6" s="11"/>
      <c r="G6" s="11"/>
      <c r="H6" s="11"/>
      <c r="I6" s="7"/>
      <c r="J6" s="7"/>
      <c r="K6" s="7"/>
      <c r="L6" s="7"/>
      <c r="M6" s="7"/>
      <c r="N6" s="7"/>
      <c r="O6" s="7"/>
      <c r="P6" s="7"/>
      <c r="Q6" s="7"/>
      <c r="R6" s="7"/>
    </row>
    <row r="7" customFormat="false" ht="15" hidden="false" customHeight="false" outlineLevel="0" collapsed="false">
      <c r="A7" s="12" t="s">
        <v>12</v>
      </c>
      <c r="B7" s="13" t="n">
        <f aca="false">COUNTIFS('Cell Register'!S7:S150,"DESIGN CLOSE")</f>
        <v>60</v>
      </c>
      <c r="C7" s="12" t="s">
        <v>7</v>
      </c>
      <c r="D7" s="14" t="s">
        <v>13</v>
      </c>
      <c r="E7" s="7"/>
      <c r="F7" s="11"/>
      <c r="G7" s="11"/>
      <c r="H7" s="11"/>
      <c r="I7" s="7"/>
      <c r="J7" s="7"/>
      <c r="K7" s="7"/>
      <c r="L7" s="7"/>
      <c r="M7" s="7"/>
      <c r="N7" s="7"/>
      <c r="O7" s="7"/>
      <c r="P7" s="7"/>
      <c r="Q7" s="7"/>
      <c r="R7" s="7"/>
    </row>
    <row r="8" customFormat="false" ht="15" hidden="false" customHeight="false" outlineLevel="0" collapsed="false">
      <c r="A8" s="12" t="s">
        <v>14</v>
      </c>
      <c r="B8" s="13" t="n">
        <f aca="false">COUNTIFS('Cell Register'!S7:S150,"MEASUREMENT READY")</f>
        <v>84</v>
      </c>
      <c r="C8" s="12" t="s">
        <v>7</v>
      </c>
      <c r="D8" s="14" t="s">
        <v>15</v>
      </c>
      <c r="E8" s="7"/>
      <c r="F8" s="11"/>
      <c r="G8" s="11"/>
      <c r="H8" s="11"/>
      <c r="I8" s="7"/>
      <c r="J8" s="7"/>
      <c r="K8" s="7"/>
      <c r="L8" s="7"/>
      <c r="M8" s="7"/>
      <c r="N8" s="7"/>
      <c r="O8" s="7"/>
      <c r="P8" s="7"/>
      <c r="Q8" s="7"/>
      <c r="R8" s="7"/>
    </row>
    <row r="9" customFormat="false" ht="15" hidden="false" customHeight="false" outlineLevel="0" collapsed="false">
      <c r="A9" s="12" t="s">
        <v>16</v>
      </c>
      <c r="B9" s="13" t="n">
        <f aca="false">COUNTIFS('Cell Register'!S7:S150,"UNSCOPED")</f>
        <v>0</v>
      </c>
      <c r="C9" s="12" t="s">
        <v>7</v>
      </c>
      <c r="D9" s="14" t="s">
        <v>17</v>
      </c>
      <c r="E9" s="7"/>
      <c r="F9" s="11"/>
      <c r="G9" s="11"/>
      <c r="H9" s="11"/>
      <c r="I9" s="7"/>
      <c r="J9" s="7"/>
      <c r="K9" s="7"/>
      <c r="L9" s="7"/>
      <c r="M9" s="7"/>
      <c r="N9" s="7"/>
      <c r="O9" s="7"/>
      <c r="P9" s="7"/>
      <c r="Q9" s="7"/>
      <c r="R9" s="7"/>
    </row>
    <row r="10" customFormat="false" ht="15" hidden="false" customHeight="false" outlineLevel="0" collapsed="false">
      <c r="A10" s="12" t="s">
        <v>18</v>
      </c>
      <c r="B10" s="13" t="n">
        <f aca="false">SUM('Gap Migration'!J7:J91)</f>
        <v>85</v>
      </c>
      <c r="C10" s="12" t="s">
        <v>7</v>
      </c>
      <c r="D10" s="14" t="s">
        <v>11</v>
      </c>
      <c r="E10" s="7"/>
      <c r="F10" s="11"/>
      <c r="G10" s="11"/>
      <c r="H10" s="11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customFormat="false" ht="15" hidden="false" customHeight="false" outlineLevel="0" collapsed="false">
      <c r="A11" s="12" t="s">
        <v>19</v>
      </c>
      <c r="B11" s="13" t="n">
        <f aca="false">Controls!B19</f>
        <v>0</v>
      </c>
      <c r="C11" s="12" t="s">
        <v>7</v>
      </c>
      <c r="D11" s="14" t="s">
        <v>17</v>
      </c>
      <c r="E11" s="7"/>
      <c r="F11" s="11"/>
      <c r="G11" s="11"/>
      <c r="H11" s="11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customFormat="false" ht="15" hidden="false" customHeight="false" outlineLevel="0" collapsed="false">
      <c r="A12" s="15" t="s">
        <v>20</v>
      </c>
      <c r="B12" s="16" t="n">
        <f aca="false">SUM('Root Architecture'!J7:J12)</f>
        <v>0</v>
      </c>
      <c r="C12" s="15" t="s">
        <v>7</v>
      </c>
      <c r="D12" s="17" t="s">
        <v>17</v>
      </c>
      <c r="E12" s="7"/>
      <c r="F12" s="11"/>
      <c r="G12" s="11"/>
      <c r="H12" s="11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customFormat="false" ht="24" hidden="false" customHeight="true" outlineLevel="0" collapsed="false">
      <c r="A14" s="4" t="s">
        <v>21</v>
      </c>
      <c r="B14" s="5" t="s">
        <v>22</v>
      </c>
      <c r="C14" s="5" t="s">
        <v>23</v>
      </c>
      <c r="D14" s="5" t="s">
        <v>24</v>
      </c>
      <c r="E14" s="5" t="s">
        <v>25</v>
      </c>
      <c r="F14" s="5" t="s">
        <v>26</v>
      </c>
      <c r="G14" s="5" t="s">
        <v>27</v>
      </c>
      <c r="H14" s="5" t="s">
        <v>28</v>
      </c>
      <c r="I14" s="5" t="s">
        <v>29</v>
      </c>
      <c r="J14" s="5" t="s">
        <v>30</v>
      </c>
      <c r="K14" s="5"/>
      <c r="L14" s="6"/>
      <c r="M14" s="7"/>
      <c r="N14" s="7"/>
      <c r="O14" s="7"/>
      <c r="P14" s="7"/>
      <c r="Q14" s="7"/>
      <c r="R14" s="7"/>
    </row>
    <row r="15" customFormat="false" ht="15" hidden="false" customHeight="false" outlineLevel="0" collapsed="false">
      <c r="A15" s="8" t="s">
        <v>31</v>
      </c>
      <c r="B15" s="8" t="s">
        <v>32</v>
      </c>
      <c r="C15" s="8" t="s">
        <v>33</v>
      </c>
      <c r="D15" s="9" t="n">
        <f aca="false">'Root Architecture'!D7</f>
        <v>10</v>
      </c>
      <c r="E15" s="9" t="n">
        <f aca="false">'Root Architecture'!E7</f>
        <v>14</v>
      </c>
      <c r="F15" s="9" t="n">
        <f aca="false">'Root Architecture'!G7</f>
        <v>0</v>
      </c>
      <c r="G15" s="18" t="n">
        <f aca="false">'Root Architecture'!I7</f>
        <v>0.00166962699822526</v>
      </c>
      <c r="H15" s="19" t="n">
        <f aca="false">'Root Architecture'!J7</f>
        <v>0</v>
      </c>
      <c r="I15" s="19" t="str">
        <f aca="false">'Root Architecture'!K7</f>
        <v>SECTION FROZEN / EVIDENCE HOLD</v>
      </c>
      <c r="J15" s="8" t="s">
        <v>34</v>
      </c>
      <c r="K15" s="7"/>
      <c r="L15" s="7"/>
      <c r="M15" s="7"/>
      <c r="N15" s="7"/>
      <c r="O15" s="7"/>
      <c r="P15" s="7"/>
      <c r="Q15" s="7"/>
      <c r="R15" s="7"/>
    </row>
    <row r="16" customFormat="false" ht="15" hidden="false" customHeight="false" outlineLevel="0" collapsed="false">
      <c r="A16" s="12" t="s">
        <v>35</v>
      </c>
      <c r="B16" s="12" t="s">
        <v>36</v>
      </c>
      <c r="C16" s="12" t="s">
        <v>37</v>
      </c>
      <c r="D16" s="13" t="n">
        <f aca="false">'Root Architecture'!D8</f>
        <v>10</v>
      </c>
      <c r="E16" s="13" t="n">
        <f aca="false">'Root Architecture'!E8</f>
        <v>14</v>
      </c>
      <c r="F16" s="13" t="n">
        <f aca="false">'Root Architecture'!G8</f>
        <v>0</v>
      </c>
      <c r="G16" s="20" t="n">
        <f aca="false">'Root Architecture'!I8</f>
        <v>0.00285714285714289</v>
      </c>
      <c r="H16" s="21" t="n">
        <f aca="false">'Root Architecture'!J8</f>
        <v>0</v>
      </c>
      <c r="I16" s="21" t="str">
        <f aca="false">'Root Architecture'!K8</f>
        <v>SECTION FROZEN / EVIDENCE HOLD</v>
      </c>
      <c r="J16" s="12" t="s">
        <v>38</v>
      </c>
      <c r="K16" s="7"/>
      <c r="L16" s="7"/>
      <c r="M16" s="7"/>
      <c r="N16" s="7"/>
      <c r="O16" s="7"/>
      <c r="P16" s="7"/>
      <c r="Q16" s="7"/>
      <c r="R16" s="7"/>
    </row>
    <row r="17" customFormat="false" ht="15" hidden="false" customHeight="false" outlineLevel="0" collapsed="false">
      <c r="A17" s="12" t="s">
        <v>39</v>
      </c>
      <c r="B17" s="12" t="s">
        <v>40</v>
      </c>
      <c r="C17" s="12" t="s">
        <v>41</v>
      </c>
      <c r="D17" s="13" t="n">
        <f aca="false">'Root Architecture'!D9</f>
        <v>10</v>
      </c>
      <c r="E17" s="13" t="n">
        <f aca="false">'Root Architecture'!E9</f>
        <v>14</v>
      </c>
      <c r="F17" s="13" t="n">
        <f aca="false">'Root Architecture'!G9</f>
        <v>0</v>
      </c>
      <c r="G17" s="20" t="n">
        <f aca="false">'Root Architecture'!I9</f>
        <v>0.00339805825242712</v>
      </c>
      <c r="H17" s="21" t="n">
        <f aca="false">'Root Architecture'!J9</f>
        <v>0</v>
      </c>
      <c r="I17" s="21" t="str">
        <f aca="false">'Root Architecture'!K9</f>
        <v>SECTION FROZEN / EVIDENCE HOLD</v>
      </c>
      <c r="J17" s="12" t="s">
        <v>42</v>
      </c>
      <c r="K17" s="7"/>
      <c r="L17" s="7"/>
      <c r="M17" s="7"/>
      <c r="N17" s="7"/>
      <c r="O17" s="7"/>
      <c r="P17" s="7"/>
      <c r="Q17" s="7"/>
      <c r="R17" s="7"/>
    </row>
    <row r="18" customFormat="false" ht="15" hidden="false" customHeight="false" outlineLevel="0" collapsed="false">
      <c r="A18" s="12" t="s">
        <v>43</v>
      </c>
      <c r="B18" s="12" t="s">
        <v>44</v>
      </c>
      <c r="C18" s="12" t="s">
        <v>45</v>
      </c>
      <c r="D18" s="13" t="n">
        <f aca="false">'Root Architecture'!D10</f>
        <v>10</v>
      </c>
      <c r="E18" s="13" t="n">
        <f aca="false">'Root Architecture'!E10</f>
        <v>14</v>
      </c>
      <c r="F18" s="13" t="n">
        <f aca="false">'Root Architecture'!G10</f>
        <v>0</v>
      </c>
      <c r="G18" s="20" t="n">
        <f aca="false">'Root Architecture'!I10</f>
        <v>0.00151246983105402</v>
      </c>
      <c r="H18" s="21" t="n">
        <f aca="false">'Root Architecture'!J10</f>
        <v>0</v>
      </c>
      <c r="I18" s="21" t="str">
        <f aca="false">'Root Architecture'!K10</f>
        <v>SECTION FROZEN / EVIDENCE HOLD</v>
      </c>
      <c r="J18" s="12" t="s">
        <v>46</v>
      </c>
      <c r="K18" s="7"/>
      <c r="L18" s="7"/>
      <c r="M18" s="7"/>
      <c r="N18" s="7"/>
      <c r="O18" s="7"/>
      <c r="P18" s="7"/>
      <c r="Q18" s="7"/>
      <c r="R18" s="7"/>
    </row>
    <row r="19" customFormat="false" ht="15" hidden="false" customHeight="false" outlineLevel="0" collapsed="false">
      <c r="A19" s="12" t="s">
        <v>47</v>
      </c>
      <c r="B19" s="12" t="s">
        <v>48</v>
      </c>
      <c r="C19" s="12" t="s">
        <v>49</v>
      </c>
      <c r="D19" s="13" t="n">
        <f aca="false">'Root Architecture'!D11</f>
        <v>10</v>
      </c>
      <c r="E19" s="13" t="n">
        <f aca="false">'Root Architecture'!E11</f>
        <v>14</v>
      </c>
      <c r="F19" s="13" t="n">
        <f aca="false">'Root Architecture'!G11</f>
        <v>0</v>
      </c>
      <c r="G19" s="20" t="n">
        <f aca="false">'Root Architecture'!I11</f>
        <v>0.00327500000000014</v>
      </c>
      <c r="H19" s="21" t="n">
        <f aca="false">'Root Architecture'!J11</f>
        <v>0</v>
      </c>
      <c r="I19" s="21" t="str">
        <f aca="false">'Root Architecture'!K11</f>
        <v>SECTION FROZEN / EVIDENCE HOLD</v>
      </c>
      <c r="J19" s="12" t="s">
        <v>50</v>
      </c>
      <c r="K19" s="7"/>
      <c r="L19" s="7"/>
      <c r="M19" s="7"/>
      <c r="N19" s="7"/>
      <c r="O19" s="7"/>
      <c r="P19" s="7"/>
      <c r="Q19" s="7"/>
      <c r="R19" s="7"/>
    </row>
    <row r="20" customFormat="false" ht="15" hidden="false" customHeight="false" outlineLevel="0" collapsed="false">
      <c r="A20" s="15" t="s">
        <v>51</v>
      </c>
      <c r="B20" s="15" t="s">
        <v>52</v>
      </c>
      <c r="C20" s="15" t="s">
        <v>53</v>
      </c>
      <c r="D20" s="16" t="n">
        <f aca="false">'Root Architecture'!D12</f>
        <v>10</v>
      </c>
      <c r="E20" s="16" t="n">
        <f aca="false">'Root Architecture'!E12</f>
        <v>14</v>
      </c>
      <c r="F20" s="16" t="n">
        <f aca="false">'Root Architecture'!G12</f>
        <v>0</v>
      </c>
      <c r="G20" s="22" t="n">
        <f aca="false">'Root Architecture'!I12</f>
        <v>0.000161290322580721</v>
      </c>
      <c r="H20" s="23" t="n">
        <f aca="false">'Root Architecture'!J12</f>
        <v>0</v>
      </c>
      <c r="I20" s="23" t="str">
        <f aca="false">'Root Architecture'!K12</f>
        <v>SECTION FROZEN / EVIDENCE HOLD</v>
      </c>
      <c r="J20" s="15" t="s">
        <v>54</v>
      </c>
      <c r="K20" s="7"/>
      <c r="L20" s="7"/>
      <c r="M20" s="7"/>
      <c r="N20" s="7"/>
      <c r="O20" s="7"/>
      <c r="P20" s="7"/>
      <c r="Q20" s="7"/>
      <c r="R20" s="7"/>
    </row>
  </sheetData>
  <mergeCells count="2">
    <mergeCell ref="A2:R2"/>
    <mergeCell ref="F5: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36"/>
  </cols>
  <sheetData>
    <row r="2" customFormat="false" ht="24" hidden="false" customHeight="true" outlineLevel="0" collapsed="false">
      <c r="A2" s="2" t="s">
        <v>55</v>
      </c>
      <c r="B2" s="2"/>
      <c r="C2" s="2"/>
      <c r="D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false" outlineLevel="0" collapsed="false">
      <c r="A4" s="24" t="s">
        <v>56</v>
      </c>
      <c r="B4" s="24"/>
      <c r="C4" s="24"/>
      <c r="D4" s="24"/>
    </row>
    <row r="5" customFormat="false" ht="15" hidden="false" customHeight="false" outlineLevel="0" collapsed="false">
      <c r="A5" s="7"/>
      <c r="B5" s="7"/>
      <c r="C5" s="7"/>
      <c r="D5" s="7"/>
    </row>
    <row r="6" customFormat="false" ht="24" hidden="false" customHeight="true" outlineLevel="0" collapsed="false">
      <c r="A6" s="25" t="s">
        <v>57</v>
      </c>
      <c r="B6" s="26" t="s">
        <v>2</v>
      </c>
      <c r="C6" s="26" t="s">
        <v>3</v>
      </c>
      <c r="D6" s="27" t="s">
        <v>58</v>
      </c>
    </row>
    <row r="7" customFormat="false" ht="15" hidden="false" customHeight="false" outlineLevel="0" collapsed="false">
      <c r="A7" s="8" t="s">
        <v>59</v>
      </c>
      <c r="B7" s="28" t="n">
        <v>0.025</v>
      </c>
      <c r="C7" s="8" t="s">
        <v>60</v>
      </c>
      <c r="D7" s="8" t="s">
        <v>61</v>
      </c>
    </row>
    <row r="8" customFormat="false" ht="15" hidden="false" customHeight="false" outlineLevel="0" collapsed="false">
      <c r="A8" s="12" t="s">
        <v>62</v>
      </c>
      <c r="B8" s="29" t="n">
        <v>1</v>
      </c>
      <c r="C8" s="12" t="s">
        <v>63</v>
      </c>
      <c r="D8" s="12" t="s">
        <v>64</v>
      </c>
    </row>
    <row r="9" customFormat="false" ht="15" hidden="false" customHeight="false" outlineLevel="0" collapsed="false">
      <c r="A9" s="12" t="s">
        <v>65</v>
      </c>
      <c r="B9" s="29" t="n">
        <v>6</v>
      </c>
      <c r="C9" s="12" t="s">
        <v>7</v>
      </c>
      <c r="D9" s="12" t="s">
        <v>66</v>
      </c>
    </row>
    <row r="10" customFormat="false" ht="15" hidden="false" customHeight="false" outlineLevel="0" collapsed="false">
      <c r="A10" s="12" t="s">
        <v>67</v>
      </c>
      <c r="B10" s="29" t="n">
        <v>6</v>
      </c>
      <c r="C10" s="12" t="s">
        <v>7</v>
      </c>
      <c r="D10" s="12" t="s">
        <v>68</v>
      </c>
    </row>
    <row r="11" customFormat="false" ht="15" hidden="false" customHeight="false" outlineLevel="0" collapsed="false">
      <c r="A11" s="12" t="s">
        <v>69</v>
      </c>
      <c r="B11" s="29" t="n">
        <v>4</v>
      </c>
      <c r="C11" s="12" t="s">
        <v>7</v>
      </c>
      <c r="D11" s="12" t="s">
        <v>68</v>
      </c>
    </row>
    <row r="12" customFormat="false" ht="15" hidden="false" customHeight="false" outlineLevel="0" collapsed="false">
      <c r="A12" s="12" t="s">
        <v>70</v>
      </c>
      <c r="B12" s="29" t="n">
        <v>144</v>
      </c>
      <c r="C12" s="12" t="s">
        <v>7</v>
      </c>
      <c r="D12" s="12" t="s">
        <v>71</v>
      </c>
    </row>
    <row r="13" customFormat="false" ht="15" hidden="false" customHeight="false" outlineLevel="0" collapsed="false">
      <c r="A13" s="12" t="s">
        <v>72</v>
      </c>
      <c r="B13" s="29" t="n">
        <v>85</v>
      </c>
      <c r="C13" s="12" t="s">
        <v>7</v>
      </c>
      <c r="D13" s="12" t="s">
        <v>73</v>
      </c>
    </row>
    <row r="14" customFormat="false" ht="15" hidden="false" customHeight="false" outlineLevel="0" collapsed="false">
      <c r="A14" s="12" t="s">
        <v>74</v>
      </c>
      <c r="B14" s="29" t="n">
        <v>3.58691281932057</v>
      </c>
      <c r="C14" s="12" t="s">
        <v>75</v>
      </c>
      <c r="D14" s="12" t="s">
        <v>76</v>
      </c>
    </row>
    <row r="15" customFormat="false" ht="15" hidden="false" customHeight="false" outlineLevel="0" collapsed="false">
      <c r="A15" s="12" t="s">
        <v>77</v>
      </c>
      <c r="B15" s="30" t="n">
        <v>0.15</v>
      </c>
      <c r="C15" s="12" t="s">
        <v>60</v>
      </c>
      <c r="D15" s="12" t="s">
        <v>76</v>
      </c>
    </row>
    <row r="16" customFormat="false" ht="15" hidden="false" customHeight="false" outlineLevel="0" collapsed="false">
      <c r="A16" s="12" t="s">
        <v>78</v>
      </c>
      <c r="B16" s="29" t="n">
        <v>0.538036922898085</v>
      </c>
      <c r="C16" s="12" t="s">
        <v>75</v>
      </c>
      <c r="D16" s="12" t="s">
        <v>71</v>
      </c>
    </row>
    <row r="17" customFormat="false" ht="15" hidden="false" customHeight="false" outlineLevel="0" collapsed="false">
      <c r="A17" s="12" t="s">
        <v>79</v>
      </c>
      <c r="B17" s="29" t="n">
        <v>0</v>
      </c>
      <c r="C17" s="12" t="s">
        <v>75</v>
      </c>
      <c r="D17" s="12" t="s">
        <v>80</v>
      </c>
    </row>
    <row r="18" customFormat="false" ht="15" hidden="false" customHeight="false" outlineLevel="0" collapsed="false">
      <c r="A18" s="12" t="s">
        <v>81</v>
      </c>
      <c r="B18" s="29" t="n">
        <v>0</v>
      </c>
      <c r="C18" s="12" t="s">
        <v>75</v>
      </c>
      <c r="D18" s="12" t="s">
        <v>80</v>
      </c>
    </row>
    <row r="19" customFormat="false" ht="15" hidden="false" customHeight="false" outlineLevel="0" collapsed="false">
      <c r="A19" s="12" t="s">
        <v>19</v>
      </c>
      <c r="B19" s="29" t="n">
        <v>0</v>
      </c>
      <c r="C19" s="12" t="s">
        <v>7</v>
      </c>
      <c r="D19" s="12" t="s">
        <v>82</v>
      </c>
    </row>
    <row r="20" customFormat="false" ht="15" hidden="false" customHeight="false" outlineLevel="0" collapsed="false">
      <c r="A20" s="12" t="s">
        <v>83</v>
      </c>
      <c r="B20" s="29" t="n">
        <v>0</v>
      </c>
      <c r="C20" s="12" t="s">
        <v>7</v>
      </c>
      <c r="D20" s="12" t="s">
        <v>80</v>
      </c>
    </row>
    <row r="21" customFormat="false" ht="15" hidden="false" customHeight="false" outlineLevel="0" collapsed="false">
      <c r="A21" s="12" t="s">
        <v>84</v>
      </c>
      <c r="B21" s="29" t="n">
        <v>0</v>
      </c>
      <c r="C21" s="12" t="s">
        <v>7</v>
      </c>
      <c r="D21" s="12" t="s">
        <v>80</v>
      </c>
    </row>
    <row r="22" customFormat="false" ht="15" hidden="false" customHeight="false" outlineLevel="0" collapsed="false">
      <c r="A22" s="15" t="s">
        <v>85</v>
      </c>
      <c r="B22" s="31" t="n">
        <v>0</v>
      </c>
      <c r="C22" s="15" t="s">
        <v>7</v>
      </c>
      <c r="D22" s="15" t="s">
        <v>80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17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9" min="9" style="1" width="24"/>
    <col collapsed="false" customWidth="true" hidden="false" outlineLevel="0" max="10" min="10" style="1" width="15"/>
    <col collapsed="false" customWidth="true" hidden="false" outlineLevel="0" max="11" min="11" style="1" width="34"/>
    <col collapsed="false" customWidth="true" hidden="false" outlineLevel="0" max="12" min="12" style="1" width="62"/>
  </cols>
  <sheetData>
    <row r="2" customFormat="false" ht="24" hidden="false" customHeight="true" outlineLevel="0" collapsed="false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24" t="s">
        <v>87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24" hidden="false" customHeight="true" outlineLevel="0" collapsed="false">
      <c r="A6" s="25" t="s">
        <v>21</v>
      </c>
      <c r="B6" s="26" t="s">
        <v>22</v>
      </c>
      <c r="C6" s="26" t="s">
        <v>23</v>
      </c>
      <c r="D6" s="26" t="s">
        <v>88</v>
      </c>
      <c r="E6" s="26" t="s">
        <v>89</v>
      </c>
      <c r="F6" s="26" t="s">
        <v>90</v>
      </c>
      <c r="G6" s="26" t="s">
        <v>91</v>
      </c>
      <c r="H6" s="26" t="s">
        <v>92</v>
      </c>
      <c r="I6" s="26" t="s">
        <v>27</v>
      </c>
      <c r="J6" s="26" t="s">
        <v>93</v>
      </c>
      <c r="K6" s="26" t="s">
        <v>29</v>
      </c>
      <c r="L6" s="27" t="s">
        <v>30</v>
      </c>
    </row>
    <row r="7" customFormat="false" ht="15" hidden="false" customHeight="false" outlineLevel="0" collapsed="false">
      <c r="A7" s="8" t="s">
        <v>31</v>
      </c>
      <c r="B7" s="8" t="s">
        <v>32</v>
      </c>
      <c r="C7" s="8" t="s">
        <v>33</v>
      </c>
      <c r="D7" s="9" t="n">
        <f aca="false">COUNTIFS('Cell Register'!$C$7:$C$150,B7,'Cell Register'!$S$7:$S$150,"DESIGN CLOSE")</f>
        <v>10</v>
      </c>
      <c r="E7" s="9" t="n">
        <f aca="false">COUNTIFS('Cell Register'!$C$7:$C$150,B7,'Cell Register'!$S$7:$S$150,"MEASUREMENT READY")</f>
        <v>14</v>
      </c>
      <c r="F7" s="9" t="n">
        <f aca="false">COUNTIFS('Cell Register'!$C$7:$C$150,B7,'Cell Register'!$S$7:$S$150,"NEGATIVE")</f>
        <v>0</v>
      </c>
      <c r="G7" s="9" t="n">
        <f aca="false">COUNTIFS('Cell Register'!$C$7:$C$150,B7,'Cell Register'!$S$7:$S$150,"UNSCOPED")</f>
        <v>0</v>
      </c>
      <c r="H7" s="9" t="n">
        <f aca="false">IF(D7+E7=24,1,0)</f>
        <v>1</v>
      </c>
      <c r="I7" s="18" t="n">
        <f aca="false">MIN('Cell Register'!N7:N30)-Controls!$B$8</f>
        <v>0.00166962699822526</v>
      </c>
      <c r="J7" s="19" t="n">
        <f aca="false">SUM('Cell Register'!R7:R30)</f>
        <v>0</v>
      </c>
      <c r="K7" s="19" t="str">
        <f aca="false">IF(AND(D7=10,E7=14,F7=0,G7=0,H7=1,J7=0),"SECTION FROZEN / EVIDENCE HOLD","RETURN")</f>
        <v>SECTION FROZEN / EVIDENCE HOLD</v>
      </c>
      <c r="L7" s="8" t="s">
        <v>34</v>
      </c>
    </row>
    <row r="8" customFormat="false" ht="15" hidden="false" customHeight="false" outlineLevel="0" collapsed="false">
      <c r="A8" s="12" t="s">
        <v>35</v>
      </c>
      <c r="B8" s="12" t="s">
        <v>36</v>
      </c>
      <c r="C8" s="12" t="s">
        <v>37</v>
      </c>
      <c r="D8" s="13" t="n">
        <f aca="false">COUNTIFS('Cell Register'!$C$7:$C$150,B8,'Cell Register'!$S$7:$S$150,"DESIGN CLOSE")</f>
        <v>10</v>
      </c>
      <c r="E8" s="13" t="n">
        <f aca="false">COUNTIFS('Cell Register'!$C$7:$C$150,B8,'Cell Register'!$S$7:$S$150,"MEASUREMENT READY")</f>
        <v>14</v>
      </c>
      <c r="F8" s="13" t="n">
        <f aca="false">COUNTIFS('Cell Register'!$C$7:$C$150,B8,'Cell Register'!$S$7:$S$150,"NEGATIVE")</f>
        <v>0</v>
      </c>
      <c r="G8" s="13" t="n">
        <f aca="false">COUNTIFS('Cell Register'!$C$7:$C$150,B8,'Cell Register'!$S$7:$S$150,"UNSCOPED")</f>
        <v>0</v>
      </c>
      <c r="H8" s="13" t="n">
        <f aca="false">IF(D8+E8=24,1,0)</f>
        <v>1</v>
      </c>
      <c r="I8" s="20" t="n">
        <f aca="false">MIN('Cell Register'!N31:N54)-Controls!$B$8</f>
        <v>0.00285714285714289</v>
      </c>
      <c r="J8" s="21" t="n">
        <f aca="false">SUM('Cell Register'!R31:R54)</f>
        <v>0</v>
      </c>
      <c r="K8" s="21" t="str">
        <f aca="false">IF(AND(D8=10,E8=14,F8=0,G8=0,H8=1,J8=0),"SECTION FROZEN / EVIDENCE HOLD","RETURN")</f>
        <v>SECTION FROZEN / EVIDENCE HOLD</v>
      </c>
      <c r="L8" s="12" t="s">
        <v>38</v>
      </c>
    </row>
    <row r="9" customFormat="false" ht="15" hidden="false" customHeight="false" outlineLevel="0" collapsed="false">
      <c r="A9" s="12" t="s">
        <v>39</v>
      </c>
      <c r="B9" s="12" t="s">
        <v>40</v>
      </c>
      <c r="C9" s="12" t="s">
        <v>41</v>
      </c>
      <c r="D9" s="13" t="n">
        <f aca="false">COUNTIFS('Cell Register'!$C$7:$C$150,B9,'Cell Register'!$S$7:$S$150,"DESIGN CLOSE")</f>
        <v>10</v>
      </c>
      <c r="E9" s="13" t="n">
        <f aca="false">COUNTIFS('Cell Register'!$C$7:$C$150,B9,'Cell Register'!$S$7:$S$150,"MEASUREMENT READY")</f>
        <v>14</v>
      </c>
      <c r="F9" s="13" t="n">
        <f aca="false">COUNTIFS('Cell Register'!$C$7:$C$150,B9,'Cell Register'!$S$7:$S$150,"NEGATIVE")</f>
        <v>0</v>
      </c>
      <c r="G9" s="13" t="n">
        <f aca="false">COUNTIFS('Cell Register'!$C$7:$C$150,B9,'Cell Register'!$S$7:$S$150,"UNSCOPED")</f>
        <v>0</v>
      </c>
      <c r="H9" s="13" t="n">
        <f aca="false">IF(D9+E9=24,1,0)</f>
        <v>1</v>
      </c>
      <c r="I9" s="20" t="n">
        <f aca="false">MIN('Cell Register'!N55:N78)-Controls!$B$8</f>
        <v>0.00339805825242712</v>
      </c>
      <c r="J9" s="21" t="n">
        <f aca="false">SUM('Cell Register'!R55:R78)</f>
        <v>0</v>
      </c>
      <c r="K9" s="21" t="str">
        <f aca="false">IF(AND(D9=10,E9=14,F9=0,G9=0,H9=1,J9=0),"SECTION FROZEN / EVIDENCE HOLD","RETURN")</f>
        <v>SECTION FROZEN / EVIDENCE HOLD</v>
      </c>
      <c r="L9" s="12" t="s">
        <v>42</v>
      </c>
    </row>
    <row r="10" customFormat="false" ht="15" hidden="false" customHeight="false" outlineLevel="0" collapsed="false">
      <c r="A10" s="12" t="s">
        <v>43</v>
      </c>
      <c r="B10" s="12" t="s">
        <v>44</v>
      </c>
      <c r="C10" s="12" t="s">
        <v>45</v>
      </c>
      <c r="D10" s="13" t="n">
        <f aca="false">COUNTIFS('Cell Register'!$C$7:$C$150,B10,'Cell Register'!$S$7:$S$150,"DESIGN CLOSE")</f>
        <v>10</v>
      </c>
      <c r="E10" s="13" t="n">
        <f aca="false">COUNTIFS('Cell Register'!$C$7:$C$150,B10,'Cell Register'!$S$7:$S$150,"MEASUREMENT READY")</f>
        <v>14</v>
      </c>
      <c r="F10" s="13" t="n">
        <f aca="false">COUNTIFS('Cell Register'!$C$7:$C$150,B10,'Cell Register'!$S$7:$S$150,"NEGATIVE")</f>
        <v>0</v>
      </c>
      <c r="G10" s="13" t="n">
        <f aca="false">COUNTIFS('Cell Register'!$C$7:$C$150,B10,'Cell Register'!$S$7:$S$150,"UNSCOPED")</f>
        <v>0</v>
      </c>
      <c r="H10" s="13" t="n">
        <f aca="false">IF(D10+E10=24,1,0)</f>
        <v>1</v>
      </c>
      <c r="I10" s="20" t="n">
        <f aca="false">MIN('Cell Register'!N79:N102)-Controls!$B$8</f>
        <v>0.00151246983105402</v>
      </c>
      <c r="J10" s="21" t="n">
        <f aca="false">SUM('Cell Register'!R79:R102)</f>
        <v>0</v>
      </c>
      <c r="K10" s="21" t="str">
        <f aca="false">IF(AND(D10=10,E10=14,F10=0,G10=0,H10=1,J10=0),"SECTION FROZEN / EVIDENCE HOLD","RETURN")</f>
        <v>SECTION FROZEN / EVIDENCE HOLD</v>
      </c>
      <c r="L10" s="12" t="s">
        <v>46</v>
      </c>
    </row>
    <row r="11" customFormat="false" ht="15" hidden="false" customHeight="false" outlineLevel="0" collapsed="false">
      <c r="A11" s="12" t="s">
        <v>47</v>
      </c>
      <c r="B11" s="12" t="s">
        <v>48</v>
      </c>
      <c r="C11" s="12" t="s">
        <v>49</v>
      </c>
      <c r="D11" s="13" t="n">
        <f aca="false">COUNTIFS('Cell Register'!$C$7:$C$150,B11,'Cell Register'!$S$7:$S$150,"DESIGN CLOSE")</f>
        <v>10</v>
      </c>
      <c r="E11" s="13" t="n">
        <f aca="false">COUNTIFS('Cell Register'!$C$7:$C$150,B11,'Cell Register'!$S$7:$S$150,"MEASUREMENT READY")</f>
        <v>14</v>
      </c>
      <c r="F11" s="13" t="n">
        <f aca="false">COUNTIFS('Cell Register'!$C$7:$C$150,B11,'Cell Register'!$S$7:$S$150,"NEGATIVE")</f>
        <v>0</v>
      </c>
      <c r="G11" s="13" t="n">
        <f aca="false">COUNTIFS('Cell Register'!$C$7:$C$150,B11,'Cell Register'!$S$7:$S$150,"UNSCOPED")</f>
        <v>0</v>
      </c>
      <c r="H11" s="13" t="n">
        <f aca="false">IF(D11+E11=24,1,0)</f>
        <v>1</v>
      </c>
      <c r="I11" s="20" t="n">
        <f aca="false">MIN('Cell Register'!N103:N126)-Controls!$B$8</f>
        <v>0.00327500000000014</v>
      </c>
      <c r="J11" s="21" t="n">
        <f aca="false">SUM('Cell Register'!R103:R126)</f>
        <v>0</v>
      </c>
      <c r="K11" s="21" t="str">
        <f aca="false">IF(AND(D11=10,E11=14,F11=0,G11=0,H11=1,J11=0),"SECTION FROZEN / EVIDENCE HOLD","RETURN")</f>
        <v>SECTION FROZEN / EVIDENCE HOLD</v>
      </c>
      <c r="L11" s="12" t="s">
        <v>50</v>
      </c>
    </row>
    <row r="12" customFormat="false" ht="15" hidden="false" customHeight="false" outlineLevel="0" collapsed="false">
      <c r="A12" s="15" t="s">
        <v>51</v>
      </c>
      <c r="B12" s="15" t="s">
        <v>52</v>
      </c>
      <c r="C12" s="15" t="s">
        <v>53</v>
      </c>
      <c r="D12" s="16" t="n">
        <f aca="false">COUNTIFS('Cell Register'!$C$7:$C$150,B12,'Cell Register'!$S$7:$S$150,"DESIGN CLOSE")</f>
        <v>10</v>
      </c>
      <c r="E12" s="16" t="n">
        <f aca="false">COUNTIFS('Cell Register'!$C$7:$C$150,B12,'Cell Register'!$S$7:$S$150,"MEASUREMENT READY")</f>
        <v>14</v>
      </c>
      <c r="F12" s="16" t="n">
        <f aca="false">COUNTIFS('Cell Register'!$C$7:$C$150,B12,'Cell Register'!$S$7:$S$150,"NEGATIVE")</f>
        <v>0</v>
      </c>
      <c r="G12" s="16" t="n">
        <f aca="false">COUNTIFS('Cell Register'!$C$7:$C$150,B12,'Cell Register'!$S$7:$S$150,"UNSCOPED")</f>
        <v>0</v>
      </c>
      <c r="H12" s="16" t="n">
        <f aca="false">IF(D12+E12=24,1,0)</f>
        <v>1</v>
      </c>
      <c r="I12" s="22" t="n">
        <f aca="false">MIN('Cell Register'!N127:N150)-Controls!$B$8</f>
        <v>0.000161290322580721</v>
      </c>
      <c r="J12" s="23" t="n">
        <f aca="false">SUM('Cell Register'!R127:R150)</f>
        <v>0</v>
      </c>
      <c r="K12" s="23" t="str">
        <f aca="false">IF(AND(D12=10,E12=14,F12=0,G12=0,H12=1,J12=0),"SECTION FROZEN / EVIDENCE HOLD","RETURN")</f>
        <v>SECTION FROZEN / EVIDENCE HOLD</v>
      </c>
      <c r="L12" s="15" t="s">
        <v>54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38"/>
    <col collapsed="false" customWidth="true" hidden="false" outlineLevel="0" max="5" min="5" style="1" width="50"/>
    <col collapsed="false" customWidth="true" hidden="false" outlineLevel="0" max="7" min="6" style="1" width="17"/>
    <col collapsed="false" customWidth="true" hidden="false" outlineLevel="0" max="8" min="8" style="1" width="20"/>
    <col collapsed="false" customWidth="true" hidden="false" outlineLevel="0" max="9" min="9" style="1" width="16"/>
    <col collapsed="false" customWidth="true" hidden="false" outlineLevel="0" max="10" min="10" style="1" width="22"/>
    <col collapsed="false" customWidth="true" hidden="false" outlineLevel="0" max="11" min="11" style="1" width="21"/>
    <col collapsed="false" customWidth="true" hidden="false" outlineLevel="0" max="12" min="12" style="1" width="25"/>
    <col collapsed="false" customWidth="true" hidden="false" outlineLevel="0" max="13" min="13" style="1" width="21"/>
    <col collapsed="false" customWidth="true" hidden="false" outlineLevel="0" max="14" min="14" style="1" width="58"/>
    <col collapsed="false" customWidth="true" hidden="false" outlineLevel="0" max="15" min="15" style="1" width="55"/>
    <col collapsed="false" customWidth="true" hidden="false" outlineLevel="0" max="16" min="16" style="1" width="24"/>
    <col collapsed="false" customWidth="true" hidden="false" outlineLevel="0" max="17" min="17" style="1" width="18"/>
    <col collapsed="false" customWidth="true" hidden="false" outlineLevel="0" max="19" min="18" style="1" width="20"/>
    <col collapsed="false" customWidth="true" hidden="false" outlineLevel="0" max="20" min="20" style="1" width="19"/>
    <col collapsed="false" customWidth="true" hidden="false" outlineLevel="0" max="21" min="21" style="1" width="27"/>
  </cols>
  <sheetData>
    <row r="2" customFormat="false" ht="24" hidden="false" customHeight="true" outlineLevel="0" collapsed="false">
      <c r="A2" s="2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" hidden="false" customHeight="false" outlineLevel="0" collapsed="false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customFormat="false" ht="24" hidden="false" customHeight="true" outlineLevel="0" collapsed="false">
      <c r="A6" s="25" t="s">
        <v>21</v>
      </c>
      <c r="B6" s="26" t="s">
        <v>22</v>
      </c>
      <c r="C6" s="26" t="s">
        <v>96</v>
      </c>
      <c r="D6" s="26" t="s">
        <v>97</v>
      </c>
      <c r="E6" s="26" t="s">
        <v>98</v>
      </c>
      <c r="F6" s="26" t="s">
        <v>3</v>
      </c>
      <c r="G6" s="26" t="s">
        <v>99</v>
      </c>
      <c r="H6" s="26" t="s">
        <v>100</v>
      </c>
      <c r="I6" s="26" t="s">
        <v>101</v>
      </c>
      <c r="J6" s="26" t="s">
        <v>102</v>
      </c>
      <c r="K6" s="26" t="s">
        <v>103</v>
      </c>
      <c r="L6" s="26" t="s">
        <v>104</v>
      </c>
      <c r="M6" s="26" t="s">
        <v>105</v>
      </c>
      <c r="N6" s="26" t="s">
        <v>106</v>
      </c>
      <c r="O6" s="26" t="s">
        <v>107</v>
      </c>
      <c r="P6" s="26" t="s">
        <v>108</v>
      </c>
      <c r="Q6" s="26" t="s">
        <v>109</v>
      </c>
      <c r="R6" s="26" t="s">
        <v>110</v>
      </c>
      <c r="S6" s="26" t="s">
        <v>111</v>
      </c>
      <c r="T6" s="26" t="s">
        <v>112</v>
      </c>
      <c r="U6" s="27" t="s">
        <v>113</v>
      </c>
    </row>
    <row r="7" customFormat="false" ht="15" hidden="false" customHeight="false" outlineLevel="0" collapsed="false">
      <c r="A7" s="8" t="s">
        <v>31</v>
      </c>
      <c r="B7" s="8" t="s">
        <v>32</v>
      </c>
      <c r="C7" s="8" t="s">
        <v>114</v>
      </c>
      <c r="D7" s="8" t="s">
        <v>115</v>
      </c>
      <c r="E7" s="8" t="s">
        <v>116</v>
      </c>
      <c r="F7" s="8" t="s">
        <v>117</v>
      </c>
      <c r="G7" s="32" t="n">
        <v>8</v>
      </c>
      <c r="H7" s="32" t="n">
        <v>7</v>
      </c>
      <c r="I7" s="32" t="n">
        <v>16000</v>
      </c>
      <c r="J7" s="33" t="n">
        <v>128000</v>
      </c>
      <c r="K7" s="33" t="n">
        <v>102000</v>
      </c>
      <c r="L7" s="33" t="n">
        <v>112000</v>
      </c>
      <c r="M7" s="33" t="n">
        <v>102000</v>
      </c>
      <c r="N7" s="33" t="s">
        <v>118</v>
      </c>
      <c r="O7" s="33" t="s">
        <v>119</v>
      </c>
      <c r="P7" s="33" t="s">
        <v>120</v>
      </c>
      <c r="Q7" s="18" t="n">
        <f aca="false">Controls!$B$7</f>
        <v>0.025</v>
      </c>
      <c r="R7" s="18" t="n">
        <f aca="false">IF(AND(ISNUMBER(J7),ISNUMBER(K7),K7&gt;0),J7/K7*(1-Q7),"")</f>
        <v>1.22352941176471</v>
      </c>
      <c r="S7" s="18" t="n">
        <f aca="false">IF(AND(ISNUMBER(L7),ISNUMBER(M7),M7&gt;0),L7/M7*(1-Q7),"")</f>
        <v>1.07058823529412</v>
      </c>
      <c r="T7" s="18" t="n">
        <f aca="false">IF(AND(ISNUMBER(R7),ISNUMBER(S7)),MIN(R7,S7)-Controls!$B$8,"")</f>
        <v>0.0705882352941176</v>
      </c>
      <c r="U7" s="10" t="s">
        <v>8</v>
      </c>
    </row>
    <row r="8" customFormat="false" ht="15" hidden="false" customHeight="false" outlineLevel="0" collapsed="false">
      <c r="A8" s="12" t="s">
        <v>31</v>
      </c>
      <c r="B8" s="12" t="s">
        <v>32</v>
      </c>
      <c r="C8" s="12" t="s">
        <v>121</v>
      </c>
      <c r="D8" s="12" t="s">
        <v>122</v>
      </c>
      <c r="E8" s="12" t="s">
        <v>123</v>
      </c>
      <c r="F8" s="12" t="s">
        <v>124</v>
      </c>
      <c r="G8" s="34" t="n">
        <v>6</v>
      </c>
      <c r="H8" s="34" t="n">
        <v>5</v>
      </c>
      <c r="I8" s="34" t="n">
        <v>20</v>
      </c>
      <c r="J8" s="29" t="n">
        <v>120</v>
      </c>
      <c r="K8" s="29" t="n">
        <v>96</v>
      </c>
      <c r="L8" s="29" t="n">
        <v>100</v>
      </c>
      <c r="M8" s="29" t="n">
        <v>96</v>
      </c>
      <c r="N8" s="29" t="s">
        <v>125</v>
      </c>
      <c r="O8" s="29" t="s">
        <v>126</v>
      </c>
      <c r="P8" s="29" t="s">
        <v>127</v>
      </c>
      <c r="Q8" s="20" t="n">
        <f aca="false">Controls!$B$7</f>
        <v>0.025</v>
      </c>
      <c r="R8" s="20" t="n">
        <f aca="false">IF(AND(ISNUMBER(J8),ISNUMBER(K8),K8&gt;0),J8/K8*(1-Q8),"")</f>
        <v>1.21875</v>
      </c>
      <c r="S8" s="20" t="n">
        <f aca="false">IF(AND(ISNUMBER(L8),ISNUMBER(M8),M8&gt;0),L8/M8*(1-Q8),"")</f>
        <v>1.015625</v>
      </c>
      <c r="T8" s="20" t="n">
        <f aca="false">IF(AND(ISNUMBER(R8),ISNUMBER(S8)),MIN(R8,S8)-Controls!$B$8,"")</f>
        <v>0.015625</v>
      </c>
      <c r="U8" s="14" t="s">
        <v>8</v>
      </c>
    </row>
    <row r="9" customFormat="false" ht="15" hidden="false" customHeight="false" outlineLevel="0" collapsed="false">
      <c r="A9" s="12" t="s">
        <v>31</v>
      </c>
      <c r="B9" s="12" t="s">
        <v>32</v>
      </c>
      <c r="C9" s="12" t="s">
        <v>128</v>
      </c>
      <c r="D9" s="12" t="s">
        <v>129</v>
      </c>
      <c r="E9" s="12" t="s">
        <v>130</v>
      </c>
      <c r="F9" s="12" t="s">
        <v>131</v>
      </c>
      <c r="G9" s="34" t="n">
        <v>2</v>
      </c>
      <c r="H9" s="34" t="n">
        <v>1</v>
      </c>
      <c r="I9" s="34" t="n">
        <v>241</v>
      </c>
      <c r="J9" s="29" t="n">
        <v>482</v>
      </c>
      <c r="K9" s="29" t="n">
        <v>234.583333333333</v>
      </c>
      <c r="L9" s="29" t="n">
        <v>241</v>
      </c>
      <c r="M9" s="29" t="n">
        <v>234.583333333333</v>
      </c>
      <c r="N9" s="29" t="s">
        <v>132</v>
      </c>
      <c r="O9" s="29" t="s">
        <v>133</v>
      </c>
      <c r="P9" s="29" t="s">
        <v>134</v>
      </c>
      <c r="Q9" s="20" t="n">
        <f aca="false">Controls!$B$7</f>
        <v>0.025</v>
      </c>
      <c r="R9" s="20" t="n">
        <f aca="false">IF(AND(ISNUMBER(J9),ISNUMBER(K9),K9&gt;0),J9/K9*(1-Q9),"")</f>
        <v>2.00333925399645</v>
      </c>
      <c r="S9" s="20" t="n">
        <f aca="false">IF(AND(ISNUMBER(L9),ISNUMBER(M9),M9&gt;0),L9/M9*(1-Q9),"")</f>
        <v>1.00166962699823</v>
      </c>
      <c r="T9" s="20" t="n">
        <f aca="false">IF(AND(ISNUMBER(R9),ISNUMBER(S9)),MIN(R9,S9)-Controls!$B$8,"")</f>
        <v>0.00166962699822526</v>
      </c>
      <c r="U9" s="14" t="s">
        <v>8</v>
      </c>
    </row>
    <row r="10" customFormat="false" ht="15" hidden="false" customHeight="false" outlineLevel="0" collapsed="false">
      <c r="A10" s="12" t="s">
        <v>31</v>
      </c>
      <c r="B10" s="12" t="s">
        <v>32</v>
      </c>
      <c r="C10" s="12" t="s">
        <v>135</v>
      </c>
      <c r="D10" s="12" t="s">
        <v>136</v>
      </c>
      <c r="E10" s="12" t="s">
        <v>137</v>
      </c>
      <c r="F10" s="12" t="s">
        <v>63</v>
      </c>
      <c r="G10" s="34" t="n">
        <v>6</v>
      </c>
      <c r="H10" s="34" t="n">
        <v>5</v>
      </c>
      <c r="I10" s="34" t="n">
        <v>0.21</v>
      </c>
      <c r="J10" s="29" t="n">
        <v>1.26</v>
      </c>
      <c r="K10" s="29" t="n">
        <v>1</v>
      </c>
      <c r="L10" s="29" t="n">
        <v>1.05</v>
      </c>
      <c r="M10" s="29" t="n">
        <v>1</v>
      </c>
      <c r="N10" s="29" t="s">
        <v>138</v>
      </c>
      <c r="O10" s="29" t="s">
        <v>139</v>
      </c>
      <c r="P10" s="29" t="s">
        <v>127</v>
      </c>
      <c r="Q10" s="20" t="n">
        <f aca="false">Controls!$B$7</f>
        <v>0.025</v>
      </c>
      <c r="R10" s="20" t="n">
        <f aca="false">IF(AND(ISNUMBER(J10),ISNUMBER(K10),K10&gt;0),J10/K10*(1-Q10),"")</f>
        <v>1.2285</v>
      </c>
      <c r="S10" s="20" t="n">
        <f aca="false">IF(AND(ISNUMBER(L10),ISNUMBER(M10),M10&gt;0),L10/M10*(1-Q10),"")</f>
        <v>1.02375</v>
      </c>
      <c r="T10" s="20" t="n">
        <f aca="false">IF(AND(ISNUMBER(R10),ISNUMBER(S10)),MIN(R10,S10)-Controls!$B$8,"")</f>
        <v>0.0237499999999999</v>
      </c>
      <c r="U10" s="14" t="s">
        <v>8</v>
      </c>
    </row>
    <row r="11" customFormat="false" ht="15" hidden="false" customHeight="false" outlineLevel="0" collapsed="false">
      <c r="A11" s="12" t="s">
        <v>31</v>
      </c>
      <c r="B11" s="12" t="s">
        <v>32</v>
      </c>
      <c r="C11" s="12" t="s">
        <v>140</v>
      </c>
      <c r="D11" s="12" t="s">
        <v>141</v>
      </c>
      <c r="E11" s="12" t="s">
        <v>142</v>
      </c>
      <c r="F11" s="12" t="s">
        <v>143</v>
      </c>
      <c r="G11" s="34" t="n">
        <v>6</v>
      </c>
      <c r="H11" s="34" t="n">
        <v>5</v>
      </c>
      <c r="I11" s="34" t="n">
        <v>252</v>
      </c>
      <c r="J11" s="29" t="n">
        <v>1512</v>
      </c>
      <c r="K11" s="29" t="n">
        <v>1200</v>
      </c>
      <c r="L11" s="29" t="n">
        <v>1260</v>
      </c>
      <c r="M11" s="29" t="n">
        <v>1200</v>
      </c>
      <c r="N11" s="29" t="s">
        <v>144</v>
      </c>
      <c r="O11" s="29" t="s">
        <v>145</v>
      </c>
      <c r="P11" s="29" t="s">
        <v>127</v>
      </c>
      <c r="Q11" s="20" t="n">
        <f aca="false">Controls!$B$7</f>
        <v>0.025</v>
      </c>
      <c r="R11" s="20" t="n">
        <f aca="false">IF(AND(ISNUMBER(J11),ISNUMBER(K11),K11&gt;0),J11/K11*(1-Q11),"")</f>
        <v>1.2285</v>
      </c>
      <c r="S11" s="20" t="n">
        <f aca="false">IF(AND(ISNUMBER(L11),ISNUMBER(M11),M11&gt;0),L11/M11*(1-Q11),"")</f>
        <v>1.02375</v>
      </c>
      <c r="T11" s="20" t="n">
        <f aca="false">IF(AND(ISNUMBER(R11),ISNUMBER(S11)),MIN(R11,S11)-Controls!$B$8,"")</f>
        <v>0.0237499999999999</v>
      </c>
      <c r="U11" s="14" t="s">
        <v>8</v>
      </c>
    </row>
    <row r="12" customFormat="false" ht="15" hidden="false" customHeight="false" outlineLevel="0" collapsed="false">
      <c r="A12" s="12" t="s">
        <v>31</v>
      </c>
      <c r="B12" s="12" t="s">
        <v>32</v>
      </c>
      <c r="C12" s="12" t="s">
        <v>146</v>
      </c>
      <c r="D12" s="12" t="s">
        <v>147</v>
      </c>
      <c r="E12" s="12" t="s">
        <v>148</v>
      </c>
      <c r="F12" s="12" t="s">
        <v>149</v>
      </c>
      <c r="G12" s="34" t="n">
        <v>1</v>
      </c>
      <c r="H12" s="34" t="n">
        <v>1</v>
      </c>
      <c r="I12" s="34"/>
      <c r="J12" s="29"/>
      <c r="K12" s="29"/>
      <c r="L12" s="29"/>
      <c r="M12" s="29"/>
      <c r="N12" s="29" t="s">
        <v>150</v>
      </c>
      <c r="O12" s="29" t="s">
        <v>151</v>
      </c>
      <c r="P12" s="29" t="s">
        <v>152</v>
      </c>
      <c r="Q12" s="20" t="n">
        <f aca="false">Controls!$B$7</f>
        <v>0.025</v>
      </c>
      <c r="R12" s="20" t="str">
        <f aca="false">IF(AND(ISNUMBER(J12),ISNUMBER(K12),K12&gt;0),J12/K12*(1-Q12),"")</f>
        <v/>
      </c>
      <c r="S12" s="20" t="str">
        <f aca="false">IF(AND(ISNUMBER(L12),ISNUMBER(M12),M12&gt;0),L12/M12*(1-Q12),"")</f>
        <v/>
      </c>
      <c r="T12" s="20" t="str">
        <f aca="false">IF(AND(ISNUMBER(R12),ISNUMBER(S12)),MIN(R12,S12)-Controls!$B$8,"")</f>
        <v/>
      </c>
      <c r="U12" s="14" t="s">
        <v>8</v>
      </c>
    </row>
    <row r="13" customFormat="false" ht="15" hidden="false" customHeight="false" outlineLevel="0" collapsed="false">
      <c r="A13" s="12" t="s">
        <v>35</v>
      </c>
      <c r="B13" s="12" t="s">
        <v>36</v>
      </c>
      <c r="C13" s="12" t="s">
        <v>114</v>
      </c>
      <c r="D13" s="12" t="s">
        <v>115</v>
      </c>
      <c r="E13" s="12" t="s">
        <v>153</v>
      </c>
      <c r="F13" s="12" t="s">
        <v>117</v>
      </c>
      <c r="G13" s="34" t="n">
        <v>10</v>
      </c>
      <c r="H13" s="34" t="n">
        <v>9</v>
      </c>
      <c r="I13" s="34" t="n">
        <v>3600</v>
      </c>
      <c r="J13" s="29" t="n">
        <v>36000</v>
      </c>
      <c r="K13" s="29" t="n">
        <v>31000</v>
      </c>
      <c r="L13" s="29" t="n">
        <v>32400</v>
      </c>
      <c r="M13" s="29" t="n">
        <v>31000</v>
      </c>
      <c r="N13" s="29" t="s">
        <v>154</v>
      </c>
      <c r="O13" s="29" t="s">
        <v>155</v>
      </c>
      <c r="P13" s="29" t="s">
        <v>127</v>
      </c>
      <c r="Q13" s="20" t="n">
        <f aca="false">Controls!$B$7</f>
        <v>0.025</v>
      </c>
      <c r="R13" s="20" t="n">
        <f aca="false">IF(AND(ISNUMBER(J13),ISNUMBER(K13),K13&gt;0),J13/K13*(1-Q13),"")</f>
        <v>1.13225806451613</v>
      </c>
      <c r="S13" s="20" t="n">
        <f aca="false">IF(AND(ISNUMBER(L13),ISNUMBER(M13),M13&gt;0),L13/M13*(1-Q13),"")</f>
        <v>1.01903225806452</v>
      </c>
      <c r="T13" s="20" t="n">
        <f aca="false">IF(AND(ISNUMBER(R13),ISNUMBER(S13)),MIN(R13,S13)-Controls!$B$8,"")</f>
        <v>0.0190322580645161</v>
      </c>
      <c r="U13" s="14" t="s">
        <v>8</v>
      </c>
    </row>
    <row r="14" customFormat="false" ht="15" hidden="false" customHeight="false" outlineLevel="0" collapsed="false">
      <c r="A14" s="12" t="s">
        <v>35</v>
      </c>
      <c r="B14" s="12" t="s">
        <v>36</v>
      </c>
      <c r="C14" s="12" t="s">
        <v>121</v>
      </c>
      <c r="D14" s="12" t="s">
        <v>122</v>
      </c>
      <c r="E14" s="12" t="s">
        <v>156</v>
      </c>
      <c r="F14" s="12" t="s">
        <v>124</v>
      </c>
      <c r="G14" s="34" t="n">
        <v>7</v>
      </c>
      <c r="H14" s="34" t="n">
        <v>6</v>
      </c>
      <c r="I14" s="34" t="n">
        <v>7.2</v>
      </c>
      <c r="J14" s="29" t="n">
        <v>50.4</v>
      </c>
      <c r="K14" s="29" t="n">
        <v>42</v>
      </c>
      <c r="L14" s="29" t="n">
        <v>43.2</v>
      </c>
      <c r="M14" s="29" t="n">
        <v>42</v>
      </c>
      <c r="N14" s="29" t="s">
        <v>157</v>
      </c>
      <c r="O14" s="29" t="s">
        <v>158</v>
      </c>
      <c r="P14" s="29" t="s">
        <v>159</v>
      </c>
      <c r="Q14" s="20" t="n">
        <f aca="false">Controls!$B$7</f>
        <v>0.025</v>
      </c>
      <c r="R14" s="20" t="n">
        <f aca="false">IF(AND(ISNUMBER(J14),ISNUMBER(K14),K14&gt;0),J14/K14*(1-Q14),"")</f>
        <v>1.17</v>
      </c>
      <c r="S14" s="20" t="n">
        <f aca="false">IF(AND(ISNUMBER(L14),ISNUMBER(M14),M14&gt;0),L14/M14*(1-Q14),"")</f>
        <v>1.00285714285714</v>
      </c>
      <c r="T14" s="20" t="n">
        <f aca="false">IF(AND(ISNUMBER(R14),ISNUMBER(S14)),MIN(R14,S14)-Controls!$B$8,"")</f>
        <v>0.00285714285714289</v>
      </c>
      <c r="U14" s="14" t="s">
        <v>8</v>
      </c>
    </row>
    <row r="15" customFormat="false" ht="15" hidden="false" customHeight="false" outlineLevel="0" collapsed="false">
      <c r="A15" s="12" t="s">
        <v>35</v>
      </c>
      <c r="B15" s="12" t="s">
        <v>36</v>
      </c>
      <c r="C15" s="12" t="s">
        <v>128</v>
      </c>
      <c r="D15" s="12" t="s">
        <v>129</v>
      </c>
      <c r="E15" s="12" t="s">
        <v>160</v>
      </c>
      <c r="F15" s="12" t="s">
        <v>63</v>
      </c>
      <c r="G15" s="34" t="n">
        <v>5</v>
      </c>
      <c r="H15" s="34" t="n">
        <v>4</v>
      </c>
      <c r="I15" s="34" t="n">
        <v>0.264</v>
      </c>
      <c r="J15" s="29" t="n">
        <v>1.32</v>
      </c>
      <c r="K15" s="29" t="n">
        <v>1</v>
      </c>
      <c r="L15" s="29" t="n">
        <v>1.056</v>
      </c>
      <c r="M15" s="29" t="n">
        <v>1</v>
      </c>
      <c r="N15" s="29" t="s">
        <v>161</v>
      </c>
      <c r="O15" s="29" t="s">
        <v>162</v>
      </c>
      <c r="P15" s="29" t="s">
        <v>127</v>
      </c>
      <c r="Q15" s="20" t="n">
        <f aca="false">Controls!$B$7</f>
        <v>0.025</v>
      </c>
      <c r="R15" s="20" t="n">
        <f aca="false">IF(AND(ISNUMBER(J15),ISNUMBER(K15),K15&gt;0),J15/K15*(1-Q15),"")</f>
        <v>1.287</v>
      </c>
      <c r="S15" s="20" t="n">
        <f aca="false">IF(AND(ISNUMBER(L15),ISNUMBER(M15),M15&gt;0),L15/M15*(1-Q15),"")</f>
        <v>1.0296</v>
      </c>
      <c r="T15" s="20" t="n">
        <f aca="false">IF(AND(ISNUMBER(R15),ISNUMBER(S15)),MIN(R15,S15)-Controls!$B$8,"")</f>
        <v>0.0296000000000001</v>
      </c>
      <c r="U15" s="14" t="s">
        <v>8</v>
      </c>
    </row>
    <row r="16" customFormat="false" ht="15" hidden="false" customHeight="false" outlineLevel="0" collapsed="false">
      <c r="A16" s="12" t="s">
        <v>35</v>
      </c>
      <c r="B16" s="12" t="s">
        <v>36</v>
      </c>
      <c r="C16" s="12" t="s">
        <v>135</v>
      </c>
      <c r="D16" s="12" t="s">
        <v>136</v>
      </c>
      <c r="E16" s="12" t="s">
        <v>163</v>
      </c>
      <c r="F16" s="12" t="s">
        <v>63</v>
      </c>
      <c r="G16" s="34" t="n">
        <v>8</v>
      </c>
      <c r="H16" s="34" t="n">
        <v>7</v>
      </c>
      <c r="I16" s="34" t="n">
        <v>0.15</v>
      </c>
      <c r="J16" s="29" t="n">
        <v>1.2</v>
      </c>
      <c r="K16" s="29" t="n">
        <v>1</v>
      </c>
      <c r="L16" s="29" t="n">
        <v>1.05</v>
      </c>
      <c r="M16" s="29" t="n">
        <v>1</v>
      </c>
      <c r="N16" s="29" t="s">
        <v>164</v>
      </c>
      <c r="O16" s="29" t="s">
        <v>165</v>
      </c>
      <c r="P16" s="29" t="s">
        <v>127</v>
      </c>
      <c r="Q16" s="20" t="n">
        <f aca="false">Controls!$B$7</f>
        <v>0.025</v>
      </c>
      <c r="R16" s="20" t="n">
        <f aca="false">IF(AND(ISNUMBER(J16),ISNUMBER(K16),K16&gt;0),J16/K16*(1-Q16),"")</f>
        <v>1.17</v>
      </c>
      <c r="S16" s="20" t="n">
        <f aca="false">IF(AND(ISNUMBER(L16),ISNUMBER(M16),M16&gt;0),L16/M16*(1-Q16),"")</f>
        <v>1.02375</v>
      </c>
      <c r="T16" s="20" t="n">
        <f aca="false">IF(AND(ISNUMBER(R16),ISNUMBER(S16)),MIN(R16,S16)-Controls!$B$8,"")</f>
        <v>0.0237499999999999</v>
      </c>
      <c r="U16" s="14" t="s">
        <v>8</v>
      </c>
    </row>
    <row r="17" customFormat="false" ht="15" hidden="false" customHeight="false" outlineLevel="0" collapsed="false">
      <c r="A17" s="12" t="s">
        <v>35</v>
      </c>
      <c r="B17" s="12" t="s">
        <v>36</v>
      </c>
      <c r="C17" s="12" t="s">
        <v>140</v>
      </c>
      <c r="D17" s="12" t="s">
        <v>141</v>
      </c>
      <c r="E17" s="12" t="s">
        <v>166</v>
      </c>
      <c r="F17" s="12" t="s">
        <v>143</v>
      </c>
      <c r="G17" s="34" t="n">
        <v>6</v>
      </c>
      <c r="H17" s="34" t="n">
        <v>5</v>
      </c>
      <c r="I17" s="34" t="n">
        <v>46.2</v>
      </c>
      <c r="J17" s="29" t="n">
        <v>277.2</v>
      </c>
      <c r="K17" s="29" t="n">
        <v>220</v>
      </c>
      <c r="L17" s="29" t="n">
        <v>231</v>
      </c>
      <c r="M17" s="29" t="n">
        <v>220</v>
      </c>
      <c r="N17" s="29" t="s">
        <v>167</v>
      </c>
      <c r="O17" s="29" t="s">
        <v>168</v>
      </c>
      <c r="P17" s="29" t="s">
        <v>127</v>
      </c>
      <c r="Q17" s="20" t="n">
        <f aca="false">Controls!$B$7</f>
        <v>0.025</v>
      </c>
      <c r="R17" s="20" t="n">
        <f aca="false">IF(AND(ISNUMBER(J17),ISNUMBER(K17),K17&gt;0),J17/K17*(1-Q17),"")</f>
        <v>1.2285</v>
      </c>
      <c r="S17" s="20" t="n">
        <f aca="false">IF(AND(ISNUMBER(L17),ISNUMBER(M17),M17&gt;0),L17/M17*(1-Q17),"")</f>
        <v>1.02375</v>
      </c>
      <c r="T17" s="20" t="n">
        <f aca="false">IF(AND(ISNUMBER(R17),ISNUMBER(S17)),MIN(R17,S17)-Controls!$B$8,"")</f>
        <v>0.0237499999999999</v>
      </c>
      <c r="U17" s="14" t="s">
        <v>8</v>
      </c>
    </row>
    <row r="18" customFormat="false" ht="15" hidden="false" customHeight="false" outlineLevel="0" collapsed="false">
      <c r="A18" s="12" t="s">
        <v>35</v>
      </c>
      <c r="B18" s="12" t="s">
        <v>36</v>
      </c>
      <c r="C18" s="12" t="s">
        <v>146</v>
      </c>
      <c r="D18" s="12" t="s">
        <v>147</v>
      </c>
      <c r="E18" s="12" t="s">
        <v>169</v>
      </c>
      <c r="F18" s="12" t="s">
        <v>149</v>
      </c>
      <c r="G18" s="34" t="n">
        <v>1</v>
      </c>
      <c r="H18" s="34" t="n">
        <v>1</v>
      </c>
      <c r="I18" s="34"/>
      <c r="J18" s="29"/>
      <c r="K18" s="29"/>
      <c r="L18" s="29"/>
      <c r="M18" s="29"/>
      <c r="N18" s="29" t="s">
        <v>170</v>
      </c>
      <c r="O18" s="29" t="s">
        <v>171</v>
      </c>
      <c r="P18" s="29" t="s">
        <v>152</v>
      </c>
      <c r="Q18" s="20" t="n">
        <f aca="false">Controls!$B$7</f>
        <v>0.025</v>
      </c>
      <c r="R18" s="20" t="str">
        <f aca="false">IF(AND(ISNUMBER(J18),ISNUMBER(K18),K18&gt;0),J18/K18*(1-Q18),"")</f>
        <v/>
      </c>
      <c r="S18" s="20" t="str">
        <f aca="false">IF(AND(ISNUMBER(L18),ISNUMBER(M18),M18&gt;0),L18/M18*(1-Q18),"")</f>
        <v/>
      </c>
      <c r="T18" s="20" t="str">
        <f aca="false">IF(AND(ISNUMBER(R18),ISNUMBER(S18)),MIN(R18,S18)-Controls!$B$8,"")</f>
        <v/>
      </c>
      <c r="U18" s="14" t="s">
        <v>8</v>
      </c>
    </row>
    <row r="19" customFormat="false" ht="15" hidden="false" customHeight="false" outlineLevel="0" collapsed="false">
      <c r="A19" s="12" t="s">
        <v>39</v>
      </c>
      <c r="B19" s="12" t="s">
        <v>40</v>
      </c>
      <c r="C19" s="12" t="s">
        <v>114</v>
      </c>
      <c r="D19" s="12" t="s">
        <v>115</v>
      </c>
      <c r="E19" s="12" t="s">
        <v>172</v>
      </c>
      <c r="F19" s="12" t="s">
        <v>117</v>
      </c>
      <c r="G19" s="34" t="n">
        <v>10</v>
      </c>
      <c r="H19" s="34" t="n">
        <v>9</v>
      </c>
      <c r="I19" s="34" t="n">
        <v>6300</v>
      </c>
      <c r="J19" s="29" t="n">
        <v>63000</v>
      </c>
      <c r="K19" s="29" t="n">
        <v>54000</v>
      </c>
      <c r="L19" s="29" t="n">
        <v>56700</v>
      </c>
      <c r="M19" s="29" t="n">
        <v>54000</v>
      </c>
      <c r="N19" s="29" t="s">
        <v>173</v>
      </c>
      <c r="O19" s="29" t="s">
        <v>174</v>
      </c>
      <c r="P19" s="29" t="s">
        <v>127</v>
      </c>
      <c r="Q19" s="20" t="n">
        <f aca="false">Controls!$B$7</f>
        <v>0.025</v>
      </c>
      <c r="R19" s="20" t="n">
        <f aca="false">IF(AND(ISNUMBER(J19),ISNUMBER(K19),K19&gt;0),J19/K19*(1-Q19),"")</f>
        <v>1.1375</v>
      </c>
      <c r="S19" s="20" t="n">
        <f aca="false">IF(AND(ISNUMBER(L19),ISNUMBER(M19),M19&gt;0),L19/M19*(1-Q19),"")</f>
        <v>1.02375</v>
      </c>
      <c r="T19" s="20" t="n">
        <f aca="false">IF(AND(ISNUMBER(R19),ISNUMBER(S19)),MIN(R19,S19)-Controls!$B$8,"")</f>
        <v>0.0237499999999999</v>
      </c>
      <c r="U19" s="14" t="s">
        <v>8</v>
      </c>
    </row>
    <row r="20" customFormat="false" ht="15" hidden="false" customHeight="false" outlineLevel="0" collapsed="false">
      <c r="A20" s="12" t="s">
        <v>39</v>
      </c>
      <c r="B20" s="12" t="s">
        <v>40</v>
      </c>
      <c r="C20" s="12" t="s">
        <v>121</v>
      </c>
      <c r="D20" s="12" t="s">
        <v>122</v>
      </c>
      <c r="E20" s="12" t="s">
        <v>175</v>
      </c>
      <c r="F20" s="12" t="s">
        <v>124</v>
      </c>
      <c r="G20" s="34" t="n">
        <v>8</v>
      </c>
      <c r="H20" s="34" t="n">
        <v>7</v>
      </c>
      <c r="I20" s="34" t="n">
        <v>20.6</v>
      </c>
      <c r="J20" s="29" t="n">
        <v>164.8</v>
      </c>
      <c r="K20" s="29" t="n">
        <v>140</v>
      </c>
      <c r="L20" s="29" t="n">
        <v>144.2</v>
      </c>
      <c r="M20" s="29" t="n">
        <v>140</v>
      </c>
      <c r="N20" s="29" t="s">
        <v>176</v>
      </c>
      <c r="O20" s="29" t="s">
        <v>177</v>
      </c>
      <c r="P20" s="29" t="s">
        <v>178</v>
      </c>
      <c r="Q20" s="20" t="n">
        <f aca="false">Controls!$B$7</f>
        <v>0.025</v>
      </c>
      <c r="R20" s="20" t="n">
        <f aca="false">IF(AND(ISNUMBER(J20),ISNUMBER(K20),K20&gt;0),J20/K20*(1-Q20),"")</f>
        <v>1.14771428571429</v>
      </c>
      <c r="S20" s="20" t="n">
        <f aca="false">IF(AND(ISNUMBER(L20),ISNUMBER(M20),M20&gt;0),L20/M20*(1-Q20),"")</f>
        <v>1.00425</v>
      </c>
      <c r="T20" s="20" t="n">
        <f aca="false">IF(AND(ISNUMBER(R20),ISNUMBER(S20)),MIN(R20,S20)-Controls!$B$8,"")</f>
        <v>0.00425000000000009</v>
      </c>
      <c r="U20" s="14" t="s">
        <v>8</v>
      </c>
    </row>
    <row r="21" customFormat="false" ht="15" hidden="false" customHeight="false" outlineLevel="0" collapsed="false">
      <c r="A21" s="12" t="s">
        <v>39</v>
      </c>
      <c r="B21" s="12" t="s">
        <v>40</v>
      </c>
      <c r="C21" s="12" t="s">
        <v>128</v>
      </c>
      <c r="D21" s="12" t="s">
        <v>129</v>
      </c>
      <c r="E21" s="12" t="s">
        <v>179</v>
      </c>
      <c r="F21" s="12" t="s">
        <v>180</v>
      </c>
      <c r="G21" s="34" t="n">
        <v>5</v>
      </c>
      <c r="H21" s="34" t="n">
        <v>4</v>
      </c>
      <c r="I21" s="34" t="n">
        <v>26.5</v>
      </c>
      <c r="J21" s="29" t="n">
        <v>132.5</v>
      </c>
      <c r="K21" s="29" t="n">
        <v>103</v>
      </c>
      <c r="L21" s="29" t="n">
        <v>106</v>
      </c>
      <c r="M21" s="29" t="n">
        <v>103</v>
      </c>
      <c r="N21" s="29" t="s">
        <v>181</v>
      </c>
      <c r="O21" s="29" t="s">
        <v>182</v>
      </c>
      <c r="P21" s="29" t="s">
        <v>183</v>
      </c>
      <c r="Q21" s="20" t="n">
        <f aca="false">Controls!$B$7</f>
        <v>0.025</v>
      </c>
      <c r="R21" s="20" t="n">
        <f aca="false">IF(AND(ISNUMBER(J21),ISNUMBER(K21),K21&gt;0),J21/K21*(1-Q21),"")</f>
        <v>1.25424757281553</v>
      </c>
      <c r="S21" s="20" t="n">
        <f aca="false">IF(AND(ISNUMBER(L21),ISNUMBER(M21),M21&gt;0),L21/M21*(1-Q21),"")</f>
        <v>1.00339805825243</v>
      </c>
      <c r="T21" s="20" t="n">
        <f aca="false">IF(AND(ISNUMBER(R21),ISNUMBER(S21)),MIN(R21,S21)-Controls!$B$8,"")</f>
        <v>0.00339805825242712</v>
      </c>
      <c r="U21" s="14" t="s">
        <v>8</v>
      </c>
    </row>
    <row r="22" customFormat="false" ht="15" hidden="false" customHeight="false" outlineLevel="0" collapsed="false">
      <c r="A22" s="12" t="s">
        <v>39</v>
      </c>
      <c r="B22" s="12" t="s">
        <v>40</v>
      </c>
      <c r="C22" s="12" t="s">
        <v>135</v>
      </c>
      <c r="D22" s="12" t="s">
        <v>136</v>
      </c>
      <c r="E22" s="12" t="s">
        <v>184</v>
      </c>
      <c r="F22" s="12" t="s">
        <v>63</v>
      </c>
      <c r="G22" s="34" t="n">
        <v>8</v>
      </c>
      <c r="H22" s="34" t="n">
        <v>7</v>
      </c>
      <c r="I22" s="34" t="n">
        <v>0.15</v>
      </c>
      <c r="J22" s="29" t="n">
        <v>1.2</v>
      </c>
      <c r="K22" s="29" t="n">
        <v>1</v>
      </c>
      <c r="L22" s="29" t="n">
        <v>1.05</v>
      </c>
      <c r="M22" s="29" t="n">
        <v>1</v>
      </c>
      <c r="N22" s="29" t="s">
        <v>185</v>
      </c>
      <c r="O22" s="29" t="s">
        <v>186</v>
      </c>
      <c r="P22" s="29" t="s">
        <v>127</v>
      </c>
      <c r="Q22" s="20" t="n">
        <f aca="false">Controls!$B$7</f>
        <v>0.025</v>
      </c>
      <c r="R22" s="20" t="n">
        <f aca="false">IF(AND(ISNUMBER(J22),ISNUMBER(K22),K22&gt;0),J22/K22*(1-Q22),"")</f>
        <v>1.17</v>
      </c>
      <c r="S22" s="20" t="n">
        <f aca="false">IF(AND(ISNUMBER(L22),ISNUMBER(M22),M22&gt;0),L22/M22*(1-Q22),"")</f>
        <v>1.02375</v>
      </c>
      <c r="T22" s="20" t="n">
        <f aca="false">IF(AND(ISNUMBER(R22),ISNUMBER(S22)),MIN(R22,S22)-Controls!$B$8,"")</f>
        <v>0.0237499999999999</v>
      </c>
      <c r="U22" s="14" t="s">
        <v>8</v>
      </c>
    </row>
    <row r="23" customFormat="false" ht="15" hidden="false" customHeight="false" outlineLevel="0" collapsed="false">
      <c r="A23" s="12" t="s">
        <v>39</v>
      </c>
      <c r="B23" s="12" t="s">
        <v>40</v>
      </c>
      <c r="C23" s="12" t="s">
        <v>140</v>
      </c>
      <c r="D23" s="12" t="s">
        <v>141</v>
      </c>
      <c r="E23" s="12" t="s">
        <v>187</v>
      </c>
      <c r="F23" s="12" t="s">
        <v>143</v>
      </c>
      <c r="G23" s="34" t="n">
        <v>6</v>
      </c>
      <c r="H23" s="34" t="n">
        <v>5</v>
      </c>
      <c r="I23" s="34" t="n">
        <v>189</v>
      </c>
      <c r="J23" s="29" t="n">
        <v>1134</v>
      </c>
      <c r="K23" s="29" t="n">
        <v>900</v>
      </c>
      <c r="L23" s="29" t="n">
        <v>945</v>
      </c>
      <c r="M23" s="29" t="n">
        <v>900</v>
      </c>
      <c r="N23" s="29" t="s">
        <v>188</v>
      </c>
      <c r="O23" s="29" t="s">
        <v>189</v>
      </c>
      <c r="P23" s="29" t="s">
        <v>127</v>
      </c>
      <c r="Q23" s="20" t="n">
        <f aca="false">Controls!$B$7</f>
        <v>0.025</v>
      </c>
      <c r="R23" s="20" t="n">
        <f aca="false">IF(AND(ISNUMBER(J23),ISNUMBER(K23),K23&gt;0),J23/K23*(1-Q23),"")</f>
        <v>1.2285</v>
      </c>
      <c r="S23" s="20" t="n">
        <f aca="false">IF(AND(ISNUMBER(L23),ISNUMBER(M23),M23&gt;0),L23/M23*(1-Q23),"")</f>
        <v>1.02375</v>
      </c>
      <c r="T23" s="20" t="n">
        <f aca="false">IF(AND(ISNUMBER(R23),ISNUMBER(S23)),MIN(R23,S23)-Controls!$B$8,"")</f>
        <v>0.0237499999999999</v>
      </c>
      <c r="U23" s="14" t="s">
        <v>8</v>
      </c>
    </row>
    <row r="24" customFormat="false" ht="15" hidden="false" customHeight="false" outlineLevel="0" collapsed="false">
      <c r="A24" s="12" t="s">
        <v>39</v>
      </c>
      <c r="B24" s="12" t="s">
        <v>40</v>
      </c>
      <c r="C24" s="12" t="s">
        <v>146</v>
      </c>
      <c r="D24" s="12" t="s">
        <v>147</v>
      </c>
      <c r="E24" s="12" t="s">
        <v>190</v>
      </c>
      <c r="F24" s="12" t="s">
        <v>149</v>
      </c>
      <c r="G24" s="34" t="n">
        <v>1</v>
      </c>
      <c r="H24" s="34" t="n">
        <v>1</v>
      </c>
      <c r="I24" s="34"/>
      <c r="J24" s="29"/>
      <c r="K24" s="29"/>
      <c r="L24" s="29"/>
      <c r="M24" s="29"/>
      <c r="N24" s="29" t="s">
        <v>191</v>
      </c>
      <c r="O24" s="29" t="s">
        <v>192</v>
      </c>
      <c r="P24" s="29" t="s">
        <v>152</v>
      </c>
      <c r="Q24" s="20" t="n">
        <f aca="false">Controls!$B$7</f>
        <v>0.025</v>
      </c>
      <c r="R24" s="20" t="str">
        <f aca="false">IF(AND(ISNUMBER(J24),ISNUMBER(K24),K24&gt;0),J24/K24*(1-Q24),"")</f>
        <v/>
      </c>
      <c r="S24" s="20" t="str">
        <f aca="false">IF(AND(ISNUMBER(L24),ISNUMBER(M24),M24&gt;0),L24/M24*(1-Q24),"")</f>
        <v/>
      </c>
      <c r="T24" s="20" t="str">
        <f aca="false">IF(AND(ISNUMBER(R24),ISNUMBER(S24)),MIN(R24,S24)-Controls!$B$8,"")</f>
        <v/>
      </c>
      <c r="U24" s="14" t="s">
        <v>8</v>
      </c>
    </row>
    <row r="25" customFormat="false" ht="15" hidden="false" customHeight="false" outlineLevel="0" collapsed="false">
      <c r="A25" s="12" t="s">
        <v>43</v>
      </c>
      <c r="B25" s="12" t="s">
        <v>44</v>
      </c>
      <c r="C25" s="12" t="s">
        <v>114</v>
      </c>
      <c r="D25" s="12" t="s">
        <v>115</v>
      </c>
      <c r="E25" s="12" t="s">
        <v>193</v>
      </c>
      <c r="F25" s="12" t="s">
        <v>194</v>
      </c>
      <c r="G25" s="34" t="n">
        <v>9</v>
      </c>
      <c r="H25" s="34" t="n">
        <v>8</v>
      </c>
      <c r="I25" s="34" t="n">
        <v>3.99</v>
      </c>
      <c r="J25" s="29" t="n">
        <v>35.91</v>
      </c>
      <c r="K25" s="29" t="n">
        <v>31.075</v>
      </c>
      <c r="L25" s="29" t="n">
        <v>31.92</v>
      </c>
      <c r="M25" s="29" t="n">
        <v>31.075</v>
      </c>
      <c r="N25" s="29" t="s">
        <v>195</v>
      </c>
      <c r="O25" s="29" t="s">
        <v>196</v>
      </c>
      <c r="P25" s="29" t="s">
        <v>197</v>
      </c>
      <c r="Q25" s="20" t="n">
        <f aca="false">Controls!$B$7</f>
        <v>0.025</v>
      </c>
      <c r="R25" s="20" t="n">
        <f aca="false">IF(AND(ISNUMBER(J25),ISNUMBER(K25),K25&gt;0),J25/K25*(1-Q25),"")</f>
        <v>1.12670152855994</v>
      </c>
      <c r="S25" s="20" t="n">
        <f aca="false">IF(AND(ISNUMBER(L25),ISNUMBER(M25),M25&gt;0),L25/M25*(1-Q25),"")</f>
        <v>1.00151246983105</v>
      </c>
      <c r="T25" s="20" t="n">
        <f aca="false">IF(AND(ISNUMBER(R25),ISNUMBER(S25)),MIN(R25,S25)-Controls!$B$8,"")</f>
        <v>0.00151246983105402</v>
      </c>
      <c r="U25" s="14" t="s">
        <v>8</v>
      </c>
    </row>
    <row r="26" customFormat="false" ht="15" hidden="false" customHeight="false" outlineLevel="0" collapsed="false">
      <c r="A26" s="12" t="s">
        <v>43</v>
      </c>
      <c r="B26" s="12" t="s">
        <v>44</v>
      </c>
      <c r="C26" s="12" t="s">
        <v>121</v>
      </c>
      <c r="D26" s="12" t="s">
        <v>122</v>
      </c>
      <c r="E26" s="12" t="s">
        <v>198</v>
      </c>
      <c r="F26" s="12" t="s">
        <v>124</v>
      </c>
      <c r="G26" s="34" t="n">
        <v>4</v>
      </c>
      <c r="H26" s="34" t="n">
        <v>3</v>
      </c>
      <c r="I26" s="34" t="n">
        <v>13</v>
      </c>
      <c r="J26" s="29" t="n">
        <v>52</v>
      </c>
      <c r="K26" s="29" t="n">
        <v>37.3510416667</v>
      </c>
      <c r="L26" s="29" t="n">
        <v>39</v>
      </c>
      <c r="M26" s="29" t="n">
        <v>37.3510416667</v>
      </c>
      <c r="N26" s="29" t="s">
        <v>199</v>
      </c>
      <c r="O26" s="29" t="s">
        <v>200</v>
      </c>
      <c r="P26" s="29" t="s">
        <v>201</v>
      </c>
      <c r="Q26" s="20" t="n">
        <f aca="false">Controls!$B$7</f>
        <v>0.025</v>
      </c>
      <c r="R26" s="20" t="n">
        <f aca="false">IF(AND(ISNUMBER(J26),ISNUMBER(K26),K26&gt;0),J26/K26*(1-Q26),"")</f>
        <v>1.35739186211776</v>
      </c>
      <c r="S26" s="20" t="n">
        <f aca="false">IF(AND(ISNUMBER(L26),ISNUMBER(M26),M26&gt;0),L26/M26*(1-Q26),"")</f>
        <v>1.01804389658832</v>
      </c>
      <c r="T26" s="20" t="n">
        <f aca="false">IF(AND(ISNUMBER(R26),ISNUMBER(S26)),MIN(R26,S26)-Controls!$B$8,"")</f>
        <v>0.018043896588321</v>
      </c>
      <c r="U26" s="14" t="s">
        <v>8</v>
      </c>
    </row>
    <row r="27" customFormat="false" ht="15" hidden="false" customHeight="false" outlineLevel="0" collapsed="false">
      <c r="A27" s="12" t="s">
        <v>43</v>
      </c>
      <c r="B27" s="12" t="s">
        <v>44</v>
      </c>
      <c r="C27" s="12" t="s">
        <v>128</v>
      </c>
      <c r="D27" s="12" t="s">
        <v>129</v>
      </c>
      <c r="E27" s="12" t="s">
        <v>202</v>
      </c>
      <c r="F27" s="12" t="s">
        <v>203</v>
      </c>
      <c r="G27" s="34" t="n">
        <v>2</v>
      </c>
      <c r="H27" s="34" t="n">
        <v>1</v>
      </c>
      <c r="I27" s="34" t="n">
        <v>15.5</v>
      </c>
      <c r="J27" s="29" t="n">
        <v>31</v>
      </c>
      <c r="K27" s="29" t="n">
        <v>30</v>
      </c>
      <c r="L27" s="29" t="n">
        <v>15.5</v>
      </c>
      <c r="M27" s="29" t="n">
        <v>15</v>
      </c>
      <c r="N27" s="29" t="s">
        <v>204</v>
      </c>
      <c r="O27" s="29" t="s">
        <v>205</v>
      </c>
      <c r="P27" s="29" t="s">
        <v>206</v>
      </c>
      <c r="Q27" s="20" t="n">
        <f aca="false">Controls!$B$7</f>
        <v>0.025</v>
      </c>
      <c r="R27" s="20" t="n">
        <f aca="false">IF(AND(ISNUMBER(J27),ISNUMBER(K27),K27&gt;0),J27/K27*(1-Q27),"")</f>
        <v>1.0075</v>
      </c>
      <c r="S27" s="20" t="n">
        <f aca="false">IF(AND(ISNUMBER(L27),ISNUMBER(M27),M27&gt;0),L27/M27*(1-Q27),"")</f>
        <v>1.0075</v>
      </c>
      <c r="T27" s="20" t="n">
        <f aca="false">IF(AND(ISNUMBER(R27),ISNUMBER(S27)),MIN(R27,S27)-Controls!$B$8,"")</f>
        <v>0.00750000000000006</v>
      </c>
      <c r="U27" s="14" t="s">
        <v>8</v>
      </c>
    </row>
    <row r="28" customFormat="false" ht="15" hidden="false" customHeight="false" outlineLevel="0" collapsed="false">
      <c r="A28" s="12" t="s">
        <v>43</v>
      </c>
      <c r="B28" s="12" t="s">
        <v>44</v>
      </c>
      <c r="C28" s="12" t="s">
        <v>135</v>
      </c>
      <c r="D28" s="12" t="s">
        <v>136</v>
      </c>
      <c r="E28" s="12" t="s">
        <v>207</v>
      </c>
      <c r="F28" s="12" t="s">
        <v>208</v>
      </c>
      <c r="G28" s="34" t="n">
        <v>3</v>
      </c>
      <c r="H28" s="34" t="n">
        <v>2</v>
      </c>
      <c r="I28" s="34" t="n">
        <v>13</v>
      </c>
      <c r="J28" s="29" t="n">
        <v>39</v>
      </c>
      <c r="K28" s="29" t="n">
        <v>25</v>
      </c>
      <c r="L28" s="29" t="n">
        <v>26</v>
      </c>
      <c r="M28" s="29" t="n">
        <v>25</v>
      </c>
      <c r="N28" s="29" t="s">
        <v>209</v>
      </c>
      <c r="O28" s="29" t="s">
        <v>210</v>
      </c>
      <c r="P28" s="29" t="s">
        <v>211</v>
      </c>
      <c r="Q28" s="20" t="n">
        <f aca="false">Controls!$B$7</f>
        <v>0.025</v>
      </c>
      <c r="R28" s="20" t="n">
        <f aca="false">IF(AND(ISNUMBER(J28),ISNUMBER(K28),K28&gt;0),J28/K28*(1-Q28),"")</f>
        <v>1.521</v>
      </c>
      <c r="S28" s="20" t="n">
        <f aca="false">IF(AND(ISNUMBER(L28),ISNUMBER(M28),M28&gt;0),L28/M28*(1-Q28),"")</f>
        <v>1.014</v>
      </c>
      <c r="T28" s="20" t="n">
        <f aca="false">IF(AND(ISNUMBER(R28),ISNUMBER(S28)),MIN(R28,S28)-Controls!$B$8,"")</f>
        <v>0.014</v>
      </c>
      <c r="U28" s="14" t="s">
        <v>8</v>
      </c>
    </row>
    <row r="29" customFormat="false" ht="15" hidden="false" customHeight="false" outlineLevel="0" collapsed="false">
      <c r="A29" s="12" t="s">
        <v>43</v>
      </c>
      <c r="B29" s="12" t="s">
        <v>44</v>
      </c>
      <c r="C29" s="12" t="s">
        <v>140</v>
      </c>
      <c r="D29" s="12" t="s">
        <v>141</v>
      </c>
      <c r="E29" s="12" t="s">
        <v>212</v>
      </c>
      <c r="F29" s="12" t="s">
        <v>213</v>
      </c>
      <c r="G29" s="34" t="n">
        <v>3</v>
      </c>
      <c r="H29" s="34" t="n">
        <v>2</v>
      </c>
      <c r="I29" s="34" t="n">
        <v>10.3</v>
      </c>
      <c r="J29" s="29" t="n">
        <v>30.9</v>
      </c>
      <c r="K29" s="29" t="n">
        <v>20</v>
      </c>
      <c r="L29" s="29" t="n">
        <v>20.6</v>
      </c>
      <c r="M29" s="29" t="n">
        <v>20</v>
      </c>
      <c r="N29" s="29" t="s">
        <v>214</v>
      </c>
      <c r="O29" s="29" t="s">
        <v>215</v>
      </c>
      <c r="P29" s="29" t="s">
        <v>216</v>
      </c>
      <c r="Q29" s="20" t="n">
        <f aca="false">Controls!$B$7</f>
        <v>0.025</v>
      </c>
      <c r="R29" s="20" t="n">
        <f aca="false">IF(AND(ISNUMBER(J29),ISNUMBER(K29),K29&gt;0),J29/K29*(1-Q29),"")</f>
        <v>1.506375</v>
      </c>
      <c r="S29" s="20" t="n">
        <f aca="false">IF(AND(ISNUMBER(L29),ISNUMBER(M29),M29&gt;0),L29/M29*(1-Q29),"")</f>
        <v>1.00425</v>
      </c>
      <c r="T29" s="20" t="n">
        <f aca="false">IF(AND(ISNUMBER(R29),ISNUMBER(S29)),MIN(R29,S29)-Controls!$B$8,"")</f>
        <v>0.00425000000000009</v>
      </c>
      <c r="U29" s="14" t="s">
        <v>8</v>
      </c>
    </row>
    <row r="30" customFormat="false" ht="15" hidden="false" customHeight="false" outlineLevel="0" collapsed="false">
      <c r="A30" s="12" t="s">
        <v>43</v>
      </c>
      <c r="B30" s="12" t="s">
        <v>44</v>
      </c>
      <c r="C30" s="12" t="s">
        <v>146</v>
      </c>
      <c r="D30" s="12" t="s">
        <v>147</v>
      </c>
      <c r="E30" s="12" t="s">
        <v>217</v>
      </c>
      <c r="F30" s="12" t="s">
        <v>149</v>
      </c>
      <c r="G30" s="34" t="n">
        <v>1</v>
      </c>
      <c r="H30" s="34" t="n">
        <v>1</v>
      </c>
      <c r="I30" s="34"/>
      <c r="J30" s="29"/>
      <c r="K30" s="29"/>
      <c r="L30" s="29"/>
      <c r="M30" s="29"/>
      <c r="N30" s="29" t="s">
        <v>218</v>
      </c>
      <c r="O30" s="29" t="s">
        <v>219</v>
      </c>
      <c r="P30" s="29" t="s">
        <v>152</v>
      </c>
      <c r="Q30" s="20" t="n">
        <f aca="false">Controls!$B$7</f>
        <v>0.025</v>
      </c>
      <c r="R30" s="20" t="str">
        <f aca="false">IF(AND(ISNUMBER(J30),ISNUMBER(K30),K30&gt;0),J30/K30*(1-Q30),"")</f>
        <v/>
      </c>
      <c r="S30" s="20" t="str">
        <f aca="false">IF(AND(ISNUMBER(L30),ISNUMBER(M30),M30&gt;0),L30/M30*(1-Q30),"")</f>
        <v/>
      </c>
      <c r="T30" s="20" t="str">
        <f aca="false">IF(AND(ISNUMBER(R30),ISNUMBER(S30)),MIN(R30,S30)-Controls!$B$8,"")</f>
        <v/>
      </c>
      <c r="U30" s="14" t="s">
        <v>8</v>
      </c>
    </row>
    <row r="31" customFormat="false" ht="15" hidden="false" customHeight="false" outlineLevel="0" collapsed="false">
      <c r="A31" s="12" t="s">
        <v>47</v>
      </c>
      <c r="B31" s="12" t="s">
        <v>48</v>
      </c>
      <c r="C31" s="12" t="s">
        <v>114</v>
      </c>
      <c r="D31" s="12" t="s">
        <v>115</v>
      </c>
      <c r="E31" s="12" t="s">
        <v>220</v>
      </c>
      <c r="F31" s="12" t="s">
        <v>194</v>
      </c>
      <c r="G31" s="34" t="n">
        <v>8</v>
      </c>
      <c r="H31" s="34" t="n">
        <v>7</v>
      </c>
      <c r="I31" s="34" t="n">
        <v>7.35</v>
      </c>
      <c r="J31" s="29" t="n">
        <v>58.8</v>
      </c>
      <c r="K31" s="29" t="n">
        <v>50</v>
      </c>
      <c r="L31" s="29" t="n">
        <v>51.45</v>
      </c>
      <c r="M31" s="29" t="n">
        <v>50</v>
      </c>
      <c r="N31" s="29" t="s">
        <v>221</v>
      </c>
      <c r="O31" s="29" t="s">
        <v>222</v>
      </c>
      <c r="P31" s="29" t="s">
        <v>223</v>
      </c>
      <c r="Q31" s="20" t="n">
        <f aca="false">Controls!$B$7</f>
        <v>0.025</v>
      </c>
      <c r="R31" s="20" t="n">
        <f aca="false">IF(AND(ISNUMBER(J31),ISNUMBER(K31),K31&gt;0),J31/K31*(1-Q31),"")</f>
        <v>1.1466</v>
      </c>
      <c r="S31" s="20" t="n">
        <f aca="false">IF(AND(ISNUMBER(L31),ISNUMBER(M31),M31&gt;0),L31/M31*(1-Q31),"")</f>
        <v>1.003275</v>
      </c>
      <c r="T31" s="20" t="n">
        <f aca="false">IF(AND(ISNUMBER(R31),ISNUMBER(S31)),MIN(R31,S31)-Controls!$B$8,"")</f>
        <v>0.00327500000000014</v>
      </c>
      <c r="U31" s="14" t="s">
        <v>8</v>
      </c>
    </row>
    <row r="32" customFormat="false" ht="15" hidden="false" customHeight="false" outlineLevel="0" collapsed="false">
      <c r="A32" s="12" t="s">
        <v>47</v>
      </c>
      <c r="B32" s="12" t="s">
        <v>48</v>
      </c>
      <c r="C32" s="12" t="s">
        <v>121</v>
      </c>
      <c r="D32" s="12" t="s">
        <v>122</v>
      </c>
      <c r="E32" s="12" t="s">
        <v>224</v>
      </c>
      <c r="F32" s="12" t="s">
        <v>124</v>
      </c>
      <c r="G32" s="34" t="n">
        <v>6</v>
      </c>
      <c r="H32" s="34" t="n">
        <v>5</v>
      </c>
      <c r="I32" s="34" t="n">
        <v>11</v>
      </c>
      <c r="J32" s="29" t="n">
        <v>66</v>
      </c>
      <c r="K32" s="29" t="n">
        <v>52</v>
      </c>
      <c r="L32" s="29" t="n">
        <v>55</v>
      </c>
      <c r="M32" s="29" t="n">
        <v>52</v>
      </c>
      <c r="N32" s="29" t="s">
        <v>225</v>
      </c>
      <c r="O32" s="29" t="s">
        <v>226</v>
      </c>
      <c r="P32" s="29" t="s">
        <v>127</v>
      </c>
      <c r="Q32" s="20" t="n">
        <f aca="false">Controls!$B$7</f>
        <v>0.025</v>
      </c>
      <c r="R32" s="20" t="n">
        <f aca="false">IF(AND(ISNUMBER(J32),ISNUMBER(K32),K32&gt;0),J32/K32*(1-Q32),"")</f>
        <v>1.2375</v>
      </c>
      <c r="S32" s="20" t="n">
        <f aca="false">IF(AND(ISNUMBER(L32),ISNUMBER(M32),M32&gt;0),L32/M32*(1-Q32),"")</f>
        <v>1.03125</v>
      </c>
      <c r="T32" s="20" t="n">
        <f aca="false">IF(AND(ISNUMBER(R32),ISNUMBER(S32)),MIN(R32,S32)-Controls!$B$8,"")</f>
        <v>0.03125</v>
      </c>
      <c r="U32" s="14" t="s">
        <v>8</v>
      </c>
    </row>
    <row r="33" customFormat="false" ht="15" hidden="false" customHeight="false" outlineLevel="0" collapsed="false">
      <c r="A33" s="12" t="s">
        <v>47</v>
      </c>
      <c r="B33" s="12" t="s">
        <v>48</v>
      </c>
      <c r="C33" s="12" t="s">
        <v>128</v>
      </c>
      <c r="D33" s="12" t="s">
        <v>129</v>
      </c>
      <c r="E33" s="12" t="s">
        <v>227</v>
      </c>
      <c r="F33" s="12" t="s">
        <v>63</v>
      </c>
      <c r="G33" s="34" t="n">
        <v>10</v>
      </c>
      <c r="H33" s="34" t="n">
        <v>10</v>
      </c>
      <c r="I33" s="34"/>
      <c r="J33" s="29" t="n">
        <v>1.28</v>
      </c>
      <c r="K33" s="29" t="n">
        <v>1</v>
      </c>
      <c r="L33" s="29" t="n">
        <v>1.032</v>
      </c>
      <c r="M33" s="29" t="n">
        <v>1</v>
      </c>
      <c r="N33" s="29" t="s">
        <v>228</v>
      </c>
      <c r="O33" s="29" t="s">
        <v>229</v>
      </c>
      <c r="P33" s="29" t="s">
        <v>127</v>
      </c>
      <c r="Q33" s="20" t="n">
        <f aca="false">Controls!$B$7</f>
        <v>0.025</v>
      </c>
      <c r="R33" s="20" t="n">
        <f aca="false">IF(AND(ISNUMBER(J33),ISNUMBER(K33),K33&gt;0),J33/K33*(1-Q33),"")</f>
        <v>1.248</v>
      </c>
      <c r="S33" s="20" t="n">
        <f aca="false">IF(AND(ISNUMBER(L33),ISNUMBER(M33),M33&gt;0),L33/M33*(1-Q33),"")</f>
        <v>1.0062</v>
      </c>
      <c r="T33" s="20" t="n">
        <f aca="false">IF(AND(ISNUMBER(R33),ISNUMBER(S33)),MIN(R33,S33)-Controls!$B$8,"")</f>
        <v>0.00619999999999998</v>
      </c>
      <c r="U33" s="14" t="s">
        <v>8</v>
      </c>
    </row>
    <row r="34" customFormat="false" ht="15" hidden="false" customHeight="false" outlineLevel="0" collapsed="false">
      <c r="A34" s="12" t="s">
        <v>47</v>
      </c>
      <c r="B34" s="12" t="s">
        <v>48</v>
      </c>
      <c r="C34" s="12" t="s">
        <v>135</v>
      </c>
      <c r="D34" s="12" t="s">
        <v>136</v>
      </c>
      <c r="E34" s="12" t="s">
        <v>230</v>
      </c>
      <c r="F34" s="12" t="s">
        <v>63</v>
      </c>
      <c r="G34" s="34" t="n">
        <v>8</v>
      </c>
      <c r="H34" s="34" t="n">
        <v>7</v>
      </c>
      <c r="I34" s="34" t="n">
        <v>0.15</v>
      </c>
      <c r="J34" s="29" t="n">
        <v>1.2</v>
      </c>
      <c r="K34" s="29" t="n">
        <v>1</v>
      </c>
      <c r="L34" s="29" t="n">
        <v>1.05</v>
      </c>
      <c r="M34" s="29" t="n">
        <v>1</v>
      </c>
      <c r="N34" s="29" t="s">
        <v>231</v>
      </c>
      <c r="O34" s="29" t="s">
        <v>232</v>
      </c>
      <c r="P34" s="29" t="s">
        <v>127</v>
      </c>
      <c r="Q34" s="20" t="n">
        <f aca="false">Controls!$B$7</f>
        <v>0.025</v>
      </c>
      <c r="R34" s="20" t="n">
        <f aca="false">IF(AND(ISNUMBER(J34),ISNUMBER(K34),K34&gt;0),J34/K34*(1-Q34),"")</f>
        <v>1.17</v>
      </c>
      <c r="S34" s="20" t="n">
        <f aca="false">IF(AND(ISNUMBER(L34),ISNUMBER(M34),M34&gt;0),L34/M34*(1-Q34),"")</f>
        <v>1.02375</v>
      </c>
      <c r="T34" s="20" t="n">
        <f aca="false">IF(AND(ISNUMBER(R34),ISNUMBER(S34)),MIN(R34,S34)-Controls!$B$8,"")</f>
        <v>0.0237499999999999</v>
      </c>
      <c r="U34" s="14" t="s">
        <v>8</v>
      </c>
    </row>
    <row r="35" customFormat="false" ht="15" hidden="false" customHeight="false" outlineLevel="0" collapsed="false">
      <c r="A35" s="12" t="s">
        <v>47</v>
      </c>
      <c r="B35" s="12" t="s">
        <v>48</v>
      </c>
      <c r="C35" s="12" t="s">
        <v>140</v>
      </c>
      <c r="D35" s="12" t="s">
        <v>141</v>
      </c>
      <c r="E35" s="12" t="s">
        <v>233</v>
      </c>
      <c r="F35" s="12" t="s">
        <v>143</v>
      </c>
      <c r="G35" s="34" t="n">
        <v>6</v>
      </c>
      <c r="H35" s="34" t="n">
        <v>5</v>
      </c>
      <c r="I35" s="34" t="n">
        <v>73.5</v>
      </c>
      <c r="J35" s="29" t="n">
        <v>441</v>
      </c>
      <c r="K35" s="29" t="n">
        <v>350</v>
      </c>
      <c r="L35" s="29" t="n">
        <v>367.5</v>
      </c>
      <c r="M35" s="29" t="n">
        <v>350</v>
      </c>
      <c r="N35" s="29" t="s">
        <v>234</v>
      </c>
      <c r="O35" s="29" t="s">
        <v>235</v>
      </c>
      <c r="P35" s="29" t="s">
        <v>127</v>
      </c>
      <c r="Q35" s="20" t="n">
        <f aca="false">Controls!$B$7</f>
        <v>0.025</v>
      </c>
      <c r="R35" s="20" t="n">
        <f aca="false">IF(AND(ISNUMBER(J35),ISNUMBER(K35),K35&gt;0),J35/K35*(1-Q35),"")</f>
        <v>1.2285</v>
      </c>
      <c r="S35" s="20" t="n">
        <f aca="false">IF(AND(ISNUMBER(L35),ISNUMBER(M35),M35&gt;0),L35/M35*(1-Q35),"")</f>
        <v>1.02375</v>
      </c>
      <c r="T35" s="20" t="n">
        <f aca="false">IF(AND(ISNUMBER(R35),ISNUMBER(S35)),MIN(R35,S35)-Controls!$B$8,"")</f>
        <v>0.0237499999999999</v>
      </c>
      <c r="U35" s="14" t="s">
        <v>8</v>
      </c>
    </row>
    <row r="36" customFormat="false" ht="15" hidden="false" customHeight="false" outlineLevel="0" collapsed="false">
      <c r="A36" s="12" t="s">
        <v>47</v>
      </c>
      <c r="B36" s="12" t="s">
        <v>48</v>
      </c>
      <c r="C36" s="12" t="s">
        <v>146</v>
      </c>
      <c r="D36" s="12" t="s">
        <v>147</v>
      </c>
      <c r="E36" s="12" t="s">
        <v>236</v>
      </c>
      <c r="F36" s="12" t="s">
        <v>149</v>
      </c>
      <c r="G36" s="34" t="n">
        <v>1</v>
      </c>
      <c r="H36" s="34" t="n">
        <v>1</v>
      </c>
      <c r="I36" s="34"/>
      <c r="J36" s="29"/>
      <c r="K36" s="29"/>
      <c r="L36" s="29"/>
      <c r="M36" s="29"/>
      <c r="N36" s="29" t="s">
        <v>237</v>
      </c>
      <c r="O36" s="29" t="s">
        <v>238</v>
      </c>
      <c r="P36" s="29" t="s">
        <v>152</v>
      </c>
      <c r="Q36" s="20" t="n">
        <f aca="false">Controls!$B$7</f>
        <v>0.025</v>
      </c>
      <c r="R36" s="20" t="str">
        <f aca="false">IF(AND(ISNUMBER(J36),ISNUMBER(K36),K36&gt;0),J36/K36*(1-Q36),"")</f>
        <v/>
      </c>
      <c r="S36" s="20" t="str">
        <f aca="false">IF(AND(ISNUMBER(L36),ISNUMBER(M36),M36&gt;0),L36/M36*(1-Q36),"")</f>
        <v/>
      </c>
      <c r="T36" s="20" t="str">
        <f aca="false">IF(AND(ISNUMBER(R36),ISNUMBER(S36)),MIN(R36,S36)-Controls!$B$8,"")</f>
        <v/>
      </c>
      <c r="U36" s="14" t="s">
        <v>8</v>
      </c>
    </row>
    <row r="37" customFormat="false" ht="15" hidden="false" customHeight="false" outlineLevel="0" collapsed="false">
      <c r="A37" s="12" t="s">
        <v>51</v>
      </c>
      <c r="B37" s="12" t="s">
        <v>52</v>
      </c>
      <c r="C37" s="12" t="s">
        <v>114</v>
      </c>
      <c r="D37" s="12" t="s">
        <v>115</v>
      </c>
      <c r="E37" s="12" t="s">
        <v>239</v>
      </c>
      <c r="F37" s="12" t="s">
        <v>117</v>
      </c>
      <c r="G37" s="34" t="n">
        <v>10</v>
      </c>
      <c r="H37" s="34" t="n">
        <v>9</v>
      </c>
      <c r="I37" s="34" t="n">
        <v>8400</v>
      </c>
      <c r="J37" s="29" t="n">
        <v>84000</v>
      </c>
      <c r="K37" s="29" t="n">
        <v>72000</v>
      </c>
      <c r="L37" s="29" t="n">
        <v>75600</v>
      </c>
      <c r="M37" s="29" t="n">
        <v>72000</v>
      </c>
      <c r="N37" s="29" t="s">
        <v>240</v>
      </c>
      <c r="O37" s="29" t="s">
        <v>241</v>
      </c>
      <c r="P37" s="29" t="s">
        <v>127</v>
      </c>
      <c r="Q37" s="20" t="n">
        <f aca="false">Controls!$B$7</f>
        <v>0.025</v>
      </c>
      <c r="R37" s="20" t="n">
        <f aca="false">IF(AND(ISNUMBER(J37),ISNUMBER(K37),K37&gt;0),J37/K37*(1-Q37),"")</f>
        <v>1.1375</v>
      </c>
      <c r="S37" s="20" t="n">
        <f aca="false">IF(AND(ISNUMBER(L37),ISNUMBER(M37),M37&gt;0),L37/M37*(1-Q37),"")</f>
        <v>1.02375</v>
      </c>
      <c r="T37" s="20" t="n">
        <f aca="false">IF(AND(ISNUMBER(R37),ISNUMBER(S37)),MIN(R37,S37)-Controls!$B$8,"")</f>
        <v>0.0237499999999999</v>
      </c>
      <c r="U37" s="14" t="s">
        <v>8</v>
      </c>
    </row>
    <row r="38" customFormat="false" ht="15" hidden="false" customHeight="false" outlineLevel="0" collapsed="false">
      <c r="A38" s="12" t="s">
        <v>51</v>
      </c>
      <c r="B38" s="12" t="s">
        <v>52</v>
      </c>
      <c r="C38" s="12" t="s">
        <v>121</v>
      </c>
      <c r="D38" s="12" t="s">
        <v>122</v>
      </c>
      <c r="E38" s="12" t="s">
        <v>242</v>
      </c>
      <c r="F38" s="12" t="s">
        <v>124</v>
      </c>
      <c r="G38" s="34" t="n">
        <v>7</v>
      </c>
      <c r="H38" s="34" t="n">
        <v>6</v>
      </c>
      <c r="I38" s="34" t="n">
        <v>26.5</v>
      </c>
      <c r="J38" s="29" t="n">
        <v>185.5</v>
      </c>
      <c r="K38" s="29" t="n">
        <v>155</v>
      </c>
      <c r="L38" s="29" t="n">
        <v>159</v>
      </c>
      <c r="M38" s="29" t="n">
        <v>155</v>
      </c>
      <c r="N38" s="29" t="s">
        <v>243</v>
      </c>
      <c r="O38" s="29" t="s">
        <v>244</v>
      </c>
      <c r="P38" s="29" t="s">
        <v>245</v>
      </c>
      <c r="Q38" s="20" t="n">
        <f aca="false">Controls!$B$7</f>
        <v>0.025</v>
      </c>
      <c r="R38" s="20" t="n">
        <f aca="false">IF(AND(ISNUMBER(J38),ISNUMBER(K38),K38&gt;0),J38/K38*(1-Q38),"")</f>
        <v>1.16685483870968</v>
      </c>
      <c r="S38" s="20" t="n">
        <f aca="false">IF(AND(ISNUMBER(L38),ISNUMBER(M38),M38&gt;0),L38/M38*(1-Q38),"")</f>
        <v>1.00016129032258</v>
      </c>
      <c r="T38" s="20" t="n">
        <f aca="false">IF(AND(ISNUMBER(R38),ISNUMBER(S38)),MIN(R38,S38)-Controls!$B$8,"")</f>
        <v>0.000161290322580721</v>
      </c>
      <c r="U38" s="14" t="s">
        <v>8</v>
      </c>
    </row>
    <row r="39" customFormat="false" ht="15" hidden="false" customHeight="false" outlineLevel="0" collapsed="false">
      <c r="A39" s="12" t="s">
        <v>51</v>
      </c>
      <c r="B39" s="12" t="s">
        <v>52</v>
      </c>
      <c r="C39" s="12" t="s">
        <v>128</v>
      </c>
      <c r="D39" s="12" t="s">
        <v>129</v>
      </c>
      <c r="E39" s="12" t="s">
        <v>246</v>
      </c>
      <c r="F39" s="12" t="s">
        <v>63</v>
      </c>
      <c r="G39" s="34" t="n">
        <v>5</v>
      </c>
      <c r="H39" s="34" t="n">
        <v>4</v>
      </c>
      <c r="I39" s="34" t="n">
        <v>0.26</v>
      </c>
      <c r="J39" s="29" t="n">
        <v>1.3</v>
      </c>
      <c r="K39" s="29" t="n">
        <v>1</v>
      </c>
      <c r="L39" s="29" t="n">
        <v>1.04</v>
      </c>
      <c r="M39" s="29" t="n">
        <v>1</v>
      </c>
      <c r="N39" s="29" t="s">
        <v>247</v>
      </c>
      <c r="O39" s="29" t="s">
        <v>248</v>
      </c>
      <c r="P39" s="29" t="s">
        <v>127</v>
      </c>
      <c r="Q39" s="20" t="n">
        <f aca="false">Controls!$B$7</f>
        <v>0.025</v>
      </c>
      <c r="R39" s="20" t="n">
        <f aca="false">IF(AND(ISNUMBER(J39),ISNUMBER(K39),K39&gt;0),J39/K39*(1-Q39),"")</f>
        <v>1.2675</v>
      </c>
      <c r="S39" s="20" t="n">
        <f aca="false">IF(AND(ISNUMBER(L39),ISNUMBER(M39),M39&gt;0),L39/M39*(1-Q39),"")</f>
        <v>1.014</v>
      </c>
      <c r="T39" s="20" t="n">
        <f aca="false">IF(AND(ISNUMBER(R39),ISNUMBER(S39)),MIN(R39,S39)-Controls!$B$8,"")</f>
        <v>0.014</v>
      </c>
      <c r="U39" s="14" t="s">
        <v>8</v>
      </c>
    </row>
    <row r="40" customFormat="false" ht="15" hidden="false" customHeight="false" outlineLevel="0" collapsed="false">
      <c r="A40" s="12" t="s">
        <v>51</v>
      </c>
      <c r="B40" s="12" t="s">
        <v>52</v>
      </c>
      <c r="C40" s="12" t="s">
        <v>135</v>
      </c>
      <c r="D40" s="12" t="s">
        <v>136</v>
      </c>
      <c r="E40" s="12" t="s">
        <v>249</v>
      </c>
      <c r="F40" s="12" t="s">
        <v>63</v>
      </c>
      <c r="G40" s="34" t="n">
        <v>9</v>
      </c>
      <c r="H40" s="34" t="n">
        <v>8</v>
      </c>
      <c r="I40" s="34" t="n">
        <v>0.13125</v>
      </c>
      <c r="J40" s="29" t="n">
        <v>1.18125</v>
      </c>
      <c r="K40" s="29" t="n">
        <v>1</v>
      </c>
      <c r="L40" s="29" t="n">
        <v>1.05</v>
      </c>
      <c r="M40" s="29" t="n">
        <v>1</v>
      </c>
      <c r="N40" s="29" t="s">
        <v>250</v>
      </c>
      <c r="O40" s="29" t="s">
        <v>251</v>
      </c>
      <c r="P40" s="29" t="s">
        <v>127</v>
      </c>
      <c r="Q40" s="20" t="n">
        <f aca="false">Controls!$B$7</f>
        <v>0.025</v>
      </c>
      <c r="R40" s="20" t="n">
        <f aca="false">IF(AND(ISNUMBER(J40),ISNUMBER(K40),K40&gt;0),J40/K40*(1-Q40),"")</f>
        <v>1.15171875</v>
      </c>
      <c r="S40" s="20" t="n">
        <f aca="false">IF(AND(ISNUMBER(L40),ISNUMBER(M40),M40&gt;0),L40/M40*(1-Q40),"")</f>
        <v>1.02375</v>
      </c>
      <c r="T40" s="20" t="n">
        <f aca="false">IF(AND(ISNUMBER(R40),ISNUMBER(S40)),MIN(R40,S40)-Controls!$B$8,"")</f>
        <v>0.0237499999999999</v>
      </c>
      <c r="U40" s="14" t="s">
        <v>8</v>
      </c>
    </row>
    <row r="41" customFormat="false" ht="15" hidden="false" customHeight="false" outlineLevel="0" collapsed="false">
      <c r="A41" s="12" t="s">
        <v>51</v>
      </c>
      <c r="B41" s="12" t="s">
        <v>52</v>
      </c>
      <c r="C41" s="12" t="s">
        <v>140</v>
      </c>
      <c r="D41" s="12" t="s">
        <v>141</v>
      </c>
      <c r="E41" s="12" t="s">
        <v>252</v>
      </c>
      <c r="F41" s="12" t="s">
        <v>143</v>
      </c>
      <c r="G41" s="34" t="n">
        <v>6</v>
      </c>
      <c r="H41" s="34" t="n">
        <v>5</v>
      </c>
      <c r="I41" s="34" t="n">
        <v>252</v>
      </c>
      <c r="J41" s="29" t="n">
        <v>1512</v>
      </c>
      <c r="K41" s="29" t="n">
        <v>1200</v>
      </c>
      <c r="L41" s="29" t="n">
        <v>1260</v>
      </c>
      <c r="M41" s="29" t="n">
        <v>1200</v>
      </c>
      <c r="N41" s="29" t="s">
        <v>253</v>
      </c>
      <c r="O41" s="29" t="s">
        <v>254</v>
      </c>
      <c r="P41" s="29" t="s">
        <v>127</v>
      </c>
      <c r="Q41" s="20" t="n">
        <f aca="false">Controls!$B$7</f>
        <v>0.025</v>
      </c>
      <c r="R41" s="20" t="n">
        <f aca="false">IF(AND(ISNUMBER(J41),ISNUMBER(K41),K41&gt;0),J41/K41*(1-Q41),"")</f>
        <v>1.2285</v>
      </c>
      <c r="S41" s="20" t="n">
        <f aca="false">IF(AND(ISNUMBER(L41),ISNUMBER(M41),M41&gt;0),L41/M41*(1-Q41),"")</f>
        <v>1.02375</v>
      </c>
      <c r="T41" s="20" t="n">
        <f aca="false">IF(AND(ISNUMBER(R41),ISNUMBER(S41)),MIN(R41,S41)-Controls!$B$8,"")</f>
        <v>0.0237499999999999</v>
      </c>
      <c r="U41" s="14" t="s">
        <v>8</v>
      </c>
    </row>
    <row r="42" customFormat="false" ht="15" hidden="false" customHeight="false" outlineLevel="0" collapsed="false">
      <c r="A42" s="15" t="s">
        <v>51</v>
      </c>
      <c r="B42" s="15" t="s">
        <v>52</v>
      </c>
      <c r="C42" s="15" t="s">
        <v>146</v>
      </c>
      <c r="D42" s="15" t="s">
        <v>147</v>
      </c>
      <c r="E42" s="15" t="s">
        <v>255</v>
      </c>
      <c r="F42" s="15" t="s">
        <v>149</v>
      </c>
      <c r="G42" s="35" t="n">
        <v>1</v>
      </c>
      <c r="H42" s="35" t="n">
        <v>1</v>
      </c>
      <c r="I42" s="35"/>
      <c r="J42" s="31"/>
      <c r="K42" s="31"/>
      <c r="L42" s="31"/>
      <c r="M42" s="31"/>
      <c r="N42" s="31" t="s">
        <v>256</v>
      </c>
      <c r="O42" s="31" t="s">
        <v>257</v>
      </c>
      <c r="P42" s="31" t="s">
        <v>152</v>
      </c>
      <c r="Q42" s="22" t="n">
        <f aca="false">Controls!$B$7</f>
        <v>0.025</v>
      </c>
      <c r="R42" s="22" t="str">
        <f aca="false">IF(AND(ISNUMBER(J42),ISNUMBER(K42),K42&gt;0),J42/K42*(1-Q42),"")</f>
        <v/>
      </c>
      <c r="S42" s="22" t="str">
        <f aca="false">IF(AND(ISNUMBER(L42),ISNUMBER(M42),M42&gt;0),L42/M42*(1-Q42),"")</f>
        <v/>
      </c>
      <c r="T42" s="22" t="str">
        <f aca="false">IF(AND(ISNUMBER(R42),ISNUMBER(S42)),MIN(R42,S42)-Controls!$B$8,"")</f>
        <v/>
      </c>
      <c r="U42" s="17" t="s">
        <v>8</v>
      </c>
    </row>
  </sheetData>
  <mergeCells count="2">
    <mergeCell ref="A2:U2"/>
    <mergeCell ref="A4:U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38"/>
    <col collapsed="false" customWidth="true" hidden="false" outlineLevel="0" max="6" min="6" style="1" width="11"/>
    <col collapsed="false" customWidth="true" hidden="false" outlineLevel="0" max="7" min="7" style="1" width="34"/>
    <col collapsed="false" customWidth="true" hidden="false" outlineLevel="0" max="8" min="8" style="1" width="15"/>
    <col collapsed="false" customWidth="true" hidden="false" outlineLevel="0" max="9" min="9" style="1" width="48"/>
    <col collapsed="false" customWidth="true" hidden="false" outlineLevel="0" max="10" min="10" style="1" width="17"/>
    <col collapsed="false" customWidth="true" hidden="false" outlineLevel="0" max="11" min="11" style="1" width="20"/>
    <col collapsed="false" customWidth="true" hidden="false" outlineLevel="0" max="12" min="12" style="1" width="22"/>
    <col collapsed="false" customWidth="true" hidden="false" outlineLevel="0" max="13" min="13" style="1" width="18"/>
    <col collapsed="false" customWidth="true" hidden="false" outlineLevel="0" max="14" min="14" style="1" width="22"/>
    <col collapsed="false" customWidth="true" hidden="false" outlineLevel="0" max="15" min="15" style="1" width="25"/>
    <col collapsed="false" customWidth="true" hidden="false" outlineLevel="0" max="16" min="16" style="1" width="23"/>
    <col collapsed="false" customWidth="true" hidden="false" outlineLevel="0" max="17" min="17" style="1" width="19"/>
    <col collapsed="false" customWidth="true" hidden="false" outlineLevel="0" max="18" min="18" style="1" width="15"/>
    <col collapsed="false" customWidth="true" hidden="false" outlineLevel="0" max="19" min="19" style="1" width="25"/>
    <col collapsed="false" customWidth="true" hidden="false" outlineLevel="0" max="20" min="20" style="1" width="52"/>
    <col collapsed="false" customWidth="true" hidden="false" outlineLevel="0" max="21" min="21" style="1" width="20"/>
  </cols>
  <sheetData>
    <row r="2" customFormat="false" ht="24" hidden="false" customHeight="true" outlineLevel="0" collapsed="false">
      <c r="A2" s="2" t="s">
        <v>258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" hidden="false" customHeight="false" outlineLevel="0" collapsed="false">
      <c r="A4" s="24" t="s">
        <v>259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customFormat="false" ht="24" hidden="false" customHeight="true" outlineLevel="0" collapsed="false">
      <c r="A6" s="25" t="s">
        <v>260</v>
      </c>
      <c r="B6" s="26" t="s">
        <v>21</v>
      </c>
      <c r="C6" s="26" t="s">
        <v>22</v>
      </c>
      <c r="D6" s="26" t="s">
        <v>96</v>
      </c>
      <c r="E6" s="26" t="s">
        <v>97</v>
      </c>
      <c r="F6" s="26" t="s">
        <v>261</v>
      </c>
      <c r="G6" s="26" t="s">
        <v>262</v>
      </c>
      <c r="H6" s="26" t="s">
        <v>263</v>
      </c>
      <c r="I6" s="26" t="s">
        <v>98</v>
      </c>
      <c r="J6" s="26" t="s">
        <v>3</v>
      </c>
      <c r="K6" s="26" t="s">
        <v>264</v>
      </c>
      <c r="L6" s="26" t="s">
        <v>265</v>
      </c>
      <c r="M6" s="26" t="s">
        <v>109</v>
      </c>
      <c r="N6" s="26" t="s">
        <v>266</v>
      </c>
      <c r="O6" s="26" t="s">
        <v>267</v>
      </c>
      <c r="P6" s="26" t="s">
        <v>268</v>
      </c>
      <c r="Q6" s="26" t="s">
        <v>269</v>
      </c>
      <c r="R6" s="26" t="s">
        <v>93</v>
      </c>
      <c r="S6" s="26" t="s">
        <v>29</v>
      </c>
      <c r="T6" s="26" t="s">
        <v>108</v>
      </c>
      <c r="U6" s="27" t="s">
        <v>270</v>
      </c>
    </row>
    <row r="7" customFormat="false" ht="15" hidden="false" customHeight="false" outlineLevel="0" collapsed="false">
      <c r="A7" s="8" t="s">
        <v>271</v>
      </c>
      <c r="B7" s="8" t="s">
        <v>31</v>
      </c>
      <c r="C7" s="8" t="s">
        <v>32</v>
      </c>
      <c r="D7" s="8" t="s">
        <v>114</v>
      </c>
      <c r="E7" s="8" t="s">
        <v>115</v>
      </c>
      <c r="F7" s="8" t="s">
        <v>272</v>
      </c>
      <c r="G7" s="8" t="s">
        <v>273</v>
      </c>
      <c r="H7" s="8" t="n">
        <v>7</v>
      </c>
      <c r="I7" s="8" t="s">
        <v>116</v>
      </c>
      <c r="J7" s="8" t="s">
        <v>117</v>
      </c>
      <c r="K7" s="36" t="n">
        <f aca="false">IF(ISNUMBER('Section Bills'!J7),'Section Bills'!J7,"")</f>
        <v>128000</v>
      </c>
      <c r="L7" s="36" t="n">
        <f aca="false">IF(ISNUMBER('Section Bills'!K7),'Section Bills'!K7,"")</f>
        <v>102000</v>
      </c>
      <c r="M7" s="18" t="n">
        <f aca="false">Controls!$B$7</f>
        <v>0.025</v>
      </c>
      <c r="N7" s="18" t="n">
        <f aca="false">IF(AND(ISNUMBER(K7),ISNUMBER(L7),L7&gt;0),K7/L7*(1-M7),"")</f>
        <v>1.22352941176471</v>
      </c>
      <c r="O7" s="10"/>
      <c r="P7" s="19" t="n">
        <f aca="false">IF(O7="",0,COUNTIFS('Gap Migration'!$G$7:$G$91,O7,'Gap Migration'!$J$7:$J$91,1))</f>
        <v>0</v>
      </c>
      <c r="Q7" s="10" t="n">
        <v>0</v>
      </c>
      <c r="R7" s="10" t="n">
        <v>0</v>
      </c>
      <c r="S7" s="19" t="str">
        <f aca="false">IF(ISNUMBER(N7),IF(N7&gt;=Controls!$B$8,"DESIGN CLOSE","NEGATIVE"),IF(P7=1,"MEASUREMENT READY","UNSCOPED"))</f>
        <v>DESIGN CLOSE</v>
      </c>
      <c r="T7" s="19" t="str">
        <f aca="false">IF(S7="DESIGN CLOSE","root-native section bill",IF(S7="MEASUREMENT READY","executable protocol; observation empty","return to architecture"))</f>
        <v>root-native section bill</v>
      </c>
      <c r="U7" s="10" t="n">
        <v>0</v>
      </c>
    </row>
    <row r="8" customFormat="false" ht="15" hidden="false" customHeight="false" outlineLevel="0" collapsed="false">
      <c r="A8" s="12" t="s">
        <v>274</v>
      </c>
      <c r="B8" s="12" t="s">
        <v>31</v>
      </c>
      <c r="C8" s="12" t="s">
        <v>32</v>
      </c>
      <c r="D8" s="12" t="s">
        <v>114</v>
      </c>
      <c r="E8" s="12" t="s">
        <v>115</v>
      </c>
      <c r="F8" s="12" t="s">
        <v>275</v>
      </c>
      <c r="G8" s="12" t="s">
        <v>276</v>
      </c>
      <c r="H8" s="12" t="n">
        <v>7</v>
      </c>
      <c r="I8" s="12" t="s">
        <v>116</v>
      </c>
      <c r="J8" s="12" t="s">
        <v>117</v>
      </c>
      <c r="K8" s="37"/>
      <c r="L8" s="37"/>
      <c r="M8" s="20" t="n">
        <f aca="false">Controls!$B$7</f>
        <v>0.025</v>
      </c>
      <c r="N8" s="20" t="str">
        <f aca="false">IF(AND(ISNUMBER(K8),ISNUMBER(L8),L8&gt;0),K8/L8*(1-M8),"")</f>
        <v/>
      </c>
      <c r="O8" s="14" t="s">
        <v>277</v>
      </c>
      <c r="P8" s="21" t="n">
        <f aca="false">IF(O8="",0,COUNTIFS('Gap Migration'!$G$7:$G$91,O8,'Gap Migration'!$J$7:$J$91,1))</f>
        <v>1</v>
      </c>
      <c r="Q8" s="14" t="n">
        <v>0</v>
      </c>
      <c r="R8" s="14" t="n">
        <v>0</v>
      </c>
      <c r="S8" s="21" t="str">
        <f aca="false">IF(ISNUMBER(N8),IF(N8&gt;=Controls!$B$8,"DESIGN CLOSE","NEGATIVE"),IF(P8=1,"MEASUREMENT READY","UNSCOPED"))</f>
        <v>MEASUREMENT READY</v>
      </c>
      <c r="T8" s="21" t="str">
        <f aca="false">IF(S8="DESIGN CLOSE","root-native section bill",IF(S8="MEASUREMENT READY","executable protocol; observation empty","return to architecture"))</f>
        <v>executable protocol; observation empty</v>
      </c>
      <c r="U8" s="14" t="n">
        <v>0</v>
      </c>
    </row>
    <row r="9" customFormat="false" ht="15" hidden="false" customHeight="false" outlineLevel="0" collapsed="false">
      <c r="A9" s="12" t="s">
        <v>278</v>
      </c>
      <c r="B9" s="12" t="s">
        <v>31</v>
      </c>
      <c r="C9" s="12" t="s">
        <v>32</v>
      </c>
      <c r="D9" s="12" t="s">
        <v>114</v>
      </c>
      <c r="E9" s="12" t="s">
        <v>115</v>
      </c>
      <c r="F9" s="12" t="s">
        <v>279</v>
      </c>
      <c r="G9" s="12" t="s">
        <v>280</v>
      </c>
      <c r="H9" s="12" t="n">
        <v>7</v>
      </c>
      <c r="I9" s="12" t="s">
        <v>116</v>
      </c>
      <c r="J9" s="12" t="s">
        <v>117</v>
      </c>
      <c r="K9" s="37" t="n">
        <f aca="false">IF(ISNUMBER('Section Bills'!L7),'Section Bills'!L7,"")</f>
        <v>112000</v>
      </c>
      <c r="L9" s="37" t="n">
        <f aca="false">IF(ISNUMBER('Section Bills'!M7),'Section Bills'!M7,"")</f>
        <v>102000</v>
      </c>
      <c r="M9" s="20" t="n">
        <f aca="false">Controls!$B$7</f>
        <v>0.025</v>
      </c>
      <c r="N9" s="20" t="n">
        <f aca="false">IF(AND(ISNUMBER(K9),ISNUMBER(L9),L9&gt;0),K9/L9*(1-M9),"")</f>
        <v>1.07058823529412</v>
      </c>
      <c r="O9" s="14"/>
      <c r="P9" s="21" t="n">
        <f aca="false">IF(O9="",0,COUNTIFS('Gap Migration'!$G$7:$G$91,O9,'Gap Migration'!$J$7:$J$91,1))</f>
        <v>0</v>
      </c>
      <c r="Q9" s="14" t="n">
        <v>0</v>
      </c>
      <c r="R9" s="14" t="n">
        <v>0</v>
      </c>
      <c r="S9" s="21" t="str">
        <f aca="false">IF(ISNUMBER(N9),IF(N9&gt;=Controls!$B$8,"DESIGN CLOSE","NEGATIVE"),IF(P9=1,"MEASUREMENT READY","UNSCOPED"))</f>
        <v>DESIGN CLOSE</v>
      </c>
      <c r="T9" s="21" t="str">
        <f aca="false">IF(S9="DESIGN CLOSE","root-native section bill",IF(S9="MEASUREMENT READY","executable protocol; observation empty","return to architecture"))</f>
        <v>root-native section bill</v>
      </c>
      <c r="U9" s="14" t="n">
        <v>0</v>
      </c>
    </row>
    <row r="10" customFormat="false" ht="15" hidden="false" customHeight="false" outlineLevel="0" collapsed="false">
      <c r="A10" s="12" t="s">
        <v>281</v>
      </c>
      <c r="B10" s="12" t="s">
        <v>31</v>
      </c>
      <c r="C10" s="12" t="s">
        <v>32</v>
      </c>
      <c r="D10" s="12" t="s">
        <v>114</v>
      </c>
      <c r="E10" s="12" t="s">
        <v>115</v>
      </c>
      <c r="F10" s="12" t="s">
        <v>282</v>
      </c>
      <c r="G10" s="12" t="s">
        <v>283</v>
      </c>
      <c r="H10" s="12" t="n">
        <v>7</v>
      </c>
      <c r="I10" s="12" t="s">
        <v>116</v>
      </c>
      <c r="J10" s="12" t="s">
        <v>117</v>
      </c>
      <c r="K10" s="37"/>
      <c r="L10" s="37"/>
      <c r="M10" s="20" t="n">
        <f aca="false">Controls!$B$7</f>
        <v>0.025</v>
      </c>
      <c r="N10" s="20" t="str">
        <f aca="false">IF(AND(ISNUMBER(K10),ISNUMBER(L10),L10&gt;0),K10/L10*(1-M10),"")</f>
        <v/>
      </c>
      <c r="O10" s="14" t="s">
        <v>284</v>
      </c>
      <c r="P10" s="21" t="n">
        <f aca="false">IF(O10="",0,COUNTIFS('Gap Migration'!$G$7:$G$91,O10,'Gap Migration'!$J$7:$J$91,1))</f>
        <v>1</v>
      </c>
      <c r="Q10" s="14" t="n">
        <v>0</v>
      </c>
      <c r="R10" s="14" t="n">
        <v>0</v>
      </c>
      <c r="S10" s="21" t="str">
        <f aca="false">IF(ISNUMBER(N10),IF(N10&gt;=Controls!$B$8,"DESIGN CLOSE","NEGATIVE"),IF(P10=1,"MEASUREMENT READY","UNSCOPED"))</f>
        <v>MEASUREMENT READY</v>
      </c>
      <c r="T10" s="21" t="str">
        <f aca="false">IF(S10="DESIGN CLOSE","root-native section bill",IF(S10="MEASUREMENT READY","executable protocol; observation empty","return to architecture"))</f>
        <v>executable protocol; observation empty</v>
      </c>
      <c r="U10" s="14" t="n">
        <v>0</v>
      </c>
    </row>
    <row r="11" customFormat="false" ht="15" hidden="false" customHeight="false" outlineLevel="0" collapsed="false">
      <c r="A11" s="12" t="s">
        <v>285</v>
      </c>
      <c r="B11" s="12" t="s">
        <v>31</v>
      </c>
      <c r="C11" s="12" t="s">
        <v>32</v>
      </c>
      <c r="D11" s="12" t="s">
        <v>121</v>
      </c>
      <c r="E11" s="12" t="s">
        <v>122</v>
      </c>
      <c r="F11" s="12" t="s">
        <v>272</v>
      </c>
      <c r="G11" s="12" t="s">
        <v>273</v>
      </c>
      <c r="H11" s="12" t="n">
        <v>8</v>
      </c>
      <c r="I11" s="12" t="s">
        <v>123</v>
      </c>
      <c r="J11" s="12" t="s">
        <v>124</v>
      </c>
      <c r="K11" s="37" t="n">
        <f aca="false">IF(ISNUMBER('Section Bills'!J8),'Section Bills'!J8,"")</f>
        <v>120</v>
      </c>
      <c r="L11" s="37" t="n">
        <f aca="false">IF(ISNUMBER('Section Bills'!K8),'Section Bills'!K8,"")</f>
        <v>96</v>
      </c>
      <c r="M11" s="20" t="n">
        <f aca="false">Controls!$B$7</f>
        <v>0.025</v>
      </c>
      <c r="N11" s="20" t="n">
        <f aca="false">IF(AND(ISNUMBER(K11),ISNUMBER(L11),L11&gt;0),K11/L11*(1-M11),"")</f>
        <v>1.21875</v>
      </c>
      <c r="O11" s="14"/>
      <c r="P11" s="21" t="n">
        <f aca="false">IF(O11="",0,COUNTIFS('Gap Migration'!$G$7:$G$91,O11,'Gap Migration'!$J$7:$J$91,1))</f>
        <v>0</v>
      </c>
      <c r="Q11" s="14" t="n">
        <v>0</v>
      </c>
      <c r="R11" s="14" t="n">
        <v>0</v>
      </c>
      <c r="S11" s="21" t="str">
        <f aca="false">IF(ISNUMBER(N11),IF(N11&gt;=Controls!$B$8,"DESIGN CLOSE","NEGATIVE"),IF(P11=1,"MEASUREMENT READY","UNSCOPED"))</f>
        <v>DESIGN CLOSE</v>
      </c>
      <c r="T11" s="21" t="str">
        <f aca="false">IF(S11="DESIGN CLOSE","root-native section bill",IF(S11="MEASUREMENT READY","executable protocol; observation empty","return to architecture"))</f>
        <v>root-native section bill</v>
      </c>
      <c r="U11" s="14" t="n">
        <v>0</v>
      </c>
    </row>
    <row r="12" customFormat="false" ht="15" hidden="false" customHeight="false" outlineLevel="0" collapsed="false">
      <c r="A12" s="12" t="s">
        <v>286</v>
      </c>
      <c r="B12" s="12" t="s">
        <v>31</v>
      </c>
      <c r="C12" s="12" t="s">
        <v>32</v>
      </c>
      <c r="D12" s="12" t="s">
        <v>121</v>
      </c>
      <c r="E12" s="12" t="s">
        <v>122</v>
      </c>
      <c r="F12" s="12" t="s">
        <v>275</v>
      </c>
      <c r="G12" s="12" t="s">
        <v>276</v>
      </c>
      <c r="H12" s="12" t="n">
        <v>8</v>
      </c>
      <c r="I12" s="12" t="s">
        <v>123</v>
      </c>
      <c r="J12" s="12" t="s">
        <v>124</v>
      </c>
      <c r="K12" s="37"/>
      <c r="L12" s="37"/>
      <c r="M12" s="20" t="n">
        <f aca="false">Controls!$B$7</f>
        <v>0.025</v>
      </c>
      <c r="N12" s="20" t="str">
        <f aca="false">IF(AND(ISNUMBER(K12),ISNUMBER(L12),L12&gt;0),K12/L12*(1-M12),"")</f>
        <v/>
      </c>
      <c r="O12" s="14" t="s">
        <v>287</v>
      </c>
      <c r="P12" s="21" t="n">
        <f aca="false">IF(O12="",0,COUNTIFS('Gap Migration'!$G$7:$G$91,O12,'Gap Migration'!$J$7:$J$91,1))</f>
        <v>1</v>
      </c>
      <c r="Q12" s="14" t="n">
        <v>0</v>
      </c>
      <c r="R12" s="14" t="n">
        <v>0</v>
      </c>
      <c r="S12" s="21" t="str">
        <f aca="false">IF(ISNUMBER(N12),IF(N12&gt;=Controls!$B$8,"DESIGN CLOSE","NEGATIVE"),IF(P12=1,"MEASUREMENT READY","UNSCOPED"))</f>
        <v>MEASUREMENT READY</v>
      </c>
      <c r="T12" s="21" t="str">
        <f aca="false">IF(S12="DESIGN CLOSE","root-native section bill",IF(S12="MEASUREMENT READY","executable protocol; observation empty","return to architecture"))</f>
        <v>executable protocol; observation empty</v>
      </c>
      <c r="U12" s="14" t="n">
        <v>0</v>
      </c>
    </row>
    <row r="13" customFormat="false" ht="15" hidden="false" customHeight="false" outlineLevel="0" collapsed="false">
      <c r="A13" s="12" t="s">
        <v>288</v>
      </c>
      <c r="B13" s="12" t="s">
        <v>31</v>
      </c>
      <c r="C13" s="12" t="s">
        <v>32</v>
      </c>
      <c r="D13" s="12" t="s">
        <v>121</v>
      </c>
      <c r="E13" s="12" t="s">
        <v>122</v>
      </c>
      <c r="F13" s="12" t="s">
        <v>279</v>
      </c>
      <c r="G13" s="12" t="s">
        <v>280</v>
      </c>
      <c r="H13" s="12" t="n">
        <v>8</v>
      </c>
      <c r="I13" s="12" t="s">
        <v>123</v>
      </c>
      <c r="J13" s="12" t="s">
        <v>124</v>
      </c>
      <c r="K13" s="37" t="n">
        <f aca="false">IF(ISNUMBER('Section Bills'!L8),'Section Bills'!L8,"")</f>
        <v>100</v>
      </c>
      <c r="L13" s="37" t="n">
        <f aca="false">IF(ISNUMBER('Section Bills'!M8),'Section Bills'!M8,"")</f>
        <v>96</v>
      </c>
      <c r="M13" s="20" t="n">
        <f aca="false">Controls!$B$7</f>
        <v>0.025</v>
      </c>
      <c r="N13" s="20" t="n">
        <f aca="false">IF(AND(ISNUMBER(K13),ISNUMBER(L13),L13&gt;0),K13/L13*(1-M13),"")</f>
        <v>1.015625</v>
      </c>
      <c r="O13" s="14"/>
      <c r="P13" s="21" t="n">
        <f aca="false">IF(O13="",0,COUNTIFS('Gap Migration'!$G$7:$G$91,O13,'Gap Migration'!$J$7:$J$91,1))</f>
        <v>0</v>
      </c>
      <c r="Q13" s="14" t="n">
        <v>0</v>
      </c>
      <c r="R13" s="14" t="n">
        <v>0</v>
      </c>
      <c r="S13" s="21" t="str">
        <f aca="false">IF(ISNUMBER(N13),IF(N13&gt;=Controls!$B$8,"DESIGN CLOSE","NEGATIVE"),IF(P13=1,"MEASUREMENT READY","UNSCOPED"))</f>
        <v>DESIGN CLOSE</v>
      </c>
      <c r="T13" s="21" t="str">
        <f aca="false">IF(S13="DESIGN CLOSE","root-native section bill",IF(S13="MEASUREMENT READY","executable protocol; observation empty","return to architecture"))</f>
        <v>root-native section bill</v>
      </c>
      <c r="U13" s="14" t="n">
        <v>0</v>
      </c>
    </row>
    <row r="14" customFormat="false" ht="15" hidden="false" customHeight="false" outlineLevel="0" collapsed="false">
      <c r="A14" s="12" t="s">
        <v>289</v>
      </c>
      <c r="B14" s="12" t="s">
        <v>31</v>
      </c>
      <c r="C14" s="12" t="s">
        <v>32</v>
      </c>
      <c r="D14" s="12" t="s">
        <v>121</v>
      </c>
      <c r="E14" s="12" t="s">
        <v>122</v>
      </c>
      <c r="F14" s="12" t="s">
        <v>282</v>
      </c>
      <c r="G14" s="12" t="s">
        <v>283</v>
      </c>
      <c r="H14" s="12" t="n">
        <v>8</v>
      </c>
      <c r="I14" s="12" t="s">
        <v>123</v>
      </c>
      <c r="J14" s="12" t="s">
        <v>124</v>
      </c>
      <c r="K14" s="37"/>
      <c r="L14" s="37"/>
      <c r="M14" s="20" t="n">
        <f aca="false">Controls!$B$7</f>
        <v>0.025</v>
      </c>
      <c r="N14" s="20" t="str">
        <f aca="false">IF(AND(ISNUMBER(K14),ISNUMBER(L14),L14&gt;0),K14/L14*(1-M14),"")</f>
        <v/>
      </c>
      <c r="O14" s="14" t="s">
        <v>290</v>
      </c>
      <c r="P14" s="21" t="n">
        <f aca="false">IF(O14="",0,COUNTIFS('Gap Migration'!$G$7:$G$91,O14,'Gap Migration'!$J$7:$J$91,1))</f>
        <v>1</v>
      </c>
      <c r="Q14" s="14" t="n">
        <v>0</v>
      </c>
      <c r="R14" s="14" t="n">
        <v>0</v>
      </c>
      <c r="S14" s="21" t="str">
        <f aca="false">IF(ISNUMBER(N14),IF(N14&gt;=Controls!$B$8,"DESIGN CLOSE","NEGATIVE"),IF(P14=1,"MEASUREMENT READY","UNSCOPED"))</f>
        <v>MEASUREMENT READY</v>
      </c>
      <c r="T14" s="21" t="str">
        <f aca="false">IF(S14="DESIGN CLOSE","root-native section bill",IF(S14="MEASUREMENT READY","executable protocol; observation empty","return to architecture"))</f>
        <v>executable protocol; observation empty</v>
      </c>
      <c r="U14" s="14" t="n">
        <v>0</v>
      </c>
    </row>
    <row r="15" customFormat="false" ht="15" hidden="false" customHeight="false" outlineLevel="0" collapsed="false">
      <c r="A15" s="12" t="s">
        <v>291</v>
      </c>
      <c r="B15" s="12" t="s">
        <v>31</v>
      </c>
      <c r="C15" s="12" t="s">
        <v>32</v>
      </c>
      <c r="D15" s="12" t="s">
        <v>128</v>
      </c>
      <c r="E15" s="12" t="s">
        <v>129</v>
      </c>
      <c r="F15" s="12" t="s">
        <v>272</v>
      </c>
      <c r="G15" s="12" t="s">
        <v>273</v>
      </c>
      <c r="H15" s="12" t="n">
        <v>9</v>
      </c>
      <c r="I15" s="12" t="s">
        <v>130</v>
      </c>
      <c r="J15" s="12" t="s">
        <v>131</v>
      </c>
      <c r="K15" s="37" t="n">
        <f aca="false">IF(ISNUMBER('Section Bills'!J9),'Section Bills'!J9,"")</f>
        <v>482</v>
      </c>
      <c r="L15" s="37" t="n">
        <f aca="false">IF(ISNUMBER('Section Bills'!K9),'Section Bills'!K9,"")</f>
        <v>234.583333333333</v>
      </c>
      <c r="M15" s="20" t="n">
        <f aca="false">Controls!$B$7</f>
        <v>0.025</v>
      </c>
      <c r="N15" s="20" t="n">
        <f aca="false">IF(AND(ISNUMBER(K15),ISNUMBER(L15),L15&gt;0),K15/L15*(1-M15),"")</f>
        <v>2.00333925399645</v>
      </c>
      <c r="O15" s="14"/>
      <c r="P15" s="21" t="n">
        <f aca="false">IF(O15="",0,COUNTIFS('Gap Migration'!$G$7:$G$91,O15,'Gap Migration'!$J$7:$J$91,1))</f>
        <v>0</v>
      </c>
      <c r="Q15" s="14" t="n">
        <v>0</v>
      </c>
      <c r="R15" s="14" t="n">
        <v>0</v>
      </c>
      <c r="S15" s="21" t="str">
        <f aca="false">IF(ISNUMBER(N15),IF(N15&gt;=Controls!$B$8,"DESIGN CLOSE","NEGATIVE"),IF(P15=1,"MEASUREMENT READY","UNSCOPED"))</f>
        <v>DESIGN CLOSE</v>
      </c>
      <c r="T15" s="21" t="str">
        <f aca="false">IF(S15="DESIGN CLOSE","root-native section bill",IF(S15="MEASUREMENT READY","executable protocol; observation empty","return to architecture"))</f>
        <v>root-native section bill</v>
      </c>
      <c r="U15" s="14" t="n">
        <v>0</v>
      </c>
    </row>
    <row r="16" customFormat="false" ht="15" hidden="false" customHeight="false" outlineLevel="0" collapsed="false">
      <c r="A16" s="12" t="s">
        <v>292</v>
      </c>
      <c r="B16" s="12" t="s">
        <v>31</v>
      </c>
      <c r="C16" s="12" t="s">
        <v>32</v>
      </c>
      <c r="D16" s="12" t="s">
        <v>128</v>
      </c>
      <c r="E16" s="12" t="s">
        <v>129</v>
      </c>
      <c r="F16" s="12" t="s">
        <v>275</v>
      </c>
      <c r="G16" s="12" t="s">
        <v>276</v>
      </c>
      <c r="H16" s="12" t="n">
        <v>9</v>
      </c>
      <c r="I16" s="12" t="s">
        <v>130</v>
      </c>
      <c r="J16" s="12" t="s">
        <v>131</v>
      </c>
      <c r="K16" s="37"/>
      <c r="L16" s="37"/>
      <c r="M16" s="20" t="n">
        <f aca="false">Controls!$B$7</f>
        <v>0.025</v>
      </c>
      <c r="N16" s="20" t="str">
        <f aca="false">IF(AND(ISNUMBER(K16),ISNUMBER(L16),L16&gt;0),K16/L16*(1-M16),"")</f>
        <v/>
      </c>
      <c r="O16" s="14" t="s">
        <v>293</v>
      </c>
      <c r="P16" s="21" t="n">
        <f aca="false">IF(O16="",0,COUNTIFS('Gap Migration'!$G$7:$G$91,O16,'Gap Migration'!$J$7:$J$91,1))</f>
        <v>1</v>
      </c>
      <c r="Q16" s="14" t="n">
        <v>0</v>
      </c>
      <c r="R16" s="14" t="n">
        <v>0</v>
      </c>
      <c r="S16" s="21" t="str">
        <f aca="false">IF(ISNUMBER(N16),IF(N16&gt;=Controls!$B$8,"DESIGN CLOSE","NEGATIVE"),IF(P16=1,"MEASUREMENT READY","UNSCOPED"))</f>
        <v>MEASUREMENT READY</v>
      </c>
      <c r="T16" s="21" t="str">
        <f aca="false">IF(S16="DESIGN CLOSE","root-native section bill",IF(S16="MEASUREMENT READY","executable protocol; observation empty","return to architecture"))</f>
        <v>executable protocol; observation empty</v>
      </c>
      <c r="U16" s="14" t="n">
        <v>0</v>
      </c>
    </row>
    <row r="17" customFormat="false" ht="15" hidden="false" customHeight="false" outlineLevel="0" collapsed="false">
      <c r="A17" s="12" t="s">
        <v>294</v>
      </c>
      <c r="B17" s="12" t="s">
        <v>31</v>
      </c>
      <c r="C17" s="12" t="s">
        <v>32</v>
      </c>
      <c r="D17" s="12" t="s">
        <v>128</v>
      </c>
      <c r="E17" s="12" t="s">
        <v>129</v>
      </c>
      <c r="F17" s="12" t="s">
        <v>279</v>
      </c>
      <c r="G17" s="12" t="s">
        <v>280</v>
      </c>
      <c r="H17" s="12" t="n">
        <v>9</v>
      </c>
      <c r="I17" s="12" t="s">
        <v>130</v>
      </c>
      <c r="J17" s="12" t="s">
        <v>131</v>
      </c>
      <c r="K17" s="37" t="n">
        <f aca="false">IF(ISNUMBER('Section Bills'!L9),'Section Bills'!L9,"")</f>
        <v>241</v>
      </c>
      <c r="L17" s="37" t="n">
        <f aca="false">IF(ISNUMBER('Section Bills'!M9),'Section Bills'!M9,"")</f>
        <v>234.583333333333</v>
      </c>
      <c r="M17" s="20" t="n">
        <f aca="false">Controls!$B$7</f>
        <v>0.025</v>
      </c>
      <c r="N17" s="20" t="n">
        <f aca="false">IF(AND(ISNUMBER(K17),ISNUMBER(L17),L17&gt;0),K17/L17*(1-M17),"")</f>
        <v>1.00166962699823</v>
      </c>
      <c r="O17" s="14"/>
      <c r="P17" s="21" t="n">
        <f aca="false">IF(O17="",0,COUNTIFS('Gap Migration'!$G$7:$G$91,O17,'Gap Migration'!$J$7:$J$91,1))</f>
        <v>0</v>
      </c>
      <c r="Q17" s="14" t="n">
        <v>0</v>
      </c>
      <c r="R17" s="14" t="n">
        <v>0</v>
      </c>
      <c r="S17" s="21" t="str">
        <f aca="false">IF(ISNUMBER(N17),IF(N17&gt;=Controls!$B$8,"DESIGN CLOSE","NEGATIVE"),IF(P17=1,"MEASUREMENT READY","UNSCOPED"))</f>
        <v>DESIGN CLOSE</v>
      </c>
      <c r="T17" s="21" t="str">
        <f aca="false">IF(S17="DESIGN CLOSE","root-native section bill",IF(S17="MEASUREMENT READY","executable protocol; observation empty","return to architecture"))</f>
        <v>root-native section bill</v>
      </c>
      <c r="U17" s="14" t="n">
        <v>0</v>
      </c>
    </row>
    <row r="18" customFormat="false" ht="15" hidden="false" customHeight="false" outlineLevel="0" collapsed="false">
      <c r="A18" s="12" t="s">
        <v>295</v>
      </c>
      <c r="B18" s="12" t="s">
        <v>31</v>
      </c>
      <c r="C18" s="12" t="s">
        <v>32</v>
      </c>
      <c r="D18" s="12" t="s">
        <v>128</v>
      </c>
      <c r="E18" s="12" t="s">
        <v>129</v>
      </c>
      <c r="F18" s="12" t="s">
        <v>282</v>
      </c>
      <c r="G18" s="12" t="s">
        <v>283</v>
      </c>
      <c r="H18" s="12" t="n">
        <v>9</v>
      </c>
      <c r="I18" s="12" t="s">
        <v>130</v>
      </c>
      <c r="J18" s="12" t="s">
        <v>131</v>
      </c>
      <c r="K18" s="37"/>
      <c r="L18" s="37"/>
      <c r="M18" s="20" t="n">
        <f aca="false">Controls!$B$7</f>
        <v>0.025</v>
      </c>
      <c r="N18" s="20" t="str">
        <f aca="false">IF(AND(ISNUMBER(K18),ISNUMBER(L18),L18&gt;0),K18/L18*(1-M18),"")</f>
        <v/>
      </c>
      <c r="O18" s="14" t="s">
        <v>296</v>
      </c>
      <c r="P18" s="21" t="n">
        <f aca="false">IF(O18="",0,COUNTIFS('Gap Migration'!$G$7:$G$91,O18,'Gap Migration'!$J$7:$J$91,1))</f>
        <v>1</v>
      </c>
      <c r="Q18" s="14" t="n">
        <v>0</v>
      </c>
      <c r="R18" s="14" t="n">
        <v>0</v>
      </c>
      <c r="S18" s="21" t="str">
        <f aca="false">IF(ISNUMBER(N18),IF(N18&gt;=Controls!$B$8,"DESIGN CLOSE","NEGATIVE"),IF(P18=1,"MEASUREMENT READY","UNSCOPED"))</f>
        <v>MEASUREMENT READY</v>
      </c>
      <c r="T18" s="21" t="str">
        <f aca="false">IF(S18="DESIGN CLOSE","root-native section bill",IF(S18="MEASUREMENT READY","executable protocol; observation empty","return to architecture"))</f>
        <v>executable protocol; observation empty</v>
      </c>
      <c r="U18" s="14" t="n">
        <v>0</v>
      </c>
    </row>
    <row r="19" customFormat="false" ht="15" hidden="false" customHeight="false" outlineLevel="0" collapsed="false">
      <c r="A19" s="12" t="s">
        <v>297</v>
      </c>
      <c r="B19" s="12" t="s">
        <v>31</v>
      </c>
      <c r="C19" s="12" t="s">
        <v>32</v>
      </c>
      <c r="D19" s="12" t="s">
        <v>135</v>
      </c>
      <c r="E19" s="12" t="s">
        <v>136</v>
      </c>
      <c r="F19" s="12" t="s">
        <v>272</v>
      </c>
      <c r="G19" s="12" t="s">
        <v>273</v>
      </c>
      <c r="H19" s="12" t="n">
        <v>10</v>
      </c>
      <c r="I19" s="12" t="s">
        <v>137</v>
      </c>
      <c r="J19" s="12" t="s">
        <v>63</v>
      </c>
      <c r="K19" s="37" t="n">
        <f aca="false">IF(ISNUMBER('Section Bills'!J10),'Section Bills'!J10,"")</f>
        <v>1.26</v>
      </c>
      <c r="L19" s="37" t="n">
        <f aca="false">IF(ISNUMBER('Section Bills'!K10),'Section Bills'!K10,"")</f>
        <v>1</v>
      </c>
      <c r="M19" s="20" t="n">
        <f aca="false">Controls!$B$7</f>
        <v>0.025</v>
      </c>
      <c r="N19" s="20" t="n">
        <f aca="false">IF(AND(ISNUMBER(K19),ISNUMBER(L19),L19&gt;0),K19/L19*(1-M19),"")</f>
        <v>1.2285</v>
      </c>
      <c r="O19" s="14"/>
      <c r="P19" s="21" t="n">
        <f aca="false">IF(O19="",0,COUNTIFS('Gap Migration'!$G$7:$G$91,O19,'Gap Migration'!$J$7:$J$91,1))</f>
        <v>0</v>
      </c>
      <c r="Q19" s="14" t="n">
        <v>0</v>
      </c>
      <c r="R19" s="14" t="n">
        <v>0</v>
      </c>
      <c r="S19" s="21" t="str">
        <f aca="false">IF(ISNUMBER(N19),IF(N19&gt;=Controls!$B$8,"DESIGN CLOSE","NEGATIVE"),IF(P19=1,"MEASUREMENT READY","UNSCOPED"))</f>
        <v>DESIGN CLOSE</v>
      </c>
      <c r="T19" s="21" t="str">
        <f aca="false">IF(S19="DESIGN CLOSE","root-native section bill",IF(S19="MEASUREMENT READY","executable protocol; observation empty","return to architecture"))</f>
        <v>root-native section bill</v>
      </c>
      <c r="U19" s="14" t="n">
        <v>0</v>
      </c>
    </row>
    <row r="20" customFormat="false" ht="15" hidden="false" customHeight="false" outlineLevel="0" collapsed="false">
      <c r="A20" s="12" t="s">
        <v>298</v>
      </c>
      <c r="B20" s="12" t="s">
        <v>31</v>
      </c>
      <c r="C20" s="12" t="s">
        <v>32</v>
      </c>
      <c r="D20" s="12" t="s">
        <v>135</v>
      </c>
      <c r="E20" s="12" t="s">
        <v>136</v>
      </c>
      <c r="F20" s="12" t="s">
        <v>275</v>
      </c>
      <c r="G20" s="12" t="s">
        <v>276</v>
      </c>
      <c r="H20" s="12" t="n">
        <v>10</v>
      </c>
      <c r="I20" s="12" t="s">
        <v>137</v>
      </c>
      <c r="J20" s="12" t="s">
        <v>63</v>
      </c>
      <c r="K20" s="37"/>
      <c r="L20" s="37"/>
      <c r="M20" s="20" t="n">
        <f aca="false">Controls!$B$7</f>
        <v>0.025</v>
      </c>
      <c r="N20" s="20" t="str">
        <f aca="false">IF(AND(ISNUMBER(K20),ISNUMBER(L20),L20&gt;0),K20/L20*(1-M20),"")</f>
        <v/>
      </c>
      <c r="O20" s="14" t="s">
        <v>299</v>
      </c>
      <c r="P20" s="21" t="n">
        <f aca="false">IF(O20="",0,COUNTIFS('Gap Migration'!$G$7:$G$91,O20,'Gap Migration'!$J$7:$J$91,1))</f>
        <v>1</v>
      </c>
      <c r="Q20" s="14" t="n">
        <v>0</v>
      </c>
      <c r="R20" s="14" t="n">
        <v>0</v>
      </c>
      <c r="S20" s="21" t="str">
        <f aca="false">IF(ISNUMBER(N20),IF(N20&gt;=Controls!$B$8,"DESIGN CLOSE","NEGATIVE"),IF(P20=1,"MEASUREMENT READY","UNSCOPED"))</f>
        <v>MEASUREMENT READY</v>
      </c>
      <c r="T20" s="21" t="str">
        <f aca="false">IF(S20="DESIGN CLOSE","root-native section bill",IF(S20="MEASUREMENT READY","executable protocol; observation empty","return to architecture"))</f>
        <v>executable protocol; observation empty</v>
      </c>
      <c r="U20" s="14" t="n">
        <v>0</v>
      </c>
    </row>
    <row r="21" customFormat="false" ht="15" hidden="false" customHeight="false" outlineLevel="0" collapsed="false">
      <c r="A21" s="12" t="s">
        <v>300</v>
      </c>
      <c r="B21" s="12" t="s">
        <v>31</v>
      </c>
      <c r="C21" s="12" t="s">
        <v>32</v>
      </c>
      <c r="D21" s="12" t="s">
        <v>135</v>
      </c>
      <c r="E21" s="12" t="s">
        <v>136</v>
      </c>
      <c r="F21" s="12" t="s">
        <v>279</v>
      </c>
      <c r="G21" s="12" t="s">
        <v>280</v>
      </c>
      <c r="H21" s="12" t="n">
        <v>10</v>
      </c>
      <c r="I21" s="12" t="s">
        <v>137</v>
      </c>
      <c r="J21" s="12" t="s">
        <v>63</v>
      </c>
      <c r="K21" s="37" t="n">
        <f aca="false">IF(ISNUMBER('Section Bills'!L10),'Section Bills'!L10,"")</f>
        <v>1.05</v>
      </c>
      <c r="L21" s="37" t="n">
        <f aca="false">IF(ISNUMBER('Section Bills'!M10),'Section Bills'!M10,"")</f>
        <v>1</v>
      </c>
      <c r="M21" s="20" t="n">
        <f aca="false">Controls!$B$7</f>
        <v>0.025</v>
      </c>
      <c r="N21" s="20" t="n">
        <f aca="false">IF(AND(ISNUMBER(K21),ISNUMBER(L21),L21&gt;0),K21/L21*(1-M21),"")</f>
        <v>1.02375</v>
      </c>
      <c r="O21" s="14"/>
      <c r="P21" s="21" t="n">
        <f aca="false">IF(O21="",0,COUNTIFS('Gap Migration'!$G$7:$G$91,O21,'Gap Migration'!$J$7:$J$91,1))</f>
        <v>0</v>
      </c>
      <c r="Q21" s="14" t="n">
        <v>0</v>
      </c>
      <c r="R21" s="14" t="n">
        <v>0</v>
      </c>
      <c r="S21" s="21" t="str">
        <f aca="false">IF(ISNUMBER(N21),IF(N21&gt;=Controls!$B$8,"DESIGN CLOSE","NEGATIVE"),IF(P21=1,"MEASUREMENT READY","UNSCOPED"))</f>
        <v>DESIGN CLOSE</v>
      </c>
      <c r="T21" s="21" t="str">
        <f aca="false">IF(S21="DESIGN CLOSE","root-native section bill",IF(S21="MEASUREMENT READY","executable protocol; observation empty","return to architecture"))</f>
        <v>root-native section bill</v>
      </c>
      <c r="U21" s="14" t="n">
        <v>0</v>
      </c>
    </row>
    <row r="22" customFormat="false" ht="15" hidden="false" customHeight="false" outlineLevel="0" collapsed="false">
      <c r="A22" s="12" t="s">
        <v>301</v>
      </c>
      <c r="B22" s="12" t="s">
        <v>31</v>
      </c>
      <c r="C22" s="12" t="s">
        <v>32</v>
      </c>
      <c r="D22" s="12" t="s">
        <v>135</v>
      </c>
      <c r="E22" s="12" t="s">
        <v>136</v>
      </c>
      <c r="F22" s="12" t="s">
        <v>282</v>
      </c>
      <c r="G22" s="12" t="s">
        <v>283</v>
      </c>
      <c r="H22" s="12" t="n">
        <v>10</v>
      </c>
      <c r="I22" s="12" t="s">
        <v>137</v>
      </c>
      <c r="J22" s="12" t="s">
        <v>63</v>
      </c>
      <c r="K22" s="37"/>
      <c r="L22" s="37"/>
      <c r="M22" s="20" t="n">
        <f aca="false">Controls!$B$7</f>
        <v>0.025</v>
      </c>
      <c r="N22" s="20" t="str">
        <f aca="false">IF(AND(ISNUMBER(K22),ISNUMBER(L22),L22&gt;0),K22/L22*(1-M22),"")</f>
        <v/>
      </c>
      <c r="O22" s="14" t="s">
        <v>302</v>
      </c>
      <c r="P22" s="21" t="n">
        <f aca="false">IF(O22="",0,COUNTIFS('Gap Migration'!$G$7:$G$91,O22,'Gap Migration'!$J$7:$J$91,1))</f>
        <v>1</v>
      </c>
      <c r="Q22" s="14" t="n">
        <v>0</v>
      </c>
      <c r="R22" s="14" t="n">
        <v>0</v>
      </c>
      <c r="S22" s="21" t="str">
        <f aca="false">IF(ISNUMBER(N22),IF(N22&gt;=Controls!$B$8,"DESIGN CLOSE","NEGATIVE"),IF(P22=1,"MEASUREMENT READY","UNSCOPED"))</f>
        <v>MEASUREMENT READY</v>
      </c>
      <c r="T22" s="21" t="str">
        <f aca="false">IF(S22="DESIGN CLOSE","root-native section bill",IF(S22="MEASUREMENT READY","executable protocol; observation empty","return to architecture"))</f>
        <v>executable protocol; observation empty</v>
      </c>
      <c r="U22" s="14" t="n">
        <v>0</v>
      </c>
    </row>
    <row r="23" customFormat="false" ht="15" hidden="false" customHeight="false" outlineLevel="0" collapsed="false">
      <c r="A23" s="12" t="s">
        <v>303</v>
      </c>
      <c r="B23" s="12" t="s">
        <v>31</v>
      </c>
      <c r="C23" s="12" t="s">
        <v>32</v>
      </c>
      <c r="D23" s="12" t="s">
        <v>140</v>
      </c>
      <c r="E23" s="12" t="s">
        <v>141</v>
      </c>
      <c r="F23" s="12" t="s">
        <v>272</v>
      </c>
      <c r="G23" s="12" t="s">
        <v>273</v>
      </c>
      <c r="H23" s="12" t="n">
        <v>11</v>
      </c>
      <c r="I23" s="12" t="s">
        <v>142</v>
      </c>
      <c r="J23" s="12" t="s">
        <v>143</v>
      </c>
      <c r="K23" s="37" t="n">
        <f aca="false">IF(ISNUMBER('Section Bills'!J11),'Section Bills'!J11,"")</f>
        <v>1512</v>
      </c>
      <c r="L23" s="37" t="n">
        <f aca="false">IF(ISNUMBER('Section Bills'!K11),'Section Bills'!K11,"")</f>
        <v>1200</v>
      </c>
      <c r="M23" s="20" t="n">
        <f aca="false">Controls!$B$7</f>
        <v>0.025</v>
      </c>
      <c r="N23" s="20" t="n">
        <f aca="false">IF(AND(ISNUMBER(K23),ISNUMBER(L23),L23&gt;0),K23/L23*(1-M23),"")</f>
        <v>1.2285</v>
      </c>
      <c r="O23" s="14"/>
      <c r="P23" s="21" t="n">
        <f aca="false">IF(O23="",0,COUNTIFS('Gap Migration'!$G$7:$G$91,O23,'Gap Migration'!$J$7:$J$91,1))</f>
        <v>0</v>
      </c>
      <c r="Q23" s="14" t="n">
        <v>0</v>
      </c>
      <c r="R23" s="14" t="n">
        <v>0</v>
      </c>
      <c r="S23" s="21" t="str">
        <f aca="false">IF(ISNUMBER(N23),IF(N23&gt;=Controls!$B$8,"DESIGN CLOSE","NEGATIVE"),IF(P23=1,"MEASUREMENT READY","UNSCOPED"))</f>
        <v>DESIGN CLOSE</v>
      </c>
      <c r="T23" s="21" t="str">
        <f aca="false">IF(S23="DESIGN CLOSE","root-native section bill",IF(S23="MEASUREMENT READY","executable protocol; observation empty","return to architecture"))</f>
        <v>root-native section bill</v>
      </c>
      <c r="U23" s="14" t="n">
        <v>0</v>
      </c>
    </row>
    <row r="24" customFormat="false" ht="15" hidden="false" customHeight="false" outlineLevel="0" collapsed="false">
      <c r="A24" s="12" t="s">
        <v>304</v>
      </c>
      <c r="B24" s="12" t="s">
        <v>31</v>
      </c>
      <c r="C24" s="12" t="s">
        <v>32</v>
      </c>
      <c r="D24" s="12" t="s">
        <v>140</v>
      </c>
      <c r="E24" s="12" t="s">
        <v>141</v>
      </c>
      <c r="F24" s="12" t="s">
        <v>275</v>
      </c>
      <c r="G24" s="12" t="s">
        <v>276</v>
      </c>
      <c r="H24" s="12" t="n">
        <v>11</v>
      </c>
      <c r="I24" s="12" t="s">
        <v>142</v>
      </c>
      <c r="J24" s="12" t="s">
        <v>143</v>
      </c>
      <c r="K24" s="37"/>
      <c r="L24" s="37"/>
      <c r="M24" s="20" t="n">
        <f aca="false">Controls!$B$7</f>
        <v>0.025</v>
      </c>
      <c r="N24" s="20" t="str">
        <f aca="false">IF(AND(ISNUMBER(K24),ISNUMBER(L24),L24&gt;0),K24/L24*(1-M24),"")</f>
        <v/>
      </c>
      <c r="O24" s="14" t="s">
        <v>305</v>
      </c>
      <c r="P24" s="21" t="n">
        <f aca="false">IF(O24="",0,COUNTIFS('Gap Migration'!$G$7:$G$91,O24,'Gap Migration'!$J$7:$J$91,1))</f>
        <v>1</v>
      </c>
      <c r="Q24" s="14" t="n">
        <v>0</v>
      </c>
      <c r="R24" s="14" t="n">
        <v>0</v>
      </c>
      <c r="S24" s="21" t="str">
        <f aca="false">IF(ISNUMBER(N24),IF(N24&gt;=Controls!$B$8,"DESIGN CLOSE","NEGATIVE"),IF(P24=1,"MEASUREMENT READY","UNSCOPED"))</f>
        <v>MEASUREMENT READY</v>
      </c>
      <c r="T24" s="21" t="str">
        <f aca="false">IF(S24="DESIGN CLOSE","root-native section bill",IF(S24="MEASUREMENT READY","executable protocol; observation empty","return to architecture"))</f>
        <v>executable protocol; observation empty</v>
      </c>
      <c r="U24" s="14" t="n">
        <v>0</v>
      </c>
    </row>
    <row r="25" customFormat="false" ht="15" hidden="false" customHeight="false" outlineLevel="0" collapsed="false">
      <c r="A25" s="12" t="s">
        <v>306</v>
      </c>
      <c r="B25" s="12" t="s">
        <v>31</v>
      </c>
      <c r="C25" s="12" t="s">
        <v>32</v>
      </c>
      <c r="D25" s="12" t="s">
        <v>140</v>
      </c>
      <c r="E25" s="12" t="s">
        <v>141</v>
      </c>
      <c r="F25" s="12" t="s">
        <v>279</v>
      </c>
      <c r="G25" s="12" t="s">
        <v>280</v>
      </c>
      <c r="H25" s="12" t="n">
        <v>11</v>
      </c>
      <c r="I25" s="12" t="s">
        <v>142</v>
      </c>
      <c r="J25" s="12" t="s">
        <v>143</v>
      </c>
      <c r="K25" s="37" t="n">
        <f aca="false">IF(ISNUMBER('Section Bills'!L11),'Section Bills'!L11,"")</f>
        <v>1260</v>
      </c>
      <c r="L25" s="37" t="n">
        <f aca="false">IF(ISNUMBER('Section Bills'!M11),'Section Bills'!M11,"")</f>
        <v>1200</v>
      </c>
      <c r="M25" s="20" t="n">
        <f aca="false">Controls!$B$7</f>
        <v>0.025</v>
      </c>
      <c r="N25" s="20" t="n">
        <f aca="false">IF(AND(ISNUMBER(K25),ISNUMBER(L25),L25&gt;0),K25/L25*(1-M25),"")</f>
        <v>1.02375</v>
      </c>
      <c r="O25" s="14"/>
      <c r="P25" s="21" t="n">
        <f aca="false">IF(O25="",0,COUNTIFS('Gap Migration'!$G$7:$G$91,O25,'Gap Migration'!$J$7:$J$91,1))</f>
        <v>0</v>
      </c>
      <c r="Q25" s="14" t="n">
        <v>0</v>
      </c>
      <c r="R25" s="14" t="n">
        <v>0</v>
      </c>
      <c r="S25" s="21" t="str">
        <f aca="false">IF(ISNUMBER(N25),IF(N25&gt;=Controls!$B$8,"DESIGN CLOSE","NEGATIVE"),IF(P25=1,"MEASUREMENT READY","UNSCOPED"))</f>
        <v>DESIGN CLOSE</v>
      </c>
      <c r="T25" s="21" t="str">
        <f aca="false">IF(S25="DESIGN CLOSE","root-native section bill",IF(S25="MEASUREMENT READY","executable protocol; observation empty","return to architecture"))</f>
        <v>root-native section bill</v>
      </c>
      <c r="U25" s="14" t="n">
        <v>0</v>
      </c>
    </row>
    <row r="26" customFormat="false" ht="15" hidden="false" customHeight="false" outlineLevel="0" collapsed="false">
      <c r="A26" s="12" t="s">
        <v>307</v>
      </c>
      <c r="B26" s="12" t="s">
        <v>31</v>
      </c>
      <c r="C26" s="12" t="s">
        <v>32</v>
      </c>
      <c r="D26" s="12" t="s">
        <v>140</v>
      </c>
      <c r="E26" s="12" t="s">
        <v>141</v>
      </c>
      <c r="F26" s="12" t="s">
        <v>282</v>
      </c>
      <c r="G26" s="12" t="s">
        <v>283</v>
      </c>
      <c r="H26" s="12" t="n">
        <v>11</v>
      </c>
      <c r="I26" s="12" t="s">
        <v>142</v>
      </c>
      <c r="J26" s="12" t="s">
        <v>143</v>
      </c>
      <c r="K26" s="37"/>
      <c r="L26" s="37"/>
      <c r="M26" s="20" t="n">
        <f aca="false">Controls!$B$7</f>
        <v>0.025</v>
      </c>
      <c r="N26" s="20" t="str">
        <f aca="false">IF(AND(ISNUMBER(K26),ISNUMBER(L26),L26&gt;0),K26/L26*(1-M26),"")</f>
        <v/>
      </c>
      <c r="O26" s="14" t="s">
        <v>308</v>
      </c>
      <c r="P26" s="21" t="n">
        <f aca="false">IF(O26="",0,COUNTIFS('Gap Migration'!$G$7:$G$91,O26,'Gap Migration'!$J$7:$J$91,1))</f>
        <v>1</v>
      </c>
      <c r="Q26" s="14" t="n">
        <v>0</v>
      </c>
      <c r="R26" s="14" t="n">
        <v>0</v>
      </c>
      <c r="S26" s="21" t="str">
        <f aca="false">IF(ISNUMBER(N26),IF(N26&gt;=Controls!$B$8,"DESIGN CLOSE","NEGATIVE"),IF(P26=1,"MEASUREMENT READY","UNSCOPED"))</f>
        <v>MEASUREMENT READY</v>
      </c>
      <c r="T26" s="21" t="str">
        <f aca="false">IF(S26="DESIGN CLOSE","root-native section bill",IF(S26="MEASUREMENT READY","executable protocol; observation empty","return to architecture"))</f>
        <v>executable protocol; observation empty</v>
      </c>
      <c r="U26" s="14" t="n">
        <v>0</v>
      </c>
    </row>
    <row r="27" customFormat="false" ht="15" hidden="false" customHeight="false" outlineLevel="0" collapsed="false">
      <c r="A27" s="12" t="s">
        <v>309</v>
      </c>
      <c r="B27" s="12" t="s">
        <v>31</v>
      </c>
      <c r="C27" s="12" t="s">
        <v>32</v>
      </c>
      <c r="D27" s="12" t="s">
        <v>146</v>
      </c>
      <c r="E27" s="12" t="s">
        <v>147</v>
      </c>
      <c r="F27" s="12" t="s">
        <v>272</v>
      </c>
      <c r="G27" s="12" t="s">
        <v>273</v>
      </c>
      <c r="H27" s="12" t="n">
        <v>12</v>
      </c>
      <c r="I27" s="12" t="s">
        <v>148</v>
      </c>
      <c r="J27" s="12" t="s">
        <v>149</v>
      </c>
      <c r="K27" s="37"/>
      <c r="L27" s="37"/>
      <c r="M27" s="20" t="n">
        <f aca="false">Controls!$B$7</f>
        <v>0.025</v>
      </c>
      <c r="N27" s="20" t="str">
        <f aca="false">IF(AND(ISNUMBER(K27),ISNUMBER(L27),L27&gt;0),K27/L27*(1-M27),"")</f>
        <v/>
      </c>
      <c r="O27" s="14" t="s">
        <v>310</v>
      </c>
      <c r="P27" s="21" t="n">
        <f aca="false">IF(O27="",0,COUNTIFS('Gap Migration'!$G$7:$G$91,O27,'Gap Migration'!$J$7:$J$91,1))</f>
        <v>1</v>
      </c>
      <c r="Q27" s="14" t="n">
        <v>0</v>
      </c>
      <c r="R27" s="14" t="n">
        <v>0</v>
      </c>
      <c r="S27" s="21" t="str">
        <f aca="false">IF(ISNUMBER(N27),IF(N27&gt;=Controls!$B$8,"DESIGN CLOSE","NEGATIVE"),IF(P27=1,"MEASUREMENT READY","UNSCOPED"))</f>
        <v>MEASUREMENT READY</v>
      </c>
      <c r="T27" s="21" t="str">
        <f aca="false">IF(S27="DESIGN CLOSE","root-native section bill",IF(S27="MEASUREMENT READY","executable protocol; observation empty","return to architecture"))</f>
        <v>executable protocol; observation empty</v>
      </c>
      <c r="U27" s="14" t="n">
        <v>0</v>
      </c>
    </row>
    <row r="28" customFormat="false" ht="15" hidden="false" customHeight="false" outlineLevel="0" collapsed="false">
      <c r="A28" s="12" t="s">
        <v>311</v>
      </c>
      <c r="B28" s="12" t="s">
        <v>31</v>
      </c>
      <c r="C28" s="12" t="s">
        <v>32</v>
      </c>
      <c r="D28" s="12" t="s">
        <v>146</v>
      </c>
      <c r="E28" s="12" t="s">
        <v>147</v>
      </c>
      <c r="F28" s="12" t="s">
        <v>275</v>
      </c>
      <c r="G28" s="12" t="s">
        <v>276</v>
      </c>
      <c r="H28" s="12" t="n">
        <v>12</v>
      </c>
      <c r="I28" s="12" t="s">
        <v>148</v>
      </c>
      <c r="J28" s="12" t="s">
        <v>149</v>
      </c>
      <c r="K28" s="37"/>
      <c r="L28" s="37"/>
      <c r="M28" s="20" t="n">
        <f aca="false">Controls!$B$7</f>
        <v>0.025</v>
      </c>
      <c r="N28" s="20" t="str">
        <f aca="false">IF(AND(ISNUMBER(K28),ISNUMBER(L28),L28&gt;0),K28/L28*(1-M28),"")</f>
        <v/>
      </c>
      <c r="O28" s="14" t="s">
        <v>312</v>
      </c>
      <c r="P28" s="21" t="n">
        <f aca="false">IF(O28="",0,COUNTIFS('Gap Migration'!$G$7:$G$91,O28,'Gap Migration'!$J$7:$J$91,1))</f>
        <v>1</v>
      </c>
      <c r="Q28" s="14" t="n">
        <v>0</v>
      </c>
      <c r="R28" s="14" t="n">
        <v>0</v>
      </c>
      <c r="S28" s="21" t="str">
        <f aca="false">IF(ISNUMBER(N28),IF(N28&gt;=Controls!$B$8,"DESIGN CLOSE","NEGATIVE"),IF(P28=1,"MEASUREMENT READY","UNSCOPED"))</f>
        <v>MEASUREMENT READY</v>
      </c>
      <c r="T28" s="21" t="str">
        <f aca="false">IF(S28="DESIGN CLOSE","root-native section bill",IF(S28="MEASUREMENT READY","executable protocol; observation empty","return to architecture"))</f>
        <v>executable protocol; observation empty</v>
      </c>
      <c r="U28" s="14" t="n">
        <v>0</v>
      </c>
    </row>
    <row r="29" customFormat="false" ht="15" hidden="false" customHeight="false" outlineLevel="0" collapsed="false">
      <c r="A29" s="12" t="s">
        <v>313</v>
      </c>
      <c r="B29" s="12" t="s">
        <v>31</v>
      </c>
      <c r="C29" s="12" t="s">
        <v>32</v>
      </c>
      <c r="D29" s="12" t="s">
        <v>146</v>
      </c>
      <c r="E29" s="12" t="s">
        <v>147</v>
      </c>
      <c r="F29" s="12" t="s">
        <v>279</v>
      </c>
      <c r="G29" s="12" t="s">
        <v>280</v>
      </c>
      <c r="H29" s="12" t="n">
        <v>12</v>
      </c>
      <c r="I29" s="12" t="s">
        <v>148</v>
      </c>
      <c r="J29" s="12" t="s">
        <v>149</v>
      </c>
      <c r="K29" s="37"/>
      <c r="L29" s="37"/>
      <c r="M29" s="20" t="n">
        <f aca="false">Controls!$B$7</f>
        <v>0.025</v>
      </c>
      <c r="N29" s="20" t="str">
        <f aca="false">IF(AND(ISNUMBER(K29),ISNUMBER(L29),L29&gt;0),K29/L29*(1-M29),"")</f>
        <v/>
      </c>
      <c r="O29" s="14" t="s">
        <v>314</v>
      </c>
      <c r="P29" s="21" t="n">
        <f aca="false">IF(O29="",0,COUNTIFS('Gap Migration'!$G$7:$G$91,O29,'Gap Migration'!$J$7:$J$91,1))</f>
        <v>1</v>
      </c>
      <c r="Q29" s="14" t="n">
        <v>0</v>
      </c>
      <c r="R29" s="14" t="n">
        <v>0</v>
      </c>
      <c r="S29" s="21" t="str">
        <f aca="false">IF(ISNUMBER(N29),IF(N29&gt;=Controls!$B$8,"DESIGN CLOSE","NEGATIVE"),IF(P29=1,"MEASUREMENT READY","UNSCOPED"))</f>
        <v>MEASUREMENT READY</v>
      </c>
      <c r="T29" s="21" t="str">
        <f aca="false">IF(S29="DESIGN CLOSE","root-native section bill",IF(S29="MEASUREMENT READY","executable protocol; observation empty","return to architecture"))</f>
        <v>executable protocol; observation empty</v>
      </c>
      <c r="U29" s="14" t="n">
        <v>0</v>
      </c>
    </row>
    <row r="30" customFormat="false" ht="15" hidden="false" customHeight="false" outlineLevel="0" collapsed="false">
      <c r="A30" s="12" t="s">
        <v>315</v>
      </c>
      <c r="B30" s="12" t="s">
        <v>31</v>
      </c>
      <c r="C30" s="12" t="s">
        <v>32</v>
      </c>
      <c r="D30" s="12" t="s">
        <v>146</v>
      </c>
      <c r="E30" s="12" t="s">
        <v>147</v>
      </c>
      <c r="F30" s="12" t="s">
        <v>282</v>
      </c>
      <c r="G30" s="12" t="s">
        <v>283</v>
      </c>
      <c r="H30" s="12" t="n">
        <v>12</v>
      </c>
      <c r="I30" s="12" t="s">
        <v>148</v>
      </c>
      <c r="J30" s="12" t="s">
        <v>149</v>
      </c>
      <c r="K30" s="37"/>
      <c r="L30" s="37"/>
      <c r="M30" s="20" t="n">
        <f aca="false">Controls!$B$7</f>
        <v>0.025</v>
      </c>
      <c r="N30" s="20" t="str">
        <f aca="false">IF(AND(ISNUMBER(K30),ISNUMBER(L30),L30&gt;0),K30/L30*(1-M30),"")</f>
        <v/>
      </c>
      <c r="O30" s="14" t="s">
        <v>316</v>
      </c>
      <c r="P30" s="21" t="n">
        <f aca="false">IF(O30="",0,COUNTIFS('Gap Migration'!$G$7:$G$91,O30,'Gap Migration'!$J$7:$J$91,1))</f>
        <v>1</v>
      </c>
      <c r="Q30" s="14" t="n">
        <v>0</v>
      </c>
      <c r="R30" s="14" t="n">
        <v>0</v>
      </c>
      <c r="S30" s="21" t="str">
        <f aca="false">IF(ISNUMBER(N30),IF(N30&gt;=Controls!$B$8,"DESIGN CLOSE","NEGATIVE"),IF(P30=1,"MEASUREMENT READY","UNSCOPED"))</f>
        <v>MEASUREMENT READY</v>
      </c>
      <c r="T30" s="21" t="str">
        <f aca="false">IF(S30="DESIGN CLOSE","root-native section bill",IF(S30="MEASUREMENT READY","executable protocol; observation empty","return to architecture"))</f>
        <v>executable protocol; observation empty</v>
      </c>
      <c r="U30" s="14" t="n">
        <v>0</v>
      </c>
    </row>
    <row r="31" customFormat="false" ht="15" hidden="false" customHeight="false" outlineLevel="0" collapsed="false">
      <c r="A31" s="12" t="s">
        <v>317</v>
      </c>
      <c r="B31" s="12" t="s">
        <v>35</v>
      </c>
      <c r="C31" s="12" t="s">
        <v>36</v>
      </c>
      <c r="D31" s="12" t="s">
        <v>114</v>
      </c>
      <c r="E31" s="12" t="s">
        <v>115</v>
      </c>
      <c r="F31" s="12" t="s">
        <v>272</v>
      </c>
      <c r="G31" s="12" t="s">
        <v>273</v>
      </c>
      <c r="H31" s="12" t="n">
        <v>13</v>
      </c>
      <c r="I31" s="12" t="s">
        <v>153</v>
      </c>
      <c r="J31" s="12" t="s">
        <v>117</v>
      </c>
      <c r="K31" s="37" t="n">
        <f aca="false">IF(ISNUMBER('Section Bills'!J13),'Section Bills'!J13,"")</f>
        <v>36000</v>
      </c>
      <c r="L31" s="37" t="n">
        <f aca="false">IF(ISNUMBER('Section Bills'!K13),'Section Bills'!K13,"")</f>
        <v>31000</v>
      </c>
      <c r="M31" s="20" t="n">
        <f aca="false">Controls!$B$7</f>
        <v>0.025</v>
      </c>
      <c r="N31" s="20" t="n">
        <f aca="false">IF(AND(ISNUMBER(K31),ISNUMBER(L31),L31&gt;0),K31/L31*(1-M31),"")</f>
        <v>1.13225806451613</v>
      </c>
      <c r="O31" s="14"/>
      <c r="P31" s="21" t="n">
        <f aca="false">IF(O31="",0,COUNTIFS('Gap Migration'!$G$7:$G$91,O31,'Gap Migration'!$J$7:$J$91,1))</f>
        <v>0</v>
      </c>
      <c r="Q31" s="14" t="n">
        <v>0</v>
      </c>
      <c r="R31" s="14" t="n">
        <v>0</v>
      </c>
      <c r="S31" s="21" t="str">
        <f aca="false">IF(ISNUMBER(N31),IF(N31&gt;=Controls!$B$8,"DESIGN CLOSE","NEGATIVE"),IF(P31=1,"MEASUREMENT READY","UNSCOPED"))</f>
        <v>DESIGN CLOSE</v>
      </c>
      <c r="T31" s="21" t="str">
        <f aca="false">IF(S31="DESIGN CLOSE","root-native section bill",IF(S31="MEASUREMENT READY","executable protocol; observation empty","return to architecture"))</f>
        <v>root-native section bill</v>
      </c>
      <c r="U31" s="14" t="n">
        <v>0</v>
      </c>
    </row>
    <row r="32" customFormat="false" ht="15" hidden="false" customHeight="false" outlineLevel="0" collapsed="false">
      <c r="A32" s="12" t="s">
        <v>318</v>
      </c>
      <c r="B32" s="12" t="s">
        <v>35</v>
      </c>
      <c r="C32" s="12" t="s">
        <v>36</v>
      </c>
      <c r="D32" s="12" t="s">
        <v>114</v>
      </c>
      <c r="E32" s="12" t="s">
        <v>115</v>
      </c>
      <c r="F32" s="12" t="s">
        <v>275</v>
      </c>
      <c r="G32" s="12" t="s">
        <v>276</v>
      </c>
      <c r="H32" s="12" t="n">
        <v>13</v>
      </c>
      <c r="I32" s="12" t="s">
        <v>153</v>
      </c>
      <c r="J32" s="12" t="s">
        <v>117</v>
      </c>
      <c r="K32" s="37"/>
      <c r="L32" s="37"/>
      <c r="M32" s="20" t="n">
        <f aca="false">Controls!$B$7</f>
        <v>0.025</v>
      </c>
      <c r="N32" s="20" t="str">
        <f aca="false">IF(AND(ISNUMBER(K32),ISNUMBER(L32),L32&gt;0),K32/L32*(1-M32),"")</f>
        <v/>
      </c>
      <c r="O32" s="14" t="s">
        <v>319</v>
      </c>
      <c r="P32" s="21" t="n">
        <f aca="false">IF(O32="",0,COUNTIFS('Gap Migration'!$G$7:$G$91,O32,'Gap Migration'!$J$7:$J$91,1))</f>
        <v>1</v>
      </c>
      <c r="Q32" s="14" t="n">
        <v>0</v>
      </c>
      <c r="R32" s="14" t="n">
        <v>0</v>
      </c>
      <c r="S32" s="21" t="str">
        <f aca="false">IF(ISNUMBER(N32),IF(N32&gt;=Controls!$B$8,"DESIGN CLOSE","NEGATIVE"),IF(P32=1,"MEASUREMENT READY","UNSCOPED"))</f>
        <v>MEASUREMENT READY</v>
      </c>
      <c r="T32" s="21" t="str">
        <f aca="false">IF(S32="DESIGN CLOSE","root-native section bill",IF(S32="MEASUREMENT READY","executable protocol; observation empty","return to architecture"))</f>
        <v>executable protocol; observation empty</v>
      </c>
      <c r="U32" s="14" t="n">
        <v>0</v>
      </c>
    </row>
    <row r="33" customFormat="false" ht="15" hidden="false" customHeight="false" outlineLevel="0" collapsed="false">
      <c r="A33" s="12" t="s">
        <v>320</v>
      </c>
      <c r="B33" s="12" t="s">
        <v>35</v>
      </c>
      <c r="C33" s="12" t="s">
        <v>36</v>
      </c>
      <c r="D33" s="12" t="s">
        <v>114</v>
      </c>
      <c r="E33" s="12" t="s">
        <v>115</v>
      </c>
      <c r="F33" s="12" t="s">
        <v>279</v>
      </c>
      <c r="G33" s="12" t="s">
        <v>280</v>
      </c>
      <c r="H33" s="12" t="n">
        <v>13</v>
      </c>
      <c r="I33" s="12" t="s">
        <v>153</v>
      </c>
      <c r="J33" s="12" t="s">
        <v>117</v>
      </c>
      <c r="K33" s="37" t="n">
        <f aca="false">IF(ISNUMBER('Section Bills'!L13),'Section Bills'!L13,"")</f>
        <v>32400</v>
      </c>
      <c r="L33" s="37" t="n">
        <f aca="false">IF(ISNUMBER('Section Bills'!M13),'Section Bills'!M13,"")</f>
        <v>31000</v>
      </c>
      <c r="M33" s="20" t="n">
        <f aca="false">Controls!$B$7</f>
        <v>0.025</v>
      </c>
      <c r="N33" s="20" t="n">
        <f aca="false">IF(AND(ISNUMBER(K33),ISNUMBER(L33),L33&gt;0),K33/L33*(1-M33),"")</f>
        <v>1.01903225806452</v>
      </c>
      <c r="O33" s="14"/>
      <c r="P33" s="21" t="n">
        <f aca="false">IF(O33="",0,COUNTIFS('Gap Migration'!$G$7:$G$91,O33,'Gap Migration'!$J$7:$J$91,1))</f>
        <v>0</v>
      </c>
      <c r="Q33" s="14" t="n">
        <v>0</v>
      </c>
      <c r="R33" s="14" t="n">
        <v>0</v>
      </c>
      <c r="S33" s="21" t="str">
        <f aca="false">IF(ISNUMBER(N33),IF(N33&gt;=Controls!$B$8,"DESIGN CLOSE","NEGATIVE"),IF(P33=1,"MEASUREMENT READY","UNSCOPED"))</f>
        <v>DESIGN CLOSE</v>
      </c>
      <c r="T33" s="21" t="str">
        <f aca="false">IF(S33="DESIGN CLOSE","root-native section bill",IF(S33="MEASUREMENT READY","executable protocol; observation empty","return to architecture"))</f>
        <v>root-native section bill</v>
      </c>
      <c r="U33" s="14" t="n">
        <v>0</v>
      </c>
    </row>
    <row r="34" customFormat="false" ht="15" hidden="false" customHeight="false" outlineLevel="0" collapsed="false">
      <c r="A34" s="12" t="s">
        <v>321</v>
      </c>
      <c r="B34" s="12" t="s">
        <v>35</v>
      </c>
      <c r="C34" s="12" t="s">
        <v>36</v>
      </c>
      <c r="D34" s="12" t="s">
        <v>114</v>
      </c>
      <c r="E34" s="12" t="s">
        <v>115</v>
      </c>
      <c r="F34" s="12" t="s">
        <v>282</v>
      </c>
      <c r="G34" s="12" t="s">
        <v>283</v>
      </c>
      <c r="H34" s="12" t="n">
        <v>13</v>
      </c>
      <c r="I34" s="12" t="s">
        <v>153</v>
      </c>
      <c r="J34" s="12" t="s">
        <v>117</v>
      </c>
      <c r="K34" s="37"/>
      <c r="L34" s="37"/>
      <c r="M34" s="20" t="n">
        <f aca="false">Controls!$B$7</f>
        <v>0.025</v>
      </c>
      <c r="N34" s="20" t="str">
        <f aca="false">IF(AND(ISNUMBER(K34),ISNUMBER(L34),L34&gt;0),K34/L34*(1-M34),"")</f>
        <v/>
      </c>
      <c r="O34" s="14" t="s">
        <v>322</v>
      </c>
      <c r="P34" s="21" t="n">
        <f aca="false">IF(O34="",0,COUNTIFS('Gap Migration'!$G$7:$G$91,O34,'Gap Migration'!$J$7:$J$91,1))</f>
        <v>1</v>
      </c>
      <c r="Q34" s="14" t="n">
        <v>0</v>
      </c>
      <c r="R34" s="14" t="n">
        <v>0</v>
      </c>
      <c r="S34" s="21" t="str">
        <f aca="false">IF(ISNUMBER(N34),IF(N34&gt;=Controls!$B$8,"DESIGN CLOSE","NEGATIVE"),IF(P34=1,"MEASUREMENT READY","UNSCOPED"))</f>
        <v>MEASUREMENT READY</v>
      </c>
      <c r="T34" s="21" t="str">
        <f aca="false">IF(S34="DESIGN CLOSE","root-native section bill",IF(S34="MEASUREMENT READY","executable protocol; observation empty","return to architecture"))</f>
        <v>executable protocol; observation empty</v>
      </c>
      <c r="U34" s="14" t="n">
        <v>0</v>
      </c>
    </row>
    <row r="35" customFormat="false" ht="15" hidden="false" customHeight="false" outlineLevel="0" collapsed="false">
      <c r="A35" s="12" t="s">
        <v>323</v>
      </c>
      <c r="B35" s="12" t="s">
        <v>35</v>
      </c>
      <c r="C35" s="12" t="s">
        <v>36</v>
      </c>
      <c r="D35" s="12" t="s">
        <v>121</v>
      </c>
      <c r="E35" s="12" t="s">
        <v>122</v>
      </c>
      <c r="F35" s="12" t="s">
        <v>272</v>
      </c>
      <c r="G35" s="12" t="s">
        <v>273</v>
      </c>
      <c r="H35" s="12" t="n">
        <v>14</v>
      </c>
      <c r="I35" s="12" t="s">
        <v>156</v>
      </c>
      <c r="J35" s="12" t="s">
        <v>124</v>
      </c>
      <c r="K35" s="37" t="n">
        <f aca="false">IF(ISNUMBER('Section Bills'!J14),'Section Bills'!J14,"")</f>
        <v>50.4</v>
      </c>
      <c r="L35" s="37" t="n">
        <f aca="false">IF(ISNUMBER('Section Bills'!K14),'Section Bills'!K14,"")</f>
        <v>42</v>
      </c>
      <c r="M35" s="20" t="n">
        <f aca="false">Controls!$B$7</f>
        <v>0.025</v>
      </c>
      <c r="N35" s="20" t="n">
        <f aca="false">IF(AND(ISNUMBER(K35),ISNUMBER(L35),L35&gt;0),K35/L35*(1-M35),"")</f>
        <v>1.17</v>
      </c>
      <c r="O35" s="14"/>
      <c r="P35" s="21" t="n">
        <f aca="false">IF(O35="",0,COUNTIFS('Gap Migration'!$G$7:$G$91,O35,'Gap Migration'!$J$7:$J$91,1))</f>
        <v>0</v>
      </c>
      <c r="Q35" s="14" t="n">
        <v>0</v>
      </c>
      <c r="R35" s="14" t="n">
        <v>0</v>
      </c>
      <c r="S35" s="21" t="str">
        <f aca="false">IF(ISNUMBER(N35),IF(N35&gt;=Controls!$B$8,"DESIGN CLOSE","NEGATIVE"),IF(P35=1,"MEASUREMENT READY","UNSCOPED"))</f>
        <v>DESIGN CLOSE</v>
      </c>
      <c r="T35" s="21" t="str">
        <f aca="false">IF(S35="DESIGN CLOSE","root-native section bill",IF(S35="MEASUREMENT READY","executable protocol; observation empty","return to architecture"))</f>
        <v>root-native section bill</v>
      </c>
      <c r="U35" s="14" t="n">
        <v>0</v>
      </c>
    </row>
    <row r="36" customFormat="false" ht="15" hidden="false" customHeight="false" outlineLevel="0" collapsed="false">
      <c r="A36" s="12" t="s">
        <v>324</v>
      </c>
      <c r="B36" s="12" t="s">
        <v>35</v>
      </c>
      <c r="C36" s="12" t="s">
        <v>36</v>
      </c>
      <c r="D36" s="12" t="s">
        <v>121</v>
      </c>
      <c r="E36" s="12" t="s">
        <v>122</v>
      </c>
      <c r="F36" s="12" t="s">
        <v>275</v>
      </c>
      <c r="G36" s="12" t="s">
        <v>276</v>
      </c>
      <c r="H36" s="12" t="n">
        <v>14</v>
      </c>
      <c r="I36" s="12" t="s">
        <v>156</v>
      </c>
      <c r="J36" s="12" t="s">
        <v>124</v>
      </c>
      <c r="K36" s="37"/>
      <c r="L36" s="37"/>
      <c r="M36" s="20" t="n">
        <f aca="false">Controls!$B$7</f>
        <v>0.025</v>
      </c>
      <c r="N36" s="20" t="str">
        <f aca="false">IF(AND(ISNUMBER(K36),ISNUMBER(L36),L36&gt;0),K36/L36*(1-M36),"")</f>
        <v/>
      </c>
      <c r="O36" s="14" t="s">
        <v>325</v>
      </c>
      <c r="P36" s="21" t="n">
        <f aca="false">IF(O36="",0,COUNTIFS('Gap Migration'!$G$7:$G$91,O36,'Gap Migration'!$J$7:$J$91,1))</f>
        <v>1</v>
      </c>
      <c r="Q36" s="14" t="n">
        <v>0</v>
      </c>
      <c r="R36" s="14" t="n">
        <v>0</v>
      </c>
      <c r="S36" s="21" t="str">
        <f aca="false">IF(ISNUMBER(N36),IF(N36&gt;=Controls!$B$8,"DESIGN CLOSE","NEGATIVE"),IF(P36=1,"MEASUREMENT READY","UNSCOPED"))</f>
        <v>MEASUREMENT READY</v>
      </c>
      <c r="T36" s="21" t="str">
        <f aca="false">IF(S36="DESIGN CLOSE","root-native section bill",IF(S36="MEASUREMENT READY","executable protocol; observation empty","return to architecture"))</f>
        <v>executable protocol; observation empty</v>
      </c>
      <c r="U36" s="14" t="n">
        <v>0</v>
      </c>
    </row>
    <row r="37" customFormat="false" ht="15" hidden="false" customHeight="false" outlineLevel="0" collapsed="false">
      <c r="A37" s="12" t="s">
        <v>326</v>
      </c>
      <c r="B37" s="12" t="s">
        <v>35</v>
      </c>
      <c r="C37" s="12" t="s">
        <v>36</v>
      </c>
      <c r="D37" s="12" t="s">
        <v>121</v>
      </c>
      <c r="E37" s="12" t="s">
        <v>122</v>
      </c>
      <c r="F37" s="12" t="s">
        <v>279</v>
      </c>
      <c r="G37" s="12" t="s">
        <v>280</v>
      </c>
      <c r="H37" s="12" t="n">
        <v>14</v>
      </c>
      <c r="I37" s="12" t="s">
        <v>156</v>
      </c>
      <c r="J37" s="12" t="s">
        <v>124</v>
      </c>
      <c r="K37" s="37" t="n">
        <f aca="false">IF(ISNUMBER('Section Bills'!L14),'Section Bills'!L14,"")</f>
        <v>43.2</v>
      </c>
      <c r="L37" s="37" t="n">
        <f aca="false">IF(ISNUMBER('Section Bills'!M14),'Section Bills'!M14,"")</f>
        <v>42</v>
      </c>
      <c r="M37" s="20" t="n">
        <f aca="false">Controls!$B$7</f>
        <v>0.025</v>
      </c>
      <c r="N37" s="20" t="n">
        <f aca="false">IF(AND(ISNUMBER(K37),ISNUMBER(L37),L37&gt;0),K37/L37*(1-M37),"")</f>
        <v>1.00285714285714</v>
      </c>
      <c r="O37" s="14"/>
      <c r="P37" s="21" t="n">
        <f aca="false">IF(O37="",0,COUNTIFS('Gap Migration'!$G$7:$G$91,O37,'Gap Migration'!$J$7:$J$91,1))</f>
        <v>0</v>
      </c>
      <c r="Q37" s="14" t="n">
        <v>0</v>
      </c>
      <c r="R37" s="14" t="n">
        <v>0</v>
      </c>
      <c r="S37" s="21" t="str">
        <f aca="false">IF(ISNUMBER(N37),IF(N37&gt;=Controls!$B$8,"DESIGN CLOSE","NEGATIVE"),IF(P37=1,"MEASUREMENT READY","UNSCOPED"))</f>
        <v>DESIGN CLOSE</v>
      </c>
      <c r="T37" s="21" t="str">
        <f aca="false">IF(S37="DESIGN CLOSE","root-native section bill",IF(S37="MEASUREMENT READY","executable protocol; observation empty","return to architecture"))</f>
        <v>root-native section bill</v>
      </c>
      <c r="U37" s="14" t="n">
        <v>0</v>
      </c>
    </row>
    <row r="38" customFormat="false" ht="15" hidden="false" customHeight="false" outlineLevel="0" collapsed="false">
      <c r="A38" s="12" t="s">
        <v>327</v>
      </c>
      <c r="B38" s="12" t="s">
        <v>35</v>
      </c>
      <c r="C38" s="12" t="s">
        <v>36</v>
      </c>
      <c r="D38" s="12" t="s">
        <v>121</v>
      </c>
      <c r="E38" s="12" t="s">
        <v>122</v>
      </c>
      <c r="F38" s="12" t="s">
        <v>282</v>
      </c>
      <c r="G38" s="12" t="s">
        <v>283</v>
      </c>
      <c r="H38" s="12" t="n">
        <v>14</v>
      </c>
      <c r="I38" s="12" t="s">
        <v>156</v>
      </c>
      <c r="J38" s="12" t="s">
        <v>124</v>
      </c>
      <c r="K38" s="37"/>
      <c r="L38" s="37"/>
      <c r="M38" s="20" t="n">
        <f aca="false">Controls!$B$7</f>
        <v>0.025</v>
      </c>
      <c r="N38" s="20" t="str">
        <f aca="false">IF(AND(ISNUMBER(K38),ISNUMBER(L38),L38&gt;0),K38/L38*(1-M38),"")</f>
        <v/>
      </c>
      <c r="O38" s="14" t="s">
        <v>328</v>
      </c>
      <c r="P38" s="21" t="n">
        <f aca="false">IF(O38="",0,COUNTIFS('Gap Migration'!$G$7:$G$91,O38,'Gap Migration'!$J$7:$J$91,1))</f>
        <v>1</v>
      </c>
      <c r="Q38" s="14" t="n">
        <v>0</v>
      </c>
      <c r="R38" s="14" t="n">
        <v>0</v>
      </c>
      <c r="S38" s="21" t="str">
        <f aca="false">IF(ISNUMBER(N38),IF(N38&gt;=Controls!$B$8,"DESIGN CLOSE","NEGATIVE"),IF(P38=1,"MEASUREMENT READY","UNSCOPED"))</f>
        <v>MEASUREMENT READY</v>
      </c>
      <c r="T38" s="21" t="str">
        <f aca="false">IF(S38="DESIGN CLOSE","root-native section bill",IF(S38="MEASUREMENT READY","executable protocol; observation empty","return to architecture"))</f>
        <v>executable protocol; observation empty</v>
      </c>
      <c r="U38" s="14" t="n">
        <v>0</v>
      </c>
    </row>
    <row r="39" customFormat="false" ht="15" hidden="false" customHeight="false" outlineLevel="0" collapsed="false">
      <c r="A39" s="12" t="s">
        <v>329</v>
      </c>
      <c r="B39" s="12" t="s">
        <v>35</v>
      </c>
      <c r="C39" s="12" t="s">
        <v>36</v>
      </c>
      <c r="D39" s="12" t="s">
        <v>128</v>
      </c>
      <c r="E39" s="12" t="s">
        <v>129</v>
      </c>
      <c r="F39" s="12" t="s">
        <v>272</v>
      </c>
      <c r="G39" s="12" t="s">
        <v>273</v>
      </c>
      <c r="H39" s="12" t="n">
        <v>15</v>
      </c>
      <c r="I39" s="12" t="s">
        <v>160</v>
      </c>
      <c r="J39" s="12" t="s">
        <v>63</v>
      </c>
      <c r="K39" s="37" t="n">
        <f aca="false">IF(ISNUMBER('Section Bills'!J15),'Section Bills'!J15,"")</f>
        <v>1.32</v>
      </c>
      <c r="L39" s="37" t="n">
        <f aca="false">IF(ISNUMBER('Section Bills'!K15),'Section Bills'!K15,"")</f>
        <v>1</v>
      </c>
      <c r="M39" s="20" t="n">
        <f aca="false">Controls!$B$7</f>
        <v>0.025</v>
      </c>
      <c r="N39" s="20" t="n">
        <f aca="false">IF(AND(ISNUMBER(K39),ISNUMBER(L39),L39&gt;0),K39/L39*(1-M39),"")</f>
        <v>1.287</v>
      </c>
      <c r="O39" s="14"/>
      <c r="P39" s="21" t="n">
        <f aca="false">IF(O39="",0,COUNTIFS('Gap Migration'!$G$7:$G$91,O39,'Gap Migration'!$J$7:$J$91,1))</f>
        <v>0</v>
      </c>
      <c r="Q39" s="14" t="n">
        <v>0</v>
      </c>
      <c r="R39" s="14" t="n">
        <v>0</v>
      </c>
      <c r="S39" s="21" t="str">
        <f aca="false">IF(ISNUMBER(N39),IF(N39&gt;=Controls!$B$8,"DESIGN CLOSE","NEGATIVE"),IF(P39=1,"MEASUREMENT READY","UNSCOPED"))</f>
        <v>DESIGN CLOSE</v>
      </c>
      <c r="T39" s="21" t="str">
        <f aca="false">IF(S39="DESIGN CLOSE","root-native section bill",IF(S39="MEASUREMENT READY","executable protocol; observation empty","return to architecture"))</f>
        <v>root-native section bill</v>
      </c>
      <c r="U39" s="14" t="n">
        <v>0</v>
      </c>
    </row>
    <row r="40" customFormat="false" ht="15" hidden="false" customHeight="false" outlineLevel="0" collapsed="false">
      <c r="A40" s="12" t="s">
        <v>330</v>
      </c>
      <c r="B40" s="12" t="s">
        <v>35</v>
      </c>
      <c r="C40" s="12" t="s">
        <v>36</v>
      </c>
      <c r="D40" s="12" t="s">
        <v>128</v>
      </c>
      <c r="E40" s="12" t="s">
        <v>129</v>
      </c>
      <c r="F40" s="12" t="s">
        <v>275</v>
      </c>
      <c r="G40" s="12" t="s">
        <v>276</v>
      </c>
      <c r="H40" s="12" t="n">
        <v>15</v>
      </c>
      <c r="I40" s="12" t="s">
        <v>160</v>
      </c>
      <c r="J40" s="12" t="s">
        <v>63</v>
      </c>
      <c r="K40" s="37"/>
      <c r="L40" s="37"/>
      <c r="M40" s="20" t="n">
        <f aca="false">Controls!$B$7</f>
        <v>0.025</v>
      </c>
      <c r="N40" s="20" t="str">
        <f aca="false">IF(AND(ISNUMBER(K40),ISNUMBER(L40),L40&gt;0),K40/L40*(1-M40),"")</f>
        <v/>
      </c>
      <c r="O40" s="14" t="s">
        <v>331</v>
      </c>
      <c r="P40" s="21" t="n">
        <f aca="false">IF(O40="",0,COUNTIFS('Gap Migration'!$G$7:$G$91,O40,'Gap Migration'!$J$7:$J$91,1))</f>
        <v>1</v>
      </c>
      <c r="Q40" s="14" t="n">
        <v>0</v>
      </c>
      <c r="R40" s="14" t="n">
        <v>0</v>
      </c>
      <c r="S40" s="21" t="str">
        <f aca="false">IF(ISNUMBER(N40),IF(N40&gt;=Controls!$B$8,"DESIGN CLOSE","NEGATIVE"),IF(P40=1,"MEASUREMENT READY","UNSCOPED"))</f>
        <v>MEASUREMENT READY</v>
      </c>
      <c r="T40" s="21" t="str">
        <f aca="false">IF(S40="DESIGN CLOSE","root-native section bill",IF(S40="MEASUREMENT READY","executable protocol; observation empty","return to architecture"))</f>
        <v>executable protocol; observation empty</v>
      </c>
      <c r="U40" s="14" t="n">
        <v>0</v>
      </c>
    </row>
    <row r="41" customFormat="false" ht="15" hidden="false" customHeight="false" outlineLevel="0" collapsed="false">
      <c r="A41" s="12" t="s">
        <v>332</v>
      </c>
      <c r="B41" s="12" t="s">
        <v>35</v>
      </c>
      <c r="C41" s="12" t="s">
        <v>36</v>
      </c>
      <c r="D41" s="12" t="s">
        <v>128</v>
      </c>
      <c r="E41" s="12" t="s">
        <v>129</v>
      </c>
      <c r="F41" s="12" t="s">
        <v>279</v>
      </c>
      <c r="G41" s="12" t="s">
        <v>280</v>
      </c>
      <c r="H41" s="12" t="n">
        <v>15</v>
      </c>
      <c r="I41" s="12" t="s">
        <v>160</v>
      </c>
      <c r="J41" s="12" t="s">
        <v>63</v>
      </c>
      <c r="K41" s="37" t="n">
        <f aca="false">IF(ISNUMBER('Section Bills'!L15),'Section Bills'!L15,"")</f>
        <v>1.056</v>
      </c>
      <c r="L41" s="37" t="n">
        <f aca="false">IF(ISNUMBER('Section Bills'!M15),'Section Bills'!M15,"")</f>
        <v>1</v>
      </c>
      <c r="M41" s="20" t="n">
        <f aca="false">Controls!$B$7</f>
        <v>0.025</v>
      </c>
      <c r="N41" s="20" t="n">
        <f aca="false">IF(AND(ISNUMBER(K41),ISNUMBER(L41),L41&gt;0),K41/L41*(1-M41),"")</f>
        <v>1.0296</v>
      </c>
      <c r="O41" s="14"/>
      <c r="P41" s="21" t="n">
        <f aca="false">IF(O41="",0,COUNTIFS('Gap Migration'!$G$7:$G$91,O41,'Gap Migration'!$J$7:$J$91,1))</f>
        <v>0</v>
      </c>
      <c r="Q41" s="14" t="n">
        <v>0</v>
      </c>
      <c r="R41" s="14" t="n">
        <v>0</v>
      </c>
      <c r="S41" s="21" t="str">
        <f aca="false">IF(ISNUMBER(N41),IF(N41&gt;=Controls!$B$8,"DESIGN CLOSE","NEGATIVE"),IF(P41=1,"MEASUREMENT READY","UNSCOPED"))</f>
        <v>DESIGN CLOSE</v>
      </c>
      <c r="T41" s="21" t="str">
        <f aca="false">IF(S41="DESIGN CLOSE","root-native section bill",IF(S41="MEASUREMENT READY","executable protocol; observation empty","return to architecture"))</f>
        <v>root-native section bill</v>
      </c>
      <c r="U41" s="14" t="n">
        <v>0</v>
      </c>
    </row>
    <row r="42" customFormat="false" ht="15" hidden="false" customHeight="false" outlineLevel="0" collapsed="false">
      <c r="A42" s="12" t="s">
        <v>333</v>
      </c>
      <c r="B42" s="12" t="s">
        <v>35</v>
      </c>
      <c r="C42" s="12" t="s">
        <v>36</v>
      </c>
      <c r="D42" s="12" t="s">
        <v>128</v>
      </c>
      <c r="E42" s="12" t="s">
        <v>129</v>
      </c>
      <c r="F42" s="12" t="s">
        <v>282</v>
      </c>
      <c r="G42" s="12" t="s">
        <v>283</v>
      </c>
      <c r="H42" s="12" t="n">
        <v>15</v>
      </c>
      <c r="I42" s="12" t="s">
        <v>160</v>
      </c>
      <c r="J42" s="12" t="s">
        <v>63</v>
      </c>
      <c r="K42" s="37"/>
      <c r="L42" s="37"/>
      <c r="M42" s="20" t="n">
        <f aca="false">Controls!$B$7</f>
        <v>0.025</v>
      </c>
      <c r="N42" s="20" t="str">
        <f aca="false">IF(AND(ISNUMBER(K42),ISNUMBER(L42),L42&gt;0),K42/L42*(1-M42),"")</f>
        <v/>
      </c>
      <c r="O42" s="14" t="s">
        <v>334</v>
      </c>
      <c r="P42" s="21" t="n">
        <f aca="false">IF(O42="",0,COUNTIFS('Gap Migration'!$G$7:$G$91,O42,'Gap Migration'!$J$7:$J$91,1))</f>
        <v>1</v>
      </c>
      <c r="Q42" s="14" t="n">
        <v>0</v>
      </c>
      <c r="R42" s="14" t="n">
        <v>0</v>
      </c>
      <c r="S42" s="21" t="str">
        <f aca="false">IF(ISNUMBER(N42),IF(N42&gt;=Controls!$B$8,"DESIGN CLOSE","NEGATIVE"),IF(P42=1,"MEASUREMENT READY","UNSCOPED"))</f>
        <v>MEASUREMENT READY</v>
      </c>
      <c r="T42" s="21" t="str">
        <f aca="false">IF(S42="DESIGN CLOSE","root-native section bill",IF(S42="MEASUREMENT READY","executable protocol; observation empty","return to architecture"))</f>
        <v>executable protocol; observation empty</v>
      </c>
      <c r="U42" s="14" t="n">
        <v>0</v>
      </c>
    </row>
    <row r="43" customFormat="false" ht="15" hidden="false" customHeight="false" outlineLevel="0" collapsed="false">
      <c r="A43" s="12" t="s">
        <v>335</v>
      </c>
      <c r="B43" s="12" t="s">
        <v>35</v>
      </c>
      <c r="C43" s="12" t="s">
        <v>36</v>
      </c>
      <c r="D43" s="12" t="s">
        <v>135</v>
      </c>
      <c r="E43" s="12" t="s">
        <v>136</v>
      </c>
      <c r="F43" s="12" t="s">
        <v>272</v>
      </c>
      <c r="G43" s="12" t="s">
        <v>273</v>
      </c>
      <c r="H43" s="12" t="n">
        <v>16</v>
      </c>
      <c r="I43" s="12" t="s">
        <v>163</v>
      </c>
      <c r="J43" s="12" t="s">
        <v>63</v>
      </c>
      <c r="K43" s="37" t="n">
        <f aca="false">IF(ISNUMBER('Section Bills'!J16),'Section Bills'!J16,"")</f>
        <v>1.2</v>
      </c>
      <c r="L43" s="37" t="n">
        <f aca="false">IF(ISNUMBER('Section Bills'!K16),'Section Bills'!K16,"")</f>
        <v>1</v>
      </c>
      <c r="M43" s="20" t="n">
        <f aca="false">Controls!$B$7</f>
        <v>0.025</v>
      </c>
      <c r="N43" s="20" t="n">
        <f aca="false">IF(AND(ISNUMBER(K43),ISNUMBER(L43),L43&gt;0),K43/L43*(1-M43),"")</f>
        <v>1.17</v>
      </c>
      <c r="O43" s="14"/>
      <c r="P43" s="21" t="n">
        <f aca="false">IF(O43="",0,COUNTIFS('Gap Migration'!$G$7:$G$91,O43,'Gap Migration'!$J$7:$J$91,1))</f>
        <v>0</v>
      </c>
      <c r="Q43" s="14" t="n">
        <v>0</v>
      </c>
      <c r="R43" s="14" t="n">
        <v>0</v>
      </c>
      <c r="S43" s="21" t="str">
        <f aca="false">IF(ISNUMBER(N43),IF(N43&gt;=Controls!$B$8,"DESIGN CLOSE","NEGATIVE"),IF(P43=1,"MEASUREMENT READY","UNSCOPED"))</f>
        <v>DESIGN CLOSE</v>
      </c>
      <c r="T43" s="21" t="str">
        <f aca="false">IF(S43="DESIGN CLOSE","root-native section bill",IF(S43="MEASUREMENT READY","executable protocol; observation empty","return to architecture"))</f>
        <v>root-native section bill</v>
      </c>
      <c r="U43" s="14" t="n">
        <v>0</v>
      </c>
    </row>
    <row r="44" customFormat="false" ht="15" hidden="false" customHeight="false" outlineLevel="0" collapsed="false">
      <c r="A44" s="12" t="s">
        <v>336</v>
      </c>
      <c r="B44" s="12" t="s">
        <v>35</v>
      </c>
      <c r="C44" s="12" t="s">
        <v>36</v>
      </c>
      <c r="D44" s="12" t="s">
        <v>135</v>
      </c>
      <c r="E44" s="12" t="s">
        <v>136</v>
      </c>
      <c r="F44" s="12" t="s">
        <v>275</v>
      </c>
      <c r="G44" s="12" t="s">
        <v>276</v>
      </c>
      <c r="H44" s="12" t="n">
        <v>16</v>
      </c>
      <c r="I44" s="12" t="s">
        <v>163</v>
      </c>
      <c r="J44" s="12" t="s">
        <v>63</v>
      </c>
      <c r="K44" s="37"/>
      <c r="L44" s="37"/>
      <c r="M44" s="20" t="n">
        <f aca="false">Controls!$B$7</f>
        <v>0.025</v>
      </c>
      <c r="N44" s="20" t="str">
        <f aca="false">IF(AND(ISNUMBER(K44),ISNUMBER(L44),L44&gt;0),K44/L44*(1-M44),"")</f>
        <v/>
      </c>
      <c r="O44" s="14" t="s">
        <v>337</v>
      </c>
      <c r="P44" s="21" t="n">
        <f aca="false">IF(O44="",0,COUNTIFS('Gap Migration'!$G$7:$G$91,O44,'Gap Migration'!$J$7:$J$91,1))</f>
        <v>1</v>
      </c>
      <c r="Q44" s="14" t="n">
        <v>0</v>
      </c>
      <c r="R44" s="14" t="n">
        <v>0</v>
      </c>
      <c r="S44" s="21" t="str">
        <f aca="false">IF(ISNUMBER(N44),IF(N44&gt;=Controls!$B$8,"DESIGN CLOSE","NEGATIVE"),IF(P44=1,"MEASUREMENT READY","UNSCOPED"))</f>
        <v>MEASUREMENT READY</v>
      </c>
      <c r="T44" s="21" t="str">
        <f aca="false">IF(S44="DESIGN CLOSE","root-native section bill",IF(S44="MEASUREMENT READY","executable protocol; observation empty","return to architecture"))</f>
        <v>executable protocol; observation empty</v>
      </c>
      <c r="U44" s="14" t="n">
        <v>0</v>
      </c>
    </row>
    <row r="45" customFormat="false" ht="15" hidden="false" customHeight="false" outlineLevel="0" collapsed="false">
      <c r="A45" s="12" t="s">
        <v>338</v>
      </c>
      <c r="B45" s="12" t="s">
        <v>35</v>
      </c>
      <c r="C45" s="12" t="s">
        <v>36</v>
      </c>
      <c r="D45" s="12" t="s">
        <v>135</v>
      </c>
      <c r="E45" s="12" t="s">
        <v>136</v>
      </c>
      <c r="F45" s="12" t="s">
        <v>279</v>
      </c>
      <c r="G45" s="12" t="s">
        <v>280</v>
      </c>
      <c r="H45" s="12" t="n">
        <v>16</v>
      </c>
      <c r="I45" s="12" t="s">
        <v>163</v>
      </c>
      <c r="J45" s="12" t="s">
        <v>63</v>
      </c>
      <c r="K45" s="37" t="n">
        <f aca="false">IF(ISNUMBER('Section Bills'!L16),'Section Bills'!L16,"")</f>
        <v>1.05</v>
      </c>
      <c r="L45" s="37" t="n">
        <f aca="false">IF(ISNUMBER('Section Bills'!M16),'Section Bills'!M16,"")</f>
        <v>1</v>
      </c>
      <c r="M45" s="20" t="n">
        <f aca="false">Controls!$B$7</f>
        <v>0.025</v>
      </c>
      <c r="N45" s="20" t="n">
        <f aca="false">IF(AND(ISNUMBER(K45),ISNUMBER(L45),L45&gt;0),K45/L45*(1-M45),"")</f>
        <v>1.02375</v>
      </c>
      <c r="O45" s="14"/>
      <c r="P45" s="21" t="n">
        <f aca="false">IF(O45="",0,COUNTIFS('Gap Migration'!$G$7:$G$91,O45,'Gap Migration'!$J$7:$J$91,1))</f>
        <v>0</v>
      </c>
      <c r="Q45" s="14" t="n">
        <v>0</v>
      </c>
      <c r="R45" s="14" t="n">
        <v>0</v>
      </c>
      <c r="S45" s="21" t="str">
        <f aca="false">IF(ISNUMBER(N45),IF(N45&gt;=Controls!$B$8,"DESIGN CLOSE","NEGATIVE"),IF(P45=1,"MEASUREMENT READY","UNSCOPED"))</f>
        <v>DESIGN CLOSE</v>
      </c>
      <c r="T45" s="21" t="str">
        <f aca="false">IF(S45="DESIGN CLOSE","root-native section bill",IF(S45="MEASUREMENT READY","executable protocol; observation empty","return to architecture"))</f>
        <v>root-native section bill</v>
      </c>
      <c r="U45" s="14" t="n">
        <v>0</v>
      </c>
    </row>
    <row r="46" customFormat="false" ht="15" hidden="false" customHeight="false" outlineLevel="0" collapsed="false">
      <c r="A46" s="12" t="s">
        <v>339</v>
      </c>
      <c r="B46" s="12" t="s">
        <v>35</v>
      </c>
      <c r="C46" s="12" t="s">
        <v>36</v>
      </c>
      <c r="D46" s="12" t="s">
        <v>135</v>
      </c>
      <c r="E46" s="12" t="s">
        <v>136</v>
      </c>
      <c r="F46" s="12" t="s">
        <v>282</v>
      </c>
      <c r="G46" s="12" t="s">
        <v>283</v>
      </c>
      <c r="H46" s="12" t="n">
        <v>16</v>
      </c>
      <c r="I46" s="12" t="s">
        <v>163</v>
      </c>
      <c r="J46" s="12" t="s">
        <v>63</v>
      </c>
      <c r="K46" s="37"/>
      <c r="L46" s="37"/>
      <c r="M46" s="20" t="n">
        <f aca="false">Controls!$B$7</f>
        <v>0.025</v>
      </c>
      <c r="N46" s="20" t="str">
        <f aca="false">IF(AND(ISNUMBER(K46),ISNUMBER(L46),L46&gt;0),K46/L46*(1-M46),"")</f>
        <v/>
      </c>
      <c r="O46" s="14" t="s">
        <v>340</v>
      </c>
      <c r="P46" s="21" t="n">
        <f aca="false">IF(O46="",0,COUNTIFS('Gap Migration'!$G$7:$G$91,O46,'Gap Migration'!$J$7:$J$91,1))</f>
        <v>1</v>
      </c>
      <c r="Q46" s="14" t="n">
        <v>0</v>
      </c>
      <c r="R46" s="14" t="n">
        <v>0</v>
      </c>
      <c r="S46" s="21" t="str">
        <f aca="false">IF(ISNUMBER(N46),IF(N46&gt;=Controls!$B$8,"DESIGN CLOSE","NEGATIVE"),IF(P46=1,"MEASUREMENT READY","UNSCOPED"))</f>
        <v>MEASUREMENT READY</v>
      </c>
      <c r="T46" s="21" t="str">
        <f aca="false">IF(S46="DESIGN CLOSE","root-native section bill",IF(S46="MEASUREMENT READY","executable protocol; observation empty","return to architecture"))</f>
        <v>executable protocol; observation empty</v>
      </c>
      <c r="U46" s="14" t="n">
        <v>0</v>
      </c>
    </row>
    <row r="47" customFormat="false" ht="15" hidden="false" customHeight="false" outlineLevel="0" collapsed="false">
      <c r="A47" s="12" t="s">
        <v>341</v>
      </c>
      <c r="B47" s="12" t="s">
        <v>35</v>
      </c>
      <c r="C47" s="12" t="s">
        <v>36</v>
      </c>
      <c r="D47" s="12" t="s">
        <v>140</v>
      </c>
      <c r="E47" s="12" t="s">
        <v>141</v>
      </c>
      <c r="F47" s="12" t="s">
        <v>272</v>
      </c>
      <c r="G47" s="12" t="s">
        <v>273</v>
      </c>
      <c r="H47" s="12" t="n">
        <v>17</v>
      </c>
      <c r="I47" s="12" t="s">
        <v>166</v>
      </c>
      <c r="J47" s="12" t="s">
        <v>143</v>
      </c>
      <c r="K47" s="37" t="n">
        <f aca="false">IF(ISNUMBER('Section Bills'!J17),'Section Bills'!J17,"")</f>
        <v>277.2</v>
      </c>
      <c r="L47" s="37" t="n">
        <f aca="false">IF(ISNUMBER('Section Bills'!K17),'Section Bills'!K17,"")</f>
        <v>220</v>
      </c>
      <c r="M47" s="20" t="n">
        <f aca="false">Controls!$B$7</f>
        <v>0.025</v>
      </c>
      <c r="N47" s="20" t="n">
        <f aca="false">IF(AND(ISNUMBER(K47),ISNUMBER(L47),L47&gt;0),K47/L47*(1-M47),"")</f>
        <v>1.2285</v>
      </c>
      <c r="O47" s="14"/>
      <c r="P47" s="21" t="n">
        <f aca="false">IF(O47="",0,COUNTIFS('Gap Migration'!$G$7:$G$91,O47,'Gap Migration'!$J$7:$J$91,1))</f>
        <v>0</v>
      </c>
      <c r="Q47" s="14" t="n">
        <v>0</v>
      </c>
      <c r="R47" s="14" t="n">
        <v>0</v>
      </c>
      <c r="S47" s="21" t="str">
        <f aca="false">IF(ISNUMBER(N47),IF(N47&gt;=Controls!$B$8,"DESIGN CLOSE","NEGATIVE"),IF(P47=1,"MEASUREMENT READY","UNSCOPED"))</f>
        <v>DESIGN CLOSE</v>
      </c>
      <c r="T47" s="21" t="str">
        <f aca="false">IF(S47="DESIGN CLOSE","root-native section bill",IF(S47="MEASUREMENT READY","executable protocol; observation empty","return to architecture"))</f>
        <v>root-native section bill</v>
      </c>
      <c r="U47" s="14" t="n">
        <v>0</v>
      </c>
    </row>
    <row r="48" customFormat="false" ht="15" hidden="false" customHeight="false" outlineLevel="0" collapsed="false">
      <c r="A48" s="12" t="s">
        <v>342</v>
      </c>
      <c r="B48" s="12" t="s">
        <v>35</v>
      </c>
      <c r="C48" s="12" t="s">
        <v>36</v>
      </c>
      <c r="D48" s="12" t="s">
        <v>140</v>
      </c>
      <c r="E48" s="12" t="s">
        <v>141</v>
      </c>
      <c r="F48" s="12" t="s">
        <v>275</v>
      </c>
      <c r="G48" s="12" t="s">
        <v>276</v>
      </c>
      <c r="H48" s="12" t="n">
        <v>17</v>
      </c>
      <c r="I48" s="12" t="s">
        <v>166</v>
      </c>
      <c r="J48" s="12" t="s">
        <v>143</v>
      </c>
      <c r="K48" s="37"/>
      <c r="L48" s="37"/>
      <c r="M48" s="20" t="n">
        <f aca="false">Controls!$B$7</f>
        <v>0.025</v>
      </c>
      <c r="N48" s="20" t="str">
        <f aca="false">IF(AND(ISNUMBER(K48),ISNUMBER(L48),L48&gt;0),K48/L48*(1-M48),"")</f>
        <v/>
      </c>
      <c r="O48" s="14" t="s">
        <v>343</v>
      </c>
      <c r="P48" s="21" t="n">
        <f aca="false">IF(O48="",0,COUNTIFS('Gap Migration'!$G$7:$G$91,O48,'Gap Migration'!$J$7:$J$91,1))</f>
        <v>1</v>
      </c>
      <c r="Q48" s="14" t="n">
        <v>0</v>
      </c>
      <c r="R48" s="14" t="n">
        <v>0</v>
      </c>
      <c r="S48" s="21" t="str">
        <f aca="false">IF(ISNUMBER(N48),IF(N48&gt;=Controls!$B$8,"DESIGN CLOSE","NEGATIVE"),IF(P48=1,"MEASUREMENT READY","UNSCOPED"))</f>
        <v>MEASUREMENT READY</v>
      </c>
      <c r="T48" s="21" t="str">
        <f aca="false">IF(S48="DESIGN CLOSE","root-native section bill",IF(S48="MEASUREMENT READY","executable protocol; observation empty","return to architecture"))</f>
        <v>executable protocol; observation empty</v>
      </c>
      <c r="U48" s="14" t="n">
        <v>0</v>
      </c>
    </row>
    <row r="49" customFormat="false" ht="15" hidden="false" customHeight="false" outlineLevel="0" collapsed="false">
      <c r="A49" s="12" t="s">
        <v>344</v>
      </c>
      <c r="B49" s="12" t="s">
        <v>35</v>
      </c>
      <c r="C49" s="12" t="s">
        <v>36</v>
      </c>
      <c r="D49" s="12" t="s">
        <v>140</v>
      </c>
      <c r="E49" s="12" t="s">
        <v>141</v>
      </c>
      <c r="F49" s="12" t="s">
        <v>279</v>
      </c>
      <c r="G49" s="12" t="s">
        <v>280</v>
      </c>
      <c r="H49" s="12" t="n">
        <v>17</v>
      </c>
      <c r="I49" s="12" t="s">
        <v>166</v>
      </c>
      <c r="J49" s="12" t="s">
        <v>143</v>
      </c>
      <c r="K49" s="37" t="n">
        <f aca="false">IF(ISNUMBER('Section Bills'!L17),'Section Bills'!L17,"")</f>
        <v>231</v>
      </c>
      <c r="L49" s="37" t="n">
        <f aca="false">IF(ISNUMBER('Section Bills'!M17),'Section Bills'!M17,"")</f>
        <v>220</v>
      </c>
      <c r="M49" s="20" t="n">
        <f aca="false">Controls!$B$7</f>
        <v>0.025</v>
      </c>
      <c r="N49" s="20" t="n">
        <f aca="false">IF(AND(ISNUMBER(K49),ISNUMBER(L49),L49&gt;0),K49/L49*(1-M49),"")</f>
        <v>1.02375</v>
      </c>
      <c r="O49" s="14"/>
      <c r="P49" s="21" t="n">
        <f aca="false">IF(O49="",0,COUNTIFS('Gap Migration'!$G$7:$G$91,O49,'Gap Migration'!$J$7:$J$91,1))</f>
        <v>0</v>
      </c>
      <c r="Q49" s="14" t="n">
        <v>0</v>
      </c>
      <c r="R49" s="14" t="n">
        <v>0</v>
      </c>
      <c r="S49" s="21" t="str">
        <f aca="false">IF(ISNUMBER(N49),IF(N49&gt;=Controls!$B$8,"DESIGN CLOSE","NEGATIVE"),IF(P49=1,"MEASUREMENT READY","UNSCOPED"))</f>
        <v>DESIGN CLOSE</v>
      </c>
      <c r="T49" s="21" t="str">
        <f aca="false">IF(S49="DESIGN CLOSE","root-native section bill",IF(S49="MEASUREMENT READY","executable protocol; observation empty","return to architecture"))</f>
        <v>root-native section bill</v>
      </c>
      <c r="U49" s="14" t="n">
        <v>0</v>
      </c>
    </row>
    <row r="50" customFormat="false" ht="15" hidden="false" customHeight="false" outlineLevel="0" collapsed="false">
      <c r="A50" s="12" t="s">
        <v>345</v>
      </c>
      <c r="B50" s="12" t="s">
        <v>35</v>
      </c>
      <c r="C50" s="12" t="s">
        <v>36</v>
      </c>
      <c r="D50" s="12" t="s">
        <v>140</v>
      </c>
      <c r="E50" s="12" t="s">
        <v>141</v>
      </c>
      <c r="F50" s="12" t="s">
        <v>282</v>
      </c>
      <c r="G50" s="12" t="s">
        <v>283</v>
      </c>
      <c r="H50" s="12" t="n">
        <v>17</v>
      </c>
      <c r="I50" s="12" t="s">
        <v>166</v>
      </c>
      <c r="J50" s="12" t="s">
        <v>143</v>
      </c>
      <c r="K50" s="37"/>
      <c r="L50" s="37"/>
      <c r="M50" s="20" t="n">
        <f aca="false">Controls!$B$7</f>
        <v>0.025</v>
      </c>
      <c r="N50" s="20" t="str">
        <f aca="false">IF(AND(ISNUMBER(K50),ISNUMBER(L50),L50&gt;0),K50/L50*(1-M50),"")</f>
        <v/>
      </c>
      <c r="O50" s="14" t="s">
        <v>346</v>
      </c>
      <c r="P50" s="21" t="n">
        <f aca="false">IF(O50="",0,COUNTIFS('Gap Migration'!$G$7:$G$91,O50,'Gap Migration'!$J$7:$J$91,1))</f>
        <v>1</v>
      </c>
      <c r="Q50" s="14" t="n">
        <v>0</v>
      </c>
      <c r="R50" s="14" t="n">
        <v>0</v>
      </c>
      <c r="S50" s="21" t="str">
        <f aca="false">IF(ISNUMBER(N50),IF(N50&gt;=Controls!$B$8,"DESIGN CLOSE","NEGATIVE"),IF(P50=1,"MEASUREMENT READY","UNSCOPED"))</f>
        <v>MEASUREMENT READY</v>
      </c>
      <c r="T50" s="21" t="str">
        <f aca="false">IF(S50="DESIGN CLOSE","root-native section bill",IF(S50="MEASUREMENT READY","executable protocol; observation empty","return to architecture"))</f>
        <v>executable protocol; observation empty</v>
      </c>
      <c r="U50" s="14" t="n">
        <v>0</v>
      </c>
    </row>
    <row r="51" customFormat="false" ht="15" hidden="false" customHeight="false" outlineLevel="0" collapsed="false">
      <c r="A51" s="12" t="s">
        <v>347</v>
      </c>
      <c r="B51" s="12" t="s">
        <v>35</v>
      </c>
      <c r="C51" s="12" t="s">
        <v>36</v>
      </c>
      <c r="D51" s="12" t="s">
        <v>146</v>
      </c>
      <c r="E51" s="12" t="s">
        <v>147</v>
      </c>
      <c r="F51" s="12" t="s">
        <v>272</v>
      </c>
      <c r="G51" s="12" t="s">
        <v>273</v>
      </c>
      <c r="H51" s="12" t="n">
        <v>18</v>
      </c>
      <c r="I51" s="12" t="s">
        <v>169</v>
      </c>
      <c r="J51" s="12" t="s">
        <v>149</v>
      </c>
      <c r="K51" s="37"/>
      <c r="L51" s="37"/>
      <c r="M51" s="20" t="n">
        <f aca="false">Controls!$B$7</f>
        <v>0.025</v>
      </c>
      <c r="N51" s="20" t="str">
        <f aca="false">IF(AND(ISNUMBER(K51),ISNUMBER(L51),L51&gt;0),K51/L51*(1-M51),"")</f>
        <v/>
      </c>
      <c r="O51" s="14" t="s">
        <v>348</v>
      </c>
      <c r="P51" s="21" t="n">
        <f aca="false">IF(O51="",0,COUNTIFS('Gap Migration'!$G$7:$G$91,O51,'Gap Migration'!$J$7:$J$91,1))</f>
        <v>1</v>
      </c>
      <c r="Q51" s="14" t="n">
        <v>0</v>
      </c>
      <c r="R51" s="14" t="n">
        <v>0</v>
      </c>
      <c r="S51" s="21" t="str">
        <f aca="false">IF(ISNUMBER(N51),IF(N51&gt;=Controls!$B$8,"DESIGN CLOSE","NEGATIVE"),IF(P51=1,"MEASUREMENT READY","UNSCOPED"))</f>
        <v>MEASUREMENT READY</v>
      </c>
      <c r="T51" s="21" t="str">
        <f aca="false">IF(S51="DESIGN CLOSE","root-native section bill",IF(S51="MEASUREMENT READY","executable protocol; observation empty","return to architecture"))</f>
        <v>executable protocol; observation empty</v>
      </c>
      <c r="U51" s="14" t="n">
        <v>0</v>
      </c>
    </row>
    <row r="52" customFormat="false" ht="15" hidden="false" customHeight="false" outlineLevel="0" collapsed="false">
      <c r="A52" s="12" t="s">
        <v>349</v>
      </c>
      <c r="B52" s="12" t="s">
        <v>35</v>
      </c>
      <c r="C52" s="12" t="s">
        <v>36</v>
      </c>
      <c r="D52" s="12" t="s">
        <v>146</v>
      </c>
      <c r="E52" s="12" t="s">
        <v>147</v>
      </c>
      <c r="F52" s="12" t="s">
        <v>275</v>
      </c>
      <c r="G52" s="12" t="s">
        <v>276</v>
      </c>
      <c r="H52" s="12" t="n">
        <v>18</v>
      </c>
      <c r="I52" s="12" t="s">
        <v>169</v>
      </c>
      <c r="J52" s="12" t="s">
        <v>149</v>
      </c>
      <c r="K52" s="37"/>
      <c r="L52" s="37"/>
      <c r="M52" s="20" t="n">
        <f aca="false">Controls!$B$7</f>
        <v>0.025</v>
      </c>
      <c r="N52" s="20" t="str">
        <f aca="false">IF(AND(ISNUMBER(K52),ISNUMBER(L52),L52&gt;0),K52/L52*(1-M52),"")</f>
        <v/>
      </c>
      <c r="O52" s="14" t="s">
        <v>350</v>
      </c>
      <c r="P52" s="21" t="n">
        <f aca="false">IF(O52="",0,COUNTIFS('Gap Migration'!$G$7:$G$91,O52,'Gap Migration'!$J$7:$J$91,1))</f>
        <v>1</v>
      </c>
      <c r="Q52" s="14" t="n">
        <v>0</v>
      </c>
      <c r="R52" s="14" t="n">
        <v>0</v>
      </c>
      <c r="S52" s="21" t="str">
        <f aca="false">IF(ISNUMBER(N52),IF(N52&gt;=Controls!$B$8,"DESIGN CLOSE","NEGATIVE"),IF(P52=1,"MEASUREMENT READY","UNSCOPED"))</f>
        <v>MEASUREMENT READY</v>
      </c>
      <c r="T52" s="21" t="str">
        <f aca="false">IF(S52="DESIGN CLOSE","root-native section bill",IF(S52="MEASUREMENT READY","executable protocol; observation empty","return to architecture"))</f>
        <v>executable protocol; observation empty</v>
      </c>
      <c r="U52" s="14" t="n">
        <v>0</v>
      </c>
    </row>
    <row r="53" customFormat="false" ht="15" hidden="false" customHeight="false" outlineLevel="0" collapsed="false">
      <c r="A53" s="12" t="s">
        <v>351</v>
      </c>
      <c r="B53" s="12" t="s">
        <v>35</v>
      </c>
      <c r="C53" s="12" t="s">
        <v>36</v>
      </c>
      <c r="D53" s="12" t="s">
        <v>146</v>
      </c>
      <c r="E53" s="12" t="s">
        <v>147</v>
      </c>
      <c r="F53" s="12" t="s">
        <v>279</v>
      </c>
      <c r="G53" s="12" t="s">
        <v>280</v>
      </c>
      <c r="H53" s="12" t="n">
        <v>18</v>
      </c>
      <c r="I53" s="12" t="s">
        <v>169</v>
      </c>
      <c r="J53" s="12" t="s">
        <v>149</v>
      </c>
      <c r="K53" s="37"/>
      <c r="L53" s="37"/>
      <c r="M53" s="20" t="n">
        <f aca="false">Controls!$B$7</f>
        <v>0.025</v>
      </c>
      <c r="N53" s="20" t="str">
        <f aca="false">IF(AND(ISNUMBER(K53),ISNUMBER(L53),L53&gt;0),K53/L53*(1-M53),"")</f>
        <v/>
      </c>
      <c r="O53" s="14" t="s">
        <v>352</v>
      </c>
      <c r="P53" s="21" t="n">
        <f aca="false">IF(O53="",0,COUNTIFS('Gap Migration'!$G$7:$G$91,O53,'Gap Migration'!$J$7:$J$91,1))</f>
        <v>1</v>
      </c>
      <c r="Q53" s="14" t="n">
        <v>0</v>
      </c>
      <c r="R53" s="14" t="n">
        <v>0</v>
      </c>
      <c r="S53" s="21" t="str">
        <f aca="false">IF(ISNUMBER(N53),IF(N53&gt;=Controls!$B$8,"DESIGN CLOSE","NEGATIVE"),IF(P53=1,"MEASUREMENT READY","UNSCOPED"))</f>
        <v>MEASUREMENT READY</v>
      </c>
      <c r="T53" s="21" t="str">
        <f aca="false">IF(S53="DESIGN CLOSE","root-native section bill",IF(S53="MEASUREMENT READY","executable protocol; observation empty","return to architecture"))</f>
        <v>executable protocol; observation empty</v>
      </c>
      <c r="U53" s="14" t="n">
        <v>0</v>
      </c>
    </row>
    <row r="54" customFormat="false" ht="15" hidden="false" customHeight="false" outlineLevel="0" collapsed="false">
      <c r="A54" s="12" t="s">
        <v>353</v>
      </c>
      <c r="B54" s="12" t="s">
        <v>35</v>
      </c>
      <c r="C54" s="12" t="s">
        <v>36</v>
      </c>
      <c r="D54" s="12" t="s">
        <v>146</v>
      </c>
      <c r="E54" s="12" t="s">
        <v>147</v>
      </c>
      <c r="F54" s="12" t="s">
        <v>282</v>
      </c>
      <c r="G54" s="12" t="s">
        <v>283</v>
      </c>
      <c r="H54" s="12" t="n">
        <v>18</v>
      </c>
      <c r="I54" s="12" t="s">
        <v>169</v>
      </c>
      <c r="J54" s="12" t="s">
        <v>149</v>
      </c>
      <c r="K54" s="37"/>
      <c r="L54" s="37"/>
      <c r="M54" s="20" t="n">
        <f aca="false">Controls!$B$7</f>
        <v>0.025</v>
      </c>
      <c r="N54" s="20" t="str">
        <f aca="false">IF(AND(ISNUMBER(K54),ISNUMBER(L54),L54&gt;0),K54/L54*(1-M54),"")</f>
        <v/>
      </c>
      <c r="O54" s="14" t="s">
        <v>354</v>
      </c>
      <c r="P54" s="21" t="n">
        <f aca="false">IF(O54="",0,COUNTIFS('Gap Migration'!$G$7:$G$91,O54,'Gap Migration'!$J$7:$J$91,1))</f>
        <v>1</v>
      </c>
      <c r="Q54" s="14" t="n">
        <v>0</v>
      </c>
      <c r="R54" s="14" t="n">
        <v>0</v>
      </c>
      <c r="S54" s="21" t="str">
        <f aca="false">IF(ISNUMBER(N54),IF(N54&gt;=Controls!$B$8,"DESIGN CLOSE","NEGATIVE"),IF(P54=1,"MEASUREMENT READY","UNSCOPED"))</f>
        <v>MEASUREMENT READY</v>
      </c>
      <c r="T54" s="21" t="str">
        <f aca="false">IF(S54="DESIGN CLOSE","root-native section bill",IF(S54="MEASUREMENT READY","executable protocol; observation empty","return to architecture"))</f>
        <v>executable protocol; observation empty</v>
      </c>
      <c r="U54" s="14" t="n">
        <v>0</v>
      </c>
    </row>
    <row r="55" customFormat="false" ht="15" hidden="false" customHeight="false" outlineLevel="0" collapsed="false">
      <c r="A55" s="12" t="s">
        <v>355</v>
      </c>
      <c r="B55" s="12" t="s">
        <v>39</v>
      </c>
      <c r="C55" s="12" t="s">
        <v>40</v>
      </c>
      <c r="D55" s="12" t="s">
        <v>114</v>
      </c>
      <c r="E55" s="12" t="s">
        <v>115</v>
      </c>
      <c r="F55" s="12" t="s">
        <v>272</v>
      </c>
      <c r="G55" s="12" t="s">
        <v>273</v>
      </c>
      <c r="H55" s="12" t="n">
        <v>19</v>
      </c>
      <c r="I55" s="12" t="s">
        <v>172</v>
      </c>
      <c r="J55" s="12" t="s">
        <v>117</v>
      </c>
      <c r="K55" s="37" t="n">
        <f aca="false">IF(ISNUMBER('Section Bills'!J19),'Section Bills'!J19,"")</f>
        <v>63000</v>
      </c>
      <c r="L55" s="37" t="n">
        <f aca="false">IF(ISNUMBER('Section Bills'!K19),'Section Bills'!K19,"")</f>
        <v>54000</v>
      </c>
      <c r="M55" s="20" t="n">
        <f aca="false">Controls!$B$7</f>
        <v>0.025</v>
      </c>
      <c r="N55" s="20" t="n">
        <f aca="false">IF(AND(ISNUMBER(K55),ISNUMBER(L55),L55&gt;0),K55/L55*(1-M55),"")</f>
        <v>1.1375</v>
      </c>
      <c r="O55" s="14"/>
      <c r="P55" s="21" t="n">
        <f aca="false">IF(O55="",0,COUNTIFS('Gap Migration'!$G$7:$G$91,O55,'Gap Migration'!$J$7:$J$91,1))</f>
        <v>0</v>
      </c>
      <c r="Q55" s="14" t="n">
        <v>0</v>
      </c>
      <c r="R55" s="14" t="n">
        <v>0</v>
      </c>
      <c r="S55" s="21" t="str">
        <f aca="false">IF(ISNUMBER(N55),IF(N55&gt;=Controls!$B$8,"DESIGN CLOSE","NEGATIVE"),IF(P55=1,"MEASUREMENT READY","UNSCOPED"))</f>
        <v>DESIGN CLOSE</v>
      </c>
      <c r="T55" s="21" t="str">
        <f aca="false">IF(S55="DESIGN CLOSE","root-native section bill",IF(S55="MEASUREMENT READY","executable protocol; observation empty","return to architecture"))</f>
        <v>root-native section bill</v>
      </c>
      <c r="U55" s="14" t="n">
        <v>0</v>
      </c>
    </row>
    <row r="56" customFormat="false" ht="15" hidden="false" customHeight="false" outlineLevel="0" collapsed="false">
      <c r="A56" s="12" t="s">
        <v>356</v>
      </c>
      <c r="B56" s="12" t="s">
        <v>39</v>
      </c>
      <c r="C56" s="12" t="s">
        <v>40</v>
      </c>
      <c r="D56" s="12" t="s">
        <v>114</v>
      </c>
      <c r="E56" s="12" t="s">
        <v>115</v>
      </c>
      <c r="F56" s="12" t="s">
        <v>275</v>
      </c>
      <c r="G56" s="12" t="s">
        <v>276</v>
      </c>
      <c r="H56" s="12" t="n">
        <v>19</v>
      </c>
      <c r="I56" s="12" t="s">
        <v>172</v>
      </c>
      <c r="J56" s="12" t="s">
        <v>117</v>
      </c>
      <c r="K56" s="37"/>
      <c r="L56" s="37"/>
      <c r="M56" s="20" t="n">
        <f aca="false">Controls!$B$7</f>
        <v>0.025</v>
      </c>
      <c r="N56" s="20" t="str">
        <f aca="false">IF(AND(ISNUMBER(K56),ISNUMBER(L56),L56&gt;0),K56/L56*(1-M56),"")</f>
        <v/>
      </c>
      <c r="O56" s="14" t="s">
        <v>357</v>
      </c>
      <c r="P56" s="21" t="n">
        <f aca="false">IF(O56="",0,COUNTIFS('Gap Migration'!$G$7:$G$91,O56,'Gap Migration'!$J$7:$J$91,1))</f>
        <v>1</v>
      </c>
      <c r="Q56" s="14" t="n">
        <v>0</v>
      </c>
      <c r="R56" s="14" t="n">
        <v>0</v>
      </c>
      <c r="S56" s="21" t="str">
        <f aca="false">IF(ISNUMBER(N56),IF(N56&gt;=Controls!$B$8,"DESIGN CLOSE","NEGATIVE"),IF(P56=1,"MEASUREMENT READY","UNSCOPED"))</f>
        <v>MEASUREMENT READY</v>
      </c>
      <c r="T56" s="21" t="str">
        <f aca="false">IF(S56="DESIGN CLOSE","root-native section bill",IF(S56="MEASUREMENT READY","executable protocol; observation empty","return to architecture"))</f>
        <v>executable protocol; observation empty</v>
      </c>
      <c r="U56" s="14" t="n">
        <v>0</v>
      </c>
    </row>
    <row r="57" customFormat="false" ht="15" hidden="false" customHeight="false" outlineLevel="0" collapsed="false">
      <c r="A57" s="12" t="s">
        <v>358</v>
      </c>
      <c r="B57" s="12" t="s">
        <v>39</v>
      </c>
      <c r="C57" s="12" t="s">
        <v>40</v>
      </c>
      <c r="D57" s="12" t="s">
        <v>114</v>
      </c>
      <c r="E57" s="12" t="s">
        <v>115</v>
      </c>
      <c r="F57" s="12" t="s">
        <v>279</v>
      </c>
      <c r="G57" s="12" t="s">
        <v>280</v>
      </c>
      <c r="H57" s="12" t="n">
        <v>19</v>
      </c>
      <c r="I57" s="12" t="s">
        <v>172</v>
      </c>
      <c r="J57" s="12" t="s">
        <v>117</v>
      </c>
      <c r="K57" s="37" t="n">
        <f aca="false">IF(ISNUMBER('Section Bills'!L19),'Section Bills'!L19,"")</f>
        <v>56700</v>
      </c>
      <c r="L57" s="37" t="n">
        <f aca="false">IF(ISNUMBER('Section Bills'!M19),'Section Bills'!M19,"")</f>
        <v>54000</v>
      </c>
      <c r="M57" s="20" t="n">
        <f aca="false">Controls!$B$7</f>
        <v>0.025</v>
      </c>
      <c r="N57" s="20" t="n">
        <f aca="false">IF(AND(ISNUMBER(K57),ISNUMBER(L57),L57&gt;0),K57/L57*(1-M57),"")</f>
        <v>1.02375</v>
      </c>
      <c r="O57" s="14"/>
      <c r="P57" s="21" t="n">
        <f aca="false">IF(O57="",0,COUNTIFS('Gap Migration'!$G$7:$G$91,O57,'Gap Migration'!$J$7:$J$91,1))</f>
        <v>0</v>
      </c>
      <c r="Q57" s="14" t="n">
        <v>0</v>
      </c>
      <c r="R57" s="14" t="n">
        <v>0</v>
      </c>
      <c r="S57" s="21" t="str">
        <f aca="false">IF(ISNUMBER(N57),IF(N57&gt;=Controls!$B$8,"DESIGN CLOSE","NEGATIVE"),IF(P57=1,"MEASUREMENT READY","UNSCOPED"))</f>
        <v>DESIGN CLOSE</v>
      </c>
      <c r="T57" s="21" t="str">
        <f aca="false">IF(S57="DESIGN CLOSE","root-native section bill",IF(S57="MEASUREMENT READY","executable protocol; observation empty","return to architecture"))</f>
        <v>root-native section bill</v>
      </c>
      <c r="U57" s="14" t="n">
        <v>0</v>
      </c>
    </row>
    <row r="58" customFormat="false" ht="15" hidden="false" customHeight="false" outlineLevel="0" collapsed="false">
      <c r="A58" s="12" t="s">
        <v>359</v>
      </c>
      <c r="B58" s="12" t="s">
        <v>39</v>
      </c>
      <c r="C58" s="12" t="s">
        <v>40</v>
      </c>
      <c r="D58" s="12" t="s">
        <v>114</v>
      </c>
      <c r="E58" s="12" t="s">
        <v>115</v>
      </c>
      <c r="F58" s="12" t="s">
        <v>282</v>
      </c>
      <c r="G58" s="12" t="s">
        <v>283</v>
      </c>
      <c r="H58" s="12" t="n">
        <v>19</v>
      </c>
      <c r="I58" s="12" t="s">
        <v>172</v>
      </c>
      <c r="J58" s="12" t="s">
        <v>117</v>
      </c>
      <c r="K58" s="37"/>
      <c r="L58" s="37"/>
      <c r="M58" s="20" t="n">
        <f aca="false">Controls!$B$7</f>
        <v>0.025</v>
      </c>
      <c r="N58" s="20" t="str">
        <f aca="false">IF(AND(ISNUMBER(K58),ISNUMBER(L58),L58&gt;0),K58/L58*(1-M58),"")</f>
        <v/>
      </c>
      <c r="O58" s="14" t="s">
        <v>360</v>
      </c>
      <c r="P58" s="21" t="n">
        <f aca="false">IF(O58="",0,COUNTIFS('Gap Migration'!$G$7:$G$91,O58,'Gap Migration'!$J$7:$J$91,1))</f>
        <v>1</v>
      </c>
      <c r="Q58" s="14" t="n">
        <v>0</v>
      </c>
      <c r="R58" s="14" t="n">
        <v>0</v>
      </c>
      <c r="S58" s="21" t="str">
        <f aca="false">IF(ISNUMBER(N58),IF(N58&gt;=Controls!$B$8,"DESIGN CLOSE","NEGATIVE"),IF(P58=1,"MEASUREMENT READY","UNSCOPED"))</f>
        <v>MEASUREMENT READY</v>
      </c>
      <c r="T58" s="21" t="str">
        <f aca="false">IF(S58="DESIGN CLOSE","root-native section bill",IF(S58="MEASUREMENT READY","executable protocol; observation empty","return to architecture"))</f>
        <v>executable protocol; observation empty</v>
      </c>
      <c r="U58" s="14" t="n">
        <v>0</v>
      </c>
    </row>
    <row r="59" customFormat="false" ht="15" hidden="false" customHeight="false" outlineLevel="0" collapsed="false">
      <c r="A59" s="12" t="s">
        <v>361</v>
      </c>
      <c r="B59" s="12" t="s">
        <v>39</v>
      </c>
      <c r="C59" s="12" t="s">
        <v>40</v>
      </c>
      <c r="D59" s="12" t="s">
        <v>121</v>
      </c>
      <c r="E59" s="12" t="s">
        <v>122</v>
      </c>
      <c r="F59" s="12" t="s">
        <v>272</v>
      </c>
      <c r="G59" s="12" t="s">
        <v>273</v>
      </c>
      <c r="H59" s="12" t="n">
        <v>20</v>
      </c>
      <c r="I59" s="12" t="s">
        <v>175</v>
      </c>
      <c r="J59" s="12" t="s">
        <v>124</v>
      </c>
      <c r="K59" s="37" t="n">
        <f aca="false">IF(ISNUMBER('Section Bills'!J20),'Section Bills'!J20,"")</f>
        <v>164.8</v>
      </c>
      <c r="L59" s="37" t="n">
        <f aca="false">IF(ISNUMBER('Section Bills'!K20),'Section Bills'!K20,"")</f>
        <v>140</v>
      </c>
      <c r="M59" s="20" t="n">
        <f aca="false">Controls!$B$7</f>
        <v>0.025</v>
      </c>
      <c r="N59" s="20" t="n">
        <f aca="false">IF(AND(ISNUMBER(K59),ISNUMBER(L59),L59&gt;0),K59/L59*(1-M59),"")</f>
        <v>1.14771428571429</v>
      </c>
      <c r="O59" s="14"/>
      <c r="P59" s="21" t="n">
        <f aca="false">IF(O59="",0,COUNTIFS('Gap Migration'!$G$7:$G$91,O59,'Gap Migration'!$J$7:$J$91,1))</f>
        <v>0</v>
      </c>
      <c r="Q59" s="14" t="n">
        <v>0</v>
      </c>
      <c r="R59" s="14" t="n">
        <v>0</v>
      </c>
      <c r="S59" s="21" t="str">
        <f aca="false">IF(ISNUMBER(N59),IF(N59&gt;=Controls!$B$8,"DESIGN CLOSE","NEGATIVE"),IF(P59=1,"MEASUREMENT READY","UNSCOPED"))</f>
        <v>DESIGN CLOSE</v>
      </c>
      <c r="T59" s="21" t="str">
        <f aca="false">IF(S59="DESIGN CLOSE","root-native section bill",IF(S59="MEASUREMENT READY","executable protocol; observation empty","return to architecture"))</f>
        <v>root-native section bill</v>
      </c>
      <c r="U59" s="14" t="n">
        <v>0</v>
      </c>
    </row>
    <row r="60" customFormat="false" ht="15" hidden="false" customHeight="false" outlineLevel="0" collapsed="false">
      <c r="A60" s="12" t="s">
        <v>362</v>
      </c>
      <c r="B60" s="12" t="s">
        <v>39</v>
      </c>
      <c r="C60" s="12" t="s">
        <v>40</v>
      </c>
      <c r="D60" s="12" t="s">
        <v>121</v>
      </c>
      <c r="E60" s="12" t="s">
        <v>122</v>
      </c>
      <c r="F60" s="12" t="s">
        <v>275</v>
      </c>
      <c r="G60" s="12" t="s">
        <v>276</v>
      </c>
      <c r="H60" s="12" t="n">
        <v>20</v>
      </c>
      <c r="I60" s="12" t="s">
        <v>175</v>
      </c>
      <c r="J60" s="12" t="s">
        <v>124</v>
      </c>
      <c r="K60" s="37"/>
      <c r="L60" s="37"/>
      <c r="M60" s="20" t="n">
        <f aca="false">Controls!$B$7</f>
        <v>0.025</v>
      </c>
      <c r="N60" s="20" t="str">
        <f aca="false">IF(AND(ISNUMBER(K60),ISNUMBER(L60),L60&gt;0),K60/L60*(1-M60),"")</f>
        <v/>
      </c>
      <c r="O60" s="14" t="s">
        <v>363</v>
      </c>
      <c r="P60" s="21" t="n">
        <f aca="false">IF(O60="",0,COUNTIFS('Gap Migration'!$G$7:$G$91,O60,'Gap Migration'!$J$7:$J$91,1))</f>
        <v>1</v>
      </c>
      <c r="Q60" s="14" t="n">
        <v>0</v>
      </c>
      <c r="R60" s="14" t="n">
        <v>0</v>
      </c>
      <c r="S60" s="21" t="str">
        <f aca="false">IF(ISNUMBER(N60),IF(N60&gt;=Controls!$B$8,"DESIGN CLOSE","NEGATIVE"),IF(P60=1,"MEASUREMENT READY","UNSCOPED"))</f>
        <v>MEASUREMENT READY</v>
      </c>
      <c r="T60" s="21" t="str">
        <f aca="false">IF(S60="DESIGN CLOSE","root-native section bill",IF(S60="MEASUREMENT READY","executable protocol; observation empty","return to architecture"))</f>
        <v>executable protocol; observation empty</v>
      </c>
      <c r="U60" s="14" t="n">
        <v>0</v>
      </c>
    </row>
    <row r="61" customFormat="false" ht="15" hidden="false" customHeight="false" outlineLevel="0" collapsed="false">
      <c r="A61" s="12" t="s">
        <v>364</v>
      </c>
      <c r="B61" s="12" t="s">
        <v>39</v>
      </c>
      <c r="C61" s="12" t="s">
        <v>40</v>
      </c>
      <c r="D61" s="12" t="s">
        <v>121</v>
      </c>
      <c r="E61" s="12" t="s">
        <v>122</v>
      </c>
      <c r="F61" s="12" t="s">
        <v>279</v>
      </c>
      <c r="G61" s="12" t="s">
        <v>280</v>
      </c>
      <c r="H61" s="12" t="n">
        <v>20</v>
      </c>
      <c r="I61" s="12" t="s">
        <v>175</v>
      </c>
      <c r="J61" s="12" t="s">
        <v>124</v>
      </c>
      <c r="K61" s="37" t="n">
        <f aca="false">IF(ISNUMBER('Section Bills'!L20),'Section Bills'!L20,"")</f>
        <v>144.2</v>
      </c>
      <c r="L61" s="37" t="n">
        <f aca="false">IF(ISNUMBER('Section Bills'!M20),'Section Bills'!M20,"")</f>
        <v>140</v>
      </c>
      <c r="M61" s="20" t="n">
        <f aca="false">Controls!$B$7</f>
        <v>0.025</v>
      </c>
      <c r="N61" s="20" t="n">
        <f aca="false">IF(AND(ISNUMBER(K61),ISNUMBER(L61),L61&gt;0),K61/L61*(1-M61),"")</f>
        <v>1.00425</v>
      </c>
      <c r="O61" s="14"/>
      <c r="P61" s="21" t="n">
        <f aca="false">IF(O61="",0,COUNTIFS('Gap Migration'!$G$7:$G$91,O61,'Gap Migration'!$J$7:$J$91,1))</f>
        <v>0</v>
      </c>
      <c r="Q61" s="14" t="n">
        <v>0</v>
      </c>
      <c r="R61" s="14" t="n">
        <v>0</v>
      </c>
      <c r="S61" s="21" t="str">
        <f aca="false">IF(ISNUMBER(N61),IF(N61&gt;=Controls!$B$8,"DESIGN CLOSE","NEGATIVE"),IF(P61=1,"MEASUREMENT READY","UNSCOPED"))</f>
        <v>DESIGN CLOSE</v>
      </c>
      <c r="T61" s="21" t="str">
        <f aca="false">IF(S61="DESIGN CLOSE","root-native section bill",IF(S61="MEASUREMENT READY","executable protocol; observation empty","return to architecture"))</f>
        <v>root-native section bill</v>
      </c>
      <c r="U61" s="14" t="n">
        <v>0</v>
      </c>
    </row>
    <row r="62" customFormat="false" ht="15" hidden="false" customHeight="false" outlineLevel="0" collapsed="false">
      <c r="A62" s="12" t="s">
        <v>365</v>
      </c>
      <c r="B62" s="12" t="s">
        <v>39</v>
      </c>
      <c r="C62" s="12" t="s">
        <v>40</v>
      </c>
      <c r="D62" s="12" t="s">
        <v>121</v>
      </c>
      <c r="E62" s="12" t="s">
        <v>122</v>
      </c>
      <c r="F62" s="12" t="s">
        <v>282</v>
      </c>
      <c r="G62" s="12" t="s">
        <v>283</v>
      </c>
      <c r="H62" s="12" t="n">
        <v>20</v>
      </c>
      <c r="I62" s="12" t="s">
        <v>175</v>
      </c>
      <c r="J62" s="12" t="s">
        <v>124</v>
      </c>
      <c r="K62" s="37"/>
      <c r="L62" s="37"/>
      <c r="M62" s="20" t="n">
        <f aca="false">Controls!$B$7</f>
        <v>0.025</v>
      </c>
      <c r="N62" s="20" t="str">
        <f aca="false">IF(AND(ISNUMBER(K62),ISNUMBER(L62),L62&gt;0),K62/L62*(1-M62),"")</f>
        <v/>
      </c>
      <c r="O62" s="14" t="s">
        <v>366</v>
      </c>
      <c r="P62" s="21" t="n">
        <f aca="false">IF(O62="",0,COUNTIFS('Gap Migration'!$G$7:$G$91,O62,'Gap Migration'!$J$7:$J$91,1))</f>
        <v>1</v>
      </c>
      <c r="Q62" s="14" t="n">
        <v>0</v>
      </c>
      <c r="R62" s="14" t="n">
        <v>0</v>
      </c>
      <c r="S62" s="21" t="str">
        <f aca="false">IF(ISNUMBER(N62),IF(N62&gt;=Controls!$B$8,"DESIGN CLOSE","NEGATIVE"),IF(P62=1,"MEASUREMENT READY","UNSCOPED"))</f>
        <v>MEASUREMENT READY</v>
      </c>
      <c r="T62" s="21" t="str">
        <f aca="false">IF(S62="DESIGN CLOSE","root-native section bill",IF(S62="MEASUREMENT READY","executable protocol; observation empty","return to architecture"))</f>
        <v>executable protocol; observation empty</v>
      </c>
      <c r="U62" s="14" t="n">
        <v>0</v>
      </c>
    </row>
    <row r="63" customFormat="false" ht="15" hidden="false" customHeight="false" outlineLevel="0" collapsed="false">
      <c r="A63" s="12" t="s">
        <v>367</v>
      </c>
      <c r="B63" s="12" t="s">
        <v>39</v>
      </c>
      <c r="C63" s="12" t="s">
        <v>40</v>
      </c>
      <c r="D63" s="12" t="s">
        <v>128</v>
      </c>
      <c r="E63" s="12" t="s">
        <v>129</v>
      </c>
      <c r="F63" s="12" t="s">
        <v>272</v>
      </c>
      <c r="G63" s="12" t="s">
        <v>273</v>
      </c>
      <c r="H63" s="12" t="n">
        <v>21</v>
      </c>
      <c r="I63" s="12" t="s">
        <v>179</v>
      </c>
      <c r="J63" s="12" t="s">
        <v>180</v>
      </c>
      <c r="K63" s="37" t="n">
        <f aca="false">IF(ISNUMBER('Section Bills'!J21),'Section Bills'!J21,"")</f>
        <v>132.5</v>
      </c>
      <c r="L63" s="37" t="n">
        <f aca="false">IF(ISNUMBER('Section Bills'!K21),'Section Bills'!K21,"")</f>
        <v>103</v>
      </c>
      <c r="M63" s="20" t="n">
        <f aca="false">Controls!$B$7</f>
        <v>0.025</v>
      </c>
      <c r="N63" s="20" t="n">
        <f aca="false">IF(AND(ISNUMBER(K63),ISNUMBER(L63),L63&gt;0),K63/L63*(1-M63),"")</f>
        <v>1.25424757281553</v>
      </c>
      <c r="O63" s="14"/>
      <c r="P63" s="21" t="n">
        <f aca="false">IF(O63="",0,COUNTIFS('Gap Migration'!$G$7:$G$91,O63,'Gap Migration'!$J$7:$J$91,1))</f>
        <v>0</v>
      </c>
      <c r="Q63" s="14" t="n">
        <v>0</v>
      </c>
      <c r="R63" s="14" t="n">
        <v>0</v>
      </c>
      <c r="S63" s="21" t="str">
        <f aca="false">IF(ISNUMBER(N63),IF(N63&gt;=Controls!$B$8,"DESIGN CLOSE","NEGATIVE"),IF(P63=1,"MEASUREMENT READY","UNSCOPED"))</f>
        <v>DESIGN CLOSE</v>
      </c>
      <c r="T63" s="21" t="str">
        <f aca="false">IF(S63="DESIGN CLOSE","root-native section bill",IF(S63="MEASUREMENT READY","executable protocol; observation empty","return to architecture"))</f>
        <v>root-native section bill</v>
      </c>
      <c r="U63" s="14" t="n">
        <v>0</v>
      </c>
    </row>
    <row r="64" customFormat="false" ht="15" hidden="false" customHeight="false" outlineLevel="0" collapsed="false">
      <c r="A64" s="12" t="s">
        <v>368</v>
      </c>
      <c r="B64" s="12" t="s">
        <v>39</v>
      </c>
      <c r="C64" s="12" t="s">
        <v>40</v>
      </c>
      <c r="D64" s="12" t="s">
        <v>128</v>
      </c>
      <c r="E64" s="12" t="s">
        <v>129</v>
      </c>
      <c r="F64" s="12" t="s">
        <v>275</v>
      </c>
      <c r="G64" s="12" t="s">
        <v>276</v>
      </c>
      <c r="H64" s="12" t="n">
        <v>21</v>
      </c>
      <c r="I64" s="12" t="s">
        <v>179</v>
      </c>
      <c r="J64" s="12" t="s">
        <v>180</v>
      </c>
      <c r="K64" s="37"/>
      <c r="L64" s="37"/>
      <c r="M64" s="20" t="n">
        <f aca="false">Controls!$B$7</f>
        <v>0.025</v>
      </c>
      <c r="N64" s="20" t="str">
        <f aca="false">IF(AND(ISNUMBER(K64),ISNUMBER(L64),L64&gt;0),K64/L64*(1-M64),"")</f>
        <v/>
      </c>
      <c r="O64" s="14" t="s">
        <v>369</v>
      </c>
      <c r="P64" s="21" t="n">
        <f aca="false">IF(O64="",0,COUNTIFS('Gap Migration'!$G$7:$G$91,O64,'Gap Migration'!$J$7:$J$91,1))</f>
        <v>1</v>
      </c>
      <c r="Q64" s="14" t="n">
        <v>0</v>
      </c>
      <c r="R64" s="14" t="n">
        <v>0</v>
      </c>
      <c r="S64" s="21" t="str">
        <f aca="false">IF(ISNUMBER(N64),IF(N64&gt;=Controls!$B$8,"DESIGN CLOSE","NEGATIVE"),IF(P64=1,"MEASUREMENT READY","UNSCOPED"))</f>
        <v>MEASUREMENT READY</v>
      </c>
      <c r="T64" s="21" t="str">
        <f aca="false">IF(S64="DESIGN CLOSE","root-native section bill",IF(S64="MEASUREMENT READY","executable protocol; observation empty","return to architecture"))</f>
        <v>executable protocol; observation empty</v>
      </c>
      <c r="U64" s="14" t="n">
        <v>0</v>
      </c>
    </row>
    <row r="65" customFormat="false" ht="15" hidden="false" customHeight="false" outlineLevel="0" collapsed="false">
      <c r="A65" s="12" t="s">
        <v>370</v>
      </c>
      <c r="B65" s="12" t="s">
        <v>39</v>
      </c>
      <c r="C65" s="12" t="s">
        <v>40</v>
      </c>
      <c r="D65" s="12" t="s">
        <v>128</v>
      </c>
      <c r="E65" s="12" t="s">
        <v>129</v>
      </c>
      <c r="F65" s="12" t="s">
        <v>279</v>
      </c>
      <c r="G65" s="12" t="s">
        <v>280</v>
      </c>
      <c r="H65" s="12" t="n">
        <v>21</v>
      </c>
      <c r="I65" s="12" t="s">
        <v>179</v>
      </c>
      <c r="J65" s="12" t="s">
        <v>180</v>
      </c>
      <c r="K65" s="37" t="n">
        <f aca="false">IF(ISNUMBER('Section Bills'!L21),'Section Bills'!L21,"")</f>
        <v>106</v>
      </c>
      <c r="L65" s="37" t="n">
        <f aca="false">IF(ISNUMBER('Section Bills'!M21),'Section Bills'!M21,"")</f>
        <v>103</v>
      </c>
      <c r="M65" s="20" t="n">
        <f aca="false">Controls!$B$7</f>
        <v>0.025</v>
      </c>
      <c r="N65" s="20" t="n">
        <f aca="false">IF(AND(ISNUMBER(K65),ISNUMBER(L65),L65&gt;0),K65/L65*(1-M65),"")</f>
        <v>1.00339805825243</v>
      </c>
      <c r="O65" s="14"/>
      <c r="P65" s="21" t="n">
        <f aca="false">IF(O65="",0,COUNTIFS('Gap Migration'!$G$7:$G$91,O65,'Gap Migration'!$J$7:$J$91,1))</f>
        <v>0</v>
      </c>
      <c r="Q65" s="14" t="n">
        <v>0</v>
      </c>
      <c r="R65" s="14" t="n">
        <v>0</v>
      </c>
      <c r="S65" s="21" t="str">
        <f aca="false">IF(ISNUMBER(N65),IF(N65&gt;=Controls!$B$8,"DESIGN CLOSE","NEGATIVE"),IF(P65=1,"MEASUREMENT READY","UNSCOPED"))</f>
        <v>DESIGN CLOSE</v>
      </c>
      <c r="T65" s="21" t="str">
        <f aca="false">IF(S65="DESIGN CLOSE","root-native section bill",IF(S65="MEASUREMENT READY","executable protocol; observation empty","return to architecture"))</f>
        <v>root-native section bill</v>
      </c>
      <c r="U65" s="14" t="n">
        <v>0</v>
      </c>
    </row>
    <row r="66" customFormat="false" ht="15" hidden="false" customHeight="false" outlineLevel="0" collapsed="false">
      <c r="A66" s="12" t="s">
        <v>371</v>
      </c>
      <c r="B66" s="12" t="s">
        <v>39</v>
      </c>
      <c r="C66" s="12" t="s">
        <v>40</v>
      </c>
      <c r="D66" s="12" t="s">
        <v>128</v>
      </c>
      <c r="E66" s="12" t="s">
        <v>129</v>
      </c>
      <c r="F66" s="12" t="s">
        <v>282</v>
      </c>
      <c r="G66" s="12" t="s">
        <v>283</v>
      </c>
      <c r="H66" s="12" t="n">
        <v>21</v>
      </c>
      <c r="I66" s="12" t="s">
        <v>179</v>
      </c>
      <c r="J66" s="12" t="s">
        <v>180</v>
      </c>
      <c r="K66" s="37"/>
      <c r="L66" s="37"/>
      <c r="M66" s="20" t="n">
        <f aca="false">Controls!$B$7</f>
        <v>0.025</v>
      </c>
      <c r="N66" s="20" t="str">
        <f aca="false">IF(AND(ISNUMBER(K66),ISNUMBER(L66),L66&gt;0),K66/L66*(1-M66),"")</f>
        <v/>
      </c>
      <c r="O66" s="14" t="s">
        <v>372</v>
      </c>
      <c r="P66" s="21" t="n">
        <f aca="false">IF(O66="",0,COUNTIFS('Gap Migration'!$G$7:$G$91,O66,'Gap Migration'!$J$7:$J$91,1))</f>
        <v>1</v>
      </c>
      <c r="Q66" s="14" t="n">
        <v>0</v>
      </c>
      <c r="R66" s="14" t="n">
        <v>0</v>
      </c>
      <c r="S66" s="21" t="str">
        <f aca="false">IF(ISNUMBER(N66),IF(N66&gt;=Controls!$B$8,"DESIGN CLOSE","NEGATIVE"),IF(P66=1,"MEASUREMENT READY","UNSCOPED"))</f>
        <v>MEASUREMENT READY</v>
      </c>
      <c r="T66" s="21" t="str">
        <f aca="false">IF(S66="DESIGN CLOSE","root-native section bill",IF(S66="MEASUREMENT READY","executable protocol; observation empty","return to architecture"))</f>
        <v>executable protocol; observation empty</v>
      </c>
      <c r="U66" s="14" t="n">
        <v>0</v>
      </c>
    </row>
    <row r="67" customFormat="false" ht="15" hidden="false" customHeight="false" outlineLevel="0" collapsed="false">
      <c r="A67" s="12" t="s">
        <v>373</v>
      </c>
      <c r="B67" s="12" t="s">
        <v>39</v>
      </c>
      <c r="C67" s="12" t="s">
        <v>40</v>
      </c>
      <c r="D67" s="12" t="s">
        <v>135</v>
      </c>
      <c r="E67" s="12" t="s">
        <v>136</v>
      </c>
      <c r="F67" s="12" t="s">
        <v>272</v>
      </c>
      <c r="G67" s="12" t="s">
        <v>273</v>
      </c>
      <c r="H67" s="12" t="n">
        <v>22</v>
      </c>
      <c r="I67" s="12" t="s">
        <v>184</v>
      </c>
      <c r="J67" s="12" t="s">
        <v>63</v>
      </c>
      <c r="K67" s="37" t="n">
        <f aca="false">IF(ISNUMBER('Section Bills'!J22),'Section Bills'!J22,"")</f>
        <v>1.2</v>
      </c>
      <c r="L67" s="37" t="n">
        <f aca="false">IF(ISNUMBER('Section Bills'!K22),'Section Bills'!K22,"")</f>
        <v>1</v>
      </c>
      <c r="M67" s="20" t="n">
        <f aca="false">Controls!$B$7</f>
        <v>0.025</v>
      </c>
      <c r="N67" s="20" t="n">
        <f aca="false">IF(AND(ISNUMBER(K67),ISNUMBER(L67),L67&gt;0),K67/L67*(1-M67),"")</f>
        <v>1.17</v>
      </c>
      <c r="O67" s="14"/>
      <c r="P67" s="21" t="n">
        <f aca="false">IF(O67="",0,COUNTIFS('Gap Migration'!$G$7:$G$91,O67,'Gap Migration'!$J$7:$J$91,1))</f>
        <v>0</v>
      </c>
      <c r="Q67" s="14" t="n">
        <v>0</v>
      </c>
      <c r="R67" s="14" t="n">
        <v>0</v>
      </c>
      <c r="S67" s="21" t="str">
        <f aca="false">IF(ISNUMBER(N67),IF(N67&gt;=Controls!$B$8,"DESIGN CLOSE","NEGATIVE"),IF(P67=1,"MEASUREMENT READY","UNSCOPED"))</f>
        <v>DESIGN CLOSE</v>
      </c>
      <c r="T67" s="21" t="str">
        <f aca="false">IF(S67="DESIGN CLOSE","root-native section bill",IF(S67="MEASUREMENT READY","executable protocol; observation empty","return to architecture"))</f>
        <v>root-native section bill</v>
      </c>
      <c r="U67" s="14" t="n">
        <v>0</v>
      </c>
    </row>
    <row r="68" customFormat="false" ht="15" hidden="false" customHeight="false" outlineLevel="0" collapsed="false">
      <c r="A68" s="12" t="s">
        <v>374</v>
      </c>
      <c r="B68" s="12" t="s">
        <v>39</v>
      </c>
      <c r="C68" s="12" t="s">
        <v>40</v>
      </c>
      <c r="D68" s="12" t="s">
        <v>135</v>
      </c>
      <c r="E68" s="12" t="s">
        <v>136</v>
      </c>
      <c r="F68" s="12" t="s">
        <v>275</v>
      </c>
      <c r="G68" s="12" t="s">
        <v>276</v>
      </c>
      <c r="H68" s="12" t="n">
        <v>22</v>
      </c>
      <c r="I68" s="12" t="s">
        <v>184</v>
      </c>
      <c r="J68" s="12" t="s">
        <v>63</v>
      </c>
      <c r="K68" s="37"/>
      <c r="L68" s="37"/>
      <c r="M68" s="20" t="n">
        <f aca="false">Controls!$B$7</f>
        <v>0.025</v>
      </c>
      <c r="N68" s="20" t="str">
        <f aca="false">IF(AND(ISNUMBER(K68),ISNUMBER(L68),L68&gt;0),K68/L68*(1-M68),"")</f>
        <v/>
      </c>
      <c r="O68" s="14" t="s">
        <v>375</v>
      </c>
      <c r="P68" s="21" t="n">
        <f aca="false">IF(O68="",0,COUNTIFS('Gap Migration'!$G$7:$G$91,O68,'Gap Migration'!$J$7:$J$91,1))</f>
        <v>1</v>
      </c>
      <c r="Q68" s="14" t="n">
        <v>0</v>
      </c>
      <c r="R68" s="14" t="n">
        <v>0</v>
      </c>
      <c r="S68" s="21" t="str">
        <f aca="false">IF(ISNUMBER(N68),IF(N68&gt;=Controls!$B$8,"DESIGN CLOSE","NEGATIVE"),IF(P68=1,"MEASUREMENT READY","UNSCOPED"))</f>
        <v>MEASUREMENT READY</v>
      </c>
      <c r="T68" s="21" t="str">
        <f aca="false">IF(S68="DESIGN CLOSE","root-native section bill",IF(S68="MEASUREMENT READY","executable protocol; observation empty","return to architecture"))</f>
        <v>executable protocol; observation empty</v>
      </c>
      <c r="U68" s="14" t="n">
        <v>0</v>
      </c>
    </row>
    <row r="69" customFormat="false" ht="15" hidden="false" customHeight="false" outlineLevel="0" collapsed="false">
      <c r="A69" s="12" t="s">
        <v>376</v>
      </c>
      <c r="B69" s="12" t="s">
        <v>39</v>
      </c>
      <c r="C69" s="12" t="s">
        <v>40</v>
      </c>
      <c r="D69" s="12" t="s">
        <v>135</v>
      </c>
      <c r="E69" s="12" t="s">
        <v>136</v>
      </c>
      <c r="F69" s="12" t="s">
        <v>279</v>
      </c>
      <c r="G69" s="12" t="s">
        <v>280</v>
      </c>
      <c r="H69" s="12" t="n">
        <v>22</v>
      </c>
      <c r="I69" s="12" t="s">
        <v>184</v>
      </c>
      <c r="J69" s="12" t="s">
        <v>63</v>
      </c>
      <c r="K69" s="37" t="n">
        <f aca="false">IF(ISNUMBER('Section Bills'!L22),'Section Bills'!L22,"")</f>
        <v>1.05</v>
      </c>
      <c r="L69" s="37" t="n">
        <f aca="false">IF(ISNUMBER('Section Bills'!M22),'Section Bills'!M22,"")</f>
        <v>1</v>
      </c>
      <c r="M69" s="20" t="n">
        <f aca="false">Controls!$B$7</f>
        <v>0.025</v>
      </c>
      <c r="N69" s="20" t="n">
        <f aca="false">IF(AND(ISNUMBER(K69),ISNUMBER(L69),L69&gt;0),K69/L69*(1-M69),"")</f>
        <v>1.02375</v>
      </c>
      <c r="O69" s="14"/>
      <c r="P69" s="21" t="n">
        <f aca="false">IF(O69="",0,COUNTIFS('Gap Migration'!$G$7:$G$91,O69,'Gap Migration'!$J$7:$J$91,1))</f>
        <v>0</v>
      </c>
      <c r="Q69" s="14" t="n">
        <v>0</v>
      </c>
      <c r="R69" s="14" t="n">
        <v>0</v>
      </c>
      <c r="S69" s="21" t="str">
        <f aca="false">IF(ISNUMBER(N69),IF(N69&gt;=Controls!$B$8,"DESIGN CLOSE","NEGATIVE"),IF(P69=1,"MEASUREMENT READY","UNSCOPED"))</f>
        <v>DESIGN CLOSE</v>
      </c>
      <c r="T69" s="21" t="str">
        <f aca="false">IF(S69="DESIGN CLOSE","root-native section bill",IF(S69="MEASUREMENT READY","executable protocol; observation empty","return to architecture"))</f>
        <v>root-native section bill</v>
      </c>
      <c r="U69" s="14" t="n">
        <v>0</v>
      </c>
    </row>
    <row r="70" customFormat="false" ht="15" hidden="false" customHeight="false" outlineLevel="0" collapsed="false">
      <c r="A70" s="12" t="s">
        <v>377</v>
      </c>
      <c r="B70" s="12" t="s">
        <v>39</v>
      </c>
      <c r="C70" s="12" t="s">
        <v>40</v>
      </c>
      <c r="D70" s="12" t="s">
        <v>135</v>
      </c>
      <c r="E70" s="12" t="s">
        <v>136</v>
      </c>
      <c r="F70" s="12" t="s">
        <v>282</v>
      </c>
      <c r="G70" s="12" t="s">
        <v>283</v>
      </c>
      <c r="H70" s="12" t="n">
        <v>22</v>
      </c>
      <c r="I70" s="12" t="s">
        <v>184</v>
      </c>
      <c r="J70" s="12" t="s">
        <v>63</v>
      </c>
      <c r="K70" s="37"/>
      <c r="L70" s="37"/>
      <c r="M70" s="20" t="n">
        <f aca="false">Controls!$B$7</f>
        <v>0.025</v>
      </c>
      <c r="N70" s="20" t="str">
        <f aca="false">IF(AND(ISNUMBER(K70),ISNUMBER(L70),L70&gt;0),K70/L70*(1-M70),"")</f>
        <v/>
      </c>
      <c r="O70" s="14" t="s">
        <v>378</v>
      </c>
      <c r="P70" s="21" t="n">
        <f aca="false">IF(O70="",0,COUNTIFS('Gap Migration'!$G$7:$G$91,O70,'Gap Migration'!$J$7:$J$91,1))</f>
        <v>1</v>
      </c>
      <c r="Q70" s="14" t="n">
        <v>0</v>
      </c>
      <c r="R70" s="14" t="n">
        <v>0</v>
      </c>
      <c r="S70" s="21" t="str">
        <f aca="false">IF(ISNUMBER(N70),IF(N70&gt;=Controls!$B$8,"DESIGN CLOSE","NEGATIVE"),IF(P70=1,"MEASUREMENT READY","UNSCOPED"))</f>
        <v>MEASUREMENT READY</v>
      </c>
      <c r="T70" s="21" t="str">
        <f aca="false">IF(S70="DESIGN CLOSE","root-native section bill",IF(S70="MEASUREMENT READY","executable protocol; observation empty","return to architecture"))</f>
        <v>executable protocol; observation empty</v>
      </c>
      <c r="U70" s="14" t="n">
        <v>0</v>
      </c>
    </row>
    <row r="71" customFormat="false" ht="15" hidden="false" customHeight="false" outlineLevel="0" collapsed="false">
      <c r="A71" s="12" t="s">
        <v>379</v>
      </c>
      <c r="B71" s="12" t="s">
        <v>39</v>
      </c>
      <c r="C71" s="12" t="s">
        <v>40</v>
      </c>
      <c r="D71" s="12" t="s">
        <v>140</v>
      </c>
      <c r="E71" s="12" t="s">
        <v>141</v>
      </c>
      <c r="F71" s="12" t="s">
        <v>272</v>
      </c>
      <c r="G71" s="12" t="s">
        <v>273</v>
      </c>
      <c r="H71" s="12" t="n">
        <v>23</v>
      </c>
      <c r="I71" s="12" t="s">
        <v>187</v>
      </c>
      <c r="J71" s="12" t="s">
        <v>143</v>
      </c>
      <c r="K71" s="37" t="n">
        <f aca="false">IF(ISNUMBER('Section Bills'!J23),'Section Bills'!J23,"")</f>
        <v>1134</v>
      </c>
      <c r="L71" s="37" t="n">
        <f aca="false">IF(ISNUMBER('Section Bills'!K23),'Section Bills'!K23,"")</f>
        <v>900</v>
      </c>
      <c r="M71" s="20" t="n">
        <f aca="false">Controls!$B$7</f>
        <v>0.025</v>
      </c>
      <c r="N71" s="20" t="n">
        <f aca="false">IF(AND(ISNUMBER(K71),ISNUMBER(L71),L71&gt;0),K71/L71*(1-M71),"")</f>
        <v>1.2285</v>
      </c>
      <c r="O71" s="14"/>
      <c r="P71" s="21" t="n">
        <f aca="false">IF(O71="",0,COUNTIFS('Gap Migration'!$G$7:$G$91,O71,'Gap Migration'!$J$7:$J$91,1))</f>
        <v>0</v>
      </c>
      <c r="Q71" s="14" t="n">
        <v>0</v>
      </c>
      <c r="R71" s="14" t="n">
        <v>0</v>
      </c>
      <c r="S71" s="21" t="str">
        <f aca="false">IF(ISNUMBER(N71),IF(N71&gt;=Controls!$B$8,"DESIGN CLOSE","NEGATIVE"),IF(P71=1,"MEASUREMENT READY","UNSCOPED"))</f>
        <v>DESIGN CLOSE</v>
      </c>
      <c r="T71" s="21" t="str">
        <f aca="false">IF(S71="DESIGN CLOSE","root-native section bill",IF(S71="MEASUREMENT READY","executable protocol; observation empty","return to architecture"))</f>
        <v>root-native section bill</v>
      </c>
      <c r="U71" s="14" t="n">
        <v>0</v>
      </c>
    </row>
    <row r="72" customFormat="false" ht="15" hidden="false" customHeight="false" outlineLevel="0" collapsed="false">
      <c r="A72" s="12" t="s">
        <v>380</v>
      </c>
      <c r="B72" s="12" t="s">
        <v>39</v>
      </c>
      <c r="C72" s="12" t="s">
        <v>40</v>
      </c>
      <c r="D72" s="12" t="s">
        <v>140</v>
      </c>
      <c r="E72" s="12" t="s">
        <v>141</v>
      </c>
      <c r="F72" s="12" t="s">
        <v>275</v>
      </c>
      <c r="G72" s="12" t="s">
        <v>276</v>
      </c>
      <c r="H72" s="12" t="n">
        <v>23</v>
      </c>
      <c r="I72" s="12" t="s">
        <v>187</v>
      </c>
      <c r="J72" s="12" t="s">
        <v>143</v>
      </c>
      <c r="K72" s="37"/>
      <c r="L72" s="37"/>
      <c r="M72" s="20" t="n">
        <f aca="false">Controls!$B$7</f>
        <v>0.025</v>
      </c>
      <c r="N72" s="20" t="str">
        <f aca="false">IF(AND(ISNUMBER(K72),ISNUMBER(L72),L72&gt;0),K72/L72*(1-M72),"")</f>
        <v/>
      </c>
      <c r="O72" s="14" t="s">
        <v>381</v>
      </c>
      <c r="P72" s="21" t="n">
        <f aca="false">IF(O72="",0,COUNTIFS('Gap Migration'!$G$7:$G$91,O72,'Gap Migration'!$J$7:$J$91,1))</f>
        <v>1</v>
      </c>
      <c r="Q72" s="14" t="n">
        <v>0</v>
      </c>
      <c r="R72" s="14" t="n">
        <v>0</v>
      </c>
      <c r="S72" s="21" t="str">
        <f aca="false">IF(ISNUMBER(N72),IF(N72&gt;=Controls!$B$8,"DESIGN CLOSE","NEGATIVE"),IF(P72=1,"MEASUREMENT READY","UNSCOPED"))</f>
        <v>MEASUREMENT READY</v>
      </c>
      <c r="T72" s="21" t="str">
        <f aca="false">IF(S72="DESIGN CLOSE","root-native section bill",IF(S72="MEASUREMENT READY","executable protocol; observation empty","return to architecture"))</f>
        <v>executable protocol; observation empty</v>
      </c>
      <c r="U72" s="14" t="n">
        <v>0</v>
      </c>
    </row>
    <row r="73" customFormat="false" ht="15" hidden="false" customHeight="false" outlineLevel="0" collapsed="false">
      <c r="A73" s="12" t="s">
        <v>382</v>
      </c>
      <c r="B73" s="12" t="s">
        <v>39</v>
      </c>
      <c r="C73" s="12" t="s">
        <v>40</v>
      </c>
      <c r="D73" s="12" t="s">
        <v>140</v>
      </c>
      <c r="E73" s="12" t="s">
        <v>141</v>
      </c>
      <c r="F73" s="12" t="s">
        <v>279</v>
      </c>
      <c r="G73" s="12" t="s">
        <v>280</v>
      </c>
      <c r="H73" s="12" t="n">
        <v>23</v>
      </c>
      <c r="I73" s="12" t="s">
        <v>187</v>
      </c>
      <c r="J73" s="12" t="s">
        <v>143</v>
      </c>
      <c r="K73" s="37" t="n">
        <f aca="false">IF(ISNUMBER('Section Bills'!L23),'Section Bills'!L23,"")</f>
        <v>945</v>
      </c>
      <c r="L73" s="37" t="n">
        <f aca="false">IF(ISNUMBER('Section Bills'!M23),'Section Bills'!M23,"")</f>
        <v>900</v>
      </c>
      <c r="M73" s="20" t="n">
        <f aca="false">Controls!$B$7</f>
        <v>0.025</v>
      </c>
      <c r="N73" s="20" t="n">
        <f aca="false">IF(AND(ISNUMBER(K73),ISNUMBER(L73),L73&gt;0),K73/L73*(1-M73),"")</f>
        <v>1.02375</v>
      </c>
      <c r="O73" s="14"/>
      <c r="P73" s="21" t="n">
        <f aca="false">IF(O73="",0,COUNTIFS('Gap Migration'!$G$7:$G$91,O73,'Gap Migration'!$J$7:$J$91,1))</f>
        <v>0</v>
      </c>
      <c r="Q73" s="14" t="n">
        <v>0</v>
      </c>
      <c r="R73" s="14" t="n">
        <v>0</v>
      </c>
      <c r="S73" s="21" t="str">
        <f aca="false">IF(ISNUMBER(N73),IF(N73&gt;=Controls!$B$8,"DESIGN CLOSE","NEGATIVE"),IF(P73=1,"MEASUREMENT READY","UNSCOPED"))</f>
        <v>DESIGN CLOSE</v>
      </c>
      <c r="T73" s="21" t="str">
        <f aca="false">IF(S73="DESIGN CLOSE","root-native section bill",IF(S73="MEASUREMENT READY","executable protocol; observation empty","return to architecture"))</f>
        <v>root-native section bill</v>
      </c>
      <c r="U73" s="14" t="n">
        <v>0</v>
      </c>
    </row>
    <row r="74" customFormat="false" ht="15" hidden="false" customHeight="false" outlineLevel="0" collapsed="false">
      <c r="A74" s="12" t="s">
        <v>383</v>
      </c>
      <c r="B74" s="12" t="s">
        <v>39</v>
      </c>
      <c r="C74" s="12" t="s">
        <v>40</v>
      </c>
      <c r="D74" s="12" t="s">
        <v>140</v>
      </c>
      <c r="E74" s="12" t="s">
        <v>141</v>
      </c>
      <c r="F74" s="12" t="s">
        <v>282</v>
      </c>
      <c r="G74" s="12" t="s">
        <v>283</v>
      </c>
      <c r="H74" s="12" t="n">
        <v>23</v>
      </c>
      <c r="I74" s="12" t="s">
        <v>187</v>
      </c>
      <c r="J74" s="12" t="s">
        <v>143</v>
      </c>
      <c r="K74" s="37"/>
      <c r="L74" s="37"/>
      <c r="M74" s="20" t="n">
        <f aca="false">Controls!$B$7</f>
        <v>0.025</v>
      </c>
      <c r="N74" s="20" t="str">
        <f aca="false">IF(AND(ISNUMBER(K74),ISNUMBER(L74),L74&gt;0),K74/L74*(1-M74),"")</f>
        <v/>
      </c>
      <c r="O74" s="14" t="s">
        <v>384</v>
      </c>
      <c r="P74" s="21" t="n">
        <f aca="false">IF(O74="",0,COUNTIFS('Gap Migration'!$G$7:$G$91,O74,'Gap Migration'!$J$7:$J$91,1))</f>
        <v>1</v>
      </c>
      <c r="Q74" s="14" t="n">
        <v>0</v>
      </c>
      <c r="R74" s="14" t="n">
        <v>0</v>
      </c>
      <c r="S74" s="21" t="str">
        <f aca="false">IF(ISNUMBER(N74),IF(N74&gt;=Controls!$B$8,"DESIGN CLOSE","NEGATIVE"),IF(P74=1,"MEASUREMENT READY","UNSCOPED"))</f>
        <v>MEASUREMENT READY</v>
      </c>
      <c r="T74" s="21" t="str">
        <f aca="false">IF(S74="DESIGN CLOSE","root-native section bill",IF(S74="MEASUREMENT READY","executable protocol; observation empty","return to architecture"))</f>
        <v>executable protocol; observation empty</v>
      </c>
      <c r="U74" s="14" t="n">
        <v>0</v>
      </c>
    </row>
    <row r="75" customFormat="false" ht="15" hidden="false" customHeight="false" outlineLevel="0" collapsed="false">
      <c r="A75" s="12" t="s">
        <v>385</v>
      </c>
      <c r="B75" s="12" t="s">
        <v>39</v>
      </c>
      <c r="C75" s="12" t="s">
        <v>40</v>
      </c>
      <c r="D75" s="12" t="s">
        <v>146</v>
      </c>
      <c r="E75" s="12" t="s">
        <v>147</v>
      </c>
      <c r="F75" s="12" t="s">
        <v>272</v>
      </c>
      <c r="G75" s="12" t="s">
        <v>273</v>
      </c>
      <c r="H75" s="12" t="n">
        <v>24</v>
      </c>
      <c r="I75" s="12" t="s">
        <v>190</v>
      </c>
      <c r="J75" s="12" t="s">
        <v>149</v>
      </c>
      <c r="K75" s="37"/>
      <c r="L75" s="37"/>
      <c r="M75" s="20" t="n">
        <f aca="false">Controls!$B$7</f>
        <v>0.025</v>
      </c>
      <c r="N75" s="20" t="str">
        <f aca="false">IF(AND(ISNUMBER(K75),ISNUMBER(L75),L75&gt;0),K75/L75*(1-M75),"")</f>
        <v/>
      </c>
      <c r="O75" s="14" t="s">
        <v>386</v>
      </c>
      <c r="P75" s="21" t="n">
        <f aca="false">IF(O75="",0,COUNTIFS('Gap Migration'!$G$7:$G$91,O75,'Gap Migration'!$J$7:$J$91,1))</f>
        <v>1</v>
      </c>
      <c r="Q75" s="14" t="n">
        <v>0</v>
      </c>
      <c r="R75" s="14" t="n">
        <v>0</v>
      </c>
      <c r="S75" s="21" t="str">
        <f aca="false">IF(ISNUMBER(N75),IF(N75&gt;=Controls!$B$8,"DESIGN CLOSE","NEGATIVE"),IF(P75=1,"MEASUREMENT READY","UNSCOPED"))</f>
        <v>MEASUREMENT READY</v>
      </c>
      <c r="T75" s="21" t="str">
        <f aca="false">IF(S75="DESIGN CLOSE","root-native section bill",IF(S75="MEASUREMENT READY","executable protocol; observation empty","return to architecture"))</f>
        <v>executable protocol; observation empty</v>
      </c>
      <c r="U75" s="14" t="n">
        <v>0</v>
      </c>
    </row>
    <row r="76" customFormat="false" ht="15" hidden="false" customHeight="false" outlineLevel="0" collapsed="false">
      <c r="A76" s="12" t="s">
        <v>387</v>
      </c>
      <c r="B76" s="12" t="s">
        <v>39</v>
      </c>
      <c r="C76" s="12" t="s">
        <v>40</v>
      </c>
      <c r="D76" s="12" t="s">
        <v>146</v>
      </c>
      <c r="E76" s="12" t="s">
        <v>147</v>
      </c>
      <c r="F76" s="12" t="s">
        <v>275</v>
      </c>
      <c r="G76" s="12" t="s">
        <v>276</v>
      </c>
      <c r="H76" s="12" t="n">
        <v>24</v>
      </c>
      <c r="I76" s="12" t="s">
        <v>190</v>
      </c>
      <c r="J76" s="12" t="s">
        <v>149</v>
      </c>
      <c r="K76" s="37"/>
      <c r="L76" s="37"/>
      <c r="M76" s="20" t="n">
        <f aca="false">Controls!$B$7</f>
        <v>0.025</v>
      </c>
      <c r="N76" s="20" t="str">
        <f aca="false">IF(AND(ISNUMBER(K76),ISNUMBER(L76),L76&gt;0),K76/L76*(1-M76),"")</f>
        <v/>
      </c>
      <c r="O76" s="14" t="s">
        <v>388</v>
      </c>
      <c r="P76" s="21" t="n">
        <f aca="false">IF(O76="",0,COUNTIFS('Gap Migration'!$G$7:$G$91,O76,'Gap Migration'!$J$7:$J$91,1))</f>
        <v>1</v>
      </c>
      <c r="Q76" s="14" t="n">
        <v>0</v>
      </c>
      <c r="R76" s="14" t="n">
        <v>0</v>
      </c>
      <c r="S76" s="21" t="str">
        <f aca="false">IF(ISNUMBER(N76),IF(N76&gt;=Controls!$B$8,"DESIGN CLOSE","NEGATIVE"),IF(P76=1,"MEASUREMENT READY","UNSCOPED"))</f>
        <v>MEASUREMENT READY</v>
      </c>
      <c r="T76" s="21" t="str">
        <f aca="false">IF(S76="DESIGN CLOSE","root-native section bill",IF(S76="MEASUREMENT READY","executable protocol; observation empty","return to architecture"))</f>
        <v>executable protocol; observation empty</v>
      </c>
      <c r="U76" s="14" t="n">
        <v>0</v>
      </c>
    </row>
    <row r="77" customFormat="false" ht="15" hidden="false" customHeight="false" outlineLevel="0" collapsed="false">
      <c r="A77" s="12" t="s">
        <v>389</v>
      </c>
      <c r="B77" s="12" t="s">
        <v>39</v>
      </c>
      <c r="C77" s="12" t="s">
        <v>40</v>
      </c>
      <c r="D77" s="12" t="s">
        <v>146</v>
      </c>
      <c r="E77" s="12" t="s">
        <v>147</v>
      </c>
      <c r="F77" s="12" t="s">
        <v>279</v>
      </c>
      <c r="G77" s="12" t="s">
        <v>280</v>
      </c>
      <c r="H77" s="12" t="n">
        <v>24</v>
      </c>
      <c r="I77" s="12" t="s">
        <v>190</v>
      </c>
      <c r="J77" s="12" t="s">
        <v>149</v>
      </c>
      <c r="K77" s="37"/>
      <c r="L77" s="37"/>
      <c r="M77" s="20" t="n">
        <f aca="false">Controls!$B$7</f>
        <v>0.025</v>
      </c>
      <c r="N77" s="20" t="str">
        <f aca="false">IF(AND(ISNUMBER(K77),ISNUMBER(L77),L77&gt;0),K77/L77*(1-M77),"")</f>
        <v/>
      </c>
      <c r="O77" s="14" t="s">
        <v>390</v>
      </c>
      <c r="P77" s="21" t="n">
        <f aca="false">IF(O77="",0,COUNTIFS('Gap Migration'!$G$7:$G$91,O77,'Gap Migration'!$J$7:$J$91,1))</f>
        <v>1</v>
      </c>
      <c r="Q77" s="14" t="n">
        <v>0</v>
      </c>
      <c r="R77" s="14" t="n">
        <v>0</v>
      </c>
      <c r="S77" s="21" t="str">
        <f aca="false">IF(ISNUMBER(N77),IF(N77&gt;=Controls!$B$8,"DESIGN CLOSE","NEGATIVE"),IF(P77=1,"MEASUREMENT READY","UNSCOPED"))</f>
        <v>MEASUREMENT READY</v>
      </c>
      <c r="T77" s="21" t="str">
        <f aca="false">IF(S77="DESIGN CLOSE","root-native section bill",IF(S77="MEASUREMENT READY","executable protocol; observation empty","return to architecture"))</f>
        <v>executable protocol; observation empty</v>
      </c>
      <c r="U77" s="14" t="n">
        <v>0</v>
      </c>
    </row>
    <row r="78" customFormat="false" ht="15" hidden="false" customHeight="false" outlineLevel="0" collapsed="false">
      <c r="A78" s="12" t="s">
        <v>391</v>
      </c>
      <c r="B78" s="12" t="s">
        <v>39</v>
      </c>
      <c r="C78" s="12" t="s">
        <v>40</v>
      </c>
      <c r="D78" s="12" t="s">
        <v>146</v>
      </c>
      <c r="E78" s="12" t="s">
        <v>147</v>
      </c>
      <c r="F78" s="12" t="s">
        <v>282</v>
      </c>
      <c r="G78" s="12" t="s">
        <v>283</v>
      </c>
      <c r="H78" s="12" t="n">
        <v>24</v>
      </c>
      <c r="I78" s="12" t="s">
        <v>190</v>
      </c>
      <c r="J78" s="12" t="s">
        <v>149</v>
      </c>
      <c r="K78" s="37"/>
      <c r="L78" s="37"/>
      <c r="M78" s="20" t="n">
        <f aca="false">Controls!$B$7</f>
        <v>0.025</v>
      </c>
      <c r="N78" s="20" t="str">
        <f aca="false">IF(AND(ISNUMBER(K78),ISNUMBER(L78),L78&gt;0),K78/L78*(1-M78),"")</f>
        <v/>
      </c>
      <c r="O78" s="14" t="s">
        <v>392</v>
      </c>
      <c r="P78" s="21" t="n">
        <f aca="false">IF(O78="",0,COUNTIFS('Gap Migration'!$G$7:$G$91,O78,'Gap Migration'!$J$7:$J$91,1))</f>
        <v>1</v>
      </c>
      <c r="Q78" s="14" t="n">
        <v>0</v>
      </c>
      <c r="R78" s="14" t="n">
        <v>0</v>
      </c>
      <c r="S78" s="21" t="str">
        <f aca="false">IF(ISNUMBER(N78),IF(N78&gt;=Controls!$B$8,"DESIGN CLOSE","NEGATIVE"),IF(P78=1,"MEASUREMENT READY","UNSCOPED"))</f>
        <v>MEASUREMENT READY</v>
      </c>
      <c r="T78" s="21" t="str">
        <f aca="false">IF(S78="DESIGN CLOSE","root-native section bill",IF(S78="MEASUREMENT READY","executable protocol; observation empty","return to architecture"))</f>
        <v>executable protocol; observation empty</v>
      </c>
      <c r="U78" s="14" t="n">
        <v>0</v>
      </c>
    </row>
    <row r="79" customFormat="false" ht="15" hidden="false" customHeight="false" outlineLevel="0" collapsed="false">
      <c r="A79" s="12" t="s">
        <v>393</v>
      </c>
      <c r="B79" s="12" t="s">
        <v>43</v>
      </c>
      <c r="C79" s="12" t="s">
        <v>44</v>
      </c>
      <c r="D79" s="12" t="s">
        <v>114</v>
      </c>
      <c r="E79" s="12" t="s">
        <v>115</v>
      </c>
      <c r="F79" s="12" t="s">
        <v>272</v>
      </c>
      <c r="G79" s="12" t="s">
        <v>273</v>
      </c>
      <c r="H79" s="12" t="n">
        <v>25</v>
      </c>
      <c r="I79" s="12" t="s">
        <v>193</v>
      </c>
      <c r="J79" s="12" t="s">
        <v>194</v>
      </c>
      <c r="K79" s="37" t="n">
        <f aca="false">IF(ISNUMBER('Section Bills'!J25),'Section Bills'!J25,"")</f>
        <v>35.91</v>
      </c>
      <c r="L79" s="37" t="n">
        <f aca="false">IF(ISNUMBER('Section Bills'!K25),'Section Bills'!K25,"")</f>
        <v>31.075</v>
      </c>
      <c r="M79" s="20" t="n">
        <f aca="false">Controls!$B$7</f>
        <v>0.025</v>
      </c>
      <c r="N79" s="20" t="n">
        <f aca="false">IF(AND(ISNUMBER(K79),ISNUMBER(L79),L79&gt;0),K79/L79*(1-M79),"")</f>
        <v>1.12670152855994</v>
      </c>
      <c r="O79" s="14"/>
      <c r="P79" s="21" t="n">
        <f aca="false">IF(O79="",0,COUNTIFS('Gap Migration'!$G$7:$G$91,O79,'Gap Migration'!$J$7:$J$91,1))</f>
        <v>0</v>
      </c>
      <c r="Q79" s="14" t="n">
        <v>0</v>
      </c>
      <c r="R79" s="14" t="n">
        <v>0</v>
      </c>
      <c r="S79" s="21" t="str">
        <f aca="false">IF(ISNUMBER(N79),IF(N79&gt;=Controls!$B$8,"DESIGN CLOSE","NEGATIVE"),IF(P79=1,"MEASUREMENT READY","UNSCOPED"))</f>
        <v>DESIGN CLOSE</v>
      </c>
      <c r="T79" s="21" t="str">
        <f aca="false">IF(S79="DESIGN CLOSE","root-native section bill",IF(S79="MEASUREMENT READY","executable protocol; observation empty","return to architecture"))</f>
        <v>root-native section bill</v>
      </c>
      <c r="U79" s="14" t="n">
        <v>0</v>
      </c>
    </row>
    <row r="80" customFormat="false" ht="15" hidden="false" customHeight="false" outlineLevel="0" collapsed="false">
      <c r="A80" s="12" t="s">
        <v>394</v>
      </c>
      <c r="B80" s="12" t="s">
        <v>43</v>
      </c>
      <c r="C80" s="12" t="s">
        <v>44</v>
      </c>
      <c r="D80" s="12" t="s">
        <v>114</v>
      </c>
      <c r="E80" s="12" t="s">
        <v>115</v>
      </c>
      <c r="F80" s="12" t="s">
        <v>275</v>
      </c>
      <c r="G80" s="12" t="s">
        <v>276</v>
      </c>
      <c r="H80" s="12" t="n">
        <v>25</v>
      </c>
      <c r="I80" s="12" t="s">
        <v>193</v>
      </c>
      <c r="J80" s="12" t="s">
        <v>194</v>
      </c>
      <c r="K80" s="37"/>
      <c r="L80" s="37"/>
      <c r="M80" s="20" t="n">
        <f aca="false">Controls!$B$7</f>
        <v>0.025</v>
      </c>
      <c r="N80" s="20" t="str">
        <f aca="false">IF(AND(ISNUMBER(K80),ISNUMBER(L80),L80&gt;0),K80/L80*(1-M80),"")</f>
        <v/>
      </c>
      <c r="O80" s="14" t="s">
        <v>395</v>
      </c>
      <c r="P80" s="21" t="n">
        <f aca="false">IF(O80="",0,COUNTIFS('Gap Migration'!$G$7:$G$91,O80,'Gap Migration'!$J$7:$J$91,1))</f>
        <v>1</v>
      </c>
      <c r="Q80" s="14" t="n">
        <v>0</v>
      </c>
      <c r="R80" s="14" t="n">
        <v>0</v>
      </c>
      <c r="S80" s="21" t="str">
        <f aca="false">IF(ISNUMBER(N80),IF(N80&gt;=Controls!$B$8,"DESIGN CLOSE","NEGATIVE"),IF(P80=1,"MEASUREMENT READY","UNSCOPED"))</f>
        <v>MEASUREMENT READY</v>
      </c>
      <c r="T80" s="21" t="str">
        <f aca="false">IF(S80="DESIGN CLOSE","root-native section bill",IF(S80="MEASUREMENT READY","executable protocol; observation empty","return to architecture"))</f>
        <v>executable protocol; observation empty</v>
      </c>
      <c r="U80" s="14" t="n">
        <v>0</v>
      </c>
    </row>
    <row r="81" customFormat="false" ht="15" hidden="false" customHeight="false" outlineLevel="0" collapsed="false">
      <c r="A81" s="12" t="s">
        <v>396</v>
      </c>
      <c r="B81" s="12" t="s">
        <v>43</v>
      </c>
      <c r="C81" s="12" t="s">
        <v>44</v>
      </c>
      <c r="D81" s="12" t="s">
        <v>114</v>
      </c>
      <c r="E81" s="12" t="s">
        <v>115</v>
      </c>
      <c r="F81" s="12" t="s">
        <v>279</v>
      </c>
      <c r="G81" s="12" t="s">
        <v>280</v>
      </c>
      <c r="H81" s="12" t="n">
        <v>25</v>
      </c>
      <c r="I81" s="12" t="s">
        <v>193</v>
      </c>
      <c r="J81" s="12" t="s">
        <v>194</v>
      </c>
      <c r="K81" s="37" t="n">
        <f aca="false">IF(ISNUMBER('Section Bills'!L25),'Section Bills'!L25,"")</f>
        <v>31.92</v>
      </c>
      <c r="L81" s="37" t="n">
        <f aca="false">IF(ISNUMBER('Section Bills'!M25),'Section Bills'!M25,"")</f>
        <v>31.075</v>
      </c>
      <c r="M81" s="20" t="n">
        <f aca="false">Controls!$B$7</f>
        <v>0.025</v>
      </c>
      <c r="N81" s="20" t="n">
        <f aca="false">IF(AND(ISNUMBER(K81),ISNUMBER(L81),L81&gt;0),K81/L81*(1-M81),"")</f>
        <v>1.00151246983105</v>
      </c>
      <c r="O81" s="14" t="s">
        <v>397</v>
      </c>
      <c r="P81" s="21" t="n">
        <f aca="false">IF(O81="",0,COUNTIFS('Gap Migration'!$G$7:$G$91,O81,'Gap Migration'!$J$7:$J$91,1))</f>
        <v>1</v>
      </c>
      <c r="Q81" s="14" t="n">
        <v>0</v>
      </c>
      <c r="R81" s="14" t="n">
        <v>0</v>
      </c>
      <c r="S81" s="21" t="str">
        <f aca="false">IF(ISNUMBER(N81),IF(N81&gt;=Controls!$B$8,"DESIGN CLOSE","NEGATIVE"),IF(P81=1,"MEASUREMENT READY","UNSCOPED"))</f>
        <v>DESIGN CLOSE</v>
      </c>
      <c r="T81" s="21" t="str">
        <f aca="false">IF(S81="DESIGN CLOSE","root-native section bill",IF(S81="MEASUREMENT READY","executable protocol; observation empty","return to architecture"))</f>
        <v>root-native section bill</v>
      </c>
      <c r="U81" s="14" t="n">
        <v>0</v>
      </c>
    </row>
    <row r="82" customFormat="false" ht="15" hidden="false" customHeight="false" outlineLevel="0" collapsed="false">
      <c r="A82" s="12" t="s">
        <v>398</v>
      </c>
      <c r="B82" s="12" t="s">
        <v>43</v>
      </c>
      <c r="C82" s="12" t="s">
        <v>44</v>
      </c>
      <c r="D82" s="12" t="s">
        <v>114</v>
      </c>
      <c r="E82" s="12" t="s">
        <v>115</v>
      </c>
      <c r="F82" s="12" t="s">
        <v>282</v>
      </c>
      <c r="G82" s="12" t="s">
        <v>283</v>
      </c>
      <c r="H82" s="12" t="n">
        <v>25</v>
      </c>
      <c r="I82" s="12" t="s">
        <v>193</v>
      </c>
      <c r="J82" s="12" t="s">
        <v>194</v>
      </c>
      <c r="K82" s="37"/>
      <c r="L82" s="37"/>
      <c r="M82" s="20" t="n">
        <f aca="false">Controls!$B$7</f>
        <v>0.025</v>
      </c>
      <c r="N82" s="20" t="str">
        <f aca="false">IF(AND(ISNUMBER(K82),ISNUMBER(L82),L82&gt;0),K82/L82*(1-M82),"")</f>
        <v/>
      </c>
      <c r="O82" s="14" t="s">
        <v>399</v>
      </c>
      <c r="P82" s="21" t="n">
        <f aca="false">IF(O82="",0,COUNTIFS('Gap Migration'!$G$7:$G$91,O82,'Gap Migration'!$J$7:$J$91,1))</f>
        <v>1</v>
      </c>
      <c r="Q82" s="14" t="n">
        <v>0</v>
      </c>
      <c r="R82" s="14" t="n">
        <v>0</v>
      </c>
      <c r="S82" s="21" t="str">
        <f aca="false">IF(ISNUMBER(N82),IF(N82&gt;=Controls!$B$8,"DESIGN CLOSE","NEGATIVE"),IF(P82=1,"MEASUREMENT READY","UNSCOPED"))</f>
        <v>MEASUREMENT READY</v>
      </c>
      <c r="T82" s="21" t="str">
        <f aca="false">IF(S82="DESIGN CLOSE","root-native section bill",IF(S82="MEASUREMENT READY","executable protocol; observation empty","return to architecture"))</f>
        <v>executable protocol; observation empty</v>
      </c>
      <c r="U82" s="14" t="n">
        <v>0</v>
      </c>
    </row>
    <row r="83" customFormat="false" ht="15" hidden="false" customHeight="false" outlineLevel="0" collapsed="false">
      <c r="A83" s="12" t="s">
        <v>400</v>
      </c>
      <c r="B83" s="12" t="s">
        <v>43</v>
      </c>
      <c r="C83" s="12" t="s">
        <v>44</v>
      </c>
      <c r="D83" s="12" t="s">
        <v>121</v>
      </c>
      <c r="E83" s="12" t="s">
        <v>122</v>
      </c>
      <c r="F83" s="12" t="s">
        <v>272</v>
      </c>
      <c r="G83" s="12" t="s">
        <v>273</v>
      </c>
      <c r="H83" s="12" t="n">
        <v>26</v>
      </c>
      <c r="I83" s="12" t="s">
        <v>198</v>
      </c>
      <c r="J83" s="12" t="s">
        <v>124</v>
      </c>
      <c r="K83" s="37" t="n">
        <f aca="false">IF(ISNUMBER('Section Bills'!J26),'Section Bills'!J26,"")</f>
        <v>52</v>
      </c>
      <c r="L83" s="37" t="n">
        <f aca="false">IF(ISNUMBER('Section Bills'!K26),'Section Bills'!K26,"")</f>
        <v>37.3510416667</v>
      </c>
      <c r="M83" s="20" t="n">
        <f aca="false">Controls!$B$7</f>
        <v>0.025</v>
      </c>
      <c r="N83" s="20" t="n">
        <f aca="false">IF(AND(ISNUMBER(K83),ISNUMBER(L83),L83&gt;0),K83/L83*(1-M83),"")</f>
        <v>1.35739186211776</v>
      </c>
      <c r="O83" s="14"/>
      <c r="P83" s="21" t="n">
        <f aca="false">IF(O83="",0,COUNTIFS('Gap Migration'!$G$7:$G$91,O83,'Gap Migration'!$J$7:$J$91,1))</f>
        <v>0</v>
      </c>
      <c r="Q83" s="14" t="n">
        <v>0</v>
      </c>
      <c r="R83" s="14" t="n">
        <v>0</v>
      </c>
      <c r="S83" s="21" t="str">
        <f aca="false">IF(ISNUMBER(N83),IF(N83&gt;=Controls!$B$8,"DESIGN CLOSE","NEGATIVE"),IF(P83=1,"MEASUREMENT READY","UNSCOPED"))</f>
        <v>DESIGN CLOSE</v>
      </c>
      <c r="T83" s="21" t="str">
        <f aca="false">IF(S83="DESIGN CLOSE","root-native section bill",IF(S83="MEASUREMENT READY","executable protocol; observation empty","return to architecture"))</f>
        <v>root-native section bill</v>
      </c>
      <c r="U83" s="14" t="n">
        <v>0</v>
      </c>
    </row>
    <row r="84" customFormat="false" ht="15" hidden="false" customHeight="false" outlineLevel="0" collapsed="false">
      <c r="A84" s="12" t="s">
        <v>401</v>
      </c>
      <c r="B84" s="12" t="s">
        <v>43</v>
      </c>
      <c r="C84" s="12" t="s">
        <v>44</v>
      </c>
      <c r="D84" s="12" t="s">
        <v>121</v>
      </c>
      <c r="E84" s="12" t="s">
        <v>122</v>
      </c>
      <c r="F84" s="12" t="s">
        <v>275</v>
      </c>
      <c r="G84" s="12" t="s">
        <v>276</v>
      </c>
      <c r="H84" s="12" t="n">
        <v>26</v>
      </c>
      <c r="I84" s="12" t="s">
        <v>198</v>
      </c>
      <c r="J84" s="12" t="s">
        <v>124</v>
      </c>
      <c r="K84" s="37"/>
      <c r="L84" s="37"/>
      <c r="M84" s="20" t="n">
        <f aca="false">Controls!$B$7</f>
        <v>0.025</v>
      </c>
      <c r="N84" s="20" t="str">
        <f aca="false">IF(AND(ISNUMBER(K84),ISNUMBER(L84),L84&gt;0),K84/L84*(1-M84),"")</f>
        <v/>
      </c>
      <c r="O84" s="14" t="s">
        <v>402</v>
      </c>
      <c r="P84" s="21" t="n">
        <f aca="false">IF(O84="",0,COUNTIFS('Gap Migration'!$G$7:$G$91,O84,'Gap Migration'!$J$7:$J$91,1))</f>
        <v>1</v>
      </c>
      <c r="Q84" s="14" t="n">
        <v>0</v>
      </c>
      <c r="R84" s="14" t="n">
        <v>0</v>
      </c>
      <c r="S84" s="21" t="str">
        <f aca="false">IF(ISNUMBER(N84),IF(N84&gt;=Controls!$B$8,"DESIGN CLOSE","NEGATIVE"),IF(P84=1,"MEASUREMENT READY","UNSCOPED"))</f>
        <v>MEASUREMENT READY</v>
      </c>
      <c r="T84" s="21" t="str">
        <f aca="false">IF(S84="DESIGN CLOSE","root-native section bill",IF(S84="MEASUREMENT READY","executable protocol; observation empty","return to architecture"))</f>
        <v>executable protocol; observation empty</v>
      </c>
      <c r="U84" s="14" t="n">
        <v>0</v>
      </c>
    </row>
    <row r="85" customFormat="false" ht="15" hidden="false" customHeight="false" outlineLevel="0" collapsed="false">
      <c r="A85" s="12" t="s">
        <v>403</v>
      </c>
      <c r="B85" s="12" t="s">
        <v>43</v>
      </c>
      <c r="C85" s="12" t="s">
        <v>44</v>
      </c>
      <c r="D85" s="12" t="s">
        <v>121</v>
      </c>
      <c r="E85" s="12" t="s">
        <v>122</v>
      </c>
      <c r="F85" s="12" t="s">
        <v>279</v>
      </c>
      <c r="G85" s="12" t="s">
        <v>280</v>
      </c>
      <c r="H85" s="12" t="n">
        <v>26</v>
      </c>
      <c r="I85" s="12" t="s">
        <v>198</v>
      </c>
      <c r="J85" s="12" t="s">
        <v>124</v>
      </c>
      <c r="K85" s="37" t="n">
        <f aca="false">IF(ISNUMBER('Section Bills'!L26),'Section Bills'!L26,"")</f>
        <v>39</v>
      </c>
      <c r="L85" s="37" t="n">
        <f aca="false">IF(ISNUMBER('Section Bills'!M26),'Section Bills'!M26,"")</f>
        <v>37.3510416667</v>
      </c>
      <c r="M85" s="20" t="n">
        <f aca="false">Controls!$B$7</f>
        <v>0.025</v>
      </c>
      <c r="N85" s="20" t="n">
        <f aca="false">IF(AND(ISNUMBER(K85),ISNUMBER(L85),L85&gt;0),K85/L85*(1-M85),"")</f>
        <v>1.01804389658832</v>
      </c>
      <c r="O85" s="14"/>
      <c r="P85" s="21" t="n">
        <f aca="false">IF(O85="",0,COUNTIFS('Gap Migration'!$G$7:$G$91,O85,'Gap Migration'!$J$7:$J$91,1))</f>
        <v>0</v>
      </c>
      <c r="Q85" s="14" t="n">
        <v>0</v>
      </c>
      <c r="R85" s="14" t="n">
        <v>0</v>
      </c>
      <c r="S85" s="21" t="str">
        <f aca="false">IF(ISNUMBER(N85),IF(N85&gt;=Controls!$B$8,"DESIGN CLOSE","NEGATIVE"),IF(P85=1,"MEASUREMENT READY","UNSCOPED"))</f>
        <v>DESIGN CLOSE</v>
      </c>
      <c r="T85" s="21" t="str">
        <f aca="false">IF(S85="DESIGN CLOSE","root-native section bill",IF(S85="MEASUREMENT READY","executable protocol; observation empty","return to architecture"))</f>
        <v>root-native section bill</v>
      </c>
      <c r="U85" s="14" t="n">
        <v>0</v>
      </c>
    </row>
    <row r="86" customFormat="false" ht="15" hidden="false" customHeight="false" outlineLevel="0" collapsed="false">
      <c r="A86" s="12" t="s">
        <v>404</v>
      </c>
      <c r="B86" s="12" t="s">
        <v>43</v>
      </c>
      <c r="C86" s="12" t="s">
        <v>44</v>
      </c>
      <c r="D86" s="12" t="s">
        <v>121</v>
      </c>
      <c r="E86" s="12" t="s">
        <v>122</v>
      </c>
      <c r="F86" s="12" t="s">
        <v>282</v>
      </c>
      <c r="G86" s="12" t="s">
        <v>283</v>
      </c>
      <c r="H86" s="12" t="n">
        <v>26</v>
      </c>
      <c r="I86" s="12" t="s">
        <v>198</v>
      </c>
      <c r="J86" s="12" t="s">
        <v>124</v>
      </c>
      <c r="K86" s="37"/>
      <c r="L86" s="37"/>
      <c r="M86" s="20" t="n">
        <f aca="false">Controls!$B$7</f>
        <v>0.025</v>
      </c>
      <c r="N86" s="20" t="str">
        <f aca="false">IF(AND(ISNUMBER(K86),ISNUMBER(L86),L86&gt;0),K86/L86*(1-M86),"")</f>
        <v/>
      </c>
      <c r="O86" s="14" t="s">
        <v>405</v>
      </c>
      <c r="P86" s="21" t="n">
        <f aca="false">IF(O86="",0,COUNTIFS('Gap Migration'!$G$7:$G$91,O86,'Gap Migration'!$J$7:$J$91,1))</f>
        <v>1</v>
      </c>
      <c r="Q86" s="14" t="n">
        <v>0</v>
      </c>
      <c r="R86" s="14" t="n">
        <v>0</v>
      </c>
      <c r="S86" s="21" t="str">
        <f aca="false">IF(ISNUMBER(N86),IF(N86&gt;=Controls!$B$8,"DESIGN CLOSE","NEGATIVE"),IF(P86=1,"MEASUREMENT READY","UNSCOPED"))</f>
        <v>MEASUREMENT READY</v>
      </c>
      <c r="T86" s="21" t="str">
        <f aca="false">IF(S86="DESIGN CLOSE","root-native section bill",IF(S86="MEASUREMENT READY","executable protocol; observation empty","return to architecture"))</f>
        <v>executable protocol; observation empty</v>
      </c>
      <c r="U86" s="14" t="n">
        <v>0</v>
      </c>
    </row>
    <row r="87" customFormat="false" ht="15" hidden="false" customHeight="false" outlineLevel="0" collapsed="false">
      <c r="A87" s="12" t="s">
        <v>406</v>
      </c>
      <c r="B87" s="12" t="s">
        <v>43</v>
      </c>
      <c r="C87" s="12" t="s">
        <v>44</v>
      </c>
      <c r="D87" s="12" t="s">
        <v>128</v>
      </c>
      <c r="E87" s="12" t="s">
        <v>129</v>
      </c>
      <c r="F87" s="12" t="s">
        <v>272</v>
      </c>
      <c r="G87" s="12" t="s">
        <v>273</v>
      </c>
      <c r="H87" s="12" t="n">
        <v>27</v>
      </c>
      <c r="I87" s="12" t="s">
        <v>202</v>
      </c>
      <c r="J87" s="12" t="s">
        <v>203</v>
      </c>
      <c r="K87" s="37" t="n">
        <f aca="false">IF(ISNUMBER('Section Bills'!J27),'Section Bills'!J27,"")</f>
        <v>31</v>
      </c>
      <c r="L87" s="37" t="n">
        <f aca="false">IF(ISNUMBER('Section Bills'!K27),'Section Bills'!K27,"")</f>
        <v>30</v>
      </c>
      <c r="M87" s="20" t="n">
        <f aca="false">Controls!$B$7</f>
        <v>0.025</v>
      </c>
      <c r="N87" s="20" t="n">
        <f aca="false">IF(AND(ISNUMBER(K87),ISNUMBER(L87),L87&gt;0),K87/L87*(1-M87),"")</f>
        <v>1.0075</v>
      </c>
      <c r="O87" s="14"/>
      <c r="P87" s="21" t="n">
        <f aca="false">IF(O87="",0,COUNTIFS('Gap Migration'!$G$7:$G$91,O87,'Gap Migration'!$J$7:$J$91,1))</f>
        <v>0</v>
      </c>
      <c r="Q87" s="14" t="n">
        <v>0</v>
      </c>
      <c r="R87" s="14" t="n">
        <v>0</v>
      </c>
      <c r="S87" s="21" t="str">
        <f aca="false">IF(ISNUMBER(N87),IF(N87&gt;=Controls!$B$8,"DESIGN CLOSE","NEGATIVE"),IF(P87=1,"MEASUREMENT READY","UNSCOPED"))</f>
        <v>DESIGN CLOSE</v>
      </c>
      <c r="T87" s="21" t="str">
        <f aca="false">IF(S87="DESIGN CLOSE","root-native section bill",IF(S87="MEASUREMENT READY","executable protocol; observation empty","return to architecture"))</f>
        <v>root-native section bill</v>
      </c>
      <c r="U87" s="14" t="n">
        <v>0</v>
      </c>
    </row>
    <row r="88" customFormat="false" ht="15" hidden="false" customHeight="false" outlineLevel="0" collapsed="false">
      <c r="A88" s="12" t="s">
        <v>407</v>
      </c>
      <c r="B88" s="12" t="s">
        <v>43</v>
      </c>
      <c r="C88" s="12" t="s">
        <v>44</v>
      </c>
      <c r="D88" s="12" t="s">
        <v>128</v>
      </c>
      <c r="E88" s="12" t="s">
        <v>129</v>
      </c>
      <c r="F88" s="12" t="s">
        <v>275</v>
      </c>
      <c r="G88" s="12" t="s">
        <v>276</v>
      </c>
      <c r="H88" s="12" t="n">
        <v>27</v>
      </c>
      <c r="I88" s="12" t="s">
        <v>202</v>
      </c>
      <c r="J88" s="12" t="s">
        <v>203</v>
      </c>
      <c r="K88" s="37"/>
      <c r="L88" s="37"/>
      <c r="M88" s="20" t="n">
        <f aca="false">Controls!$B$7</f>
        <v>0.025</v>
      </c>
      <c r="N88" s="20" t="str">
        <f aca="false">IF(AND(ISNUMBER(K88),ISNUMBER(L88),L88&gt;0),K88/L88*(1-M88),"")</f>
        <v/>
      </c>
      <c r="O88" s="14" t="s">
        <v>408</v>
      </c>
      <c r="P88" s="21" t="n">
        <f aca="false">IF(O88="",0,COUNTIFS('Gap Migration'!$G$7:$G$91,O88,'Gap Migration'!$J$7:$J$91,1))</f>
        <v>1</v>
      </c>
      <c r="Q88" s="14" t="n">
        <v>0</v>
      </c>
      <c r="R88" s="14" t="n">
        <v>0</v>
      </c>
      <c r="S88" s="21" t="str">
        <f aca="false">IF(ISNUMBER(N88),IF(N88&gt;=Controls!$B$8,"DESIGN CLOSE","NEGATIVE"),IF(P88=1,"MEASUREMENT READY","UNSCOPED"))</f>
        <v>MEASUREMENT READY</v>
      </c>
      <c r="T88" s="21" t="str">
        <f aca="false">IF(S88="DESIGN CLOSE","root-native section bill",IF(S88="MEASUREMENT READY","executable protocol; observation empty","return to architecture"))</f>
        <v>executable protocol; observation empty</v>
      </c>
      <c r="U88" s="14" t="n">
        <v>0</v>
      </c>
    </row>
    <row r="89" customFormat="false" ht="15" hidden="false" customHeight="false" outlineLevel="0" collapsed="false">
      <c r="A89" s="12" t="s">
        <v>409</v>
      </c>
      <c r="B89" s="12" t="s">
        <v>43</v>
      </c>
      <c r="C89" s="12" t="s">
        <v>44</v>
      </c>
      <c r="D89" s="12" t="s">
        <v>128</v>
      </c>
      <c r="E89" s="12" t="s">
        <v>129</v>
      </c>
      <c r="F89" s="12" t="s">
        <v>279</v>
      </c>
      <c r="G89" s="12" t="s">
        <v>280</v>
      </c>
      <c r="H89" s="12" t="n">
        <v>27</v>
      </c>
      <c r="I89" s="12" t="s">
        <v>202</v>
      </c>
      <c r="J89" s="12" t="s">
        <v>203</v>
      </c>
      <c r="K89" s="37" t="n">
        <f aca="false">IF(ISNUMBER('Section Bills'!L27),'Section Bills'!L27,"")</f>
        <v>15.5</v>
      </c>
      <c r="L89" s="37" t="n">
        <f aca="false">IF(ISNUMBER('Section Bills'!M27),'Section Bills'!M27,"")</f>
        <v>15</v>
      </c>
      <c r="M89" s="20" t="n">
        <f aca="false">Controls!$B$7</f>
        <v>0.025</v>
      </c>
      <c r="N89" s="20" t="n">
        <f aca="false">IF(AND(ISNUMBER(K89),ISNUMBER(L89),L89&gt;0),K89/L89*(1-M89),"")</f>
        <v>1.0075</v>
      </c>
      <c r="O89" s="14"/>
      <c r="P89" s="21" t="n">
        <f aca="false">IF(O89="",0,COUNTIFS('Gap Migration'!$G$7:$G$91,O89,'Gap Migration'!$J$7:$J$91,1))</f>
        <v>0</v>
      </c>
      <c r="Q89" s="14" t="n">
        <v>0</v>
      </c>
      <c r="R89" s="14" t="n">
        <v>0</v>
      </c>
      <c r="S89" s="21" t="str">
        <f aca="false">IF(ISNUMBER(N89),IF(N89&gt;=Controls!$B$8,"DESIGN CLOSE","NEGATIVE"),IF(P89=1,"MEASUREMENT READY","UNSCOPED"))</f>
        <v>DESIGN CLOSE</v>
      </c>
      <c r="T89" s="21" t="str">
        <f aca="false">IF(S89="DESIGN CLOSE","root-native section bill",IF(S89="MEASUREMENT READY","executable protocol; observation empty","return to architecture"))</f>
        <v>root-native section bill</v>
      </c>
      <c r="U89" s="14" t="n">
        <v>0</v>
      </c>
    </row>
    <row r="90" customFormat="false" ht="15" hidden="false" customHeight="false" outlineLevel="0" collapsed="false">
      <c r="A90" s="12" t="s">
        <v>410</v>
      </c>
      <c r="B90" s="12" t="s">
        <v>43</v>
      </c>
      <c r="C90" s="12" t="s">
        <v>44</v>
      </c>
      <c r="D90" s="12" t="s">
        <v>128</v>
      </c>
      <c r="E90" s="12" t="s">
        <v>129</v>
      </c>
      <c r="F90" s="12" t="s">
        <v>282</v>
      </c>
      <c r="G90" s="12" t="s">
        <v>283</v>
      </c>
      <c r="H90" s="12" t="n">
        <v>27</v>
      </c>
      <c r="I90" s="12" t="s">
        <v>202</v>
      </c>
      <c r="J90" s="12" t="s">
        <v>203</v>
      </c>
      <c r="K90" s="37"/>
      <c r="L90" s="37"/>
      <c r="M90" s="20" t="n">
        <f aca="false">Controls!$B$7</f>
        <v>0.025</v>
      </c>
      <c r="N90" s="20" t="str">
        <f aca="false">IF(AND(ISNUMBER(K90),ISNUMBER(L90),L90&gt;0),K90/L90*(1-M90),"")</f>
        <v/>
      </c>
      <c r="O90" s="14" t="s">
        <v>411</v>
      </c>
      <c r="P90" s="21" t="n">
        <f aca="false">IF(O90="",0,COUNTIFS('Gap Migration'!$G$7:$G$91,O90,'Gap Migration'!$J$7:$J$91,1))</f>
        <v>1</v>
      </c>
      <c r="Q90" s="14" t="n">
        <v>0</v>
      </c>
      <c r="R90" s="14" t="n">
        <v>0</v>
      </c>
      <c r="S90" s="21" t="str">
        <f aca="false">IF(ISNUMBER(N90),IF(N90&gt;=Controls!$B$8,"DESIGN CLOSE","NEGATIVE"),IF(P90=1,"MEASUREMENT READY","UNSCOPED"))</f>
        <v>MEASUREMENT READY</v>
      </c>
      <c r="T90" s="21" t="str">
        <f aca="false">IF(S90="DESIGN CLOSE","root-native section bill",IF(S90="MEASUREMENT READY","executable protocol; observation empty","return to architecture"))</f>
        <v>executable protocol; observation empty</v>
      </c>
      <c r="U90" s="14" t="n">
        <v>0</v>
      </c>
    </row>
    <row r="91" customFormat="false" ht="15" hidden="false" customHeight="false" outlineLevel="0" collapsed="false">
      <c r="A91" s="12" t="s">
        <v>412</v>
      </c>
      <c r="B91" s="12" t="s">
        <v>43</v>
      </c>
      <c r="C91" s="12" t="s">
        <v>44</v>
      </c>
      <c r="D91" s="12" t="s">
        <v>135</v>
      </c>
      <c r="E91" s="12" t="s">
        <v>136</v>
      </c>
      <c r="F91" s="12" t="s">
        <v>272</v>
      </c>
      <c r="G91" s="12" t="s">
        <v>273</v>
      </c>
      <c r="H91" s="12" t="n">
        <v>28</v>
      </c>
      <c r="I91" s="12" t="s">
        <v>207</v>
      </c>
      <c r="J91" s="12" t="s">
        <v>208</v>
      </c>
      <c r="K91" s="37" t="n">
        <f aca="false">IF(ISNUMBER('Section Bills'!J28),'Section Bills'!J28,"")</f>
        <v>39</v>
      </c>
      <c r="L91" s="37" t="n">
        <f aca="false">IF(ISNUMBER('Section Bills'!K28),'Section Bills'!K28,"")</f>
        <v>25</v>
      </c>
      <c r="M91" s="20" t="n">
        <f aca="false">Controls!$B$7</f>
        <v>0.025</v>
      </c>
      <c r="N91" s="20" t="n">
        <f aca="false">IF(AND(ISNUMBER(K91),ISNUMBER(L91),L91&gt;0),K91/L91*(1-M91),"")</f>
        <v>1.521</v>
      </c>
      <c r="O91" s="14"/>
      <c r="P91" s="21" t="n">
        <f aca="false">IF(O91="",0,COUNTIFS('Gap Migration'!$G$7:$G$91,O91,'Gap Migration'!$J$7:$J$91,1))</f>
        <v>0</v>
      </c>
      <c r="Q91" s="14" t="n">
        <v>0</v>
      </c>
      <c r="R91" s="14" t="n">
        <v>0</v>
      </c>
      <c r="S91" s="21" t="str">
        <f aca="false">IF(ISNUMBER(N91),IF(N91&gt;=Controls!$B$8,"DESIGN CLOSE","NEGATIVE"),IF(P91=1,"MEASUREMENT READY","UNSCOPED"))</f>
        <v>DESIGN CLOSE</v>
      </c>
      <c r="T91" s="21" t="str">
        <f aca="false">IF(S91="DESIGN CLOSE","root-native section bill",IF(S91="MEASUREMENT READY","executable protocol; observation empty","return to architecture"))</f>
        <v>root-native section bill</v>
      </c>
      <c r="U91" s="14" t="n">
        <v>0</v>
      </c>
    </row>
    <row r="92" customFormat="false" ht="15" hidden="false" customHeight="false" outlineLevel="0" collapsed="false">
      <c r="A92" s="12" t="s">
        <v>413</v>
      </c>
      <c r="B92" s="12" t="s">
        <v>43</v>
      </c>
      <c r="C92" s="12" t="s">
        <v>44</v>
      </c>
      <c r="D92" s="12" t="s">
        <v>135</v>
      </c>
      <c r="E92" s="12" t="s">
        <v>136</v>
      </c>
      <c r="F92" s="12" t="s">
        <v>275</v>
      </c>
      <c r="G92" s="12" t="s">
        <v>276</v>
      </c>
      <c r="H92" s="12" t="n">
        <v>28</v>
      </c>
      <c r="I92" s="12" t="s">
        <v>207</v>
      </c>
      <c r="J92" s="12" t="s">
        <v>208</v>
      </c>
      <c r="K92" s="37"/>
      <c r="L92" s="37"/>
      <c r="M92" s="20" t="n">
        <f aca="false">Controls!$B$7</f>
        <v>0.025</v>
      </c>
      <c r="N92" s="20" t="str">
        <f aca="false">IF(AND(ISNUMBER(K92),ISNUMBER(L92),L92&gt;0),K92/L92*(1-M92),"")</f>
        <v/>
      </c>
      <c r="O92" s="14" t="s">
        <v>414</v>
      </c>
      <c r="P92" s="21" t="n">
        <f aca="false">IF(O92="",0,COUNTIFS('Gap Migration'!$G$7:$G$91,O92,'Gap Migration'!$J$7:$J$91,1))</f>
        <v>1</v>
      </c>
      <c r="Q92" s="14" t="n">
        <v>0</v>
      </c>
      <c r="R92" s="14" t="n">
        <v>0</v>
      </c>
      <c r="S92" s="21" t="str">
        <f aca="false">IF(ISNUMBER(N92),IF(N92&gt;=Controls!$B$8,"DESIGN CLOSE","NEGATIVE"),IF(P92=1,"MEASUREMENT READY","UNSCOPED"))</f>
        <v>MEASUREMENT READY</v>
      </c>
      <c r="T92" s="21" t="str">
        <f aca="false">IF(S92="DESIGN CLOSE","root-native section bill",IF(S92="MEASUREMENT READY","executable protocol; observation empty","return to architecture"))</f>
        <v>executable protocol; observation empty</v>
      </c>
      <c r="U92" s="14" t="n">
        <v>0</v>
      </c>
    </row>
    <row r="93" customFormat="false" ht="15" hidden="false" customHeight="false" outlineLevel="0" collapsed="false">
      <c r="A93" s="12" t="s">
        <v>415</v>
      </c>
      <c r="B93" s="12" t="s">
        <v>43</v>
      </c>
      <c r="C93" s="12" t="s">
        <v>44</v>
      </c>
      <c r="D93" s="12" t="s">
        <v>135</v>
      </c>
      <c r="E93" s="12" t="s">
        <v>136</v>
      </c>
      <c r="F93" s="12" t="s">
        <v>279</v>
      </c>
      <c r="G93" s="12" t="s">
        <v>280</v>
      </c>
      <c r="H93" s="12" t="n">
        <v>28</v>
      </c>
      <c r="I93" s="12" t="s">
        <v>207</v>
      </c>
      <c r="J93" s="12" t="s">
        <v>208</v>
      </c>
      <c r="K93" s="37" t="n">
        <f aca="false">IF(ISNUMBER('Section Bills'!L28),'Section Bills'!L28,"")</f>
        <v>26</v>
      </c>
      <c r="L93" s="37" t="n">
        <f aca="false">IF(ISNUMBER('Section Bills'!M28),'Section Bills'!M28,"")</f>
        <v>25</v>
      </c>
      <c r="M93" s="20" t="n">
        <f aca="false">Controls!$B$7</f>
        <v>0.025</v>
      </c>
      <c r="N93" s="20" t="n">
        <f aca="false">IF(AND(ISNUMBER(K93),ISNUMBER(L93),L93&gt;0),K93/L93*(1-M93),"")</f>
        <v>1.014</v>
      </c>
      <c r="O93" s="14"/>
      <c r="P93" s="21" t="n">
        <f aca="false">IF(O93="",0,COUNTIFS('Gap Migration'!$G$7:$G$91,O93,'Gap Migration'!$J$7:$J$91,1))</f>
        <v>0</v>
      </c>
      <c r="Q93" s="14" t="n">
        <v>0</v>
      </c>
      <c r="R93" s="14" t="n">
        <v>0</v>
      </c>
      <c r="S93" s="21" t="str">
        <f aca="false">IF(ISNUMBER(N93),IF(N93&gt;=Controls!$B$8,"DESIGN CLOSE","NEGATIVE"),IF(P93=1,"MEASUREMENT READY","UNSCOPED"))</f>
        <v>DESIGN CLOSE</v>
      </c>
      <c r="T93" s="21" t="str">
        <f aca="false">IF(S93="DESIGN CLOSE","root-native section bill",IF(S93="MEASUREMENT READY","executable protocol; observation empty","return to architecture"))</f>
        <v>root-native section bill</v>
      </c>
      <c r="U93" s="14" t="n">
        <v>0</v>
      </c>
    </row>
    <row r="94" customFormat="false" ht="15" hidden="false" customHeight="false" outlineLevel="0" collapsed="false">
      <c r="A94" s="12" t="s">
        <v>416</v>
      </c>
      <c r="B94" s="12" t="s">
        <v>43</v>
      </c>
      <c r="C94" s="12" t="s">
        <v>44</v>
      </c>
      <c r="D94" s="12" t="s">
        <v>135</v>
      </c>
      <c r="E94" s="12" t="s">
        <v>136</v>
      </c>
      <c r="F94" s="12" t="s">
        <v>282</v>
      </c>
      <c r="G94" s="12" t="s">
        <v>283</v>
      </c>
      <c r="H94" s="12" t="n">
        <v>28</v>
      </c>
      <c r="I94" s="12" t="s">
        <v>207</v>
      </c>
      <c r="J94" s="12" t="s">
        <v>208</v>
      </c>
      <c r="K94" s="37"/>
      <c r="L94" s="37"/>
      <c r="M94" s="20" t="n">
        <f aca="false">Controls!$B$7</f>
        <v>0.025</v>
      </c>
      <c r="N94" s="20" t="str">
        <f aca="false">IF(AND(ISNUMBER(K94),ISNUMBER(L94),L94&gt;0),K94/L94*(1-M94),"")</f>
        <v/>
      </c>
      <c r="O94" s="14" t="s">
        <v>417</v>
      </c>
      <c r="P94" s="21" t="n">
        <f aca="false">IF(O94="",0,COUNTIFS('Gap Migration'!$G$7:$G$91,O94,'Gap Migration'!$J$7:$J$91,1))</f>
        <v>1</v>
      </c>
      <c r="Q94" s="14" t="n">
        <v>0</v>
      </c>
      <c r="R94" s="14" t="n">
        <v>0</v>
      </c>
      <c r="S94" s="21" t="str">
        <f aca="false">IF(ISNUMBER(N94),IF(N94&gt;=Controls!$B$8,"DESIGN CLOSE","NEGATIVE"),IF(P94=1,"MEASUREMENT READY","UNSCOPED"))</f>
        <v>MEASUREMENT READY</v>
      </c>
      <c r="T94" s="21" t="str">
        <f aca="false">IF(S94="DESIGN CLOSE","root-native section bill",IF(S94="MEASUREMENT READY","executable protocol; observation empty","return to architecture"))</f>
        <v>executable protocol; observation empty</v>
      </c>
      <c r="U94" s="14" t="n">
        <v>0</v>
      </c>
    </row>
    <row r="95" customFormat="false" ht="15" hidden="false" customHeight="false" outlineLevel="0" collapsed="false">
      <c r="A95" s="12" t="s">
        <v>418</v>
      </c>
      <c r="B95" s="12" t="s">
        <v>43</v>
      </c>
      <c r="C95" s="12" t="s">
        <v>44</v>
      </c>
      <c r="D95" s="12" t="s">
        <v>140</v>
      </c>
      <c r="E95" s="12" t="s">
        <v>141</v>
      </c>
      <c r="F95" s="12" t="s">
        <v>272</v>
      </c>
      <c r="G95" s="12" t="s">
        <v>273</v>
      </c>
      <c r="H95" s="12" t="n">
        <v>29</v>
      </c>
      <c r="I95" s="12" t="s">
        <v>212</v>
      </c>
      <c r="J95" s="12" t="s">
        <v>213</v>
      </c>
      <c r="K95" s="37" t="n">
        <f aca="false">IF(ISNUMBER('Section Bills'!J29),'Section Bills'!J29,"")</f>
        <v>30.9</v>
      </c>
      <c r="L95" s="37" t="n">
        <f aca="false">IF(ISNUMBER('Section Bills'!K29),'Section Bills'!K29,"")</f>
        <v>20</v>
      </c>
      <c r="M95" s="20" t="n">
        <f aca="false">Controls!$B$7</f>
        <v>0.025</v>
      </c>
      <c r="N95" s="20" t="n">
        <f aca="false">IF(AND(ISNUMBER(K95),ISNUMBER(L95),L95&gt;0),K95/L95*(1-M95),"")</f>
        <v>1.506375</v>
      </c>
      <c r="O95" s="14"/>
      <c r="P95" s="21" t="n">
        <f aca="false">IF(O95="",0,COUNTIFS('Gap Migration'!$G$7:$G$91,O95,'Gap Migration'!$J$7:$J$91,1))</f>
        <v>0</v>
      </c>
      <c r="Q95" s="14" t="n">
        <v>0</v>
      </c>
      <c r="R95" s="14" t="n">
        <v>0</v>
      </c>
      <c r="S95" s="21" t="str">
        <f aca="false">IF(ISNUMBER(N95),IF(N95&gt;=Controls!$B$8,"DESIGN CLOSE","NEGATIVE"),IF(P95=1,"MEASUREMENT READY","UNSCOPED"))</f>
        <v>DESIGN CLOSE</v>
      </c>
      <c r="T95" s="21" t="str">
        <f aca="false">IF(S95="DESIGN CLOSE","root-native section bill",IF(S95="MEASUREMENT READY","executable protocol; observation empty","return to architecture"))</f>
        <v>root-native section bill</v>
      </c>
      <c r="U95" s="14" t="n">
        <v>0</v>
      </c>
    </row>
    <row r="96" customFormat="false" ht="15" hidden="false" customHeight="false" outlineLevel="0" collapsed="false">
      <c r="A96" s="12" t="s">
        <v>419</v>
      </c>
      <c r="B96" s="12" t="s">
        <v>43</v>
      </c>
      <c r="C96" s="12" t="s">
        <v>44</v>
      </c>
      <c r="D96" s="12" t="s">
        <v>140</v>
      </c>
      <c r="E96" s="12" t="s">
        <v>141</v>
      </c>
      <c r="F96" s="12" t="s">
        <v>275</v>
      </c>
      <c r="G96" s="12" t="s">
        <v>276</v>
      </c>
      <c r="H96" s="12" t="n">
        <v>29</v>
      </c>
      <c r="I96" s="12" t="s">
        <v>212</v>
      </c>
      <c r="J96" s="12" t="s">
        <v>213</v>
      </c>
      <c r="K96" s="37"/>
      <c r="L96" s="37"/>
      <c r="M96" s="20" t="n">
        <f aca="false">Controls!$B$7</f>
        <v>0.025</v>
      </c>
      <c r="N96" s="20" t="str">
        <f aca="false">IF(AND(ISNUMBER(K96),ISNUMBER(L96),L96&gt;0),K96/L96*(1-M96),"")</f>
        <v/>
      </c>
      <c r="O96" s="14" t="s">
        <v>420</v>
      </c>
      <c r="P96" s="21" t="n">
        <f aca="false">IF(O96="",0,COUNTIFS('Gap Migration'!$G$7:$G$91,O96,'Gap Migration'!$J$7:$J$91,1))</f>
        <v>1</v>
      </c>
      <c r="Q96" s="14" t="n">
        <v>0</v>
      </c>
      <c r="R96" s="14" t="n">
        <v>0</v>
      </c>
      <c r="S96" s="21" t="str">
        <f aca="false">IF(ISNUMBER(N96),IF(N96&gt;=Controls!$B$8,"DESIGN CLOSE","NEGATIVE"),IF(P96=1,"MEASUREMENT READY","UNSCOPED"))</f>
        <v>MEASUREMENT READY</v>
      </c>
      <c r="T96" s="21" t="str">
        <f aca="false">IF(S96="DESIGN CLOSE","root-native section bill",IF(S96="MEASUREMENT READY","executable protocol; observation empty","return to architecture"))</f>
        <v>executable protocol; observation empty</v>
      </c>
      <c r="U96" s="14" t="n">
        <v>0</v>
      </c>
    </row>
    <row r="97" customFormat="false" ht="15" hidden="false" customHeight="false" outlineLevel="0" collapsed="false">
      <c r="A97" s="12" t="s">
        <v>421</v>
      </c>
      <c r="B97" s="12" t="s">
        <v>43</v>
      </c>
      <c r="C97" s="12" t="s">
        <v>44</v>
      </c>
      <c r="D97" s="12" t="s">
        <v>140</v>
      </c>
      <c r="E97" s="12" t="s">
        <v>141</v>
      </c>
      <c r="F97" s="12" t="s">
        <v>279</v>
      </c>
      <c r="G97" s="12" t="s">
        <v>280</v>
      </c>
      <c r="H97" s="12" t="n">
        <v>29</v>
      </c>
      <c r="I97" s="12" t="s">
        <v>212</v>
      </c>
      <c r="J97" s="12" t="s">
        <v>213</v>
      </c>
      <c r="K97" s="37" t="n">
        <f aca="false">IF(ISNUMBER('Section Bills'!L29),'Section Bills'!L29,"")</f>
        <v>20.6</v>
      </c>
      <c r="L97" s="37" t="n">
        <f aca="false">IF(ISNUMBER('Section Bills'!M29),'Section Bills'!M29,"")</f>
        <v>20</v>
      </c>
      <c r="M97" s="20" t="n">
        <f aca="false">Controls!$B$7</f>
        <v>0.025</v>
      </c>
      <c r="N97" s="20" t="n">
        <f aca="false">IF(AND(ISNUMBER(K97),ISNUMBER(L97),L97&gt;0),K97/L97*(1-M97),"")</f>
        <v>1.00425</v>
      </c>
      <c r="O97" s="14"/>
      <c r="P97" s="21" t="n">
        <f aca="false">IF(O97="",0,COUNTIFS('Gap Migration'!$G$7:$G$91,O97,'Gap Migration'!$J$7:$J$91,1))</f>
        <v>0</v>
      </c>
      <c r="Q97" s="14" t="n">
        <v>0</v>
      </c>
      <c r="R97" s="14" t="n">
        <v>0</v>
      </c>
      <c r="S97" s="21" t="str">
        <f aca="false">IF(ISNUMBER(N97),IF(N97&gt;=Controls!$B$8,"DESIGN CLOSE","NEGATIVE"),IF(P97=1,"MEASUREMENT READY","UNSCOPED"))</f>
        <v>DESIGN CLOSE</v>
      </c>
      <c r="T97" s="21" t="str">
        <f aca="false">IF(S97="DESIGN CLOSE","root-native section bill",IF(S97="MEASUREMENT READY","executable protocol; observation empty","return to architecture"))</f>
        <v>root-native section bill</v>
      </c>
      <c r="U97" s="14" t="n">
        <v>0</v>
      </c>
    </row>
    <row r="98" customFormat="false" ht="15" hidden="false" customHeight="false" outlineLevel="0" collapsed="false">
      <c r="A98" s="12" t="s">
        <v>422</v>
      </c>
      <c r="B98" s="12" t="s">
        <v>43</v>
      </c>
      <c r="C98" s="12" t="s">
        <v>44</v>
      </c>
      <c r="D98" s="12" t="s">
        <v>140</v>
      </c>
      <c r="E98" s="12" t="s">
        <v>141</v>
      </c>
      <c r="F98" s="12" t="s">
        <v>282</v>
      </c>
      <c r="G98" s="12" t="s">
        <v>283</v>
      </c>
      <c r="H98" s="12" t="n">
        <v>29</v>
      </c>
      <c r="I98" s="12" t="s">
        <v>212</v>
      </c>
      <c r="J98" s="12" t="s">
        <v>213</v>
      </c>
      <c r="K98" s="37"/>
      <c r="L98" s="37"/>
      <c r="M98" s="20" t="n">
        <f aca="false">Controls!$B$7</f>
        <v>0.025</v>
      </c>
      <c r="N98" s="20" t="str">
        <f aca="false">IF(AND(ISNUMBER(K98),ISNUMBER(L98),L98&gt;0),K98/L98*(1-M98),"")</f>
        <v/>
      </c>
      <c r="O98" s="14" t="s">
        <v>423</v>
      </c>
      <c r="P98" s="21" t="n">
        <f aca="false">IF(O98="",0,COUNTIFS('Gap Migration'!$G$7:$G$91,O98,'Gap Migration'!$J$7:$J$91,1))</f>
        <v>1</v>
      </c>
      <c r="Q98" s="14" t="n">
        <v>0</v>
      </c>
      <c r="R98" s="14" t="n">
        <v>0</v>
      </c>
      <c r="S98" s="21" t="str">
        <f aca="false">IF(ISNUMBER(N98),IF(N98&gt;=Controls!$B$8,"DESIGN CLOSE","NEGATIVE"),IF(P98=1,"MEASUREMENT READY","UNSCOPED"))</f>
        <v>MEASUREMENT READY</v>
      </c>
      <c r="T98" s="21" t="str">
        <f aca="false">IF(S98="DESIGN CLOSE","root-native section bill",IF(S98="MEASUREMENT READY","executable protocol; observation empty","return to architecture"))</f>
        <v>executable protocol; observation empty</v>
      </c>
      <c r="U98" s="14" t="n">
        <v>0</v>
      </c>
    </row>
    <row r="99" customFormat="false" ht="15" hidden="false" customHeight="false" outlineLevel="0" collapsed="false">
      <c r="A99" s="12" t="s">
        <v>424</v>
      </c>
      <c r="B99" s="12" t="s">
        <v>43</v>
      </c>
      <c r="C99" s="12" t="s">
        <v>44</v>
      </c>
      <c r="D99" s="12" t="s">
        <v>146</v>
      </c>
      <c r="E99" s="12" t="s">
        <v>147</v>
      </c>
      <c r="F99" s="12" t="s">
        <v>272</v>
      </c>
      <c r="G99" s="12" t="s">
        <v>273</v>
      </c>
      <c r="H99" s="12" t="n">
        <v>30</v>
      </c>
      <c r="I99" s="12" t="s">
        <v>217</v>
      </c>
      <c r="J99" s="12" t="s">
        <v>149</v>
      </c>
      <c r="K99" s="37"/>
      <c r="L99" s="37"/>
      <c r="M99" s="20" t="n">
        <f aca="false">Controls!$B$7</f>
        <v>0.025</v>
      </c>
      <c r="N99" s="20" t="str">
        <f aca="false">IF(AND(ISNUMBER(K99),ISNUMBER(L99),L99&gt;0),K99/L99*(1-M99),"")</f>
        <v/>
      </c>
      <c r="O99" s="14" t="s">
        <v>425</v>
      </c>
      <c r="P99" s="21" t="n">
        <f aca="false">IF(O99="",0,COUNTIFS('Gap Migration'!$G$7:$G$91,O99,'Gap Migration'!$J$7:$J$91,1))</f>
        <v>1</v>
      </c>
      <c r="Q99" s="14" t="n">
        <v>0</v>
      </c>
      <c r="R99" s="14" t="n">
        <v>0</v>
      </c>
      <c r="S99" s="21" t="str">
        <f aca="false">IF(ISNUMBER(N99),IF(N99&gt;=Controls!$B$8,"DESIGN CLOSE","NEGATIVE"),IF(P99=1,"MEASUREMENT READY","UNSCOPED"))</f>
        <v>MEASUREMENT READY</v>
      </c>
      <c r="T99" s="21" t="str">
        <f aca="false">IF(S99="DESIGN CLOSE","root-native section bill",IF(S99="MEASUREMENT READY","executable protocol; observation empty","return to architecture"))</f>
        <v>executable protocol; observation empty</v>
      </c>
      <c r="U99" s="14" t="n">
        <v>0</v>
      </c>
    </row>
    <row r="100" customFormat="false" ht="15" hidden="false" customHeight="false" outlineLevel="0" collapsed="false">
      <c r="A100" s="12" t="s">
        <v>426</v>
      </c>
      <c r="B100" s="12" t="s">
        <v>43</v>
      </c>
      <c r="C100" s="12" t="s">
        <v>44</v>
      </c>
      <c r="D100" s="12" t="s">
        <v>146</v>
      </c>
      <c r="E100" s="12" t="s">
        <v>147</v>
      </c>
      <c r="F100" s="12" t="s">
        <v>275</v>
      </c>
      <c r="G100" s="12" t="s">
        <v>276</v>
      </c>
      <c r="H100" s="12" t="n">
        <v>30</v>
      </c>
      <c r="I100" s="12" t="s">
        <v>217</v>
      </c>
      <c r="J100" s="12" t="s">
        <v>149</v>
      </c>
      <c r="K100" s="37"/>
      <c r="L100" s="37"/>
      <c r="M100" s="20" t="n">
        <f aca="false">Controls!$B$7</f>
        <v>0.025</v>
      </c>
      <c r="N100" s="20" t="str">
        <f aca="false">IF(AND(ISNUMBER(K100),ISNUMBER(L100),L100&gt;0),K100/L100*(1-M100),"")</f>
        <v/>
      </c>
      <c r="O100" s="14" t="s">
        <v>427</v>
      </c>
      <c r="P100" s="21" t="n">
        <f aca="false">IF(O100="",0,COUNTIFS('Gap Migration'!$G$7:$G$91,O100,'Gap Migration'!$J$7:$J$91,1))</f>
        <v>1</v>
      </c>
      <c r="Q100" s="14" t="n">
        <v>0</v>
      </c>
      <c r="R100" s="14" t="n">
        <v>0</v>
      </c>
      <c r="S100" s="21" t="str">
        <f aca="false">IF(ISNUMBER(N100),IF(N100&gt;=Controls!$B$8,"DESIGN CLOSE","NEGATIVE"),IF(P100=1,"MEASUREMENT READY","UNSCOPED"))</f>
        <v>MEASUREMENT READY</v>
      </c>
      <c r="T100" s="21" t="str">
        <f aca="false">IF(S100="DESIGN CLOSE","root-native section bill",IF(S100="MEASUREMENT READY","executable protocol; observation empty","return to architecture"))</f>
        <v>executable protocol; observation empty</v>
      </c>
      <c r="U100" s="14" t="n">
        <v>0</v>
      </c>
    </row>
    <row r="101" customFormat="false" ht="15" hidden="false" customHeight="false" outlineLevel="0" collapsed="false">
      <c r="A101" s="12" t="s">
        <v>428</v>
      </c>
      <c r="B101" s="12" t="s">
        <v>43</v>
      </c>
      <c r="C101" s="12" t="s">
        <v>44</v>
      </c>
      <c r="D101" s="12" t="s">
        <v>146</v>
      </c>
      <c r="E101" s="12" t="s">
        <v>147</v>
      </c>
      <c r="F101" s="12" t="s">
        <v>279</v>
      </c>
      <c r="G101" s="12" t="s">
        <v>280</v>
      </c>
      <c r="H101" s="12" t="n">
        <v>30</v>
      </c>
      <c r="I101" s="12" t="s">
        <v>217</v>
      </c>
      <c r="J101" s="12" t="s">
        <v>149</v>
      </c>
      <c r="K101" s="37"/>
      <c r="L101" s="37"/>
      <c r="M101" s="20" t="n">
        <f aca="false">Controls!$B$7</f>
        <v>0.025</v>
      </c>
      <c r="N101" s="20" t="str">
        <f aca="false">IF(AND(ISNUMBER(K101),ISNUMBER(L101),L101&gt;0),K101/L101*(1-M101),"")</f>
        <v/>
      </c>
      <c r="O101" s="14" t="s">
        <v>429</v>
      </c>
      <c r="P101" s="21" t="n">
        <f aca="false">IF(O101="",0,COUNTIFS('Gap Migration'!$G$7:$G$91,O101,'Gap Migration'!$J$7:$J$91,1))</f>
        <v>1</v>
      </c>
      <c r="Q101" s="14" t="n">
        <v>0</v>
      </c>
      <c r="R101" s="14" t="n">
        <v>0</v>
      </c>
      <c r="S101" s="21" t="str">
        <f aca="false">IF(ISNUMBER(N101),IF(N101&gt;=Controls!$B$8,"DESIGN CLOSE","NEGATIVE"),IF(P101=1,"MEASUREMENT READY","UNSCOPED"))</f>
        <v>MEASUREMENT READY</v>
      </c>
      <c r="T101" s="21" t="str">
        <f aca="false">IF(S101="DESIGN CLOSE","root-native section bill",IF(S101="MEASUREMENT READY","executable protocol; observation empty","return to architecture"))</f>
        <v>executable protocol; observation empty</v>
      </c>
      <c r="U101" s="14" t="n">
        <v>0</v>
      </c>
    </row>
    <row r="102" customFormat="false" ht="15" hidden="false" customHeight="false" outlineLevel="0" collapsed="false">
      <c r="A102" s="12" t="s">
        <v>430</v>
      </c>
      <c r="B102" s="12" t="s">
        <v>43</v>
      </c>
      <c r="C102" s="12" t="s">
        <v>44</v>
      </c>
      <c r="D102" s="12" t="s">
        <v>146</v>
      </c>
      <c r="E102" s="12" t="s">
        <v>147</v>
      </c>
      <c r="F102" s="12" t="s">
        <v>282</v>
      </c>
      <c r="G102" s="12" t="s">
        <v>283</v>
      </c>
      <c r="H102" s="12" t="n">
        <v>30</v>
      </c>
      <c r="I102" s="12" t="s">
        <v>217</v>
      </c>
      <c r="J102" s="12" t="s">
        <v>149</v>
      </c>
      <c r="K102" s="37"/>
      <c r="L102" s="37"/>
      <c r="M102" s="20" t="n">
        <f aca="false">Controls!$B$7</f>
        <v>0.025</v>
      </c>
      <c r="N102" s="20" t="str">
        <f aca="false">IF(AND(ISNUMBER(K102),ISNUMBER(L102),L102&gt;0),K102/L102*(1-M102),"")</f>
        <v/>
      </c>
      <c r="O102" s="14" t="s">
        <v>431</v>
      </c>
      <c r="P102" s="21" t="n">
        <f aca="false">IF(O102="",0,COUNTIFS('Gap Migration'!$G$7:$G$91,O102,'Gap Migration'!$J$7:$J$91,1))</f>
        <v>1</v>
      </c>
      <c r="Q102" s="14" t="n">
        <v>0</v>
      </c>
      <c r="R102" s="14" t="n">
        <v>0</v>
      </c>
      <c r="S102" s="21" t="str">
        <f aca="false">IF(ISNUMBER(N102),IF(N102&gt;=Controls!$B$8,"DESIGN CLOSE","NEGATIVE"),IF(P102=1,"MEASUREMENT READY","UNSCOPED"))</f>
        <v>MEASUREMENT READY</v>
      </c>
      <c r="T102" s="21" t="str">
        <f aca="false">IF(S102="DESIGN CLOSE","root-native section bill",IF(S102="MEASUREMENT READY","executable protocol; observation empty","return to architecture"))</f>
        <v>executable protocol; observation empty</v>
      </c>
      <c r="U102" s="14" t="n">
        <v>0</v>
      </c>
    </row>
    <row r="103" customFormat="false" ht="15" hidden="false" customHeight="false" outlineLevel="0" collapsed="false">
      <c r="A103" s="12" t="s">
        <v>432</v>
      </c>
      <c r="B103" s="12" t="s">
        <v>47</v>
      </c>
      <c r="C103" s="12" t="s">
        <v>48</v>
      </c>
      <c r="D103" s="12" t="s">
        <v>114</v>
      </c>
      <c r="E103" s="12" t="s">
        <v>115</v>
      </c>
      <c r="F103" s="12" t="s">
        <v>272</v>
      </c>
      <c r="G103" s="12" t="s">
        <v>273</v>
      </c>
      <c r="H103" s="12" t="n">
        <v>31</v>
      </c>
      <c r="I103" s="12" t="s">
        <v>220</v>
      </c>
      <c r="J103" s="12" t="s">
        <v>194</v>
      </c>
      <c r="K103" s="37" t="n">
        <f aca="false">IF(ISNUMBER('Section Bills'!J31),'Section Bills'!J31,"")</f>
        <v>58.8</v>
      </c>
      <c r="L103" s="37" t="n">
        <f aca="false">IF(ISNUMBER('Section Bills'!K31),'Section Bills'!K31,"")</f>
        <v>50</v>
      </c>
      <c r="M103" s="20" t="n">
        <f aca="false">Controls!$B$7</f>
        <v>0.025</v>
      </c>
      <c r="N103" s="20" t="n">
        <f aca="false">IF(AND(ISNUMBER(K103),ISNUMBER(L103),L103&gt;0),K103/L103*(1-M103),"")</f>
        <v>1.1466</v>
      </c>
      <c r="O103" s="14"/>
      <c r="P103" s="21" t="n">
        <f aca="false">IF(O103="",0,COUNTIFS('Gap Migration'!$G$7:$G$91,O103,'Gap Migration'!$J$7:$J$91,1))</f>
        <v>0</v>
      </c>
      <c r="Q103" s="14" t="n">
        <v>0</v>
      </c>
      <c r="R103" s="14" t="n">
        <v>0</v>
      </c>
      <c r="S103" s="21" t="str">
        <f aca="false">IF(ISNUMBER(N103),IF(N103&gt;=Controls!$B$8,"DESIGN CLOSE","NEGATIVE"),IF(P103=1,"MEASUREMENT READY","UNSCOPED"))</f>
        <v>DESIGN CLOSE</v>
      </c>
      <c r="T103" s="21" t="str">
        <f aca="false">IF(S103="DESIGN CLOSE","root-native section bill",IF(S103="MEASUREMENT READY","executable protocol; observation empty","return to architecture"))</f>
        <v>root-native section bill</v>
      </c>
      <c r="U103" s="14" t="n">
        <v>0</v>
      </c>
    </row>
    <row r="104" customFormat="false" ht="15" hidden="false" customHeight="false" outlineLevel="0" collapsed="false">
      <c r="A104" s="12" t="s">
        <v>433</v>
      </c>
      <c r="B104" s="12" t="s">
        <v>47</v>
      </c>
      <c r="C104" s="12" t="s">
        <v>48</v>
      </c>
      <c r="D104" s="12" t="s">
        <v>114</v>
      </c>
      <c r="E104" s="12" t="s">
        <v>115</v>
      </c>
      <c r="F104" s="12" t="s">
        <v>275</v>
      </c>
      <c r="G104" s="12" t="s">
        <v>276</v>
      </c>
      <c r="H104" s="12" t="n">
        <v>31</v>
      </c>
      <c r="I104" s="12" t="s">
        <v>220</v>
      </c>
      <c r="J104" s="12" t="s">
        <v>194</v>
      </c>
      <c r="K104" s="37"/>
      <c r="L104" s="37"/>
      <c r="M104" s="20" t="n">
        <f aca="false">Controls!$B$7</f>
        <v>0.025</v>
      </c>
      <c r="N104" s="20" t="str">
        <f aca="false">IF(AND(ISNUMBER(K104),ISNUMBER(L104),L104&gt;0),K104/L104*(1-M104),"")</f>
        <v/>
      </c>
      <c r="O104" s="14" t="s">
        <v>434</v>
      </c>
      <c r="P104" s="21" t="n">
        <f aca="false">IF(O104="",0,COUNTIFS('Gap Migration'!$G$7:$G$91,O104,'Gap Migration'!$J$7:$J$91,1))</f>
        <v>1</v>
      </c>
      <c r="Q104" s="14" t="n">
        <v>0</v>
      </c>
      <c r="R104" s="14" t="n">
        <v>0</v>
      </c>
      <c r="S104" s="21" t="str">
        <f aca="false">IF(ISNUMBER(N104),IF(N104&gt;=Controls!$B$8,"DESIGN CLOSE","NEGATIVE"),IF(P104=1,"MEASUREMENT READY","UNSCOPED"))</f>
        <v>MEASUREMENT READY</v>
      </c>
      <c r="T104" s="21" t="str">
        <f aca="false">IF(S104="DESIGN CLOSE","root-native section bill",IF(S104="MEASUREMENT READY","executable protocol; observation empty","return to architecture"))</f>
        <v>executable protocol; observation empty</v>
      </c>
      <c r="U104" s="14" t="n">
        <v>0</v>
      </c>
    </row>
    <row r="105" customFormat="false" ht="15" hidden="false" customHeight="false" outlineLevel="0" collapsed="false">
      <c r="A105" s="12" t="s">
        <v>435</v>
      </c>
      <c r="B105" s="12" t="s">
        <v>47</v>
      </c>
      <c r="C105" s="12" t="s">
        <v>48</v>
      </c>
      <c r="D105" s="12" t="s">
        <v>114</v>
      </c>
      <c r="E105" s="12" t="s">
        <v>115</v>
      </c>
      <c r="F105" s="12" t="s">
        <v>279</v>
      </c>
      <c r="G105" s="12" t="s">
        <v>280</v>
      </c>
      <c r="H105" s="12" t="n">
        <v>31</v>
      </c>
      <c r="I105" s="12" t="s">
        <v>220</v>
      </c>
      <c r="J105" s="12" t="s">
        <v>194</v>
      </c>
      <c r="K105" s="37" t="n">
        <f aca="false">IF(ISNUMBER('Section Bills'!L31),'Section Bills'!L31,"")</f>
        <v>51.45</v>
      </c>
      <c r="L105" s="37" t="n">
        <f aca="false">IF(ISNUMBER('Section Bills'!M31),'Section Bills'!M31,"")</f>
        <v>50</v>
      </c>
      <c r="M105" s="20" t="n">
        <f aca="false">Controls!$B$7</f>
        <v>0.025</v>
      </c>
      <c r="N105" s="20" t="n">
        <f aca="false">IF(AND(ISNUMBER(K105),ISNUMBER(L105),L105&gt;0),K105/L105*(1-M105),"")</f>
        <v>1.003275</v>
      </c>
      <c r="O105" s="14"/>
      <c r="P105" s="21" t="n">
        <f aca="false">IF(O105="",0,COUNTIFS('Gap Migration'!$G$7:$G$91,O105,'Gap Migration'!$J$7:$J$91,1))</f>
        <v>0</v>
      </c>
      <c r="Q105" s="14" t="n">
        <v>0</v>
      </c>
      <c r="R105" s="14" t="n">
        <v>0</v>
      </c>
      <c r="S105" s="21" t="str">
        <f aca="false">IF(ISNUMBER(N105),IF(N105&gt;=Controls!$B$8,"DESIGN CLOSE","NEGATIVE"),IF(P105=1,"MEASUREMENT READY","UNSCOPED"))</f>
        <v>DESIGN CLOSE</v>
      </c>
      <c r="T105" s="21" t="str">
        <f aca="false">IF(S105="DESIGN CLOSE","root-native section bill",IF(S105="MEASUREMENT READY","executable protocol; observation empty","return to architecture"))</f>
        <v>root-native section bill</v>
      </c>
      <c r="U105" s="14" t="n">
        <v>0</v>
      </c>
    </row>
    <row r="106" customFormat="false" ht="15" hidden="false" customHeight="false" outlineLevel="0" collapsed="false">
      <c r="A106" s="12" t="s">
        <v>436</v>
      </c>
      <c r="B106" s="12" t="s">
        <v>47</v>
      </c>
      <c r="C106" s="12" t="s">
        <v>48</v>
      </c>
      <c r="D106" s="12" t="s">
        <v>114</v>
      </c>
      <c r="E106" s="12" t="s">
        <v>115</v>
      </c>
      <c r="F106" s="12" t="s">
        <v>282</v>
      </c>
      <c r="G106" s="12" t="s">
        <v>283</v>
      </c>
      <c r="H106" s="12" t="n">
        <v>31</v>
      </c>
      <c r="I106" s="12" t="s">
        <v>220</v>
      </c>
      <c r="J106" s="12" t="s">
        <v>194</v>
      </c>
      <c r="K106" s="37"/>
      <c r="L106" s="37"/>
      <c r="M106" s="20" t="n">
        <f aca="false">Controls!$B$7</f>
        <v>0.025</v>
      </c>
      <c r="N106" s="20" t="str">
        <f aca="false">IF(AND(ISNUMBER(K106),ISNUMBER(L106),L106&gt;0),K106/L106*(1-M106),"")</f>
        <v/>
      </c>
      <c r="O106" s="14" t="s">
        <v>437</v>
      </c>
      <c r="P106" s="21" t="n">
        <f aca="false">IF(O106="",0,COUNTIFS('Gap Migration'!$G$7:$G$91,O106,'Gap Migration'!$J$7:$J$91,1))</f>
        <v>1</v>
      </c>
      <c r="Q106" s="14" t="n">
        <v>0</v>
      </c>
      <c r="R106" s="14" t="n">
        <v>0</v>
      </c>
      <c r="S106" s="21" t="str">
        <f aca="false">IF(ISNUMBER(N106),IF(N106&gt;=Controls!$B$8,"DESIGN CLOSE","NEGATIVE"),IF(P106=1,"MEASUREMENT READY","UNSCOPED"))</f>
        <v>MEASUREMENT READY</v>
      </c>
      <c r="T106" s="21" t="str">
        <f aca="false">IF(S106="DESIGN CLOSE","root-native section bill",IF(S106="MEASUREMENT READY","executable protocol; observation empty","return to architecture"))</f>
        <v>executable protocol; observation empty</v>
      </c>
      <c r="U106" s="14" t="n">
        <v>0</v>
      </c>
    </row>
    <row r="107" customFormat="false" ht="15" hidden="false" customHeight="false" outlineLevel="0" collapsed="false">
      <c r="A107" s="12" t="s">
        <v>438</v>
      </c>
      <c r="B107" s="12" t="s">
        <v>47</v>
      </c>
      <c r="C107" s="12" t="s">
        <v>48</v>
      </c>
      <c r="D107" s="12" t="s">
        <v>121</v>
      </c>
      <c r="E107" s="12" t="s">
        <v>122</v>
      </c>
      <c r="F107" s="12" t="s">
        <v>272</v>
      </c>
      <c r="G107" s="12" t="s">
        <v>273</v>
      </c>
      <c r="H107" s="12" t="n">
        <v>32</v>
      </c>
      <c r="I107" s="12" t="s">
        <v>224</v>
      </c>
      <c r="J107" s="12" t="s">
        <v>124</v>
      </c>
      <c r="K107" s="37" t="n">
        <f aca="false">IF(ISNUMBER('Section Bills'!J32),'Section Bills'!J32,"")</f>
        <v>66</v>
      </c>
      <c r="L107" s="37" t="n">
        <f aca="false">IF(ISNUMBER('Section Bills'!K32),'Section Bills'!K32,"")</f>
        <v>52</v>
      </c>
      <c r="M107" s="20" t="n">
        <f aca="false">Controls!$B$7</f>
        <v>0.025</v>
      </c>
      <c r="N107" s="20" t="n">
        <f aca="false">IF(AND(ISNUMBER(K107),ISNUMBER(L107),L107&gt;0),K107/L107*(1-M107),"")</f>
        <v>1.2375</v>
      </c>
      <c r="O107" s="14"/>
      <c r="P107" s="21" t="n">
        <f aca="false">IF(O107="",0,COUNTIFS('Gap Migration'!$G$7:$G$91,O107,'Gap Migration'!$J$7:$J$91,1))</f>
        <v>0</v>
      </c>
      <c r="Q107" s="14" t="n">
        <v>0</v>
      </c>
      <c r="R107" s="14" t="n">
        <v>0</v>
      </c>
      <c r="S107" s="21" t="str">
        <f aca="false">IF(ISNUMBER(N107),IF(N107&gt;=Controls!$B$8,"DESIGN CLOSE","NEGATIVE"),IF(P107=1,"MEASUREMENT READY","UNSCOPED"))</f>
        <v>DESIGN CLOSE</v>
      </c>
      <c r="T107" s="21" t="str">
        <f aca="false">IF(S107="DESIGN CLOSE","root-native section bill",IF(S107="MEASUREMENT READY","executable protocol; observation empty","return to architecture"))</f>
        <v>root-native section bill</v>
      </c>
      <c r="U107" s="14" t="n">
        <v>0</v>
      </c>
    </row>
    <row r="108" customFormat="false" ht="15" hidden="false" customHeight="false" outlineLevel="0" collapsed="false">
      <c r="A108" s="12" t="s">
        <v>439</v>
      </c>
      <c r="B108" s="12" t="s">
        <v>47</v>
      </c>
      <c r="C108" s="12" t="s">
        <v>48</v>
      </c>
      <c r="D108" s="12" t="s">
        <v>121</v>
      </c>
      <c r="E108" s="12" t="s">
        <v>122</v>
      </c>
      <c r="F108" s="12" t="s">
        <v>275</v>
      </c>
      <c r="G108" s="12" t="s">
        <v>276</v>
      </c>
      <c r="H108" s="12" t="n">
        <v>32</v>
      </c>
      <c r="I108" s="12" t="s">
        <v>224</v>
      </c>
      <c r="J108" s="12" t="s">
        <v>124</v>
      </c>
      <c r="K108" s="37"/>
      <c r="L108" s="37"/>
      <c r="M108" s="20" t="n">
        <f aca="false">Controls!$B$7</f>
        <v>0.025</v>
      </c>
      <c r="N108" s="20" t="str">
        <f aca="false">IF(AND(ISNUMBER(K108),ISNUMBER(L108),L108&gt;0),K108/L108*(1-M108),"")</f>
        <v/>
      </c>
      <c r="O108" s="14" t="s">
        <v>440</v>
      </c>
      <c r="P108" s="21" t="n">
        <f aca="false">IF(O108="",0,COUNTIFS('Gap Migration'!$G$7:$G$91,O108,'Gap Migration'!$J$7:$J$91,1))</f>
        <v>1</v>
      </c>
      <c r="Q108" s="14" t="n">
        <v>0</v>
      </c>
      <c r="R108" s="14" t="n">
        <v>0</v>
      </c>
      <c r="S108" s="21" t="str">
        <f aca="false">IF(ISNUMBER(N108),IF(N108&gt;=Controls!$B$8,"DESIGN CLOSE","NEGATIVE"),IF(P108=1,"MEASUREMENT READY","UNSCOPED"))</f>
        <v>MEASUREMENT READY</v>
      </c>
      <c r="T108" s="21" t="str">
        <f aca="false">IF(S108="DESIGN CLOSE","root-native section bill",IF(S108="MEASUREMENT READY","executable protocol; observation empty","return to architecture"))</f>
        <v>executable protocol; observation empty</v>
      </c>
      <c r="U108" s="14" t="n">
        <v>0</v>
      </c>
    </row>
    <row r="109" customFormat="false" ht="15" hidden="false" customHeight="false" outlineLevel="0" collapsed="false">
      <c r="A109" s="12" t="s">
        <v>441</v>
      </c>
      <c r="B109" s="12" t="s">
        <v>47</v>
      </c>
      <c r="C109" s="12" t="s">
        <v>48</v>
      </c>
      <c r="D109" s="12" t="s">
        <v>121</v>
      </c>
      <c r="E109" s="12" t="s">
        <v>122</v>
      </c>
      <c r="F109" s="12" t="s">
        <v>279</v>
      </c>
      <c r="G109" s="12" t="s">
        <v>280</v>
      </c>
      <c r="H109" s="12" t="n">
        <v>32</v>
      </c>
      <c r="I109" s="12" t="s">
        <v>224</v>
      </c>
      <c r="J109" s="12" t="s">
        <v>124</v>
      </c>
      <c r="K109" s="37" t="n">
        <f aca="false">IF(ISNUMBER('Section Bills'!L32),'Section Bills'!L32,"")</f>
        <v>55</v>
      </c>
      <c r="L109" s="37" t="n">
        <f aca="false">IF(ISNUMBER('Section Bills'!M32),'Section Bills'!M32,"")</f>
        <v>52</v>
      </c>
      <c r="M109" s="20" t="n">
        <f aca="false">Controls!$B$7</f>
        <v>0.025</v>
      </c>
      <c r="N109" s="20" t="n">
        <f aca="false">IF(AND(ISNUMBER(K109),ISNUMBER(L109),L109&gt;0),K109/L109*(1-M109),"")</f>
        <v>1.03125</v>
      </c>
      <c r="O109" s="14"/>
      <c r="P109" s="21" t="n">
        <f aca="false">IF(O109="",0,COUNTIFS('Gap Migration'!$G$7:$G$91,O109,'Gap Migration'!$J$7:$J$91,1))</f>
        <v>0</v>
      </c>
      <c r="Q109" s="14" t="n">
        <v>0</v>
      </c>
      <c r="R109" s="14" t="n">
        <v>0</v>
      </c>
      <c r="S109" s="21" t="str">
        <f aca="false">IF(ISNUMBER(N109),IF(N109&gt;=Controls!$B$8,"DESIGN CLOSE","NEGATIVE"),IF(P109=1,"MEASUREMENT READY","UNSCOPED"))</f>
        <v>DESIGN CLOSE</v>
      </c>
      <c r="T109" s="21" t="str">
        <f aca="false">IF(S109="DESIGN CLOSE","root-native section bill",IF(S109="MEASUREMENT READY","executable protocol; observation empty","return to architecture"))</f>
        <v>root-native section bill</v>
      </c>
      <c r="U109" s="14" t="n">
        <v>0</v>
      </c>
    </row>
    <row r="110" customFormat="false" ht="15" hidden="false" customHeight="false" outlineLevel="0" collapsed="false">
      <c r="A110" s="12" t="s">
        <v>442</v>
      </c>
      <c r="B110" s="12" t="s">
        <v>47</v>
      </c>
      <c r="C110" s="12" t="s">
        <v>48</v>
      </c>
      <c r="D110" s="12" t="s">
        <v>121</v>
      </c>
      <c r="E110" s="12" t="s">
        <v>122</v>
      </c>
      <c r="F110" s="12" t="s">
        <v>282</v>
      </c>
      <c r="G110" s="12" t="s">
        <v>283</v>
      </c>
      <c r="H110" s="12" t="n">
        <v>32</v>
      </c>
      <c r="I110" s="12" t="s">
        <v>224</v>
      </c>
      <c r="J110" s="12" t="s">
        <v>124</v>
      </c>
      <c r="K110" s="37"/>
      <c r="L110" s="37"/>
      <c r="M110" s="20" t="n">
        <f aca="false">Controls!$B$7</f>
        <v>0.025</v>
      </c>
      <c r="N110" s="20" t="str">
        <f aca="false">IF(AND(ISNUMBER(K110),ISNUMBER(L110),L110&gt;0),K110/L110*(1-M110),"")</f>
        <v/>
      </c>
      <c r="O110" s="14" t="s">
        <v>443</v>
      </c>
      <c r="P110" s="21" t="n">
        <f aca="false">IF(O110="",0,COUNTIFS('Gap Migration'!$G$7:$G$91,O110,'Gap Migration'!$J$7:$J$91,1))</f>
        <v>1</v>
      </c>
      <c r="Q110" s="14" t="n">
        <v>0</v>
      </c>
      <c r="R110" s="14" t="n">
        <v>0</v>
      </c>
      <c r="S110" s="21" t="str">
        <f aca="false">IF(ISNUMBER(N110),IF(N110&gt;=Controls!$B$8,"DESIGN CLOSE","NEGATIVE"),IF(P110=1,"MEASUREMENT READY","UNSCOPED"))</f>
        <v>MEASUREMENT READY</v>
      </c>
      <c r="T110" s="21" t="str">
        <f aca="false">IF(S110="DESIGN CLOSE","root-native section bill",IF(S110="MEASUREMENT READY","executable protocol; observation empty","return to architecture"))</f>
        <v>executable protocol; observation empty</v>
      </c>
      <c r="U110" s="14" t="n">
        <v>0</v>
      </c>
    </row>
    <row r="111" customFormat="false" ht="15" hidden="false" customHeight="false" outlineLevel="0" collapsed="false">
      <c r="A111" s="12" t="s">
        <v>444</v>
      </c>
      <c r="B111" s="12" t="s">
        <v>47</v>
      </c>
      <c r="C111" s="12" t="s">
        <v>48</v>
      </c>
      <c r="D111" s="12" t="s">
        <v>128</v>
      </c>
      <c r="E111" s="12" t="s">
        <v>129</v>
      </c>
      <c r="F111" s="12" t="s">
        <v>272</v>
      </c>
      <c r="G111" s="12" t="s">
        <v>273</v>
      </c>
      <c r="H111" s="12" t="n">
        <v>33</v>
      </c>
      <c r="I111" s="12" t="s">
        <v>227</v>
      </c>
      <c r="J111" s="12" t="s">
        <v>63</v>
      </c>
      <c r="K111" s="37" t="n">
        <f aca="false">IF(ISNUMBER('Section Bills'!J33),'Section Bills'!J33,"")</f>
        <v>1.28</v>
      </c>
      <c r="L111" s="37" t="n">
        <f aca="false">IF(ISNUMBER('Section Bills'!K33),'Section Bills'!K33,"")</f>
        <v>1</v>
      </c>
      <c r="M111" s="20" t="n">
        <f aca="false">Controls!$B$7</f>
        <v>0.025</v>
      </c>
      <c r="N111" s="20" t="n">
        <f aca="false">IF(AND(ISNUMBER(K111),ISNUMBER(L111),L111&gt;0),K111/L111*(1-M111),"")</f>
        <v>1.248</v>
      </c>
      <c r="O111" s="14"/>
      <c r="P111" s="21" t="n">
        <f aca="false">IF(O111="",0,COUNTIFS('Gap Migration'!$G$7:$G$91,O111,'Gap Migration'!$J$7:$J$91,1))</f>
        <v>0</v>
      </c>
      <c r="Q111" s="14" t="n">
        <v>0</v>
      </c>
      <c r="R111" s="14" t="n">
        <v>0</v>
      </c>
      <c r="S111" s="21" t="str">
        <f aca="false">IF(ISNUMBER(N111),IF(N111&gt;=Controls!$B$8,"DESIGN CLOSE","NEGATIVE"),IF(P111=1,"MEASUREMENT READY","UNSCOPED"))</f>
        <v>DESIGN CLOSE</v>
      </c>
      <c r="T111" s="21" t="str">
        <f aca="false">IF(S111="DESIGN CLOSE","root-native section bill",IF(S111="MEASUREMENT READY","executable protocol; observation empty","return to architecture"))</f>
        <v>root-native section bill</v>
      </c>
      <c r="U111" s="14" t="n">
        <v>0</v>
      </c>
    </row>
    <row r="112" customFormat="false" ht="15" hidden="false" customHeight="false" outlineLevel="0" collapsed="false">
      <c r="A112" s="12" t="s">
        <v>445</v>
      </c>
      <c r="B112" s="12" t="s">
        <v>47</v>
      </c>
      <c r="C112" s="12" t="s">
        <v>48</v>
      </c>
      <c r="D112" s="12" t="s">
        <v>128</v>
      </c>
      <c r="E112" s="12" t="s">
        <v>129</v>
      </c>
      <c r="F112" s="12" t="s">
        <v>275</v>
      </c>
      <c r="G112" s="12" t="s">
        <v>276</v>
      </c>
      <c r="H112" s="12" t="n">
        <v>33</v>
      </c>
      <c r="I112" s="12" t="s">
        <v>227</v>
      </c>
      <c r="J112" s="12" t="s">
        <v>63</v>
      </c>
      <c r="K112" s="37"/>
      <c r="L112" s="37"/>
      <c r="M112" s="20" t="n">
        <f aca="false">Controls!$B$7</f>
        <v>0.025</v>
      </c>
      <c r="N112" s="20" t="str">
        <f aca="false">IF(AND(ISNUMBER(K112),ISNUMBER(L112),L112&gt;0),K112/L112*(1-M112),"")</f>
        <v/>
      </c>
      <c r="O112" s="14" t="s">
        <v>446</v>
      </c>
      <c r="P112" s="21" t="n">
        <f aca="false">IF(O112="",0,COUNTIFS('Gap Migration'!$G$7:$G$91,O112,'Gap Migration'!$J$7:$J$91,1))</f>
        <v>1</v>
      </c>
      <c r="Q112" s="14" t="n">
        <v>0</v>
      </c>
      <c r="R112" s="14" t="n">
        <v>0</v>
      </c>
      <c r="S112" s="21" t="str">
        <f aca="false">IF(ISNUMBER(N112),IF(N112&gt;=Controls!$B$8,"DESIGN CLOSE","NEGATIVE"),IF(P112=1,"MEASUREMENT READY","UNSCOPED"))</f>
        <v>MEASUREMENT READY</v>
      </c>
      <c r="T112" s="21" t="str">
        <f aca="false">IF(S112="DESIGN CLOSE","root-native section bill",IF(S112="MEASUREMENT READY","executable protocol; observation empty","return to architecture"))</f>
        <v>executable protocol; observation empty</v>
      </c>
      <c r="U112" s="14" t="n">
        <v>0</v>
      </c>
    </row>
    <row r="113" customFormat="false" ht="15" hidden="false" customHeight="false" outlineLevel="0" collapsed="false">
      <c r="A113" s="12" t="s">
        <v>447</v>
      </c>
      <c r="B113" s="12" t="s">
        <v>47</v>
      </c>
      <c r="C113" s="12" t="s">
        <v>48</v>
      </c>
      <c r="D113" s="12" t="s">
        <v>128</v>
      </c>
      <c r="E113" s="12" t="s">
        <v>129</v>
      </c>
      <c r="F113" s="12" t="s">
        <v>279</v>
      </c>
      <c r="G113" s="12" t="s">
        <v>280</v>
      </c>
      <c r="H113" s="12" t="n">
        <v>33</v>
      </c>
      <c r="I113" s="12" t="s">
        <v>227</v>
      </c>
      <c r="J113" s="12" t="s">
        <v>63</v>
      </c>
      <c r="K113" s="37" t="n">
        <f aca="false">IF(ISNUMBER('Section Bills'!L33),'Section Bills'!L33,"")</f>
        <v>1.032</v>
      </c>
      <c r="L113" s="37" t="n">
        <f aca="false">IF(ISNUMBER('Section Bills'!M33),'Section Bills'!M33,"")</f>
        <v>1</v>
      </c>
      <c r="M113" s="20" t="n">
        <f aca="false">Controls!$B$7</f>
        <v>0.025</v>
      </c>
      <c r="N113" s="20" t="n">
        <f aca="false">IF(AND(ISNUMBER(K113),ISNUMBER(L113),L113&gt;0),K113/L113*(1-M113),"")</f>
        <v>1.0062</v>
      </c>
      <c r="O113" s="14"/>
      <c r="P113" s="21" t="n">
        <f aca="false">IF(O113="",0,COUNTIFS('Gap Migration'!$G$7:$G$91,O113,'Gap Migration'!$J$7:$J$91,1))</f>
        <v>0</v>
      </c>
      <c r="Q113" s="14" t="n">
        <v>0</v>
      </c>
      <c r="R113" s="14" t="n">
        <v>0</v>
      </c>
      <c r="S113" s="21" t="str">
        <f aca="false">IF(ISNUMBER(N113),IF(N113&gt;=Controls!$B$8,"DESIGN CLOSE","NEGATIVE"),IF(P113=1,"MEASUREMENT READY","UNSCOPED"))</f>
        <v>DESIGN CLOSE</v>
      </c>
      <c r="T113" s="21" t="str">
        <f aca="false">IF(S113="DESIGN CLOSE","root-native section bill",IF(S113="MEASUREMENT READY","executable protocol; observation empty","return to architecture"))</f>
        <v>root-native section bill</v>
      </c>
      <c r="U113" s="14" t="n">
        <v>0</v>
      </c>
    </row>
    <row r="114" customFormat="false" ht="15" hidden="false" customHeight="false" outlineLevel="0" collapsed="false">
      <c r="A114" s="12" t="s">
        <v>448</v>
      </c>
      <c r="B114" s="12" t="s">
        <v>47</v>
      </c>
      <c r="C114" s="12" t="s">
        <v>48</v>
      </c>
      <c r="D114" s="12" t="s">
        <v>128</v>
      </c>
      <c r="E114" s="12" t="s">
        <v>129</v>
      </c>
      <c r="F114" s="12" t="s">
        <v>282</v>
      </c>
      <c r="G114" s="12" t="s">
        <v>283</v>
      </c>
      <c r="H114" s="12" t="n">
        <v>33</v>
      </c>
      <c r="I114" s="12" t="s">
        <v>227</v>
      </c>
      <c r="J114" s="12" t="s">
        <v>63</v>
      </c>
      <c r="K114" s="37"/>
      <c r="L114" s="37"/>
      <c r="M114" s="20" t="n">
        <f aca="false">Controls!$B$7</f>
        <v>0.025</v>
      </c>
      <c r="N114" s="20" t="str">
        <f aca="false">IF(AND(ISNUMBER(K114),ISNUMBER(L114),L114&gt;0),K114/L114*(1-M114),"")</f>
        <v/>
      </c>
      <c r="O114" s="14" t="s">
        <v>449</v>
      </c>
      <c r="P114" s="21" t="n">
        <f aca="false">IF(O114="",0,COUNTIFS('Gap Migration'!$G$7:$G$91,O114,'Gap Migration'!$J$7:$J$91,1))</f>
        <v>1</v>
      </c>
      <c r="Q114" s="14" t="n">
        <v>0</v>
      </c>
      <c r="R114" s="14" t="n">
        <v>0</v>
      </c>
      <c r="S114" s="21" t="str">
        <f aca="false">IF(ISNUMBER(N114),IF(N114&gt;=Controls!$B$8,"DESIGN CLOSE","NEGATIVE"),IF(P114=1,"MEASUREMENT READY","UNSCOPED"))</f>
        <v>MEASUREMENT READY</v>
      </c>
      <c r="T114" s="21" t="str">
        <f aca="false">IF(S114="DESIGN CLOSE","root-native section bill",IF(S114="MEASUREMENT READY","executable protocol; observation empty","return to architecture"))</f>
        <v>executable protocol; observation empty</v>
      </c>
      <c r="U114" s="14" t="n">
        <v>0</v>
      </c>
    </row>
    <row r="115" customFormat="false" ht="15" hidden="false" customHeight="false" outlineLevel="0" collapsed="false">
      <c r="A115" s="12" t="s">
        <v>450</v>
      </c>
      <c r="B115" s="12" t="s">
        <v>47</v>
      </c>
      <c r="C115" s="12" t="s">
        <v>48</v>
      </c>
      <c r="D115" s="12" t="s">
        <v>135</v>
      </c>
      <c r="E115" s="12" t="s">
        <v>136</v>
      </c>
      <c r="F115" s="12" t="s">
        <v>272</v>
      </c>
      <c r="G115" s="12" t="s">
        <v>273</v>
      </c>
      <c r="H115" s="12" t="n">
        <v>34</v>
      </c>
      <c r="I115" s="12" t="s">
        <v>230</v>
      </c>
      <c r="J115" s="12" t="s">
        <v>63</v>
      </c>
      <c r="K115" s="37" t="n">
        <f aca="false">IF(ISNUMBER('Section Bills'!J34),'Section Bills'!J34,"")</f>
        <v>1.2</v>
      </c>
      <c r="L115" s="37" t="n">
        <f aca="false">IF(ISNUMBER('Section Bills'!K34),'Section Bills'!K34,"")</f>
        <v>1</v>
      </c>
      <c r="M115" s="20" t="n">
        <f aca="false">Controls!$B$7</f>
        <v>0.025</v>
      </c>
      <c r="N115" s="20" t="n">
        <f aca="false">IF(AND(ISNUMBER(K115),ISNUMBER(L115),L115&gt;0),K115/L115*(1-M115),"")</f>
        <v>1.17</v>
      </c>
      <c r="O115" s="14"/>
      <c r="P115" s="21" t="n">
        <f aca="false">IF(O115="",0,COUNTIFS('Gap Migration'!$G$7:$G$91,O115,'Gap Migration'!$J$7:$J$91,1))</f>
        <v>0</v>
      </c>
      <c r="Q115" s="14" t="n">
        <v>0</v>
      </c>
      <c r="R115" s="14" t="n">
        <v>0</v>
      </c>
      <c r="S115" s="21" t="str">
        <f aca="false">IF(ISNUMBER(N115),IF(N115&gt;=Controls!$B$8,"DESIGN CLOSE","NEGATIVE"),IF(P115=1,"MEASUREMENT READY","UNSCOPED"))</f>
        <v>DESIGN CLOSE</v>
      </c>
      <c r="T115" s="21" t="str">
        <f aca="false">IF(S115="DESIGN CLOSE","root-native section bill",IF(S115="MEASUREMENT READY","executable protocol; observation empty","return to architecture"))</f>
        <v>root-native section bill</v>
      </c>
      <c r="U115" s="14" t="n">
        <v>0</v>
      </c>
    </row>
    <row r="116" customFormat="false" ht="15" hidden="false" customHeight="false" outlineLevel="0" collapsed="false">
      <c r="A116" s="12" t="s">
        <v>451</v>
      </c>
      <c r="B116" s="12" t="s">
        <v>47</v>
      </c>
      <c r="C116" s="12" t="s">
        <v>48</v>
      </c>
      <c r="D116" s="12" t="s">
        <v>135</v>
      </c>
      <c r="E116" s="12" t="s">
        <v>136</v>
      </c>
      <c r="F116" s="12" t="s">
        <v>275</v>
      </c>
      <c r="G116" s="12" t="s">
        <v>276</v>
      </c>
      <c r="H116" s="12" t="n">
        <v>34</v>
      </c>
      <c r="I116" s="12" t="s">
        <v>230</v>
      </c>
      <c r="J116" s="12" t="s">
        <v>63</v>
      </c>
      <c r="K116" s="37"/>
      <c r="L116" s="37"/>
      <c r="M116" s="20" t="n">
        <f aca="false">Controls!$B$7</f>
        <v>0.025</v>
      </c>
      <c r="N116" s="20" t="str">
        <f aca="false">IF(AND(ISNUMBER(K116),ISNUMBER(L116),L116&gt;0),K116/L116*(1-M116),"")</f>
        <v/>
      </c>
      <c r="O116" s="14" t="s">
        <v>452</v>
      </c>
      <c r="P116" s="21" t="n">
        <f aca="false">IF(O116="",0,COUNTIFS('Gap Migration'!$G$7:$G$91,O116,'Gap Migration'!$J$7:$J$91,1))</f>
        <v>1</v>
      </c>
      <c r="Q116" s="14" t="n">
        <v>0</v>
      </c>
      <c r="R116" s="14" t="n">
        <v>0</v>
      </c>
      <c r="S116" s="21" t="str">
        <f aca="false">IF(ISNUMBER(N116),IF(N116&gt;=Controls!$B$8,"DESIGN CLOSE","NEGATIVE"),IF(P116=1,"MEASUREMENT READY","UNSCOPED"))</f>
        <v>MEASUREMENT READY</v>
      </c>
      <c r="T116" s="21" t="str">
        <f aca="false">IF(S116="DESIGN CLOSE","root-native section bill",IF(S116="MEASUREMENT READY","executable protocol; observation empty","return to architecture"))</f>
        <v>executable protocol; observation empty</v>
      </c>
      <c r="U116" s="14" t="n">
        <v>0</v>
      </c>
    </row>
    <row r="117" customFormat="false" ht="15" hidden="false" customHeight="false" outlineLevel="0" collapsed="false">
      <c r="A117" s="12" t="s">
        <v>453</v>
      </c>
      <c r="B117" s="12" t="s">
        <v>47</v>
      </c>
      <c r="C117" s="12" t="s">
        <v>48</v>
      </c>
      <c r="D117" s="12" t="s">
        <v>135</v>
      </c>
      <c r="E117" s="12" t="s">
        <v>136</v>
      </c>
      <c r="F117" s="12" t="s">
        <v>279</v>
      </c>
      <c r="G117" s="12" t="s">
        <v>280</v>
      </c>
      <c r="H117" s="12" t="n">
        <v>34</v>
      </c>
      <c r="I117" s="12" t="s">
        <v>230</v>
      </c>
      <c r="J117" s="12" t="s">
        <v>63</v>
      </c>
      <c r="K117" s="37" t="n">
        <f aca="false">IF(ISNUMBER('Section Bills'!L34),'Section Bills'!L34,"")</f>
        <v>1.05</v>
      </c>
      <c r="L117" s="37" t="n">
        <f aca="false">IF(ISNUMBER('Section Bills'!M34),'Section Bills'!M34,"")</f>
        <v>1</v>
      </c>
      <c r="M117" s="20" t="n">
        <f aca="false">Controls!$B$7</f>
        <v>0.025</v>
      </c>
      <c r="N117" s="20" t="n">
        <f aca="false">IF(AND(ISNUMBER(K117),ISNUMBER(L117),L117&gt;0),K117/L117*(1-M117),"")</f>
        <v>1.02375</v>
      </c>
      <c r="O117" s="14"/>
      <c r="P117" s="21" t="n">
        <f aca="false">IF(O117="",0,COUNTIFS('Gap Migration'!$G$7:$G$91,O117,'Gap Migration'!$J$7:$J$91,1))</f>
        <v>0</v>
      </c>
      <c r="Q117" s="14" t="n">
        <v>0</v>
      </c>
      <c r="R117" s="14" t="n">
        <v>0</v>
      </c>
      <c r="S117" s="21" t="str">
        <f aca="false">IF(ISNUMBER(N117),IF(N117&gt;=Controls!$B$8,"DESIGN CLOSE","NEGATIVE"),IF(P117=1,"MEASUREMENT READY","UNSCOPED"))</f>
        <v>DESIGN CLOSE</v>
      </c>
      <c r="T117" s="21" t="str">
        <f aca="false">IF(S117="DESIGN CLOSE","root-native section bill",IF(S117="MEASUREMENT READY","executable protocol; observation empty","return to architecture"))</f>
        <v>root-native section bill</v>
      </c>
      <c r="U117" s="14" t="n">
        <v>0</v>
      </c>
    </row>
    <row r="118" customFormat="false" ht="15" hidden="false" customHeight="false" outlineLevel="0" collapsed="false">
      <c r="A118" s="12" t="s">
        <v>454</v>
      </c>
      <c r="B118" s="12" t="s">
        <v>47</v>
      </c>
      <c r="C118" s="12" t="s">
        <v>48</v>
      </c>
      <c r="D118" s="12" t="s">
        <v>135</v>
      </c>
      <c r="E118" s="12" t="s">
        <v>136</v>
      </c>
      <c r="F118" s="12" t="s">
        <v>282</v>
      </c>
      <c r="G118" s="12" t="s">
        <v>283</v>
      </c>
      <c r="H118" s="12" t="n">
        <v>34</v>
      </c>
      <c r="I118" s="12" t="s">
        <v>230</v>
      </c>
      <c r="J118" s="12" t="s">
        <v>63</v>
      </c>
      <c r="K118" s="37"/>
      <c r="L118" s="37"/>
      <c r="M118" s="20" t="n">
        <f aca="false">Controls!$B$7</f>
        <v>0.025</v>
      </c>
      <c r="N118" s="20" t="str">
        <f aca="false">IF(AND(ISNUMBER(K118),ISNUMBER(L118),L118&gt;0),K118/L118*(1-M118),"")</f>
        <v/>
      </c>
      <c r="O118" s="14" t="s">
        <v>455</v>
      </c>
      <c r="P118" s="21" t="n">
        <f aca="false">IF(O118="",0,COUNTIFS('Gap Migration'!$G$7:$G$91,O118,'Gap Migration'!$J$7:$J$91,1))</f>
        <v>1</v>
      </c>
      <c r="Q118" s="14" t="n">
        <v>0</v>
      </c>
      <c r="R118" s="14" t="n">
        <v>0</v>
      </c>
      <c r="S118" s="21" t="str">
        <f aca="false">IF(ISNUMBER(N118),IF(N118&gt;=Controls!$B$8,"DESIGN CLOSE","NEGATIVE"),IF(P118=1,"MEASUREMENT READY","UNSCOPED"))</f>
        <v>MEASUREMENT READY</v>
      </c>
      <c r="T118" s="21" t="str">
        <f aca="false">IF(S118="DESIGN CLOSE","root-native section bill",IF(S118="MEASUREMENT READY","executable protocol; observation empty","return to architecture"))</f>
        <v>executable protocol; observation empty</v>
      </c>
      <c r="U118" s="14" t="n">
        <v>0</v>
      </c>
    </row>
    <row r="119" customFormat="false" ht="15" hidden="false" customHeight="false" outlineLevel="0" collapsed="false">
      <c r="A119" s="12" t="s">
        <v>456</v>
      </c>
      <c r="B119" s="12" t="s">
        <v>47</v>
      </c>
      <c r="C119" s="12" t="s">
        <v>48</v>
      </c>
      <c r="D119" s="12" t="s">
        <v>140</v>
      </c>
      <c r="E119" s="12" t="s">
        <v>141</v>
      </c>
      <c r="F119" s="12" t="s">
        <v>272</v>
      </c>
      <c r="G119" s="12" t="s">
        <v>273</v>
      </c>
      <c r="H119" s="12" t="n">
        <v>35</v>
      </c>
      <c r="I119" s="12" t="s">
        <v>233</v>
      </c>
      <c r="J119" s="12" t="s">
        <v>143</v>
      </c>
      <c r="K119" s="37" t="n">
        <f aca="false">IF(ISNUMBER('Section Bills'!J35),'Section Bills'!J35,"")</f>
        <v>441</v>
      </c>
      <c r="L119" s="37" t="n">
        <f aca="false">IF(ISNUMBER('Section Bills'!K35),'Section Bills'!K35,"")</f>
        <v>350</v>
      </c>
      <c r="M119" s="20" t="n">
        <f aca="false">Controls!$B$7</f>
        <v>0.025</v>
      </c>
      <c r="N119" s="20" t="n">
        <f aca="false">IF(AND(ISNUMBER(K119),ISNUMBER(L119),L119&gt;0),K119/L119*(1-M119),"")</f>
        <v>1.2285</v>
      </c>
      <c r="O119" s="14"/>
      <c r="P119" s="21" t="n">
        <f aca="false">IF(O119="",0,COUNTIFS('Gap Migration'!$G$7:$G$91,O119,'Gap Migration'!$J$7:$J$91,1))</f>
        <v>0</v>
      </c>
      <c r="Q119" s="14" t="n">
        <v>0</v>
      </c>
      <c r="R119" s="14" t="n">
        <v>0</v>
      </c>
      <c r="S119" s="21" t="str">
        <f aca="false">IF(ISNUMBER(N119),IF(N119&gt;=Controls!$B$8,"DESIGN CLOSE","NEGATIVE"),IF(P119=1,"MEASUREMENT READY","UNSCOPED"))</f>
        <v>DESIGN CLOSE</v>
      </c>
      <c r="T119" s="21" t="str">
        <f aca="false">IF(S119="DESIGN CLOSE","root-native section bill",IF(S119="MEASUREMENT READY","executable protocol; observation empty","return to architecture"))</f>
        <v>root-native section bill</v>
      </c>
      <c r="U119" s="14" t="n">
        <v>0</v>
      </c>
    </row>
    <row r="120" customFormat="false" ht="15" hidden="false" customHeight="false" outlineLevel="0" collapsed="false">
      <c r="A120" s="12" t="s">
        <v>457</v>
      </c>
      <c r="B120" s="12" t="s">
        <v>47</v>
      </c>
      <c r="C120" s="12" t="s">
        <v>48</v>
      </c>
      <c r="D120" s="12" t="s">
        <v>140</v>
      </c>
      <c r="E120" s="12" t="s">
        <v>141</v>
      </c>
      <c r="F120" s="12" t="s">
        <v>275</v>
      </c>
      <c r="G120" s="12" t="s">
        <v>276</v>
      </c>
      <c r="H120" s="12" t="n">
        <v>35</v>
      </c>
      <c r="I120" s="12" t="s">
        <v>233</v>
      </c>
      <c r="J120" s="12" t="s">
        <v>143</v>
      </c>
      <c r="K120" s="37"/>
      <c r="L120" s="37"/>
      <c r="M120" s="20" t="n">
        <f aca="false">Controls!$B$7</f>
        <v>0.025</v>
      </c>
      <c r="N120" s="20" t="str">
        <f aca="false">IF(AND(ISNUMBER(K120),ISNUMBER(L120),L120&gt;0),K120/L120*(1-M120),"")</f>
        <v/>
      </c>
      <c r="O120" s="14" t="s">
        <v>458</v>
      </c>
      <c r="P120" s="21" t="n">
        <f aca="false">IF(O120="",0,COUNTIFS('Gap Migration'!$G$7:$G$91,O120,'Gap Migration'!$J$7:$J$91,1))</f>
        <v>1</v>
      </c>
      <c r="Q120" s="14" t="n">
        <v>0</v>
      </c>
      <c r="R120" s="14" t="n">
        <v>0</v>
      </c>
      <c r="S120" s="21" t="str">
        <f aca="false">IF(ISNUMBER(N120),IF(N120&gt;=Controls!$B$8,"DESIGN CLOSE","NEGATIVE"),IF(P120=1,"MEASUREMENT READY","UNSCOPED"))</f>
        <v>MEASUREMENT READY</v>
      </c>
      <c r="T120" s="21" t="str">
        <f aca="false">IF(S120="DESIGN CLOSE","root-native section bill",IF(S120="MEASUREMENT READY","executable protocol; observation empty","return to architecture"))</f>
        <v>executable protocol; observation empty</v>
      </c>
      <c r="U120" s="14" t="n">
        <v>0</v>
      </c>
    </row>
    <row r="121" customFormat="false" ht="15" hidden="false" customHeight="false" outlineLevel="0" collapsed="false">
      <c r="A121" s="12" t="s">
        <v>459</v>
      </c>
      <c r="B121" s="12" t="s">
        <v>47</v>
      </c>
      <c r="C121" s="12" t="s">
        <v>48</v>
      </c>
      <c r="D121" s="12" t="s">
        <v>140</v>
      </c>
      <c r="E121" s="12" t="s">
        <v>141</v>
      </c>
      <c r="F121" s="12" t="s">
        <v>279</v>
      </c>
      <c r="G121" s="12" t="s">
        <v>280</v>
      </c>
      <c r="H121" s="12" t="n">
        <v>35</v>
      </c>
      <c r="I121" s="12" t="s">
        <v>233</v>
      </c>
      <c r="J121" s="12" t="s">
        <v>143</v>
      </c>
      <c r="K121" s="37" t="n">
        <f aca="false">IF(ISNUMBER('Section Bills'!L35),'Section Bills'!L35,"")</f>
        <v>367.5</v>
      </c>
      <c r="L121" s="37" t="n">
        <f aca="false">IF(ISNUMBER('Section Bills'!M35),'Section Bills'!M35,"")</f>
        <v>350</v>
      </c>
      <c r="M121" s="20" t="n">
        <f aca="false">Controls!$B$7</f>
        <v>0.025</v>
      </c>
      <c r="N121" s="20" t="n">
        <f aca="false">IF(AND(ISNUMBER(K121),ISNUMBER(L121),L121&gt;0),K121/L121*(1-M121),"")</f>
        <v>1.02375</v>
      </c>
      <c r="O121" s="14"/>
      <c r="P121" s="21" t="n">
        <f aca="false">IF(O121="",0,COUNTIFS('Gap Migration'!$G$7:$G$91,O121,'Gap Migration'!$J$7:$J$91,1))</f>
        <v>0</v>
      </c>
      <c r="Q121" s="14" t="n">
        <v>0</v>
      </c>
      <c r="R121" s="14" t="n">
        <v>0</v>
      </c>
      <c r="S121" s="21" t="str">
        <f aca="false">IF(ISNUMBER(N121),IF(N121&gt;=Controls!$B$8,"DESIGN CLOSE","NEGATIVE"),IF(P121=1,"MEASUREMENT READY","UNSCOPED"))</f>
        <v>DESIGN CLOSE</v>
      </c>
      <c r="T121" s="21" t="str">
        <f aca="false">IF(S121="DESIGN CLOSE","root-native section bill",IF(S121="MEASUREMENT READY","executable protocol; observation empty","return to architecture"))</f>
        <v>root-native section bill</v>
      </c>
      <c r="U121" s="14" t="n">
        <v>0</v>
      </c>
    </row>
    <row r="122" customFormat="false" ht="15" hidden="false" customHeight="false" outlineLevel="0" collapsed="false">
      <c r="A122" s="12" t="s">
        <v>460</v>
      </c>
      <c r="B122" s="12" t="s">
        <v>47</v>
      </c>
      <c r="C122" s="12" t="s">
        <v>48</v>
      </c>
      <c r="D122" s="12" t="s">
        <v>140</v>
      </c>
      <c r="E122" s="12" t="s">
        <v>141</v>
      </c>
      <c r="F122" s="12" t="s">
        <v>282</v>
      </c>
      <c r="G122" s="12" t="s">
        <v>283</v>
      </c>
      <c r="H122" s="12" t="n">
        <v>35</v>
      </c>
      <c r="I122" s="12" t="s">
        <v>233</v>
      </c>
      <c r="J122" s="12" t="s">
        <v>143</v>
      </c>
      <c r="K122" s="37"/>
      <c r="L122" s="37"/>
      <c r="M122" s="20" t="n">
        <f aca="false">Controls!$B$7</f>
        <v>0.025</v>
      </c>
      <c r="N122" s="20" t="str">
        <f aca="false">IF(AND(ISNUMBER(K122),ISNUMBER(L122),L122&gt;0),K122/L122*(1-M122),"")</f>
        <v/>
      </c>
      <c r="O122" s="14" t="s">
        <v>461</v>
      </c>
      <c r="P122" s="21" t="n">
        <f aca="false">IF(O122="",0,COUNTIFS('Gap Migration'!$G$7:$G$91,O122,'Gap Migration'!$J$7:$J$91,1))</f>
        <v>1</v>
      </c>
      <c r="Q122" s="14" t="n">
        <v>0</v>
      </c>
      <c r="R122" s="14" t="n">
        <v>0</v>
      </c>
      <c r="S122" s="21" t="str">
        <f aca="false">IF(ISNUMBER(N122),IF(N122&gt;=Controls!$B$8,"DESIGN CLOSE","NEGATIVE"),IF(P122=1,"MEASUREMENT READY","UNSCOPED"))</f>
        <v>MEASUREMENT READY</v>
      </c>
      <c r="T122" s="21" t="str">
        <f aca="false">IF(S122="DESIGN CLOSE","root-native section bill",IF(S122="MEASUREMENT READY","executable protocol; observation empty","return to architecture"))</f>
        <v>executable protocol; observation empty</v>
      </c>
      <c r="U122" s="14" t="n">
        <v>0</v>
      </c>
    </row>
    <row r="123" customFormat="false" ht="15" hidden="false" customHeight="false" outlineLevel="0" collapsed="false">
      <c r="A123" s="12" t="s">
        <v>462</v>
      </c>
      <c r="B123" s="12" t="s">
        <v>47</v>
      </c>
      <c r="C123" s="12" t="s">
        <v>48</v>
      </c>
      <c r="D123" s="12" t="s">
        <v>146</v>
      </c>
      <c r="E123" s="12" t="s">
        <v>147</v>
      </c>
      <c r="F123" s="12" t="s">
        <v>272</v>
      </c>
      <c r="G123" s="12" t="s">
        <v>273</v>
      </c>
      <c r="H123" s="12" t="n">
        <v>36</v>
      </c>
      <c r="I123" s="12" t="s">
        <v>236</v>
      </c>
      <c r="J123" s="12" t="s">
        <v>149</v>
      </c>
      <c r="K123" s="37"/>
      <c r="L123" s="37"/>
      <c r="M123" s="20" t="n">
        <f aca="false">Controls!$B$7</f>
        <v>0.025</v>
      </c>
      <c r="N123" s="20" t="str">
        <f aca="false">IF(AND(ISNUMBER(K123),ISNUMBER(L123),L123&gt;0),K123/L123*(1-M123),"")</f>
        <v/>
      </c>
      <c r="O123" s="14" t="s">
        <v>463</v>
      </c>
      <c r="P123" s="21" t="n">
        <f aca="false">IF(O123="",0,COUNTIFS('Gap Migration'!$G$7:$G$91,O123,'Gap Migration'!$J$7:$J$91,1))</f>
        <v>1</v>
      </c>
      <c r="Q123" s="14" t="n">
        <v>0</v>
      </c>
      <c r="R123" s="14" t="n">
        <v>0</v>
      </c>
      <c r="S123" s="21" t="str">
        <f aca="false">IF(ISNUMBER(N123),IF(N123&gt;=Controls!$B$8,"DESIGN CLOSE","NEGATIVE"),IF(P123=1,"MEASUREMENT READY","UNSCOPED"))</f>
        <v>MEASUREMENT READY</v>
      </c>
      <c r="T123" s="21" t="str">
        <f aca="false">IF(S123="DESIGN CLOSE","root-native section bill",IF(S123="MEASUREMENT READY","executable protocol; observation empty","return to architecture"))</f>
        <v>executable protocol; observation empty</v>
      </c>
      <c r="U123" s="14" t="n">
        <v>0</v>
      </c>
    </row>
    <row r="124" customFormat="false" ht="15" hidden="false" customHeight="false" outlineLevel="0" collapsed="false">
      <c r="A124" s="12" t="s">
        <v>464</v>
      </c>
      <c r="B124" s="12" t="s">
        <v>47</v>
      </c>
      <c r="C124" s="12" t="s">
        <v>48</v>
      </c>
      <c r="D124" s="12" t="s">
        <v>146</v>
      </c>
      <c r="E124" s="12" t="s">
        <v>147</v>
      </c>
      <c r="F124" s="12" t="s">
        <v>275</v>
      </c>
      <c r="G124" s="12" t="s">
        <v>276</v>
      </c>
      <c r="H124" s="12" t="n">
        <v>36</v>
      </c>
      <c r="I124" s="12" t="s">
        <v>236</v>
      </c>
      <c r="J124" s="12" t="s">
        <v>149</v>
      </c>
      <c r="K124" s="37"/>
      <c r="L124" s="37"/>
      <c r="M124" s="20" t="n">
        <f aca="false">Controls!$B$7</f>
        <v>0.025</v>
      </c>
      <c r="N124" s="20" t="str">
        <f aca="false">IF(AND(ISNUMBER(K124),ISNUMBER(L124),L124&gt;0),K124/L124*(1-M124),"")</f>
        <v/>
      </c>
      <c r="O124" s="14" t="s">
        <v>465</v>
      </c>
      <c r="P124" s="21" t="n">
        <f aca="false">IF(O124="",0,COUNTIFS('Gap Migration'!$G$7:$G$91,O124,'Gap Migration'!$J$7:$J$91,1))</f>
        <v>1</v>
      </c>
      <c r="Q124" s="14" t="n">
        <v>0</v>
      </c>
      <c r="R124" s="14" t="n">
        <v>0</v>
      </c>
      <c r="S124" s="21" t="str">
        <f aca="false">IF(ISNUMBER(N124),IF(N124&gt;=Controls!$B$8,"DESIGN CLOSE","NEGATIVE"),IF(P124=1,"MEASUREMENT READY","UNSCOPED"))</f>
        <v>MEASUREMENT READY</v>
      </c>
      <c r="T124" s="21" t="str">
        <f aca="false">IF(S124="DESIGN CLOSE","root-native section bill",IF(S124="MEASUREMENT READY","executable protocol; observation empty","return to architecture"))</f>
        <v>executable protocol; observation empty</v>
      </c>
      <c r="U124" s="14" t="n">
        <v>0</v>
      </c>
    </row>
    <row r="125" customFormat="false" ht="15" hidden="false" customHeight="false" outlineLevel="0" collapsed="false">
      <c r="A125" s="12" t="s">
        <v>466</v>
      </c>
      <c r="B125" s="12" t="s">
        <v>47</v>
      </c>
      <c r="C125" s="12" t="s">
        <v>48</v>
      </c>
      <c r="D125" s="12" t="s">
        <v>146</v>
      </c>
      <c r="E125" s="12" t="s">
        <v>147</v>
      </c>
      <c r="F125" s="12" t="s">
        <v>279</v>
      </c>
      <c r="G125" s="12" t="s">
        <v>280</v>
      </c>
      <c r="H125" s="12" t="n">
        <v>36</v>
      </c>
      <c r="I125" s="12" t="s">
        <v>236</v>
      </c>
      <c r="J125" s="12" t="s">
        <v>149</v>
      </c>
      <c r="K125" s="37"/>
      <c r="L125" s="37"/>
      <c r="M125" s="20" t="n">
        <f aca="false">Controls!$B$7</f>
        <v>0.025</v>
      </c>
      <c r="N125" s="20" t="str">
        <f aca="false">IF(AND(ISNUMBER(K125),ISNUMBER(L125),L125&gt;0),K125/L125*(1-M125),"")</f>
        <v/>
      </c>
      <c r="O125" s="14" t="s">
        <v>467</v>
      </c>
      <c r="P125" s="21" t="n">
        <f aca="false">IF(O125="",0,COUNTIFS('Gap Migration'!$G$7:$G$91,O125,'Gap Migration'!$J$7:$J$91,1))</f>
        <v>1</v>
      </c>
      <c r="Q125" s="14" t="n">
        <v>0</v>
      </c>
      <c r="R125" s="14" t="n">
        <v>0</v>
      </c>
      <c r="S125" s="21" t="str">
        <f aca="false">IF(ISNUMBER(N125),IF(N125&gt;=Controls!$B$8,"DESIGN CLOSE","NEGATIVE"),IF(P125=1,"MEASUREMENT READY","UNSCOPED"))</f>
        <v>MEASUREMENT READY</v>
      </c>
      <c r="T125" s="21" t="str">
        <f aca="false">IF(S125="DESIGN CLOSE","root-native section bill",IF(S125="MEASUREMENT READY","executable protocol; observation empty","return to architecture"))</f>
        <v>executable protocol; observation empty</v>
      </c>
      <c r="U125" s="14" t="n">
        <v>0</v>
      </c>
    </row>
    <row r="126" customFormat="false" ht="15" hidden="false" customHeight="false" outlineLevel="0" collapsed="false">
      <c r="A126" s="12" t="s">
        <v>468</v>
      </c>
      <c r="B126" s="12" t="s">
        <v>47</v>
      </c>
      <c r="C126" s="12" t="s">
        <v>48</v>
      </c>
      <c r="D126" s="12" t="s">
        <v>146</v>
      </c>
      <c r="E126" s="12" t="s">
        <v>147</v>
      </c>
      <c r="F126" s="12" t="s">
        <v>282</v>
      </c>
      <c r="G126" s="12" t="s">
        <v>283</v>
      </c>
      <c r="H126" s="12" t="n">
        <v>36</v>
      </c>
      <c r="I126" s="12" t="s">
        <v>236</v>
      </c>
      <c r="J126" s="12" t="s">
        <v>149</v>
      </c>
      <c r="K126" s="37"/>
      <c r="L126" s="37"/>
      <c r="M126" s="20" t="n">
        <f aca="false">Controls!$B$7</f>
        <v>0.025</v>
      </c>
      <c r="N126" s="20" t="str">
        <f aca="false">IF(AND(ISNUMBER(K126),ISNUMBER(L126),L126&gt;0),K126/L126*(1-M126),"")</f>
        <v/>
      </c>
      <c r="O126" s="14" t="s">
        <v>469</v>
      </c>
      <c r="P126" s="21" t="n">
        <f aca="false">IF(O126="",0,COUNTIFS('Gap Migration'!$G$7:$G$91,O126,'Gap Migration'!$J$7:$J$91,1))</f>
        <v>1</v>
      </c>
      <c r="Q126" s="14" t="n">
        <v>0</v>
      </c>
      <c r="R126" s="14" t="n">
        <v>0</v>
      </c>
      <c r="S126" s="21" t="str">
        <f aca="false">IF(ISNUMBER(N126),IF(N126&gt;=Controls!$B$8,"DESIGN CLOSE","NEGATIVE"),IF(P126=1,"MEASUREMENT READY","UNSCOPED"))</f>
        <v>MEASUREMENT READY</v>
      </c>
      <c r="T126" s="21" t="str">
        <f aca="false">IF(S126="DESIGN CLOSE","root-native section bill",IF(S126="MEASUREMENT READY","executable protocol; observation empty","return to architecture"))</f>
        <v>executable protocol; observation empty</v>
      </c>
      <c r="U126" s="14" t="n">
        <v>0</v>
      </c>
    </row>
    <row r="127" customFormat="false" ht="15" hidden="false" customHeight="false" outlineLevel="0" collapsed="false">
      <c r="A127" s="12" t="s">
        <v>470</v>
      </c>
      <c r="B127" s="12" t="s">
        <v>51</v>
      </c>
      <c r="C127" s="12" t="s">
        <v>52</v>
      </c>
      <c r="D127" s="12" t="s">
        <v>114</v>
      </c>
      <c r="E127" s="12" t="s">
        <v>115</v>
      </c>
      <c r="F127" s="12" t="s">
        <v>272</v>
      </c>
      <c r="G127" s="12" t="s">
        <v>273</v>
      </c>
      <c r="H127" s="12" t="n">
        <v>37</v>
      </c>
      <c r="I127" s="12" t="s">
        <v>239</v>
      </c>
      <c r="J127" s="12" t="s">
        <v>117</v>
      </c>
      <c r="K127" s="37" t="n">
        <f aca="false">IF(ISNUMBER('Section Bills'!J37),'Section Bills'!J37,"")</f>
        <v>84000</v>
      </c>
      <c r="L127" s="37" t="n">
        <f aca="false">IF(ISNUMBER('Section Bills'!K37),'Section Bills'!K37,"")</f>
        <v>72000</v>
      </c>
      <c r="M127" s="20" t="n">
        <f aca="false">Controls!$B$7</f>
        <v>0.025</v>
      </c>
      <c r="N127" s="20" t="n">
        <f aca="false">IF(AND(ISNUMBER(K127),ISNUMBER(L127),L127&gt;0),K127/L127*(1-M127),"")</f>
        <v>1.1375</v>
      </c>
      <c r="O127" s="14"/>
      <c r="P127" s="21" t="n">
        <f aca="false">IF(O127="",0,COUNTIFS('Gap Migration'!$G$7:$G$91,O127,'Gap Migration'!$J$7:$J$91,1))</f>
        <v>0</v>
      </c>
      <c r="Q127" s="14" t="n">
        <v>0</v>
      </c>
      <c r="R127" s="14" t="n">
        <v>0</v>
      </c>
      <c r="S127" s="21" t="str">
        <f aca="false">IF(ISNUMBER(N127),IF(N127&gt;=Controls!$B$8,"DESIGN CLOSE","NEGATIVE"),IF(P127=1,"MEASUREMENT READY","UNSCOPED"))</f>
        <v>DESIGN CLOSE</v>
      </c>
      <c r="T127" s="21" t="str">
        <f aca="false">IF(S127="DESIGN CLOSE","root-native section bill",IF(S127="MEASUREMENT READY","executable protocol; observation empty","return to architecture"))</f>
        <v>root-native section bill</v>
      </c>
      <c r="U127" s="14" t="n">
        <v>0</v>
      </c>
    </row>
    <row r="128" customFormat="false" ht="15" hidden="false" customHeight="false" outlineLevel="0" collapsed="false">
      <c r="A128" s="12" t="s">
        <v>471</v>
      </c>
      <c r="B128" s="12" t="s">
        <v>51</v>
      </c>
      <c r="C128" s="12" t="s">
        <v>52</v>
      </c>
      <c r="D128" s="12" t="s">
        <v>114</v>
      </c>
      <c r="E128" s="12" t="s">
        <v>115</v>
      </c>
      <c r="F128" s="12" t="s">
        <v>275</v>
      </c>
      <c r="G128" s="12" t="s">
        <v>276</v>
      </c>
      <c r="H128" s="12" t="n">
        <v>37</v>
      </c>
      <c r="I128" s="12" t="s">
        <v>239</v>
      </c>
      <c r="J128" s="12" t="s">
        <v>117</v>
      </c>
      <c r="K128" s="37"/>
      <c r="L128" s="37"/>
      <c r="M128" s="20" t="n">
        <f aca="false">Controls!$B$7</f>
        <v>0.025</v>
      </c>
      <c r="N128" s="20" t="str">
        <f aca="false">IF(AND(ISNUMBER(K128),ISNUMBER(L128),L128&gt;0),K128/L128*(1-M128),"")</f>
        <v/>
      </c>
      <c r="O128" s="14" t="s">
        <v>472</v>
      </c>
      <c r="P128" s="21" t="n">
        <f aca="false">IF(O128="",0,COUNTIFS('Gap Migration'!$G$7:$G$91,O128,'Gap Migration'!$J$7:$J$91,1))</f>
        <v>1</v>
      </c>
      <c r="Q128" s="14" t="n">
        <v>0</v>
      </c>
      <c r="R128" s="14" t="n">
        <v>0</v>
      </c>
      <c r="S128" s="21" t="str">
        <f aca="false">IF(ISNUMBER(N128),IF(N128&gt;=Controls!$B$8,"DESIGN CLOSE","NEGATIVE"),IF(P128=1,"MEASUREMENT READY","UNSCOPED"))</f>
        <v>MEASUREMENT READY</v>
      </c>
      <c r="T128" s="21" t="str">
        <f aca="false">IF(S128="DESIGN CLOSE","root-native section bill",IF(S128="MEASUREMENT READY","executable protocol; observation empty","return to architecture"))</f>
        <v>executable protocol; observation empty</v>
      </c>
      <c r="U128" s="14" t="n">
        <v>0</v>
      </c>
    </row>
    <row r="129" customFormat="false" ht="15" hidden="false" customHeight="false" outlineLevel="0" collapsed="false">
      <c r="A129" s="12" t="s">
        <v>473</v>
      </c>
      <c r="B129" s="12" t="s">
        <v>51</v>
      </c>
      <c r="C129" s="12" t="s">
        <v>52</v>
      </c>
      <c r="D129" s="12" t="s">
        <v>114</v>
      </c>
      <c r="E129" s="12" t="s">
        <v>115</v>
      </c>
      <c r="F129" s="12" t="s">
        <v>279</v>
      </c>
      <c r="G129" s="12" t="s">
        <v>280</v>
      </c>
      <c r="H129" s="12" t="n">
        <v>37</v>
      </c>
      <c r="I129" s="12" t="s">
        <v>239</v>
      </c>
      <c r="J129" s="12" t="s">
        <v>117</v>
      </c>
      <c r="K129" s="37" t="n">
        <f aca="false">IF(ISNUMBER('Section Bills'!L37),'Section Bills'!L37,"")</f>
        <v>75600</v>
      </c>
      <c r="L129" s="37" t="n">
        <f aca="false">IF(ISNUMBER('Section Bills'!M37),'Section Bills'!M37,"")</f>
        <v>72000</v>
      </c>
      <c r="M129" s="20" t="n">
        <f aca="false">Controls!$B$7</f>
        <v>0.025</v>
      </c>
      <c r="N129" s="20" t="n">
        <f aca="false">IF(AND(ISNUMBER(K129),ISNUMBER(L129),L129&gt;0),K129/L129*(1-M129),"")</f>
        <v>1.02375</v>
      </c>
      <c r="O129" s="14"/>
      <c r="P129" s="21" t="n">
        <f aca="false">IF(O129="",0,COUNTIFS('Gap Migration'!$G$7:$G$91,O129,'Gap Migration'!$J$7:$J$91,1))</f>
        <v>0</v>
      </c>
      <c r="Q129" s="14" t="n">
        <v>0</v>
      </c>
      <c r="R129" s="14" t="n">
        <v>0</v>
      </c>
      <c r="S129" s="21" t="str">
        <f aca="false">IF(ISNUMBER(N129),IF(N129&gt;=Controls!$B$8,"DESIGN CLOSE","NEGATIVE"),IF(P129=1,"MEASUREMENT READY","UNSCOPED"))</f>
        <v>DESIGN CLOSE</v>
      </c>
      <c r="T129" s="21" t="str">
        <f aca="false">IF(S129="DESIGN CLOSE","root-native section bill",IF(S129="MEASUREMENT READY","executable protocol; observation empty","return to architecture"))</f>
        <v>root-native section bill</v>
      </c>
      <c r="U129" s="14" t="n">
        <v>0</v>
      </c>
    </row>
    <row r="130" customFormat="false" ht="15" hidden="false" customHeight="false" outlineLevel="0" collapsed="false">
      <c r="A130" s="12" t="s">
        <v>474</v>
      </c>
      <c r="B130" s="12" t="s">
        <v>51</v>
      </c>
      <c r="C130" s="12" t="s">
        <v>52</v>
      </c>
      <c r="D130" s="12" t="s">
        <v>114</v>
      </c>
      <c r="E130" s="12" t="s">
        <v>115</v>
      </c>
      <c r="F130" s="12" t="s">
        <v>282</v>
      </c>
      <c r="G130" s="12" t="s">
        <v>283</v>
      </c>
      <c r="H130" s="12" t="n">
        <v>37</v>
      </c>
      <c r="I130" s="12" t="s">
        <v>239</v>
      </c>
      <c r="J130" s="12" t="s">
        <v>117</v>
      </c>
      <c r="K130" s="37"/>
      <c r="L130" s="37"/>
      <c r="M130" s="20" t="n">
        <f aca="false">Controls!$B$7</f>
        <v>0.025</v>
      </c>
      <c r="N130" s="20" t="str">
        <f aca="false">IF(AND(ISNUMBER(K130),ISNUMBER(L130),L130&gt;0),K130/L130*(1-M130),"")</f>
        <v/>
      </c>
      <c r="O130" s="14" t="s">
        <v>475</v>
      </c>
      <c r="P130" s="21" t="n">
        <f aca="false">IF(O130="",0,COUNTIFS('Gap Migration'!$G$7:$G$91,O130,'Gap Migration'!$J$7:$J$91,1))</f>
        <v>1</v>
      </c>
      <c r="Q130" s="14" t="n">
        <v>0</v>
      </c>
      <c r="R130" s="14" t="n">
        <v>0</v>
      </c>
      <c r="S130" s="21" t="str">
        <f aca="false">IF(ISNUMBER(N130),IF(N130&gt;=Controls!$B$8,"DESIGN CLOSE","NEGATIVE"),IF(P130=1,"MEASUREMENT READY","UNSCOPED"))</f>
        <v>MEASUREMENT READY</v>
      </c>
      <c r="T130" s="21" t="str">
        <f aca="false">IF(S130="DESIGN CLOSE","root-native section bill",IF(S130="MEASUREMENT READY","executable protocol; observation empty","return to architecture"))</f>
        <v>executable protocol; observation empty</v>
      </c>
      <c r="U130" s="14" t="n">
        <v>0</v>
      </c>
    </row>
    <row r="131" customFormat="false" ht="15" hidden="false" customHeight="false" outlineLevel="0" collapsed="false">
      <c r="A131" s="12" t="s">
        <v>476</v>
      </c>
      <c r="B131" s="12" t="s">
        <v>51</v>
      </c>
      <c r="C131" s="12" t="s">
        <v>52</v>
      </c>
      <c r="D131" s="12" t="s">
        <v>121</v>
      </c>
      <c r="E131" s="12" t="s">
        <v>122</v>
      </c>
      <c r="F131" s="12" t="s">
        <v>272</v>
      </c>
      <c r="G131" s="12" t="s">
        <v>273</v>
      </c>
      <c r="H131" s="12" t="n">
        <v>38</v>
      </c>
      <c r="I131" s="12" t="s">
        <v>242</v>
      </c>
      <c r="J131" s="12" t="s">
        <v>124</v>
      </c>
      <c r="K131" s="37" t="n">
        <f aca="false">IF(ISNUMBER('Section Bills'!J38),'Section Bills'!J38,"")</f>
        <v>185.5</v>
      </c>
      <c r="L131" s="37" t="n">
        <f aca="false">IF(ISNUMBER('Section Bills'!K38),'Section Bills'!K38,"")</f>
        <v>155</v>
      </c>
      <c r="M131" s="20" t="n">
        <f aca="false">Controls!$B$7</f>
        <v>0.025</v>
      </c>
      <c r="N131" s="20" t="n">
        <f aca="false">IF(AND(ISNUMBER(K131),ISNUMBER(L131),L131&gt;0),K131/L131*(1-M131),"")</f>
        <v>1.16685483870968</v>
      </c>
      <c r="O131" s="14"/>
      <c r="P131" s="21" t="n">
        <f aca="false">IF(O131="",0,COUNTIFS('Gap Migration'!$G$7:$G$91,O131,'Gap Migration'!$J$7:$J$91,1))</f>
        <v>0</v>
      </c>
      <c r="Q131" s="14" t="n">
        <v>0</v>
      </c>
      <c r="R131" s="14" t="n">
        <v>0</v>
      </c>
      <c r="S131" s="21" t="str">
        <f aca="false">IF(ISNUMBER(N131),IF(N131&gt;=Controls!$B$8,"DESIGN CLOSE","NEGATIVE"),IF(P131=1,"MEASUREMENT READY","UNSCOPED"))</f>
        <v>DESIGN CLOSE</v>
      </c>
      <c r="T131" s="21" t="str">
        <f aca="false">IF(S131="DESIGN CLOSE","root-native section bill",IF(S131="MEASUREMENT READY","executable protocol; observation empty","return to architecture"))</f>
        <v>root-native section bill</v>
      </c>
      <c r="U131" s="14" t="n">
        <v>0</v>
      </c>
    </row>
    <row r="132" customFormat="false" ht="15" hidden="false" customHeight="false" outlineLevel="0" collapsed="false">
      <c r="A132" s="12" t="s">
        <v>477</v>
      </c>
      <c r="B132" s="12" t="s">
        <v>51</v>
      </c>
      <c r="C132" s="12" t="s">
        <v>52</v>
      </c>
      <c r="D132" s="12" t="s">
        <v>121</v>
      </c>
      <c r="E132" s="12" t="s">
        <v>122</v>
      </c>
      <c r="F132" s="12" t="s">
        <v>275</v>
      </c>
      <c r="G132" s="12" t="s">
        <v>276</v>
      </c>
      <c r="H132" s="12" t="n">
        <v>38</v>
      </c>
      <c r="I132" s="12" t="s">
        <v>242</v>
      </c>
      <c r="J132" s="12" t="s">
        <v>124</v>
      </c>
      <c r="K132" s="37"/>
      <c r="L132" s="37"/>
      <c r="M132" s="20" t="n">
        <f aca="false">Controls!$B$7</f>
        <v>0.025</v>
      </c>
      <c r="N132" s="20" t="str">
        <f aca="false">IF(AND(ISNUMBER(K132),ISNUMBER(L132),L132&gt;0),K132/L132*(1-M132),"")</f>
        <v/>
      </c>
      <c r="O132" s="14" t="s">
        <v>478</v>
      </c>
      <c r="P132" s="21" t="n">
        <f aca="false">IF(O132="",0,COUNTIFS('Gap Migration'!$G$7:$G$91,O132,'Gap Migration'!$J$7:$J$91,1))</f>
        <v>1</v>
      </c>
      <c r="Q132" s="14" t="n">
        <v>0</v>
      </c>
      <c r="R132" s="14" t="n">
        <v>0</v>
      </c>
      <c r="S132" s="21" t="str">
        <f aca="false">IF(ISNUMBER(N132),IF(N132&gt;=Controls!$B$8,"DESIGN CLOSE","NEGATIVE"),IF(P132=1,"MEASUREMENT READY","UNSCOPED"))</f>
        <v>MEASUREMENT READY</v>
      </c>
      <c r="T132" s="21" t="str">
        <f aca="false">IF(S132="DESIGN CLOSE","root-native section bill",IF(S132="MEASUREMENT READY","executable protocol; observation empty","return to architecture"))</f>
        <v>executable protocol; observation empty</v>
      </c>
      <c r="U132" s="14" t="n">
        <v>0</v>
      </c>
    </row>
    <row r="133" customFormat="false" ht="15" hidden="false" customHeight="false" outlineLevel="0" collapsed="false">
      <c r="A133" s="12" t="s">
        <v>479</v>
      </c>
      <c r="B133" s="12" t="s">
        <v>51</v>
      </c>
      <c r="C133" s="12" t="s">
        <v>52</v>
      </c>
      <c r="D133" s="12" t="s">
        <v>121</v>
      </c>
      <c r="E133" s="12" t="s">
        <v>122</v>
      </c>
      <c r="F133" s="12" t="s">
        <v>279</v>
      </c>
      <c r="G133" s="12" t="s">
        <v>280</v>
      </c>
      <c r="H133" s="12" t="n">
        <v>38</v>
      </c>
      <c r="I133" s="12" t="s">
        <v>242</v>
      </c>
      <c r="J133" s="12" t="s">
        <v>124</v>
      </c>
      <c r="K133" s="37" t="n">
        <f aca="false">IF(ISNUMBER('Section Bills'!L38),'Section Bills'!L38,"")</f>
        <v>159</v>
      </c>
      <c r="L133" s="37" t="n">
        <f aca="false">IF(ISNUMBER('Section Bills'!M38),'Section Bills'!M38,"")</f>
        <v>155</v>
      </c>
      <c r="M133" s="20" t="n">
        <f aca="false">Controls!$B$7</f>
        <v>0.025</v>
      </c>
      <c r="N133" s="20" t="n">
        <f aca="false">IF(AND(ISNUMBER(K133),ISNUMBER(L133),L133&gt;0),K133/L133*(1-M133),"")</f>
        <v>1.00016129032258</v>
      </c>
      <c r="O133" s="14"/>
      <c r="P133" s="21" t="n">
        <f aca="false">IF(O133="",0,COUNTIFS('Gap Migration'!$G$7:$G$91,O133,'Gap Migration'!$J$7:$J$91,1))</f>
        <v>0</v>
      </c>
      <c r="Q133" s="14" t="n">
        <v>0</v>
      </c>
      <c r="R133" s="14" t="n">
        <v>0</v>
      </c>
      <c r="S133" s="21" t="str">
        <f aca="false">IF(ISNUMBER(N133),IF(N133&gt;=Controls!$B$8,"DESIGN CLOSE","NEGATIVE"),IF(P133=1,"MEASUREMENT READY","UNSCOPED"))</f>
        <v>DESIGN CLOSE</v>
      </c>
      <c r="T133" s="21" t="str">
        <f aca="false">IF(S133="DESIGN CLOSE","root-native section bill",IF(S133="MEASUREMENT READY","executable protocol; observation empty","return to architecture"))</f>
        <v>root-native section bill</v>
      </c>
      <c r="U133" s="14" t="n">
        <v>0</v>
      </c>
    </row>
    <row r="134" customFormat="false" ht="15" hidden="false" customHeight="false" outlineLevel="0" collapsed="false">
      <c r="A134" s="12" t="s">
        <v>480</v>
      </c>
      <c r="B134" s="12" t="s">
        <v>51</v>
      </c>
      <c r="C134" s="12" t="s">
        <v>52</v>
      </c>
      <c r="D134" s="12" t="s">
        <v>121</v>
      </c>
      <c r="E134" s="12" t="s">
        <v>122</v>
      </c>
      <c r="F134" s="12" t="s">
        <v>282</v>
      </c>
      <c r="G134" s="12" t="s">
        <v>283</v>
      </c>
      <c r="H134" s="12" t="n">
        <v>38</v>
      </c>
      <c r="I134" s="12" t="s">
        <v>242</v>
      </c>
      <c r="J134" s="12" t="s">
        <v>124</v>
      </c>
      <c r="K134" s="37"/>
      <c r="L134" s="37"/>
      <c r="M134" s="20" t="n">
        <f aca="false">Controls!$B$7</f>
        <v>0.025</v>
      </c>
      <c r="N134" s="20" t="str">
        <f aca="false">IF(AND(ISNUMBER(K134),ISNUMBER(L134),L134&gt;0),K134/L134*(1-M134),"")</f>
        <v/>
      </c>
      <c r="O134" s="14" t="s">
        <v>481</v>
      </c>
      <c r="P134" s="21" t="n">
        <f aca="false">IF(O134="",0,COUNTIFS('Gap Migration'!$G$7:$G$91,O134,'Gap Migration'!$J$7:$J$91,1))</f>
        <v>1</v>
      </c>
      <c r="Q134" s="14" t="n">
        <v>0</v>
      </c>
      <c r="R134" s="14" t="n">
        <v>0</v>
      </c>
      <c r="S134" s="21" t="str">
        <f aca="false">IF(ISNUMBER(N134),IF(N134&gt;=Controls!$B$8,"DESIGN CLOSE","NEGATIVE"),IF(P134=1,"MEASUREMENT READY","UNSCOPED"))</f>
        <v>MEASUREMENT READY</v>
      </c>
      <c r="T134" s="21" t="str">
        <f aca="false">IF(S134="DESIGN CLOSE","root-native section bill",IF(S134="MEASUREMENT READY","executable protocol; observation empty","return to architecture"))</f>
        <v>executable protocol; observation empty</v>
      </c>
      <c r="U134" s="14" t="n">
        <v>0</v>
      </c>
    </row>
    <row r="135" customFormat="false" ht="15" hidden="false" customHeight="false" outlineLevel="0" collapsed="false">
      <c r="A135" s="12" t="s">
        <v>482</v>
      </c>
      <c r="B135" s="12" t="s">
        <v>51</v>
      </c>
      <c r="C135" s="12" t="s">
        <v>52</v>
      </c>
      <c r="D135" s="12" t="s">
        <v>128</v>
      </c>
      <c r="E135" s="12" t="s">
        <v>129</v>
      </c>
      <c r="F135" s="12" t="s">
        <v>272</v>
      </c>
      <c r="G135" s="12" t="s">
        <v>273</v>
      </c>
      <c r="H135" s="12" t="n">
        <v>39</v>
      </c>
      <c r="I135" s="12" t="s">
        <v>246</v>
      </c>
      <c r="J135" s="12" t="s">
        <v>63</v>
      </c>
      <c r="K135" s="37" t="n">
        <f aca="false">IF(ISNUMBER('Section Bills'!J39),'Section Bills'!J39,"")</f>
        <v>1.3</v>
      </c>
      <c r="L135" s="37" t="n">
        <f aca="false">IF(ISNUMBER('Section Bills'!K39),'Section Bills'!K39,"")</f>
        <v>1</v>
      </c>
      <c r="M135" s="20" t="n">
        <f aca="false">Controls!$B$7</f>
        <v>0.025</v>
      </c>
      <c r="N135" s="20" t="n">
        <f aca="false">IF(AND(ISNUMBER(K135),ISNUMBER(L135),L135&gt;0),K135/L135*(1-M135),"")</f>
        <v>1.2675</v>
      </c>
      <c r="O135" s="14"/>
      <c r="P135" s="21" t="n">
        <f aca="false">IF(O135="",0,COUNTIFS('Gap Migration'!$G$7:$G$91,O135,'Gap Migration'!$J$7:$J$91,1))</f>
        <v>0</v>
      </c>
      <c r="Q135" s="14" t="n">
        <v>0</v>
      </c>
      <c r="R135" s="14" t="n">
        <v>0</v>
      </c>
      <c r="S135" s="21" t="str">
        <f aca="false">IF(ISNUMBER(N135),IF(N135&gt;=Controls!$B$8,"DESIGN CLOSE","NEGATIVE"),IF(P135=1,"MEASUREMENT READY","UNSCOPED"))</f>
        <v>DESIGN CLOSE</v>
      </c>
      <c r="T135" s="21" t="str">
        <f aca="false">IF(S135="DESIGN CLOSE","root-native section bill",IF(S135="MEASUREMENT READY","executable protocol; observation empty","return to architecture"))</f>
        <v>root-native section bill</v>
      </c>
      <c r="U135" s="14" t="n">
        <v>0</v>
      </c>
    </row>
    <row r="136" customFormat="false" ht="15" hidden="false" customHeight="false" outlineLevel="0" collapsed="false">
      <c r="A136" s="12" t="s">
        <v>483</v>
      </c>
      <c r="B136" s="12" t="s">
        <v>51</v>
      </c>
      <c r="C136" s="12" t="s">
        <v>52</v>
      </c>
      <c r="D136" s="12" t="s">
        <v>128</v>
      </c>
      <c r="E136" s="12" t="s">
        <v>129</v>
      </c>
      <c r="F136" s="12" t="s">
        <v>275</v>
      </c>
      <c r="G136" s="12" t="s">
        <v>276</v>
      </c>
      <c r="H136" s="12" t="n">
        <v>39</v>
      </c>
      <c r="I136" s="12" t="s">
        <v>246</v>
      </c>
      <c r="J136" s="12" t="s">
        <v>63</v>
      </c>
      <c r="K136" s="37"/>
      <c r="L136" s="37"/>
      <c r="M136" s="20" t="n">
        <f aca="false">Controls!$B$7</f>
        <v>0.025</v>
      </c>
      <c r="N136" s="20" t="str">
        <f aca="false">IF(AND(ISNUMBER(K136),ISNUMBER(L136),L136&gt;0),K136/L136*(1-M136),"")</f>
        <v/>
      </c>
      <c r="O136" s="14" t="s">
        <v>484</v>
      </c>
      <c r="P136" s="21" t="n">
        <f aca="false">IF(O136="",0,COUNTIFS('Gap Migration'!$G$7:$G$91,O136,'Gap Migration'!$J$7:$J$91,1))</f>
        <v>1</v>
      </c>
      <c r="Q136" s="14" t="n">
        <v>0</v>
      </c>
      <c r="R136" s="14" t="n">
        <v>0</v>
      </c>
      <c r="S136" s="21" t="str">
        <f aca="false">IF(ISNUMBER(N136),IF(N136&gt;=Controls!$B$8,"DESIGN CLOSE","NEGATIVE"),IF(P136=1,"MEASUREMENT READY","UNSCOPED"))</f>
        <v>MEASUREMENT READY</v>
      </c>
      <c r="T136" s="21" t="str">
        <f aca="false">IF(S136="DESIGN CLOSE","root-native section bill",IF(S136="MEASUREMENT READY","executable protocol; observation empty","return to architecture"))</f>
        <v>executable protocol; observation empty</v>
      </c>
      <c r="U136" s="14" t="n">
        <v>0</v>
      </c>
    </row>
    <row r="137" customFormat="false" ht="15" hidden="false" customHeight="false" outlineLevel="0" collapsed="false">
      <c r="A137" s="12" t="s">
        <v>485</v>
      </c>
      <c r="B137" s="12" t="s">
        <v>51</v>
      </c>
      <c r="C137" s="12" t="s">
        <v>52</v>
      </c>
      <c r="D137" s="12" t="s">
        <v>128</v>
      </c>
      <c r="E137" s="12" t="s">
        <v>129</v>
      </c>
      <c r="F137" s="12" t="s">
        <v>279</v>
      </c>
      <c r="G137" s="12" t="s">
        <v>280</v>
      </c>
      <c r="H137" s="12" t="n">
        <v>39</v>
      </c>
      <c r="I137" s="12" t="s">
        <v>246</v>
      </c>
      <c r="J137" s="12" t="s">
        <v>63</v>
      </c>
      <c r="K137" s="37" t="n">
        <f aca="false">IF(ISNUMBER('Section Bills'!L39),'Section Bills'!L39,"")</f>
        <v>1.04</v>
      </c>
      <c r="L137" s="37" t="n">
        <f aca="false">IF(ISNUMBER('Section Bills'!M39),'Section Bills'!M39,"")</f>
        <v>1</v>
      </c>
      <c r="M137" s="20" t="n">
        <f aca="false">Controls!$B$7</f>
        <v>0.025</v>
      </c>
      <c r="N137" s="20" t="n">
        <f aca="false">IF(AND(ISNUMBER(K137),ISNUMBER(L137),L137&gt;0),K137/L137*(1-M137),"")</f>
        <v>1.014</v>
      </c>
      <c r="O137" s="14"/>
      <c r="P137" s="21" t="n">
        <f aca="false">IF(O137="",0,COUNTIFS('Gap Migration'!$G$7:$G$91,O137,'Gap Migration'!$J$7:$J$91,1))</f>
        <v>0</v>
      </c>
      <c r="Q137" s="14" t="n">
        <v>0</v>
      </c>
      <c r="R137" s="14" t="n">
        <v>0</v>
      </c>
      <c r="S137" s="21" t="str">
        <f aca="false">IF(ISNUMBER(N137),IF(N137&gt;=Controls!$B$8,"DESIGN CLOSE","NEGATIVE"),IF(P137=1,"MEASUREMENT READY","UNSCOPED"))</f>
        <v>DESIGN CLOSE</v>
      </c>
      <c r="T137" s="21" t="str">
        <f aca="false">IF(S137="DESIGN CLOSE","root-native section bill",IF(S137="MEASUREMENT READY","executable protocol; observation empty","return to architecture"))</f>
        <v>root-native section bill</v>
      </c>
      <c r="U137" s="14" t="n">
        <v>0</v>
      </c>
    </row>
    <row r="138" customFormat="false" ht="15" hidden="false" customHeight="false" outlineLevel="0" collapsed="false">
      <c r="A138" s="12" t="s">
        <v>486</v>
      </c>
      <c r="B138" s="12" t="s">
        <v>51</v>
      </c>
      <c r="C138" s="12" t="s">
        <v>52</v>
      </c>
      <c r="D138" s="12" t="s">
        <v>128</v>
      </c>
      <c r="E138" s="12" t="s">
        <v>129</v>
      </c>
      <c r="F138" s="12" t="s">
        <v>282</v>
      </c>
      <c r="G138" s="12" t="s">
        <v>283</v>
      </c>
      <c r="H138" s="12" t="n">
        <v>39</v>
      </c>
      <c r="I138" s="12" t="s">
        <v>246</v>
      </c>
      <c r="J138" s="12" t="s">
        <v>63</v>
      </c>
      <c r="K138" s="37"/>
      <c r="L138" s="37"/>
      <c r="M138" s="20" t="n">
        <f aca="false">Controls!$B$7</f>
        <v>0.025</v>
      </c>
      <c r="N138" s="20" t="str">
        <f aca="false">IF(AND(ISNUMBER(K138),ISNUMBER(L138),L138&gt;0),K138/L138*(1-M138),"")</f>
        <v/>
      </c>
      <c r="O138" s="14" t="s">
        <v>487</v>
      </c>
      <c r="P138" s="21" t="n">
        <f aca="false">IF(O138="",0,COUNTIFS('Gap Migration'!$G$7:$G$91,O138,'Gap Migration'!$J$7:$J$91,1))</f>
        <v>1</v>
      </c>
      <c r="Q138" s="14" t="n">
        <v>0</v>
      </c>
      <c r="R138" s="14" t="n">
        <v>0</v>
      </c>
      <c r="S138" s="21" t="str">
        <f aca="false">IF(ISNUMBER(N138),IF(N138&gt;=Controls!$B$8,"DESIGN CLOSE","NEGATIVE"),IF(P138=1,"MEASUREMENT READY","UNSCOPED"))</f>
        <v>MEASUREMENT READY</v>
      </c>
      <c r="T138" s="21" t="str">
        <f aca="false">IF(S138="DESIGN CLOSE","root-native section bill",IF(S138="MEASUREMENT READY","executable protocol; observation empty","return to architecture"))</f>
        <v>executable protocol; observation empty</v>
      </c>
      <c r="U138" s="14" t="n">
        <v>0</v>
      </c>
    </row>
    <row r="139" customFormat="false" ht="15" hidden="false" customHeight="false" outlineLevel="0" collapsed="false">
      <c r="A139" s="12" t="s">
        <v>488</v>
      </c>
      <c r="B139" s="12" t="s">
        <v>51</v>
      </c>
      <c r="C139" s="12" t="s">
        <v>52</v>
      </c>
      <c r="D139" s="12" t="s">
        <v>135</v>
      </c>
      <c r="E139" s="12" t="s">
        <v>136</v>
      </c>
      <c r="F139" s="12" t="s">
        <v>272</v>
      </c>
      <c r="G139" s="12" t="s">
        <v>273</v>
      </c>
      <c r="H139" s="12" t="n">
        <v>40</v>
      </c>
      <c r="I139" s="12" t="s">
        <v>249</v>
      </c>
      <c r="J139" s="12" t="s">
        <v>63</v>
      </c>
      <c r="K139" s="37" t="n">
        <f aca="false">IF(ISNUMBER('Section Bills'!J40),'Section Bills'!J40,"")</f>
        <v>1.18125</v>
      </c>
      <c r="L139" s="37" t="n">
        <f aca="false">IF(ISNUMBER('Section Bills'!K40),'Section Bills'!K40,"")</f>
        <v>1</v>
      </c>
      <c r="M139" s="20" t="n">
        <f aca="false">Controls!$B$7</f>
        <v>0.025</v>
      </c>
      <c r="N139" s="20" t="n">
        <f aca="false">IF(AND(ISNUMBER(K139),ISNUMBER(L139),L139&gt;0),K139/L139*(1-M139),"")</f>
        <v>1.15171875</v>
      </c>
      <c r="O139" s="14"/>
      <c r="P139" s="21" t="n">
        <f aca="false">IF(O139="",0,COUNTIFS('Gap Migration'!$G$7:$G$91,O139,'Gap Migration'!$J$7:$J$91,1))</f>
        <v>0</v>
      </c>
      <c r="Q139" s="14" t="n">
        <v>0</v>
      </c>
      <c r="R139" s="14" t="n">
        <v>0</v>
      </c>
      <c r="S139" s="21" t="str">
        <f aca="false">IF(ISNUMBER(N139),IF(N139&gt;=Controls!$B$8,"DESIGN CLOSE","NEGATIVE"),IF(P139=1,"MEASUREMENT READY","UNSCOPED"))</f>
        <v>DESIGN CLOSE</v>
      </c>
      <c r="T139" s="21" t="str">
        <f aca="false">IF(S139="DESIGN CLOSE","root-native section bill",IF(S139="MEASUREMENT READY","executable protocol; observation empty","return to architecture"))</f>
        <v>root-native section bill</v>
      </c>
      <c r="U139" s="14" t="n">
        <v>0</v>
      </c>
    </row>
    <row r="140" customFormat="false" ht="15" hidden="false" customHeight="false" outlineLevel="0" collapsed="false">
      <c r="A140" s="12" t="s">
        <v>489</v>
      </c>
      <c r="B140" s="12" t="s">
        <v>51</v>
      </c>
      <c r="C140" s="12" t="s">
        <v>52</v>
      </c>
      <c r="D140" s="12" t="s">
        <v>135</v>
      </c>
      <c r="E140" s="12" t="s">
        <v>136</v>
      </c>
      <c r="F140" s="12" t="s">
        <v>275</v>
      </c>
      <c r="G140" s="12" t="s">
        <v>276</v>
      </c>
      <c r="H140" s="12" t="n">
        <v>40</v>
      </c>
      <c r="I140" s="12" t="s">
        <v>249</v>
      </c>
      <c r="J140" s="12" t="s">
        <v>63</v>
      </c>
      <c r="K140" s="37"/>
      <c r="L140" s="37"/>
      <c r="M140" s="20" t="n">
        <f aca="false">Controls!$B$7</f>
        <v>0.025</v>
      </c>
      <c r="N140" s="20" t="str">
        <f aca="false">IF(AND(ISNUMBER(K140),ISNUMBER(L140),L140&gt;0),K140/L140*(1-M140),"")</f>
        <v/>
      </c>
      <c r="O140" s="14" t="s">
        <v>490</v>
      </c>
      <c r="P140" s="21" t="n">
        <f aca="false">IF(O140="",0,COUNTIFS('Gap Migration'!$G$7:$G$91,O140,'Gap Migration'!$J$7:$J$91,1))</f>
        <v>1</v>
      </c>
      <c r="Q140" s="14" t="n">
        <v>0</v>
      </c>
      <c r="R140" s="14" t="n">
        <v>0</v>
      </c>
      <c r="S140" s="21" t="str">
        <f aca="false">IF(ISNUMBER(N140),IF(N140&gt;=Controls!$B$8,"DESIGN CLOSE","NEGATIVE"),IF(P140=1,"MEASUREMENT READY","UNSCOPED"))</f>
        <v>MEASUREMENT READY</v>
      </c>
      <c r="T140" s="21" t="str">
        <f aca="false">IF(S140="DESIGN CLOSE","root-native section bill",IF(S140="MEASUREMENT READY","executable protocol; observation empty","return to architecture"))</f>
        <v>executable protocol; observation empty</v>
      </c>
      <c r="U140" s="14" t="n">
        <v>0</v>
      </c>
    </row>
    <row r="141" customFormat="false" ht="15" hidden="false" customHeight="false" outlineLevel="0" collapsed="false">
      <c r="A141" s="12" t="s">
        <v>491</v>
      </c>
      <c r="B141" s="12" t="s">
        <v>51</v>
      </c>
      <c r="C141" s="12" t="s">
        <v>52</v>
      </c>
      <c r="D141" s="12" t="s">
        <v>135</v>
      </c>
      <c r="E141" s="12" t="s">
        <v>136</v>
      </c>
      <c r="F141" s="12" t="s">
        <v>279</v>
      </c>
      <c r="G141" s="12" t="s">
        <v>280</v>
      </c>
      <c r="H141" s="12" t="n">
        <v>40</v>
      </c>
      <c r="I141" s="12" t="s">
        <v>249</v>
      </c>
      <c r="J141" s="12" t="s">
        <v>63</v>
      </c>
      <c r="K141" s="37" t="n">
        <f aca="false">IF(ISNUMBER('Section Bills'!L40),'Section Bills'!L40,"")</f>
        <v>1.05</v>
      </c>
      <c r="L141" s="37" t="n">
        <f aca="false">IF(ISNUMBER('Section Bills'!M40),'Section Bills'!M40,"")</f>
        <v>1</v>
      </c>
      <c r="M141" s="20" t="n">
        <f aca="false">Controls!$B$7</f>
        <v>0.025</v>
      </c>
      <c r="N141" s="20" t="n">
        <f aca="false">IF(AND(ISNUMBER(K141),ISNUMBER(L141),L141&gt;0),K141/L141*(1-M141),"")</f>
        <v>1.02375</v>
      </c>
      <c r="O141" s="14"/>
      <c r="P141" s="21" t="n">
        <f aca="false">IF(O141="",0,COUNTIFS('Gap Migration'!$G$7:$G$91,O141,'Gap Migration'!$J$7:$J$91,1))</f>
        <v>0</v>
      </c>
      <c r="Q141" s="14" t="n">
        <v>0</v>
      </c>
      <c r="R141" s="14" t="n">
        <v>0</v>
      </c>
      <c r="S141" s="21" t="str">
        <f aca="false">IF(ISNUMBER(N141),IF(N141&gt;=Controls!$B$8,"DESIGN CLOSE","NEGATIVE"),IF(P141=1,"MEASUREMENT READY","UNSCOPED"))</f>
        <v>DESIGN CLOSE</v>
      </c>
      <c r="T141" s="21" t="str">
        <f aca="false">IF(S141="DESIGN CLOSE","root-native section bill",IF(S141="MEASUREMENT READY","executable protocol; observation empty","return to architecture"))</f>
        <v>root-native section bill</v>
      </c>
      <c r="U141" s="14" t="n">
        <v>0</v>
      </c>
    </row>
    <row r="142" customFormat="false" ht="15" hidden="false" customHeight="false" outlineLevel="0" collapsed="false">
      <c r="A142" s="12" t="s">
        <v>492</v>
      </c>
      <c r="B142" s="12" t="s">
        <v>51</v>
      </c>
      <c r="C142" s="12" t="s">
        <v>52</v>
      </c>
      <c r="D142" s="12" t="s">
        <v>135</v>
      </c>
      <c r="E142" s="12" t="s">
        <v>136</v>
      </c>
      <c r="F142" s="12" t="s">
        <v>282</v>
      </c>
      <c r="G142" s="12" t="s">
        <v>283</v>
      </c>
      <c r="H142" s="12" t="n">
        <v>40</v>
      </c>
      <c r="I142" s="12" t="s">
        <v>249</v>
      </c>
      <c r="J142" s="12" t="s">
        <v>63</v>
      </c>
      <c r="K142" s="37"/>
      <c r="L142" s="37"/>
      <c r="M142" s="20" t="n">
        <f aca="false">Controls!$B$7</f>
        <v>0.025</v>
      </c>
      <c r="N142" s="20" t="str">
        <f aca="false">IF(AND(ISNUMBER(K142),ISNUMBER(L142),L142&gt;0),K142/L142*(1-M142),"")</f>
        <v/>
      </c>
      <c r="O142" s="14" t="s">
        <v>493</v>
      </c>
      <c r="P142" s="21" t="n">
        <f aca="false">IF(O142="",0,COUNTIFS('Gap Migration'!$G$7:$G$91,O142,'Gap Migration'!$J$7:$J$91,1))</f>
        <v>1</v>
      </c>
      <c r="Q142" s="14" t="n">
        <v>0</v>
      </c>
      <c r="R142" s="14" t="n">
        <v>0</v>
      </c>
      <c r="S142" s="21" t="str">
        <f aca="false">IF(ISNUMBER(N142),IF(N142&gt;=Controls!$B$8,"DESIGN CLOSE","NEGATIVE"),IF(P142=1,"MEASUREMENT READY","UNSCOPED"))</f>
        <v>MEASUREMENT READY</v>
      </c>
      <c r="T142" s="21" t="str">
        <f aca="false">IF(S142="DESIGN CLOSE","root-native section bill",IF(S142="MEASUREMENT READY","executable protocol; observation empty","return to architecture"))</f>
        <v>executable protocol; observation empty</v>
      </c>
      <c r="U142" s="14" t="n">
        <v>0</v>
      </c>
    </row>
    <row r="143" customFormat="false" ht="15" hidden="false" customHeight="false" outlineLevel="0" collapsed="false">
      <c r="A143" s="12" t="s">
        <v>494</v>
      </c>
      <c r="B143" s="12" t="s">
        <v>51</v>
      </c>
      <c r="C143" s="12" t="s">
        <v>52</v>
      </c>
      <c r="D143" s="12" t="s">
        <v>140</v>
      </c>
      <c r="E143" s="12" t="s">
        <v>141</v>
      </c>
      <c r="F143" s="12" t="s">
        <v>272</v>
      </c>
      <c r="G143" s="12" t="s">
        <v>273</v>
      </c>
      <c r="H143" s="12" t="n">
        <v>41</v>
      </c>
      <c r="I143" s="12" t="s">
        <v>252</v>
      </c>
      <c r="J143" s="12" t="s">
        <v>143</v>
      </c>
      <c r="K143" s="37" t="n">
        <f aca="false">IF(ISNUMBER('Section Bills'!J41),'Section Bills'!J41,"")</f>
        <v>1512</v>
      </c>
      <c r="L143" s="37" t="n">
        <f aca="false">IF(ISNUMBER('Section Bills'!K41),'Section Bills'!K41,"")</f>
        <v>1200</v>
      </c>
      <c r="M143" s="20" t="n">
        <f aca="false">Controls!$B$7</f>
        <v>0.025</v>
      </c>
      <c r="N143" s="20" t="n">
        <f aca="false">IF(AND(ISNUMBER(K143),ISNUMBER(L143),L143&gt;0),K143/L143*(1-M143),"")</f>
        <v>1.2285</v>
      </c>
      <c r="O143" s="14"/>
      <c r="P143" s="21" t="n">
        <f aca="false">IF(O143="",0,COUNTIFS('Gap Migration'!$G$7:$G$91,O143,'Gap Migration'!$J$7:$J$91,1))</f>
        <v>0</v>
      </c>
      <c r="Q143" s="14" t="n">
        <v>0</v>
      </c>
      <c r="R143" s="14" t="n">
        <v>0</v>
      </c>
      <c r="S143" s="21" t="str">
        <f aca="false">IF(ISNUMBER(N143),IF(N143&gt;=Controls!$B$8,"DESIGN CLOSE","NEGATIVE"),IF(P143=1,"MEASUREMENT READY","UNSCOPED"))</f>
        <v>DESIGN CLOSE</v>
      </c>
      <c r="T143" s="21" t="str">
        <f aca="false">IF(S143="DESIGN CLOSE","root-native section bill",IF(S143="MEASUREMENT READY","executable protocol; observation empty","return to architecture"))</f>
        <v>root-native section bill</v>
      </c>
      <c r="U143" s="14" t="n">
        <v>0</v>
      </c>
    </row>
    <row r="144" customFormat="false" ht="15" hidden="false" customHeight="false" outlineLevel="0" collapsed="false">
      <c r="A144" s="12" t="s">
        <v>495</v>
      </c>
      <c r="B144" s="12" t="s">
        <v>51</v>
      </c>
      <c r="C144" s="12" t="s">
        <v>52</v>
      </c>
      <c r="D144" s="12" t="s">
        <v>140</v>
      </c>
      <c r="E144" s="12" t="s">
        <v>141</v>
      </c>
      <c r="F144" s="12" t="s">
        <v>275</v>
      </c>
      <c r="G144" s="12" t="s">
        <v>276</v>
      </c>
      <c r="H144" s="12" t="n">
        <v>41</v>
      </c>
      <c r="I144" s="12" t="s">
        <v>252</v>
      </c>
      <c r="J144" s="12" t="s">
        <v>143</v>
      </c>
      <c r="K144" s="37"/>
      <c r="L144" s="37"/>
      <c r="M144" s="20" t="n">
        <f aca="false">Controls!$B$7</f>
        <v>0.025</v>
      </c>
      <c r="N144" s="20" t="str">
        <f aca="false">IF(AND(ISNUMBER(K144),ISNUMBER(L144),L144&gt;0),K144/L144*(1-M144),"")</f>
        <v/>
      </c>
      <c r="O144" s="14" t="s">
        <v>496</v>
      </c>
      <c r="P144" s="21" t="n">
        <f aca="false">IF(O144="",0,COUNTIFS('Gap Migration'!$G$7:$G$91,O144,'Gap Migration'!$J$7:$J$91,1))</f>
        <v>1</v>
      </c>
      <c r="Q144" s="14" t="n">
        <v>0</v>
      </c>
      <c r="R144" s="14" t="n">
        <v>0</v>
      </c>
      <c r="S144" s="21" t="str">
        <f aca="false">IF(ISNUMBER(N144),IF(N144&gt;=Controls!$B$8,"DESIGN CLOSE","NEGATIVE"),IF(P144=1,"MEASUREMENT READY","UNSCOPED"))</f>
        <v>MEASUREMENT READY</v>
      </c>
      <c r="T144" s="21" t="str">
        <f aca="false">IF(S144="DESIGN CLOSE","root-native section bill",IF(S144="MEASUREMENT READY","executable protocol; observation empty","return to architecture"))</f>
        <v>executable protocol; observation empty</v>
      </c>
      <c r="U144" s="14" t="n">
        <v>0</v>
      </c>
    </row>
    <row r="145" customFormat="false" ht="15" hidden="false" customHeight="false" outlineLevel="0" collapsed="false">
      <c r="A145" s="12" t="s">
        <v>497</v>
      </c>
      <c r="B145" s="12" t="s">
        <v>51</v>
      </c>
      <c r="C145" s="12" t="s">
        <v>52</v>
      </c>
      <c r="D145" s="12" t="s">
        <v>140</v>
      </c>
      <c r="E145" s="12" t="s">
        <v>141</v>
      </c>
      <c r="F145" s="12" t="s">
        <v>279</v>
      </c>
      <c r="G145" s="12" t="s">
        <v>280</v>
      </c>
      <c r="H145" s="12" t="n">
        <v>41</v>
      </c>
      <c r="I145" s="12" t="s">
        <v>252</v>
      </c>
      <c r="J145" s="12" t="s">
        <v>143</v>
      </c>
      <c r="K145" s="37" t="n">
        <f aca="false">IF(ISNUMBER('Section Bills'!L41),'Section Bills'!L41,"")</f>
        <v>1260</v>
      </c>
      <c r="L145" s="37" t="n">
        <f aca="false">IF(ISNUMBER('Section Bills'!M41),'Section Bills'!M41,"")</f>
        <v>1200</v>
      </c>
      <c r="M145" s="20" t="n">
        <f aca="false">Controls!$B$7</f>
        <v>0.025</v>
      </c>
      <c r="N145" s="20" t="n">
        <f aca="false">IF(AND(ISNUMBER(K145),ISNUMBER(L145),L145&gt;0),K145/L145*(1-M145),"")</f>
        <v>1.02375</v>
      </c>
      <c r="O145" s="14"/>
      <c r="P145" s="21" t="n">
        <f aca="false">IF(O145="",0,COUNTIFS('Gap Migration'!$G$7:$G$91,O145,'Gap Migration'!$J$7:$J$91,1))</f>
        <v>0</v>
      </c>
      <c r="Q145" s="14" t="n">
        <v>0</v>
      </c>
      <c r="R145" s="14" t="n">
        <v>0</v>
      </c>
      <c r="S145" s="21" t="str">
        <f aca="false">IF(ISNUMBER(N145),IF(N145&gt;=Controls!$B$8,"DESIGN CLOSE","NEGATIVE"),IF(P145=1,"MEASUREMENT READY","UNSCOPED"))</f>
        <v>DESIGN CLOSE</v>
      </c>
      <c r="T145" s="21" t="str">
        <f aca="false">IF(S145="DESIGN CLOSE","root-native section bill",IF(S145="MEASUREMENT READY","executable protocol; observation empty","return to architecture"))</f>
        <v>root-native section bill</v>
      </c>
      <c r="U145" s="14" t="n">
        <v>0</v>
      </c>
    </row>
    <row r="146" customFormat="false" ht="15" hidden="false" customHeight="false" outlineLevel="0" collapsed="false">
      <c r="A146" s="12" t="s">
        <v>498</v>
      </c>
      <c r="B146" s="12" t="s">
        <v>51</v>
      </c>
      <c r="C146" s="12" t="s">
        <v>52</v>
      </c>
      <c r="D146" s="12" t="s">
        <v>140</v>
      </c>
      <c r="E146" s="12" t="s">
        <v>141</v>
      </c>
      <c r="F146" s="12" t="s">
        <v>282</v>
      </c>
      <c r="G146" s="12" t="s">
        <v>283</v>
      </c>
      <c r="H146" s="12" t="n">
        <v>41</v>
      </c>
      <c r="I146" s="12" t="s">
        <v>252</v>
      </c>
      <c r="J146" s="12" t="s">
        <v>143</v>
      </c>
      <c r="K146" s="37"/>
      <c r="L146" s="37"/>
      <c r="M146" s="20" t="n">
        <f aca="false">Controls!$B$7</f>
        <v>0.025</v>
      </c>
      <c r="N146" s="20" t="str">
        <f aca="false">IF(AND(ISNUMBER(K146),ISNUMBER(L146),L146&gt;0),K146/L146*(1-M146),"")</f>
        <v/>
      </c>
      <c r="O146" s="14" t="s">
        <v>499</v>
      </c>
      <c r="P146" s="21" t="n">
        <f aca="false">IF(O146="",0,COUNTIFS('Gap Migration'!$G$7:$G$91,O146,'Gap Migration'!$J$7:$J$91,1))</f>
        <v>1</v>
      </c>
      <c r="Q146" s="14" t="n">
        <v>0</v>
      </c>
      <c r="R146" s="14" t="n">
        <v>0</v>
      </c>
      <c r="S146" s="21" t="str">
        <f aca="false">IF(ISNUMBER(N146),IF(N146&gt;=Controls!$B$8,"DESIGN CLOSE","NEGATIVE"),IF(P146=1,"MEASUREMENT READY","UNSCOPED"))</f>
        <v>MEASUREMENT READY</v>
      </c>
      <c r="T146" s="21" t="str">
        <f aca="false">IF(S146="DESIGN CLOSE","root-native section bill",IF(S146="MEASUREMENT READY","executable protocol; observation empty","return to architecture"))</f>
        <v>executable protocol; observation empty</v>
      </c>
      <c r="U146" s="14" t="n">
        <v>0</v>
      </c>
    </row>
    <row r="147" customFormat="false" ht="15" hidden="false" customHeight="false" outlineLevel="0" collapsed="false">
      <c r="A147" s="12" t="s">
        <v>500</v>
      </c>
      <c r="B147" s="12" t="s">
        <v>51</v>
      </c>
      <c r="C147" s="12" t="s">
        <v>52</v>
      </c>
      <c r="D147" s="12" t="s">
        <v>146</v>
      </c>
      <c r="E147" s="12" t="s">
        <v>147</v>
      </c>
      <c r="F147" s="12" t="s">
        <v>272</v>
      </c>
      <c r="G147" s="12" t="s">
        <v>273</v>
      </c>
      <c r="H147" s="12" t="n">
        <v>42</v>
      </c>
      <c r="I147" s="12" t="s">
        <v>255</v>
      </c>
      <c r="J147" s="12" t="s">
        <v>149</v>
      </c>
      <c r="K147" s="37"/>
      <c r="L147" s="37"/>
      <c r="M147" s="20" t="n">
        <f aca="false">Controls!$B$7</f>
        <v>0.025</v>
      </c>
      <c r="N147" s="20" t="str">
        <f aca="false">IF(AND(ISNUMBER(K147),ISNUMBER(L147),L147&gt;0),K147/L147*(1-M147),"")</f>
        <v/>
      </c>
      <c r="O147" s="14" t="s">
        <v>501</v>
      </c>
      <c r="P147" s="21" t="n">
        <f aca="false">IF(O147="",0,COUNTIFS('Gap Migration'!$G$7:$G$91,O147,'Gap Migration'!$J$7:$J$91,1))</f>
        <v>1</v>
      </c>
      <c r="Q147" s="14" t="n">
        <v>0</v>
      </c>
      <c r="R147" s="14" t="n">
        <v>0</v>
      </c>
      <c r="S147" s="21" t="str">
        <f aca="false">IF(ISNUMBER(N147),IF(N147&gt;=Controls!$B$8,"DESIGN CLOSE","NEGATIVE"),IF(P147=1,"MEASUREMENT READY","UNSCOPED"))</f>
        <v>MEASUREMENT READY</v>
      </c>
      <c r="T147" s="21" t="str">
        <f aca="false">IF(S147="DESIGN CLOSE","root-native section bill",IF(S147="MEASUREMENT READY","executable protocol; observation empty","return to architecture"))</f>
        <v>executable protocol; observation empty</v>
      </c>
      <c r="U147" s="14" t="n">
        <v>0</v>
      </c>
    </row>
    <row r="148" customFormat="false" ht="15" hidden="false" customHeight="false" outlineLevel="0" collapsed="false">
      <c r="A148" s="12" t="s">
        <v>502</v>
      </c>
      <c r="B148" s="12" t="s">
        <v>51</v>
      </c>
      <c r="C148" s="12" t="s">
        <v>52</v>
      </c>
      <c r="D148" s="12" t="s">
        <v>146</v>
      </c>
      <c r="E148" s="12" t="s">
        <v>147</v>
      </c>
      <c r="F148" s="12" t="s">
        <v>275</v>
      </c>
      <c r="G148" s="12" t="s">
        <v>276</v>
      </c>
      <c r="H148" s="12" t="n">
        <v>42</v>
      </c>
      <c r="I148" s="12" t="s">
        <v>255</v>
      </c>
      <c r="J148" s="12" t="s">
        <v>149</v>
      </c>
      <c r="K148" s="37"/>
      <c r="L148" s="37"/>
      <c r="M148" s="20" t="n">
        <f aca="false">Controls!$B$7</f>
        <v>0.025</v>
      </c>
      <c r="N148" s="20" t="str">
        <f aca="false">IF(AND(ISNUMBER(K148),ISNUMBER(L148),L148&gt;0),K148/L148*(1-M148),"")</f>
        <v/>
      </c>
      <c r="O148" s="14" t="s">
        <v>503</v>
      </c>
      <c r="P148" s="21" t="n">
        <f aca="false">IF(O148="",0,COUNTIFS('Gap Migration'!$G$7:$G$91,O148,'Gap Migration'!$J$7:$J$91,1))</f>
        <v>1</v>
      </c>
      <c r="Q148" s="14" t="n">
        <v>0</v>
      </c>
      <c r="R148" s="14" t="n">
        <v>0</v>
      </c>
      <c r="S148" s="21" t="str">
        <f aca="false">IF(ISNUMBER(N148),IF(N148&gt;=Controls!$B$8,"DESIGN CLOSE","NEGATIVE"),IF(P148=1,"MEASUREMENT READY","UNSCOPED"))</f>
        <v>MEASUREMENT READY</v>
      </c>
      <c r="T148" s="21" t="str">
        <f aca="false">IF(S148="DESIGN CLOSE","root-native section bill",IF(S148="MEASUREMENT READY","executable protocol; observation empty","return to architecture"))</f>
        <v>executable protocol; observation empty</v>
      </c>
      <c r="U148" s="14" t="n">
        <v>0</v>
      </c>
    </row>
    <row r="149" customFormat="false" ht="15" hidden="false" customHeight="false" outlineLevel="0" collapsed="false">
      <c r="A149" s="12" t="s">
        <v>504</v>
      </c>
      <c r="B149" s="12" t="s">
        <v>51</v>
      </c>
      <c r="C149" s="12" t="s">
        <v>52</v>
      </c>
      <c r="D149" s="12" t="s">
        <v>146</v>
      </c>
      <c r="E149" s="12" t="s">
        <v>147</v>
      </c>
      <c r="F149" s="12" t="s">
        <v>279</v>
      </c>
      <c r="G149" s="12" t="s">
        <v>280</v>
      </c>
      <c r="H149" s="12" t="n">
        <v>42</v>
      </c>
      <c r="I149" s="12" t="s">
        <v>255</v>
      </c>
      <c r="J149" s="12" t="s">
        <v>149</v>
      </c>
      <c r="K149" s="37"/>
      <c r="L149" s="37"/>
      <c r="M149" s="20" t="n">
        <f aca="false">Controls!$B$7</f>
        <v>0.025</v>
      </c>
      <c r="N149" s="20" t="str">
        <f aca="false">IF(AND(ISNUMBER(K149),ISNUMBER(L149),L149&gt;0),K149/L149*(1-M149),"")</f>
        <v/>
      </c>
      <c r="O149" s="14" t="s">
        <v>505</v>
      </c>
      <c r="P149" s="21" t="n">
        <f aca="false">IF(O149="",0,COUNTIFS('Gap Migration'!$G$7:$G$91,O149,'Gap Migration'!$J$7:$J$91,1))</f>
        <v>1</v>
      </c>
      <c r="Q149" s="14" t="n">
        <v>0</v>
      </c>
      <c r="R149" s="14" t="n">
        <v>0</v>
      </c>
      <c r="S149" s="21" t="str">
        <f aca="false">IF(ISNUMBER(N149),IF(N149&gt;=Controls!$B$8,"DESIGN CLOSE","NEGATIVE"),IF(P149=1,"MEASUREMENT READY","UNSCOPED"))</f>
        <v>MEASUREMENT READY</v>
      </c>
      <c r="T149" s="21" t="str">
        <f aca="false">IF(S149="DESIGN CLOSE","root-native section bill",IF(S149="MEASUREMENT READY","executable protocol; observation empty","return to architecture"))</f>
        <v>executable protocol; observation empty</v>
      </c>
      <c r="U149" s="14" t="n">
        <v>0</v>
      </c>
    </row>
    <row r="150" customFormat="false" ht="15" hidden="false" customHeight="false" outlineLevel="0" collapsed="false">
      <c r="A150" s="15" t="s">
        <v>506</v>
      </c>
      <c r="B150" s="15" t="s">
        <v>51</v>
      </c>
      <c r="C150" s="15" t="s">
        <v>52</v>
      </c>
      <c r="D150" s="15" t="s">
        <v>146</v>
      </c>
      <c r="E150" s="15" t="s">
        <v>147</v>
      </c>
      <c r="F150" s="15" t="s">
        <v>282</v>
      </c>
      <c r="G150" s="15" t="s">
        <v>283</v>
      </c>
      <c r="H150" s="15" t="n">
        <v>42</v>
      </c>
      <c r="I150" s="15" t="s">
        <v>255</v>
      </c>
      <c r="J150" s="15" t="s">
        <v>149</v>
      </c>
      <c r="K150" s="38"/>
      <c r="L150" s="38"/>
      <c r="M150" s="22" t="n">
        <f aca="false">Controls!$B$7</f>
        <v>0.025</v>
      </c>
      <c r="N150" s="22" t="str">
        <f aca="false">IF(AND(ISNUMBER(K150),ISNUMBER(L150),L150&gt;0),K150/L150*(1-M150),"")</f>
        <v/>
      </c>
      <c r="O150" s="17" t="s">
        <v>507</v>
      </c>
      <c r="P150" s="23" t="n">
        <f aca="false">IF(O150="",0,COUNTIFS('Gap Migration'!$G$7:$G$91,O150,'Gap Migration'!$J$7:$J$91,1))</f>
        <v>1</v>
      </c>
      <c r="Q150" s="17" t="n">
        <v>0</v>
      </c>
      <c r="R150" s="17" t="n">
        <v>0</v>
      </c>
      <c r="S150" s="23" t="str">
        <f aca="false">IF(ISNUMBER(N150),IF(N150&gt;=Controls!$B$8,"DESIGN CLOSE","NEGATIVE"),IF(P150=1,"MEASUREMENT READY","UNSCOPED"))</f>
        <v>MEASUREMENT READY</v>
      </c>
      <c r="T150" s="23" t="str">
        <f aca="false">IF(S150="DESIGN CLOSE","root-native section bill",IF(S150="MEASUREMENT READY","executable protocol; observation empty","return to architecture"))</f>
        <v>executable protocol; observation empty</v>
      </c>
      <c r="U150" s="17" t="n">
        <v>0</v>
      </c>
    </row>
  </sheetData>
  <mergeCells count="2">
    <mergeCell ref="A2:U2"/>
    <mergeCell ref="A4:U4"/>
  </mergeCells>
  <conditionalFormatting sqref="S7:S150">
    <cfRule type="containsText" priority="2" operator="containsText" aboveAverage="0" equalAverage="0" bottom="0" percent="0" rank="0" text="NEGATIVE" dxfId="0">
      <formula>NOT(ISERROR(SEARCH("NEGATIVE",S7)))</formula>
    </cfRule>
    <cfRule type="containsText" priority="3" operator="containsText" aboveAverage="0" equalAverage="0" bottom="0" percent="0" rank="0" text="DESIGN CLOSE" dxfId="1">
      <formula>NOT(ISERROR(SEARCH("DESIGN CLOSE",S7)))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5" min="4" style="1" width="11"/>
    <col collapsed="false" customWidth="true" hidden="false" outlineLevel="0" max="6" min="6" style="1" width="45"/>
    <col collapsed="false" customWidth="true" hidden="false" outlineLevel="0" max="7" min="7" style="1" width="25"/>
    <col collapsed="false" customWidth="true" hidden="false" outlineLevel="0" max="8" min="8" style="1" width="24"/>
    <col collapsed="false" customWidth="true" hidden="false" outlineLevel="0" max="9" min="9" style="1" width="64"/>
    <col collapsed="false" customWidth="true" hidden="false" outlineLevel="0" max="10" min="10" style="1" width="16"/>
    <col collapsed="false" customWidth="true" hidden="false" outlineLevel="0" max="11" min="11" style="1" width="22"/>
    <col collapsed="false" customWidth="true" hidden="false" outlineLevel="0" max="12" min="12" style="1" width="17"/>
    <col collapsed="false" customWidth="true" hidden="false" outlineLevel="0" max="13" min="13" style="1" width="20"/>
    <col collapsed="false" customWidth="true" hidden="false" outlineLevel="0" max="14" min="14" style="1" width="35"/>
  </cols>
  <sheetData>
    <row r="2" customFormat="false" ht="24" hidden="false" customHeight="true" outlineLevel="0" collapsed="false">
      <c r="A2" s="2" t="s">
        <v>508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24" t="s">
        <v>509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customFormat="false" ht="24" hidden="false" customHeight="true" outlineLevel="0" collapsed="false">
      <c r="A6" s="25" t="s">
        <v>510</v>
      </c>
      <c r="B6" s="26" t="s">
        <v>21</v>
      </c>
      <c r="C6" s="26" t="s">
        <v>22</v>
      </c>
      <c r="D6" s="26" t="s">
        <v>96</v>
      </c>
      <c r="E6" s="26" t="s">
        <v>261</v>
      </c>
      <c r="F6" s="26" t="s">
        <v>511</v>
      </c>
      <c r="G6" s="26" t="s">
        <v>267</v>
      </c>
      <c r="H6" s="26" t="s">
        <v>512</v>
      </c>
      <c r="I6" s="26" t="s">
        <v>513</v>
      </c>
      <c r="J6" s="26" t="s">
        <v>514</v>
      </c>
      <c r="K6" s="26" t="s">
        <v>515</v>
      </c>
      <c r="L6" s="26" t="s">
        <v>516</v>
      </c>
      <c r="M6" s="26" t="s">
        <v>269</v>
      </c>
      <c r="N6" s="27" t="s">
        <v>517</v>
      </c>
    </row>
    <row r="7" customFormat="false" ht="15" hidden="false" customHeight="false" outlineLevel="0" collapsed="false">
      <c r="A7" s="8" t="s">
        <v>277</v>
      </c>
      <c r="B7" s="8" t="s">
        <v>31</v>
      </c>
      <c r="C7" s="8" t="s">
        <v>32</v>
      </c>
      <c r="D7" s="8" t="s">
        <v>114</v>
      </c>
      <c r="E7" s="8" t="s">
        <v>275</v>
      </c>
      <c r="F7" s="8" t="s">
        <v>518</v>
      </c>
      <c r="G7" s="8" t="s">
        <v>277</v>
      </c>
      <c r="H7" s="8" t="s">
        <v>519</v>
      </c>
      <c r="I7" s="8" t="s">
        <v>520</v>
      </c>
      <c r="J7" s="8" t="n">
        <v>1</v>
      </c>
      <c r="K7" s="8" t="n">
        <v>0</v>
      </c>
      <c r="L7" s="10" t="n">
        <v>0</v>
      </c>
      <c r="M7" s="10" t="n">
        <v>0</v>
      </c>
      <c r="N7" s="19" t="str">
        <f aca="false">IF(K7=1,"DESIGN DEFINED / TEST PENDING",IF(AND(J7=1,L7=0,M7=0),"MEASUREMENT READY / EVIDENCE EMPTY","RETURN"))</f>
        <v>MEASUREMENT READY / EVIDENCE EMPTY</v>
      </c>
    </row>
    <row r="8" customFormat="false" ht="15" hidden="false" customHeight="false" outlineLevel="0" collapsed="false">
      <c r="A8" s="12" t="s">
        <v>284</v>
      </c>
      <c r="B8" s="12" t="s">
        <v>31</v>
      </c>
      <c r="C8" s="12" t="s">
        <v>32</v>
      </c>
      <c r="D8" s="12" t="s">
        <v>114</v>
      </c>
      <c r="E8" s="12" t="s">
        <v>282</v>
      </c>
      <c r="F8" s="12" t="s">
        <v>521</v>
      </c>
      <c r="G8" s="12" t="s">
        <v>284</v>
      </c>
      <c r="H8" s="12" t="s">
        <v>522</v>
      </c>
      <c r="I8" s="12" t="s">
        <v>523</v>
      </c>
      <c r="J8" s="12" t="n">
        <v>1</v>
      </c>
      <c r="K8" s="12" t="n">
        <v>0</v>
      </c>
      <c r="L8" s="14" t="n">
        <v>0</v>
      </c>
      <c r="M8" s="14" t="n">
        <v>0</v>
      </c>
      <c r="N8" s="21" t="str">
        <f aca="false">IF(K8=1,"DESIGN DEFINED / TEST PENDING",IF(AND(J8=1,L8=0,M8=0),"MEASUREMENT READY / EVIDENCE EMPTY","RETURN"))</f>
        <v>MEASUREMENT READY / EVIDENCE EMPTY</v>
      </c>
    </row>
    <row r="9" customFormat="false" ht="15" hidden="false" customHeight="false" outlineLevel="0" collapsed="false">
      <c r="A9" s="12" t="s">
        <v>287</v>
      </c>
      <c r="B9" s="12" t="s">
        <v>31</v>
      </c>
      <c r="C9" s="12" t="s">
        <v>32</v>
      </c>
      <c r="D9" s="12" t="s">
        <v>121</v>
      </c>
      <c r="E9" s="12" t="s">
        <v>275</v>
      </c>
      <c r="F9" s="12" t="s">
        <v>518</v>
      </c>
      <c r="G9" s="12" t="s">
        <v>287</v>
      </c>
      <c r="H9" s="12" t="s">
        <v>519</v>
      </c>
      <c r="I9" s="12" t="s">
        <v>524</v>
      </c>
      <c r="J9" s="12" t="n">
        <v>1</v>
      </c>
      <c r="K9" s="12" t="n">
        <v>0</v>
      </c>
      <c r="L9" s="14" t="n">
        <v>0</v>
      </c>
      <c r="M9" s="14" t="n">
        <v>0</v>
      </c>
      <c r="N9" s="21" t="str">
        <f aca="false">IF(K9=1,"DESIGN DEFINED / TEST PENDING",IF(AND(J9=1,L9=0,M9=0),"MEASUREMENT READY / EVIDENCE EMPTY","RETURN"))</f>
        <v>MEASUREMENT READY / EVIDENCE EMPTY</v>
      </c>
    </row>
    <row r="10" customFormat="false" ht="15" hidden="false" customHeight="false" outlineLevel="0" collapsed="false">
      <c r="A10" s="12" t="s">
        <v>290</v>
      </c>
      <c r="B10" s="12" t="s">
        <v>31</v>
      </c>
      <c r="C10" s="12" t="s">
        <v>32</v>
      </c>
      <c r="D10" s="12" t="s">
        <v>121</v>
      </c>
      <c r="E10" s="12" t="s">
        <v>282</v>
      </c>
      <c r="F10" s="12" t="s">
        <v>521</v>
      </c>
      <c r="G10" s="12" t="s">
        <v>290</v>
      </c>
      <c r="H10" s="12" t="s">
        <v>522</v>
      </c>
      <c r="I10" s="12" t="s">
        <v>523</v>
      </c>
      <c r="J10" s="12" t="n">
        <v>1</v>
      </c>
      <c r="K10" s="12" t="n">
        <v>0</v>
      </c>
      <c r="L10" s="14" t="n">
        <v>0</v>
      </c>
      <c r="M10" s="14" t="n">
        <v>0</v>
      </c>
      <c r="N10" s="21" t="str">
        <f aca="false">IF(K10=1,"DESIGN DEFINED / TEST PENDING",IF(AND(J10=1,L10=0,M10=0),"MEASUREMENT READY / EVIDENCE EMPTY","RETURN"))</f>
        <v>MEASUREMENT READY / EVIDENCE EMPTY</v>
      </c>
    </row>
    <row r="11" customFormat="false" ht="15" hidden="false" customHeight="false" outlineLevel="0" collapsed="false">
      <c r="A11" s="12" t="s">
        <v>293</v>
      </c>
      <c r="B11" s="12" t="s">
        <v>31</v>
      </c>
      <c r="C11" s="12" t="s">
        <v>32</v>
      </c>
      <c r="D11" s="12" t="s">
        <v>128</v>
      </c>
      <c r="E11" s="12" t="s">
        <v>275</v>
      </c>
      <c r="F11" s="12" t="s">
        <v>518</v>
      </c>
      <c r="G11" s="12" t="s">
        <v>293</v>
      </c>
      <c r="H11" s="12" t="s">
        <v>519</v>
      </c>
      <c r="I11" s="12" t="s">
        <v>525</v>
      </c>
      <c r="J11" s="12" t="n">
        <v>1</v>
      </c>
      <c r="K11" s="12" t="n">
        <v>0</v>
      </c>
      <c r="L11" s="14" t="n">
        <v>0</v>
      </c>
      <c r="M11" s="14" t="n">
        <v>0</v>
      </c>
      <c r="N11" s="21" t="str">
        <f aca="false">IF(K11=1,"DESIGN DEFINED / TEST PENDING",IF(AND(J11=1,L11=0,M11=0),"MEASUREMENT READY / EVIDENCE EMPTY","RETURN"))</f>
        <v>MEASUREMENT READY / EVIDENCE EMPTY</v>
      </c>
    </row>
    <row r="12" customFormat="false" ht="15" hidden="false" customHeight="false" outlineLevel="0" collapsed="false">
      <c r="A12" s="12" t="s">
        <v>296</v>
      </c>
      <c r="B12" s="12" t="s">
        <v>31</v>
      </c>
      <c r="C12" s="12" t="s">
        <v>32</v>
      </c>
      <c r="D12" s="12" t="s">
        <v>128</v>
      </c>
      <c r="E12" s="12" t="s">
        <v>282</v>
      </c>
      <c r="F12" s="12" t="s">
        <v>521</v>
      </c>
      <c r="G12" s="12" t="s">
        <v>296</v>
      </c>
      <c r="H12" s="12" t="s">
        <v>522</v>
      </c>
      <c r="I12" s="12" t="s">
        <v>523</v>
      </c>
      <c r="J12" s="12" t="n">
        <v>1</v>
      </c>
      <c r="K12" s="12" t="n">
        <v>0</v>
      </c>
      <c r="L12" s="14" t="n">
        <v>0</v>
      </c>
      <c r="M12" s="14" t="n">
        <v>0</v>
      </c>
      <c r="N12" s="21" t="str">
        <f aca="false">IF(K12=1,"DESIGN DEFINED / TEST PENDING",IF(AND(J12=1,L12=0,M12=0),"MEASUREMENT READY / EVIDENCE EMPTY","RETURN"))</f>
        <v>MEASUREMENT READY / EVIDENCE EMPTY</v>
      </c>
    </row>
    <row r="13" customFormat="false" ht="15" hidden="false" customHeight="false" outlineLevel="0" collapsed="false">
      <c r="A13" s="12" t="s">
        <v>299</v>
      </c>
      <c r="B13" s="12" t="s">
        <v>31</v>
      </c>
      <c r="C13" s="12" t="s">
        <v>32</v>
      </c>
      <c r="D13" s="12" t="s">
        <v>135</v>
      </c>
      <c r="E13" s="12" t="s">
        <v>275</v>
      </c>
      <c r="F13" s="12" t="s">
        <v>518</v>
      </c>
      <c r="G13" s="12" t="s">
        <v>299</v>
      </c>
      <c r="H13" s="12" t="s">
        <v>519</v>
      </c>
      <c r="I13" s="12" t="s">
        <v>526</v>
      </c>
      <c r="J13" s="12" t="n">
        <v>1</v>
      </c>
      <c r="K13" s="12" t="n">
        <v>0</v>
      </c>
      <c r="L13" s="14" t="n">
        <v>0</v>
      </c>
      <c r="M13" s="14" t="n">
        <v>0</v>
      </c>
      <c r="N13" s="21" t="str">
        <f aca="false">IF(K13=1,"DESIGN DEFINED / TEST PENDING",IF(AND(J13=1,L13=0,M13=0),"MEASUREMENT READY / EVIDENCE EMPTY","RETURN"))</f>
        <v>MEASUREMENT READY / EVIDENCE EMPTY</v>
      </c>
    </row>
    <row r="14" customFormat="false" ht="15" hidden="false" customHeight="false" outlineLevel="0" collapsed="false">
      <c r="A14" s="12" t="s">
        <v>302</v>
      </c>
      <c r="B14" s="12" t="s">
        <v>31</v>
      </c>
      <c r="C14" s="12" t="s">
        <v>32</v>
      </c>
      <c r="D14" s="12" t="s">
        <v>135</v>
      </c>
      <c r="E14" s="12" t="s">
        <v>282</v>
      </c>
      <c r="F14" s="12" t="s">
        <v>521</v>
      </c>
      <c r="G14" s="12" t="s">
        <v>302</v>
      </c>
      <c r="H14" s="12" t="s">
        <v>522</v>
      </c>
      <c r="I14" s="12" t="s">
        <v>523</v>
      </c>
      <c r="J14" s="12" t="n">
        <v>1</v>
      </c>
      <c r="K14" s="12" t="n">
        <v>0</v>
      </c>
      <c r="L14" s="14" t="n">
        <v>0</v>
      </c>
      <c r="M14" s="14" t="n">
        <v>0</v>
      </c>
      <c r="N14" s="21" t="str">
        <f aca="false">IF(K14=1,"DESIGN DEFINED / TEST PENDING",IF(AND(J14=1,L14=0,M14=0),"MEASUREMENT READY / EVIDENCE EMPTY","RETURN"))</f>
        <v>MEASUREMENT READY / EVIDENCE EMPTY</v>
      </c>
    </row>
    <row r="15" customFormat="false" ht="15" hidden="false" customHeight="false" outlineLevel="0" collapsed="false">
      <c r="A15" s="12" t="s">
        <v>305</v>
      </c>
      <c r="B15" s="12" t="s">
        <v>31</v>
      </c>
      <c r="C15" s="12" t="s">
        <v>32</v>
      </c>
      <c r="D15" s="12" t="s">
        <v>140</v>
      </c>
      <c r="E15" s="12" t="s">
        <v>275</v>
      </c>
      <c r="F15" s="12" t="s">
        <v>518</v>
      </c>
      <c r="G15" s="12" t="s">
        <v>305</v>
      </c>
      <c r="H15" s="12" t="s">
        <v>519</v>
      </c>
      <c r="I15" s="12" t="s">
        <v>527</v>
      </c>
      <c r="J15" s="12" t="n">
        <v>1</v>
      </c>
      <c r="K15" s="12" t="n">
        <v>0</v>
      </c>
      <c r="L15" s="14" t="n">
        <v>0</v>
      </c>
      <c r="M15" s="14" t="n">
        <v>0</v>
      </c>
      <c r="N15" s="21" t="str">
        <f aca="false">IF(K15=1,"DESIGN DEFINED / TEST PENDING",IF(AND(J15=1,L15=0,M15=0),"MEASUREMENT READY / EVIDENCE EMPTY","RETURN"))</f>
        <v>MEASUREMENT READY / EVIDENCE EMPTY</v>
      </c>
    </row>
    <row r="16" customFormat="false" ht="15" hidden="false" customHeight="false" outlineLevel="0" collapsed="false">
      <c r="A16" s="12" t="s">
        <v>308</v>
      </c>
      <c r="B16" s="12" t="s">
        <v>31</v>
      </c>
      <c r="C16" s="12" t="s">
        <v>32</v>
      </c>
      <c r="D16" s="12" t="s">
        <v>140</v>
      </c>
      <c r="E16" s="12" t="s">
        <v>282</v>
      </c>
      <c r="F16" s="12" t="s">
        <v>521</v>
      </c>
      <c r="G16" s="12" t="s">
        <v>308</v>
      </c>
      <c r="H16" s="12" t="s">
        <v>522</v>
      </c>
      <c r="I16" s="12" t="s">
        <v>523</v>
      </c>
      <c r="J16" s="12" t="n">
        <v>1</v>
      </c>
      <c r="K16" s="12" t="n">
        <v>0</v>
      </c>
      <c r="L16" s="14" t="n">
        <v>0</v>
      </c>
      <c r="M16" s="14" t="n">
        <v>0</v>
      </c>
      <c r="N16" s="21" t="str">
        <f aca="false">IF(K16=1,"DESIGN DEFINED / TEST PENDING",IF(AND(J16=1,L16=0,M16=0),"MEASUREMENT READY / EVIDENCE EMPTY","RETURN"))</f>
        <v>MEASUREMENT READY / EVIDENCE EMPTY</v>
      </c>
    </row>
    <row r="17" customFormat="false" ht="15" hidden="false" customHeight="false" outlineLevel="0" collapsed="false">
      <c r="A17" s="12" t="s">
        <v>312</v>
      </c>
      <c r="B17" s="12" t="s">
        <v>31</v>
      </c>
      <c r="C17" s="12" t="s">
        <v>32</v>
      </c>
      <c r="D17" s="12" t="s">
        <v>146</v>
      </c>
      <c r="E17" s="12" t="s">
        <v>275</v>
      </c>
      <c r="F17" s="12" t="s">
        <v>518</v>
      </c>
      <c r="G17" s="12" t="s">
        <v>312</v>
      </c>
      <c r="H17" s="12" t="s">
        <v>519</v>
      </c>
      <c r="I17" s="12" t="s">
        <v>528</v>
      </c>
      <c r="J17" s="12" t="n">
        <v>1</v>
      </c>
      <c r="K17" s="12" t="n">
        <v>0</v>
      </c>
      <c r="L17" s="14" t="n">
        <v>0</v>
      </c>
      <c r="M17" s="14" t="n">
        <v>0</v>
      </c>
      <c r="N17" s="21" t="str">
        <f aca="false">IF(K17=1,"DESIGN DEFINED / TEST PENDING",IF(AND(J17=1,L17=0,M17=0),"MEASUREMENT READY / EVIDENCE EMPTY","RETURN"))</f>
        <v>MEASUREMENT READY / EVIDENCE EMPTY</v>
      </c>
    </row>
    <row r="18" customFormat="false" ht="15" hidden="false" customHeight="false" outlineLevel="0" collapsed="false">
      <c r="A18" s="12" t="s">
        <v>316</v>
      </c>
      <c r="B18" s="12" t="s">
        <v>31</v>
      </c>
      <c r="C18" s="12" t="s">
        <v>32</v>
      </c>
      <c r="D18" s="12" t="s">
        <v>146</v>
      </c>
      <c r="E18" s="12" t="s">
        <v>282</v>
      </c>
      <c r="F18" s="12" t="s">
        <v>521</v>
      </c>
      <c r="G18" s="12" t="s">
        <v>316</v>
      </c>
      <c r="H18" s="12" t="s">
        <v>522</v>
      </c>
      <c r="I18" s="12" t="s">
        <v>523</v>
      </c>
      <c r="J18" s="12" t="n">
        <v>1</v>
      </c>
      <c r="K18" s="12" t="n">
        <v>0</v>
      </c>
      <c r="L18" s="14" t="n">
        <v>0</v>
      </c>
      <c r="M18" s="14" t="n">
        <v>0</v>
      </c>
      <c r="N18" s="21" t="str">
        <f aca="false">IF(K18=1,"DESIGN DEFINED / TEST PENDING",IF(AND(J18=1,L18=0,M18=0),"MEASUREMENT READY / EVIDENCE EMPTY","RETURN"))</f>
        <v>MEASUREMENT READY / EVIDENCE EMPTY</v>
      </c>
    </row>
    <row r="19" customFormat="false" ht="15" hidden="false" customHeight="false" outlineLevel="0" collapsed="false">
      <c r="A19" s="12" t="s">
        <v>319</v>
      </c>
      <c r="B19" s="12" t="s">
        <v>35</v>
      </c>
      <c r="C19" s="12" t="s">
        <v>36</v>
      </c>
      <c r="D19" s="12" t="s">
        <v>114</v>
      </c>
      <c r="E19" s="12" t="s">
        <v>275</v>
      </c>
      <c r="F19" s="12" t="s">
        <v>518</v>
      </c>
      <c r="G19" s="12" t="s">
        <v>319</v>
      </c>
      <c r="H19" s="12" t="s">
        <v>519</v>
      </c>
      <c r="I19" s="12" t="s">
        <v>520</v>
      </c>
      <c r="J19" s="12" t="n">
        <v>1</v>
      </c>
      <c r="K19" s="12" t="n">
        <v>0</v>
      </c>
      <c r="L19" s="14" t="n">
        <v>0</v>
      </c>
      <c r="M19" s="14" t="n">
        <v>0</v>
      </c>
      <c r="N19" s="21" t="str">
        <f aca="false">IF(K19=1,"DESIGN DEFINED / TEST PENDING",IF(AND(J19=1,L19=0,M19=0),"MEASUREMENT READY / EVIDENCE EMPTY","RETURN"))</f>
        <v>MEASUREMENT READY / EVIDENCE EMPTY</v>
      </c>
    </row>
    <row r="20" customFormat="false" ht="15" hidden="false" customHeight="false" outlineLevel="0" collapsed="false">
      <c r="A20" s="12" t="s">
        <v>322</v>
      </c>
      <c r="B20" s="12" t="s">
        <v>35</v>
      </c>
      <c r="C20" s="12" t="s">
        <v>36</v>
      </c>
      <c r="D20" s="12" t="s">
        <v>114</v>
      </c>
      <c r="E20" s="12" t="s">
        <v>282</v>
      </c>
      <c r="F20" s="12" t="s">
        <v>521</v>
      </c>
      <c r="G20" s="12" t="s">
        <v>322</v>
      </c>
      <c r="H20" s="12" t="s">
        <v>522</v>
      </c>
      <c r="I20" s="12" t="s">
        <v>523</v>
      </c>
      <c r="J20" s="12" t="n">
        <v>1</v>
      </c>
      <c r="K20" s="12" t="n">
        <v>0</v>
      </c>
      <c r="L20" s="14" t="n">
        <v>0</v>
      </c>
      <c r="M20" s="14" t="n">
        <v>0</v>
      </c>
      <c r="N20" s="21" t="str">
        <f aca="false">IF(K20=1,"DESIGN DEFINED / TEST PENDING",IF(AND(J20=1,L20=0,M20=0),"MEASUREMENT READY / EVIDENCE EMPTY","RETURN"))</f>
        <v>MEASUREMENT READY / EVIDENCE EMPTY</v>
      </c>
    </row>
    <row r="21" customFormat="false" ht="15" hidden="false" customHeight="false" outlineLevel="0" collapsed="false">
      <c r="A21" s="12" t="s">
        <v>325</v>
      </c>
      <c r="B21" s="12" t="s">
        <v>35</v>
      </c>
      <c r="C21" s="12" t="s">
        <v>36</v>
      </c>
      <c r="D21" s="12" t="s">
        <v>121</v>
      </c>
      <c r="E21" s="12" t="s">
        <v>275</v>
      </c>
      <c r="F21" s="12" t="s">
        <v>518</v>
      </c>
      <c r="G21" s="12" t="s">
        <v>325</v>
      </c>
      <c r="H21" s="12" t="s">
        <v>519</v>
      </c>
      <c r="I21" s="12" t="s">
        <v>524</v>
      </c>
      <c r="J21" s="12" t="n">
        <v>1</v>
      </c>
      <c r="K21" s="12" t="n">
        <v>0</v>
      </c>
      <c r="L21" s="14" t="n">
        <v>0</v>
      </c>
      <c r="M21" s="14" t="n">
        <v>0</v>
      </c>
      <c r="N21" s="21" t="str">
        <f aca="false">IF(K21=1,"DESIGN DEFINED / TEST PENDING",IF(AND(J21=1,L21=0,M21=0),"MEASUREMENT READY / EVIDENCE EMPTY","RETURN"))</f>
        <v>MEASUREMENT READY / EVIDENCE EMPTY</v>
      </c>
    </row>
    <row r="22" customFormat="false" ht="15" hidden="false" customHeight="false" outlineLevel="0" collapsed="false">
      <c r="A22" s="12" t="s">
        <v>328</v>
      </c>
      <c r="B22" s="12" t="s">
        <v>35</v>
      </c>
      <c r="C22" s="12" t="s">
        <v>36</v>
      </c>
      <c r="D22" s="12" t="s">
        <v>121</v>
      </c>
      <c r="E22" s="12" t="s">
        <v>282</v>
      </c>
      <c r="F22" s="12" t="s">
        <v>521</v>
      </c>
      <c r="G22" s="12" t="s">
        <v>328</v>
      </c>
      <c r="H22" s="12" t="s">
        <v>522</v>
      </c>
      <c r="I22" s="12" t="s">
        <v>523</v>
      </c>
      <c r="J22" s="12" t="n">
        <v>1</v>
      </c>
      <c r="K22" s="12" t="n">
        <v>0</v>
      </c>
      <c r="L22" s="14" t="n">
        <v>0</v>
      </c>
      <c r="M22" s="14" t="n">
        <v>0</v>
      </c>
      <c r="N22" s="21" t="str">
        <f aca="false">IF(K22=1,"DESIGN DEFINED / TEST PENDING",IF(AND(J22=1,L22=0,M22=0),"MEASUREMENT READY / EVIDENCE EMPTY","RETURN"))</f>
        <v>MEASUREMENT READY / EVIDENCE EMPTY</v>
      </c>
    </row>
    <row r="23" customFormat="false" ht="15" hidden="false" customHeight="false" outlineLevel="0" collapsed="false">
      <c r="A23" s="12" t="s">
        <v>331</v>
      </c>
      <c r="B23" s="12" t="s">
        <v>35</v>
      </c>
      <c r="C23" s="12" t="s">
        <v>36</v>
      </c>
      <c r="D23" s="12" t="s">
        <v>128</v>
      </c>
      <c r="E23" s="12" t="s">
        <v>275</v>
      </c>
      <c r="F23" s="12" t="s">
        <v>518</v>
      </c>
      <c r="G23" s="12" t="s">
        <v>331</v>
      </c>
      <c r="H23" s="12" t="s">
        <v>519</v>
      </c>
      <c r="I23" s="12" t="s">
        <v>525</v>
      </c>
      <c r="J23" s="12" t="n">
        <v>1</v>
      </c>
      <c r="K23" s="12" t="n">
        <v>0</v>
      </c>
      <c r="L23" s="14" t="n">
        <v>0</v>
      </c>
      <c r="M23" s="14" t="n">
        <v>0</v>
      </c>
      <c r="N23" s="21" t="str">
        <f aca="false">IF(K23=1,"DESIGN DEFINED / TEST PENDING",IF(AND(J23=1,L23=0,M23=0),"MEASUREMENT READY / EVIDENCE EMPTY","RETURN"))</f>
        <v>MEASUREMENT READY / EVIDENCE EMPTY</v>
      </c>
    </row>
    <row r="24" customFormat="false" ht="15" hidden="false" customHeight="false" outlineLevel="0" collapsed="false">
      <c r="A24" s="12" t="s">
        <v>334</v>
      </c>
      <c r="B24" s="12" t="s">
        <v>35</v>
      </c>
      <c r="C24" s="12" t="s">
        <v>36</v>
      </c>
      <c r="D24" s="12" t="s">
        <v>128</v>
      </c>
      <c r="E24" s="12" t="s">
        <v>282</v>
      </c>
      <c r="F24" s="12" t="s">
        <v>521</v>
      </c>
      <c r="G24" s="12" t="s">
        <v>334</v>
      </c>
      <c r="H24" s="12" t="s">
        <v>522</v>
      </c>
      <c r="I24" s="12" t="s">
        <v>523</v>
      </c>
      <c r="J24" s="12" t="n">
        <v>1</v>
      </c>
      <c r="K24" s="12" t="n">
        <v>0</v>
      </c>
      <c r="L24" s="14" t="n">
        <v>0</v>
      </c>
      <c r="M24" s="14" t="n">
        <v>0</v>
      </c>
      <c r="N24" s="21" t="str">
        <f aca="false">IF(K24=1,"DESIGN DEFINED / TEST PENDING",IF(AND(J24=1,L24=0,M24=0),"MEASUREMENT READY / EVIDENCE EMPTY","RETURN"))</f>
        <v>MEASUREMENT READY / EVIDENCE EMPTY</v>
      </c>
    </row>
    <row r="25" customFormat="false" ht="15" hidden="false" customHeight="false" outlineLevel="0" collapsed="false">
      <c r="A25" s="12" t="s">
        <v>337</v>
      </c>
      <c r="B25" s="12" t="s">
        <v>35</v>
      </c>
      <c r="C25" s="12" t="s">
        <v>36</v>
      </c>
      <c r="D25" s="12" t="s">
        <v>135</v>
      </c>
      <c r="E25" s="12" t="s">
        <v>275</v>
      </c>
      <c r="F25" s="12" t="s">
        <v>518</v>
      </c>
      <c r="G25" s="12" t="s">
        <v>337</v>
      </c>
      <c r="H25" s="12" t="s">
        <v>519</v>
      </c>
      <c r="I25" s="12" t="s">
        <v>526</v>
      </c>
      <c r="J25" s="12" t="n">
        <v>1</v>
      </c>
      <c r="K25" s="12" t="n">
        <v>0</v>
      </c>
      <c r="L25" s="14" t="n">
        <v>0</v>
      </c>
      <c r="M25" s="14" t="n">
        <v>0</v>
      </c>
      <c r="N25" s="21" t="str">
        <f aca="false">IF(K25=1,"DESIGN DEFINED / TEST PENDING",IF(AND(J25=1,L25=0,M25=0),"MEASUREMENT READY / EVIDENCE EMPTY","RETURN"))</f>
        <v>MEASUREMENT READY / EVIDENCE EMPTY</v>
      </c>
    </row>
    <row r="26" customFormat="false" ht="15" hidden="false" customHeight="false" outlineLevel="0" collapsed="false">
      <c r="A26" s="12" t="s">
        <v>340</v>
      </c>
      <c r="B26" s="12" t="s">
        <v>35</v>
      </c>
      <c r="C26" s="12" t="s">
        <v>36</v>
      </c>
      <c r="D26" s="12" t="s">
        <v>135</v>
      </c>
      <c r="E26" s="12" t="s">
        <v>282</v>
      </c>
      <c r="F26" s="12" t="s">
        <v>521</v>
      </c>
      <c r="G26" s="12" t="s">
        <v>340</v>
      </c>
      <c r="H26" s="12" t="s">
        <v>522</v>
      </c>
      <c r="I26" s="12" t="s">
        <v>523</v>
      </c>
      <c r="J26" s="12" t="n">
        <v>1</v>
      </c>
      <c r="K26" s="12" t="n">
        <v>0</v>
      </c>
      <c r="L26" s="14" t="n">
        <v>0</v>
      </c>
      <c r="M26" s="14" t="n">
        <v>0</v>
      </c>
      <c r="N26" s="21" t="str">
        <f aca="false">IF(K26=1,"DESIGN DEFINED / TEST PENDING",IF(AND(J26=1,L26=0,M26=0),"MEASUREMENT READY / EVIDENCE EMPTY","RETURN"))</f>
        <v>MEASUREMENT READY / EVIDENCE EMPTY</v>
      </c>
    </row>
    <row r="27" customFormat="false" ht="15" hidden="false" customHeight="false" outlineLevel="0" collapsed="false">
      <c r="A27" s="12" t="s">
        <v>343</v>
      </c>
      <c r="B27" s="12" t="s">
        <v>35</v>
      </c>
      <c r="C27" s="12" t="s">
        <v>36</v>
      </c>
      <c r="D27" s="12" t="s">
        <v>140</v>
      </c>
      <c r="E27" s="12" t="s">
        <v>275</v>
      </c>
      <c r="F27" s="12" t="s">
        <v>518</v>
      </c>
      <c r="G27" s="12" t="s">
        <v>343</v>
      </c>
      <c r="H27" s="12" t="s">
        <v>519</v>
      </c>
      <c r="I27" s="12" t="s">
        <v>527</v>
      </c>
      <c r="J27" s="12" t="n">
        <v>1</v>
      </c>
      <c r="K27" s="12" t="n">
        <v>0</v>
      </c>
      <c r="L27" s="14" t="n">
        <v>0</v>
      </c>
      <c r="M27" s="14" t="n">
        <v>0</v>
      </c>
      <c r="N27" s="21" t="str">
        <f aca="false">IF(K27=1,"DESIGN DEFINED / TEST PENDING",IF(AND(J27=1,L27=0,M27=0),"MEASUREMENT READY / EVIDENCE EMPTY","RETURN"))</f>
        <v>MEASUREMENT READY / EVIDENCE EMPTY</v>
      </c>
    </row>
    <row r="28" customFormat="false" ht="15" hidden="false" customHeight="false" outlineLevel="0" collapsed="false">
      <c r="A28" s="12" t="s">
        <v>346</v>
      </c>
      <c r="B28" s="12" t="s">
        <v>35</v>
      </c>
      <c r="C28" s="12" t="s">
        <v>36</v>
      </c>
      <c r="D28" s="12" t="s">
        <v>140</v>
      </c>
      <c r="E28" s="12" t="s">
        <v>282</v>
      </c>
      <c r="F28" s="12" t="s">
        <v>521</v>
      </c>
      <c r="G28" s="12" t="s">
        <v>346</v>
      </c>
      <c r="H28" s="12" t="s">
        <v>522</v>
      </c>
      <c r="I28" s="12" t="s">
        <v>523</v>
      </c>
      <c r="J28" s="12" t="n">
        <v>1</v>
      </c>
      <c r="K28" s="12" t="n">
        <v>0</v>
      </c>
      <c r="L28" s="14" t="n">
        <v>0</v>
      </c>
      <c r="M28" s="14" t="n">
        <v>0</v>
      </c>
      <c r="N28" s="21" t="str">
        <f aca="false">IF(K28=1,"DESIGN DEFINED / TEST PENDING",IF(AND(J28=1,L28=0,M28=0),"MEASUREMENT READY / EVIDENCE EMPTY","RETURN"))</f>
        <v>MEASUREMENT READY / EVIDENCE EMPTY</v>
      </c>
    </row>
    <row r="29" customFormat="false" ht="15" hidden="false" customHeight="false" outlineLevel="0" collapsed="false">
      <c r="A29" s="12" t="s">
        <v>350</v>
      </c>
      <c r="B29" s="12" t="s">
        <v>35</v>
      </c>
      <c r="C29" s="12" t="s">
        <v>36</v>
      </c>
      <c r="D29" s="12" t="s">
        <v>146</v>
      </c>
      <c r="E29" s="12" t="s">
        <v>275</v>
      </c>
      <c r="F29" s="12" t="s">
        <v>518</v>
      </c>
      <c r="G29" s="12" t="s">
        <v>350</v>
      </c>
      <c r="H29" s="12" t="s">
        <v>519</v>
      </c>
      <c r="I29" s="12" t="s">
        <v>528</v>
      </c>
      <c r="J29" s="12" t="n">
        <v>1</v>
      </c>
      <c r="K29" s="12" t="n">
        <v>0</v>
      </c>
      <c r="L29" s="14" t="n">
        <v>0</v>
      </c>
      <c r="M29" s="14" t="n">
        <v>0</v>
      </c>
      <c r="N29" s="21" t="str">
        <f aca="false">IF(K29=1,"DESIGN DEFINED / TEST PENDING",IF(AND(J29=1,L29=0,M29=0),"MEASUREMENT READY / EVIDENCE EMPTY","RETURN"))</f>
        <v>MEASUREMENT READY / EVIDENCE EMPTY</v>
      </c>
    </row>
    <row r="30" customFormat="false" ht="15" hidden="false" customHeight="false" outlineLevel="0" collapsed="false">
      <c r="A30" s="12" t="s">
        <v>354</v>
      </c>
      <c r="B30" s="12" t="s">
        <v>35</v>
      </c>
      <c r="C30" s="12" t="s">
        <v>36</v>
      </c>
      <c r="D30" s="12" t="s">
        <v>146</v>
      </c>
      <c r="E30" s="12" t="s">
        <v>282</v>
      </c>
      <c r="F30" s="12" t="s">
        <v>521</v>
      </c>
      <c r="G30" s="12" t="s">
        <v>354</v>
      </c>
      <c r="H30" s="12" t="s">
        <v>522</v>
      </c>
      <c r="I30" s="12" t="s">
        <v>523</v>
      </c>
      <c r="J30" s="12" t="n">
        <v>1</v>
      </c>
      <c r="K30" s="12" t="n">
        <v>0</v>
      </c>
      <c r="L30" s="14" t="n">
        <v>0</v>
      </c>
      <c r="M30" s="14" t="n">
        <v>0</v>
      </c>
      <c r="N30" s="21" t="str">
        <f aca="false">IF(K30=1,"DESIGN DEFINED / TEST PENDING",IF(AND(J30=1,L30=0,M30=0),"MEASUREMENT READY / EVIDENCE EMPTY","RETURN"))</f>
        <v>MEASUREMENT READY / EVIDENCE EMPTY</v>
      </c>
    </row>
    <row r="31" customFormat="false" ht="15" hidden="false" customHeight="false" outlineLevel="0" collapsed="false">
      <c r="A31" s="12" t="s">
        <v>357</v>
      </c>
      <c r="B31" s="12" t="s">
        <v>39</v>
      </c>
      <c r="C31" s="12" t="s">
        <v>40</v>
      </c>
      <c r="D31" s="12" t="s">
        <v>114</v>
      </c>
      <c r="E31" s="12" t="s">
        <v>275</v>
      </c>
      <c r="F31" s="12" t="s">
        <v>518</v>
      </c>
      <c r="G31" s="12" t="s">
        <v>357</v>
      </c>
      <c r="H31" s="12" t="s">
        <v>519</v>
      </c>
      <c r="I31" s="12" t="s">
        <v>520</v>
      </c>
      <c r="J31" s="12" t="n">
        <v>1</v>
      </c>
      <c r="K31" s="12" t="n">
        <v>0</v>
      </c>
      <c r="L31" s="14" t="n">
        <v>0</v>
      </c>
      <c r="M31" s="14" t="n">
        <v>0</v>
      </c>
      <c r="N31" s="21" t="str">
        <f aca="false">IF(K31=1,"DESIGN DEFINED / TEST PENDING",IF(AND(J31=1,L31=0,M31=0),"MEASUREMENT READY / EVIDENCE EMPTY","RETURN"))</f>
        <v>MEASUREMENT READY / EVIDENCE EMPTY</v>
      </c>
    </row>
    <row r="32" customFormat="false" ht="15" hidden="false" customHeight="false" outlineLevel="0" collapsed="false">
      <c r="A32" s="12" t="s">
        <v>360</v>
      </c>
      <c r="B32" s="12" t="s">
        <v>39</v>
      </c>
      <c r="C32" s="12" t="s">
        <v>40</v>
      </c>
      <c r="D32" s="12" t="s">
        <v>114</v>
      </c>
      <c r="E32" s="12" t="s">
        <v>282</v>
      </c>
      <c r="F32" s="12" t="s">
        <v>521</v>
      </c>
      <c r="G32" s="12" t="s">
        <v>360</v>
      </c>
      <c r="H32" s="12" t="s">
        <v>522</v>
      </c>
      <c r="I32" s="12" t="s">
        <v>523</v>
      </c>
      <c r="J32" s="12" t="n">
        <v>1</v>
      </c>
      <c r="K32" s="12" t="n">
        <v>0</v>
      </c>
      <c r="L32" s="14" t="n">
        <v>0</v>
      </c>
      <c r="M32" s="14" t="n">
        <v>0</v>
      </c>
      <c r="N32" s="21" t="str">
        <f aca="false">IF(K32=1,"DESIGN DEFINED / TEST PENDING",IF(AND(J32=1,L32=0,M32=0),"MEASUREMENT READY / EVIDENCE EMPTY","RETURN"))</f>
        <v>MEASUREMENT READY / EVIDENCE EMPTY</v>
      </c>
    </row>
    <row r="33" customFormat="false" ht="15" hidden="false" customHeight="false" outlineLevel="0" collapsed="false">
      <c r="A33" s="12" t="s">
        <v>363</v>
      </c>
      <c r="B33" s="12" t="s">
        <v>39</v>
      </c>
      <c r="C33" s="12" t="s">
        <v>40</v>
      </c>
      <c r="D33" s="12" t="s">
        <v>121</v>
      </c>
      <c r="E33" s="12" t="s">
        <v>275</v>
      </c>
      <c r="F33" s="12" t="s">
        <v>518</v>
      </c>
      <c r="G33" s="12" t="s">
        <v>363</v>
      </c>
      <c r="H33" s="12" t="s">
        <v>519</v>
      </c>
      <c r="I33" s="12" t="s">
        <v>524</v>
      </c>
      <c r="J33" s="12" t="n">
        <v>1</v>
      </c>
      <c r="K33" s="12" t="n">
        <v>0</v>
      </c>
      <c r="L33" s="14" t="n">
        <v>0</v>
      </c>
      <c r="M33" s="14" t="n">
        <v>0</v>
      </c>
      <c r="N33" s="21" t="str">
        <f aca="false">IF(K33=1,"DESIGN DEFINED / TEST PENDING",IF(AND(J33=1,L33=0,M33=0),"MEASUREMENT READY / EVIDENCE EMPTY","RETURN"))</f>
        <v>MEASUREMENT READY / EVIDENCE EMPTY</v>
      </c>
    </row>
    <row r="34" customFormat="false" ht="15" hidden="false" customHeight="false" outlineLevel="0" collapsed="false">
      <c r="A34" s="12" t="s">
        <v>366</v>
      </c>
      <c r="B34" s="12" t="s">
        <v>39</v>
      </c>
      <c r="C34" s="12" t="s">
        <v>40</v>
      </c>
      <c r="D34" s="12" t="s">
        <v>121</v>
      </c>
      <c r="E34" s="12" t="s">
        <v>282</v>
      </c>
      <c r="F34" s="12" t="s">
        <v>521</v>
      </c>
      <c r="G34" s="12" t="s">
        <v>366</v>
      </c>
      <c r="H34" s="12" t="s">
        <v>522</v>
      </c>
      <c r="I34" s="12" t="s">
        <v>523</v>
      </c>
      <c r="J34" s="12" t="n">
        <v>1</v>
      </c>
      <c r="K34" s="12" t="n">
        <v>0</v>
      </c>
      <c r="L34" s="14" t="n">
        <v>0</v>
      </c>
      <c r="M34" s="14" t="n">
        <v>0</v>
      </c>
      <c r="N34" s="21" t="str">
        <f aca="false">IF(K34=1,"DESIGN DEFINED / TEST PENDING",IF(AND(J34=1,L34=0,M34=0),"MEASUREMENT READY / EVIDENCE EMPTY","RETURN"))</f>
        <v>MEASUREMENT READY / EVIDENCE EMPTY</v>
      </c>
    </row>
    <row r="35" customFormat="false" ht="15" hidden="false" customHeight="false" outlineLevel="0" collapsed="false">
      <c r="A35" s="12" t="s">
        <v>369</v>
      </c>
      <c r="B35" s="12" t="s">
        <v>39</v>
      </c>
      <c r="C35" s="12" t="s">
        <v>40</v>
      </c>
      <c r="D35" s="12" t="s">
        <v>128</v>
      </c>
      <c r="E35" s="12" t="s">
        <v>275</v>
      </c>
      <c r="F35" s="12" t="s">
        <v>518</v>
      </c>
      <c r="G35" s="12" t="s">
        <v>369</v>
      </c>
      <c r="H35" s="12" t="s">
        <v>519</v>
      </c>
      <c r="I35" s="12" t="s">
        <v>525</v>
      </c>
      <c r="J35" s="12" t="n">
        <v>1</v>
      </c>
      <c r="K35" s="12" t="n">
        <v>0</v>
      </c>
      <c r="L35" s="14" t="n">
        <v>0</v>
      </c>
      <c r="M35" s="14" t="n">
        <v>0</v>
      </c>
      <c r="N35" s="21" t="str">
        <f aca="false">IF(K35=1,"DESIGN DEFINED / TEST PENDING",IF(AND(J35=1,L35=0,M35=0),"MEASUREMENT READY / EVIDENCE EMPTY","RETURN"))</f>
        <v>MEASUREMENT READY / EVIDENCE EMPTY</v>
      </c>
    </row>
    <row r="36" customFormat="false" ht="15" hidden="false" customHeight="false" outlineLevel="0" collapsed="false">
      <c r="A36" s="12" t="s">
        <v>372</v>
      </c>
      <c r="B36" s="12" t="s">
        <v>39</v>
      </c>
      <c r="C36" s="12" t="s">
        <v>40</v>
      </c>
      <c r="D36" s="12" t="s">
        <v>128</v>
      </c>
      <c r="E36" s="12" t="s">
        <v>282</v>
      </c>
      <c r="F36" s="12" t="s">
        <v>521</v>
      </c>
      <c r="G36" s="12" t="s">
        <v>372</v>
      </c>
      <c r="H36" s="12" t="s">
        <v>522</v>
      </c>
      <c r="I36" s="12" t="s">
        <v>523</v>
      </c>
      <c r="J36" s="12" t="n">
        <v>1</v>
      </c>
      <c r="K36" s="12" t="n">
        <v>0</v>
      </c>
      <c r="L36" s="14" t="n">
        <v>0</v>
      </c>
      <c r="M36" s="14" t="n">
        <v>0</v>
      </c>
      <c r="N36" s="21" t="str">
        <f aca="false">IF(K36=1,"DESIGN DEFINED / TEST PENDING",IF(AND(J36=1,L36=0,M36=0),"MEASUREMENT READY / EVIDENCE EMPTY","RETURN"))</f>
        <v>MEASUREMENT READY / EVIDENCE EMPTY</v>
      </c>
    </row>
    <row r="37" customFormat="false" ht="15" hidden="false" customHeight="false" outlineLevel="0" collapsed="false">
      <c r="A37" s="12" t="s">
        <v>375</v>
      </c>
      <c r="B37" s="12" t="s">
        <v>39</v>
      </c>
      <c r="C37" s="12" t="s">
        <v>40</v>
      </c>
      <c r="D37" s="12" t="s">
        <v>135</v>
      </c>
      <c r="E37" s="12" t="s">
        <v>275</v>
      </c>
      <c r="F37" s="12" t="s">
        <v>518</v>
      </c>
      <c r="G37" s="12" t="s">
        <v>375</v>
      </c>
      <c r="H37" s="12" t="s">
        <v>519</v>
      </c>
      <c r="I37" s="12" t="s">
        <v>526</v>
      </c>
      <c r="J37" s="12" t="n">
        <v>1</v>
      </c>
      <c r="K37" s="12" t="n">
        <v>0</v>
      </c>
      <c r="L37" s="14" t="n">
        <v>0</v>
      </c>
      <c r="M37" s="14" t="n">
        <v>0</v>
      </c>
      <c r="N37" s="21" t="str">
        <f aca="false">IF(K37=1,"DESIGN DEFINED / TEST PENDING",IF(AND(J37=1,L37=0,M37=0),"MEASUREMENT READY / EVIDENCE EMPTY","RETURN"))</f>
        <v>MEASUREMENT READY / EVIDENCE EMPTY</v>
      </c>
    </row>
    <row r="38" customFormat="false" ht="15" hidden="false" customHeight="false" outlineLevel="0" collapsed="false">
      <c r="A38" s="12" t="s">
        <v>378</v>
      </c>
      <c r="B38" s="12" t="s">
        <v>39</v>
      </c>
      <c r="C38" s="12" t="s">
        <v>40</v>
      </c>
      <c r="D38" s="12" t="s">
        <v>135</v>
      </c>
      <c r="E38" s="12" t="s">
        <v>282</v>
      </c>
      <c r="F38" s="12" t="s">
        <v>521</v>
      </c>
      <c r="G38" s="12" t="s">
        <v>378</v>
      </c>
      <c r="H38" s="12" t="s">
        <v>522</v>
      </c>
      <c r="I38" s="12" t="s">
        <v>523</v>
      </c>
      <c r="J38" s="12" t="n">
        <v>1</v>
      </c>
      <c r="K38" s="12" t="n">
        <v>0</v>
      </c>
      <c r="L38" s="14" t="n">
        <v>0</v>
      </c>
      <c r="M38" s="14" t="n">
        <v>0</v>
      </c>
      <c r="N38" s="21" t="str">
        <f aca="false">IF(K38=1,"DESIGN DEFINED / TEST PENDING",IF(AND(J38=1,L38=0,M38=0),"MEASUREMENT READY / EVIDENCE EMPTY","RETURN"))</f>
        <v>MEASUREMENT READY / EVIDENCE EMPTY</v>
      </c>
    </row>
    <row r="39" customFormat="false" ht="15" hidden="false" customHeight="false" outlineLevel="0" collapsed="false">
      <c r="A39" s="12" t="s">
        <v>381</v>
      </c>
      <c r="B39" s="12" t="s">
        <v>39</v>
      </c>
      <c r="C39" s="12" t="s">
        <v>40</v>
      </c>
      <c r="D39" s="12" t="s">
        <v>140</v>
      </c>
      <c r="E39" s="12" t="s">
        <v>275</v>
      </c>
      <c r="F39" s="12" t="s">
        <v>518</v>
      </c>
      <c r="G39" s="12" t="s">
        <v>381</v>
      </c>
      <c r="H39" s="12" t="s">
        <v>519</v>
      </c>
      <c r="I39" s="12" t="s">
        <v>527</v>
      </c>
      <c r="J39" s="12" t="n">
        <v>1</v>
      </c>
      <c r="K39" s="12" t="n">
        <v>0</v>
      </c>
      <c r="L39" s="14" t="n">
        <v>0</v>
      </c>
      <c r="M39" s="14" t="n">
        <v>0</v>
      </c>
      <c r="N39" s="21" t="str">
        <f aca="false">IF(K39=1,"DESIGN DEFINED / TEST PENDING",IF(AND(J39=1,L39=0,M39=0),"MEASUREMENT READY / EVIDENCE EMPTY","RETURN"))</f>
        <v>MEASUREMENT READY / EVIDENCE EMPTY</v>
      </c>
    </row>
    <row r="40" customFormat="false" ht="15" hidden="false" customHeight="false" outlineLevel="0" collapsed="false">
      <c r="A40" s="12" t="s">
        <v>384</v>
      </c>
      <c r="B40" s="12" t="s">
        <v>39</v>
      </c>
      <c r="C40" s="12" t="s">
        <v>40</v>
      </c>
      <c r="D40" s="12" t="s">
        <v>140</v>
      </c>
      <c r="E40" s="12" t="s">
        <v>282</v>
      </c>
      <c r="F40" s="12" t="s">
        <v>521</v>
      </c>
      <c r="G40" s="12" t="s">
        <v>384</v>
      </c>
      <c r="H40" s="12" t="s">
        <v>522</v>
      </c>
      <c r="I40" s="12" t="s">
        <v>523</v>
      </c>
      <c r="J40" s="12" t="n">
        <v>1</v>
      </c>
      <c r="K40" s="12" t="n">
        <v>0</v>
      </c>
      <c r="L40" s="14" t="n">
        <v>0</v>
      </c>
      <c r="M40" s="14" t="n">
        <v>0</v>
      </c>
      <c r="N40" s="21" t="str">
        <f aca="false">IF(K40=1,"DESIGN DEFINED / TEST PENDING",IF(AND(J40=1,L40=0,M40=0),"MEASUREMENT READY / EVIDENCE EMPTY","RETURN"))</f>
        <v>MEASUREMENT READY / EVIDENCE EMPTY</v>
      </c>
    </row>
    <row r="41" customFormat="false" ht="15" hidden="false" customHeight="false" outlineLevel="0" collapsed="false">
      <c r="A41" s="12" t="s">
        <v>388</v>
      </c>
      <c r="B41" s="12" t="s">
        <v>39</v>
      </c>
      <c r="C41" s="12" t="s">
        <v>40</v>
      </c>
      <c r="D41" s="12" t="s">
        <v>146</v>
      </c>
      <c r="E41" s="12" t="s">
        <v>275</v>
      </c>
      <c r="F41" s="12" t="s">
        <v>518</v>
      </c>
      <c r="G41" s="12" t="s">
        <v>388</v>
      </c>
      <c r="H41" s="12" t="s">
        <v>519</v>
      </c>
      <c r="I41" s="12" t="s">
        <v>528</v>
      </c>
      <c r="J41" s="12" t="n">
        <v>1</v>
      </c>
      <c r="K41" s="12" t="n">
        <v>0</v>
      </c>
      <c r="L41" s="14" t="n">
        <v>0</v>
      </c>
      <c r="M41" s="14" t="n">
        <v>0</v>
      </c>
      <c r="N41" s="21" t="str">
        <f aca="false">IF(K41=1,"DESIGN DEFINED / TEST PENDING",IF(AND(J41=1,L41=0,M41=0),"MEASUREMENT READY / EVIDENCE EMPTY","RETURN"))</f>
        <v>MEASUREMENT READY / EVIDENCE EMPTY</v>
      </c>
    </row>
    <row r="42" customFormat="false" ht="15" hidden="false" customHeight="false" outlineLevel="0" collapsed="false">
      <c r="A42" s="12" t="s">
        <v>392</v>
      </c>
      <c r="B42" s="12" t="s">
        <v>39</v>
      </c>
      <c r="C42" s="12" t="s">
        <v>40</v>
      </c>
      <c r="D42" s="12" t="s">
        <v>146</v>
      </c>
      <c r="E42" s="12" t="s">
        <v>282</v>
      </c>
      <c r="F42" s="12" t="s">
        <v>521</v>
      </c>
      <c r="G42" s="12" t="s">
        <v>392</v>
      </c>
      <c r="H42" s="12" t="s">
        <v>522</v>
      </c>
      <c r="I42" s="12" t="s">
        <v>523</v>
      </c>
      <c r="J42" s="12" t="n">
        <v>1</v>
      </c>
      <c r="K42" s="12" t="n">
        <v>0</v>
      </c>
      <c r="L42" s="14" t="n">
        <v>0</v>
      </c>
      <c r="M42" s="14" t="n">
        <v>0</v>
      </c>
      <c r="N42" s="21" t="str">
        <f aca="false">IF(K42=1,"DESIGN DEFINED / TEST PENDING",IF(AND(J42=1,L42=0,M42=0),"MEASUREMENT READY / EVIDENCE EMPTY","RETURN"))</f>
        <v>MEASUREMENT READY / EVIDENCE EMPTY</v>
      </c>
    </row>
    <row r="43" customFormat="false" ht="15" hidden="false" customHeight="false" outlineLevel="0" collapsed="false">
      <c r="A43" s="12" t="s">
        <v>395</v>
      </c>
      <c r="B43" s="12" t="s">
        <v>43</v>
      </c>
      <c r="C43" s="12" t="s">
        <v>44</v>
      </c>
      <c r="D43" s="12" t="s">
        <v>114</v>
      </c>
      <c r="E43" s="12" t="s">
        <v>275</v>
      </c>
      <c r="F43" s="12" t="s">
        <v>518</v>
      </c>
      <c r="G43" s="12" t="s">
        <v>395</v>
      </c>
      <c r="H43" s="12" t="s">
        <v>519</v>
      </c>
      <c r="I43" s="12" t="s">
        <v>520</v>
      </c>
      <c r="J43" s="12" t="n">
        <v>1</v>
      </c>
      <c r="K43" s="12" t="n">
        <v>0</v>
      </c>
      <c r="L43" s="14" t="n">
        <v>0</v>
      </c>
      <c r="M43" s="14" t="n">
        <v>0</v>
      </c>
      <c r="N43" s="21" t="str">
        <f aca="false">IF(K43=1,"DESIGN DEFINED / TEST PENDING",IF(AND(J43=1,L43=0,M43=0),"MEASUREMENT READY / EVIDENCE EMPTY","RETURN"))</f>
        <v>MEASUREMENT READY / EVIDENCE EMPTY</v>
      </c>
    </row>
    <row r="44" customFormat="false" ht="15" hidden="false" customHeight="false" outlineLevel="0" collapsed="false">
      <c r="A44" s="12" t="s">
        <v>399</v>
      </c>
      <c r="B44" s="12" t="s">
        <v>43</v>
      </c>
      <c r="C44" s="12" t="s">
        <v>44</v>
      </c>
      <c r="D44" s="12" t="s">
        <v>114</v>
      </c>
      <c r="E44" s="12" t="s">
        <v>282</v>
      </c>
      <c r="F44" s="12" t="s">
        <v>521</v>
      </c>
      <c r="G44" s="12" t="s">
        <v>399</v>
      </c>
      <c r="H44" s="12" t="s">
        <v>522</v>
      </c>
      <c r="I44" s="12" t="s">
        <v>523</v>
      </c>
      <c r="J44" s="12" t="n">
        <v>1</v>
      </c>
      <c r="K44" s="12" t="n">
        <v>0</v>
      </c>
      <c r="L44" s="14" t="n">
        <v>0</v>
      </c>
      <c r="M44" s="14" t="n">
        <v>0</v>
      </c>
      <c r="N44" s="21" t="str">
        <f aca="false">IF(K44=1,"DESIGN DEFINED / TEST PENDING",IF(AND(J44=1,L44=0,M44=0),"MEASUREMENT READY / EVIDENCE EMPTY","RETURN"))</f>
        <v>MEASUREMENT READY / EVIDENCE EMPTY</v>
      </c>
    </row>
    <row r="45" customFormat="false" ht="15" hidden="false" customHeight="false" outlineLevel="0" collapsed="false">
      <c r="A45" s="12" t="s">
        <v>402</v>
      </c>
      <c r="B45" s="12" t="s">
        <v>43</v>
      </c>
      <c r="C45" s="12" t="s">
        <v>44</v>
      </c>
      <c r="D45" s="12" t="s">
        <v>121</v>
      </c>
      <c r="E45" s="12" t="s">
        <v>275</v>
      </c>
      <c r="F45" s="12" t="s">
        <v>518</v>
      </c>
      <c r="G45" s="12" t="s">
        <v>402</v>
      </c>
      <c r="H45" s="12" t="s">
        <v>519</v>
      </c>
      <c r="I45" s="12" t="s">
        <v>524</v>
      </c>
      <c r="J45" s="12" t="n">
        <v>1</v>
      </c>
      <c r="K45" s="12" t="n">
        <v>0</v>
      </c>
      <c r="L45" s="14" t="n">
        <v>0</v>
      </c>
      <c r="M45" s="14" t="n">
        <v>0</v>
      </c>
      <c r="N45" s="21" t="str">
        <f aca="false">IF(K45=1,"DESIGN DEFINED / TEST PENDING",IF(AND(J45=1,L45=0,M45=0),"MEASUREMENT READY / EVIDENCE EMPTY","RETURN"))</f>
        <v>MEASUREMENT READY / EVIDENCE EMPTY</v>
      </c>
    </row>
    <row r="46" customFormat="false" ht="15" hidden="false" customHeight="false" outlineLevel="0" collapsed="false">
      <c r="A46" s="12" t="s">
        <v>405</v>
      </c>
      <c r="B46" s="12" t="s">
        <v>43</v>
      </c>
      <c r="C46" s="12" t="s">
        <v>44</v>
      </c>
      <c r="D46" s="12" t="s">
        <v>121</v>
      </c>
      <c r="E46" s="12" t="s">
        <v>282</v>
      </c>
      <c r="F46" s="12" t="s">
        <v>521</v>
      </c>
      <c r="G46" s="12" t="s">
        <v>405</v>
      </c>
      <c r="H46" s="12" t="s">
        <v>522</v>
      </c>
      <c r="I46" s="12" t="s">
        <v>523</v>
      </c>
      <c r="J46" s="12" t="n">
        <v>1</v>
      </c>
      <c r="K46" s="12" t="n">
        <v>0</v>
      </c>
      <c r="L46" s="14" t="n">
        <v>0</v>
      </c>
      <c r="M46" s="14" t="n">
        <v>0</v>
      </c>
      <c r="N46" s="21" t="str">
        <f aca="false">IF(K46=1,"DESIGN DEFINED / TEST PENDING",IF(AND(J46=1,L46=0,M46=0),"MEASUREMENT READY / EVIDENCE EMPTY","RETURN"))</f>
        <v>MEASUREMENT READY / EVIDENCE EMPTY</v>
      </c>
    </row>
    <row r="47" customFormat="false" ht="15" hidden="false" customHeight="false" outlineLevel="0" collapsed="false">
      <c r="A47" s="12" t="s">
        <v>408</v>
      </c>
      <c r="B47" s="12" t="s">
        <v>43</v>
      </c>
      <c r="C47" s="12" t="s">
        <v>44</v>
      </c>
      <c r="D47" s="12" t="s">
        <v>128</v>
      </c>
      <c r="E47" s="12" t="s">
        <v>275</v>
      </c>
      <c r="F47" s="12" t="s">
        <v>518</v>
      </c>
      <c r="G47" s="12" t="s">
        <v>408</v>
      </c>
      <c r="H47" s="12" t="s">
        <v>519</v>
      </c>
      <c r="I47" s="12" t="s">
        <v>525</v>
      </c>
      <c r="J47" s="12" t="n">
        <v>1</v>
      </c>
      <c r="K47" s="12" t="n">
        <v>0</v>
      </c>
      <c r="L47" s="14" t="n">
        <v>0</v>
      </c>
      <c r="M47" s="14" t="n">
        <v>0</v>
      </c>
      <c r="N47" s="21" t="str">
        <f aca="false">IF(K47=1,"DESIGN DEFINED / TEST PENDING",IF(AND(J47=1,L47=0,M47=0),"MEASUREMENT READY / EVIDENCE EMPTY","RETURN"))</f>
        <v>MEASUREMENT READY / EVIDENCE EMPTY</v>
      </c>
    </row>
    <row r="48" customFormat="false" ht="15" hidden="false" customHeight="false" outlineLevel="0" collapsed="false">
      <c r="A48" s="12" t="s">
        <v>411</v>
      </c>
      <c r="B48" s="12" t="s">
        <v>43</v>
      </c>
      <c r="C48" s="12" t="s">
        <v>44</v>
      </c>
      <c r="D48" s="12" t="s">
        <v>128</v>
      </c>
      <c r="E48" s="12" t="s">
        <v>282</v>
      </c>
      <c r="F48" s="12" t="s">
        <v>521</v>
      </c>
      <c r="G48" s="12" t="s">
        <v>411</v>
      </c>
      <c r="H48" s="12" t="s">
        <v>522</v>
      </c>
      <c r="I48" s="12" t="s">
        <v>523</v>
      </c>
      <c r="J48" s="12" t="n">
        <v>1</v>
      </c>
      <c r="K48" s="12" t="n">
        <v>0</v>
      </c>
      <c r="L48" s="14" t="n">
        <v>0</v>
      </c>
      <c r="M48" s="14" t="n">
        <v>0</v>
      </c>
      <c r="N48" s="21" t="str">
        <f aca="false">IF(K48=1,"DESIGN DEFINED / TEST PENDING",IF(AND(J48=1,L48=0,M48=0),"MEASUREMENT READY / EVIDENCE EMPTY","RETURN"))</f>
        <v>MEASUREMENT READY / EVIDENCE EMPTY</v>
      </c>
    </row>
    <row r="49" customFormat="false" ht="15" hidden="false" customHeight="false" outlineLevel="0" collapsed="false">
      <c r="A49" s="12" t="s">
        <v>414</v>
      </c>
      <c r="B49" s="12" t="s">
        <v>43</v>
      </c>
      <c r="C49" s="12" t="s">
        <v>44</v>
      </c>
      <c r="D49" s="12" t="s">
        <v>135</v>
      </c>
      <c r="E49" s="12" t="s">
        <v>275</v>
      </c>
      <c r="F49" s="12" t="s">
        <v>518</v>
      </c>
      <c r="G49" s="12" t="s">
        <v>414</v>
      </c>
      <c r="H49" s="12" t="s">
        <v>519</v>
      </c>
      <c r="I49" s="12" t="s">
        <v>526</v>
      </c>
      <c r="J49" s="12" t="n">
        <v>1</v>
      </c>
      <c r="K49" s="12" t="n">
        <v>0</v>
      </c>
      <c r="L49" s="14" t="n">
        <v>0</v>
      </c>
      <c r="M49" s="14" t="n">
        <v>0</v>
      </c>
      <c r="N49" s="21" t="str">
        <f aca="false">IF(K49=1,"DESIGN DEFINED / TEST PENDING",IF(AND(J49=1,L49=0,M49=0),"MEASUREMENT READY / EVIDENCE EMPTY","RETURN"))</f>
        <v>MEASUREMENT READY / EVIDENCE EMPTY</v>
      </c>
    </row>
    <row r="50" customFormat="false" ht="15" hidden="false" customHeight="false" outlineLevel="0" collapsed="false">
      <c r="A50" s="12" t="s">
        <v>417</v>
      </c>
      <c r="B50" s="12" t="s">
        <v>43</v>
      </c>
      <c r="C50" s="12" t="s">
        <v>44</v>
      </c>
      <c r="D50" s="12" t="s">
        <v>135</v>
      </c>
      <c r="E50" s="12" t="s">
        <v>282</v>
      </c>
      <c r="F50" s="12" t="s">
        <v>521</v>
      </c>
      <c r="G50" s="12" t="s">
        <v>417</v>
      </c>
      <c r="H50" s="12" t="s">
        <v>522</v>
      </c>
      <c r="I50" s="12" t="s">
        <v>523</v>
      </c>
      <c r="J50" s="12" t="n">
        <v>1</v>
      </c>
      <c r="K50" s="12" t="n">
        <v>0</v>
      </c>
      <c r="L50" s="14" t="n">
        <v>0</v>
      </c>
      <c r="M50" s="14" t="n">
        <v>0</v>
      </c>
      <c r="N50" s="21" t="str">
        <f aca="false">IF(K50=1,"DESIGN DEFINED / TEST PENDING",IF(AND(J50=1,L50=0,M50=0),"MEASUREMENT READY / EVIDENCE EMPTY","RETURN"))</f>
        <v>MEASUREMENT READY / EVIDENCE EMPTY</v>
      </c>
    </row>
    <row r="51" customFormat="false" ht="15" hidden="false" customHeight="false" outlineLevel="0" collapsed="false">
      <c r="A51" s="12" t="s">
        <v>420</v>
      </c>
      <c r="B51" s="12" t="s">
        <v>43</v>
      </c>
      <c r="C51" s="12" t="s">
        <v>44</v>
      </c>
      <c r="D51" s="12" t="s">
        <v>140</v>
      </c>
      <c r="E51" s="12" t="s">
        <v>275</v>
      </c>
      <c r="F51" s="12" t="s">
        <v>518</v>
      </c>
      <c r="G51" s="12" t="s">
        <v>420</v>
      </c>
      <c r="H51" s="12" t="s">
        <v>519</v>
      </c>
      <c r="I51" s="12" t="s">
        <v>527</v>
      </c>
      <c r="J51" s="12" t="n">
        <v>1</v>
      </c>
      <c r="K51" s="12" t="n">
        <v>0</v>
      </c>
      <c r="L51" s="14" t="n">
        <v>0</v>
      </c>
      <c r="M51" s="14" t="n">
        <v>0</v>
      </c>
      <c r="N51" s="21" t="str">
        <f aca="false">IF(K51=1,"DESIGN DEFINED / TEST PENDING",IF(AND(J51=1,L51=0,M51=0),"MEASUREMENT READY / EVIDENCE EMPTY","RETURN"))</f>
        <v>MEASUREMENT READY / EVIDENCE EMPTY</v>
      </c>
    </row>
    <row r="52" customFormat="false" ht="15" hidden="false" customHeight="false" outlineLevel="0" collapsed="false">
      <c r="A52" s="12" t="s">
        <v>423</v>
      </c>
      <c r="B52" s="12" t="s">
        <v>43</v>
      </c>
      <c r="C52" s="12" t="s">
        <v>44</v>
      </c>
      <c r="D52" s="12" t="s">
        <v>140</v>
      </c>
      <c r="E52" s="12" t="s">
        <v>282</v>
      </c>
      <c r="F52" s="12" t="s">
        <v>521</v>
      </c>
      <c r="G52" s="12" t="s">
        <v>423</v>
      </c>
      <c r="H52" s="12" t="s">
        <v>522</v>
      </c>
      <c r="I52" s="12" t="s">
        <v>523</v>
      </c>
      <c r="J52" s="12" t="n">
        <v>1</v>
      </c>
      <c r="K52" s="12" t="n">
        <v>0</v>
      </c>
      <c r="L52" s="14" t="n">
        <v>0</v>
      </c>
      <c r="M52" s="14" t="n">
        <v>0</v>
      </c>
      <c r="N52" s="21" t="str">
        <f aca="false">IF(K52=1,"DESIGN DEFINED / TEST PENDING",IF(AND(J52=1,L52=0,M52=0),"MEASUREMENT READY / EVIDENCE EMPTY","RETURN"))</f>
        <v>MEASUREMENT READY / EVIDENCE EMPTY</v>
      </c>
    </row>
    <row r="53" customFormat="false" ht="15" hidden="false" customHeight="false" outlineLevel="0" collapsed="false">
      <c r="A53" s="12" t="s">
        <v>427</v>
      </c>
      <c r="B53" s="12" t="s">
        <v>43</v>
      </c>
      <c r="C53" s="12" t="s">
        <v>44</v>
      </c>
      <c r="D53" s="12" t="s">
        <v>146</v>
      </c>
      <c r="E53" s="12" t="s">
        <v>275</v>
      </c>
      <c r="F53" s="12" t="s">
        <v>518</v>
      </c>
      <c r="G53" s="12" t="s">
        <v>427</v>
      </c>
      <c r="H53" s="12" t="s">
        <v>519</v>
      </c>
      <c r="I53" s="12" t="s">
        <v>528</v>
      </c>
      <c r="J53" s="12" t="n">
        <v>1</v>
      </c>
      <c r="K53" s="12" t="n">
        <v>0</v>
      </c>
      <c r="L53" s="14" t="n">
        <v>0</v>
      </c>
      <c r="M53" s="14" t="n">
        <v>0</v>
      </c>
      <c r="N53" s="21" t="str">
        <f aca="false">IF(K53=1,"DESIGN DEFINED / TEST PENDING",IF(AND(J53=1,L53=0,M53=0),"MEASUREMENT READY / EVIDENCE EMPTY","RETURN"))</f>
        <v>MEASUREMENT READY / EVIDENCE EMPTY</v>
      </c>
    </row>
    <row r="54" customFormat="false" ht="15" hidden="false" customHeight="false" outlineLevel="0" collapsed="false">
      <c r="A54" s="12" t="s">
        <v>431</v>
      </c>
      <c r="B54" s="12" t="s">
        <v>43</v>
      </c>
      <c r="C54" s="12" t="s">
        <v>44</v>
      </c>
      <c r="D54" s="12" t="s">
        <v>146</v>
      </c>
      <c r="E54" s="12" t="s">
        <v>282</v>
      </c>
      <c r="F54" s="12" t="s">
        <v>521</v>
      </c>
      <c r="G54" s="12" t="s">
        <v>431</v>
      </c>
      <c r="H54" s="12" t="s">
        <v>522</v>
      </c>
      <c r="I54" s="12" t="s">
        <v>523</v>
      </c>
      <c r="J54" s="12" t="n">
        <v>1</v>
      </c>
      <c r="K54" s="12" t="n">
        <v>0</v>
      </c>
      <c r="L54" s="14" t="n">
        <v>0</v>
      </c>
      <c r="M54" s="14" t="n">
        <v>0</v>
      </c>
      <c r="N54" s="21" t="str">
        <f aca="false">IF(K54=1,"DESIGN DEFINED / TEST PENDING",IF(AND(J54=1,L54=0,M54=0),"MEASUREMENT READY / EVIDENCE EMPTY","RETURN"))</f>
        <v>MEASUREMENT READY / EVIDENCE EMPTY</v>
      </c>
    </row>
    <row r="55" customFormat="false" ht="15" hidden="false" customHeight="false" outlineLevel="0" collapsed="false">
      <c r="A55" s="12" t="s">
        <v>434</v>
      </c>
      <c r="B55" s="12" t="s">
        <v>47</v>
      </c>
      <c r="C55" s="12" t="s">
        <v>48</v>
      </c>
      <c r="D55" s="12" t="s">
        <v>114</v>
      </c>
      <c r="E55" s="12" t="s">
        <v>275</v>
      </c>
      <c r="F55" s="12" t="s">
        <v>518</v>
      </c>
      <c r="G55" s="12" t="s">
        <v>434</v>
      </c>
      <c r="H55" s="12" t="s">
        <v>519</v>
      </c>
      <c r="I55" s="12" t="s">
        <v>520</v>
      </c>
      <c r="J55" s="12" t="n">
        <v>1</v>
      </c>
      <c r="K55" s="12" t="n">
        <v>0</v>
      </c>
      <c r="L55" s="14" t="n">
        <v>0</v>
      </c>
      <c r="M55" s="14" t="n">
        <v>0</v>
      </c>
      <c r="N55" s="21" t="str">
        <f aca="false">IF(K55=1,"DESIGN DEFINED / TEST PENDING",IF(AND(J55=1,L55=0,M55=0),"MEASUREMENT READY / EVIDENCE EMPTY","RETURN"))</f>
        <v>MEASUREMENT READY / EVIDENCE EMPTY</v>
      </c>
    </row>
    <row r="56" customFormat="false" ht="15" hidden="false" customHeight="false" outlineLevel="0" collapsed="false">
      <c r="A56" s="12" t="s">
        <v>437</v>
      </c>
      <c r="B56" s="12" t="s">
        <v>47</v>
      </c>
      <c r="C56" s="12" t="s">
        <v>48</v>
      </c>
      <c r="D56" s="12" t="s">
        <v>114</v>
      </c>
      <c r="E56" s="12" t="s">
        <v>282</v>
      </c>
      <c r="F56" s="12" t="s">
        <v>521</v>
      </c>
      <c r="G56" s="12" t="s">
        <v>437</v>
      </c>
      <c r="H56" s="12" t="s">
        <v>522</v>
      </c>
      <c r="I56" s="12" t="s">
        <v>523</v>
      </c>
      <c r="J56" s="12" t="n">
        <v>1</v>
      </c>
      <c r="K56" s="12" t="n">
        <v>0</v>
      </c>
      <c r="L56" s="14" t="n">
        <v>0</v>
      </c>
      <c r="M56" s="14" t="n">
        <v>0</v>
      </c>
      <c r="N56" s="21" t="str">
        <f aca="false">IF(K56=1,"DESIGN DEFINED / TEST PENDING",IF(AND(J56=1,L56=0,M56=0),"MEASUREMENT READY / EVIDENCE EMPTY","RETURN"))</f>
        <v>MEASUREMENT READY / EVIDENCE EMPTY</v>
      </c>
    </row>
    <row r="57" customFormat="false" ht="15" hidden="false" customHeight="false" outlineLevel="0" collapsed="false">
      <c r="A57" s="12" t="s">
        <v>440</v>
      </c>
      <c r="B57" s="12" t="s">
        <v>47</v>
      </c>
      <c r="C57" s="12" t="s">
        <v>48</v>
      </c>
      <c r="D57" s="12" t="s">
        <v>121</v>
      </c>
      <c r="E57" s="12" t="s">
        <v>275</v>
      </c>
      <c r="F57" s="12" t="s">
        <v>518</v>
      </c>
      <c r="G57" s="12" t="s">
        <v>440</v>
      </c>
      <c r="H57" s="12" t="s">
        <v>519</v>
      </c>
      <c r="I57" s="12" t="s">
        <v>524</v>
      </c>
      <c r="J57" s="12" t="n">
        <v>1</v>
      </c>
      <c r="K57" s="12" t="n">
        <v>0</v>
      </c>
      <c r="L57" s="14" t="n">
        <v>0</v>
      </c>
      <c r="M57" s="14" t="n">
        <v>0</v>
      </c>
      <c r="N57" s="21" t="str">
        <f aca="false">IF(K57=1,"DESIGN DEFINED / TEST PENDING",IF(AND(J57=1,L57=0,M57=0),"MEASUREMENT READY / EVIDENCE EMPTY","RETURN"))</f>
        <v>MEASUREMENT READY / EVIDENCE EMPTY</v>
      </c>
    </row>
    <row r="58" customFormat="false" ht="15" hidden="false" customHeight="false" outlineLevel="0" collapsed="false">
      <c r="A58" s="12" t="s">
        <v>443</v>
      </c>
      <c r="B58" s="12" t="s">
        <v>47</v>
      </c>
      <c r="C58" s="12" t="s">
        <v>48</v>
      </c>
      <c r="D58" s="12" t="s">
        <v>121</v>
      </c>
      <c r="E58" s="12" t="s">
        <v>282</v>
      </c>
      <c r="F58" s="12" t="s">
        <v>521</v>
      </c>
      <c r="G58" s="12" t="s">
        <v>443</v>
      </c>
      <c r="H58" s="12" t="s">
        <v>522</v>
      </c>
      <c r="I58" s="12" t="s">
        <v>523</v>
      </c>
      <c r="J58" s="12" t="n">
        <v>1</v>
      </c>
      <c r="K58" s="12" t="n">
        <v>0</v>
      </c>
      <c r="L58" s="14" t="n">
        <v>0</v>
      </c>
      <c r="M58" s="14" t="n">
        <v>0</v>
      </c>
      <c r="N58" s="21" t="str">
        <f aca="false">IF(K58=1,"DESIGN DEFINED / TEST PENDING",IF(AND(J58=1,L58=0,M58=0),"MEASUREMENT READY / EVIDENCE EMPTY","RETURN"))</f>
        <v>MEASUREMENT READY / EVIDENCE EMPTY</v>
      </c>
    </row>
    <row r="59" customFormat="false" ht="15" hidden="false" customHeight="false" outlineLevel="0" collapsed="false">
      <c r="A59" s="12" t="s">
        <v>446</v>
      </c>
      <c r="B59" s="12" t="s">
        <v>47</v>
      </c>
      <c r="C59" s="12" t="s">
        <v>48</v>
      </c>
      <c r="D59" s="12" t="s">
        <v>128</v>
      </c>
      <c r="E59" s="12" t="s">
        <v>275</v>
      </c>
      <c r="F59" s="12" t="s">
        <v>518</v>
      </c>
      <c r="G59" s="12" t="s">
        <v>446</v>
      </c>
      <c r="H59" s="12" t="s">
        <v>519</v>
      </c>
      <c r="I59" s="12" t="s">
        <v>525</v>
      </c>
      <c r="J59" s="12" t="n">
        <v>1</v>
      </c>
      <c r="K59" s="12" t="n">
        <v>0</v>
      </c>
      <c r="L59" s="14" t="n">
        <v>0</v>
      </c>
      <c r="M59" s="14" t="n">
        <v>0</v>
      </c>
      <c r="N59" s="21" t="str">
        <f aca="false">IF(K59=1,"DESIGN DEFINED / TEST PENDING",IF(AND(J59=1,L59=0,M59=0),"MEASUREMENT READY / EVIDENCE EMPTY","RETURN"))</f>
        <v>MEASUREMENT READY / EVIDENCE EMPTY</v>
      </c>
    </row>
    <row r="60" customFormat="false" ht="15" hidden="false" customHeight="false" outlineLevel="0" collapsed="false">
      <c r="A60" s="12" t="s">
        <v>449</v>
      </c>
      <c r="B60" s="12" t="s">
        <v>47</v>
      </c>
      <c r="C60" s="12" t="s">
        <v>48</v>
      </c>
      <c r="D60" s="12" t="s">
        <v>128</v>
      </c>
      <c r="E60" s="12" t="s">
        <v>282</v>
      </c>
      <c r="F60" s="12" t="s">
        <v>521</v>
      </c>
      <c r="G60" s="12" t="s">
        <v>449</v>
      </c>
      <c r="H60" s="12" t="s">
        <v>522</v>
      </c>
      <c r="I60" s="12" t="s">
        <v>523</v>
      </c>
      <c r="J60" s="12" t="n">
        <v>1</v>
      </c>
      <c r="K60" s="12" t="n">
        <v>0</v>
      </c>
      <c r="L60" s="14" t="n">
        <v>0</v>
      </c>
      <c r="M60" s="14" t="n">
        <v>0</v>
      </c>
      <c r="N60" s="21" t="str">
        <f aca="false">IF(K60=1,"DESIGN DEFINED / TEST PENDING",IF(AND(J60=1,L60=0,M60=0),"MEASUREMENT READY / EVIDENCE EMPTY","RETURN"))</f>
        <v>MEASUREMENT READY / EVIDENCE EMPTY</v>
      </c>
    </row>
    <row r="61" customFormat="false" ht="15" hidden="false" customHeight="false" outlineLevel="0" collapsed="false">
      <c r="A61" s="12" t="s">
        <v>452</v>
      </c>
      <c r="B61" s="12" t="s">
        <v>47</v>
      </c>
      <c r="C61" s="12" t="s">
        <v>48</v>
      </c>
      <c r="D61" s="12" t="s">
        <v>135</v>
      </c>
      <c r="E61" s="12" t="s">
        <v>275</v>
      </c>
      <c r="F61" s="12" t="s">
        <v>518</v>
      </c>
      <c r="G61" s="12" t="s">
        <v>452</v>
      </c>
      <c r="H61" s="12" t="s">
        <v>519</v>
      </c>
      <c r="I61" s="12" t="s">
        <v>526</v>
      </c>
      <c r="J61" s="12" t="n">
        <v>1</v>
      </c>
      <c r="K61" s="12" t="n">
        <v>0</v>
      </c>
      <c r="L61" s="14" t="n">
        <v>0</v>
      </c>
      <c r="M61" s="14" t="n">
        <v>0</v>
      </c>
      <c r="N61" s="21" t="str">
        <f aca="false">IF(K61=1,"DESIGN DEFINED / TEST PENDING",IF(AND(J61=1,L61=0,M61=0),"MEASUREMENT READY / EVIDENCE EMPTY","RETURN"))</f>
        <v>MEASUREMENT READY / EVIDENCE EMPTY</v>
      </c>
    </row>
    <row r="62" customFormat="false" ht="15" hidden="false" customHeight="false" outlineLevel="0" collapsed="false">
      <c r="A62" s="12" t="s">
        <v>455</v>
      </c>
      <c r="B62" s="12" t="s">
        <v>47</v>
      </c>
      <c r="C62" s="12" t="s">
        <v>48</v>
      </c>
      <c r="D62" s="12" t="s">
        <v>135</v>
      </c>
      <c r="E62" s="12" t="s">
        <v>282</v>
      </c>
      <c r="F62" s="12" t="s">
        <v>521</v>
      </c>
      <c r="G62" s="12" t="s">
        <v>455</v>
      </c>
      <c r="H62" s="12" t="s">
        <v>522</v>
      </c>
      <c r="I62" s="12" t="s">
        <v>523</v>
      </c>
      <c r="J62" s="12" t="n">
        <v>1</v>
      </c>
      <c r="K62" s="12" t="n">
        <v>0</v>
      </c>
      <c r="L62" s="14" t="n">
        <v>0</v>
      </c>
      <c r="M62" s="14" t="n">
        <v>0</v>
      </c>
      <c r="N62" s="21" t="str">
        <f aca="false">IF(K62=1,"DESIGN DEFINED / TEST PENDING",IF(AND(J62=1,L62=0,M62=0),"MEASUREMENT READY / EVIDENCE EMPTY","RETURN"))</f>
        <v>MEASUREMENT READY / EVIDENCE EMPTY</v>
      </c>
    </row>
    <row r="63" customFormat="false" ht="15" hidden="false" customHeight="false" outlineLevel="0" collapsed="false">
      <c r="A63" s="12" t="s">
        <v>458</v>
      </c>
      <c r="B63" s="12" t="s">
        <v>47</v>
      </c>
      <c r="C63" s="12" t="s">
        <v>48</v>
      </c>
      <c r="D63" s="12" t="s">
        <v>140</v>
      </c>
      <c r="E63" s="12" t="s">
        <v>275</v>
      </c>
      <c r="F63" s="12" t="s">
        <v>518</v>
      </c>
      <c r="G63" s="12" t="s">
        <v>458</v>
      </c>
      <c r="H63" s="12" t="s">
        <v>519</v>
      </c>
      <c r="I63" s="12" t="s">
        <v>527</v>
      </c>
      <c r="J63" s="12" t="n">
        <v>1</v>
      </c>
      <c r="K63" s="12" t="n">
        <v>0</v>
      </c>
      <c r="L63" s="14" t="n">
        <v>0</v>
      </c>
      <c r="M63" s="14" t="n">
        <v>0</v>
      </c>
      <c r="N63" s="21" t="str">
        <f aca="false">IF(K63=1,"DESIGN DEFINED / TEST PENDING",IF(AND(J63=1,L63=0,M63=0),"MEASUREMENT READY / EVIDENCE EMPTY","RETURN"))</f>
        <v>MEASUREMENT READY / EVIDENCE EMPTY</v>
      </c>
    </row>
    <row r="64" customFormat="false" ht="15" hidden="false" customHeight="false" outlineLevel="0" collapsed="false">
      <c r="A64" s="12" t="s">
        <v>461</v>
      </c>
      <c r="B64" s="12" t="s">
        <v>47</v>
      </c>
      <c r="C64" s="12" t="s">
        <v>48</v>
      </c>
      <c r="D64" s="12" t="s">
        <v>140</v>
      </c>
      <c r="E64" s="12" t="s">
        <v>282</v>
      </c>
      <c r="F64" s="12" t="s">
        <v>521</v>
      </c>
      <c r="G64" s="12" t="s">
        <v>461</v>
      </c>
      <c r="H64" s="12" t="s">
        <v>522</v>
      </c>
      <c r="I64" s="12" t="s">
        <v>523</v>
      </c>
      <c r="J64" s="12" t="n">
        <v>1</v>
      </c>
      <c r="K64" s="12" t="n">
        <v>0</v>
      </c>
      <c r="L64" s="14" t="n">
        <v>0</v>
      </c>
      <c r="M64" s="14" t="n">
        <v>0</v>
      </c>
      <c r="N64" s="21" t="str">
        <f aca="false">IF(K64=1,"DESIGN DEFINED / TEST PENDING",IF(AND(J64=1,L64=0,M64=0),"MEASUREMENT READY / EVIDENCE EMPTY","RETURN"))</f>
        <v>MEASUREMENT READY / EVIDENCE EMPTY</v>
      </c>
    </row>
    <row r="65" customFormat="false" ht="15" hidden="false" customHeight="false" outlineLevel="0" collapsed="false">
      <c r="A65" s="12" t="s">
        <v>465</v>
      </c>
      <c r="B65" s="12" t="s">
        <v>47</v>
      </c>
      <c r="C65" s="12" t="s">
        <v>48</v>
      </c>
      <c r="D65" s="12" t="s">
        <v>146</v>
      </c>
      <c r="E65" s="12" t="s">
        <v>275</v>
      </c>
      <c r="F65" s="12" t="s">
        <v>518</v>
      </c>
      <c r="G65" s="12" t="s">
        <v>465</v>
      </c>
      <c r="H65" s="12" t="s">
        <v>519</v>
      </c>
      <c r="I65" s="12" t="s">
        <v>528</v>
      </c>
      <c r="J65" s="12" t="n">
        <v>1</v>
      </c>
      <c r="K65" s="12" t="n">
        <v>0</v>
      </c>
      <c r="L65" s="14" t="n">
        <v>0</v>
      </c>
      <c r="M65" s="14" t="n">
        <v>0</v>
      </c>
      <c r="N65" s="21" t="str">
        <f aca="false">IF(K65=1,"DESIGN DEFINED / TEST PENDING",IF(AND(J65=1,L65=0,M65=0),"MEASUREMENT READY / EVIDENCE EMPTY","RETURN"))</f>
        <v>MEASUREMENT READY / EVIDENCE EMPTY</v>
      </c>
    </row>
    <row r="66" customFormat="false" ht="15" hidden="false" customHeight="false" outlineLevel="0" collapsed="false">
      <c r="A66" s="12" t="s">
        <v>469</v>
      </c>
      <c r="B66" s="12" t="s">
        <v>47</v>
      </c>
      <c r="C66" s="12" t="s">
        <v>48</v>
      </c>
      <c r="D66" s="12" t="s">
        <v>146</v>
      </c>
      <c r="E66" s="12" t="s">
        <v>282</v>
      </c>
      <c r="F66" s="12" t="s">
        <v>521</v>
      </c>
      <c r="G66" s="12" t="s">
        <v>469</v>
      </c>
      <c r="H66" s="12" t="s">
        <v>522</v>
      </c>
      <c r="I66" s="12" t="s">
        <v>523</v>
      </c>
      <c r="J66" s="12" t="n">
        <v>1</v>
      </c>
      <c r="K66" s="12" t="n">
        <v>0</v>
      </c>
      <c r="L66" s="14" t="n">
        <v>0</v>
      </c>
      <c r="M66" s="14" t="n">
        <v>0</v>
      </c>
      <c r="N66" s="21" t="str">
        <f aca="false">IF(K66=1,"DESIGN DEFINED / TEST PENDING",IF(AND(J66=1,L66=0,M66=0),"MEASUREMENT READY / EVIDENCE EMPTY","RETURN"))</f>
        <v>MEASUREMENT READY / EVIDENCE EMPTY</v>
      </c>
    </row>
    <row r="67" customFormat="false" ht="15" hidden="false" customHeight="false" outlineLevel="0" collapsed="false">
      <c r="A67" s="12" t="s">
        <v>472</v>
      </c>
      <c r="B67" s="12" t="s">
        <v>51</v>
      </c>
      <c r="C67" s="12" t="s">
        <v>52</v>
      </c>
      <c r="D67" s="12" t="s">
        <v>114</v>
      </c>
      <c r="E67" s="12" t="s">
        <v>275</v>
      </c>
      <c r="F67" s="12" t="s">
        <v>518</v>
      </c>
      <c r="G67" s="12" t="s">
        <v>472</v>
      </c>
      <c r="H67" s="12" t="s">
        <v>519</v>
      </c>
      <c r="I67" s="12" t="s">
        <v>520</v>
      </c>
      <c r="J67" s="12" t="n">
        <v>1</v>
      </c>
      <c r="K67" s="12" t="n">
        <v>0</v>
      </c>
      <c r="L67" s="14" t="n">
        <v>0</v>
      </c>
      <c r="M67" s="14" t="n">
        <v>0</v>
      </c>
      <c r="N67" s="21" t="str">
        <f aca="false">IF(K67=1,"DESIGN DEFINED / TEST PENDING",IF(AND(J67=1,L67=0,M67=0),"MEASUREMENT READY / EVIDENCE EMPTY","RETURN"))</f>
        <v>MEASUREMENT READY / EVIDENCE EMPTY</v>
      </c>
    </row>
    <row r="68" customFormat="false" ht="15" hidden="false" customHeight="false" outlineLevel="0" collapsed="false">
      <c r="A68" s="12" t="s">
        <v>475</v>
      </c>
      <c r="B68" s="12" t="s">
        <v>51</v>
      </c>
      <c r="C68" s="12" t="s">
        <v>52</v>
      </c>
      <c r="D68" s="12" t="s">
        <v>114</v>
      </c>
      <c r="E68" s="12" t="s">
        <v>282</v>
      </c>
      <c r="F68" s="12" t="s">
        <v>521</v>
      </c>
      <c r="G68" s="12" t="s">
        <v>475</v>
      </c>
      <c r="H68" s="12" t="s">
        <v>522</v>
      </c>
      <c r="I68" s="12" t="s">
        <v>523</v>
      </c>
      <c r="J68" s="12" t="n">
        <v>1</v>
      </c>
      <c r="K68" s="12" t="n">
        <v>0</v>
      </c>
      <c r="L68" s="14" t="n">
        <v>0</v>
      </c>
      <c r="M68" s="14" t="n">
        <v>0</v>
      </c>
      <c r="N68" s="21" t="str">
        <f aca="false">IF(K68=1,"DESIGN DEFINED / TEST PENDING",IF(AND(J68=1,L68=0,M68=0),"MEASUREMENT READY / EVIDENCE EMPTY","RETURN"))</f>
        <v>MEASUREMENT READY / EVIDENCE EMPTY</v>
      </c>
    </row>
    <row r="69" customFormat="false" ht="15" hidden="false" customHeight="false" outlineLevel="0" collapsed="false">
      <c r="A69" s="12" t="s">
        <v>478</v>
      </c>
      <c r="B69" s="12" t="s">
        <v>51</v>
      </c>
      <c r="C69" s="12" t="s">
        <v>52</v>
      </c>
      <c r="D69" s="12" t="s">
        <v>121</v>
      </c>
      <c r="E69" s="12" t="s">
        <v>275</v>
      </c>
      <c r="F69" s="12" t="s">
        <v>518</v>
      </c>
      <c r="G69" s="12" t="s">
        <v>478</v>
      </c>
      <c r="H69" s="12" t="s">
        <v>519</v>
      </c>
      <c r="I69" s="12" t="s">
        <v>524</v>
      </c>
      <c r="J69" s="12" t="n">
        <v>1</v>
      </c>
      <c r="K69" s="12" t="n">
        <v>0</v>
      </c>
      <c r="L69" s="14" t="n">
        <v>0</v>
      </c>
      <c r="M69" s="14" t="n">
        <v>0</v>
      </c>
      <c r="N69" s="21" t="str">
        <f aca="false">IF(K69=1,"DESIGN DEFINED / TEST PENDING",IF(AND(J69=1,L69=0,M69=0),"MEASUREMENT READY / EVIDENCE EMPTY","RETURN"))</f>
        <v>MEASUREMENT READY / EVIDENCE EMPTY</v>
      </c>
    </row>
    <row r="70" customFormat="false" ht="15" hidden="false" customHeight="false" outlineLevel="0" collapsed="false">
      <c r="A70" s="12" t="s">
        <v>481</v>
      </c>
      <c r="B70" s="12" t="s">
        <v>51</v>
      </c>
      <c r="C70" s="12" t="s">
        <v>52</v>
      </c>
      <c r="D70" s="12" t="s">
        <v>121</v>
      </c>
      <c r="E70" s="12" t="s">
        <v>282</v>
      </c>
      <c r="F70" s="12" t="s">
        <v>521</v>
      </c>
      <c r="G70" s="12" t="s">
        <v>481</v>
      </c>
      <c r="H70" s="12" t="s">
        <v>522</v>
      </c>
      <c r="I70" s="12" t="s">
        <v>523</v>
      </c>
      <c r="J70" s="12" t="n">
        <v>1</v>
      </c>
      <c r="K70" s="12" t="n">
        <v>0</v>
      </c>
      <c r="L70" s="14" t="n">
        <v>0</v>
      </c>
      <c r="M70" s="14" t="n">
        <v>0</v>
      </c>
      <c r="N70" s="21" t="str">
        <f aca="false">IF(K70=1,"DESIGN DEFINED / TEST PENDING",IF(AND(J70=1,L70=0,M70=0),"MEASUREMENT READY / EVIDENCE EMPTY","RETURN"))</f>
        <v>MEASUREMENT READY / EVIDENCE EMPTY</v>
      </c>
    </row>
    <row r="71" customFormat="false" ht="15" hidden="false" customHeight="false" outlineLevel="0" collapsed="false">
      <c r="A71" s="12" t="s">
        <v>484</v>
      </c>
      <c r="B71" s="12" t="s">
        <v>51</v>
      </c>
      <c r="C71" s="12" t="s">
        <v>52</v>
      </c>
      <c r="D71" s="12" t="s">
        <v>128</v>
      </c>
      <c r="E71" s="12" t="s">
        <v>275</v>
      </c>
      <c r="F71" s="12" t="s">
        <v>518</v>
      </c>
      <c r="G71" s="12" t="s">
        <v>484</v>
      </c>
      <c r="H71" s="12" t="s">
        <v>519</v>
      </c>
      <c r="I71" s="12" t="s">
        <v>525</v>
      </c>
      <c r="J71" s="12" t="n">
        <v>1</v>
      </c>
      <c r="K71" s="12" t="n">
        <v>0</v>
      </c>
      <c r="L71" s="14" t="n">
        <v>0</v>
      </c>
      <c r="M71" s="14" t="n">
        <v>0</v>
      </c>
      <c r="N71" s="21" t="str">
        <f aca="false">IF(K71=1,"DESIGN DEFINED / TEST PENDING",IF(AND(J71=1,L71=0,M71=0),"MEASUREMENT READY / EVIDENCE EMPTY","RETURN"))</f>
        <v>MEASUREMENT READY / EVIDENCE EMPTY</v>
      </c>
    </row>
    <row r="72" customFormat="false" ht="15" hidden="false" customHeight="false" outlineLevel="0" collapsed="false">
      <c r="A72" s="12" t="s">
        <v>487</v>
      </c>
      <c r="B72" s="12" t="s">
        <v>51</v>
      </c>
      <c r="C72" s="12" t="s">
        <v>52</v>
      </c>
      <c r="D72" s="12" t="s">
        <v>128</v>
      </c>
      <c r="E72" s="12" t="s">
        <v>282</v>
      </c>
      <c r="F72" s="12" t="s">
        <v>521</v>
      </c>
      <c r="G72" s="12" t="s">
        <v>487</v>
      </c>
      <c r="H72" s="12" t="s">
        <v>522</v>
      </c>
      <c r="I72" s="12" t="s">
        <v>523</v>
      </c>
      <c r="J72" s="12" t="n">
        <v>1</v>
      </c>
      <c r="K72" s="12" t="n">
        <v>0</v>
      </c>
      <c r="L72" s="14" t="n">
        <v>0</v>
      </c>
      <c r="M72" s="14" t="n">
        <v>0</v>
      </c>
      <c r="N72" s="21" t="str">
        <f aca="false">IF(K72=1,"DESIGN DEFINED / TEST PENDING",IF(AND(J72=1,L72=0,M72=0),"MEASUREMENT READY / EVIDENCE EMPTY","RETURN"))</f>
        <v>MEASUREMENT READY / EVIDENCE EMPTY</v>
      </c>
    </row>
    <row r="73" customFormat="false" ht="15" hidden="false" customHeight="false" outlineLevel="0" collapsed="false">
      <c r="A73" s="12" t="s">
        <v>490</v>
      </c>
      <c r="B73" s="12" t="s">
        <v>51</v>
      </c>
      <c r="C73" s="12" t="s">
        <v>52</v>
      </c>
      <c r="D73" s="12" t="s">
        <v>135</v>
      </c>
      <c r="E73" s="12" t="s">
        <v>275</v>
      </c>
      <c r="F73" s="12" t="s">
        <v>518</v>
      </c>
      <c r="G73" s="12" t="s">
        <v>490</v>
      </c>
      <c r="H73" s="12" t="s">
        <v>519</v>
      </c>
      <c r="I73" s="12" t="s">
        <v>526</v>
      </c>
      <c r="J73" s="12" t="n">
        <v>1</v>
      </c>
      <c r="K73" s="12" t="n">
        <v>0</v>
      </c>
      <c r="L73" s="14" t="n">
        <v>0</v>
      </c>
      <c r="M73" s="14" t="n">
        <v>0</v>
      </c>
      <c r="N73" s="21" t="str">
        <f aca="false">IF(K73=1,"DESIGN DEFINED / TEST PENDING",IF(AND(J73=1,L73=0,M73=0),"MEASUREMENT READY / EVIDENCE EMPTY","RETURN"))</f>
        <v>MEASUREMENT READY / EVIDENCE EMPTY</v>
      </c>
    </row>
    <row r="74" customFormat="false" ht="15" hidden="false" customHeight="false" outlineLevel="0" collapsed="false">
      <c r="A74" s="12" t="s">
        <v>493</v>
      </c>
      <c r="B74" s="12" t="s">
        <v>51</v>
      </c>
      <c r="C74" s="12" t="s">
        <v>52</v>
      </c>
      <c r="D74" s="12" t="s">
        <v>135</v>
      </c>
      <c r="E74" s="12" t="s">
        <v>282</v>
      </c>
      <c r="F74" s="12" t="s">
        <v>521</v>
      </c>
      <c r="G74" s="12" t="s">
        <v>493</v>
      </c>
      <c r="H74" s="12" t="s">
        <v>522</v>
      </c>
      <c r="I74" s="12" t="s">
        <v>523</v>
      </c>
      <c r="J74" s="12" t="n">
        <v>1</v>
      </c>
      <c r="K74" s="12" t="n">
        <v>0</v>
      </c>
      <c r="L74" s="14" t="n">
        <v>0</v>
      </c>
      <c r="M74" s="14" t="n">
        <v>0</v>
      </c>
      <c r="N74" s="21" t="str">
        <f aca="false">IF(K74=1,"DESIGN DEFINED / TEST PENDING",IF(AND(J74=1,L74=0,M74=0),"MEASUREMENT READY / EVIDENCE EMPTY","RETURN"))</f>
        <v>MEASUREMENT READY / EVIDENCE EMPTY</v>
      </c>
    </row>
    <row r="75" customFormat="false" ht="15" hidden="false" customHeight="false" outlineLevel="0" collapsed="false">
      <c r="A75" s="12" t="s">
        <v>496</v>
      </c>
      <c r="B75" s="12" t="s">
        <v>51</v>
      </c>
      <c r="C75" s="12" t="s">
        <v>52</v>
      </c>
      <c r="D75" s="12" t="s">
        <v>140</v>
      </c>
      <c r="E75" s="12" t="s">
        <v>275</v>
      </c>
      <c r="F75" s="12" t="s">
        <v>518</v>
      </c>
      <c r="G75" s="12" t="s">
        <v>496</v>
      </c>
      <c r="H75" s="12" t="s">
        <v>519</v>
      </c>
      <c r="I75" s="12" t="s">
        <v>527</v>
      </c>
      <c r="J75" s="12" t="n">
        <v>1</v>
      </c>
      <c r="K75" s="12" t="n">
        <v>0</v>
      </c>
      <c r="L75" s="14" t="n">
        <v>0</v>
      </c>
      <c r="M75" s="14" t="n">
        <v>0</v>
      </c>
      <c r="N75" s="21" t="str">
        <f aca="false">IF(K75=1,"DESIGN DEFINED / TEST PENDING",IF(AND(J75=1,L75=0,M75=0),"MEASUREMENT READY / EVIDENCE EMPTY","RETURN"))</f>
        <v>MEASUREMENT READY / EVIDENCE EMPTY</v>
      </c>
    </row>
    <row r="76" customFormat="false" ht="15" hidden="false" customHeight="false" outlineLevel="0" collapsed="false">
      <c r="A76" s="12" t="s">
        <v>499</v>
      </c>
      <c r="B76" s="12" t="s">
        <v>51</v>
      </c>
      <c r="C76" s="12" t="s">
        <v>52</v>
      </c>
      <c r="D76" s="12" t="s">
        <v>140</v>
      </c>
      <c r="E76" s="12" t="s">
        <v>282</v>
      </c>
      <c r="F76" s="12" t="s">
        <v>521</v>
      </c>
      <c r="G76" s="12" t="s">
        <v>499</v>
      </c>
      <c r="H76" s="12" t="s">
        <v>522</v>
      </c>
      <c r="I76" s="12" t="s">
        <v>523</v>
      </c>
      <c r="J76" s="12" t="n">
        <v>1</v>
      </c>
      <c r="K76" s="12" t="n">
        <v>0</v>
      </c>
      <c r="L76" s="14" t="n">
        <v>0</v>
      </c>
      <c r="M76" s="14" t="n">
        <v>0</v>
      </c>
      <c r="N76" s="21" t="str">
        <f aca="false">IF(K76=1,"DESIGN DEFINED / TEST PENDING",IF(AND(J76=1,L76=0,M76=0),"MEASUREMENT READY / EVIDENCE EMPTY","RETURN"))</f>
        <v>MEASUREMENT READY / EVIDENCE EMPTY</v>
      </c>
    </row>
    <row r="77" customFormat="false" ht="15" hidden="false" customHeight="false" outlineLevel="0" collapsed="false">
      <c r="A77" s="12" t="s">
        <v>503</v>
      </c>
      <c r="B77" s="12" t="s">
        <v>51</v>
      </c>
      <c r="C77" s="12" t="s">
        <v>52</v>
      </c>
      <c r="D77" s="12" t="s">
        <v>146</v>
      </c>
      <c r="E77" s="12" t="s">
        <v>275</v>
      </c>
      <c r="F77" s="12" t="s">
        <v>518</v>
      </c>
      <c r="G77" s="12" t="s">
        <v>503</v>
      </c>
      <c r="H77" s="12" t="s">
        <v>519</v>
      </c>
      <c r="I77" s="12" t="s">
        <v>528</v>
      </c>
      <c r="J77" s="12" t="n">
        <v>1</v>
      </c>
      <c r="K77" s="12" t="n">
        <v>0</v>
      </c>
      <c r="L77" s="14" t="n">
        <v>0</v>
      </c>
      <c r="M77" s="14" t="n">
        <v>0</v>
      </c>
      <c r="N77" s="21" t="str">
        <f aca="false">IF(K77=1,"DESIGN DEFINED / TEST PENDING",IF(AND(J77=1,L77=0,M77=0),"MEASUREMENT READY / EVIDENCE EMPTY","RETURN"))</f>
        <v>MEASUREMENT READY / EVIDENCE EMPTY</v>
      </c>
    </row>
    <row r="78" customFormat="false" ht="15" hidden="false" customHeight="false" outlineLevel="0" collapsed="false">
      <c r="A78" s="12" t="s">
        <v>507</v>
      </c>
      <c r="B78" s="12" t="s">
        <v>51</v>
      </c>
      <c r="C78" s="12" t="s">
        <v>52</v>
      </c>
      <c r="D78" s="12" t="s">
        <v>146</v>
      </c>
      <c r="E78" s="12" t="s">
        <v>282</v>
      </c>
      <c r="F78" s="12" t="s">
        <v>521</v>
      </c>
      <c r="G78" s="12" t="s">
        <v>507</v>
      </c>
      <c r="H78" s="12" t="s">
        <v>522</v>
      </c>
      <c r="I78" s="12" t="s">
        <v>523</v>
      </c>
      <c r="J78" s="12" t="n">
        <v>1</v>
      </c>
      <c r="K78" s="12" t="n">
        <v>0</v>
      </c>
      <c r="L78" s="14" t="n">
        <v>0</v>
      </c>
      <c r="M78" s="14" t="n">
        <v>0</v>
      </c>
      <c r="N78" s="21" t="str">
        <f aca="false">IF(K78=1,"DESIGN DEFINED / TEST PENDING",IF(AND(J78=1,L78=0,M78=0),"MEASUREMENT READY / EVIDENCE EMPTY","RETURN"))</f>
        <v>MEASUREMENT READY / EVIDENCE EMPTY</v>
      </c>
    </row>
    <row r="79" customFormat="false" ht="15" hidden="false" customHeight="false" outlineLevel="0" collapsed="false">
      <c r="A79" s="12" t="s">
        <v>310</v>
      </c>
      <c r="B79" s="12" t="s">
        <v>31</v>
      </c>
      <c r="C79" s="12" t="s">
        <v>32</v>
      </c>
      <c r="D79" s="12" t="s">
        <v>146</v>
      </c>
      <c r="E79" s="12" t="s">
        <v>272</v>
      </c>
      <c r="F79" s="12" t="s">
        <v>529</v>
      </c>
      <c r="G79" s="12" t="s">
        <v>310</v>
      </c>
      <c r="H79" s="12" t="s">
        <v>530</v>
      </c>
      <c r="I79" s="12" t="s">
        <v>531</v>
      </c>
      <c r="J79" s="12" t="n">
        <v>1</v>
      </c>
      <c r="K79" s="12" t="n">
        <v>0</v>
      </c>
      <c r="L79" s="14" t="n">
        <v>0</v>
      </c>
      <c r="M79" s="14" t="n">
        <v>0</v>
      </c>
      <c r="N79" s="21" t="str">
        <f aca="false">IF(K79=1,"DESIGN DEFINED / TEST PENDING",IF(AND(J79=1,L79=0,M79=0),"MEASUREMENT READY / EVIDENCE EMPTY","RETURN"))</f>
        <v>MEASUREMENT READY / EVIDENCE EMPTY</v>
      </c>
    </row>
    <row r="80" customFormat="false" ht="15" hidden="false" customHeight="false" outlineLevel="0" collapsed="false">
      <c r="A80" s="12" t="s">
        <v>314</v>
      </c>
      <c r="B80" s="12" t="s">
        <v>31</v>
      </c>
      <c r="C80" s="12" t="s">
        <v>32</v>
      </c>
      <c r="D80" s="12" t="s">
        <v>146</v>
      </c>
      <c r="E80" s="12" t="s">
        <v>279</v>
      </c>
      <c r="F80" s="12" t="s">
        <v>529</v>
      </c>
      <c r="G80" s="12" t="s">
        <v>314</v>
      </c>
      <c r="H80" s="12" t="s">
        <v>530</v>
      </c>
      <c r="I80" s="12" t="s">
        <v>531</v>
      </c>
      <c r="J80" s="12" t="n">
        <v>1</v>
      </c>
      <c r="K80" s="12" t="n">
        <v>0</v>
      </c>
      <c r="L80" s="14" t="n">
        <v>0</v>
      </c>
      <c r="M80" s="14" t="n">
        <v>0</v>
      </c>
      <c r="N80" s="21" t="str">
        <f aca="false">IF(K80=1,"DESIGN DEFINED / TEST PENDING",IF(AND(J80=1,L80=0,M80=0),"MEASUREMENT READY / EVIDENCE EMPTY","RETURN"))</f>
        <v>MEASUREMENT READY / EVIDENCE EMPTY</v>
      </c>
    </row>
    <row r="81" customFormat="false" ht="15" hidden="false" customHeight="false" outlineLevel="0" collapsed="false">
      <c r="A81" s="12" t="s">
        <v>348</v>
      </c>
      <c r="B81" s="12" t="s">
        <v>35</v>
      </c>
      <c r="C81" s="12" t="s">
        <v>36</v>
      </c>
      <c r="D81" s="12" t="s">
        <v>146</v>
      </c>
      <c r="E81" s="12" t="s">
        <v>272</v>
      </c>
      <c r="F81" s="12" t="s">
        <v>529</v>
      </c>
      <c r="G81" s="12" t="s">
        <v>348</v>
      </c>
      <c r="H81" s="12" t="s">
        <v>530</v>
      </c>
      <c r="I81" s="12" t="s">
        <v>531</v>
      </c>
      <c r="J81" s="12" t="n">
        <v>1</v>
      </c>
      <c r="K81" s="12" t="n">
        <v>0</v>
      </c>
      <c r="L81" s="14" t="n">
        <v>0</v>
      </c>
      <c r="M81" s="14" t="n">
        <v>0</v>
      </c>
      <c r="N81" s="21" t="str">
        <f aca="false">IF(K81=1,"DESIGN DEFINED / TEST PENDING",IF(AND(J81=1,L81=0,M81=0),"MEASUREMENT READY / EVIDENCE EMPTY","RETURN"))</f>
        <v>MEASUREMENT READY / EVIDENCE EMPTY</v>
      </c>
    </row>
    <row r="82" customFormat="false" ht="15" hidden="false" customHeight="false" outlineLevel="0" collapsed="false">
      <c r="A82" s="12" t="s">
        <v>352</v>
      </c>
      <c r="B82" s="12" t="s">
        <v>35</v>
      </c>
      <c r="C82" s="12" t="s">
        <v>36</v>
      </c>
      <c r="D82" s="12" t="s">
        <v>146</v>
      </c>
      <c r="E82" s="12" t="s">
        <v>279</v>
      </c>
      <c r="F82" s="12" t="s">
        <v>529</v>
      </c>
      <c r="G82" s="12" t="s">
        <v>352</v>
      </c>
      <c r="H82" s="12" t="s">
        <v>530</v>
      </c>
      <c r="I82" s="12" t="s">
        <v>531</v>
      </c>
      <c r="J82" s="12" t="n">
        <v>1</v>
      </c>
      <c r="K82" s="12" t="n">
        <v>0</v>
      </c>
      <c r="L82" s="14" t="n">
        <v>0</v>
      </c>
      <c r="M82" s="14" t="n">
        <v>0</v>
      </c>
      <c r="N82" s="21" t="str">
        <f aca="false">IF(K82=1,"DESIGN DEFINED / TEST PENDING",IF(AND(J82=1,L82=0,M82=0),"MEASUREMENT READY / EVIDENCE EMPTY","RETURN"))</f>
        <v>MEASUREMENT READY / EVIDENCE EMPTY</v>
      </c>
    </row>
    <row r="83" customFormat="false" ht="15" hidden="false" customHeight="false" outlineLevel="0" collapsed="false">
      <c r="A83" s="12" t="s">
        <v>386</v>
      </c>
      <c r="B83" s="12" t="s">
        <v>39</v>
      </c>
      <c r="C83" s="12" t="s">
        <v>40</v>
      </c>
      <c r="D83" s="12" t="s">
        <v>146</v>
      </c>
      <c r="E83" s="12" t="s">
        <v>272</v>
      </c>
      <c r="F83" s="12" t="s">
        <v>529</v>
      </c>
      <c r="G83" s="12" t="s">
        <v>386</v>
      </c>
      <c r="H83" s="12" t="s">
        <v>530</v>
      </c>
      <c r="I83" s="12" t="s">
        <v>531</v>
      </c>
      <c r="J83" s="12" t="n">
        <v>1</v>
      </c>
      <c r="K83" s="12" t="n">
        <v>0</v>
      </c>
      <c r="L83" s="14" t="n">
        <v>0</v>
      </c>
      <c r="M83" s="14" t="n">
        <v>0</v>
      </c>
      <c r="N83" s="21" t="str">
        <f aca="false">IF(K83=1,"DESIGN DEFINED / TEST PENDING",IF(AND(J83=1,L83=0,M83=0),"MEASUREMENT READY / EVIDENCE EMPTY","RETURN"))</f>
        <v>MEASUREMENT READY / EVIDENCE EMPTY</v>
      </c>
    </row>
    <row r="84" customFormat="false" ht="15" hidden="false" customHeight="false" outlineLevel="0" collapsed="false">
      <c r="A84" s="12" t="s">
        <v>390</v>
      </c>
      <c r="B84" s="12" t="s">
        <v>39</v>
      </c>
      <c r="C84" s="12" t="s">
        <v>40</v>
      </c>
      <c r="D84" s="12" t="s">
        <v>146</v>
      </c>
      <c r="E84" s="12" t="s">
        <v>279</v>
      </c>
      <c r="F84" s="12" t="s">
        <v>529</v>
      </c>
      <c r="G84" s="12" t="s">
        <v>390</v>
      </c>
      <c r="H84" s="12" t="s">
        <v>530</v>
      </c>
      <c r="I84" s="12" t="s">
        <v>531</v>
      </c>
      <c r="J84" s="12" t="n">
        <v>1</v>
      </c>
      <c r="K84" s="12" t="n">
        <v>0</v>
      </c>
      <c r="L84" s="14" t="n">
        <v>0</v>
      </c>
      <c r="M84" s="14" t="n">
        <v>0</v>
      </c>
      <c r="N84" s="21" t="str">
        <f aca="false">IF(K84=1,"DESIGN DEFINED / TEST PENDING",IF(AND(J84=1,L84=0,M84=0),"MEASUREMENT READY / EVIDENCE EMPTY","RETURN"))</f>
        <v>MEASUREMENT READY / EVIDENCE EMPTY</v>
      </c>
    </row>
    <row r="85" customFormat="false" ht="15" hidden="false" customHeight="false" outlineLevel="0" collapsed="false">
      <c r="A85" s="12" t="s">
        <v>425</v>
      </c>
      <c r="B85" s="12" t="s">
        <v>43</v>
      </c>
      <c r="C85" s="12" t="s">
        <v>44</v>
      </c>
      <c r="D85" s="12" t="s">
        <v>146</v>
      </c>
      <c r="E85" s="12" t="s">
        <v>272</v>
      </c>
      <c r="F85" s="12" t="s">
        <v>529</v>
      </c>
      <c r="G85" s="12" t="s">
        <v>425</v>
      </c>
      <c r="H85" s="12" t="s">
        <v>530</v>
      </c>
      <c r="I85" s="12" t="s">
        <v>531</v>
      </c>
      <c r="J85" s="12" t="n">
        <v>1</v>
      </c>
      <c r="K85" s="12" t="n">
        <v>0</v>
      </c>
      <c r="L85" s="14" t="n">
        <v>0</v>
      </c>
      <c r="M85" s="14" t="n">
        <v>0</v>
      </c>
      <c r="N85" s="21" t="str">
        <f aca="false">IF(K85=1,"DESIGN DEFINED / TEST PENDING",IF(AND(J85=1,L85=0,M85=0),"MEASUREMENT READY / EVIDENCE EMPTY","RETURN"))</f>
        <v>MEASUREMENT READY / EVIDENCE EMPTY</v>
      </c>
    </row>
    <row r="86" customFormat="false" ht="15" hidden="false" customHeight="false" outlineLevel="0" collapsed="false">
      <c r="A86" s="12" t="s">
        <v>429</v>
      </c>
      <c r="B86" s="12" t="s">
        <v>43</v>
      </c>
      <c r="C86" s="12" t="s">
        <v>44</v>
      </c>
      <c r="D86" s="12" t="s">
        <v>146</v>
      </c>
      <c r="E86" s="12" t="s">
        <v>279</v>
      </c>
      <c r="F86" s="12" t="s">
        <v>529</v>
      </c>
      <c r="G86" s="12" t="s">
        <v>429</v>
      </c>
      <c r="H86" s="12" t="s">
        <v>530</v>
      </c>
      <c r="I86" s="12" t="s">
        <v>531</v>
      </c>
      <c r="J86" s="12" t="n">
        <v>1</v>
      </c>
      <c r="K86" s="12" t="n">
        <v>0</v>
      </c>
      <c r="L86" s="14" t="n">
        <v>0</v>
      </c>
      <c r="M86" s="14" t="n">
        <v>0</v>
      </c>
      <c r="N86" s="21" t="str">
        <f aca="false">IF(K86=1,"DESIGN DEFINED / TEST PENDING",IF(AND(J86=1,L86=0,M86=0),"MEASUREMENT READY / EVIDENCE EMPTY","RETURN"))</f>
        <v>MEASUREMENT READY / EVIDENCE EMPTY</v>
      </c>
    </row>
    <row r="87" customFormat="false" ht="15" hidden="false" customHeight="false" outlineLevel="0" collapsed="false">
      <c r="A87" s="12" t="s">
        <v>463</v>
      </c>
      <c r="B87" s="12" t="s">
        <v>47</v>
      </c>
      <c r="C87" s="12" t="s">
        <v>48</v>
      </c>
      <c r="D87" s="12" t="s">
        <v>146</v>
      </c>
      <c r="E87" s="12" t="s">
        <v>272</v>
      </c>
      <c r="F87" s="12" t="s">
        <v>529</v>
      </c>
      <c r="G87" s="12" t="s">
        <v>463</v>
      </c>
      <c r="H87" s="12" t="s">
        <v>530</v>
      </c>
      <c r="I87" s="12" t="s">
        <v>531</v>
      </c>
      <c r="J87" s="12" t="n">
        <v>1</v>
      </c>
      <c r="K87" s="12" t="n">
        <v>0</v>
      </c>
      <c r="L87" s="14" t="n">
        <v>0</v>
      </c>
      <c r="M87" s="14" t="n">
        <v>0</v>
      </c>
      <c r="N87" s="21" t="str">
        <f aca="false">IF(K87=1,"DESIGN DEFINED / TEST PENDING",IF(AND(J87=1,L87=0,M87=0),"MEASUREMENT READY / EVIDENCE EMPTY","RETURN"))</f>
        <v>MEASUREMENT READY / EVIDENCE EMPTY</v>
      </c>
    </row>
    <row r="88" customFormat="false" ht="15" hidden="false" customHeight="false" outlineLevel="0" collapsed="false">
      <c r="A88" s="12" t="s">
        <v>467</v>
      </c>
      <c r="B88" s="12" t="s">
        <v>47</v>
      </c>
      <c r="C88" s="12" t="s">
        <v>48</v>
      </c>
      <c r="D88" s="12" t="s">
        <v>146</v>
      </c>
      <c r="E88" s="12" t="s">
        <v>279</v>
      </c>
      <c r="F88" s="12" t="s">
        <v>529</v>
      </c>
      <c r="G88" s="12" t="s">
        <v>467</v>
      </c>
      <c r="H88" s="12" t="s">
        <v>530</v>
      </c>
      <c r="I88" s="12" t="s">
        <v>531</v>
      </c>
      <c r="J88" s="12" t="n">
        <v>1</v>
      </c>
      <c r="K88" s="12" t="n">
        <v>0</v>
      </c>
      <c r="L88" s="14" t="n">
        <v>0</v>
      </c>
      <c r="M88" s="14" t="n">
        <v>0</v>
      </c>
      <c r="N88" s="21" t="str">
        <f aca="false">IF(K88=1,"DESIGN DEFINED / TEST PENDING",IF(AND(J88=1,L88=0,M88=0),"MEASUREMENT READY / EVIDENCE EMPTY","RETURN"))</f>
        <v>MEASUREMENT READY / EVIDENCE EMPTY</v>
      </c>
    </row>
    <row r="89" customFormat="false" ht="15" hidden="false" customHeight="false" outlineLevel="0" collapsed="false">
      <c r="A89" s="12" t="s">
        <v>501</v>
      </c>
      <c r="B89" s="12" t="s">
        <v>51</v>
      </c>
      <c r="C89" s="12" t="s">
        <v>52</v>
      </c>
      <c r="D89" s="12" t="s">
        <v>146</v>
      </c>
      <c r="E89" s="12" t="s">
        <v>272</v>
      </c>
      <c r="F89" s="12" t="s">
        <v>529</v>
      </c>
      <c r="G89" s="12" t="s">
        <v>501</v>
      </c>
      <c r="H89" s="12" t="s">
        <v>530</v>
      </c>
      <c r="I89" s="12" t="s">
        <v>531</v>
      </c>
      <c r="J89" s="12" t="n">
        <v>1</v>
      </c>
      <c r="K89" s="12" t="n">
        <v>0</v>
      </c>
      <c r="L89" s="14" t="n">
        <v>0</v>
      </c>
      <c r="M89" s="14" t="n">
        <v>0</v>
      </c>
      <c r="N89" s="21" t="str">
        <f aca="false">IF(K89=1,"DESIGN DEFINED / TEST PENDING",IF(AND(J89=1,L89=0,M89=0),"MEASUREMENT READY / EVIDENCE EMPTY","RETURN"))</f>
        <v>MEASUREMENT READY / EVIDENCE EMPTY</v>
      </c>
    </row>
    <row r="90" customFormat="false" ht="15" hidden="false" customHeight="false" outlineLevel="0" collapsed="false">
      <c r="A90" s="12" t="s">
        <v>505</v>
      </c>
      <c r="B90" s="12" t="s">
        <v>51</v>
      </c>
      <c r="C90" s="12" t="s">
        <v>52</v>
      </c>
      <c r="D90" s="12" t="s">
        <v>146</v>
      </c>
      <c r="E90" s="12" t="s">
        <v>279</v>
      </c>
      <c r="F90" s="12" t="s">
        <v>529</v>
      </c>
      <c r="G90" s="12" t="s">
        <v>505</v>
      </c>
      <c r="H90" s="12" t="s">
        <v>530</v>
      </c>
      <c r="I90" s="12" t="s">
        <v>531</v>
      </c>
      <c r="J90" s="12" t="n">
        <v>1</v>
      </c>
      <c r="K90" s="12" t="n">
        <v>0</v>
      </c>
      <c r="L90" s="14" t="n">
        <v>0</v>
      </c>
      <c r="M90" s="14" t="n">
        <v>0</v>
      </c>
      <c r="N90" s="21" t="str">
        <f aca="false">IF(K90=1,"DESIGN DEFINED / TEST PENDING",IF(AND(J90=1,L90=0,M90=0),"MEASUREMENT READY / EVIDENCE EMPTY","RETURN"))</f>
        <v>MEASUREMENT READY / EVIDENCE EMPTY</v>
      </c>
    </row>
    <row r="91" customFormat="false" ht="15" hidden="false" customHeight="false" outlineLevel="0" collapsed="false">
      <c r="A91" s="15" t="s">
        <v>397</v>
      </c>
      <c r="B91" s="15" t="s">
        <v>43</v>
      </c>
      <c r="C91" s="15" t="s">
        <v>44</v>
      </c>
      <c r="D91" s="15" t="s">
        <v>114</v>
      </c>
      <c r="E91" s="15" t="s">
        <v>279</v>
      </c>
      <c r="F91" s="15" t="s">
        <v>532</v>
      </c>
      <c r="G91" s="15" t="s">
        <v>397</v>
      </c>
      <c r="H91" s="15" t="s">
        <v>533</v>
      </c>
      <c r="I91" s="15" t="s">
        <v>534</v>
      </c>
      <c r="J91" s="15" t="n">
        <v>1</v>
      </c>
      <c r="K91" s="15" t="n">
        <v>1</v>
      </c>
      <c r="L91" s="17" t="n">
        <v>0</v>
      </c>
      <c r="M91" s="17" t="n">
        <v>0</v>
      </c>
      <c r="N91" s="23" t="str">
        <f aca="false">IF(K91=1,"DESIGN DEFINED / TEST PENDING",IF(AND(J91=1,L91=0,M91=0),"MEASUREMENT READY / EVIDENCE EMPTY","RETURN"))</f>
        <v>DESIGN DEFINED / TEST PENDING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38"/>
    <col collapsed="false" customWidth="true" hidden="false" outlineLevel="0" max="6" min="6" style="1" width="28"/>
    <col collapsed="false" customWidth="true" hidden="false" outlineLevel="0" max="8" min="7" style="1" width="62"/>
    <col collapsed="false" customWidth="true" hidden="false" outlineLevel="0" max="10" min="9" style="1" width="58"/>
    <col collapsed="false" customWidth="true" hidden="false" outlineLevel="0" max="11" min="11" style="1" width="17"/>
    <col collapsed="false" customWidth="true" hidden="false" outlineLevel="0" max="12" min="12" style="1" width="60"/>
    <col collapsed="false" customWidth="true" hidden="false" outlineLevel="0" max="13" min="13" style="1" width="68"/>
    <col collapsed="false" customWidth="true" hidden="false" outlineLevel="0" max="14" min="14" style="1" width="18"/>
    <col collapsed="false" customWidth="true" hidden="false" outlineLevel="0" max="15" min="15" style="1" width="15"/>
    <col collapsed="false" customWidth="true" hidden="false" outlineLevel="0" max="16" min="16" style="1" width="24"/>
  </cols>
  <sheetData>
    <row r="2" customFormat="false" ht="24" hidden="false" customHeight="true" outlineLevel="0" collapsed="false">
      <c r="A2" s="2" t="s">
        <v>535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24" t="s">
        <v>536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customFormat="false" ht="24" hidden="false" customHeight="true" outlineLevel="0" collapsed="false">
      <c r="A6" s="25" t="s">
        <v>537</v>
      </c>
      <c r="B6" s="26" t="s">
        <v>21</v>
      </c>
      <c r="C6" s="26" t="s">
        <v>22</v>
      </c>
      <c r="D6" s="26" t="s">
        <v>96</v>
      </c>
      <c r="E6" s="26" t="s">
        <v>97</v>
      </c>
      <c r="F6" s="26" t="s">
        <v>538</v>
      </c>
      <c r="G6" s="26" t="s">
        <v>539</v>
      </c>
      <c r="H6" s="26" t="s">
        <v>540</v>
      </c>
      <c r="I6" s="26" t="s">
        <v>541</v>
      </c>
      <c r="J6" s="26" t="s">
        <v>542</v>
      </c>
      <c r="K6" s="26" t="s">
        <v>543</v>
      </c>
      <c r="L6" s="26" t="s">
        <v>544</v>
      </c>
      <c r="M6" s="26" t="s">
        <v>545</v>
      </c>
      <c r="N6" s="26" t="s">
        <v>546</v>
      </c>
      <c r="O6" s="26" t="s">
        <v>547</v>
      </c>
      <c r="P6" s="27" t="s">
        <v>4</v>
      </c>
    </row>
    <row r="7" customFormat="false" ht="15" hidden="false" customHeight="false" outlineLevel="0" collapsed="false">
      <c r="A7" s="8" t="s">
        <v>277</v>
      </c>
      <c r="B7" s="8" t="s">
        <v>31</v>
      </c>
      <c r="C7" s="8" t="s">
        <v>32</v>
      </c>
      <c r="D7" s="8" t="s">
        <v>114</v>
      </c>
      <c r="E7" s="8" t="s">
        <v>115</v>
      </c>
      <c r="F7" s="8" t="s">
        <v>548</v>
      </c>
      <c r="G7" s="8" t="s">
        <v>549</v>
      </c>
      <c r="H7" s="8" t="s">
        <v>550</v>
      </c>
      <c r="I7" s="8" t="s">
        <v>551</v>
      </c>
      <c r="J7" s="8" t="s">
        <v>552</v>
      </c>
      <c r="K7" s="8" t="s">
        <v>553</v>
      </c>
      <c r="L7" s="8" t="s">
        <v>520</v>
      </c>
      <c r="M7" s="8" t="s">
        <v>554</v>
      </c>
      <c r="N7" s="8" t="s">
        <v>555</v>
      </c>
      <c r="O7" s="8" t="n">
        <v>0</v>
      </c>
      <c r="P7" s="8" t="s">
        <v>556</v>
      </c>
    </row>
    <row r="8" customFormat="false" ht="15" hidden="false" customHeight="false" outlineLevel="0" collapsed="false">
      <c r="A8" s="12" t="s">
        <v>287</v>
      </c>
      <c r="B8" s="12" t="s">
        <v>31</v>
      </c>
      <c r="C8" s="12" t="s">
        <v>32</v>
      </c>
      <c r="D8" s="12" t="s">
        <v>121</v>
      </c>
      <c r="E8" s="12" t="s">
        <v>122</v>
      </c>
      <c r="F8" s="12" t="s">
        <v>548</v>
      </c>
      <c r="G8" s="12" t="s">
        <v>549</v>
      </c>
      <c r="H8" s="12" t="s">
        <v>557</v>
      </c>
      <c r="I8" s="12" t="s">
        <v>558</v>
      </c>
      <c r="J8" s="12" t="s">
        <v>559</v>
      </c>
      <c r="K8" s="12" t="s">
        <v>553</v>
      </c>
      <c r="L8" s="12" t="s">
        <v>524</v>
      </c>
      <c r="M8" s="12" t="s">
        <v>554</v>
      </c>
      <c r="N8" s="12" t="s">
        <v>555</v>
      </c>
      <c r="O8" s="12" t="n">
        <v>0</v>
      </c>
      <c r="P8" s="12" t="s">
        <v>556</v>
      </c>
    </row>
    <row r="9" customFormat="false" ht="15" hidden="false" customHeight="false" outlineLevel="0" collapsed="false">
      <c r="A9" s="12" t="s">
        <v>293</v>
      </c>
      <c r="B9" s="12" t="s">
        <v>31</v>
      </c>
      <c r="C9" s="12" t="s">
        <v>32</v>
      </c>
      <c r="D9" s="12" t="s">
        <v>128</v>
      </c>
      <c r="E9" s="12" t="s">
        <v>129</v>
      </c>
      <c r="F9" s="12" t="s">
        <v>548</v>
      </c>
      <c r="G9" s="12" t="s">
        <v>549</v>
      </c>
      <c r="H9" s="12" t="s">
        <v>560</v>
      </c>
      <c r="I9" s="12" t="s">
        <v>561</v>
      </c>
      <c r="J9" s="12" t="s">
        <v>562</v>
      </c>
      <c r="K9" s="12" t="s">
        <v>553</v>
      </c>
      <c r="L9" s="12" t="s">
        <v>525</v>
      </c>
      <c r="M9" s="12" t="s">
        <v>554</v>
      </c>
      <c r="N9" s="12" t="s">
        <v>555</v>
      </c>
      <c r="O9" s="12" t="n">
        <v>0</v>
      </c>
      <c r="P9" s="12" t="s">
        <v>556</v>
      </c>
    </row>
    <row r="10" customFormat="false" ht="15" hidden="false" customHeight="false" outlineLevel="0" collapsed="false">
      <c r="A10" s="12" t="s">
        <v>299</v>
      </c>
      <c r="B10" s="12" t="s">
        <v>31</v>
      </c>
      <c r="C10" s="12" t="s">
        <v>32</v>
      </c>
      <c r="D10" s="12" t="s">
        <v>135</v>
      </c>
      <c r="E10" s="12" t="s">
        <v>136</v>
      </c>
      <c r="F10" s="12" t="s">
        <v>548</v>
      </c>
      <c r="G10" s="12" t="s">
        <v>549</v>
      </c>
      <c r="H10" s="12" t="s">
        <v>563</v>
      </c>
      <c r="I10" s="12" t="s">
        <v>564</v>
      </c>
      <c r="J10" s="12" t="s">
        <v>565</v>
      </c>
      <c r="K10" s="12" t="s">
        <v>553</v>
      </c>
      <c r="L10" s="12" t="s">
        <v>526</v>
      </c>
      <c r="M10" s="12" t="s">
        <v>554</v>
      </c>
      <c r="N10" s="12" t="s">
        <v>555</v>
      </c>
      <c r="O10" s="12" t="n">
        <v>0</v>
      </c>
      <c r="P10" s="12" t="s">
        <v>556</v>
      </c>
    </row>
    <row r="11" customFormat="false" ht="15" hidden="false" customHeight="false" outlineLevel="0" collapsed="false">
      <c r="A11" s="12" t="s">
        <v>305</v>
      </c>
      <c r="B11" s="12" t="s">
        <v>31</v>
      </c>
      <c r="C11" s="12" t="s">
        <v>32</v>
      </c>
      <c r="D11" s="12" t="s">
        <v>140</v>
      </c>
      <c r="E11" s="12" t="s">
        <v>141</v>
      </c>
      <c r="F11" s="12" t="s">
        <v>548</v>
      </c>
      <c r="G11" s="12" t="s">
        <v>549</v>
      </c>
      <c r="H11" s="12" t="s">
        <v>566</v>
      </c>
      <c r="I11" s="12" t="s">
        <v>567</v>
      </c>
      <c r="J11" s="12" t="s">
        <v>568</v>
      </c>
      <c r="K11" s="12" t="s">
        <v>553</v>
      </c>
      <c r="L11" s="12" t="s">
        <v>527</v>
      </c>
      <c r="M11" s="12" t="s">
        <v>554</v>
      </c>
      <c r="N11" s="12" t="s">
        <v>555</v>
      </c>
      <c r="O11" s="12" t="n">
        <v>0</v>
      </c>
      <c r="P11" s="12" t="s">
        <v>556</v>
      </c>
    </row>
    <row r="12" customFormat="false" ht="15" hidden="false" customHeight="false" outlineLevel="0" collapsed="false">
      <c r="A12" s="12" t="s">
        <v>312</v>
      </c>
      <c r="B12" s="12" t="s">
        <v>31</v>
      </c>
      <c r="C12" s="12" t="s">
        <v>32</v>
      </c>
      <c r="D12" s="12" t="s">
        <v>146</v>
      </c>
      <c r="E12" s="12" t="s">
        <v>147</v>
      </c>
      <c r="F12" s="12" t="s">
        <v>548</v>
      </c>
      <c r="G12" s="12" t="s">
        <v>549</v>
      </c>
      <c r="H12" s="12" t="s">
        <v>569</v>
      </c>
      <c r="I12" s="12" t="s">
        <v>570</v>
      </c>
      <c r="J12" s="12" t="s">
        <v>571</v>
      </c>
      <c r="K12" s="12" t="s">
        <v>553</v>
      </c>
      <c r="L12" s="12" t="s">
        <v>528</v>
      </c>
      <c r="M12" s="12" t="s">
        <v>554</v>
      </c>
      <c r="N12" s="12" t="s">
        <v>555</v>
      </c>
      <c r="O12" s="12" t="n">
        <v>0</v>
      </c>
      <c r="P12" s="12" t="s">
        <v>556</v>
      </c>
    </row>
    <row r="13" customFormat="false" ht="15" hidden="false" customHeight="false" outlineLevel="0" collapsed="false">
      <c r="A13" s="12" t="s">
        <v>319</v>
      </c>
      <c r="B13" s="12" t="s">
        <v>35</v>
      </c>
      <c r="C13" s="12" t="s">
        <v>36</v>
      </c>
      <c r="D13" s="12" t="s">
        <v>114</v>
      </c>
      <c r="E13" s="12" t="s">
        <v>115</v>
      </c>
      <c r="F13" s="12" t="s">
        <v>548</v>
      </c>
      <c r="G13" s="12" t="s">
        <v>572</v>
      </c>
      <c r="H13" s="12" t="s">
        <v>573</v>
      </c>
      <c r="I13" s="12" t="s">
        <v>551</v>
      </c>
      <c r="J13" s="12" t="s">
        <v>552</v>
      </c>
      <c r="K13" s="12" t="s">
        <v>553</v>
      </c>
      <c r="L13" s="12" t="s">
        <v>520</v>
      </c>
      <c r="M13" s="12" t="s">
        <v>574</v>
      </c>
      <c r="N13" s="12" t="s">
        <v>555</v>
      </c>
      <c r="O13" s="12" t="n">
        <v>0</v>
      </c>
      <c r="P13" s="12" t="s">
        <v>556</v>
      </c>
    </row>
    <row r="14" customFormat="false" ht="15" hidden="false" customHeight="false" outlineLevel="0" collapsed="false">
      <c r="A14" s="12" t="s">
        <v>325</v>
      </c>
      <c r="B14" s="12" t="s">
        <v>35</v>
      </c>
      <c r="C14" s="12" t="s">
        <v>36</v>
      </c>
      <c r="D14" s="12" t="s">
        <v>121</v>
      </c>
      <c r="E14" s="12" t="s">
        <v>122</v>
      </c>
      <c r="F14" s="12" t="s">
        <v>548</v>
      </c>
      <c r="G14" s="12" t="s">
        <v>572</v>
      </c>
      <c r="H14" s="12" t="s">
        <v>575</v>
      </c>
      <c r="I14" s="12" t="s">
        <v>558</v>
      </c>
      <c r="J14" s="12" t="s">
        <v>559</v>
      </c>
      <c r="K14" s="12" t="s">
        <v>553</v>
      </c>
      <c r="L14" s="12" t="s">
        <v>524</v>
      </c>
      <c r="M14" s="12" t="s">
        <v>574</v>
      </c>
      <c r="N14" s="12" t="s">
        <v>555</v>
      </c>
      <c r="O14" s="12" t="n">
        <v>0</v>
      </c>
      <c r="P14" s="12" t="s">
        <v>556</v>
      </c>
    </row>
    <row r="15" customFormat="false" ht="15" hidden="false" customHeight="false" outlineLevel="0" collapsed="false">
      <c r="A15" s="12" t="s">
        <v>331</v>
      </c>
      <c r="B15" s="12" t="s">
        <v>35</v>
      </c>
      <c r="C15" s="12" t="s">
        <v>36</v>
      </c>
      <c r="D15" s="12" t="s">
        <v>128</v>
      </c>
      <c r="E15" s="12" t="s">
        <v>129</v>
      </c>
      <c r="F15" s="12" t="s">
        <v>548</v>
      </c>
      <c r="G15" s="12" t="s">
        <v>572</v>
      </c>
      <c r="H15" s="12" t="s">
        <v>576</v>
      </c>
      <c r="I15" s="12" t="s">
        <v>561</v>
      </c>
      <c r="J15" s="12" t="s">
        <v>562</v>
      </c>
      <c r="K15" s="12" t="s">
        <v>553</v>
      </c>
      <c r="L15" s="12" t="s">
        <v>525</v>
      </c>
      <c r="M15" s="12" t="s">
        <v>574</v>
      </c>
      <c r="N15" s="12" t="s">
        <v>555</v>
      </c>
      <c r="O15" s="12" t="n">
        <v>0</v>
      </c>
      <c r="P15" s="12" t="s">
        <v>556</v>
      </c>
    </row>
    <row r="16" customFormat="false" ht="15" hidden="false" customHeight="false" outlineLevel="0" collapsed="false">
      <c r="A16" s="12" t="s">
        <v>337</v>
      </c>
      <c r="B16" s="12" t="s">
        <v>35</v>
      </c>
      <c r="C16" s="12" t="s">
        <v>36</v>
      </c>
      <c r="D16" s="12" t="s">
        <v>135</v>
      </c>
      <c r="E16" s="12" t="s">
        <v>136</v>
      </c>
      <c r="F16" s="12" t="s">
        <v>548</v>
      </c>
      <c r="G16" s="12" t="s">
        <v>572</v>
      </c>
      <c r="H16" s="12" t="s">
        <v>577</v>
      </c>
      <c r="I16" s="12" t="s">
        <v>564</v>
      </c>
      <c r="J16" s="12" t="s">
        <v>565</v>
      </c>
      <c r="K16" s="12" t="s">
        <v>553</v>
      </c>
      <c r="L16" s="12" t="s">
        <v>526</v>
      </c>
      <c r="M16" s="12" t="s">
        <v>574</v>
      </c>
      <c r="N16" s="12" t="s">
        <v>555</v>
      </c>
      <c r="O16" s="12" t="n">
        <v>0</v>
      </c>
      <c r="P16" s="12" t="s">
        <v>556</v>
      </c>
    </row>
    <row r="17" customFormat="false" ht="15" hidden="false" customHeight="false" outlineLevel="0" collapsed="false">
      <c r="A17" s="12" t="s">
        <v>343</v>
      </c>
      <c r="B17" s="12" t="s">
        <v>35</v>
      </c>
      <c r="C17" s="12" t="s">
        <v>36</v>
      </c>
      <c r="D17" s="12" t="s">
        <v>140</v>
      </c>
      <c r="E17" s="12" t="s">
        <v>141</v>
      </c>
      <c r="F17" s="12" t="s">
        <v>548</v>
      </c>
      <c r="G17" s="12" t="s">
        <v>572</v>
      </c>
      <c r="H17" s="12" t="s">
        <v>578</v>
      </c>
      <c r="I17" s="12" t="s">
        <v>567</v>
      </c>
      <c r="J17" s="12" t="s">
        <v>568</v>
      </c>
      <c r="K17" s="12" t="s">
        <v>553</v>
      </c>
      <c r="L17" s="12" t="s">
        <v>527</v>
      </c>
      <c r="M17" s="12" t="s">
        <v>574</v>
      </c>
      <c r="N17" s="12" t="s">
        <v>555</v>
      </c>
      <c r="O17" s="12" t="n">
        <v>0</v>
      </c>
      <c r="P17" s="12" t="s">
        <v>556</v>
      </c>
    </row>
    <row r="18" customFormat="false" ht="15" hidden="false" customHeight="false" outlineLevel="0" collapsed="false">
      <c r="A18" s="12" t="s">
        <v>350</v>
      </c>
      <c r="B18" s="12" t="s">
        <v>35</v>
      </c>
      <c r="C18" s="12" t="s">
        <v>36</v>
      </c>
      <c r="D18" s="12" t="s">
        <v>146</v>
      </c>
      <c r="E18" s="12" t="s">
        <v>147</v>
      </c>
      <c r="F18" s="12" t="s">
        <v>548</v>
      </c>
      <c r="G18" s="12" t="s">
        <v>572</v>
      </c>
      <c r="H18" s="12" t="s">
        <v>579</v>
      </c>
      <c r="I18" s="12" t="s">
        <v>570</v>
      </c>
      <c r="J18" s="12" t="s">
        <v>571</v>
      </c>
      <c r="K18" s="12" t="s">
        <v>553</v>
      </c>
      <c r="L18" s="12" t="s">
        <v>528</v>
      </c>
      <c r="M18" s="12" t="s">
        <v>574</v>
      </c>
      <c r="N18" s="12" t="s">
        <v>555</v>
      </c>
      <c r="O18" s="12" t="n">
        <v>0</v>
      </c>
      <c r="P18" s="12" t="s">
        <v>556</v>
      </c>
    </row>
    <row r="19" customFormat="false" ht="15" hidden="false" customHeight="false" outlineLevel="0" collapsed="false">
      <c r="A19" s="12" t="s">
        <v>357</v>
      </c>
      <c r="B19" s="12" t="s">
        <v>39</v>
      </c>
      <c r="C19" s="12" t="s">
        <v>40</v>
      </c>
      <c r="D19" s="12" t="s">
        <v>114</v>
      </c>
      <c r="E19" s="12" t="s">
        <v>115</v>
      </c>
      <c r="F19" s="12" t="s">
        <v>548</v>
      </c>
      <c r="G19" s="12" t="s">
        <v>580</v>
      </c>
      <c r="H19" s="12" t="s">
        <v>581</v>
      </c>
      <c r="I19" s="12" t="s">
        <v>551</v>
      </c>
      <c r="J19" s="12" t="s">
        <v>552</v>
      </c>
      <c r="K19" s="12" t="s">
        <v>553</v>
      </c>
      <c r="L19" s="12" t="s">
        <v>520</v>
      </c>
      <c r="M19" s="12" t="s">
        <v>582</v>
      </c>
      <c r="N19" s="12" t="s">
        <v>555</v>
      </c>
      <c r="O19" s="12" t="n">
        <v>0</v>
      </c>
      <c r="P19" s="12" t="s">
        <v>556</v>
      </c>
    </row>
    <row r="20" customFormat="false" ht="15" hidden="false" customHeight="false" outlineLevel="0" collapsed="false">
      <c r="A20" s="12" t="s">
        <v>363</v>
      </c>
      <c r="B20" s="12" t="s">
        <v>39</v>
      </c>
      <c r="C20" s="12" t="s">
        <v>40</v>
      </c>
      <c r="D20" s="12" t="s">
        <v>121</v>
      </c>
      <c r="E20" s="12" t="s">
        <v>122</v>
      </c>
      <c r="F20" s="12" t="s">
        <v>548</v>
      </c>
      <c r="G20" s="12" t="s">
        <v>580</v>
      </c>
      <c r="H20" s="12" t="s">
        <v>583</v>
      </c>
      <c r="I20" s="12" t="s">
        <v>558</v>
      </c>
      <c r="J20" s="12" t="s">
        <v>559</v>
      </c>
      <c r="K20" s="12" t="s">
        <v>553</v>
      </c>
      <c r="L20" s="12" t="s">
        <v>524</v>
      </c>
      <c r="M20" s="12" t="s">
        <v>582</v>
      </c>
      <c r="N20" s="12" t="s">
        <v>555</v>
      </c>
      <c r="O20" s="12" t="n">
        <v>0</v>
      </c>
      <c r="P20" s="12" t="s">
        <v>556</v>
      </c>
    </row>
    <row r="21" customFormat="false" ht="15" hidden="false" customHeight="false" outlineLevel="0" collapsed="false">
      <c r="A21" s="12" t="s">
        <v>369</v>
      </c>
      <c r="B21" s="12" t="s">
        <v>39</v>
      </c>
      <c r="C21" s="12" t="s">
        <v>40</v>
      </c>
      <c r="D21" s="12" t="s">
        <v>128</v>
      </c>
      <c r="E21" s="12" t="s">
        <v>129</v>
      </c>
      <c r="F21" s="12" t="s">
        <v>548</v>
      </c>
      <c r="G21" s="12" t="s">
        <v>580</v>
      </c>
      <c r="H21" s="12" t="s">
        <v>584</v>
      </c>
      <c r="I21" s="12" t="s">
        <v>561</v>
      </c>
      <c r="J21" s="12" t="s">
        <v>562</v>
      </c>
      <c r="K21" s="12" t="s">
        <v>553</v>
      </c>
      <c r="L21" s="12" t="s">
        <v>525</v>
      </c>
      <c r="M21" s="12" t="s">
        <v>582</v>
      </c>
      <c r="N21" s="12" t="s">
        <v>555</v>
      </c>
      <c r="O21" s="12" t="n">
        <v>0</v>
      </c>
      <c r="P21" s="12" t="s">
        <v>556</v>
      </c>
    </row>
    <row r="22" customFormat="false" ht="15" hidden="false" customHeight="false" outlineLevel="0" collapsed="false">
      <c r="A22" s="12" t="s">
        <v>375</v>
      </c>
      <c r="B22" s="12" t="s">
        <v>39</v>
      </c>
      <c r="C22" s="12" t="s">
        <v>40</v>
      </c>
      <c r="D22" s="12" t="s">
        <v>135</v>
      </c>
      <c r="E22" s="12" t="s">
        <v>136</v>
      </c>
      <c r="F22" s="12" t="s">
        <v>548</v>
      </c>
      <c r="G22" s="12" t="s">
        <v>580</v>
      </c>
      <c r="H22" s="12" t="s">
        <v>585</v>
      </c>
      <c r="I22" s="12" t="s">
        <v>564</v>
      </c>
      <c r="J22" s="12" t="s">
        <v>565</v>
      </c>
      <c r="K22" s="12" t="s">
        <v>553</v>
      </c>
      <c r="L22" s="12" t="s">
        <v>526</v>
      </c>
      <c r="M22" s="12" t="s">
        <v>582</v>
      </c>
      <c r="N22" s="12" t="s">
        <v>555</v>
      </c>
      <c r="O22" s="12" t="n">
        <v>0</v>
      </c>
      <c r="P22" s="12" t="s">
        <v>556</v>
      </c>
    </row>
    <row r="23" customFormat="false" ht="15" hidden="false" customHeight="false" outlineLevel="0" collapsed="false">
      <c r="A23" s="12" t="s">
        <v>381</v>
      </c>
      <c r="B23" s="12" t="s">
        <v>39</v>
      </c>
      <c r="C23" s="12" t="s">
        <v>40</v>
      </c>
      <c r="D23" s="12" t="s">
        <v>140</v>
      </c>
      <c r="E23" s="12" t="s">
        <v>141</v>
      </c>
      <c r="F23" s="12" t="s">
        <v>548</v>
      </c>
      <c r="G23" s="12" t="s">
        <v>580</v>
      </c>
      <c r="H23" s="12" t="s">
        <v>586</v>
      </c>
      <c r="I23" s="12" t="s">
        <v>567</v>
      </c>
      <c r="J23" s="12" t="s">
        <v>568</v>
      </c>
      <c r="K23" s="12" t="s">
        <v>553</v>
      </c>
      <c r="L23" s="12" t="s">
        <v>527</v>
      </c>
      <c r="M23" s="12" t="s">
        <v>582</v>
      </c>
      <c r="N23" s="12" t="s">
        <v>555</v>
      </c>
      <c r="O23" s="12" t="n">
        <v>0</v>
      </c>
      <c r="P23" s="12" t="s">
        <v>556</v>
      </c>
    </row>
    <row r="24" customFormat="false" ht="15" hidden="false" customHeight="false" outlineLevel="0" collapsed="false">
      <c r="A24" s="12" t="s">
        <v>388</v>
      </c>
      <c r="B24" s="12" t="s">
        <v>39</v>
      </c>
      <c r="C24" s="12" t="s">
        <v>40</v>
      </c>
      <c r="D24" s="12" t="s">
        <v>146</v>
      </c>
      <c r="E24" s="12" t="s">
        <v>147</v>
      </c>
      <c r="F24" s="12" t="s">
        <v>548</v>
      </c>
      <c r="G24" s="12" t="s">
        <v>580</v>
      </c>
      <c r="H24" s="12" t="s">
        <v>587</v>
      </c>
      <c r="I24" s="12" t="s">
        <v>570</v>
      </c>
      <c r="J24" s="12" t="s">
        <v>571</v>
      </c>
      <c r="K24" s="12" t="s">
        <v>553</v>
      </c>
      <c r="L24" s="12" t="s">
        <v>528</v>
      </c>
      <c r="M24" s="12" t="s">
        <v>582</v>
      </c>
      <c r="N24" s="12" t="s">
        <v>555</v>
      </c>
      <c r="O24" s="12" t="n">
        <v>0</v>
      </c>
      <c r="P24" s="12" t="s">
        <v>556</v>
      </c>
    </row>
    <row r="25" customFormat="false" ht="15" hidden="false" customHeight="false" outlineLevel="0" collapsed="false">
      <c r="A25" s="12" t="s">
        <v>395</v>
      </c>
      <c r="B25" s="12" t="s">
        <v>43</v>
      </c>
      <c r="C25" s="12" t="s">
        <v>44</v>
      </c>
      <c r="D25" s="12" t="s">
        <v>114</v>
      </c>
      <c r="E25" s="12" t="s">
        <v>115</v>
      </c>
      <c r="F25" s="12" t="s">
        <v>548</v>
      </c>
      <c r="G25" s="12" t="s">
        <v>588</v>
      </c>
      <c r="H25" s="12" t="s">
        <v>589</v>
      </c>
      <c r="I25" s="12" t="s">
        <v>551</v>
      </c>
      <c r="J25" s="12" t="s">
        <v>552</v>
      </c>
      <c r="K25" s="12" t="s">
        <v>590</v>
      </c>
      <c r="L25" s="12" t="s">
        <v>520</v>
      </c>
      <c r="M25" s="12" t="s">
        <v>591</v>
      </c>
      <c r="N25" s="12" t="s">
        <v>555</v>
      </c>
      <c r="O25" s="12" t="n">
        <v>0</v>
      </c>
      <c r="P25" s="12" t="s">
        <v>556</v>
      </c>
    </row>
    <row r="26" customFormat="false" ht="15" hidden="false" customHeight="false" outlineLevel="0" collapsed="false">
      <c r="A26" s="12" t="s">
        <v>402</v>
      </c>
      <c r="B26" s="12" t="s">
        <v>43</v>
      </c>
      <c r="C26" s="12" t="s">
        <v>44</v>
      </c>
      <c r="D26" s="12" t="s">
        <v>121</v>
      </c>
      <c r="E26" s="12" t="s">
        <v>122</v>
      </c>
      <c r="F26" s="12" t="s">
        <v>548</v>
      </c>
      <c r="G26" s="12" t="s">
        <v>588</v>
      </c>
      <c r="H26" s="12" t="s">
        <v>592</v>
      </c>
      <c r="I26" s="12" t="s">
        <v>558</v>
      </c>
      <c r="J26" s="12" t="s">
        <v>559</v>
      </c>
      <c r="K26" s="12" t="s">
        <v>590</v>
      </c>
      <c r="L26" s="12" t="s">
        <v>524</v>
      </c>
      <c r="M26" s="12" t="s">
        <v>591</v>
      </c>
      <c r="N26" s="12" t="s">
        <v>555</v>
      </c>
      <c r="O26" s="12" t="n">
        <v>0</v>
      </c>
      <c r="P26" s="12" t="s">
        <v>556</v>
      </c>
    </row>
    <row r="27" customFormat="false" ht="15" hidden="false" customHeight="false" outlineLevel="0" collapsed="false">
      <c r="A27" s="12" t="s">
        <v>408</v>
      </c>
      <c r="B27" s="12" t="s">
        <v>43</v>
      </c>
      <c r="C27" s="12" t="s">
        <v>44</v>
      </c>
      <c r="D27" s="12" t="s">
        <v>128</v>
      </c>
      <c r="E27" s="12" t="s">
        <v>129</v>
      </c>
      <c r="F27" s="12" t="s">
        <v>548</v>
      </c>
      <c r="G27" s="12" t="s">
        <v>588</v>
      </c>
      <c r="H27" s="12" t="s">
        <v>593</v>
      </c>
      <c r="I27" s="12" t="s">
        <v>561</v>
      </c>
      <c r="J27" s="12" t="s">
        <v>562</v>
      </c>
      <c r="K27" s="12" t="s">
        <v>590</v>
      </c>
      <c r="L27" s="12" t="s">
        <v>525</v>
      </c>
      <c r="M27" s="12" t="s">
        <v>591</v>
      </c>
      <c r="N27" s="12" t="s">
        <v>555</v>
      </c>
      <c r="O27" s="12" t="n">
        <v>0</v>
      </c>
      <c r="P27" s="12" t="s">
        <v>556</v>
      </c>
    </row>
    <row r="28" customFormat="false" ht="15" hidden="false" customHeight="false" outlineLevel="0" collapsed="false">
      <c r="A28" s="12" t="s">
        <v>414</v>
      </c>
      <c r="B28" s="12" t="s">
        <v>43</v>
      </c>
      <c r="C28" s="12" t="s">
        <v>44</v>
      </c>
      <c r="D28" s="12" t="s">
        <v>135</v>
      </c>
      <c r="E28" s="12" t="s">
        <v>136</v>
      </c>
      <c r="F28" s="12" t="s">
        <v>548</v>
      </c>
      <c r="G28" s="12" t="s">
        <v>588</v>
      </c>
      <c r="H28" s="12" t="s">
        <v>594</v>
      </c>
      <c r="I28" s="12" t="s">
        <v>564</v>
      </c>
      <c r="J28" s="12" t="s">
        <v>565</v>
      </c>
      <c r="K28" s="12" t="s">
        <v>590</v>
      </c>
      <c r="L28" s="12" t="s">
        <v>526</v>
      </c>
      <c r="M28" s="12" t="s">
        <v>591</v>
      </c>
      <c r="N28" s="12" t="s">
        <v>555</v>
      </c>
      <c r="O28" s="12" t="n">
        <v>0</v>
      </c>
      <c r="P28" s="12" t="s">
        <v>556</v>
      </c>
    </row>
    <row r="29" customFormat="false" ht="15" hidden="false" customHeight="false" outlineLevel="0" collapsed="false">
      <c r="A29" s="12" t="s">
        <v>420</v>
      </c>
      <c r="B29" s="12" t="s">
        <v>43</v>
      </c>
      <c r="C29" s="12" t="s">
        <v>44</v>
      </c>
      <c r="D29" s="12" t="s">
        <v>140</v>
      </c>
      <c r="E29" s="12" t="s">
        <v>141</v>
      </c>
      <c r="F29" s="12" t="s">
        <v>548</v>
      </c>
      <c r="G29" s="12" t="s">
        <v>588</v>
      </c>
      <c r="H29" s="12" t="s">
        <v>595</v>
      </c>
      <c r="I29" s="12" t="s">
        <v>567</v>
      </c>
      <c r="J29" s="12" t="s">
        <v>568</v>
      </c>
      <c r="K29" s="12" t="s">
        <v>590</v>
      </c>
      <c r="L29" s="12" t="s">
        <v>527</v>
      </c>
      <c r="M29" s="12" t="s">
        <v>591</v>
      </c>
      <c r="N29" s="12" t="s">
        <v>555</v>
      </c>
      <c r="O29" s="12" t="n">
        <v>0</v>
      </c>
      <c r="P29" s="12" t="s">
        <v>556</v>
      </c>
    </row>
    <row r="30" customFormat="false" ht="15" hidden="false" customHeight="false" outlineLevel="0" collapsed="false">
      <c r="A30" s="12" t="s">
        <v>427</v>
      </c>
      <c r="B30" s="12" t="s">
        <v>43</v>
      </c>
      <c r="C30" s="12" t="s">
        <v>44</v>
      </c>
      <c r="D30" s="12" t="s">
        <v>146</v>
      </c>
      <c r="E30" s="12" t="s">
        <v>147</v>
      </c>
      <c r="F30" s="12" t="s">
        <v>548</v>
      </c>
      <c r="G30" s="12" t="s">
        <v>588</v>
      </c>
      <c r="H30" s="12" t="s">
        <v>596</v>
      </c>
      <c r="I30" s="12" t="s">
        <v>570</v>
      </c>
      <c r="J30" s="12" t="s">
        <v>571</v>
      </c>
      <c r="K30" s="12" t="s">
        <v>590</v>
      </c>
      <c r="L30" s="12" t="s">
        <v>528</v>
      </c>
      <c r="M30" s="12" t="s">
        <v>591</v>
      </c>
      <c r="N30" s="12" t="s">
        <v>555</v>
      </c>
      <c r="O30" s="12" t="n">
        <v>0</v>
      </c>
      <c r="P30" s="12" t="s">
        <v>556</v>
      </c>
    </row>
    <row r="31" customFormat="false" ht="15" hidden="false" customHeight="false" outlineLevel="0" collapsed="false">
      <c r="A31" s="12" t="s">
        <v>434</v>
      </c>
      <c r="B31" s="12" t="s">
        <v>47</v>
      </c>
      <c r="C31" s="12" t="s">
        <v>48</v>
      </c>
      <c r="D31" s="12" t="s">
        <v>114</v>
      </c>
      <c r="E31" s="12" t="s">
        <v>115</v>
      </c>
      <c r="F31" s="12" t="s">
        <v>548</v>
      </c>
      <c r="G31" s="12" t="s">
        <v>597</v>
      </c>
      <c r="H31" s="12" t="s">
        <v>598</v>
      </c>
      <c r="I31" s="12" t="s">
        <v>551</v>
      </c>
      <c r="J31" s="12" t="s">
        <v>552</v>
      </c>
      <c r="K31" s="12" t="s">
        <v>599</v>
      </c>
      <c r="L31" s="12" t="s">
        <v>520</v>
      </c>
      <c r="M31" s="12" t="s">
        <v>600</v>
      </c>
      <c r="N31" s="12" t="s">
        <v>555</v>
      </c>
      <c r="O31" s="12" t="n">
        <v>0</v>
      </c>
      <c r="P31" s="12" t="s">
        <v>556</v>
      </c>
    </row>
    <row r="32" customFormat="false" ht="15" hidden="false" customHeight="false" outlineLevel="0" collapsed="false">
      <c r="A32" s="12" t="s">
        <v>440</v>
      </c>
      <c r="B32" s="12" t="s">
        <v>47</v>
      </c>
      <c r="C32" s="12" t="s">
        <v>48</v>
      </c>
      <c r="D32" s="12" t="s">
        <v>121</v>
      </c>
      <c r="E32" s="12" t="s">
        <v>122</v>
      </c>
      <c r="F32" s="12" t="s">
        <v>548</v>
      </c>
      <c r="G32" s="12" t="s">
        <v>597</v>
      </c>
      <c r="H32" s="12" t="s">
        <v>601</v>
      </c>
      <c r="I32" s="12" t="s">
        <v>558</v>
      </c>
      <c r="J32" s="12" t="s">
        <v>559</v>
      </c>
      <c r="K32" s="12" t="s">
        <v>599</v>
      </c>
      <c r="L32" s="12" t="s">
        <v>524</v>
      </c>
      <c r="M32" s="12" t="s">
        <v>600</v>
      </c>
      <c r="N32" s="12" t="s">
        <v>555</v>
      </c>
      <c r="O32" s="12" t="n">
        <v>0</v>
      </c>
      <c r="P32" s="12" t="s">
        <v>556</v>
      </c>
    </row>
    <row r="33" customFormat="false" ht="15" hidden="false" customHeight="false" outlineLevel="0" collapsed="false">
      <c r="A33" s="12" t="s">
        <v>446</v>
      </c>
      <c r="B33" s="12" t="s">
        <v>47</v>
      </c>
      <c r="C33" s="12" t="s">
        <v>48</v>
      </c>
      <c r="D33" s="12" t="s">
        <v>128</v>
      </c>
      <c r="E33" s="12" t="s">
        <v>129</v>
      </c>
      <c r="F33" s="12" t="s">
        <v>548</v>
      </c>
      <c r="G33" s="12" t="s">
        <v>597</v>
      </c>
      <c r="H33" s="12" t="s">
        <v>602</v>
      </c>
      <c r="I33" s="12" t="s">
        <v>561</v>
      </c>
      <c r="J33" s="12" t="s">
        <v>562</v>
      </c>
      <c r="K33" s="12" t="s">
        <v>599</v>
      </c>
      <c r="L33" s="12" t="s">
        <v>525</v>
      </c>
      <c r="M33" s="12" t="s">
        <v>600</v>
      </c>
      <c r="N33" s="12" t="s">
        <v>555</v>
      </c>
      <c r="O33" s="12" t="n">
        <v>0</v>
      </c>
      <c r="P33" s="12" t="s">
        <v>556</v>
      </c>
    </row>
    <row r="34" customFormat="false" ht="15" hidden="false" customHeight="false" outlineLevel="0" collapsed="false">
      <c r="A34" s="12" t="s">
        <v>452</v>
      </c>
      <c r="B34" s="12" t="s">
        <v>47</v>
      </c>
      <c r="C34" s="12" t="s">
        <v>48</v>
      </c>
      <c r="D34" s="12" t="s">
        <v>135</v>
      </c>
      <c r="E34" s="12" t="s">
        <v>136</v>
      </c>
      <c r="F34" s="12" t="s">
        <v>548</v>
      </c>
      <c r="G34" s="12" t="s">
        <v>597</v>
      </c>
      <c r="H34" s="12" t="s">
        <v>603</v>
      </c>
      <c r="I34" s="12" t="s">
        <v>564</v>
      </c>
      <c r="J34" s="12" t="s">
        <v>565</v>
      </c>
      <c r="K34" s="12" t="s">
        <v>599</v>
      </c>
      <c r="L34" s="12" t="s">
        <v>526</v>
      </c>
      <c r="M34" s="12" t="s">
        <v>600</v>
      </c>
      <c r="N34" s="12" t="s">
        <v>555</v>
      </c>
      <c r="O34" s="12" t="n">
        <v>0</v>
      </c>
      <c r="P34" s="12" t="s">
        <v>556</v>
      </c>
    </row>
    <row r="35" customFormat="false" ht="15" hidden="false" customHeight="false" outlineLevel="0" collapsed="false">
      <c r="A35" s="12" t="s">
        <v>458</v>
      </c>
      <c r="B35" s="12" t="s">
        <v>47</v>
      </c>
      <c r="C35" s="12" t="s">
        <v>48</v>
      </c>
      <c r="D35" s="12" t="s">
        <v>140</v>
      </c>
      <c r="E35" s="12" t="s">
        <v>141</v>
      </c>
      <c r="F35" s="12" t="s">
        <v>548</v>
      </c>
      <c r="G35" s="12" t="s">
        <v>597</v>
      </c>
      <c r="H35" s="12" t="s">
        <v>604</v>
      </c>
      <c r="I35" s="12" t="s">
        <v>567</v>
      </c>
      <c r="J35" s="12" t="s">
        <v>568</v>
      </c>
      <c r="K35" s="12" t="s">
        <v>599</v>
      </c>
      <c r="L35" s="12" t="s">
        <v>527</v>
      </c>
      <c r="M35" s="12" t="s">
        <v>600</v>
      </c>
      <c r="N35" s="12" t="s">
        <v>555</v>
      </c>
      <c r="O35" s="12" t="n">
        <v>0</v>
      </c>
      <c r="P35" s="12" t="s">
        <v>556</v>
      </c>
    </row>
    <row r="36" customFormat="false" ht="15" hidden="false" customHeight="false" outlineLevel="0" collapsed="false">
      <c r="A36" s="12" t="s">
        <v>465</v>
      </c>
      <c r="B36" s="12" t="s">
        <v>47</v>
      </c>
      <c r="C36" s="12" t="s">
        <v>48</v>
      </c>
      <c r="D36" s="12" t="s">
        <v>146</v>
      </c>
      <c r="E36" s="12" t="s">
        <v>147</v>
      </c>
      <c r="F36" s="12" t="s">
        <v>548</v>
      </c>
      <c r="G36" s="12" t="s">
        <v>597</v>
      </c>
      <c r="H36" s="12" t="s">
        <v>605</v>
      </c>
      <c r="I36" s="12" t="s">
        <v>570</v>
      </c>
      <c r="J36" s="12" t="s">
        <v>571</v>
      </c>
      <c r="K36" s="12" t="s">
        <v>599</v>
      </c>
      <c r="L36" s="12" t="s">
        <v>528</v>
      </c>
      <c r="M36" s="12" t="s">
        <v>600</v>
      </c>
      <c r="N36" s="12" t="s">
        <v>555</v>
      </c>
      <c r="O36" s="12" t="n">
        <v>0</v>
      </c>
      <c r="P36" s="12" t="s">
        <v>556</v>
      </c>
    </row>
    <row r="37" customFormat="false" ht="15" hidden="false" customHeight="false" outlineLevel="0" collapsed="false">
      <c r="A37" s="12" t="s">
        <v>472</v>
      </c>
      <c r="B37" s="12" t="s">
        <v>51</v>
      </c>
      <c r="C37" s="12" t="s">
        <v>52</v>
      </c>
      <c r="D37" s="12" t="s">
        <v>114</v>
      </c>
      <c r="E37" s="12" t="s">
        <v>115</v>
      </c>
      <c r="F37" s="12" t="s">
        <v>548</v>
      </c>
      <c r="G37" s="12" t="s">
        <v>606</v>
      </c>
      <c r="H37" s="12" t="s">
        <v>607</v>
      </c>
      <c r="I37" s="12" t="s">
        <v>551</v>
      </c>
      <c r="J37" s="12" t="s">
        <v>552</v>
      </c>
      <c r="K37" s="12" t="s">
        <v>599</v>
      </c>
      <c r="L37" s="12" t="s">
        <v>520</v>
      </c>
      <c r="M37" s="12" t="s">
        <v>608</v>
      </c>
      <c r="N37" s="12" t="s">
        <v>555</v>
      </c>
      <c r="O37" s="12" t="n">
        <v>0</v>
      </c>
      <c r="P37" s="12" t="s">
        <v>556</v>
      </c>
    </row>
    <row r="38" customFormat="false" ht="15" hidden="false" customHeight="false" outlineLevel="0" collapsed="false">
      <c r="A38" s="12" t="s">
        <v>478</v>
      </c>
      <c r="B38" s="12" t="s">
        <v>51</v>
      </c>
      <c r="C38" s="12" t="s">
        <v>52</v>
      </c>
      <c r="D38" s="12" t="s">
        <v>121</v>
      </c>
      <c r="E38" s="12" t="s">
        <v>122</v>
      </c>
      <c r="F38" s="12" t="s">
        <v>548</v>
      </c>
      <c r="G38" s="12" t="s">
        <v>606</v>
      </c>
      <c r="H38" s="12" t="s">
        <v>609</v>
      </c>
      <c r="I38" s="12" t="s">
        <v>558</v>
      </c>
      <c r="J38" s="12" t="s">
        <v>559</v>
      </c>
      <c r="K38" s="12" t="s">
        <v>599</v>
      </c>
      <c r="L38" s="12" t="s">
        <v>524</v>
      </c>
      <c r="M38" s="12" t="s">
        <v>608</v>
      </c>
      <c r="N38" s="12" t="s">
        <v>555</v>
      </c>
      <c r="O38" s="12" t="n">
        <v>0</v>
      </c>
      <c r="P38" s="12" t="s">
        <v>556</v>
      </c>
    </row>
    <row r="39" customFormat="false" ht="15" hidden="false" customHeight="false" outlineLevel="0" collapsed="false">
      <c r="A39" s="12" t="s">
        <v>484</v>
      </c>
      <c r="B39" s="12" t="s">
        <v>51</v>
      </c>
      <c r="C39" s="12" t="s">
        <v>52</v>
      </c>
      <c r="D39" s="12" t="s">
        <v>128</v>
      </c>
      <c r="E39" s="12" t="s">
        <v>129</v>
      </c>
      <c r="F39" s="12" t="s">
        <v>548</v>
      </c>
      <c r="G39" s="12" t="s">
        <v>606</v>
      </c>
      <c r="H39" s="12" t="s">
        <v>610</v>
      </c>
      <c r="I39" s="12" t="s">
        <v>561</v>
      </c>
      <c r="J39" s="12" t="s">
        <v>562</v>
      </c>
      <c r="K39" s="12" t="s">
        <v>599</v>
      </c>
      <c r="L39" s="12" t="s">
        <v>525</v>
      </c>
      <c r="M39" s="12" t="s">
        <v>608</v>
      </c>
      <c r="N39" s="12" t="s">
        <v>555</v>
      </c>
      <c r="O39" s="12" t="n">
        <v>0</v>
      </c>
      <c r="P39" s="12" t="s">
        <v>556</v>
      </c>
    </row>
    <row r="40" customFormat="false" ht="15" hidden="false" customHeight="false" outlineLevel="0" collapsed="false">
      <c r="A40" s="12" t="s">
        <v>490</v>
      </c>
      <c r="B40" s="12" t="s">
        <v>51</v>
      </c>
      <c r="C40" s="12" t="s">
        <v>52</v>
      </c>
      <c r="D40" s="12" t="s">
        <v>135</v>
      </c>
      <c r="E40" s="12" t="s">
        <v>136</v>
      </c>
      <c r="F40" s="12" t="s">
        <v>548</v>
      </c>
      <c r="G40" s="12" t="s">
        <v>606</v>
      </c>
      <c r="H40" s="12" t="s">
        <v>611</v>
      </c>
      <c r="I40" s="12" t="s">
        <v>564</v>
      </c>
      <c r="J40" s="12" t="s">
        <v>565</v>
      </c>
      <c r="K40" s="12" t="s">
        <v>599</v>
      </c>
      <c r="L40" s="12" t="s">
        <v>526</v>
      </c>
      <c r="M40" s="12" t="s">
        <v>608</v>
      </c>
      <c r="N40" s="12" t="s">
        <v>555</v>
      </c>
      <c r="O40" s="12" t="n">
        <v>0</v>
      </c>
      <c r="P40" s="12" t="s">
        <v>556</v>
      </c>
    </row>
    <row r="41" customFormat="false" ht="15" hidden="false" customHeight="false" outlineLevel="0" collapsed="false">
      <c r="A41" s="12" t="s">
        <v>496</v>
      </c>
      <c r="B41" s="12" t="s">
        <v>51</v>
      </c>
      <c r="C41" s="12" t="s">
        <v>52</v>
      </c>
      <c r="D41" s="12" t="s">
        <v>140</v>
      </c>
      <c r="E41" s="12" t="s">
        <v>141</v>
      </c>
      <c r="F41" s="12" t="s">
        <v>548</v>
      </c>
      <c r="G41" s="12" t="s">
        <v>606</v>
      </c>
      <c r="H41" s="12" t="s">
        <v>612</v>
      </c>
      <c r="I41" s="12" t="s">
        <v>567</v>
      </c>
      <c r="J41" s="12" t="s">
        <v>568</v>
      </c>
      <c r="K41" s="12" t="s">
        <v>599</v>
      </c>
      <c r="L41" s="12" t="s">
        <v>527</v>
      </c>
      <c r="M41" s="12" t="s">
        <v>608</v>
      </c>
      <c r="N41" s="12" t="s">
        <v>555</v>
      </c>
      <c r="O41" s="12" t="n">
        <v>0</v>
      </c>
      <c r="P41" s="12" t="s">
        <v>556</v>
      </c>
    </row>
    <row r="42" customFormat="false" ht="15" hidden="false" customHeight="false" outlineLevel="0" collapsed="false">
      <c r="A42" s="15" t="s">
        <v>503</v>
      </c>
      <c r="B42" s="15" t="s">
        <v>51</v>
      </c>
      <c r="C42" s="15" t="s">
        <v>52</v>
      </c>
      <c r="D42" s="15" t="s">
        <v>146</v>
      </c>
      <c r="E42" s="15" t="s">
        <v>147</v>
      </c>
      <c r="F42" s="15" t="s">
        <v>548</v>
      </c>
      <c r="G42" s="15" t="s">
        <v>606</v>
      </c>
      <c r="H42" s="15" t="s">
        <v>613</v>
      </c>
      <c r="I42" s="15" t="s">
        <v>570</v>
      </c>
      <c r="J42" s="15" t="s">
        <v>571</v>
      </c>
      <c r="K42" s="15" t="s">
        <v>599</v>
      </c>
      <c r="L42" s="15" t="s">
        <v>528</v>
      </c>
      <c r="M42" s="15" t="s">
        <v>608</v>
      </c>
      <c r="N42" s="15" t="s">
        <v>555</v>
      </c>
      <c r="O42" s="15" t="n">
        <v>0</v>
      </c>
      <c r="P42" s="15" t="s">
        <v>556</v>
      </c>
    </row>
  </sheetData>
  <mergeCells count="2">
    <mergeCell ref="A2:P2"/>
    <mergeCell ref="A4:P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38"/>
    <col collapsed="false" customWidth="true" hidden="false" outlineLevel="0" max="6" min="6" style="1" width="72"/>
    <col collapsed="false" customWidth="true" hidden="false" outlineLevel="0" max="7" min="7" style="1" width="38"/>
    <col collapsed="false" customWidth="true" hidden="false" outlineLevel="0" max="8" min="8" style="1" width="58"/>
    <col collapsed="false" customWidth="true" hidden="false" outlineLevel="0" max="9" min="9" style="1" width="72"/>
    <col collapsed="false" customWidth="true" hidden="false" outlineLevel="0" max="10" min="10" style="1" width="58"/>
    <col collapsed="false" customWidth="true" hidden="false" outlineLevel="0" max="11" min="11" style="1" width="66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18"/>
    <col collapsed="false" customWidth="true" hidden="false" outlineLevel="0" max="15" min="15" style="1" width="15"/>
    <col collapsed="false" customWidth="true" hidden="false" outlineLevel="0" max="16" min="16" style="1" width="24"/>
  </cols>
  <sheetData>
    <row r="2" customFormat="false" ht="24" hidden="false" customHeight="true" outlineLevel="0" collapsed="false">
      <c r="A2" s="2" t="s">
        <v>614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24" t="s">
        <v>615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customFormat="false" ht="24" hidden="false" customHeight="true" outlineLevel="0" collapsed="false">
      <c r="A6" s="25" t="s">
        <v>537</v>
      </c>
      <c r="B6" s="26" t="s">
        <v>21</v>
      </c>
      <c r="C6" s="26" t="s">
        <v>22</v>
      </c>
      <c r="D6" s="26" t="s">
        <v>96</v>
      </c>
      <c r="E6" s="26" t="s">
        <v>97</v>
      </c>
      <c r="F6" s="26" t="s">
        <v>616</v>
      </c>
      <c r="G6" s="26" t="s">
        <v>617</v>
      </c>
      <c r="H6" s="26" t="s">
        <v>618</v>
      </c>
      <c r="I6" s="26" t="s">
        <v>619</v>
      </c>
      <c r="J6" s="26" t="s">
        <v>620</v>
      </c>
      <c r="K6" s="26" t="s">
        <v>621</v>
      </c>
      <c r="L6" s="26" t="s">
        <v>622</v>
      </c>
      <c r="M6" s="26" t="s">
        <v>3</v>
      </c>
      <c r="N6" s="26" t="s">
        <v>546</v>
      </c>
      <c r="O6" s="26" t="s">
        <v>547</v>
      </c>
      <c r="P6" s="27" t="s">
        <v>4</v>
      </c>
    </row>
    <row r="7" customFormat="false" ht="15" hidden="false" customHeight="false" outlineLevel="0" collapsed="false">
      <c r="A7" s="8" t="s">
        <v>284</v>
      </c>
      <c r="B7" s="8" t="s">
        <v>31</v>
      </c>
      <c r="C7" s="8" t="s">
        <v>32</v>
      </c>
      <c r="D7" s="8" t="s">
        <v>114</v>
      </c>
      <c r="E7" s="8" t="s">
        <v>115</v>
      </c>
      <c r="F7" s="8" t="s">
        <v>623</v>
      </c>
      <c r="G7" s="8" t="s">
        <v>624</v>
      </c>
      <c r="H7" s="8" t="s">
        <v>119</v>
      </c>
      <c r="I7" s="8" t="s">
        <v>625</v>
      </c>
      <c r="J7" s="8" t="s">
        <v>626</v>
      </c>
      <c r="K7" s="8" t="s">
        <v>627</v>
      </c>
      <c r="L7" s="8" t="n">
        <v>168</v>
      </c>
      <c r="M7" s="8" t="s">
        <v>149</v>
      </c>
      <c r="N7" s="8" t="s">
        <v>555</v>
      </c>
      <c r="O7" s="8" t="n">
        <v>0</v>
      </c>
      <c r="P7" s="8" t="s">
        <v>556</v>
      </c>
    </row>
    <row r="8" customFormat="false" ht="15" hidden="false" customHeight="false" outlineLevel="0" collapsed="false">
      <c r="A8" s="12" t="s">
        <v>290</v>
      </c>
      <c r="B8" s="12" t="s">
        <v>31</v>
      </c>
      <c r="C8" s="12" t="s">
        <v>32</v>
      </c>
      <c r="D8" s="12" t="s">
        <v>121</v>
      </c>
      <c r="E8" s="12" t="s">
        <v>122</v>
      </c>
      <c r="F8" s="12" t="s">
        <v>628</v>
      </c>
      <c r="G8" s="12" t="s">
        <v>624</v>
      </c>
      <c r="H8" s="12" t="s">
        <v>126</v>
      </c>
      <c r="I8" s="12" t="s">
        <v>625</v>
      </c>
      <c r="J8" s="12" t="s">
        <v>626</v>
      </c>
      <c r="K8" s="12" t="s">
        <v>627</v>
      </c>
      <c r="L8" s="12" t="n">
        <v>168</v>
      </c>
      <c r="M8" s="12" t="s">
        <v>149</v>
      </c>
      <c r="N8" s="12" t="s">
        <v>555</v>
      </c>
      <c r="O8" s="12" t="n">
        <v>0</v>
      </c>
      <c r="P8" s="12" t="s">
        <v>556</v>
      </c>
    </row>
    <row r="9" customFormat="false" ht="15" hidden="false" customHeight="false" outlineLevel="0" collapsed="false">
      <c r="A9" s="12" t="s">
        <v>296</v>
      </c>
      <c r="B9" s="12" t="s">
        <v>31</v>
      </c>
      <c r="C9" s="12" t="s">
        <v>32</v>
      </c>
      <c r="D9" s="12" t="s">
        <v>128</v>
      </c>
      <c r="E9" s="12" t="s">
        <v>129</v>
      </c>
      <c r="F9" s="12" t="s">
        <v>629</v>
      </c>
      <c r="G9" s="12" t="s">
        <v>624</v>
      </c>
      <c r="H9" s="12" t="s">
        <v>133</v>
      </c>
      <c r="I9" s="12" t="s">
        <v>625</v>
      </c>
      <c r="J9" s="12" t="s">
        <v>626</v>
      </c>
      <c r="K9" s="12" t="s">
        <v>627</v>
      </c>
      <c r="L9" s="12" t="n">
        <v>168</v>
      </c>
      <c r="M9" s="12" t="s">
        <v>149</v>
      </c>
      <c r="N9" s="12" t="s">
        <v>555</v>
      </c>
      <c r="O9" s="12" t="n">
        <v>0</v>
      </c>
      <c r="P9" s="12" t="s">
        <v>556</v>
      </c>
    </row>
    <row r="10" customFormat="false" ht="15" hidden="false" customHeight="false" outlineLevel="0" collapsed="false">
      <c r="A10" s="12" t="s">
        <v>302</v>
      </c>
      <c r="B10" s="12" t="s">
        <v>31</v>
      </c>
      <c r="C10" s="12" t="s">
        <v>32</v>
      </c>
      <c r="D10" s="12" t="s">
        <v>135</v>
      </c>
      <c r="E10" s="12" t="s">
        <v>136</v>
      </c>
      <c r="F10" s="12" t="s">
        <v>630</v>
      </c>
      <c r="G10" s="12" t="s">
        <v>624</v>
      </c>
      <c r="H10" s="12" t="s">
        <v>139</v>
      </c>
      <c r="I10" s="12" t="s">
        <v>625</v>
      </c>
      <c r="J10" s="12" t="s">
        <v>626</v>
      </c>
      <c r="K10" s="12" t="s">
        <v>627</v>
      </c>
      <c r="L10" s="12" t="n">
        <v>168</v>
      </c>
      <c r="M10" s="12" t="s">
        <v>149</v>
      </c>
      <c r="N10" s="12" t="s">
        <v>555</v>
      </c>
      <c r="O10" s="12" t="n">
        <v>0</v>
      </c>
      <c r="P10" s="12" t="s">
        <v>556</v>
      </c>
    </row>
    <row r="11" customFormat="false" ht="15" hidden="false" customHeight="false" outlineLevel="0" collapsed="false">
      <c r="A11" s="12" t="s">
        <v>308</v>
      </c>
      <c r="B11" s="12" t="s">
        <v>31</v>
      </c>
      <c r="C11" s="12" t="s">
        <v>32</v>
      </c>
      <c r="D11" s="12" t="s">
        <v>140</v>
      </c>
      <c r="E11" s="12" t="s">
        <v>141</v>
      </c>
      <c r="F11" s="12" t="s">
        <v>631</v>
      </c>
      <c r="G11" s="12" t="s">
        <v>624</v>
      </c>
      <c r="H11" s="12" t="s">
        <v>145</v>
      </c>
      <c r="I11" s="12" t="s">
        <v>625</v>
      </c>
      <c r="J11" s="12" t="s">
        <v>626</v>
      </c>
      <c r="K11" s="12" t="s">
        <v>627</v>
      </c>
      <c r="L11" s="12" t="n">
        <v>168</v>
      </c>
      <c r="M11" s="12" t="s">
        <v>149</v>
      </c>
      <c r="N11" s="12" t="s">
        <v>555</v>
      </c>
      <c r="O11" s="12" t="n">
        <v>0</v>
      </c>
      <c r="P11" s="12" t="s">
        <v>556</v>
      </c>
    </row>
    <row r="12" customFormat="false" ht="15" hidden="false" customHeight="false" outlineLevel="0" collapsed="false">
      <c r="A12" s="12" t="s">
        <v>316</v>
      </c>
      <c r="B12" s="12" t="s">
        <v>31</v>
      </c>
      <c r="C12" s="12" t="s">
        <v>32</v>
      </c>
      <c r="D12" s="12" t="s">
        <v>146</v>
      </c>
      <c r="E12" s="12" t="s">
        <v>147</v>
      </c>
      <c r="F12" s="12" t="s">
        <v>632</v>
      </c>
      <c r="G12" s="12" t="s">
        <v>624</v>
      </c>
      <c r="H12" s="12" t="s">
        <v>151</v>
      </c>
      <c r="I12" s="12" t="s">
        <v>625</v>
      </c>
      <c r="J12" s="12" t="s">
        <v>626</v>
      </c>
      <c r="K12" s="12" t="s">
        <v>627</v>
      </c>
      <c r="L12" s="12" t="n">
        <v>168</v>
      </c>
      <c r="M12" s="12" t="s">
        <v>149</v>
      </c>
      <c r="N12" s="12" t="s">
        <v>555</v>
      </c>
      <c r="O12" s="12" t="n">
        <v>0</v>
      </c>
      <c r="P12" s="12" t="s">
        <v>556</v>
      </c>
    </row>
    <row r="13" customFormat="false" ht="15" hidden="false" customHeight="false" outlineLevel="0" collapsed="false">
      <c r="A13" s="12" t="s">
        <v>322</v>
      </c>
      <c r="B13" s="12" t="s">
        <v>35</v>
      </c>
      <c r="C13" s="12" t="s">
        <v>36</v>
      </c>
      <c r="D13" s="12" t="s">
        <v>114</v>
      </c>
      <c r="E13" s="12" t="s">
        <v>115</v>
      </c>
      <c r="F13" s="12" t="s">
        <v>633</v>
      </c>
      <c r="G13" s="12" t="s">
        <v>624</v>
      </c>
      <c r="H13" s="12" t="s">
        <v>155</v>
      </c>
      <c r="I13" s="12" t="s">
        <v>625</v>
      </c>
      <c r="J13" s="12" t="s">
        <v>626</v>
      </c>
      <c r="K13" s="12" t="s">
        <v>627</v>
      </c>
      <c r="L13" s="12" t="n">
        <v>168</v>
      </c>
      <c r="M13" s="12" t="s">
        <v>149</v>
      </c>
      <c r="N13" s="12" t="s">
        <v>555</v>
      </c>
      <c r="O13" s="12" t="n">
        <v>0</v>
      </c>
      <c r="P13" s="12" t="s">
        <v>556</v>
      </c>
    </row>
    <row r="14" customFormat="false" ht="15" hidden="false" customHeight="false" outlineLevel="0" collapsed="false">
      <c r="A14" s="12" t="s">
        <v>328</v>
      </c>
      <c r="B14" s="12" t="s">
        <v>35</v>
      </c>
      <c r="C14" s="12" t="s">
        <v>36</v>
      </c>
      <c r="D14" s="12" t="s">
        <v>121</v>
      </c>
      <c r="E14" s="12" t="s">
        <v>122</v>
      </c>
      <c r="F14" s="12" t="s">
        <v>634</v>
      </c>
      <c r="G14" s="12" t="s">
        <v>624</v>
      </c>
      <c r="H14" s="12" t="s">
        <v>158</v>
      </c>
      <c r="I14" s="12" t="s">
        <v>625</v>
      </c>
      <c r="J14" s="12" t="s">
        <v>626</v>
      </c>
      <c r="K14" s="12" t="s">
        <v>627</v>
      </c>
      <c r="L14" s="12" t="n">
        <v>168</v>
      </c>
      <c r="M14" s="12" t="s">
        <v>149</v>
      </c>
      <c r="N14" s="12" t="s">
        <v>555</v>
      </c>
      <c r="O14" s="12" t="n">
        <v>0</v>
      </c>
      <c r="P14" s="12" t="s">
        <v>556</v>
      </c>
    </row>
    <row r="15" customFormat="false" ht="15" hidden="false" customHeight="false" outlineLevel="0" collapsed="false">
      <c r="A15" s="12" t="s">
        <v>334</v>
      </c>
      <c r="B15" s="12" t="s">
        <v>35</v>
      </c>
      <c r="C15" s="12" t="s">
        <v>36</v>
      </c>
      <c r="D15" s="12" t="s">
        <v>128</v>
      </c>
      <c r="E15" s="12" t="s">
        <v>129</v>
      </c>
      <c r="F15" s="12" t="s">
        <v>635</v>
      </c>
      <c r="G15" s="12" t="s">
        <v>624</v>
      </c>
      <c r="H15" s="12" t="s">
        <v>162</v>
      </c>
      <c r="I15" s="12" t="s">
        <v>625</v>
      </c>
      <c r="J15" s="12" t="s">
        <v>626</v>
      </c>
      <c r="K15" s="12" t="s">
        <v>627</v>
      </c>
      <c r="L15" s="12" t="n">
        <v>168</v>
      </c>
      <c r="M15" s="12" t="s">
        <v>149</v>
      </c>
      <c r="N15" s="12" t="s">
        <v>555</v>
      </c>
      <c r="O15" s="12" t="n">
        <v>0</v>
      </c>
      <c r="P15" s="12" t="s">
        <v>556</v>
      </c>
    </row>
    <row r="16" customFormat="false" ht="15" hidden="false" customHeight="false" outlineLevel="0" collapsed="false">
      <c r="A16" s="12" t="s">
        <v>340</v>
      </c>
      <c r="B16" s="12" t="s">
        <v>35</v>
      </c>
      <c r="C16" s="12" t="s">
        <v>36</v>
      </c>
      <c r="D16" s="12" t="s">
        <v>135</v>
      </c>
      <c r="E16" s="12" t="s">
        <v>136</v>
      </c>
      <c r="F16" s="12" t="s">
        <v>636</v>
      </c>
      <c r="G16" s="12" t="s">
        <v>624</v>
      </c>
      <c r="H16" s="12" t="s">
        <v>165</v>
      </c>
      <c r="I16" s="12" t="s">
        <v>625</v>
      </c>
      <c r="J16" s="12" t="s">
        <v>626</v>
      </c>
      <c r="K16" s="12" t="s">
        <v>627</v>
      </c>
      <c r="L16" s="12" t="n">
        <v>168</v>
      </c>
      <c r="M16" s="12" t="s">
        <v>149</v>
      </c>
      <c r="N16" s="12" t="s">
        <v>555</v>
      </c>
      <c r="O16" s="12" t="n">
        <v>0</v>
      </c>
      <c r="P16" s="12" t="s">
        <v>556</v>
      </c>
    </row>
    <row r="17" customFormat="false" ht="15" hidden="false" customHeight="false" outlineLevel="0" collapsed="false">
      <c r="A17" s="12" t="s">
        <v>346</v>
      </c>
      <c r="B17" s="12" t="s">
        <v>35</v>
      </c>
      <c r="C17" s="12" t="s">
        <v>36</v>
      </c>
      <c r="D17" s="12" t="s">
        <v>140</v>
      </c>
      <c r="E17" s="12" t="s">
        <v>141</v>
      </c>
      <c r="F17" s="12" t="s">
        <v>637</v>
      </c>
      <c r="G17" s="12" t="s">
        <v>624</v>
      </c>
      <c r="H17" s="12" t="s">
        <v>168</v>
      </c>
      <c r="I17" s="12" t="s">
        <v>625</v>
      </c>
      <c r="J17" s="12" t="s">
        <v>626</v>
      </c>
      <c r="K17" s="12" t="s">
        <v>627</v>
      </c>
      <c r="L17" s="12" t="n">
        <v>168</v>
      </c>
      <c r="M17" s="12" t="s">
        <v>149</v>
      </c>
      <c r="N17" s="12" t="s">
        <v>555</v>
      </c>
      <c r="O17" s="12" t="n">
        <v>0</v>
      </c>
      <c r="P17" s="12" t="s">
        <v>556</v>
      </c>
    </row>
    <row r="18" customFormat="false" ht="15" hidden="false" customHeight="false" outlineLevel="0" collapsed="false">
      <c r="A18" s="12" t="s">
        <v>354</v>
      </c>
      <c r="B18" s="12" t="s">
        <v>35</v>
      </c>
      <c r="C18" s="12" t="s">
        <v>36</v>
      </c>
      <c r="D18" s="12" t="s">
        <v>146</v>
      </c>
      <c r="E18" s="12" t="s">
        <v>147</v>
      </c>
      <c r="F18" s="12" t="s">
        <v>638</v>
      </c>
      <c r="G18" s="12" t="s">
        <v>624</v>
      </c>
      <c r="H18" s="12" t="s">
        <v>171</v>
      </c>
      <c r="I18" s="12" t="s">
        <v>625</v>
      </c>
      <c r="J18" s="12" t="s">
        <v>626</v>
      </c>
      <c r="K18" s="12" t="s">
        <v>627</v>
      </c>
      <c r="L18" s="12" t="n">
        <v>168</v>
      </c>
      <c r="M18" s="12" t="s">
        <v>149</v>
      </c>
      <c r="N18" s="12" t="s">
        <v>555</v>
      </c>
      <c r="O18" s="12" t="n">
        <v>0</v>
      </c>
      <c r="P18" s="12" t="s">
        <v>556</v>
      </c>
    </row>
    <row r="19" customFormat="false" ht="15" hidden="false" customHeight="false" outlineLevel="0" collapsed="false">
      <c r="A19" s="12" t="s">
        <v>360</v>
      </c>
      <c r="B19" s="12" t="s">
        <v>39</v>
      </c>
      <c r="C19" s="12" t="s">
        <v>40</v>
      </c>
      <c r="D19" s="12" t="s">
        <v>114</v>
      </c>
      <c r="E19" s="12" t="s">
        <v>115</v>
      </c>
      <c r="F19" s="12" t="s">
        <v>639</v>
      </c>
      <c r="G19" s="12" t="s">
        <v>624</v>
      </c>
      <c r="H19" s="12" t="s">
        <v>174</v>
      </c>
      <c r="I19" s="12" t="s">
        <v>625</v>
      </c>
      <c r="J19" s="12" t="s">
        <v>626</v>
      </c>
      <c r="K19" s="12" t="s">
        <v>627</v>
      </c>
      <c r="L19" s="12" t="n">
        <v>168</v>
      </c>
      <c r="M19" s="12" t="s">
        <v>149</v>
      </c>
      <c r="N19" s="12" t="s">
        <v>555</v>
      </c>
      <c r="O19" s="12" t="n">
        <v>0</v>
      </c>
      <c r="P19" s="12" t="s">
        <v>556</v>
      </c>
    </row>
    <row r="20" customFormat="false" ht="15" hidden="false" customHeight="false" outlineLevel="0" collapsed="false">
      <c r="A20" s="12" t="s">
        <v>366</v>
      </c>
      <c r="B20" s="12" t="s">
        <v>39</v>
      </c>
      <c r="C20" s="12" t="s">
        <v>40</v>
      </c>
      <c r="D20" s="12" t="s">
        <v>121</v>
      </c>
      <c r="E20" s="12" t="s">
        <v>122</v>
      </c>
      <c r="F20" s="12" t="s">
        <v>640</v>
      </c>
      <c r="G20" s="12" t="s">
        <v>624</v>
      </c>
      <c r="H20" s="12" t="s">
        <v>177</v>
      </c>
      <c r="I20" s="12" t="s">
        <v>625</v>
      </c>
      <c r="J20" s="12" t="s">
        <v>626</v>
      </c>
      <c r="K20" s="12" t="s">
        <v>627</v>
      </c>
      <c r="L20" s="12" t="n">
        <v>168</v>
      </c>
      <c r="M20" s="12" t="s">
        <v>149</v>
      </c>
      <c r="N20" s="12" t="s">
        <v>555</v>
      </c>
      <c r="O20" s="12" t="n">
        <v>0</v>
      </c>
      <c r="P20" s="12" t="s">
        <v>556</v>
      </c>
    </row>
    <row r="21" customFormat="false" ht="15" hidden="false" customHeight="false" outlineLevel="0" collapsed="false">
      <c r="A21" s="12" t="s">
        <v>372</v>
      </c>
      <c r="B21" s="12" t="s">
        <v>39</v>
      </c>
      <c r="C21" s="12" t="s">
        <v>40</v>
      </c>
      <c r="D21" s="12" t="s">
        <v>128</v>
      </c>
      <c r="E21" s="12" t="s">
        <v>129</v>
      </c>
      <c r="F21" s="12" t="s">
        <v>641</v>
      </c>
      <c r="G21" s="12" t="s">
        <v>624</v>
      </c>
      <c r="H21" s="12" t="s">
        <v>182</v>
      </c>
      <c r="I21" s="12" t="s">
        <v>625</v>
      </c>
      <c r="J21" s="12" t="s">
        <v>626</v>
      </c>
      <c r="K21" s="12" t="s">
        <v>627</v>
      </c>
      <c r="L21" s="12" t="n">
        <v>168</v>
      </c>
      <c r="M21" s="12" t="s">
        <v>149</v>
      </c>
      <c r="N21" s="12" t="s">
        <v>555</v>
      </c>
      <c r="O21" s="12" t="n">
        <v>0</v>
      </c>
      <c r="P21" s="12" t="s">
        <v>556</v>
      </c>
    </row>
    <row r="22" customFormat="false" ht="15" hidden="false" customHeight="false" outlineLevel="0" collapsed="false">
      <c r="A22" s="12" t="s">
        <v>378</v>
      </c>
      <c r="B22" s="12" t="s">
        <v>39</v>
      </c>
      <c r="C22" s="12" t="s">
        <v>40</v>
      </c>
      <c r="D22" s="12" t="s">
        <v>135</v>
      </c>
      <c r="E22" s="12" t="s">
        <v>136</v>
      </c>
      <c r="F22" s="12" t="s">
        <v>642</v>
      </c>
      <c r="G22" s="12" t="s">
        <v>624</v>
      </c>
      <c r="H22" s="12" t="s">
        <v>186</v>
      </c>
      <c r="I22" s="12" t="s">
        <v>625</v>
      </c>
      <c r="J22" s="12" t="s">
        <v>626</v>
      </c>
      <c r="K22" s="12" t="s">
        <v>627</v>
      </c>
      <c r="L22" s="12" t="n">
        <v>168</v>
      </c>
      <c r="M22" s="12" t="s">
        <v>149</v>
      </c>
      <c r="N22" s="12" t="s">
        <v>555</v>
      </c>
      <c r="O22" s="12" t="n">
        <v>0</v>
      </c>
      <c r="P22" s="12" t="s">
        <v>556</v>
      </c>
    </row>
    <row r="23" customFormat="false" ht="15" hidden="false" customHeight="false" outlineLevel="0" collapsed="false">
      <c r="A23" s="12" t="s">
        <v>384</v>
      </c>
      <c r="B23" s="12" t="s">
        <v>39</v>
      </c>
      <c r="C23" s="12" t="s">
        <v>40</v>
      </c>
      <c r="D23" s="12" t="s">
        <v>140</v>
      </c>
      <c r="E23" s="12" t="s">
        <v>141</v>
      </c>
      <c r="F23" s="12" t="s">
        <v>643</v>
      </c>
      <c r="G23" s="12" t="s">
        <v>624</v>
      </c>
      <c r="H23" s="12" t="s">
        <v>189</v>
      </c>
      <c r="I23" s="12" t="s">
        <v>625</v>
      </c>
      <c r="J23" s="12" t="s">
        <v>626</v>
      </c>
      <c r="K23" s="12" t="s">
        <v>627</v>
      </c>
      <c r="L23" s="12" t="n">
        <v>168</v>
      </c>
      <c r="M23" s="12" t="s">
        <v>149</v>
      </c>
      <c r="N23" s="12" t="s">
        <v>555</v>
      </c>
      <c r="O23" s="12" t="n">
        <v>0</v>
      </c>
      <c r="P23" s="12" t="s">
        <v>556</v>
      </c>
    </row>
    <row r="24" customFormat="false" ht="15" hidden="false" customHeight="false" outlineLevel="0" collapsed="false">
      <c r="A24" s="12" t="s">
        <v>392</v>
      </c>
      <c r="B24" s="12" t="s">
        <v>39</v>
      </c>
      <c r="C24" s="12" t="s">
        <v>40</v>
      </c>
      <c r="D24" s="12" t="s">
        <v>146</v>
      </c>
      <c r="E24" s="12" t="s">
        <v>147</v>
      </c>
      <c r="F24" s="12" t="s">
        <v>644</v>
      </c>
      <c r="G24" s="12" t="s">
        <v>624</v>
      </c>
      <c r="H24" s="12" t="s">
        <v>192</v>
      </c>
      <c r="I24" s="12" t="s">
        <v>625</v>
      </c>
      <c r="J24" s="12" t="s">
        <v>626</v>
      </c>
      <c r="K24" s="12" t="s">
        <v>627</v>
      </c>
      <c r="L24" s="12" t="n">
        <v>168</v>
      </c>
      <c r="M24" s="12" t="s">
        <v>149</v>
      </c>
      <c r="N24" s="12" t="s">
        <v>555</v>
      </c>
      <c r="O24" s="12" t="n">
        <v>0</v>
      </c>
      <c r="P24" s="12" t="s">
        <v>556</v>
      </c>
    </row>
    <row r="25" customFormat="false" ht="15" hidden="false" customHeight="false" outlineLevel="0" collapsed="false">
      <c r="A25" s="12" t="s">
        <v>399</v>
      </c>
      <c r="B25" s="12" t="s">
        <v>43</v>
      </c>
      <c r="C25" s="12" t="s">
        <v>44</v>
      </c>
      <c r="D25" s="12" t="s">
        <v>114</v>
      </c>
      <c r="E25" s="12" t="s">
        <v>115</v>
      </c>
      <c r="F25" s="12" t="s">
        <v>645</v>
      </c>
      <c r="G25" s="12" t="s">
        <v>624</v>
      </c>
      <c r="H25" s="12" t="s">
        <v>196</v>
      </c>
      <c r="I25" s="12" t="s">
        <v>625</v>
      </c>
      <c r="J25" s="12" t="s">
        <v>626</v>
      </c>
      <c r="K25" s="12" t="s">
        <v>627</v>
      </c>
      <c r="L25" s="12" t="n">
        <v>168</v>
      </c>
      <c r="M25" s="12" t="s">
        <v>149</v>
      </c>
      <c r="N25" s="12" t="s">
        <v>555</v>
      </c>
      <c r="O25" s="12" t="n">
        <v>0</v>
      </c>
      <c r="P25" s="12" t="s">
        <v>556</v>
      </c>
    </row>
    <row r="26" customFormat="false" ht="15" hidden="false" customHeight="false" outlineLevel="0" collapsed="false">
      <c r="A26" s="12" t="s">
        <v>405</v>
      </c>
      <c r="B26" s="12" t="s">
        <v>43</v>
      </c>
      <c r="C26" s="12" t="s">
        <v>44</v>
      </c>
      <c r="D26" s="12" t="s">
        <v>121</v>
      </c>
      <c r="E26" s="12" t="s">
        <v>122</v>
      </c>
      <c r="F26" s="12" t="s">
        <v>646</v>
      </c>
      <c r="G26" s="12" t="s">
        <v>624</v>
      </c>
      <c r="H26" s="12" t="s">
        <v>200</v>
      </c>
      <c r="I26" s="12" t="s">
        <v>625</v>
      </c>
      <c r="J26" s="12" t="s">
        <v>626</v>
      </c>
      <c r="K26" s="12" t="s">
        <v>627</v>
      </c>
      <c r="L26" s="12" t="n">
        <v>168</v>
      </c>
      <c r="M26" s="12" t="s">
        <v>149</v>
      </c>
      <c r="N26" s="12" t="s">
        <v>555</v>
      </c>
      <c r="O26" s="12" t="n">
        <v>0</v>
      </c>
      <c r="P26" s="12" t="s">
        <v>556</v>
      </c>
    </row>
    <row r="27" customFormat="false" ht="15" hidden="false" customHeight="false" outlineLevel="0" collapsed="false">
      <c r="A27" s="12" t="s">
        <v>411</v>
      </c>
      <c r="B27" s="12" t="s">
        <v>43</v>
      </c>
      <c r="C27" s="12" t="s">
        <v>44</v>
      </c>
      <c r="D27" s="12" t="s">
        <v>128</v>
      </c>
      <c r="E27" s="12" t="s">
        <v>129</v>
      </c>
      <c r="F27" s="12" t="s">
        <v>647</v>
      </c>
      <c r="G27" s="12" t="s">
        <v>624</v>
      </c>
      <c r="H27" s="12" t="s">
        <v>205</v>
      </c>
      <c r="I27" s="12" t="s">
        <v>625</v>
      </c>
      <c r="J27" s="12" t="s">
        <v>626</v>
      </c>
      <c r="K27" s="12" t="s">
        <v>627</v>
      </c>
      <c r="L27" s="12" t="n">
        <v>168</v>
      </c>
      <c r="M27" s="12" t="s">
        <v>149</v>
      </c>
      <c r="N27" s="12" t="s">
        <v>555</v>
      </c>
      <c r="O27" s="12" t="n">
        <v>0</v>
      </c>
      <c r="P27" s="12" t="s">
        <v>556</v>
      </c>
    </row>
    <row r="28" customFormat="false" ht="15" hidden="false" customHeight="false" outlineLevel="0" collapsed="false">
      <c r="A28" s="12" t="s">
        <v>417</v>
      </c>
      <c r="B28" s="12" t="s">
        <v>43</v>
      </c>
      <c r="C28" s="12" t="s">
        <v>44</v>
      </c>
      <c r="D28" s="12" t="s">
        <v>135</v>
      </c>
      <c r="E28" s="12" t="s">
        <v>136</v>
      </c>
      <c r="F28" s="12" t="s">
        <v>648</v>
      </c>
      <c r="G28" s="12" t="s">
        <v>624</v>
      </c>
      <c r="H28" s="12" t="s">
        <v>210</v>
      </c>
      <c r="I28" s="12" t="s">
        <v>625</v>
      </c>
      <c r="J28" s="12" t="s">
        <v>626</v>
      </c>
      <c r="K28" s="12" t="s">
        <v>627</v>
      </c>
      <c r="L28" s="12" t="n">
        <v>168</v>
      </c>
      <c r="M28" s="12" t="s">
        <v>149</v>
      </c>
      <c r="N28" s="12" t="s">
        <v>555</v>
      </c>
      <c r="O28" s="12" t="n">
        <v>0</v>
      </c>
      <c r="P28" s="12" t="s">
        <v>556</v>
      </c>
    </row>
    <row r="29" customFormat="false" ht="15" hidden="false" customHeight="false" outlineLevel="0" collapsed="false">
      <c r="A29" s="12" t="s">
        <v>423</v>
      </c>
      <c r="B29" s="12" t="s">
        <v>43</v>
      </c>
      <c r="C29" s="12" t="s">
        <v>44</v>
      </c>
      <c r="D29" s="12" t="s">
        <v>140</v>
      </c>
      <c r="E29" s="12" t="s">
        <v>141</v>
      </c>
      <c r="F29" s="12" t="s">
        <v>649</v>
      </c>
      <c r="G29" s="12" t="s">
        <v>624</v>
      </c>
      <c r="H29" s="12" t="s">
        <v>215</v>
      </c>
      <c r="I29" s="12" t="s">
        <v>625</v>
      </c>
      <c r="J29" s="12" t="s">
        <v>626</v>
      </c>
      <c r="K29" s="12" t="s">
        <v>627</v>
      </c>
      <c r="L29" s="12" t="n">
        <v>168</v>
      </c>
      <c r="M29" s="12" t="s">
        <v>149</v>
      </c>
      <c r="N29" s="12" t="s">
        <v>555</v>
      </c>
      <c r="O29" s="12" t="n">
        <v>0</v>
      </c>
      <c r="P29" s="12" t="s">
        <v>556</v>
      </c>
    </row>
    <row r="30" customFormat="false" ht="15" hidden="false" customHeight="false" outlineLevel="0" collapsed="false">
      <c r="A30" s="12" t="s">
        <v>431</v>
      </c>
      <c r="B30" s="12" t="s">
        <v>43</v>
      </c>
      <c r="C30" s="12" t="s">
        <v>44</v>
      </c>
      <c r="D30" s="12" t="s">
        <v>146</v>
      </c>
      <c r="E30" s="12" t="s">
        <v>147</v>
      </c>
      <c r="F30" s="12" t="s">
        <v>650</v>
      </c>
      <c r="G30" s="12" t="s">
        <v>624</v>
      </c>
      <c r="H30" s="12" t="s">
        <v>219</v>
      </c>
      <c r="I30" s="12" t="s">
        <v>625</v>
      </c>
      <c r="J30" s="12" t="s">
        <v>626</v>
      </c>
      <c r="K30" s="12" t="s">
        <v>627</v>
      </c>
      <c r="L30" s="12" t="n">
        <v>168</v>
      </c>
      <c r="M30" s="12" t="s">
        <v>149</v>
      </c>
      <c r="N30" s="12" t="s">
        <v>555</v>
      </c>
      <c r="O30" s="12" t="n">
        <v>0</v>
      </c>
      <c r="P30" s="12" t="s">
        <v>556</v>
      </c>
    </row>
    <row r="31" customFormat="false" ht="15" hidden="false" customHeight="false" outlineLevel="0" collapsed="false">
      <c r="A31" s="12" t="s">
        <v>437</v>
      </c>
      <c r="B31" s="12" t="s">
        <v>47</v>
      </c>
      <c r="C31" s="12" t="s">
        <v>48</v>
      </c>
      <c r="D31" s="12" t="s">
        <v>114</v>
      </c>
      <c r="E31" s="12" t="s">
        <v>115</v>
      </c>
      <c r="F31" s="12" t="s">
        <v>651</v>
      </c>
      <c r="G31" s="12" t="s">
        <v>624</v>
      </c>
      <c r="H31" s="12" t="s">
        <v>222</v>
      </c>
      <c r="I31" s="12" t="s">
        <v>625</v>
      </c>
      <c r="J31" s="12" t="s">
        <v>626</v>
      </c>
      <c r="K31" s="12" t="s">
        <v>627</v>
      </c>
      <c r="L31" s="12" t="n">
        <v>168</v>
      </c>
      <c r="M31" s="12" t="s">
        <v>149</v>
      </c>
      <c r="N31" s="12" t="s">
        <v>555</v>
      </c>
      <c r="O31" s="12" t="n">
        <v>0</v>
      </c>
      <c r="P31" s="12" t="s">
        <v>556</v>
      </c>
    </row>
    <row r="32" customFormat="false" ht="15" hidden="false" customHeight="false" outlineLevel="0" collapsed="false">
      <c r="A32" s="12" t="s">
        <v>443</v>
      </c>
      <c r="B32" s="12" t="s">
        <v>47</v>
      </c>
      <c r="C32" s="12" t="s">
        <v>48</v>
      </c>
      <c r="D32" s="12" t="s">
        <v>121</v>
      </c>
      <c r="E32" s="12" t="s">
        <v>122</v>
      </c>
      <c r="F32" s="12" t="s">
        <v>652</v>
      </c>
      <c r="G32" s="12" t="s">
        <v>624</v>
      </c>
      <c r="H32" s="12" t="s">
        <v>226</v>
      </c>
      <c r="I32" s="12" t="s">
        <v>625</v>
      </c>
      <c r="J32" s="12" t="s">
        <v>626</v>
      </c>
      <c r="K32" s="12" t="s">
        <v>627</v>
      </c>
      <c r="L32" s="12" t="n">
        <v>168</v>
      </c>
      <c r="M32" s="12" t="s">
        <v>149</v>
      </c>
      <c r="N32" s="12" t="s">
        <v>555</v>
      </c>
      <c r="O32" s="12" t="n">
        <v>0</v>
      </c>
      <c r="P32" s="12" t="s">
        <v>556</v>
      </c>
    </row>
    <row r="33" customFormat="false" ht="15" hidden="false" customHeight="false" outlineLevel="0" collapsed="false">
      <c r="A33" s="12" t="s">
        <v>449</v>
      </c>
      <c r="B33" s="12" t="s">
        <v>47</v>
      </c>
      <c r="C33" s="12" t="s">
        <v>48</v>
      </c>
      <c r="D33" s="12" t="s">
        <v>128</v>
      </c>
      <c r="E33" s="12" t="s">
        <v>129</v>
      </c>
      <c r="F33" s="12" t="s">
        <v>653</v>
      </c>
      <c r="G33" s="12" t="s">
        <v>624</v>
      </c>
      <c r="H33" s="12" t="s">
        <v>229</v>
      </c>
      <c r="I33" s="12" t="s">
        <v>625</v>
      </c>
      <c r="J33" s="12" t="s">
        <v>626</v>
      </c>
      <c r="K33" s="12" t="s">
        <v>627</v>
      </c>
      <c r="L33" s="12" t="n">
        <v>168</v>
      </c>
      <c r="M33" s="12" t="s">
        <v>149</v>
      </c>
      <c r="N33" s="12" t="s">
        <v>555</v>
      </c>
      <c r="O33" s="12" t="n">
        <v>0</v>
      </c>
      <c r="P33" s="12" t="s">
        <v>556</v>
      </c>
    </row>
    <row r="34" customFormat="false" ht="15" hidden="false" customHeight="false" outlineLevel="0" collapsed="false">
      <c r="A34" s="12" t="s">
        <v>455</v>
      </c>
      <c r="B34" s="12" t="s">
        <v>47</v>
      </c>
      <c r="C34" s="12" t="s">
        <v>48</v>
      </c>
      <c r="D34" s="12" t="s">
        <v>135</v>
      </c>
      <c r="E34" s="12" t="s">
        <v>136</v>
      </c>
      <c r="F34" s="12" t="s">
        <v>654</v>
      </c>
      <c r="G34" s="12" t="s">
        <v>624</v>
      </c>
      <c r="H34" s="12" t="s">
        <v>232</v>
      </c>
      <c r="I34" s="12" t="s">
        <v>625</v>
      </c>
      <c r="J34" s="12" t="s">
        <v>626</v>
      </c>
      <c r="K34" s="12" t="s">
        <v>627</v>
      </c>
      <c r="L34" s="12" t="n">
        <v>168</v>
      </c>
      <c r="M34" s="12" t="s">
        <v>149</v>
      </c>
      <c r="N34" s="12" t="s">
        <v>555</v>
      </c>
      <c r="O34" s="12" t="n">
        <v>0</v>
      </c>
      <c r="P34" s="12" t="s">
        <v>556</v>
      </c>
    </row>
    <row r="35" customFormat="false" ht="15" hidden="false" customHeight="false" outlineLevel="0" collapsed="false">
      <c r="A35" s="12" t="s">
        <v>461</v>
      </c>
      <c r="B35" s="12" t="s">
        <v>47</v>
      </c>
      <c r="C35" s="12" t="s">
        <v>48</v>
      </c>
      <c r="D35" s="12" t="s">
        <v>140</v>
      </c>
      <c r="E35" s="12" t="s">
        <v>141</v>
      </c>
      <c r="F35" s="12" t="s">
        <v>655</v>
      </c>
      <c r="G35" s="12" t="s">
        <v>624</v>
      </c>
      <c r="H35" s="12" t="s">
        <v>235</v>
      </c>
      <c r="I35" s="12" t="s">
        <v>625</v>
      </c>
      <c r="J35" s="12" t="s">
        <v>626</v>
      </c>
      <c r="K35" s="12" t="s">
        <v>627</v>
      </c>
      <c r="L35" s="12" t="n">
        <v>168</v>
      </c>
      <c r="M35" s="12" t="s">
        <v>149</v>
      </c>
      <c r="N35" s="12" t="s">
        <v>555</v>
      </c>
      <c r="O35" s="12" t="n">
        <v>0</v>
      </c>
      <c r="P35" s="12" t="s">
        <v>556</v>
      </c>
    </row>
    <row r="36" customFormat="false" ht="15" hidden="false" customHeight="false" outlineLevel="0" collapsed="false">
      <c r="A36" s="12" t="s">
        <v>469</v>
      </c>
      <c r="B36" s="12" t="s">
        <v>47</v>
      </c>
      <c r="C36" s="12" t="s">
        <v>48</v>
      </c>
      <c r="D36" s="12" t="s">
        <v>146</v>
      </c>
      <c r="E36" s="12" t="s">
        <v>147</v>
      </c>
      <c r="F36" s="12" t="s">
        <v>656</v>
      </c>
      <c r="G36" s="12" t="s">
        <v>624</v>
      </c>
      <c r="H36" s="12" t="s">
        <v>238</v>
      </c>
      <c r="I36" s="12" t="s">
        <v>625</v>
      </c>
      <c r="J36" s="12" t="s">
        <v>626</v>
      </c>
      <c r="K36" s="12" t="s">
        <v>627</v>
      </c>
      <c r="L36" s="12" t="n">
        <v>168</v>
      </c>
      <c r="M36" s="12" t="s">
        <v>149</v>
      </c>
      <c r="N36" s="12" t="s">
        <v>555</v>
      </c>
      <c r="O36" s="12" t="n">
        <v>0</v>
      </c>
      <c r="P36" s="12" t="s">
        <v>556</v>
      </c>
    </row>
    <row r="37" customFormat="false" ht="15" hidden="false" customHeight="false" outlineLevel="0" collapsed="false">
      <c r="A37" s="12" t="s">
        <v>475</v>
      </c>
      <c r="B37" s="12" t="s">
        <v>51</v>
      </c>
      <c r="C37" s="12" t="s">
        <v>52</v>
      </c>
      <c r="D37" s="12" t="s">
        <v>114</v>
      </c>
      <c r="E37" s="12" t="s">
        <v>115</v>
      </c>
      <c r="F37" s="12" t="s">
        <v>657</v>
      </c>
      <c r="G37" s="12" t="s">
        <v>624</v>
      </c>
      <c r="H37" s="12" t="s">
        <v>241</v>
      </c>
      <c r="I37" s="12" t="s">
        <v>625</v>
      </c>
      <c r="J37" s="12" t="s">
        <v>626</v>
      </c>
      <c r="K37" s="12" t="s">
        <v>627</v>
      </c>
      <c r="L37" s="12" t="n">
        <v>168</v>
      </c>
      <c r="M37" s="12" t="s">
        <v>149</v>
      </c>
      <c r="N37" s="12" t="s">
        <v>555</v>
      </c>
      <c r="O37" s="12" t="n">
        <v>0</v>
      </c>
      <c r="P37" s="12" t="s">
        <v>556</v>
      </c>
    </row>
    <row r="38" customFormat="false" ht="15" hidden="false" customHeight="false" outlineLevel="0" collapsed="false">
      <c r="A38" s="12" t="s">
        <v>481</v>
      </c>
      <c r="B38" s="12" t="s">
        <v>51</v>
      </c>
      <c r="C38" s="12" t="s">
        <v>52</v>
      </c>
      <c r="D38" s="12" t="s">
        <v>121</v>
      </c>
      <c r="E38" s="12" t="s">
        <v>122</v>
      </c>
      <c r="F38" s="12" t="s">
        <v>658</v>
      </c>
      <c r="G38" s="12" t="s">
        <v>624</v>
      </c>
      <c r="H38" s="12" t="s">
        <v>244</v>
      </c>
      <c r="I38" s="12" t="s">
        <v>625</v>
      </c>
      <c r="J38" s="12" t="s">
        <v>626</v>
      </c>
      <c r="K38" s="12" t="s">
        <v>627</v>
      </c>
      <c r="L38" s="12" t="n">
        <v>168</v>
      </c>
      <c r="M38" s="12" t="s">
        <v>149</v>
      </c>
      <c r="N38" s="12" t="s">
        <v>555</v>
      </c>
      <c r="O38" s="12" t="n">
        <v>0</v>
      </c>
      <c r="P38" s="12" t="s">
        <v>556</v>
      </c>
    </row>
    <row r="39" customFormat="false" ht="15" hidden="false" customHeight="false" outlineLevel="0" collapsed="false">
      <c r="A39" s="12" t="s">
        <v>487</v>
      </c>
      <c r="B39" s="12" t="s">
        <v>51</v>
      </c>
      <c r="C39" s="12" t="s">
        <v>52</v>
      </c>
      <c r="D39" s="12" t="s">
        <v>128</v>
      </c>
      <c r="E39" s="12" t="s">
        <v>129</v>
      </c>
      <c r="F39" s="12" t="s">
        <v>659</v>
      </c>
      <c r="G39" s="12" t="s">
        <v>624</v>
      </c>
      <c r="H39" s="12" t="s">
        <v>248</v>
      </c>
      <c r="I39" s="12" t="s">
        <v>625</v>
      </c>
      <c r="J39" s="12" t="s">
        <v>626</v>
      </c>
      <c r="K39" s="12" t="s">
        <v>627</v>
      </c>
      <c r="L39" s="12" t="n">
        <v>168</v>
      </c>
      <c r="M39" s="12" t="s">
        <v>149</v>
      </c>
      <c r="N39" s="12" t="s">
        <v>555</v>
      </c>
      <c r="O39" s="12" t="n">
        <v>0</v>
      </c>
      <c r="P39" s="12" t="s">
        <v>556</v>
      </c>
    </row>
    <row r="40" customFormat="false" ht="15" hidden="false" customHeight="false" outlineLevel="0" collapsed="false">
      <c r="A40" s="12" t="s">
        <v>493</v>
      </c>
      <c r="B40" s="12" t="s">
        <v>51</v>
      </c>
      <c r="C40" s="12" t="s">
        <v>52</v>
      </c>
      <c r="D40" s="12" t="s">
        <v>135</v>
      </c>
      <c r="E40" s="12" t="s">
        <v>136</v>
      </c>
      <c r="F40" s="12" t="s">
        <v>660</v>
      </c>
      <c r="G40" s="12" t="s">
        <v>624</v>
      </c>
      <c r="H40" s="12" t="s">
        <v>251</v>
      </c>
      <c r="I40" s="12" t="s">
        <v>625</v>
      </c>
      <c r="J40" s="12" t="s">
        <v>626</v>
      </c>
      <c r="K40" s="12" t="s">
        <v>627</v>
      </c>
      <c r="L40" s="12" t="n">
        <v>168</v>
      </c>
      <c r="M40" s="12" t="s">
        <v>149</v>
      </c>
      <c r="N40" s="12" t="s">
        <v>555</v>
      </c>
      <c r="O40" s="12" t="n">
        <v>0</v>
      </c>
      <c r="P40" s="12" t="s">
        <v>556</v>
      </c>
    </row>
    <row r="41" customFormat="false" ht="15" hidden="false" customHeight="false" outlineLevel="0" collapsed="false">
      <c r="A41" s="12" t="s">
        <v>499</v>
      </c>
      <c r="B41" s="12" t="s">
        <v>51</v>
      </c>
      <c r="C41" s="12" t="s">
        <v>52</v>
      </c>
      <c r="D41" s="12" t="s">
        <v>140</v>
      </c>
      <c r="E41" s="12" t="s">
        <v>141</v>
      </c>
      <c r="F41" s="12" t="s">
        <v>661</v>
      </c>
      <c r="G41" s="12" t="s">
        <v>624</v>
      </c>
      <c r="H41" s="12" t="s">
        <v>254</v>
      </c>
      <c r="I41" s="12" t="s">
        <v>625</v>
      </c>
      <c r="J41" s="12" t="s">
        <v>626</v>
      </c>
      <c r="K41" s="12" t="s">
        <v>627</v>
      </c>
      <c r="L41" s="12" t="n">
        <v>168</v>
      </c>
      <c r="M41" s="12" t="s">
        <v>149</v>
      </c>
      <c r="N41" s="12" t="s">
        <v>555</v>
      </c>
      <c r="O41" s="12" t="n">
        <v>0</v>
      </c>
      <c r="P41" s="12" t="s">
        <v>556</v>
      </c>
    </row>
    <row r="42" customFormat="false" ht="15" hidden="false" customHeight="false" outlineLevel="0" collapsed="false">
      <c r="A42" s="15" t="s">
        <v>507</v>
      </c>
      <c r="B42" s="15" t="s">
        <v>51</v>
      </c>
      <c r="C42" s="15" t="s">
        <v>52</v>
      </c>
      <c r="D42" s="15" t="s">
        <v>146</v>
      </c>
      <c r="E42" s="15" t="s">
        <v>147</v>
      </c>
      <c r="F42" s="15" t="s">
        <v>662</v>
      </c>
      <c r="G42" s="15" t="s">
        <v>624</v>
      </c>
      <c r="H42" s="15" t="s">
        <v>257</v>
      </c>
      <c r="I42" s="15" t="s">
        <v>625</v>
      </c>
      <c r="J42" s="15" t="s">
        <v>626</v>
      </c>
      <c r="K42" s="15" t="s">
        <v>627</v>
      </c>
      <c r="L42" s="15" t="n">
        <v>168</v>
      </c>
      <c r="M42" s="15" t="s">
        <v>149</v>
      </c>
      <c r="N42" s="15" t="s">
        <v>555</v>
      </c>
      <c r="O42" s="15" t="n">
        <v>0</v>
      </c>
      <c r="P42" s="15" t="s">
        <v>556</v>
      </c>
    </row>
  </sheetData>
  <mergeCells count="2">
    <mergeCell ref="A2:P2"/>
    <mergeCell ref="A4:P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8" min="5" style="1" width="66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15"/>
    <col collapsed="false" customWidth="true" hidden="false" outlineLevel="0" max="13" min="13" style="1" width="24"/>
  </cols>
  <sheetData>
    <row r="2" customFormat="false" ht="24" hidden="false" customHeight="true" outlineLevel="0" collapsed="false">
      <c r="A2" s="2" t="s">
        <v>663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24" t="s">
        <v>664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customFormat="false" ht="24" hidden="false" customHeight="true" outlineLevel="0" collapsed="false">
      <c r="A6" s="25" t="s">
        <v>537</v>
      </c>
      <c r="B6" s="26" t="s">
        <v>21</v>
      </c>
      <c r="C6" s="26" t="s">
        <v>22</v>
      </c>
      <c r="D6" s="26" t="s">
        <v>261</v>
      </c>
      <c r="E6" s="26" t="s">
        <v>665</v>
      </c>
      <c r="F6" s="26" t="s">
        <v>666</v>
      </c>
      <c r="G6" s="26" t="s">
        <v>667</v>
      </c>
      <c r="H6" s="26" t="s">
        <v>668</v>
      </c>
      <c r="I6" s="26" t="s">
        <v>669</v>
      </c>
      <c r="J6" s="26" t="s">
        <v>3</v>
      </c>
      <c r="K6" s="26" t="s">
        <v>546</v>
      </c>
      <c r="L6" s="26" t="s">
        <v>547</v>
      </c>
      <c r="M6" s="27" t="s">
        <v>4</v>
      </c>
    </row>
    <row r="7" customFormat="false" ht="15" hidden="false" customHeight="false" outlineLevel="0" collapsed="false">
      <c r="A7" s="8" t="s">
        <v>310</v>
      </c>
      <c r="B7" s="8" t="s">
        <v>31</v>
      </c>
      <c r="C7" s="8" t="s">
        <v>32</v>
      </c>
      <c r="D7" s="8" t="s">
        <v>272</v>
      </c>
      <c r="E7" s="8" t="s">
        <v>670</v>
      </c>
      <c r="F7" s="8" t="s">
        <v>671</v>
      </c>
      <c r="G7" s="8" t="s">
        <v>672</v>
      </c>
      <c r="H7" s="8" t="s">
        <v>673</v>
      </c>
      <c r="I7" s="8" t="n">
        <v>168</v>
      </c>
      <c r="J7" s="8" t="s">
        <v>149</v>
      </c>
      <c r="K7" s="8" t="s">
        <v>555</v>
      </c>
      <c r="L7" s="8" t="n">
        <v>0</v>
      </c>
      <c r="M7" s="8" t="s">
        <v>556</v>
      </c>
    </row>
    <row r="8" customFormat="false" ht="15" hidden="false" customHeight="false" outlineLevel="0" collapsed="false">
      <c r="A8" s="12" t="s">
        <v>314</v>
      </c>
      <c r="B8" s="12" t="s">
        <v>31</v>
      </c>
      <c r="C8" s="12" t="s">
        <v>32</v>
      </c>
      <c r="D8" s="12" t="s">
        <v>279</v>
      </c>
      <c r="E8" s="12" t="s">
        <v>674</v>
      </c>
      <c r="F8" s="12" t="s">
        <v>675</v>
      </c>
      <c r="G8" s="12" t="s">
        <v>672</v>
      </c>
      <c r="H8" s="12" t="s">
        <v>673</v>
      </c>
      <c r="I8" s="12" t="n">
        <v>168</v>
      </c>
      <c r="J8" s="12" t="s">
        <v>149</v>
      </c>
      <c r="K8" s="12" t="s">
        <v>555</v>
      </c>
      <c r="L8" s="12" t="n">
        <v>0</v>
      </c>
      <c r="M8" s="12" t="s">
        <v>556</v>
      </c>
    </row>
    <row r="9" customFormat="false" ht="15" hidden="false" customHeight="false" outlineLevel="0" collapsed="false">
      <c r="A9" s="12" t="s">
        <v>348</v>
      </c>
      <c r="B9" s="12" t="s">
        <v>35</v>
      </c>
      <c r="C9" s="12" t="s">
        <v>36</v>
      </c>
      <c r="D9" s="12" t="s">
        <v>272</v>
      </c>
      <c r="E9" s="12" t="s">
        <v>670</v>
      </c>
      <c r="F9" s="12" t="s">
        <v>671</v>
      </c>
      <c r="G9" s="12" t="s">
        <v>672</v>
      </c>
      <c r="H9" s="12" t="s">
        <v>673</v>
      </c>
      <c r="I9" s="12" t="n">
        <v>168</v>
      </c>
      <c r="J9" s="12" t="s">
        <v>149</v>
      </c>
      <c r="K9" s="12" t="s">
        <v>555</v>
      </c>
      <c r="L9" s="12" t="n">
        <v>0</v>
      </c>
      <c r="M9" s="12" t="s">
        <v>556</v>
      </c>
    </row>
    <row r="10" customFormat="false" ht="15" hidden="false" customHeight="false" outlineLevel="0" collapsed="false">
      <c r="A10" s="12" t="s">
        <v>352</v>
      </c>
      <c r="B10" s="12" t="s">
        <v>35</v>
      </c>
      <c r="C10" s="12" t="s">
        <v>36</v>
      </c>
      <c r="D10" s="12" t="s">
        <v>279</v>
      </c>
      <c r="E10" s="12" t="s">
        <v>674</v>
      </c>
      <c r="F10" s="12" t="s">
        <v>675</v>
      </c>
      <c r="G10" s="12" t="s">
        <v>672</v>
      </c>
      <c r="H10" s="12" t="s">
        <v>673</v>
      </c>
      <c r="I10" s="12" t="n">
        <v>168</v>
      </c>
      <c r="J10" s="12" t="s">
        <v>149</v>
      </c>
      <c r="K10" s="12" t="s">
        <v>555</v>
      </c>
      <c r="L10" s="12" t="n">
        <v>0</v>
      </c>
      <c r="M10" s="12" t="s">
        <v>556</v>
      </c>
    </row>
    <row r="11" customFormat="false" ht="15" hidden="false" customHeight="false" outlineLevel="0" collapsed="false">
      <c r="A11" s="12" t="s">
        <v>386</v>
      </c>
      <c r="B11" s="12" t="s">
        <v>39</v>
      </c>
      <c r="C11" s="12" t="s">
        <v>40</v>
      </c>
      <c r="D11" s="12" t="s">
        <v>272</v>
      </c>
      <c r="E11" s="12" t="s">
        <v>670</v>
      </c>
      <c r="F11" s="12" t="s">
        <v>671</v>
      </c>
      <c r="G11" s="12" t="s">
        <v>672</v>
      </c>
      <c r="H11" s="12" t="s">
        <v>673</v>
      </c>
      <c r="I11" s="12" t="n">
        <v>168</v>
      </c>
      <c r="J11" s="12" t="s">
        <v>149</v>
      </c>
      <c r="K11" s="12" t="s">
        <v>555</v>
      </c>
      <c r="L11" s="12" t="n">
        <v>0</v>
      </c>
      <c r="M11" s="12" t="s">
        <v>556</v>
      </c>
    </row>
    <row r="12" customFormat="false" ht="15" hidden="false" customHeight="false" outlineLevel="0" collapsed="false">
      <c r="A12" s="12" t="s">
        <v>390</v>
      </c>
      <c r="B12" s="12" t="s">
        <v>39</v>
      </c>
      <c r="C12" s="12" t="s">
        <v>40</v>
      </c>
      <c r="D12" s="12" t="s">
        <v>279</v>
      </c>
      <c r="E12" s="12" t="s">
        <v>674</v>
      </c>
      <c r="F12" s="12" t="s">
        <v>675</v>
      </c>
      <c r="G12" s="12" t="s">
        <v>672</v>
      </c>
      <c r="H12" s="12" t="s">
        <v>673</v>
      </c>
      <c r="I12" s="12" t="n">
        <v>168</v>
      </c>
      <c r="J12" s="12" t="s">
        <v>149</v>
      </c>
      <c r="K12" s="12" t="s">
        <v>555</v>
      </c>
      <c r="L12" s="12" t="n">
        <v>0</v>
      </c>
      <c r="M12" s="12" t="s">
        <v>556</v>
      </c>
    </row>
    <row r="13" customFormat="false" ht="15" hidden="false" customHeight="false" outlineLevel="0" collapsed="false">
      <c r="A13" s="12" t="s">
        <v>425</v>
      </c>
      <c r="B13" s="12" t="s">
        <v>43</v>
      </c>
      <c r="C13" s="12" t="s">
        <v>44</v>
      </c>
      <c r="D13" s="12" t="s">
        <v>272</v>
      </c>
      <c r="E13" s="12" t="s">
        <v>670</v>
      </c>
      <c r="F13" s="12" t="s">
        <v>671</v>
      </c>
      <c r="G13" s="12" t="s">
        <v>672</v>
      </c>
      <c r="H13" s="12" t="s">
        <v>673</v>
      </c>
      <c r="I13" s="12" t="n">
        <v>168</v>
      </c>
      <c r="J13" s="12" t="s">
        <v>149</v>
      </c>
      <c r="K13" s="12" t="s">
        <v>555</v>
      </c>
      <c r="L13" s="12" t="n">
        <v>0</v>
      </c>
      <c r="M13" s="12" t="s">
        <v>556</v>
      </c>
    </row>
    <row r="14" customFormat="false" ht="15" hidden="false" customHeight="false" outlineLevel="0" collapsed="false">
      <c r="A14" s="12" t="s">
        <v>429</v>
      </c>
      <c r="B14" s="12" t="s">
        <v>43</v>
      </c>
      <c r="C14" s="12" t="s">
        <v>44</v>
      </c>
      <c r="D14" s="12" t="s">
        <v>279</v>
      </c>
      <c r="E14" s="12" t="s">
        <v>674</v>
      </c>
      <c r="F14" s="12" t="s">
        <v>675</v>
      </c>
      <c r="G14" s="12" t="s">
        <v>672</v>
      </c>
      <c r="H14" s="12" t="s">
        <v>673</v>
      </c>
      <c r="I14" s="12" t="n">
        <v>168</v>
      </c>
      <c r="J14" s="12" t="s">
        <v>149</v>
      </c>
      <c r="K14" s="12" t="s">
        <v>555</v>
      </c>
      <c r="L14" s="12" t="n">
        <v>0</v>
      </c>
      <c r="M14" s="12" t="s">
        <v>556</v>
      </c>
    </row>
    <row r="15" customFormat="false" ht="15" hidden="false" customHeight="false" outlineLevel="0" collapsed="false">
      <c r="A15" s="12" t="s">
        <v>463</v>
      </c>
      <c r="B15" s="12" t="s">
        <v>47</v>
      </c>
      <c r="C15" s="12" t="s">
        <v>48</v>
      </c>
      <c r="D15" s="12" t="s">
        <v>272</v>
      </c>
      <c r="E15" s="12" t="s">
        <v>670</v>
      </c>
      <c r="F15" s="12" t="s">
        <v>671</v>
      </c>
      <c r="G15" s="12" t="s">
        <v>672</v>
      </c>
      <c r="H15" s="12" t="s">
        <v>673</v>
      </c>
      <c r="I15" s="12" t="n">
        <v>168</v>
      </c>
      <c r="J15" s="12" t="s">
        <v>149</v>
      </c>
      <c r="K15" s="12" t="s">
        <v>555</v>
      </c>
      <c r="L15" s="12" t="n">
        <v>0</v>
      </c>
      <c r="M15" s="12" t="s">
        <v>556</v>
      </c>
    </row>
    <row r="16" customFormat="false" ht="15" hidden="false" customHeight="false" outlineLevel="0" collapsed="false">
      <c r="A16" s="12" t="s">
        <v>467</v>
      </c>
      <c r="B16" s="12" t="s">
        <v>47</v>
      </c>
      <c r="C16" s="12" t="s">
        <v>48</v>
      </c>
      <c r="D16" s="12" t="s">
        <v>279</v>
      </c>
      <c r="E16" s="12" t="s">
        <v>674</v>
      </c>
      <c r="F16" s="12" t="s">
        <v>675</v>
      </c>
      <c r="G16" s="12" t="s">
        <v>672</v>
      </c>
      <c r="H16" s="12" t="s">
        <v>673</v>
      </c>
      <c r="I16" s="12" t="n">
        <v>168</v>
      </c>
      <c r="J16" s="12" t="s">
        <v>149</v>
      </c>
      <c r="K16" s="12" t="s">
        <v>555</v>
      </c>
      <c r="L16" s="12" t="n">
        <v>0</v>
      </c>
      <c r="M16" s="12" t="s">
        <v>556</v>
      </c>
    </row>
    <row r="17" customFormat="false" ht="15" hidden="false" customHeight="false" outlineLevel="0" collapsed="false">
      <c r="A17" s="12" t="s">
        <v>501</v>
      </c>
      <c r="B17" s="12" t="s">
        <v>51</v>
      </c>
      <c r="C17" s="12" t="s">
        <v>52</v>
      </c>
      <c r="D17" s="12" t="s">
        <v>272</v>
      </c>
      <c r="E17" s="12" t="s">
        <v>670</v>
      </c>
      <c r="F17" s="12" t="s">
        <v>671</v>
      </c>
      <c r="G17" s="12" t="s">
        <v>672</v>
      </c>
      <c r="H17" s="12" t="s">
        <v>673</v>
      </c>
      <c r="I17" s="12" t="n">
        <v>168</v>
      </c>
      <c r="J17" s="12" t="s">
        <v>149</v>
      </c>
      <c r="K17" s="12" t="s">
        <v>555</v>
      </c>
      <c r="L17" s="12" t="n">
        <v>0</v>
      </c>
      <c r="M17" s="12" t="s">
        <v>556</v>
      </c>
    </row>
    <row r="18" customFormat="false" ht="15" hidden="false" customHeight="false" outlineLevel="0" collapsed="false">
      <c r="A18" s="15" t="s">
        <v>505</v>
      </c>
      <c r="B18" s="15" t="s">
        <v>51</v>
      </c>
      <c r="C18" s="15" t="s">
        <v>52</v>
      </c>
      <c r="D18" s="15" t="s">
        <v>279</v>
      </c>
      <c r="E18" s="15" t="s">
        <v>674</v>
      </c>
      <c r="F18" s="15" t="s">
        <v>675</v>
      </c>
      <c r="G18" s="15" t="s">
        <v>672</v>
      </c>
      <c r="H18" s="15" t="s">
        <v>673</v>
      </c>
      <c r="I18" s="15" t="n">
        <v>168</v>
      </c>
      <c r="J18" s="15" t="s">
        <v>149</v>
      </c>
      <c r="K18" s="15" t="s">
        <v>555</v>
      </c>
      <c r="L18" s="15" t="n">
        <v>0</v>
      </c>
      <c r="M18" s="15" t="s">
        <v>556</v>
      </c>
    </row>
  </sheetData>
  <mergeCells count="2">
    <mergeCell ref="A2:M2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50"/>
    <col collapsed="false" customWidth="true" hidden="false" outlineLevel="0" max="6" min="6" style="1" width="64"/>
    <col collapsed="false" customWidth="true" hidden="false" outlineLevel="0" max="7" min="7" style="1" width="78"/>
    <col collapsed="false" customWidth="true" hidden="false" outlineLevel="0" max="8" min="8" style="1" width="52"/>
    <col collapsed="false" customWidth="true" hidden="false" outlineLevel="0" max="9" min="9" style="1" width="15"/>
  </cols>
  <sheetData>
    <row r="2" customFormat="false" ht="24" hidden="false" customHeight="true" outlineLevel="0" collapsed="false">
      <c r="A2" s="2" t="s">
        <v>676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24" t="s">
        <v>677</v>
      </c>
      <c r="B4" s="24"/>
      <c r="C4" s="24"/>
      <c r="D4" s="24"/>
      <c r="E4" s="24"/>
      <c r="F4" s="24"/>
      <c r="G4" s="24"/>
      <c r="H4" s="24"/>
      <c r="I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</row>
    <row r="6" customFormat="false" ht="24" hidden="false" customHeight="true" outlineLevel="0" collapsed="false">
      <c r="A6" s="25" t="s">
        <v>678</v>
      </c>
      <c r="B6" s="26" t="s">
        <v>21</v>
      </c>
      <c r="C6" s="26" t="s">
        <v>22</v>
      </c>
      <c r="D6" s="26" t="s">
        <v>96</v>
      </c>
      <c r="E6" s="26" t="s">
        <v>679</v>
      </c>
      <c r="F6" s="26" t="s">
        <v>680</v>
      </c>
      <c r="G6" s="26" t="s">
        <v>681</v>
      </c>
      <c r="H6" s="26" t="s">
        <v>682</v>
      </c>
      <c r="I6" s="27" t="s">
        <v>4</v>
      </c>
    </row>
    <row r="7" customFormat="false" ht="15" hidden="false" customHeight="false" outlineLevel="0" collapsed="false">
      <c r="A7" s="8" t="s">
        <v>683</v>
      </c>
      <c r="B7" s="8" t="s">
        <v>31</v>
      </c>
      <c r="C7" s="8" t="s">
        <v>32</v>
      </c>
      <c r="D7" s="8" t="s">
        <v>114</v>
      </c>
      <c r="E7" s="8" t="s">
        <v>116</v>
      </c>
      <c r="F7" s="8" t="s">
        <v>684</v>
      </c>
      <c r="G7" s="8" t="s">
        <v>685</v>
      </c>
      <c r="H7" s="8" t="s">
        <v>686</v>
      </c>
      <c r="I7" s="8" t="s">
        <v>687</v>
      </c>
    </row>
    <row r="8" customFormat="false" ht="15" hidden="false" customHeight="false" outlineLevel="0" collapsed="false">
      <c r="A8" s="12" t="s">
        <v>688</v>
      </c>
      <c r="B8" s="12" t="s">
        <v>31</v>
      </c>
      <c r="C8" s="12" t="s">
        <v>32</v>
      </c>
      <c r="D8" s="12" t="s">
        <v>121</v>
      </c>
      <c r="E8" s="12" t="s">
        <v>123</v>
      </c>
      <c r="F8" s="12" t="s">
        <v>689</v>
      </c>
      <c r="G8" s="12" t="s">
        <v>685</v>
      </c>
      <c r="H8" s="12" t="s">
        <v>686</v>
      </c>
      <c r="I8" s="12" t="s">
        <v>687</v>
      </c>
    </row>
    <row r="9" customFormat="false" ht="15" hidden="false" customHeight="false" outlineLevel="0" collapsed="false">
      <c r="A9" s="12" t="s">
        <v>690</v>
      </c>
      <c r="B9" s="12" t="s">
        <v>31</v>
      </c>
      <c r="C9" s="12" t="s">
        <v>32</v>
      </c>
      <c r="D9" s="12" t="s">
        <v>128</v>
      </c>
      <c r="E9" s="12" t="s">
        <v>130</v>
      </c>
      <c r="F9" s="12" t="s">
        <v>691</v>
      </c>
      <c r="G9" s="12" t="s">
        <v>685</v>
      </c>
      <c r="H9" s="12" t="s">
        <v>686</v>
      </c>
      <c r="I9" s="12" t="s">
        <v>687</v>
      </c>
    </row>
    <row r="10" customFormat="false" ht="15" hidden="false" customHeight="false" outlineLevel="0" collapsed="false">
      <c r="A10" s="12" t="s">
        <v>692</v>
      </c>
      <c r="B10" s="12" t="s">
        <v>31</v>
      </c>
      <c r="C10" s="12" t="s">
        <v>32</v>
      </c>
      <c r="D10" s="12" t="s">
        <v>135</v>
      </c>
      <c r="E10" s="12" t="s">
        <v>137</v>
      </c>
      <c r="F10" s="12" t="s">
        <v>693</v>
      </c>
      <c r="G10" s="12" t="s">
        <v>685</v>
      </c>
      <c r="H10" s="12" t="s">
        <v>686</v>
      </c>
      <c r="I10" s="12" t="s">
        <v>687</v>
      </c>
    </row>
    <row r="11" customFormat="false" ht="15" hidden="false" customHeight="false" outlineLevel="0" collapsed="false">
      <c r="A11" s="12" t="s">
        <v>694</v>
      </c>
      <c r="B11" s="12" t="s">
        <v>31</v>
      </c>
      <c r="C11" s="12" t="s">
        <v>32</v>
      </c>
      <c r="D11" s="12" t="s">
        <v>140</v>
      </c>
      <c r="E11" s="12" t="s">
        <v>142</v>
      </c>
      <c r="F11" s="12" t="s">
        <v>695</v>
      </c>
      <c r="G11" s="12" t="s">
        <v>685</v>
      </c>
      <c r="H11" s="12" t="s">
        <v>686</v>
      </c>
      <c r="I11" s="12" t="s">
        <v>687</v>
      </c>
    </row>
    <row r="12" customFormat="false" ht="15" hidden="false" customHeight="false" outlineLevel="0" collapsed="false">
      <c r="A12" s="12" t="s">
        <v>696</v>
      </c>
      <c r="B12" s="12" t="s">
        <v>31</v>
      </c>
      <c r="C12" s="12" t="s">
        <v>32</v>
      </c>
      <c r="D12" s="12" t="s">
        <v>146</v>
      </c>
      <c r="E12" s="12" t="s">
        <v>148</v>
      </c>
      <c r="F12" s="12" t="s">
        <v>697</v>
      </c>
      <c r="G12" s="12" t="s">
        <v>685</v>
      </c>
      <c r="H12" s="12" t="s">
        <v>686</v>
      </c>
      <c r="I12" s="12" t="s">
        <v>687</v>
      </c>
    </row>
    <row r="13" customFormat="false" ht="15" hidden="false" customHeight="false" outlineLevel="0" collapsed="false">
      <c r="A13" s="12" t="s">
        <v>698</v>
      </c>
      <c r="B13" s="12" t="s">
        <v>35</v>
      </c>
      <c r="C13" s="12" t="s">
        <v>36</v>
      </c>
      <c r="D13" s="12" t="s">
        <v>114</v>
      </c>
      <c r="E13" s="12" t="s">
        <v>153</v>
      </c>
      <c r="F13" s="12" t="s">
        <v>684</v>
      </c>
      <c r="G13" s="12" t="s">
        <v>685</v>
      </c>
      <c r="H13" s="12" t="s">
        <v>686</v>
      </c>
      <c r="I13" s="12" t="s">
        <v>687</v>
      </c>
    </row>
    <row r="14" customFormat="false" ht="15" hidden="false" customHeight="false" outlineLevel="0" collapsed="false">
      <c r="A14" s="12" t="s">
        <v>699</v>
      </c>
      <c r="B14" s="12" t="s">
        <v>35</v>
      </c>
      <c r="C14" s="12" t="s">
        <v>36</v>
      </c>
      <c r="D14" s="12" t="s">
        <v>121</v>
      </c>
      <c r="E14" s="12" t="s">
        <v>156</v>
      </c>
      <c r="F14" s="12" t="s">
        <v>689</v>
      </c>
      <c r="G14" s="12" t="s">
        <v>685</v>
      </c>
      <c r="H14" s="12" t="s">
        <v>686</v>
      </c>
      <c r="I14" s="12" t="s">
        <v>687</v>
      </c>
    </row>
    <row r="15" customFormat="false" ht="15" hidden="false" customHeight="false" outlineLevel="0" collapsed="false">
      <c r="A15" s="12" t="s">
        <v>700</v>
      </c>
      <c r="B15" s="12" t="s">
        <v>35</v>
      </c>
      <c r="C15" s="12" t="s">
        <v>36</v>
      </c>
      <c r="D15" s="12" t="s">
        <v>128</v>
      </c>
      <c r="E15" s="12" t="s">
        <v>160</v>
      </c>
      <c r="F15" s="12" t="s">
        <v>691</v>
      </c>
      <c r="G15" s="12" t="s">
        <v>685</v>
      </c>
      <c r="H15" s="12" t="s">
        <v>686</v>
      </c>
      <c r="I15" s="12" t="s">
        <v>687</v>
      </c>
    </row>
    <row r="16" customFormat="false" ht="15" hidden="false" customHeight="false" outlineLevel="0" collapsed="false">
      <c r="A16" s="12" t="s">
        <v>701</v>
      </c>
      <c r="B16" s="12" t="s">
        <v>35</v>
      </c>
      <c r="C16" s="12" t="s">
        <v>36</v>
      </c>
      <c r="D16" s="12" t="s">
        <v>135</v>
      </c>
      <c r="E16" s="12" t="s">
        <v>163</v>
      </c>
      <c r="F16" s="12" t="s">
        <v>693</v>
      </c>
      <c r="G16" s="12" t="s">
        <v>685</v>
      </c>
      <c r="H16" s="12" t="s">
        <v>686</v>
      </c>
      <c r="I16" s="12" t="s">
        <v>687</v>
      </c>
    </row>
    <row r="17" customFormat="false" ht="15" hidden="false" customHeight="false" outlineLevel="0" collapsed="false">
      <c r="A17" s="12" t="s">
        <v>702</v>
      </c>
      <c r="B17" s="12" t="s">
        <v>35</v>
      </c>
      <c r="C17" s="12" t="s">
        <v>36</v>
      </c>
      <c r="D17" s="12" t="s">
        <v>140</v>
      </c>
      <c r="E17" s="12" t="s">
        <v>166</v>
      </c>
      <c r="F17" s="12" t="s">
        <v>695</v>
      </c>
      <c r="G17" s="12" t="s">
        <v>685</v>
      </c>
      <c r="H17" s="12" t="s">
        <v>686</v>
      </c>
      <c r="I17" s="12" t="s">
        <v>687</v>
      </c>
    </row>
    <row r="18" customFormat="false" ht="15" hidden="false" customHeight="false" outlineLevel="0" collapsed="false">
      <c r="A18" s="12" t="s">
        <v>703</v>
      </c>
      <c r="B18" s="12" t="s">
        <v>35</v>
      </c>
      <c r="C18" s="12" t="s">
        <v>36</v>
      </c>
      <c r="D18" s="12" t="s">
        <v>146</v>
      </c>
      <c r="E18" s="12" t="s">
        <v>169</v>
      </c>
      <c r="F18" s="12" t="s">
        <v>697</v>
      </c>
      <c r="G18" s="12" t="s">
        <v>685</v>
      </c>
      <c r="H18" s="12" t="s">
        <v>686</v>
      </c>
      <c r="I18" s="12" t="s">
        <v>687</v>
      </c>
    </row>
    <row r="19" customFormat="false" ht="15" hidden="false" customHeight="false" outlineLevel="0" collapsed="false">
      <c r="A19" s="12" t="s">
        <v>704</v>
      </c>
      <c r="B19" s="12" t="s">
        <v>39</v>
      </c>
      <c r="C19" s="12" t="s">
        <v>40</v>
      </c>
      <c r="D19" s="12" t="s">
        <v>114</v>
      </c>
      <c r="E19" s="12" t="s">
        <v>172</v>
      </c>
      <c r="F19" s="12" t="s">
        <v>684</v>
      </c>
      <c r="G19" s="12" t="s">
        <v>685</v>
      </c>
      <c r="H19" s="12" t="s">
        <v>686</v>
      </c>
      <c r="I19" s="12" t="s">
        <v>687</v>
      </c>
    </row>
    <row r="20" customFormat="false" ht="15" hidden="false" customHeight="false" outlineLevel="0" collapsed="false">
      <c r="A20" s="12" t="s">
        <v>705</v>
      </c>
      <c r="B20" s="12" t="s">
        <v>39</v>
      </c>
      <c r="C20" s="12" t="s">
        <v>40</v>
      </c>
      <c r="D20" s="12" t="s">
        <v>121</v>
      </c>
      <c r="E20" s="12" t="s">
        <v>175</v>
      </c>
      <c r="F20" s="12" t="s">
        <v>689</v>
      </c>
      <c r="G20" s="12" t="s">
        <v>685</v>
      </c>
      <c r="H20" s="12" t="s">
        <v>686</v>
      </c>
      <c r="I20" s="12" t="s">
        <v>687</v>
      </c>
    </row>
    <row r="21" customFormat="false" ht="15" hidden="false" customHeight="false" outlineLevel="0" collapsed="false">
      <c r="A21" s="12" t="s">
        <v>706</v>
      </c>
      <c r="B21" s="12" t="s">
        <v>39</v>
      </c>
      <c r="C21" s="12" t="s">
        <v>40</v>
      </c>
      <c r="D21" s="12" t="s">
        <v>128</v>
      </c>
      <c r="E21" s="12" t="s">
        <v>179</v>
      </c>
      <c r="F21" s="12" t="s">
        <v>691</v>
      </c>
      <c r="G21" s="12" t="s">
        <v>685</v>
      </c>
      <c r="H21" s="12" t="s">
        <v>686</v>
      </c>
      <c r="I21" s="12" t="s">
        <v>687</v>
      </c>
    </row>
    <row r="22" customFormat="false" ht="15" hidden="false" customHeight="false" outlineLevel="0" collapsed="false">
      <c r="A22" s="12" t="s">
        <v>707</v>
      </c>
      <c r="B22" s="12" t="s">
        <v>39</v>
      </c>
      <c r="C22" s="12" t="s">
        <v>40</v>
      </c>
      <c r="D22" s="12" t="s">
        <v>135</v>
      </c>
      <c r="E22" s="12" t="s">
        <v>184</v>
      </c>
      <c r="F22" s="12" t="s">
        <v>693</v>
      </c>
      <c r="G22" s="12" t="s">
        <v>685</v>
      </c>
      <c r="H22" s="12" t="s">
        <v>686</v>
      </c>
      <c r="I22" s="12" t="s">
        <v>687</v>
      </c>
    </row>
    <row r="23" customFormat="false" ht="15" hidden="false" customHeight="false" outlineLevel="0" collapsed="false">
      <c r="A23" s="12" t="s">
        <v>708</v>
      </c>
      <c r="B23" s="12" t="s">
        <v>39</v>
      </c>
      <c r="C23" s="12" t="s">
        <v>40</v>
      </c>
      <c r="D23" s="12" t="s">
        <v>140</v>
      </c>
      <c r="E23" s="12" t="s">
        <v>187</v>
      </c>
      <c r="F23" s="12" t="s">
        <v>695</v>
      </c>
      <c r="G23" s="12" t="s">
        <v>685</v>
      </c>
      <c r="H23" s="12" t="s">
        <v>686</v>
      </c>
      <c r="I23" s="12" t="s">
        <v>687</v>
      </c>
    </row>
    <row r="24" customFormat="false" ht="15" hidden="false" customHeight="false" outlineLevel="0" collapsed="false">
      <c r="A24" s="12" t="s">
        <v>709</v>
      </c>
      <c r="B24" s="12" t="s">
        <v>39</v>
      </c>
      <c r="C24" s="12" t="s">
        <v>40</v>
      </c>
      <c r="D24" s="12" t="s">
        <v>146</v>
      </c>
      <c r="E24" s="12" t="s">
        <v>190</v>
      </c>
      <c r="F24" s="12" t="s">
        <v>697</v>
      </c>
      <c r="G24" s="12" t="s">
        <v>685</v>
      </c>
      <c r="H24" s="12" t="s">
        <v>686</v>
      </c>
      <c r="I24" s="12" t="s">
        <v>687</v>
      </c>
    </row>
    <row r="25" customFormat="false" ht="15" hidden="false" customHeight="false" outlineLevel="0" collapsed="false">
      <c r="A25" s="12" t="s">
        <v>710</v>
      </c>
      <c r="B25" s="12" t="s">
        <v>43</v>
      </c>
      <c r="C25" s="12" t="s">
        <v>44</v>
      </c>
      <c r="D25" s="12" t="s">
        <v>114</v>
      </c>
      <c r="E25" s="12" t="s">
        <v>193</v>
      </c>
      <c r="F25" s="12" t="s">
        <v>684</v>
      </c>
      <c r="G25" s="12" t="s">
        <v>685</v>
      </c>
      <c r="H25" s="12" t="s">
        <v>686</v>
      </c>
      <c r="I25" s="12" t="s">
        <v>687</v>
      </c>
    </row>
    <row r="26" customFormat="false" ht="15" hidden="false" customHeight="false" outlineLevel="0" collapsed="false">
      <c r="A26" s="12" t="s">
        <v>711</v>
      </c>
      <c r="B26" s="12" t="s">
        <v>43</v>
      </c>
      <c r="C26" s="12" t="s">
        <v>44</v>
      </c>
      <c r="D26" s="12" t="s">
        <v>121</v>
      </c>
      <c r="E26" s="12" t="s">
        <v>198</v>
      </c>
      <c r="F26" s="12" t="s">
        <v>689</v>
      </c>
      <c r="G26" s="12" t="s">
        <v>685</v>
      </c>
      <c r="H26" s="12" t="s">
        <v>686</v>
      </c>
      <c r="I26" s="12" t="s">
        <v>687</v>
      </c>
    </row>
    <row r="27" customFormat="false" ht="15" hidden="false" customHeight="false" outlineLevel="0" collapsed="false">
      <c r="A27" s="12" t="s">
        <v>712</v>
      </c>
      <c r="B27" s="12" t="s">
        <v>43</v>
      </c>
      <c r="C27" s="12" t="s">
        <v>44</v>
      </c>
      <c r="D27" s="12" t="s">
        <v>128</v>
      </c>
      <c r="E27" s="12" t="s">
        <v>202</v>
      </c>
      <c r="F27" s="12" t="s">
        <v>691</v>
      </c>
      <c r="G27" s="12" t="s">
        <v>685</v>
      </c>
      <c r="H27" s="12" t="s">
        <v>686</v>
      </c>
      <c r="I27" s="12" t="s">
        <v>687</v>
      </c>
    </row>
    <row r="28" customFormat="false" ht="15" hidden="false" customHeight="false" outlineLevel="0" collapsed="false">
      <c r="A28" s="12" t="s">
        <v>713</v>
      </c>
      <c r="B28" s="12" t="s">
        <v>43</v>
      </c>
      <c r="C28" s="12" t="s">
        <v>44</v>
      </c>
      <c r="D28" s="12" t="s">
        <v>135</v>
      </c>
      <c r="E28" s="12" t="s">
        <v>207</v>
      </c>
      <c r="F28" s="12" t="s">
        <v>693</v>
      </c>
      <c r="G28" s="12" t="s">
        <v>685</v>
      </c>
      <c r="H28" s="12" t="s">
        <v>686</v>
      </c>
      <c r="I28" s="12" t="s">
        <v>687</v>
      </c>
    </row>
    <row r="29" customFormat="false" ht="15" hidden="false" customHeight="false" outlineLevel="0" collapsed="false">
      <c r="A29" s="12" t="s">
        <v>714</v>
      </c>
      <c r="B29" s="12" t="s">
        <v>43</v>
      </c>
      <c r="C29" s="12" t="s">
        <v>44</v>
      </c>
      <c r="D29" s="12" t="s">
        <v>140</v>
      </c>
      <c r="E29" s="12" t="s">
        <v>212</v>
      </c>
      <c r="F29" s="12" t="s">
        <v>695</v>
      </c>
      <c r="G29" s="12" t="s">
        <v>685</v>
      </c>
      <c r="H29" s="12" t="s">
        <v>686</v>
      </c>
      <c r="I29" s="12" t="s">
        <v>687</v>
      </c>
    </row>
    <row r="30" customFormat="false" ht="15" hidden="false" customHeight="false" outlineLevel="0" collapsed="false">
      <c r="A30" s="12" t="s">
        <v>715</v>
      </c>
      <c r="B30" s="12" t="s">
        <v>43</v>
      </c>
      <c r="C30" s="12" t="s">
        <v>44</v>
      </c>
      <c r="D30" s="12" t="s">
        <v>146</v>
      </c>
      <c r="E30" s="12" t="s">
        <v>217</v>
      </c>
      <c r="F30" s="12" t="s">
        <v>697</v>
      </c>
      <c r="G30" s="12" t="s">
        <v>685</v>
      </c>
      <c r="H30" s="12" t="s">
        <v>686</v>
      </c>
      <c r="I30" s="12" t="s">
        <v>687</v>
      </c>
    </row>
    <row r="31" customFormat="false" ht="15" hidden="false" customHeight="false" outlineLevel="0" collapsed="false">
      <c r="A31" s="12" t="s">
        <v>716</v>
      </c>
      <c r="B31" s="12" t="s">
        <v>47</v>
      </c>
      <c r="C31" s="12" t="s">
        <v>48</v>
      </c>
      <c r="D31" s="12" t="s">
        <v>114</v>
      </c>
      <c r="E31" s="12" t="s">
        <v>220</v>
      </c>
      <c r="F31" s="12" t="s">
        <v>684</v>
      </c>
      <c r="G31" s="12" t="s">
        <v>685</v>
      </c>
      <c r="H31" s="12" t="s">
        <v>686</v>
      </c>
      <c r="I31" s="12" t="s">
        <v>687</v>
      </c>
    </row>
    <row r="32" customFormat="false" ht="15" hidden="false" customHeight="false" outlineLevel="0" collapsed="false">
      <c r="A32" s="12" t="s">
        <v>717</v>
      </c>
      <c r="B32" s="12" t="s">
        <v>47</v>
      </c>
      <c r="C32" s="12" t="s">
        <v>48</v>
      </c>
      <c r="D32" s="12" t="s">
        <v>121</v>
      </c>
      <c r="E32" s="12" t="s">
        <v>224</v>
      </c>
      <c r="F32" s="12" t="s">
        <v>689</v>
      </c>
      <c r="G32" s="12" t="s">
        <v>685</v>
      </c>
      <c r="H32" s="12" t="s">
        <v>686</v>
      </c>
      <c r="I32" s="12" t="s">
        <v>687</v>
      </c>
    </row>
    <row r="33" customFormat="false" ht="15" hidden="false" customHeight="false" outlineLevel="0" collapsed="false">
      <c r="A33" s="12" t="s">
        <v>718</v>
      </c>
      <c r="B33" s="12" t="s">
        <v>47</v>
      </c>
      <c r="C33" s="12" t="s">
        <v>48</v>
      </c>
      <c r="D33" s="12" t="s">
        <v>128</v>
      </c>
      <c r="E33" s="12" t="s">
        <v>227</v>
      </c>
      <c r="F33" s="12" t="s">
        <v>691</v>
      </c>
      <c r="G33" s="12" t="s">
        <v>685</v>
      </c>
      <c r="H33" s="12" t="s">
        <v>686</v>
      </c>
      <c r="I33" s="12" t="s">
        <v>687</v>
      </c>
    </row>
    <row r="34" customFormat="false" ht="15" hidden="false" customHeight="false" outlineLevel="0" collapsed="false">
      <c r="A34" s="12" t="s">
        <v>719</v>
      </c>
      <c r="B34" s="12" t="s">
        <v>47</v>
      </c>
      <c r="C34" s="12" t="s">
        <v>48</v>
      </c>
      <c r="D34" s="12" t="s">
        <v>135</v>
      </c>
      <c r="E34" s="12" t="s">
        <v>230</v>
      </c>
      <c r="F34" s="12" t="s">
        <v>693</v>
      </c>
      <c r="G34" s="12" t="s">
        <v>685</v>
      </c>
      <c r="H34" s="12" t="s">
        <v>686</v>
      </c>
      <c r="I34" s="12" t="s">
        <v>687</v>
      </c>
    </row>
    <row r="35" customFormat="false" ht="15" hidden="false" customHeight="false" outlineLevel="0" collapsed="false">
      <c r="A35" s="12" t="s">
        <v>720</v>
      </c>
      <c r="B35" s="12" t="s">
        <v>47</v>
      </c>
      <c r="C35" s="12" t="s">
        <v>48</v>
      </c>
      <c r="D35" s="12" t="s">
        <v>140</v>
      </c>
      <c r="E35" s="12" t="s">
        <v>233</v>
      </c>
      <c r="F35" s="12" t="s">
        <v>695</v>
      </c>
      <c r="G35" s="12" t="s">
        <v>685</v>
      </c>
      <c r="H35" s="12" t="s">
        <v>686</v>
      </c>
      <c r="I35" s="12" t="s">
        <v>687</v>
      </c>
    </row>
    <row r="36" customFormat="false" ht="15" hidden="false" customHeight="false" outlineLevel="0" collapsed="false">
      <c r="A36" s="12" t="s">
        <v>721</v>
      </c>
      <c r="B36" s="12" t="s">
        <v>47</v>
      </c>
      <c r="C36" s="12" t="s">
        <v>48</v>
      </c>
      <c r="D36" s="12" t="s">
        <v>146</v>
      </c>
      <c r="E36" s="12" t="s">
        <v>236</v>
      </c>
      <c r="F36" s="12" t="s">
        <v>697</v>
      </c>
      <c r="G36" s="12" t="s">
        <v>685</v>
      </c>
      <c r="H36" s="12" t="s">
        <v>686</v>
      </c>
      <c r="I36" s="12" t="s">
        <v>687</v>
      </c>
    </row>
    <row r="37" customFormat="false" ht="15" hidden="false" customHeight="false" outlineLevel="0" collapsed="false">
      <c r="A37" s="12" t="s">
        <v>722</v>
      </c>
      <c r="B37" s="12" t="s">
        <v>51</v>
      </c>
      <c r="C37" s="12" t="s">
        <v>52</v>
      </c>
      <c r="D37" s="12" t="s">
        <v>114</v>
      </c>
      <c r="E37" s="12" t="s">
        <v>239</v>
      </c>
      <c r="F37" s="12" t="s">
        <v>684</v>
      </c>
      <c r="G37" s="12" t="s">
        <v>685</v>
      </c>
      <c r="H37" s="12" t="s">
        <v>686</v>
      </c>
      <c r="I37" s="12" t="s">
        <v>687</v>
      </c>
    </row>
    <row r="38" customFormat="false" ht="15" hidden="false" customHeight="false" outlineLevel="0" collapsed="false">
      <c r="A38" s="12" t="s">
        <v>723</v>
      </c>
      <c r="B38" s="12" t="s">
        <v>51</v>
      </c>
      <c r="C38" s="12" t="s">
        <v>52</v>
      </c>
      <c r="D38" s="12" t="s">
        <v>121</v>
      </c>
      <c r="E38" s="12" t="s">
        <v>242</v>
      </c>
      <c r="F38" s="12" t="s">
        <v>689</v>
      </c>
      <c r="G38" s="12" t="s">
        <v>685</v>
      </c>
      <c r="H38" s="12" t="s">
        <v>686</v>
      </c>
      <c r="I38" s="12" t="s">
        <v>687</v>
      </c>
    </row>
    <row r="39" customFormat="false" ht="15" hidden="false" customHeight="false" outlineLevel="0" collapsed="false">
      <c r="A39" s="12" t="s">
        <v>724</v>
      </c>
      <c r="B39" s="12" t="s">
        <v>51</v>
      </c>
      <c r="C39" s="12" t="s">
        <v>52</v>
      </c>
      <c r="D39" s="12" t="s">
        <v>128</v>
      </c>
      <c r="E39" s="12" t="s">
        <v>246</v>
      </c>
      <c r="F39" s="12" t="s">
        <v>691</v>
      </c>
      <c r="G39" s="12" t="s">
        <v>685</v>
      </c>
      <c r="H39" s="12" t="s">
        <v>686</v>
      </c>
      <c r="I39" s="12" t="s">
        <v>687</v>
      </c>
    </row>
    <row r="40" customFormat="false" ht="15" hidden="false" customHeight="false" outlineLevel="0" collapsed="false">
      <c r="A40" s="12" t="s">
        <v>725</v>
      </c>
      <c r="B40" s="12" t="s">
        <v>51</v>
      </c>
      <c r="C40" s="12" t="s">
        <v>52</v>
      </c>
      <c r="D40" s="12" t="s">
        <v>135</v>
      </c>
      <c r="E40" s="12" t="s">
        <v>249</v>
      </c>
      <c r="F40" s="12" t="s">
        <v>693</v>
      </c>
      <c r="G40" s="12" t="s">
        <v>685</v>
      </c>
      <c r="H40" s="12" t="s">
        <v>686</v>
      </c>
      <c r="I40" s="12" t="s">
        <v>687</v>
      </c>
    </row>
    <row r="41" customFormat="false" ht="15" hidden="false" customHeight="false" outlineLevel="0" collapsed="false">
      <c r="A41" s="12" t="s">
        <v>726</v>
      </c>
      <c r="B41" s="12" t="s">
        <v>51</v>
      </c>
      <c r="C41" s="12" t="s">
        <v>52</v>
      </c>
      <c r="D41" s="12" t="s">
        <v>140</v>
      </c>
      <c r="E41" s="12" t="s">
        <v>252</v>
      </c>
      <c r="F41" s="12" t="s">
        <v>695</v>
      </c>
      <c r="G41" s="12" t="s">
        <v>685</v>
      </c>
      <c r="H41" s="12" t="s">
        <v>686</v>
      </c>
      <c r="I41" s="12" t="s">
        <v>687</v>
      </c>
    </row>
    <row r="42" customFormat="false" ht="15" hidden="false" customHeight="false" outlineLevel="0" collapsed="false">
      <c r="A42" s="15" t="s">
        <v>727</v>
      </c>
      <c r="B42" s="15" t="s">
        <v>51</v>
      </c>
      <c r="C42" s="15" t="s">
        <v>52</v>
      </c>
      <c r="D42" s="15" t="s">
        <v>146</v>
      </c>
      <c r="E42" s="15" t="s">
        <v>255</v>
      </c>
      <c r="F42" s="15" t="s">
        <v>697</v>
      </c>
      <c r="G42" s="15" t="s">
        <v>685</v>
      </c>
      <c r="H42" s="15" t="s">
        <v>686</v>
      </c>
      <c r="I42" s="15" t="s">
        <v>687</v>
      </c>
    </row>
  </sheetData>
  <mergeCells count="2">
    <mergeCell ref="A2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7" min="6" style="1" width="58"/>
    <col collapsed="false" customWidth="true" hidden="false" outlineLevel="0" max="8" min="8" style="1" width="22"/>
    <col collapsed="false" customWidth="true" hidden="false" outlineLevel="0" max="9" min="9" style="1" width="18"/>
  </cols>
  <sheetData>
    <row r="2" customFormat="false" ht="24" hidden="false" customHeight="true" outlineLevel="0" collapsed="false">
      <c r="A2" s="2" t="s">
        <v>728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24" t="s">
        <v>729</v>
      </c>
      <c r="B4" s="24"/>
      <c r="C4" s="24"/>
      <c r="D4" s="24"/>
      <c r="E4" s="24"/>
      <c r="F4" s="24"/>
      <c r="G4" s="24"/>
      <c r="H4" s="24"/>
      <c r="I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</row>
    <row r="6" customFormat="false" ht="24" hidden="false" customHeight="true" outlineLevel="0" collapsed="false">
      <c r="A6" s="25" t="s">
        <v>730</v>
      </c>
      <c r="B6" s="26" t="s">
        <v>21</v>
      </c>
      <c r="C6" s="26" t="s">
        <v>22</v>
      </c>
      <c r="D6" s="26" t="s">
        <v>731</v>
      </c>
      <c r="E6" s="26" t="s">
        <v>732</v>
      </c>
      <c r="F6" s="26" t="s">
        <v>733</v>
      </c>
      <c r="G6" s="26" t="s">
        <v>734</v>
      </c>
      <c r="H6" s="26" t="s">
        <v>735</v>
      </c>
      <c r="I6" s="27" t="s">
        <v>4</v>
      </c>
    </row>
    <row r="7" customFormat="false" ht="15" hidden="false" customHeight="false" outlineLevel="0" collapsed="false">
      <c r="A7" s="8" t="s">
        <v>736</v>
      </c>
      <c r="B7" s="8" t="s">
        <v>31</v>
      </c>
      <c r="C7" s="8" t="s">
        <v>32</v>
      </c>
      <c r="D7" s="8" t="s">
        <v>737</v>
      </c>
      <c r="E7" s="8" t="s">
        <v>738</v>
      </c>
      <c r="F7" s="8" t="s">
        <v>739</v>
      </c>
      <c r="G7" s="8" t="s">
        <v>740</v>
      </c>
      <c r="H7" s="8" t="s">
        <v>741</v>
      </c>
      <c r="I7" s="8" t="s">
        <v>742</v>
      </c>
    </row>
    <row r="8" customFormat="false" ht="15" hidden="false" customHeight="false" outlineLevel="0" collapsed="false">
      <c r="A8" s="12" t="s">
        <v>743</v>
      </c>
      <c r="B8" s="12" t="s">
        <v>31</v>
      </c>
      <c r="C8" s="12" t="s">
        <v>32</v>
      </c>
      <c r="D8" s="12" t="s">
        <v>744</v>
      </c>
      <c r="E8" s="12" t="s">
        <v>745</v>
      </c>
      <c r="F8" s="12" t="s">
        <v>746</v>
      </c>
      <c r="G8" s="12" t="s">
        <v>747</v>
      </c>
      <c r="H8" s="12" t="s">
        <v>741</v>
      </c>
      <c r="I8" s="12" t="s">
        <v>742</v>
      </c>
    </row>
    <row r="9" customFormat="false" ht="15" hidden="false" customHeight="false" outlineLevel="0" collapsed="false">
      <c r="A9" s="12" t="s">
        <v>748</v>
      </c>
      <c r="B9" s="12" t="s">
        <v>31</v>
      </c>
      <c r="C9" s="12" t="s">
        <v>32</v>
      </c>
      <c r="D9" s="12" t="s">
        <v>749</v>
      </c>
      <c r="E9" s="12" t="s">
        <v>750</v>
      </c>
      <c r="F9" s="12" t="s">
        <v>751</v>
      </c>
      <c r="G9" s="12" t="s">
        <v>752</v>
      </c>
      <c r="H9" s="12" t="s">
        <v>741</v>
      </c>
      <c r="I9" s="12" t="s">
        <v>742</v>
      </c>
    </row>
    <row r="10" customFormat="false" ht="15" hidden="false" customHeight="false" outlineLevel="0" collapsed="false">
      <c r="A10" s="12" t="s">
        <v>753</v>
      </c>
      <c r="B10" s="12" t="s">
        <v>31</v>
      </c>
      <c r="C10" s="12" t="s">
        <v>32</v>
      </c>
      <c r="D10" s="12" t="s">
        <v>754</v>
      </c>
      <c r="E10" s="12" t="s">
        <v>755</v>
      </c>
      <c r="F10" s="12" t="s">
        <v>756</v>
      </c>
      <c r="G10" s="12" t="s">
        <v>757</v>
      </c>
      <c r="H10" s="12" t="s">
        <v>741</v>
      </c>
      <c r="I10" s="12" t="s">
        <v>742</v>
      </c>
    </row>
    <row r="11" customFormat="false" ht="15" hidden="false" customHeight="false" outlineLevel="0" collapsed="false">
      <c r="A11" s="12" t="s">
        <v>758</v>
      </c>
      <c r="B11" s="12" t="s">
        <v>35</v>
      </c>
      <c r="C11" s="12" t="s">
        <v>36</v>
      </c>
      <c r="D11" s="12" t="s">
        <v>759</v>
      </c>
      <c r="E11" s="12" t="s">
        <v>760</v>
      </c>
      <c r="F11" s="12" t="s">
        <v>761</v>
      </c>
      <c r="G11" s="12" t="s">
        <v>762</v>
      </c>
      <c r="H11" s="12" t="s">
        <v>741</v>
      </c>
      <c r="I11" s="12" t="s">
        <v>742</v>
      </c>
    </row>
    <row r="12" customFormat="false" ht="15" hidden="false" customHeight="false" outlineLevel="0" collapsed="false">
      <c r="A12" s="12" t="s">
        <v>763</v>
      </c>
      <c r="B12" s="12" t="s">
        <v>35</v>
      </c>
      <c r="C12" s="12" t="s">
        <v>36</v>
      </c>
      <c r="D12" s="12" t="s">
        <v>764</v>
      </c>
      <c r="E12" s="12" t="s">
        <v>765</v>
      </c>
      <c r="F12" s="12" t="s">
        <v>766</v>
      </c>
      <c r="G12" s="12" t="s">
        <v>767</v>
      </c>
      <c r="H12" s="12" t="s">
        <v>741</v>
      </c>
      <c r="I12" s="12" t="s">
        <v>742</v>
      </c>
    </row>
    <row r="13" customFormat="false" ht="15" hidden="false" customHeight="false" outlineLevel="0" collapsed="false">
      <c r="A13" s="12" t="s">
        <v>768</v>
      </c>
      <c r="B13" s="12" t="s">
        <v>35</v>
      </c>
      <c r="C13" s="12" t="s">
        <v>36</v>
      </c>
      <c r="D13" s="12" t="s">
        <v>769</v>
      </c>
      <c r="E13" s="12" t="s">
        <v>770</v>
      </c>
      <c r="F13" s="12" t="s">
        <v>771</v>
      </c>
      <c r="G13" s="12" t="s">
        <v>772</v>
      </c>
      <c r="H13" s="12" t="s">
        <v>741</v>
      </c>
      <c r="I13" s="12" t="s">
        <v>742</v>
      </c>
    </row>
    <row r="14" customFormat="false" ht="15" hidden="false" customHeight="false" outlineLevel="0" collapsed="false">
      <c r="A14" s="12" t="s">
        <v>773</v>
      </c>
      <c r="B14" s="12" t="s">
        <v>35</v>
      </c>
      <c r="C14" s="12" t="s">
        <v>36</v>
      </c>
      <c r="D14" s="12" t="s">
        <v>774</v>
      </c>
      <c r="E14" s="12" t="s">
        <v>775</v>
      </c>
      <c r="F14" s="12" t="s">
        <v>776</v>
      </c>
      <c r="G14" s="12" t="s">
        <v>777</v>
      </c>
      <c r="H14" s="12" t="s">
        <v>741</v>
      </c>
      <c r="I14" s="12" t="s">
        <v>742</v>
      </c>
    </row>
    <row r="15" customFormat="false" ht="15" hidden="false" customHeight="false" outlineLevel="0" collapsed="false">
      <c r="A15" s="12" t="s">
        <v>778</v>
      </c>
      <c r="B15" s="12" t="s">
        <v>39</v>
      </c>
      <c r="C15" s="12" t="s">
        <v>40</v>
      </c>
      <c r="D15" s="12" t="s">
        <v>779</v>
      </c>
      <c r="E15" s="12" t="s">
        <v>780</v>
      </c>
      <c r="F15" s="12" t="s">
        <v>781</v>
      </c>
      <c r="G15" s="12" t="s">
        <v>782</v>
      </c>
      <c r="H15" s="12" t="s">
        <v>741</v>
      </c>
      <c r="I15" s="12" t="s">
        <v>742</v>
      </c>
    </row>
    <row r="16" customFormat="false" ht="15" hidden="false" customHeight="false" outlineLevel="0" collapsed="false">
      <c r="A16" s="12" t="s">
        <v>783</v>
      </c>
      <c r="B16" s="12" t="s">
        <v>39</v>
      </c>
      <c r="C16" s="12" t="s">
        <v>40</v>
      </c>
      <c r="D16" s="12" t="s">
        <v>784</v>
      </c>
      <c r="E16" s="12" t="s">
        <v>785</v>
      </c>
      <c r="F16" s="12" t="s">
        <v>786</v>
      </c>
      <c r="G16" s="12" t="s">
        <v>787</v>
      </c>
      <c r="H16" s="12" t="s">
        <v>741</v>
      </c>
      <c r="I16" s="12" t="s">
        <v>742</v>
      </c>
    </row>
    <row r="17" customFormat="false" ht="15" hidden="false" customHeight="false" outlineLevel="0" collapsed="false">
      <c r="A17" s="12" t="s">
        <v>788</v>
      </c>
      <c r="B17" s="12" t="s">
        <v>39</v>
      </c>
      <c r="C17" s="12" t="s">
        <v>40</v>
      </c>
      <c r="D17" s="12" t="s">
        <v>789</v>
      </c>
      <c r="E17" s="12" t="s">
        <v>790</v>
      </c>
      <c r="F17" s="12" t="s">
        <v>791</v>
      </c>
      <c r="G17" s="12" t="s">
        <v>792</v>
      </c>
      <c r="H17" s="12" t="s">
        <v>741</v>
      </c>
      <c r="I17" s="12" t="s">
        <v>742</v>
      </c>
    </row>
    <row r="18" customFormat="false" ht="15" hidden="false" customHeight="false" outlineLevel="0" collapsed="false">
      <c r="A18" s="12" t="s">
        <v>793</v>
      </c>
      <c r="B18" s="12" t="s">
        <v>39</v>
      </c>
      <c r="C18" s="12" t="s">
        <v>40</v>
      </c>
      <c r="D18" s="12" t="s">
        <v>794</v>
      </c>
      <c r="E18" s="12" t="s">
        <v>795</v>
      </c>
      <c r="F18" s="12" t="s">
        <v>796</v>
      </c>
      <c r="G18" s="12" t="s">
        <v>797</v>
      </c>
      <c r="H18" s="12" t="s">
        <v>741</v>
      </c>
      <c r="I18" s="12" t="s">
        <v>742</v>
      </c>
    </row>
    <row r="19" customFormat="false" ht="15" hidden="false" customHeight="false" outlineLevel="0" collapsed="false">
      <c r="A19" s="12" t="s">
        <v>798</v>
      </c>
      <c r="B19" s="12" t="s">
        <v>43</v>
      </c>
      <c r="C19" s="12" t="s">
        <v>44</v>
      </c>
      <c r="D19" s="12" t="s">
        <v>799</v>
      </c>
      <c r="E19" s="12" t="s">
        <v>800</v>
      </c>
      <c r="F19" s="12" t="s">
        <v>801</v>
      </c>
      <c r="G19" s="12" t="s">
        <v>802</v>
      </c>
      <c r="H19" s="12" t="s">
        <v>741</v>
      </c>
      <c r="I19" s="12" t="s">
        <v>742</v>
      </c>
    </row>
    <row r="20" customFormat="false" ht="15" hidden="false" customHeight="false" outlineLevel="0" collapsed="false">
      <c r="A20" s="12" t="s">
        <v>803</v>
      </c>
      <c r="B20" s="12" t="s">
        <v>43</v>
      </c>
      <c r="C20" s="12" t="s">
        <v>44</v>
      </c>
      <c r="D20" s="12" t="s">
        <v>804</v>
      </c>
      <c r="E20" s="12" t="s">
        <v>805</v>
      </c>
      <c r="F20" s="12" t="s">
        <v>806</v>
      </c>
      <c r="G20" s="12" t="s">
        <v>807</v>
      </c>
      <c r="H20" s="12" t="s">
        <v>741</v>
      </c>
      <c r="I20" s="12" t="s">
        <v>742</v>
      </c>
    </row>
    <row r="21" customFormat="false" ht="15" hidden="false" customHeight="false" outlineLevel="0" collapsed="false">
      <c r="A21" s="12" t="s">
        <v>808</v>
      </c>
      <c r="B21" s="12" t="s">
        <v>43</v>
      </c>
      <c r="C21" s="12" t="s">
        <v>44</v>
      </c>
      <c r="D21" s="12" t="s">
        <v>809</v>
      </c>
      <c r="E21" s="12" t="s">
        <v>810</v>
      </c>
      <c r="F21" s="12" t="s">
        <v>811</v>
      </c>
      <c r="G21" s="12" t="s">
        <v>812</v>
      </c>
      <c r="H21" s="12" t="s">
        <v>741</v>
      </c>
      <c r="I21" s="12" t="s">
        <v>742</v>
      </c>
    </row>
    <row r="22" customFormat="false" ht="15" hidden="false" customHeight="false" outlineLevel="0" collapsed="false">
      <c r="A22" s="12" t="s">
        <v>813</v>
      </c>
      <c r="B22" s="12" t="s">
        <v>43</v>
      </c>
      <c r="C22" s="12" t="s">
        <v>44</v>
      </c>
      <c r="D22" s="12" t="s">
        <v>814</v>
      </c>
      <c r="E22" s="12" t="s">
        <v>815</v>
      </c>
      <c r="F22" s="12" t="s">
        <v>816</v>
      </c>
      <c r="G22" s="12" t="s">
        <v>817</v>
      </c>
      <c r="H22" s="12" t="s">
        <v>741</v>
      </c>
      <c r="I22" s="12" t="s">
        <v>742</v>
      </c>
    </row>
    <row r="23" customFormat="false" ht="15" hidden="false" customHeight="false" outlineLevel="0" collapsed="false">
      <c r="A23" s="12" t="s">
        <v>818</v>
      </c>
      <c r="B23" s="12" t="s">
        <v>47</v>
      </c>
      <c r="C23" s="12" t="s">
        <v>48</v>
      </c>
      <c r="D23" s="12" t="s">
        <v>819</v>
      </c>
      <c r="E23" s="12" t="s">
        <v>820</v>
      </c>
      <c r="F23" s="12" t="s">
        <v>821</v>
      </c>
      <c r="G23" s="12" t="s">
        <v>822</v>
      </c>
      <c r="H23" s="12" t="s">
        <v>741</v>
      </c>
      <c r="I23" s="12" t="s">
        <v>742</v>
      </c>
    </row>
    <row r="24" customFormat="false" ht="15" hidden="false" customHeight="false" outlineLevel="0" collapsed="false">
      <c r="A24" s="12" t="s">
        <v>823</v>
      </c>
      <c r="B24" s="12" t="s">
        <v>47</v>
      </c>
      <c r="C24" s="12" t="s">
        <v>48</v>
      </c>
      <c r="D24" s="12" t="s">
        <v>824</v>
      </c>
      <c r="E24" s="12" t="s">
        <v>825</v>
      </c>
      <c r="F24" s="12" t="s">
        <v>826</v>
      </c>
      <c r="G24" s="12" t="s">
        <v>827</v>
      </c>
      <c r="H24" s="12" t="s">
        <v>741</v>
      </c>
      <c r="I24" s="12" t="s">
        <v>742</v>
      </c>
    </row>
    <row r="25" customFormat="false" ht="15" hidden="false" customHeight="false" outlineLevel="0" collapsed="false">
      <c r="A25" s="12" t="s">
        <v>828</v>
      </c>
      <c r="B25" s="12" t="s">
        <v>47</v>
      </c>
      <c r="C25" s="12" t="s">
        <v>48</v>
      </c>
      <c r="D25" s="12" t="s">
        <v>829</v>
      </c>
      <c r="E25" s="12" t="s">
        <v>830</v>
      </c>
      <c r="F25" s="12" t="s">
        <v>831</v>
      </c>
      <c r="G25" s="12" t="s">
        <v>832</v>
      </c>
      <c r="H25" s="12" t="s">
        <v>741</v>
      </c>
      <c r="I25" s="12" t="s">
        <v>742</v>
      </c>
    </row>
    <row r="26" customFormat="false" ht="15" hidden="false" customHeight="false" outlineLevel="0" collapsed="false">
      <c r="A26" s="12" t="s">
        <v>833</v>
      </c>
      <c r="B26" s="12" t="s">
        <v>47</v>
      </c>
      <c r="C26" s="12" t="s">
        <v>48</v>
      </c>
      <c r="D26" s="12" t="s">
        <v>834</v>
      </c>
      <c r="E26" s="12" t="s">
        <v>835</v>
      </c>
      <c r="F26" s="12" t="s">
        <v>836</v>
      </c>
      <c r="G26" s="12" t="s">
        <v>837</v>
      </c>
      <c r="H26" s="12" t="s">
        <v>741</v>
      </c>
      <c r="I26" s="12" t="s">
        <v>742</v>
      </c>
    </row>
    <row r="27" customFormat="false" ht="15" hidden="false" customHeight="false" outlineLevel="0" collapsed="false">
      <c r="A27" s="12" t="s">
        <v>838</v>
      </c>
      <c r="B27" s="12" t="s">
        <v>51</v>
      </c>
      <c r="C27" s="12" t="s">
        <v>52</v>
      </c>
      <c r="D27" s="12" t="s">
        <v>839</v>
      </c>
      <c r="E27" s="12" t="s">
        <v>840</v>
      </c>
      <c r="F27" s="12" t="s">
        <v>841</v>
      </c>
      <c r="G27" s="12" t="s">
        <v>842</v>
      </c>
      <c r="H27" s="12" t="s">
        <v>741</v>
      </c>
      <c r="I27" s="12" t="s">
        <v>742</v>
      </c>
    </row>
    <row r="28" customFormat="false" ht="15" hidden="false" customHeight="false" outlineLevel="0" collapsed="false">
      <c r="A28" s="12" t="s">
        <v>843</v>
      </c>
      <c r="B28" s="12" t="s">
        <v>51</v>
      </c>
      <c r="C28" s="12" t="s">
        <v>52</v>
      </c>
      <c r="D28" s="12" t="s">
        <v>844</v>
      </c>
      <c r="E28" s="12" t="s">
        <v>845</v>
      </c>
      <c r="F28" s="12" t="s">
        <v>846</v>
      </c>
      <c r="G28" s="12" t="s">
        <v>847</v>
      </c>
      <c r="H28" s="12" t="s">
        <v>741</v>
      </c>
      <c r="I28" s="12" t="s">
        <v>742</v>
      </c>
    </row>
    <row r="29" customFormat="false" ht="15" hidden="false" customHeight="false" outlineLevel="0" collapsed="false">
      <c r="A29" s="12" t="s">
        <v>848</v>
      </c>
      <c r="B29" s="12" t="s">
        <v>51</v>
      </c>
      <c r="C29" s="12" t="s">
        <v>52</v>
      </c>
      <c r="D29" s="12" t="s">
        <v>849</v>
      </c>
      <c r="E29" s="12" t="s">
        <v>850</v>
      </c>
      <c r="F29" s="12" t="s">
        <v>851</v>
      </c>
      <c r="G29" s="12" t="s">
        <v>852</v>
      </c>
      <c r="H29" s="12" t="s">
        <v>741</v>
      </c>
      <c r="I29" s="12" t="s">
        <v>742</v>
      </c>
    </row>
    <row r="30" customFormat="false" ht="15" hidden="false" customHeight="false" outlineLevel="0" collapsed="false">
      <c r="A30" s="15" t="s">
        <v>853</v>
      </c>
      <c r="B30" s="15" t="s">
        <v>51</v>
      </c>
      <c r="C30" s="15" t="s">
        <v>52</v>
      </c>
      <c r="D30" s="15" t="s">
        <v>854</v>
      </c>
      <c r="E30" s="15" t="s">
        <v>855</v>
      </c>
      <c r="F30" s="15" t="s">
        <v>856</v>
      </c>
      <c r="G30" s="15" t="s">
        <v>757</v>
      </c>
      <c r="H30" s="15" t="s">
        <v>741</v>
      </c>
      <c r="I30" s="15" t="s">
        <v>742</v>
      </c>
    </row>
  </sheetData>
  <mergeCells count="2">
    <mergeCell ref="A2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17"/>
  </cols>
  <sheetData>
    <row r="2" customFormat="false" ht="24" hidden="false" customHeight="true" outlineLevel="0" collapsed="false">
      <c r="A2" s="2" t="s">
        <v>857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24" t="s">
        <v>858</v>
      </c>
      <c r="B4" s="24"/>
      <c r="C4" s="24"/>
      <c r="D4" s="24"/>
      <c r="E4" s="24"/>
      <c r="F4" s="24"/>
      <c r="G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</row>
    <row r="6" customFormat="false" ht="24" hidden="false" customHeight="true" outlineLevel="0" collapsed="false">
      <c r="A6" s="25" t="s">
        <v>859</v>
      </c>
      <c r="B6" s="26" t="s">
        <v>860</v>
      </c>
      <c r="C6" s="26" t="s">
        <v>22</v>
      </c>
      <c r="D6" s="26" t="s">
        <v>861</v>
      </c>
      <c r="E6" s="26" t="s">
        <v>266</v>
      </c>
      <c r="F6" s="26" t="s">
        <v>862</v>
      </c>
      <c r="G6" s="27" t="s">
        <v>1</v>
      </c>
    </row>
    <row r="7" customFormat="false" ht="15" hidden="false" customHeight="false" outlineLevel="0" collapsed="false">
      <c r="A7" s="8" t="s">
        <v>863</v>
      </c>
      <c r="B7" s="39" t="n">
        <v>0</v>
      </c>
      <c r="C7" s="8" t="s">
        <v>32</v>
      </c>
      <c r="D7" s="40" t="n">
        <v>1.02735346358792</v>
      </c>
      <c r="E7" s="18" t="n">
        <f aca="false">D7*(1-B7)</f>
        <v>1.02735346358792</v>
      </c>
      <c r="F7" s="18" t="n">
        <f aca="false">E7-Controls!$B$8</f>
        <v>0.0273534635879233</v>
      </c>
      <c r="G7" s="19" t="str">
        <f aca="false">IF(F7&gt;=0,"DESIGN CLOSE","NEGATIVE")</f>
        <v>DESIGN CLOSE</v>
      </c>
    </row>
    <row r="8" customFormat="false" ht="15" hidden="false" customHeight="false" outlineLevel="0" collapsed="false">
      <c r="A8" s="12" t="s">
        <v>863</v>
      </c>
      <c r="B8" s="41" t="n">
        <v>0</v>
      </c>
      <c r="C8" s="12" t="s">
        <v>36</v>
      </c>
      <c r="D8" s="42" t="n">
        <v>1.02857142857143</v>
      </c>
      <c r="E8" s="20" t="n">
        <f aca="false">D8*(1-B8)</f>
        <v>1.02857142857143</v>
      </c>
      <c r="F8" s="20" t="n">
        <f aca="false">E8-Controls!$B$8</f>
        <v>0.0285714285714287</v>
      </c>
      <c r="G8" s="21" t="str">
        <f aca="false">IF(F8&gt;=0,"DESIGN CLOSE","NEGATIVE")</f>
        <v>DESIGN CLOSE</v>
      </c>
    </row>
    <row r="9" customFormat="false" ht="15" hidden="false" customHeight="false" outlineLevel="0" collapsed="false">
      <c r="A9" s="12" t="s">
        <v>863</v>
      </c>
      <c r="B9" s="41" t="n">
        <v>0</v>
      </c>
      <c r="C9" s="12" t="s">
        <v>40</v>
      </c>
      <c r="D9" s="42" t="n">
        <v>1.02912621359223</v>
      </c>
      <c r="E9" s="20" t="n">
        <f aca="false">D9*(1-B9)</f>
        <v>1.02912621359223</v>
      </c>
      <c r="F9" s="20" t="n">
        <f aca="false">E9-Controls!$B$8</f>
        <v>0.029126213592233</v>
      </c>
      <c r="G9" s="21" t="str">
        <f aca="false">IF(F9&gt;=0,"DESIGN CLOSE","NEGATIVE")</f>
        <v>DESIGN CLOSE</v>
      </c>
    </row>
    <row r="10" customFormat="false" ht="15" hidden="false" customHeight="false" outlineLevel="0" collapsed="false">
      <c r="A10" s="12" t="s">
        <v>863</v>
      </c>
      <c r="B10" s="41" t="n">
        <v>0</v>
      </c>
      <c r="C10" s="12" t="s">
        <v>44</v>
      </c>
      <c r="D10" s="42" t="n">
        <v>1.0271922767498</v>
      </c>
      <c r="E10" s="20" t="n">
        <f aca="false">D10*(1-B10)</f>
        <v>1.0271922767498</v>
      </c>
      <c r="F10" s="20" t="n">
        <f aca="false">E10-Controls!$B$8</f>
        <v>0.027192276749799</v>
      </c>
      <c r="G10" s="21" t="str">
        <f aca="false">IF(F10&gt;=0,"DESIGN CLOSE","NEGATIVE")</f>
        <v>DESIGN CLOSE</v>
      </c>
    </row>
    <row r="11" customFormat="false" ht="15" hidden="false" customHeight="false" outlineLevel="0" collapsed="false">
      <c r="A11" s="12" t="s">
        <v>863</v>
      </c>
      <c r="B11" s="41" t="n">
        <v>0</v>
      </c>
      <c r="C11" s="12" t="s">
        <v>48</v>
      </c>
      <c r="D11" s="42" t="n">
        <v>1.029</v>
      </c>
      <c r="E11" s="20" t="n">
        <f aca="false">D11*(1-B11)</f>
        <v>1.029</v>
      </c>
      <c r="F11" s="20" t="n">
        <f aca="false">E11-Controls!$B$8</f>
        <v>0.0290000000000001</v>
      </c>
      <c r="G11" s="21" t="str">
        <f aca="false">IF(F11&gt;=0,"DESIGN CLOSE","NEGATIVE")</f>
        <v>DESIGN CLOSE</v>
      </c>
    </row>
    <row r="12" customFormat="false" ht="15" hidden="false" customHeight="false" outlineLevel="0" collapsed="false">
      <c r="A12" s="12" t="s">
        <v>863</v>
      </c>
      <c r="B12" s="41" t="n">
        <v>0</v>
      </c>
      <c r="C12" s="12" t="s">
        <v>52</v>
      </c>
      <c r="D12" s="42" t="n">
        <v>1.0258064516129</v>
      </c>
      <c r="E12" s="20" t="n">
        <f aca="false">D12*(1-B12)</f>
        <v>1.0258064516129</v>
      </c>
      <c r="F12" s="20" t="n">
        <f aca="false">E12-Controls!$B$8</f>
        <v>0.0258064516129033</v>
      </c>
      <c r="G12" s="21" t="str">
        <f aca="false">IF(F12&gt;=0,"DESIGN CLOSE","NEGATIVE")</f>
        <v>DESIGN CLOSE</v>
      </c>
    </row>
    <row r="13" customFormat="false" ht="15" hidden="false" customHeight="false" outlineLevel="0" collapsed="false">
      <c r="A13" s="12" t="s">
        <v>864</v>
      </c>
      <c r="B13" s="41" t="n">
        <v>0.01</v>
      </c>
      <c r="C13" s="12" t="s">
        <v>32</v>
      </c>
      <c r="D13" s="42" t="n">
        <v>1.02735346358792</v>
      </c>
      <c r="E13" s="20" t="n">
        <f aca="false">D13*(1-B13)</f>
        <v>1.01707992895204</v>
      </c>
      <c r="F13" s="20" t="n">
        <f aca="false">E13-Controls!$B$8</f>
        <v>0.017079928952044</v>
      </c>
      <c r="G13" s="21" t="str">
        <f aca="false">IF(F13&gt;=0,"DESIGN CLOSE","NEGATIVE")</f>
        <v>DESIGN CLOSE</v>
      </c>
    </row>
    <row r="14" customFormat="false" ht="15" hidden="false" customHeight="false" outlineLevel="0" collapsed="false">
      <c r="A14" s="12" t="s">
        <v>864</v>
      </c>
      <c r="B14" s="41" t="n">
        <v>0.01</v>
      </c>
      <c r="C14" s="12" t="s">
        <v>36</v>
      </c>
      <c r="D14" s="42" t="n">
        <v>1.02857142857143</v>
      </c>
      <c r="E14" s="20" t="n">
        <f aca="false">D14*(1-B14)</f>
        <v>1.01828571428571</v>
      </c>
      <c r="F14" s="20" t="n">
        <f aca="false">E14-Controls!$B$8</f>
        <v>0.0182857142857145</v>
      </c>
      <c r="G14" s="21" t="str">
        <f aca="false">IF(F14&gt;=0,"DESIGN CLOSE","NEGATIVE")</f>
        <v>DESIGN CLOSE</v>
      </c>
    </row>
    <row r="15" customFormat="false" ht="15" hidden="false" customHeight="false" outlineLevel="0" collapsed="false">
      <c r="A15" s="12" t="s">
        <v>864</v>
      </c>
      <c r="B15" s="41" t="n">
        <v>0.01</v>
      </c>
      <c r="C15" s="12" t="s">
        <v>40</v>
      </c>
      <c r="D15" s="42" t="n">
        <v>1.02912621359223</v>
      </c>
      <c r="E15" s="20" t="n">
        <f aca="false">D15*(1-B15)</f>
        <v>1.01883495145631</v>
      </c>
      <c r="F15" s="20" t="n">
        <f aca="false">E15-Controls!$B$8</f>
        <v>0.0188349514563106</v>
      </c>
      <c r="G15" s="21" t="str">
        <f aca="false">IF(F15&gt;=0,"DESIGN CLOSE","NEGATIVE")</f>
        <v>DESIGN CLOSE</v>
      </c>
    </row>
    <row r="16" customFormat="false" ht="15" hidden="false" customHeight="false" outlineLevel="0" collapsed="false">
      <c r="A16" s="12" t="s">
        <v>864</v>
      </c>
      <c r="B16" s="41" t="n">
        <v>0.01</v>
      </c>
      <c r="C16" s="12" t="s">
        <v>44</v>
      </c>
      <c r="D16" s="42" t="n">
        <v>1.0271922767498</v>
      </c>
      <c r="E16" s="20" t="n">
        <f aca="false">D16*(1-B16)</f>
        <v>1.0169203539823</v>
      </c>
      <c r="F16" s="20" t="n">
        <f aca="false">E16-Controls!$B$8</f>
        <v>0.0169203539823009</v>
      </c>
      <c r="G16" s="21" t="str">
        <f aca="false">IF(F16&gt;=0,"DESIGN CLOSE","NEGATIVE")</f>
        <v>DESIGN CLOSE</v>
      </c>
    </row>
    <row r="17" customFormat="false" ht="15" hidden="false" customHeight="false" outlineLevel="0" collapsed="false">
      <c r="A17" s="12" t="s">
        <v>864</v>
      </c>
      <c r="B17" s="41" t="n">
        <v>0.01</v>
      </c>
      <c r="C17" s="12" t="s">
        <v>48</v>
      </c>
      <c r="D17" s="42" t="n">
        <v>1.029</v>
      </c>
      <c r="E17" s="20" t="n">
        <f aca="false">D17*(1-B17)</f>
        <v>1.01871</v>
      </c>
      <c r="F17" s="20" t="n">
        <f aca="false">E17-Controls!$B$8</f>
        <v>0.0187100000000002</v>
      </c>
      <c r="G17" s="21" t="str">
        <f aca="false">IF(F17&gt;=0,"DESIGN CLOSE","NEGATIVE")</f>
        <v>DESIGN CLOSE</v>
      </c>
    </row>
    <row r="18" customFormat="false" ht="15" hidden="false" customHeight="false" outlineLevel="0" collapsed="false">
      <c r="A18" s="12" t="s">
        <v>864</v>
      </c>
      <c r="B18" s="41" t="n">
        <v>0.01</v>
      </c>
      <c r="C18" s="12" t="s">
        <v>52</v>
      </c>
      <c r="D18" s="42" t="n">
        <v>1.0258064516129</v>
      </c>
      <c r="E18" s="20" t="n">
        <f aca="false">D18*(1-B18)</f>
        <v>1.01554838709677</v>
      </c>
      <c r="F18" s="20" t="n">
        <f aca="false">E18-Controls!$B$8</f>
        <v>0.0155483870967743</v>
      </c>
      <c r="G18" s="21" t="str">
        <f aca="false">IF(F18&gt;=0,"DESIGN CLOSE","NEGATIVE")</f>
        <v>DESIGN CLOSE</v>
      </c>
    </row>
    <row r="19" customFormat="false" ht="15" hidden="false" customHeight="false" outlineLevel="0" collapsed="false">
      <c r="A19" s="12" t="s">
        <v>865</v>
      </c>
      <c r="B19" s="41" t="n">
        <v>0.025</v>
      </c>
      <c r="C19" s="12" t="s">
        <v>32</v>
      </c>
      <c r="D19" s="42" t="n">
        <v>1.02735346358792</v>
      </c>
      <c r="E19" s="20" t="n">
        <f aca="false">D19*(1-B19)</f>
        <v>1.00166962699823</v>
      </c>
      <c r="F19" s="20" t="n">
        <f aca="false">E19-Controls!$B$8</f>
        <v>0.00166962699822526</v>
      </c>
      <c r="G19" s="21" t="str">
        <f aca="false">IF(F19&gt;=0,"DESIGN CLOSE","NEGATIVE")</f>
        <v>DESIGN CLOSE</v>
      </c>
    </row>
    <row r="20" customFormat="false" ht="15" hidden="false" customHeight="false" outlineLevel="0" collapsed="false">
      <c r="A20" s="12" t="s">
        <v>865</v>
      </c>
      <c r="B20" s="41" t="n">
        <v>0.025</v>
      </c>
      <c r="C20" s="12" t="s">
        <v>36</v>
      </c>
      <c r="D20" s="42" t="n">
        <v>1.02857142857143</v>
      </c>
      <c r="E20" s="20" t="n">
        <f aca="false">D20*(1-B20)</f>
        <v>1.00285714285714</v>
      </c>
      <c r="F20" s="20" t="n">
        <f aca="false">E20-Controls!$B$8</f>
        <v>0.00285714285714289</v>
      </c>
      <c r="G20" s="21" t="str">
        <f aca="false">IF(F20&gt;=0,"DESIGN CLOSE","NEGATIVE")</f>
        <v>DESIGN CLOSE</v>
      </c>
    </row>
    <row r="21" customFormat="false" ht="15" hidden="false" customHeight="false" outlineLevel="0" collapsed="false">
      <c r="A21" s="12" t="s">
        <v>865</v>
      </c>
      <c r="B21" s="41" t="n">
        <v>0.025</v>
      </c>
      <c r="C21" s="12" t="s">
        <v>40</v>
      </c>
      <c r="D21" s="42" t="n">
        <v>1.02912621359223</v>
      </c>
      <c r="E21" s="20" t="n">
        <f aca="false">D21*(1-B21)</f>
        <v>1.00339805825243</v>
      </c>
      <c r="F21" s="20" t="n">
        <f aca="false">E21-Controls!$B$8</f>
        <v>0.00339805825242712</v>
      </c>
      <c r="G21" s="21" t="str">
        <f aca="false">IF(F21&gt;=0,"DESIGN CLOSE","NEGATIVE")</f>
        <v>DESIGN CLOSE</v>
      </c>
    </row>
    <row r="22" customFormat="false" ht="15" hidden="false" customHeight="false" outlineLevel="0" collapsed="false">
      <c r="A22" s="12" t="s">
        <v>865</v>
      </c>
      <c r="B22" s="41" t="n">
        <v>0.025</v>
      </c>
      <c r="C22" s="12" t="s">
        <v>44</v>
      </c>
      <c r="D22" s="42" t="n">
        <v>1.0271922767498</v>
      </c>
      <c r="E22" s="20" t="n">
        <f aca="false">D22*(1-B22)</f>
        <v>1.00151246983105</v>
      </c>
      <c r="F22" s="20" t="n">
        <f aca="false">E22-Controls!$B$8</f>
        <v>0.00151246983105402</v>
      </c>
      <c r="G22" s="21" t="str">
        <f aca="false">IF(F22&gt;=0,"DESIGN CLOSE","NEGATIVE")</f>
        <v>DESIGN CLOSE</v>
      </c>
    </row>
    <row r="23" customFormat="false" ht="15" hidden="false" customHeight="false" outlineLevel="0" collapsed="false">
      <c r="A23" s="12" t="s">
        <v>865</v>
      </c>
      <c r="B23" s="41" t="n">
        <v>0.025</v>
      </c>
      <c r="C23" s="12" t="s">
        <v>48</v>
      </c>
      <c r="D23" s="42" t="n">
        <v>1.029</v>
      </c>
      <c r="E23" s="20" t="n">
        <f aca="false">D23*(1-B23)</f>
        <v>1.003275</v>
      </c>
      <c r="F23" s="20" t="n">
        <f aca="false">E23-Controls!$B$8</f>
        <v>0.00327500000000014</v>
      </c>
      <c r="G23" s="21" t="str">
        <f aca="false">IF(F23&gt;=0,"DESIGN CLOSE","NEGATIVE")</f>
        <v>DESIGN CLOSE</v>
      </c>
    </row>
    <row r="24" customFormat="false" ht="15" hidden="false" customHeight="false" outlineLevel="0" collapsed="false">
      <c r="A24" s="12" t="s">
        <v>865</v>
      </c>
      <c r="B24" s="41" t="n">
        <v>0.025</v>
      </c>
      <c r="C24" s="12" t="s">
        <v>52</v>
      </c>
      <c r="D24" s="42" t="n">
        <v>1.0258064516129</v>
      </c>
      <c r="E24" s="20" t="n">
        <f aca="false">D24*(1-B24)</f>
        <v>1.00016129032258</v>
      </c>
      <c r="F24" s="20" t="n">
        <f aca="false">E24-Controls!$B$8</f>
        <v>0.000161290322580721</v>
      </c>
      <c r="G24" s="21" t="str">
        <f aca="false">IF(F24&gt;=0,"DESIGN CLOSE","NEGATIVE")</f>
        <v>DESIGN CLOSE</v>
      </c>
    </row>
    <row r="25" customFormat="false" ht="15" hidden="false" customHeight="false" outlineLevel="0" collapsed="false">
      <c r="A25" s="12" t="s">
        <v>866</v>
      </c>
      <c r="B25" s="41" t="n">
        <v>0.05</v>
      </c>
      <c r="C25" s="12" t="s">
        <v>32</v>
      </c>
      <c r="D25" s="42" t="n">
        <v>1.02735346358792</v>
      </c>
      <c r="E25" s="20" t="n">
        <f aca="false">D25*(1-B25)</f>
        <v>0.975985790408527</v>
      </c>
      <c r="F25" s="20" t="n">
        <f aca="false">E25-Controls!$B$8</f>
        <v>-0.0240142095914728</v>
      </c>
      <c r="G25" s="21" t="str">
        <f aca="false">IF(F25&gt;=0,"DESIGN CLOSE","NEGATIVE")</f>
        <v>NEGATIVE</v>
      </c>
    </row>
    <row r="26" customFormat="false" ht="15" hidden="false" customHeight="false" outlineLevel="0" collapsed="false">
      <c r="A26" s="12" t="s">
        <v>866</v>
      </c>
      <c r="B26" s="41" t="n">
        <v>0.05</v>
      </c>
      <c r="C26" s="12" t="s">
        <v>36</v>
      </c>
      <c r="D26" s="42" t="n">
        <v>1.02857142857143</v>
      </c>
      <c r="E26" s="20" t="n">
        <f aca="false">D26*(1-B26)</f>
        <v>0.977142857142857</v>
      </c>
      <c r="F26" s="20" t="n">
        <f aca="false">E26-Controls!$B$8</f>
        <v>-0.0228571428571428</v>
      </c>
      <c r="G26" s="21" t="str">
        <f aca="false">IF(F26&gt;=0,"DESIGN CLOSE","NEGATIVE")</f>
        <v>NEGATIVE</v>
      </c>
    </row>
    <row r="27" customFormat="false" ht="15" hidden="false" customHeight="false" outlineLevel="0" collapsed="false">
      <c r="A27" s="12" t="s">
        <v>866</v>
      </c>
      <c r="B27" s="41" t="n">
        <v>0.05</v>
      </c>
      <c r="C27" s="12" t="s">
        <v>40</v>
      </c>
      <c r="D27" s="42" t="n">
        <v>1.02912621359223</v>
      </c>
      <c r="E27" s="20" t="n">
        <f aca="false">D27*(1-B27)</f>
        <v>0.977669902912621</v>
      </c>
      <c r="F27" s="20" t="n">
        <f aca="false">E27-Controls!$B$8</f>
        <v>-0.0223300970873787</v>
      </c>
      <c r="G27" s="21" t="str">
        <f aca="false">IF(F27&gt;=0,"DESIGN CLOSE","NEGATIVE")</f>
        <v>NEGATIVE</v>
      </c>
    </row>
    <row r="28" customFormat="false" ht="15" hidden="false" customHeight="false" outlineLevel="0" collapsed="false">
      <c r="A28" s="12" t="s">
        <v>866</v>
      </c>
      <c r="B28" s="41" t="n">
        <v>0.05</v>
      </c>
      <c r="C28" s="12" t="s">
        <v>44</v>
      </c>
      <c r="D28" s="42" t="n">
        <v>1.0271922767498</v>
      </c>
      <c r="E28" s="20" t="n">
        <f aca="false">D28*(1-B28)</f>
        <v>0.975832662912309</v>
      </c>
      <c r="F28" s="20" t="n">
        <f aca="false">E28-Controls!$B$8</f>
        <v>-0.024167337087691</v>
      </c>
      <c r="G28" s="21" t="str">
        <f aca="false">IF(F28&gt;=0,"DESIGN CLOSE","NEGATIVE")</f>
        <v>NEGATIVE</v>
      </c>
    </row>
    <row r="29" customFormat="false" ht="15" hidden="false" customHeight="false" outlineLevel="0" collapsed="false">
      <c r="A29" s="12" t="s">
        <v>866</v>
      </c>
      <c r="B29" s="41" t="n">
        <v>0.05</v>
      </c>
      <c r="C29" s="12" t="s">
        <v>48</v>
      </c>
      <c r="D29" s="42" t="n">
        <v>1.029</v>
      </c>
      <c r="E29" s="20" t="n">
        <f aca="false">D29*(1-B29)</f>
        <v>0.97755</v>
      </c>
      <c r="F29" s="20" t="n">
        <f aca="false">E29-Controls!$B$8</f>
        <v>-0.02245</v>
      </c>
      <c r="G29" s="21" t="str">
        <f aca="false">IF(F29&gt;=0,"DESIGN CLOSE","NEGATIVE")</f>
        <v>NEGATIVE</v>
      </c>
    </row>
    <row r="30" customFormat="false" ht="15" hidden="false" customHeight="false" outlineLevel="0" collapsed="false">
      <c r="A30" s="12" t="s">
        <v>866</v>
      </c>
      <c r="B30" s="41" t="n">
        <v>0.05</v>
      </c>
      <c r="C30" s="12" t="s">
        <v>52</v>
      </c>
      <c r="D30" s="42" t="n">
        <v>1.0258064516129</v>
      </c>
      <c r="E30" s="20" t="n">
        <f aca="false">D30*(1-B30)</f>
        <v>0.974516129032258</v>
      </c>
      <c r="F30" s="20" t="n">
        <f aca="false">E30-Controls!$B$8</f>
        <v>-0.025483870967742</v>
      </c>
      <c r="G30" s="21" t="str">
        <f aca="false">IF(F30&gt;=0,"DESIGN CLOSE","NEGATIVE")</f>
        <v>NEGATIVE</v>
      </c>
    </row>
    <row r="31" customFormat="false" ht="15" hidden="false" customHeight="false" outlineLevel="0" collapsed="false">
      <c r="A31" s="12" t="s">
        <v>867</v>
      </c>
      <c r="B31" s="41" t="n">
        <v>0.1</v>
      </c>
      <c r="C31" s="12" t="s">
        <v>32</v>
      </c>
      <c r="D31" s="42" t="n">
        <v>1.02735346358792</v>
      </c>
      <c r="E31" s="20" t="n">
        <f aca="false">D31*(1-B31)</f>
        <v>0.924618117229131</v>
      </c>
      <c r="F31" s="20" t="n">
        <f aca="false">E31-Controls!$B$8</f>
        <v>-0.075381882770869</v>
      </c>
      <c r="G31" s="21" t="str">
        <f aca="false">IF(F31&gt;=0,"DESIGN CLOSE","NEGATIVE")</f>
        <v>NEGATIVE</v>
      </c>
    </row>
    <row r="32" customFormat="false" ht="15" hidden="false" customHeight="false" outlineLevel="0" collapsed="false">
      <c r="A32" s="12" t="s">
        <v>867</v>
      </c>
      <c r="B32" s="41" t="n">
        <v>0.1</v>
      </c>
      <c r="C32" s="12" t="s">
        <v>36</v>
      </c>
      <c r="D32" s="42" t="n">
        <v>1.02857142857143</v>
      </c>
      <c r="E32" s="20" t="n">
        <f aca="false">D32*(1-B32)</f>
        <v>0.925714285714286</v>
      </c>
      <c r="F32" s="20" t="n">
        <f aca="false">E32-Controls!$B$8</f>
        <v>-0.0742857142857142</v>
      </c>
      <c r="G32" s="21" t="str">
        <f aca="false">IF(F32&gt;=0,"DESIGN CLOSE","NEGATIVE")</f>
        <v>NEGATIVE</v>
      </c>
    </row>
    <row r="33" customFormat="false" ht="15" hidden="false" customHeight="false" outlineLevel="0" collapsed="false">
      <c r="A33" s="12" t="s">
        <v>867</v>
      </c>
      <c r="B33" s="41" t="n">
        <v>0.1</v>
      </c>
      <c r="C33" s="12" t="s">
        <v>40</v>
      </c>
      <c r="D33" s="42" t="n">
        <v>1.02912621359223</v>
      </c>
      <c r="E33" s="20" t="n">
        <f aca="false">D33*(1-B33)</f>
        <v>0.92621359223301</v>
      </c>
      <c r="F33" s="20" t="n">
        <f aca="false">E33-Controls!$B$8</f>
        <v>-0.0737864077669903</v>
      </c>
      <c r="G33" s="21" t="str">
        <f aca="false">IF(F33&gt;=0,"DESIGN CLOSE","NEGATIVE")</f>
        <v>NEGATIVE</v>
      </c>
    </row>
    <row r="34" customFormat="false" ht="15" hidden="false" customHeight="false" outlineLevel="0" collapsed="false">
      <c r="A34" s="12" t="s">
        <v>867</v>
      </c>
      <c r="B34" s="41" t="n">
        <v>0.1</v>
      </c>
      <c r="C34" s="12" t="s">
        <v>44</v>
      </c>
      <c r="D34" s="42" t="n">
        <v>1.0271922767498</v>
      </c>
      <c r="E34" s="20" t="n">
        <f aca="false">D34*(1-B34)</f>
        <v>0.924473049074819</v>
      </c>
      <c r="F34" s="20" t="n">
        <f aca="false">E34-Controls!$B$8</f>
        <v>-0.0755269509251809</v>
      </c>
      <c r="G34" s="21" t="str">
        <f aca="false">IF(F34&gt;=0,"DESIGN CLOSE","NEGATIVE")</f>
        <v>NEGATIVE</v>
      </c>
    </row>
    <row r="35" customFormat="false" ht="15" hidden="false" customHeight="false" outlineLevel="0" collapsed="false">
      <c r="A35" s="12" t="s">
        <v>867</v>
      </c>
      <c r="B35" s="41" t="n">
        <v>0.1</v>
      </c>
      <c r="C35" s="12" t="s">
        <v>48</v>
      </c>
      <c r="D35" s="42" t="n">
        <v>1.029</v>
      </c>
      <c r="E35" s="20" t="n">
        <f aca="false">D35*(1-B35)</f>
        <v>0.9261</v>
      </c>
      <c r="F35" s="20" t="n">
        <f aca="false">E35-Controls!$B$8</f>
        <v>-0.0738999999999999</v>
      </c>
      <c r="G35" s="21" t="str">
        <f aca="false">IF(F35&gt;=0,"DESIGN CLOSE","NEGATIVE")</f>
        <v>NEGATIVE</v>
      </c>
    </row>
    <row r="36" customFormat="false" ht="15" hidden="false" customHeight="false" outlineLevel="0" collapsed="false">
      <c r="A36" s="15" t="s">
        <v>867</v>
      </c>
      <c r="B36" s="43" t="n">
        <v>0.1</v>
      </c>
      <c r="C36" s="15" t="s">
        <v>52</v>
      </c>
      <c r="D36" s="44" t="n">
        <v>1.0258064516129</v>
      </c>
      <c r="E36" s="22" t="n">
        <f aca="false">D36*(1-B36)</f>
        <v>0.923225806451613</v>
      </c>
      <c r="F36" s="22" t="n">
        <f aca="false">E36-Controls!$B$8</f>
        <v>-0.076774193548387</v>
      </c>
      <c r="G36" s="23" t="str">
        <f aca="false">IF(F36&gt;=0,"DESIGN CLOSE","NEGATIVE")</f>
        <v>NEGATIVE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23"/>
    <col collapsed="false" customWidth="true" hidden="false" outlineLevel="0" max="5" min="5" style="1" width="17"/>
    <col collapsed="false" customWidth="true" hidden="false" outlineLevel="0" max="6" min="6" style="1" width="27"/>
    <col collapsed="false" customWidth="true" hidden="false" outlineLevel="0" max="7" min="7" style="1" width="20"/>
    <col collapsed="false" customWidth="true" hidden="false" outlineLevel="0" max="8" min="8" style="1" width="17"/>
    <col collapsed="false" customWidth="true" hidden="false" outlineLevel="0" max="9" min="9" style="1" width="15"/>
  </cols>
  <sheetData>
    <row r="2" customFormat="false" ht="24" hidden="false" customHeight="true" outlineLevel="0" collapsed="false">
      <c r="A2" s="2" t="s">
        <v>868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24" t="s">
        <v>869</v>
      </c>
      <c r="B4" s="24"/>
      <c r="C4" s="24"/>
      <c r="D4" s="24"/>
      <c r="E4" s="24"/>
      <c r="F4" s="24"/>
      <c r="G4" s="24"/>
      <c r="H4" s="24"/>
      <c r="I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</row>
    <row r="6" customFormat="false" ht="24" hidden="false" customHeight="true" outlineLevel="0" collapsed="false">
      <c r="A6" s="25" t="s">
        <v>21</v>
      </c>
      <c r="B6" s="26" t="s">
        <v>22</v>
      </c>
      <c r="C6" s="26" t="s">
        <v>23</v>
      </c>
      <c r="D6" s="26" t="s">
        <v>870</v>
      </c>
      <c r="E6" s="26" t="s">
        <v>77</v>
      </c>
      <c r="F6" s="26" t="s">
        <v>871</v>
      </c>
      <c r="G6" s="26" t="s">
        <v>872</v>
      </c>
      <c r="H6" s="26" t="s">
        <v>873</v>
      </c>
      <c r="I6" s="27" t="s">
        <v>4</v>
      </c>
    </row>
    <row r="7" customFormat="false" ht="15" hidden="false" customHeight="false" outlineLevel="0" collapsed="false">
      <c r="A7" s="8" t="s">
        <v>31</v>
      </c>
      <c r="B7" s="8" t="s">
        <v>32</v>
      </c>
      <c r="C7" s="8" t="s">
        <v>33</v>
      </c>
      <c r="D7" s="45" t="n">
        <v>0.50047461808185</v>
      </c>
      <c r="E7" s="46" t="n">
        <f aca="false">Controls!$B$15</f>
        <v>0.15</v>
      </c>
      <c r="F7" s="47" t="n">
        <f aca="false">D7*E7</f>
        <v>0.0750711927122775</v>
      </c>
      <c r="G7" s="48" t="n">
        <v>0</v>
      </c>
      <c r="H7" s="48" t="n">
        <v>0</v>
      </c>
      <c r="I7" s="10" t="s">
        <v>874</v>
      </c>
    </row>
    <row r="8" customFormat="false" ht="15" hidden="false" customHeight="false" outlineLevel="0" collapsed="false">
      <c r="A8" s="12" t="s">
        <v>35</v>
      </c>
      <c r="B8" s="12" t="s">
        <v>36</v>
      </c>
      <c r="C8" s="12" t="s">
        <v>37</v>
      </c>
      <c r="D8" s="49" t="n">
        <v>0.51649348177396</v>
      </c>
      <c r="E8" s="50" t="n">
        <f aca="false">Controls!$B$15</f>
        <v>0.15</v>
      </c>
      <c r="F8" s="51" t="n">
        <f aca="false">D8*E8</f>
        <v>0.077474022266094</v>
      </c>
      <c r="G8" s="52" t="n">
        <v>0</v>
      </c>
      <c r="H8" s="52" t="n">
        <v>0</v>
      </c>
      <c r="I8" s="14" t="s">
        <v>874</v>
      </c>
    </row>
    <row r="9" customFormat="false" ht="15" hidden="false" customHeight="false" outlineLevel="0" collapsed="false">
      <c r="A9" s="12" t="s">
        <v>39</v>
      </c>
      <c r="B9" s="12" t="s">
        <v>40</v>
      </c>
      <c r="C9" s="12" t="s">
        <v>41</v>
      </c>
      <c r="D9" s="49" t="n">
        <v>0.307221654067133</v>
      </c>
      <c r="E9" s="50" t="n">
        <f aca="false">Controls!$B$15</f>
        <v>0.15</v>
      </c>
      <c r="F9" s="51" t="n">
        <f aca="false">D9*E9</f>
        <v>0.0460832481100699</v>
      </c>
      <c r="G9" s="52" t="n">
        <v>0</v>
      </c>
      <c r="H9" s="52" t="n">
        <v>0</v>
      </c>
      <c r="I9" s="14" t="s">
        <v>874</v>
      </c>
    </row>
    <row r="10" customFormat="false" ht="15" hidden="false" customHeight="false" outlineLevel="0" collapsed="false">
      <c r="A10" s="12" t="s">
        <v>43</v>
      </c>
      <c r="B10" s="12" t="s">
        <v>44</v>
      </c>
      <c r="C10" s="12" t="s">
        <v>45</v>
      </c>
      <c r="D10" s="49" t="n">
        <v>0.899412819320565</v>
      </c>
      <c r="E10" s="50" t="n">
        <f aca="false">Controls!$B$15</f>
        <v>0.15</v>
      </c>
      <c r="F10" s="51" t="n">
        <f aca="false">D10*E10</f>
        <v>0.134911922898085</v>
      </c>
      <c r="G10" s="52" t="n">
        <v>0</v>
      </c>
      <c r="H10" s="52" t="n">
        <v>0</v>
      </c>
      <c r="I10" s="14" t="s">
        <v>874</v>
      </c>
    </row>
    <row r="11" customFormat="false" ht="15" hidden="false" customHeight="false" outlineLevel="0" collapsed="false">
      <c r="A11" s="12" t="s">
        <v>47</v>
      </c>
      <c r="B11" s="12" t="s">
        <v>48</v>
      </c>
      <c r="C11" s="12" t="s">
        <v>49</v>
      </c>
      <c r="D11" s="49" t="n">
        <v>0.860712452941095</v>
      </c>
      <c r="E11" s="50" t="n">
        <f aca="false">Controls!$B$15</f>
        <v>0.15</v>
      </c>
      <c r="F11" s="51" t="n">
        <f aca="false">D11*E11</f>
        <v>0.129106867941164</v>
      </c>
      <c r="G11" s="52" t="n">
        <v>0</v>
      </c>
      <c r="H11" s="52" t="n">
        <v>0</v>
      </c>
      <c r="I11" s="14" t="s">
        <v>874</v>
      </c>
    </row>
    <row r="12" customFormat="false" ht="15" hidden="false" customHeight="false" outlineLevel="0" collapsed="false">
      <c r="A12" s="15" t="s">
        <v>51</v>
      </c>
      <c r="B12" s="15" t="s">
        <v>52</v>
      </c>
      <c r="C12" s="15" t="s">
        <v>53</v>
      </c>
      <c r="D12" s="53" t="n">
        <v>0.502597793135963</v>
      </c>
      <c r="E12" s="54" t="n">
        <f aca="false">Controls!$B$15</f>
        <v>0.15</v>
      </c>
      <c r="F12" s="55" t="n">
        <f aca="false">D12*E12</f>
        <v>0.0753896689703944</v>
      </c>
      <c r="G12" s="56" t="n">
        <v>0</v>
      </c>
      <c r="H12" s="56" t="n">
        <v>0</v>
      </c>
      <c r="I12" s="17" t="s">
        <v>874</v>
      </c>
    </row>
    <row r="13" customFormat="false" ht="24" hidden="false" customHeight="true" outlineLevel="0" collapsed="false">
      <c r="A13" s="57" t="s">
        <v>875</v>
      </c>
      <c r="B13" s="58" t="s">
        <v>876</v>
      </c>
      <c r="C13" s="58" t="s">
        <v>877</v>
      </c>
      <c r="D13" s="59" t="n">
        <f aca="false">SUM(D7:D12)</f>
        <v>3.58691281932057</v>
      </c>
      <c r="E13" s="60"/>
      <c r="F13" s="61" t="n">
        <f aca="false">SUM(F7:F12)</f>
        <v>0.538036922898085</v>
      </c>
      <c r="G13" s="62" t="n">
        <f aca="false">SUM(G7:G12)</f>
        <v>0</v>
      </c>
      <c r="H13" s="62" t="n">
        <f aca="false">SUM(H7:H12)</f>
        <v>0</v>
      </c>
      <c r="I13" s="63" t="s">
        <v>874</v>
      </c>
    </row>
  </sheetData>
  <mergeCells count="2">
    <mergeCell ref="A2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4" min="3" style="1" width="10"/>
    <col collapsed="false" customWidth="true" hidden="false" outlineLevel="0" max="5" min="5" style="1" width="30"/>
    <col collapsed="false" customWidth="true" hidden="false" outlineLevel="0" max="6" min="6" style="1" width="24"/>
    <col collapsed="false" customWidth="true" hidden="false" outlineLevel="0" max="7" min="7" style="1" width="58"/>
    <col collapsed="false" customWidth="true" hidden="false" outlineLevel="0" max="8" min="8" style="1" width="26"/>
    <col collapsed="false" customWidth="true" hidden="false" outlineLevel="0" max="9" min="9" style="1" width="20"/>
    <col collapsed="false" customWidth="true" hidden="false" outlineLevel="0" max="10" min="10" style="1" width="17"/>
    <col collapsed="false" customWidth="true" hidden="false" outlineLevel="0" max="11" min="11" style="1" width="30"/>
    <col collapsed="false" customWidth="true" hidden="false" outlineLevel="0" max="12" min="12" style="1" width="22"/>
  </cols>
  <sheetData>
    <row r="2" customFormat="false" ht="24" hidden="false" customHeight="true" outlineLevel="0" collapsed="false">
      <c r="A2" s="2" t="s">
        <v>878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24" t="s">
        <v>879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24" hidden="false" customHeight="true" outlineLevel="0" collapsed="false">
      <c r="A6" s="25" t="s">
        <v>880</v>
      </c>
      <c r="B6" s="26" t="s">
        <v>21</v>
      </c>
      <c r="C6" s="26" t="s">
        <v>22</v>
      </c>
      <c r="D6" s="26" t="s">
        <v>881</v>
      </c>
      <c r="E6" s="26" t="s">
        <v>882</v>
      </c>
      <c r="F6" s="26" t="s">
        <v>4</v>
      </c>
      <c r="G6" s="26" t="s">
        <v>883</v>
      </c>
      <c r="H6" s="26" t="s">
        <v>884</v>
      </c>
      <c r="I6" s="26" t="s">
        <v>269</v>
      </c>
      <c r="J6" s="26" t="s">
        <v>885</v>
      </c>
      <c r="K6" s="26" t="s">
        <v>886</v>
      </c>
      <c r="L6" s="27" t="s">
        <v>887</v>
      </c>
    </row>
    <row r="7" customFormat="false" ht="15" hidden="false" customHeight="false" outlineLevel="0" collapsed="false">
      <c r="A7" s="8" t="s">
        <v>888</v>
      </c>
      <c r="B7" s="8" t="s">
        <v>31</v>
      </c>
      <c r="C7" s="8" t="s">
        <v>32</v>
      </c>
      <c r="D7" s="8" t="n">
        <v>1</v>
      </c>
      <c r="E7" s="8" t="s">
        <v>889</v>
      </c>
      <c r="F7" s="8" t="s">
        <v>890</v>
      </c>
      <c r="G7" s="8" t="s">
        <v>891</v>
      </c>
      <c r="H7" s="8" t="n">
        <v>1</v>
      </c>
      <c r="I7" s="10" t="n">
        <v>0</v>
      </c>
      <c r="J7" s="10" t="n">
        <v>0</v>
      </c>
      <c r="K7" s="10" t="s">
        <v>892</v>
      </c>
      <c r="L7" s="10" t="s">
        <v>893</v>
      </c>
    </row>
    <row r="8" customFormat="false" ht="15" hidden="false" customHeight="false" outlineLevel="0" collapsed="false">
      <c r="A8" s="12" t="s">
        <v>894</v>
      </c>
      <c r="B8" s="12" t="s">
        <v>31</v>
      </c>
      <c r="C8" s="12" t="s">
        <v>32</v>
      </c>
      <c r="D8" s="12" t="n">
        <v>2</v>
      </c>
      <c r="E8" s="12" t="s">
        <v>895</v>
      </c>
      <c r="F8" s="12" t="s">
        <v>890</v>
      </c>
      <c r="G8" s="12" t="s">
        <v>891</v>
      </c>
      <c r="H8" s="12" t="n">
        <v>1</v>
      </c>
      <c r="I8" s="14" t="n">
        <v>0</v>
      </c>
      <c r="J8" s="14" t="n">
        <v>0</v>
      </c>
      <c r="K8" s="14" t="s">
        <v>892</v>
      </c>
      <c r="L8" s="14" t="s">
        <v>893</v>
      </c>
    </row>
    <row r="9" customFormat="false" ht="15" hidden="false" customHeight="false" outlineLevel="0" collapsed="false">
      <c r="A9" s="12" t="s">
        <v>896</v>
      </c>
      <c r="B9" s="12" t="s">
        <v>31</v>
      </c>
      <c r="C9" s="12" t="s">
        <v>32</v>
      </c>
      <c r="D9" s="12" t="n">
        <v>3</v>
      </c>
      <c r="E9" s="12" t="s">
        <v>897</v>
      </c>
      <c r="F9" s="12" t="s">
        <v>890</v>
      </c>
      <c r="G9" s="12" t="s">
        <v>891</v>
      </c>
      <c r="H9" s="12" t="n">
        <v>1</v>
      </c>
      <c r="I9" s="14" t="n">
        <v>0</v>
      </c>
      <c r="J9" s="14" t="n">
        <v>0</v>
      </c>
      <c r="K9" s="14" t="s">
        <v>892</v>
      </c>
      <c r="L9" s="14" t="s">
        <v>893</v>
      </c>
    </row>
    <row r="10" customFormat="false" ht="15" hidden="false" customHeight="false" outlineLevel="0" collapsed="false">
      <c r="A10" s="12" t="s">
        <v>898</v>
      </c>
      <c r="B10" s="12" t="s">
        <v>31</v>
      </c>
      <c r="C10" s="12" t="s">
        <v>32</v>
      </c>
      <c r="D10" s="12" t="n">
        <v>4</v>
      </c>
      <c r="E10" s="12" t="s">
        <v>899</v>
      </c>
      <c r="F10" s="12" t="s">
        <v>890</v>
      </c>
      <c r="G10" s="12" t="s">
        <v>891</v>
      </c>
      <c r="H10" s="12" t="n">
        <v>1</v>
      </c>
      <c r="I10" s="14" t="n">
        <v>0</v>
      </c>
      <c r="J10" s="14" t="n">
        <v>0</v>
      </c>
      <c r="K10" s="14" t="s">
        <v>892</v>
      </c>
      <c r="L10" s="14" t="s">
        <v>893</v>
      </c>
    </row>
    <row r="11" customFormat="false" ht="15" hidden="false" customHeight="false" outlineLevel="0" collapsed="false">
      <c r="A11" s="12" t="s">
        <v>900</v>
      </c>
      <c r="B11" s="12" t="s">
        <v>31</v>
      </c>
      <c r="C11" s="12" t="s">
        <v>32</v>
      </c>
      <c r="D11" s="12" t="n">
        <v>5</v>
      </c>
      <c r="E11" s="12" t="s">
        <v>901</v>
      </c>
      <c r="F11" s="12" t="s">
        <v>890</v>
      </c>
      <c r="G11" s="12" t="s">
        <v>891</v>
      </c>
      <c r="H11" s="12" t="n">
        <v>1</v>
      </c>
      <c r="I11" s="14" t="n">
        <v>0</v>
      </c>
      <c r="J11" s="14" t="n">
        <v>0</v>
      </c>
      <c r="K11" s="14" t="s">
        <v>892</v>
      </c>
      <c r="L11" s="14" t="s">
        <v>893</v>
      </c>
    </row>
    <row r="12" customFormat="false" ht="15" hidden="false" customHeight="false" outlineLevel="0" collapsed="false">
      <c r="A12" s="12" t="s">
        <v>902</v>
      </c>
      <c r="B12" s="12" t="s">
        <v>31</v>
      </c>
      <c r="C12" s="12" t="s">
        <v>32</v>
      </c>
      <c r="D12" s="12" t="n">
        <v>6</v>
      </c>
      <c r="E12" s="12" t="s">
        <v>903</v>
      </c>
      <c r="F12" s="12" t="s">
        <v>904</v>
      </c>
      <c r="G12" s="12" t="s">
        <v>905</v>
      </c>
      <c r="H12" s="12" t="n">
        <v>0</v>
      </c>
      <c r="I12" s="14" t="n">
        <v>0</v>
      </c>
      <c r="J12" s="14" t="n">
        <v>0</v>
      </c>
      <c r="K12" s="14" t="s">
        <v>906</v>
      </c>
      <c r="L12" s="14" t="s">
        <v>893</v>
      </c>
    </row>
    <row r="13" customFormat="false" ht="15" hidden="false" customHeight="false" outlineLevel="0" collapsed="false">
      <c r="A13" s="12" t="s">
        <v>907</v>
      </c>
      <c r="B13" s="12" t="s">
        <v>31</v>
      </c>
      <c r="C13" s="12" t="s">
        <v>32</v>
      </c>
      <c r="D13" s="12" t="n">
        <v>7</v>
      </c>
      <c r="E13" s="12" t="s">
        <v>908</v>
      </c>
      <c r="F13" s="12" t="s">
        <v>909</v>
      </c>
      <c r="G13" s="12" t="s">
        <v>910</v>
      </c>
      <c r="H13" s="12" t="n">
        <v>0</v>
      </c>
      <c r="I13" s="14" t="n">
        <v>0</v>
      </c>
      <c r="J13" s="14" t="n">
        <v>0</v>
      </c>
      <c r="K13" s="14" t="s">
        <v>892</v>
      </c>
      <c r="L13" s="14" t="s">
        <v>893</v>
      </c>
    </row>
    <row r="14" customFormat="false" ht="15" hidden="false" customHeight="false" outlineLevel="0" collapsed="false">
      <c r="A14" s="12" t="s">
        <v>911</v>
      </c>
      <c r="B14" s="12" t="s">
        <v>31</v>
      </c>
      <c r="C14" s="12" t="s">
        <v>32</v>
      </c>
      <c r="D14" s="12" t="n">
        <v>8</v>
      </c>
      <c r="E14" s="12" t="s">
        <v>912</v>
      </c>
      <c r="F14" s="12" t="s">
        <v>909</v>
      </c>
      <c r="G14" s="12" t="s">
        <v>910</v>
      </c>
      <c r="H14" s="12" t="n">
        <v>0</v>
      </c>
      <c r="I14" s="14" t="n">
        <v>0</v>
      </c>
      <c r="J14" s="14" t="n">
        <v>0</v>
      </c>
      <c r="K14" s="14" t="s">
        <v>892</v>
      </c>
      <c r="L14" s="14" t="s">
        <v>893</v>
      </c>
    </row>
    <row r="15" customFormat="false" ht="15" hidden="false" customHeight="false" outlineLevel="0" collapsed="false">
      <c r="A15" s="12" t="s">
        <v>913</v>
      </c>
      <c r="B15" s="12" t="s">
        <v>31</v>
      </c>
      <c r="C15" s="12" t="s">
        <v>32</v>
      </c>
      <c r="D15" s="12" t="n">
        <v>9</v>
      </c>
      <c r="E15" s="12" t="s">
        <v>914</v>
      </c>
      <c r="F15" s="12" t="s">
        <v>909</v>
      </c>
      <c r="G15" s="12" t="s">
        <v>910</v>
      </c>
      <c r="H15" s="12" t="n">
        <v>0</v>
      </c>
      <c r="I15" s="14" t="n">
        <v>0</v>
      </c>
      <c r="J15" s="14" t="n">
        <v>0</v>
      </c>
      <c r="K15" s="14" t="s">
        <v>892</v>
      </c>
      <c r="L15" s="14" t="s">
        <v>893</v>
      </c>
    </row>
    <row r="16" customFormat="false" ht="15" hidden="false" customHeight="false" outlineLevel="0" collapsed="false">
      <c r="A16" s="12" t="s">
        <v>915</v>
      </c>
      <c r="B16" s="12" t="s">
        <v>31</v>
      </c>
      <c r="C16" s="12" t="s">
        <v>32</v>
      </c>
      <c r="D16" s="12" t="n">
        <v>10</v>
      </c>
      <c r="E16" s="12" t="s">
        <v>916</v>
      </c>
      <c r="F16" s="12" t="s">
        <v>909</v>
      </c>
      <c r="G16" s="12" t="s">
        <v>910</v>
      </c>
      <c r="H16" s="12" t="n">
        <v>0</v>
      </c>
      <c r="I16" s="14" t="n">
        <v>0</v>
      </c>
      <c r="J16" s="14" t="n">
        <v>0</v>
      </c>
      <c r="K16" s="14" t="s">
        <v>892</v>
      </c>
      <c r="L16" s="14" t="s">
        <v>893</v>
      </c>
    </row>
    <row r="17" customFormat="false" ht="15" hidden="false" customHeight="false" outlineLevel="0" collapsed="false">
      <c r="A17" s="12" t="s">
        <v>917</v>
      </c>
      <c r="B17" s="12" t="s">
        <v>31</v>
      </c>
      <c r="C17" s="12" t="s">
        <v>32</v>
      </c>
      <c r="D17" s="12" t="n">
        <v>11</v>
      </c>
      <c r="E17" s="12" t="s">
        <v>918</v>
      </c>
      <c r="F17" s="12" t="s">
        <v>909</v>
      </c>
      <c r="G17" s="12" t="s">
        <v>910</v>
      </c>
      <c r="H17" s="12" t="n">
        <v>0</v>
      </c>
      <c r="I17" s="14" t="n">
        <v>0</v>
      </c>
      <c r="J17" s="14" t="n">
        <v>0</v>
      </c>
      <c r="K17" s="14" t="s">
        <v>892</v>
      </c>
      <c r="L17" s="14" t="s">
        <v>893</v>
      </c>
    </row>
    <row r="18" customFormat="false" ht="15" hidden="false" customHeight="false" outlineLevel="0" collapsed="false">
      <c r="A18" s="12" t="s">
        <v>919</v>
      </c>
      <c r="B18" s="12" t="s">
        <v>31</v>
      </c>
      <c r="C18" s="12" t="s">
        <v>32</v>
      </c>
      <c r="D18" s="12" t="n">
        <v>12</v>
      </c>
      <c r="E18" s="12" t="s">
        <v>920</v>
      </c>
      <c r="F18" s="12" t="s">
        <v>909</v>
      </c>
      <c r="G18" s="12" t="s">
        <v>910</v>
      </c>
      <c r="H18" s="12" t="n">
        <v>0</v>
      </c>
      <c r="I18" s="14" t="n">
        <v>0</v>
      </c>
      <c r="J18" s="14" t="n">
        <v>0</v>
      </c>
      <c r="K18" s="14" t="s">
        <v>892</v>
      </c>
      <c r="L18" s="14" t="s">
        <v>874</v>
      </c>
    </row>
    <row r="19" customFormat="false" ht="15" hidden="false" customHeight="false" outlineLevel="0" collapsed="false">
      <c r="A19" s="12" t="s">
        <v>921</v>
      </c>
      <c r="B19" s="12" t="s">
        <v>35</v>
      </c>
      <c r="C19" s="12" t="s">
        <v>36</v>
      </c>
      <c r="D19" s="12" t="n">
        <v>1</v>
      </c>
      <c r="E19" s="12" t="s">
        <v>889</v>
      </c>
      <c r="F19" s="12" t="s">
        <v>890</v>
      </c>
      <c r="G19" s="12" t="s">
        <v>891</v>
      </c>
      <c r="H19" s="12" t="n">
        <v>1</v>
      </c>
      <c r="I19" s="14" t="n">
        <v>0</v>
      </c>
      <c r="J19" s="14" t="n">
        <v>0</v>
      </c>
      <c r="K19" s="14" t="s">
        <v>892</v>
      </c>
      <c r="L19" s="14" t="s">
        <v>893</v>
      </c>
    </row>
    <row r="20" customFormat="false" ht="15" hidden="false" customHeight="false" outlineLevel="0" collapsed="false">
      <c r="A20" s="12" t="s">
        <v>922</v>
      </c>
      <c r="B20" s="12" t="s">
        <v>35</v>
      </c>
      <c r="C20" s="12" t="s">
        <v>36</v>
      </c>
      <c r="D20" s="12" t="n">
        <v>2</v>
      </c>
      <c r="E20" s="12" t="s">
        <v>895</v>
      </c>
      <c r="F20" s="12" t="s">
        <v>890</v>
      </c>
      <c r="G20" s="12" t="s">
        <v>891</v>
      </c>
      <c r="H20" s="12" t="n">
        <v>1</v>
      </c>
      <c r="I20" s="14" t="n">
        <v>0</v>
      </c>
      <c r="J20" s="14" t="n">
        <v>0</v>
      </c>
      <c r="K20" s="14" t="s">
        <v>892</v>
      </c>
      <c r="L20" s="14" t="s">
        <v>893</v>
      </c>
    </row>
    <row r="21" customFormat="false" ht="15" hidden="false" customHeight="false" outlineLevel="0" collapsed="false">
      <c r="A21" s="12" t="s">
        <v>923</v>
      </c>
      <c r="B21" s="12" t="s">
        <v>35</v>
      </c>
      <c r="C21" s="12" t="s">
        <v>36</v>
      </c>
      <c r="D21" s="12" t="n">
        <v>3</v>
      </c>
      <c r="E21" s="12" t="s">
        <v>897</v>
      </c>
      <c r="F21" s="12" t="s">
        <v>890</v>
      </c>
      <c r="G21" s="12" t="s">
        <v>891</v>
      </c>
      <c r="H21" s="12" t="n">
        <v>1</v>
      </c>
      <c r="I21" s="14" t="n">
        <v>0</v>
      </c>
      <c r="J21" s="14" t="n">
        <v>0</v>
      </c>
      <c r="K21" s="14" t="s">
        <v>892</v>
      </c>
      <c r="L21" s="14" t="s">
        <v>893</v>
      </c>
    </row>
    <row r="22" customFormat="false" ht="15" hidden="false" customHeight="false" outlineLevel="0" collapsed="false">
      <c r="A22" s="12" t="s">
        <v>924</v>
      </c>
      <c r="B22" s="12" t="s">
        <v>35</v>
      </c>
      <c r="C22" s="12" t="s">
        <v>36</v>
      </c>
      <c r="D22" s="12" t="n">
        <v>4</v>
      </c>
      <c r="E22" s="12" t="s">
        <v>899</v>
      </c>
      <c r="F22" s="12" t="s">
        <v>890</v>
      </c>
      <c r="G22" s="12" t="s">
        <v>891</v>
      </c>
      <c r="H22" s="12" t="n">
        <v>1</v>
      </c>
      <c r="I22" s="14" t="n">
        <v>0</v>
      </c>
      <c r="J22" s="14" t="n">
        <v>0</v>
      </c>
      <c r="K22" s="14" t="s">
        <v>892</v>
      </c>
      <c r="L22" s="14" t="s">
        <v>893</v>
      </c>
    </row>
    <row r="23" customFormat="false" ht="15" hidden="false" customHeight="false" outlineLevel="0" collapsed="false">
      <c r="A23" s="12" t="s">
        <v>925</v>
      </c>
      <c r="B23" s="12" t="s">
        <v>35</v>
      </c>
      <c r="C23" s="12" t="s">
        <v>36</v>
      </c>
      <c r="D23" s="12" t="n">
        <v>5</v>
      </c>
      <c r="E23" s="12" t="s">
        <v>901</v>
      </c>
      <c r="F23" s="12" t="s">
        <v>890</v>
      </c>
      <c r="G23" s="12" t="s">
        <v>891</v>
      </c>
      <c r="H23" s="12" t="n">
        <v>1</v>
      </c>
      <c r="I23" s="14" t="n">
        <v>0</v>
      </c>
      <c r="J23" s="14" t="n">
        <v>0</v>
      </c>
      <c r="K23" s="14" t="s">
        <v>892</v>
      </c>
      <c r="L23" s="14" t="s">
        <v>893</v>
      </c>
    </row>
    <row r="24" customFormat="false" ht="15" hidden="false" customHeight="false" outlineLevel="0" collapsed="false">
      <c r="A24" s="12" t="s">
        <v>926</v>
      </c>
      <c r="B24" s="12" t="s">
        <v>35</v>
      </c>
      <c r="C24" s="12" t="s">
        <v>36</v>
      </c>
      <c r="D24" s="12" t="n">
        <v>6</v>
      </c>
      <c r="E24" s="12" t="s">
        <v>903</v>
      </c>
      <c r="F24" s="12" t="s">
        <v>904</v>
      </c>
      <c r="G24" s="12" t="s">
        <v>905</v>
      </c>
      <c r="H24" s="12" t="n">
        <v>0</v>
      </c>
      <c r="I24" s="14" t="n">
        <v>0</v>
      </c>
      <c r="J24" s="14" t="n">
        <v>0</v>
      </c>
      <c r="K24" s="14" t="s">
        <v>906</v>
      </c>
      <c r="L24" s="14" t="s">
        <v>893</v>
      </c>
    </row>
    <row r="25" customFormat="false" ht="15" hidden="false" customHeight="false" outlineLevel="0" collapsed="false">
      <c r="A25" s="12" t="s">
        <v>927</v>
      </c>
      <c r="B25" s="12" t="s">
        <v>35</v>
      </c>
      <c r="C25" s="12" t="s">
        <v>36</v>
      </c>
      <c r="D25" s="12" t="n">
        <v>7</v>
      </c>
      <c r="E25" s="12" t="s">
        <v>908</v>
      </c>
      <c r="F25" s="12" t="s">
        <v>909</v>
      </c>
      <c r="G25" s="12" t="s">
        <v>910</v>
      </c>
      <c r="H25" s="12" t="n">
        <v>0</v>
      </c>
      <c r="I25" s="14" t="n">
        <v>0</v>
      </c>
      <c r="J25" s="14" t="n">
        <v>0</v>
      </c>
      <c r="K25" s="14" t="s">
        <v>892</v>
      </c>
      <c r="L25" s="14" t="s">
        <v>893</v>
      </c>
    </row>
    <row r="26" customFormat="false" ht="15" hidden="false" customHeight="false" outlineLevel="0" collapsed="false">
      <c r="A26" s="12" t="s">
        <v>928</v>
      </c>
      <c r="B26" s="12" t="s">
        <v>35</v>
      </c>
      <c r="C26" s="12" t="s">
        <v>36</v>
      </c>
      <c r="D26" s="12" t="n">
        <v>8</v>
      </c>
      <c r="E26" s="12" t="s">
        <v>912</v>
      </c>
      <c r="F26" s="12" t="s">
        <v>909</v>
      </c>
      <c r="G26" s="12" t="s">
        <v>910</v>
      </c>
      <c r="H26" s="12" t="n">
        <v>0</v>
      </c>
      <c r="I26" s="14" t="n">
        <v>0</v>
      </c>
      <c r="J26" s="14" t="n">
        <v>0</v>
      </c>
      <c r="K26" s="14" t="s">
        <v>892</v>
      </c>
      <c r="L26" s="14" t="s">
        <v>893</v>
      </c>
    </row>
    <row r="27" customFormat="false" ht="15" hidden="false" customHeight="false" outlineLevel="0" collapsed="false">
      <c r="A27" s="12" t="s">
        <v>929</v>
      </c>
      <c r="B27" s="12" t="s">
        <v>35</v>
      </c>
      <c r="C27" s="12" t="s">
        <v>36</v>
      </c>
      <c r="D27" s="12" t="n">
        <v>9</v>
      </c>
      <c r="E27" s="12" t="s">
        <v>914</v>
      </c>
      <c r="F27" s="12" t="s">
        <v>909</v>
      </c>
      <c r="G27" s="12" t="s">
        <v>910</v>
      </c>
      <c r="H27" s="12" t="n">
        <v>0</v>
      </c>
      <c r="I27" s="14" t="n">
        <v>0</v>
      </c>
      <c r="J27" s="14" t="n">
        <v>0</v>
      </c>
      <c r="K27" s="14" t="s">
        <v>892</v>
      </c>
      <c r="L27" s="14" t="s">
        <v>893</v>
      </c>
    </row>
    <row r="28" customFormat="false" ht="15" hidden="false" customHeight="false" outlineLevel="0" collapsed="false">
      <c r="A28" s="12" t="s">
        <v>930</v>
      </c>
      <c r="B28" s="12" t="s">
        <v>35</v>
      </c>
      <c r="C28" s="12" t="s">
        <v>36</v>
      </c>
      <c r="D28" s="12" t="n">
        <v>10</v>
      </c>
      <c r="E28" s="12" t="s">
        <v>916</v>
      </c>
      <c r="F28" s="12" t="s">
        <v>909</v>
      </c>
      <c r="G28" s="12" t="s">
        <v>910</v>
      </c>
      <c r="H28" s="12" t="n">
        <v>0</v>
      </c>
      <c r="I28" s="14" t="n">
        <v>0</v>
      </c>
      <c r="J28" s="14" t="n">
        <v>0</v>
      </c>
      <c r="K28" s="14" t="s">
        <v>892</v>
      </c>
      <c r="L28" s="14" t="s">
        <v>893</v>
      </c>
    </row>
    <row r="29" customFormat="false" ht="15" hidden="false" customHeight="false" outlineLevel="0" collapsed="false">
      <c r="A29" s="12" t="s">
        <v>931</v>
      </c>
      <c r="B29" s="12" t="s">
        <v>35</v>
      </c>
      <c r="C29" s="12" t="s">
        <v>36</v>
      </c>
      <c r="D29" s="12" t="n">
        <v>11</v>
      </c>
      <c r="E29" s="12" t="s">
        <v>918</v>
      </c>
      <c r="F29" s="12" t="s">
        <v>909</v>
      </c>
      <c r="G29" s="12" t="s">
        <v>910</v>
      </c>
      <c r="H29" s="12" t="n">
        <v>0</v>
      </c>
      <c r="I29" s="14" t="n">
        <v>0</v>
      </c>
      <c r="J29" s="14" t="n">
        <v>0</v>
      </c>
      <c r="K29" s="14" t="s">
        <v>892</v>
      </c>
      <c r="L29" s="14" t="s">
        <v>893</v>
      </c>
    </row>
    <row r="30" customFormat="false" ht="15" hidden="false" customHeight="false" outlineLevel="0" collapsed="false">
      <c r="A30" s="12" t="s">
        <v>932</v>
      </c>
      <c r="B30" s="12" t="s">
        <v>35</v>
      </c>
      <c r="C30" s="12" t="s">
        <v>36</v>
      </c>
      <c r="D30" s="12" t="n">
        <v>12</v>
      </c>
      <c r="E30" s="12" t="s">
        <v>920</v>
      </c>
      <c r="F30" s="12" t="s">
        <v>909</v>
      </c>
      <c r="G30" s="12" t="s">
        <v>910</v>
      </c>
      <c r="H30" s="12" t="n">
        <v>0</v>
      </c>
      <c r="I30" s="14" t="n">
        <v>0</v>
      </c>
      <c r="J30" s="14" t="n">
        <v>0</v>
      </c>
      <c r="K30" s="14" t="s">
        <v>892</v>
      </c>
      <c r="L30" s="14" t="s">
        <v>874</v>
      </c>
    </row>
    <row r="31" customFormat="false" ht="15" hidden="false" customHeight="false" outlineLevel="0" collapsed="false">
      <c r="A31" s="12" t="s">
        <v>933</v>
      </c>
      <c r="B31" s="12" t="s">
        <v>39</v>
      </c>
      <c r="C31" s="12" t="s">
        <v>40</v>
      </c>
      <c r="D31" s="12" t="n">
        <v>1</v>
      </c>
      <c r="E31" s="12" t="s">
        <v>889</v>
      </c>
      <c r="F31" s="12" t="s">
        <v>890</v>
      </c>
      <c r="G31" s="12" t="s">
        <v>891</v>
      </c>
      <c r="H31" s="12" t="n">
        <v>1</v>
      </c>
      <c r="I31" s="14" t="n">
        <v>0</v>
      </c>
      <c r="J31" s="14" t="n">
        <v>0</v>
      </c>
      <c r="K31" s="14" t="s">
        <v>892</v>
      </c>
      <c r="L31" s="14" t="s">
        <v>893</v>
      </c>
    </row>
    <row r="32" customFormat="false" ht="15" hidden="false" customHeight="false" outlineLevel="0" collapsed="false">
      <c r="A32" s="12" t="s">
        <v>934</v>
      </c>
      <c r="B32" s="12" t="s">
        <v>39</v>
      </c>
      <c r="C32" s="12" t="s">
        <v>40</v>
      </c>
      <c r="D32" s="12" t="n">
        <v>2</v>
      </c>
      <c r="E32" s="12" t="s">
        <v>895</v>
      </c>
      <c r="F32" s="12" t="s">
        <v>890</v>
      </c>
      <c r="G32" s="12" t="s">
        <v>891</v>
      </c>
      <c r="H32" s="12" t="n">
        <v>1</v>
      </c>
      <c r="I32" s="14" t="n">
        <v>0</v>
      </c>
      <c r="J32" s="14" t="n">
        <v>0</v>
      </c>
      <c r="K32" s="14" t="s">
        <v>892</v>
      </c>
      <c r="L32" s="14" t="s">
        <v>893</v>
      </c>
    </row>
    <row r="33" customFormat="false" ht="15" hidden="false" customHeight="false" outlineLevel="0" collapsed="false">
      <c r="A33" s="12" t="s">
        <v>935</v>
      </c>
      <c r="B33" s="12" t="s">
        <v>39</v>
      </c>
      <c r="C33" s="12" t="s">
        <v>40</v>
      </c>
      <c r="D33" s="12" t="n">
        <v>3</v>
      </c>
      <c r="E33" s="12" t="s">
        <v>897</v>
      </c>
      <c r="F33" s="12" t="s">
        <v>890</v>
      </c>
      <c r="G33" s="12" t="s">
        <v>891</v>
      </c>
      <c r="H33" s="12" t="n">
        <v>1</v>
      </c>
      <c r="I33" s="14" t="n">
        <v>0</v>
      </c>
      <c r="J33" s="14" t="n">
        <v>0</v>
      </c>
      <c r="K33" s="14" t="s">
        <v>892</v>
      </c>
      <c r="L33" s="14" t="s">
        <v>893</v>
      </c>
    </row>
    <row r="34" customFormat="false" ht="15" hidden="false" customHeight="false" outlineLevel="0" collapsed="false">
      <c r="A34" s="12" t="s">
        <v>936</v>
      </c>
      <c r="B34" s="12" t="s">
        <v>39</v>
      </c>
      <c r="C34" s="12" t="s">
        <v>40</v>
      </c>
      <c r="D34" s="12" t="n">
        <v>4</v>
      </c>
      <c r="E34" s="12" t="s">
        <v>899</v>
      </c>
      <c r="F34" s="12" t="s">
        <v>890</v>
      </c>
      <c r="G34" s="12" t="s">
        <v>891</v>
      </c>
      <c r="H34" s="12" t="n">
        <v>1</v>
      </c>
      <c r="I34" s="14" t="n">
        <v>0</v>
      </c>
      <c r="J34" s="14" t="n">
        <v>0</v>
      </c>
      <c r="K34" s="14" t="s">
        <v>892</v>
      </c>
      <c r="L34" s="14" t="s">
        <v>893</v>
      </c>
    </row>
    <row r="35" customFormat="false" ht="15" hidden="false" customHeight="false" outlineLevel="0" collapsed="false">
      <c r="A35" s="12" t="s">
        <v>937</v>
      </c>
      <c r="B35" s="12" t="s">
        <v>39</v>
      </c>
      <c r="C35" s="12" t="s">
        <v>40</v>
      </c>
      <c r="D35" s="12" t="n">
        <v>5</v>
      </c>
      <c r="E35" s="12" t="s">
        <v>901</v>
      </c>
      <c r="F35" s="12" t="s">
        <v>890</v>
      </c>
      <c r="G35" s="12" t="s">
        <v>891</v>
      </c>
      <c r="H35" s="12" t="n">
        <v>1</v>
      </c>
      <c r="I35" s="14" t="n">
        <v>0</v>
      </c>
      <c r="J35" s="14" t="n">
        <v>0</v>
      </c>
      <c r="K35" s="14" t="s">
        <v>892</v>
      </c>
      <c r="L35" s="14" t="s">
        <v>893</v>
      </c>
    </row>
    <row r="36" customFormat="false" ht="15" hidden="false" customHeight="false" outlineLevel="0" collapsed="false">
      <c r="A36" s="12" t="s">
        <v>938</v>
      </c>
      <c r="B36" s="12" t="s">
        <v>39</v>
      </c>
      <c r="C36" s="12" t="s">
        <v>40</v>
      </c>
      <c r="D36" s="12" t="n">
        <v>6</v>
      </c>
      <c r="E36" s="12" t="s">
        <v>903</v>
      </c>
      <c r="F36" s="12" t="s">
        <v>904</v>
      </c>
      <c r="G36" s="12" t="s">
        <v>905</v>
      </c>
      <c r="H36" s="12" t="n">
        <v>0</v>
      </c>
      <c r="I36" s="14" t="n">
        <v>0</v>
      </c>
      <c r="J36" s="14" t="n">
        <v>0</v>
      </c>
      <c r="K36" s="14" t="s">
        <v>906</v>
      </c>
      <c r="L36" s="14" t="s">
        <v>893</v>
      </c>
    </row>
    <row r="37" customFormat="false" ht="15" hidden="false" customHeight="false" outlineLevel="0" collapsed="false">
      <c r="A37" s="12" t="s">
        <v>939</v>
      </c>
      <c r="B37" s="12" t="s">
        <v>39</v>
      </c>
      <c r="C37" s="12" t="s">
        <v>40</v>
      </c>
      <c r="D37" s="12" t="n">
        <v>7</v>
      </c>
      <c r="E37" s="12" t="s">
        <v>908</v>
      </c>
      <c r="F37" s="12" t="s">
        <v>909</v>
      </c>
      <c r="G37" s="12" t="s">
        <v>910</v>
      </c>
      <c r="H37" s="12" t="n">
        <v>0</v>
      </c>
      <c r="I37" s="14" t="n">
        <v>0</v>
      </c>
      <c r="J37" s="14" t="n">
        <v>0</v>
      </c>
      <c r="K37" s="14" t="s">
        <v>892</v>
      </c>
      <c r="L37" s="14" t="s">
        <v>893</v>
      </c>
    </row>
    <row r="38" customFormat="false" ht="15" hidden="false" customHeight="false" outlineLevel="0" collapsed="false">
      <c r="A38" s="12" t="s">
        <v>940</v>
      </c>
      <c r="B38" s="12" t="s">
        <v>39</v>
      </c>
      <c r="C38" s="12" t="s">
        <v>40</v>
      </c>
      <c r="D38" s="12" t="n">
        <v>8</v>
      </c>
      <c r="E38" s="12" t="s">
        <v>912</v>
      </c>
      <c r="F38" s="12" t="s">
        <v>909</v>
      </c>
      <c r="G38" s="12" t="s">
        <v>910</v>
      </c>
      <c r="H38" s="12" t="n">
        <v>0</v>
      </c>
      <c r="I38" s="14" t="n">
        <v>0</v>
      </c>
      <c r="J38" s="14" t="n">
        <v>0</v>
      </c>
      <c r="K38" s="14" t="s">
        <v>892</v>
      </c>
      <c r="L38" s="14" t="s">
        <v>893</v>
      </c>
    </row>
    <row r="39" customFormat="false" ht="15" hidden="false" customHeight="false" outlineLevel="0" collapsed="false">
      <c r="A39" s="12" t="s">
        <v>941</v>
      </c>
      <c r="B39" s="12" t="s">
        <v>39</v>
      </c>
      <c r="C39" s="12" t="s">
        <v>40</v>
      </c>
      <c r="D39" s="12" t="n">
        <v>9</v>
      </c>
      <c r="E39" s="12" t="s">
        <v>914</v>
      </c>
      <c r="F39" s="12" t="s">
        <v>909</v>
      </c>
      <c r="G39" s="12" t="s">
        <v>910</v>
      </c>
      <c r="H39" s="12" t="n">
        <v>0</v>
      </c>
      <c r="I39" s="14" t="n">
        <v>0</v>
      </c>
      <c r="J39" s="14" t="n">
        <v>0</v>
      </c>
      <c r="K39" s="14" t="s">
        <v>892</v>
      </c>
      <c r="L39" s="14" t="s">
        <v>893</v>
      </c>
    </row>
    <row r="40" customFormat="false" ht="15" hidden="false" customHeight="false" outlineLevel="0" collapsed="false">
      <c r="A40" s="12" t="s">
        <v>942</v>
      </c>
      <c r="B40" s="12" t="s">
        <v>39</v>
      </c>
      <c r="C40" s="12" t="s">
        <v>40</v>
      </c>
      <c r="D40" s="12" t="n">
        <v>10</v>
      </c>
      <c r="E40" s="12" t="s">
        <v>916</v>
      </c>
      <c r="F40" s="12" t="s">
        <v>909</v>
      </c>
      <c r="G40" s="12" t="s">
        <v>910</v>
      </c>
      <c r="H40" s="12" t="n">
        <v>0</v>
      </c>
      <c r="I40" s="14" t="n">
        <v>0</v>
      </c>
      <c r="J40" s="14" t="n">
        <v>0</v>
      </c>
      <c r="K40" s="14" t="s">
        <v>892</v>
      </c>
      <c r="L40" s="14" t="s">
        <v>893</v>
      </c>
    </row>
    <row r="41" customFormat="false" ht="15" hidden="false" customHeight="false" outlineLevel="0" collapsed="false">
      <c r="A41" s="12" t="s">
        <v>943</v>
      </c>
      <c r="B41" s="12" t="s">
        <v>39</v>
      </c>
      <c r="C41" s="12" t="s">
        <v>40</v>
      </c>
      <c r="D41" s="12" t="n">
        <v>11</v>
      </c>
      <c r="E41" s="12" t="s">
        <v>918</v>
      </c>
      <c r="F41" s="12" t="s">
        <v>909</v>
      </c>
      <c r="G41" s="12" t="s">
        <v>910</v>
      </c>
      <c r="H41" s="12" t="n">
        <v>0</v>
      </c>
      <c r="I41" s="14" t="n">
        <v>0</v>
      </c>
      <c r="J41" s="14" t="n">
        <v>0</v>
      </c>
      <c r="K41" s="14" t="s">
        <v>892</v>
      </c>
      <c r="L41" s="14" t="s">
        <v>893</v>
      </c>
    </row>
    <row r="42" customFormat="false" ht="15" hidden="false" customHeight="false" outlineLevel="0" collapsed="false">
      <c r="A42" s="12" t="s">
        <v>944</v>
      </c>
      <c r="B42" s="12" t="s">
        <v>39</v>
      </c>
      <c r="C42" s="12" t="s">
        <v>40</v>
      </c>
      <c r="D42" s="12" t="n">
        <v>12</v>
      </c>
      <c r="E42" s="12" t="s">
        <v>920</v>
      </c>
      <c r="F42" s="12" t="s">
        <v>909</v>
      </c>
      <c r="G42" s="12" t="s">
        <v>910</v>
      </c>
      <c r="H42" s="12" t="n">
        <v>0</v>
      </c>
      <c r="I42" s="14" t="n">
        <v>0</v>
      </c>
      <c r="J42" s="14" t="n">
        <v>0</v>
      </c>
      <c r="K42" s="14" t="s">
        <v>892</v>
      </c>
      <c r="L42" s="14" t="s">
        <v>874</v>
      </c>
    </row>
    <row r="43" customFormat="false" ht="15" hidden="false" customHeight="false" outlineLevel="0" collapsed="false">
      <c r="A43" s="12" t="s">
        <v>945</v>
      </c>
      <c r="B43" s="12" t="s">
        <v>43</v>
      </c>
      <c r="C43" s="12" t="s">
        <v>44</v>
      </c>
      <c r="D43" s="12" t="n">
        <v>1</v>
      </c>
      <c r="E43" s="12" t="s">
        <v>889</v>
      </c>
      <c r="F43" s="12" t="s">
        <v>890</v>
      </c>
      <c r="G43" s="12" t="s">
        <v>891</v>
      </c>
      <c r="H43" s="12" t="n">
        <v>1</v>
      </c>
      <c r="I43" s="14" t="n">
        <v>0</v>
      </c>
      <c r="J43" s="14" t="n">
        <v>0</v>
      </c>
      <c r="K43" s="14" t="s">
        <v>892</v>
      </c>
      <c r="L43" s="14" t="s">
        <v>893</v>
      </c>
    </row>
    <row r="44" customFormat="false" ht="15" hidden="false" customHeight="false" outlineLevel="0" collapsed="false">
      <c r="A44" s="12" t="s">
        <v>946</v>
      </c>
      <c r="B44" s="12" t="s">
        <v>43</v>
      </c>
      <c r="C44" s="12" t="s">
        <v>44</v>
      </c>
      <c r="D44" s="12" t="n">
        <v>2</v>
      </c>
      <c r="E44" s="12" t="s">
        <v>895</v>
      </c>
      <c r="F44" s="12" t="s">
        <v>890</v>
      </c>
      <c r="G44" s="12" t="s">
        <v>891</v>
      </c>
      <c r="H44" s="12" t="n">
        <v>1</v>
      </c>
      <c r="I44" s="14" t="n">
        <v>0</v>
      </c>
      <c r="J44" s="14" t="n">
        <v>0</v>
      </c>
      <c r="K44" s="14" t="s">
        <v>892</v>
      </c>
      <c r="L44" s="14" t="s">
        <v>893</v>
      </c>
    </row>
    <row r="45" customFormat="false" ht="15" hidden="false" customHeight="false" outlineLevel="0" collapsed="false">
      <c r="A45" s="12" t="s">
        <v>947</v>
      </c>
      <c r="B45" s="12" t="s">
        <v>43</v>
      </c>
      <c r="C45" s="12" t="s">
        <v>44</v>
      </c>
      <c r="D45" s="12" t="n">
        <v>3</v>
      </c>
      <c r="E45" s="12" t="s">
        <v>897</v>
      </c>
      <c r="F45" s="12" t="s">
        <v>890</v>
      </c>
      <c r="G45" s="12" t="s">
        <v>891</v>
      </c>
      <c r="H45" s="12" t="n">
        <v>1</v>
      </c>
      <c r="I45" s="14" t="n">
        <v>0</v>
      </c>
      <c r="J45" s="14" t="n">
        <v>0</v>
      </c>
      <c r="K45" s="14" t="s">
        <v>892</v>
      </c>
      <c r="L45" s="14" t="s">
        <v>893</v>
      </c>
    </row>
    <row r="46" customFormat="false" ht="15" hidden="false" customHeight="false" outlineLevel="0" collapsed="false">
      <c r="A46" s="12" t="s">
        <v>948</v>
      </c>
      <c r="B46" s="12" t="s">
        <v>43</v>
      </c>
      <c r="C46" s="12" t="s">
        <v>44</v>
      </c>
      <c r="D46" s="12" t="n">
        <v>4</v>
      </c>
      <c r="E46" s="12" t="s">
        <v>899</v>
      </c>
      <c r="F46" s="12" t="s">
        <v>890</v>
      </c>
      <c r="G46" s="12" t="s">
        <v>891</v>
      </c>
      <c r="H46" s="12" t="n">
        <v>1</v>
      </c>
      <c r="I46" s="14" t="n">
        <v>0</v>
      </c>
      <c r="J46" s="14" t="n">
        <v>0</v>
      </c>
      <c r="K46" s="14" t="s">
        <v>892</v>
      </c>
      <c r="L46" s="14" t="s">
        <v>893</v>
      </c>
    </row>
    <row r="47" customFormat="false" ht="15" hidden="false" customHeight="false" outlineLevel="0" collapsed="false">
      <c r="A47" s="12" t="s">
        <v>949</v>
      </c>
      <c r="B47" s="12" t="s">
        <v>43</v>
      </c>
      <c r="C47" s="12" t="s">
        <v>44</v>
      </c>
      <c r="D47" s="12" t="n">
        <v>5</v>
      </c>
      <c r="E47" s="12" t="s">
        <v>901</v>
      </c>
      <c r="F47" s="12" t="s">
        <v>890</v>
      </c>
      <c r="G47" s="12" t="s">
        <v>891</v>
      </c>
      <c r="H47" s="12" t="n">
        <v>1</v>
      </c>
      <c r="I47" s="14" t="n">
        <v>0</v>
      </c>
      <c r="J47" s="14" t="n">
        <v>0</v>
      </c>
      <c r="K47" s="14" t="s">
        <v>892</v>
      </c>
      <c r="L47" s="14" t="s">
        <v>893</v>
      </c>
    </row>
    <row r="48" customFormat="false" ht="15" hidden="false" customHeight="false" outlineLevel="0" collapsed="false">
      <c r="A48" s="12" t="s">
        <v>950</v>
      </c>
      <c r="B48" s="12" t="s">
        <v>43</v>
      </c>
      <c r="C48" s="12" t="s">
        <v>44</v>
      </c>
      <c r="D48" s="12" t="n">
        <v>6</v>
      </c>
      <c r="E48" s="12" t="s">
        <v>903</v>
      </c>
      <c r="F48" s="12" t="s">
        <v>904</v>
      </c>
      <c r="G48" s="12" t="s">
        <v>905</v>
      </c>
      <c r="H48" s="12" t="n">
        <v>0</v>
      </c>
      <c r="I48" s="14" t="n">
        <v>0</v>
      </c>
      <c r="J48" s="14" t="n">
        <v>0</v>
      </c>
      <c r="K48" s="14" t="s">
        <v>906</v>
      </c>
      <c r="L48" s="14" t="s">
        <v>893</v>
      </c>
    </row>
    <row r="49" customFormat="false" ht="15" hidden="false" customHeight="false" outlineLevel="0" collapsed="false">
      <c r="A49" s="12" t="s">
        <v>951</v>
      </c>
      <c r="B49" s="12" t="s">
        <v>43</v>
      </c>
      <c r="C49" s="12" t="s">
        <v>44</v>
      </c>
      <c r="D49" s="12" t="n">
        <v>7</v>
      </c>
      <c r="E49" s="12" t="s">
        <v>908</v>
      </c>
      <c r="F49" s="12" t="s">
        <v>909</v>
      </c>
      <c r="G49" s="12" t="s">
        <v>910</v>
      </c>
      <c r="H49" s="12" t="n">
        <v>0</v>
      </c>
      <c r="I49" s="14" t="n">
        <v>0</v>
      </c>
      <c r="J49" s="14" t="n">
        <v>0</v>
      </c>
      <c r="K49" s="14" t="s">
        <v>892</v>
      </c>
      <c r="L49" s="14" t="s">
        <v>893</v>
      </c>
    </row>
    <row r="50" customFormat="false" ht="15" hidden="false" customHeight="false" outlineLevel="0" collapsed="false">
      <c r="A50" s="12" t="s">
        <v>952</v>
      </c>
      <c r="B50" s="12" t="s">
        <v>43</v>
      </c>
      <c r="C50" s="12" t="s">
        <v>44</v>
      </c>
      <c r="D50" s="12" t="n">
        <v>8</v>
      </c>
      <c r="E50" s="12" t="s">
        <v>912</v>
      </c>
      <c r="F50" s="12" t="s">
        <v>909</v>
      </c>
      <c r="G50" s="12" t="s">
        <v>910</v>
      </c>
      <c r="H50" s="12" t="n">
        <v>0</v>
      </c>
      <c r="I50" s="14" t="n">
        <v>0</v>
      </c>
      <c r="J50" s="14" t="n">
        <v>0</v>
      </c>
      <c r="K50" s="14" t="s">
        <v>892</v>
      </c>
      <c r="L50" s="14" t="s">
        <v>893</v>
      </c>
    </row>
    <row r="51" customFormat="false" ht="15" hidden="false" customHeight="false" outlineLevel="0" collapsed="false">
      <c r="A51" s="12" t="s">
        <v>953</v>
      </c>
      <c r="B51" s="12" t="s">
        <v>43</v>
      </c>
      <c r="C51" s="12" t="s">
        <v>44</v>
      </c>
      <c r="D51" s="12" t="n">
        <v>9</v>
      </c>
      <c r="E51" s="12" t="s">
        <v>914</v>
      </c>
      <c r="F51" s="12" t="s">
        <v>909</v>
      </c>
      <c r="G51" s="12" t="s">
        <v>910</v>
      </c>
      <c r="H51" s="12" t="n">
        <v>0</v>
      </c>
      <c r="I51" s="14" t="n">
        <v>0</v>
      </c>
      <c r="J51" s="14" t="n">
        <v>0</v>
      </c>
      <c r="K51" s="14" t="s">
        <v>892</v>
      </c>
      <c r="L51" s="14" t="s">
        <v>893</v>
      </c>
    </row>
    <row r="52" customFormat="false" ht="15" hidden="false" customHeight="false" outlineLevel="0" collapsed="false">
      <c r="A52" s="12" t="s">
        <v>954</v>
      </c>
      <c r="B52" s="12" t="s">
        <v>43</v>
      </c>
      <c r="C52" s="12" t="s">
        <v>44</v>
      </c>
      <c r="D52" s="12" t="n">
        <v>10</v>
      </c>
      <c r="E52" s="12" t="s">
        <v>916</v>
      </c>
      <c r="F52" s="12" t="s">
        <v>909</v>
      </c>
      <c r="G52" s="12" t="s">
        <v>910</v>
      </c>
      <c r="H52" s="12" t="n">
        <v>0</v>
      </c>
      <c r="I52" s="14" t="n">
        <v>0</v>
      </c>
      <c r="J52" s="14" t="n">
        <v>0</v>
      </c>
      <c r="K52" s="14" t="s">
        <v>892</v>
      </c>
      <c r="L52" s="14" t="s">
        <v>893</v>
      </c>
    </row>
    <row r="53" customFormat="false" ht="15" hidden="false" customHeight="false" outlineLevel="0" collapsed="false">
      <c r="A53" s="12" t="s">
        <v>955</v>
      </c>
      <c r="B53" s="12" t="s">
        <v>43</v>
      </c>
      <c r="C53" s="12" t="s">
        <v>44</v>
      </c>
      <c r="D53" s="12" t="n">
        <v>11</v>
      </c>
      <c r="E53" s="12" t="s">
        <v>918</v>
      </c>
      <c r="F53" s="12" t="s">
        <v>909</v>
      </c>
      <c r="G53" s="12" t="s">
        <v>910</v>
      </c>
      <c r="H53" s="12" t="n">
        <v>0</v>
      </c>
      <c r="I53" s="14" t="n">
        <v>0</v>
      </c>
      <c r="J53" s="14" t="n">
        <v>0</v>
      </c>
      <c r="K53" s="14" t="s">
        <v>892</v>
      </c>
      <c r="L53" s="14" t="s">
        <v>893</v>
      </c>
    </row>
    <row r="54" customFormat="false" ht="15" hidden="false" customHeight="false" outlineLevel="0" collapsed="false">
      <c r="A54" s="12" t="s">
        <v>956</v>
      </c>
      <c r="B54" s="12" t="s">
        <v>43</v>
      </c>
      <c r="C54" s="12" t="s">
        <v>44</v>
      </c>
      <c r="D54" s="12" t="n">
        <v>12</v>
      </c>
      <c r="E54" s="12" t="s">
        <v>920</v>
      </c>
      <c r="F54" s="12" t="s">
        <v>909</v>
      </c>
      <c r="G54" s="12" t="s">
        <v>910</v>
      </c>
      <c r="H54" s="12" t="n">
        <v>0</v>
      </c>
      <c r="I54" s="14" t="n">
        <v>0</v>
      </c>
      <c r="J54" s="14" t="n">
        <v>0</v>
      </c>
      <c r="K54" s="14" t="s">
        <v>892</v>
      </c>
      <c r="L54" s="14" t="s">
        <v>874</v>
      </c>
    </row>
    <row r="55" customFormat="false" ht="15" hidden="false" customHeight="false" outlineLevel="0" collapsed="false">
      <c r="A55" s="12" t="s">
        <v>957</v>
      </c>
      <c r="B55" s="12" t="s">
        <v>47</v>
      </c>
      <c r="C55" s="12" t="s">
        <v>48</v>
      </c>
      <c r="D55" s="12" t="n">
        <v>1</v>
      </c>
      <c r="E55" s="12" t="s">
        <v>889</v>
      </c>
      <c r="F55" s="12" t="s">
        <v>890</v>
      </c>
      <c r="G55" s="12" t="s">
        <v>891</v>
      </c>
      <c r="H55" s="12" t="n">
        <v>1</v>
      </c>
      <c r="I55" s="14" t="n">
        <v>0</v>
      </c>
      <c r="J55" s="14" t="n">
        <v>0</v>
      </c>
      <c r="K55" s="14" t="s">
        <v>892</v>
      </c>
      <c r="L55" s="14" t="s">
        <v>893</v>
      </c>
    </row>
    <row r="56" customFormat="false" ht="15" hidden="false" customHeight="false" outlineLevel="0" collapsed="false">
      <c r="A56" s="12" t="s">
        <v>958</v>
      </c>
      <c r="B56" s="12" t="s">
        <v>47</v>
      </c>
      <c r="C56" s="12" t="s">
        <v>48</v>
      </c>
      <c r="D56" s="12" t="n">
        <v>2</v>
      </c>
      <c r="E56" s="12" t="s">
        <v>895</v>
      </c>
      <c r="F56" s="12" t="s">
        <v>890</v>
      </c>
      <c r="G56" s="12" t="s">
        <v>891</v>
      </c>
      <c r="H56" s="12" t="n">
        <v>1</v>
      </c>
      <c r="I56" s="14" t="n">
        <v>0</v>
      </c>
      <c r="J56" s="14" t="n">
        <v>0</v>
      </c>
      <c r="K56" s="14" t="s">
        <v>892</v>
      </c>
      <c r="L56" s="14" t="s">
        <v>893</v>
      </c>
    </row>
    <row r="57" customFormat="false" ht="15" hidden="false" customHeight="false" outlineLevel="0" collapsed="false">
      <c r="A57" s="12" t="s">
        <v>959</v>
      </c>
      <c r="B57" s="12" t="s">
        <v>47</v>
      </c>
      <c r="C57" s="12" t="s">
        <v>48</v>
      </c>
      <c r="D57" s="12" t="n">
        <v>3</v>
      </c>
      <c r="E57" s="12" t="s">
        <v>897</v>
      </c>
      <c r="F57" s="12" t="s">
        <v>890</v>
      </c>
      <c r="G57" s="12" t="s">
        <v>891</v>
      </c>
      <c r="H57" s="12" t="n">
        <v>1</v>
      </c>
      <c r="I57" s="14" t="n">
        <v>0</v>
      </c>
      <c r="J57" s="14" t="n">
        <v>0</v>
      </c>
      <c r="K57" s="14" t="s">
        <v>892</v>
      </c>
      <c r="L57" s="14" t="s">
        <v>893</v>
      </c>
    </row>
    <row r="58" customFormat="false" ht="15" hidden="false" customHeight="false" outlineLevel="0" collapsed="false">
      <c r="A58" s="12" t="s">
        <v>960</v>
      </c>
      <c r="B58" s="12" t="s">
        <v>47</v>
      </c>
      <c r="C58" s="12" t="s">
        <v>48</v>
      </c>
      <c r="D58" s="12" t="n">
        <v>4</v>
      </c>
      <c r="E58" s="12" t="s">
        <v>899</v>
      </c>
      <c r="F58" s="12" t="s">
        <v>890</v>
      </c>
      <c r="G58" s="12" t="s">
        <v>891</v>
      </c>
      <c r="H58" s="12" t="n">
        <v>1</v>
      </c>
      <c r="I58" s="14" t="n">
        <v>0</v>
      </c>
      <c r="J58" s="14" t="n">
        <v>0</v>
      </c>
      <c r="K58" s="14" t="s">
        <v>892</v>
      </c>
      <c r="L58" s="14" t="s">
        <v>893</v>
      </c>
    </row>
    <row r="59" customFormat="false" ht="15" hidden="false" customHeight="false" outlineLevel="0" collapsed="false">
      <c r="A59" s="12" t="s">
        <v>961</v>
      </c>
      <c r="B59" s="12" t="s">
        <v>47</v>
      </c>
      <c r="C59" s="12" t="s">
        <v>48</v>
      </c>
      <c r="D59" s="12" t="n">
        <v>5</v>
      </c>
      <c r="E59" s="12" t="s">
        <v>901</v>
      </c>
      <c r="F59" s="12" t="s">
        <v>890</v>
      </c>
      <c r="G59" s="12" t="s">
        <v>891</v>
      </c>
      <c r="H59" s="12" t="n">
        <v>1</v>
      </c>
      <c r="I59" s="14" t="n">
        <v>0</v>
      </c>
      <c r="J59" s="14" t="n">
        <v>0</v>
      </c>
      <c r="K59" s="14" t="s">
        <v>892</v>
      </c>
      <c r="L59" s="14" t="s">
        <v>893</v>
      </c>
    </row>
    <row r="60" customFormat="false" ht="15" hidden="false" customHeight="false" outlineLevel="0" collapsed="false">
      <c r="A60" s="12" t="s">
        <v>962</v>
      </c>
      <c r="B60" s="12" t="s">
        <v>47</v>
      </c>
      <c r="C60" s="12" t="s">
        <v>48</v>
      </c>
      <c r="D60" s="12" t="n">
        <v>6</v>
      </c>
      <c r="E60" s="12" t="s">
        <v>903</v>
      </c>
      <c r="F60" s="12" t="s">
        <v>904</v>
      </c>
      <c r="G60" s="12" t="s">
        <v>905</v>
      </c>
      <c r="H60" s="12" t="n">
        <v>0</v>
      </c>
      <c r="I60" s="14" t="n">
        <v>0</v>
      </c>
      <c r="J60" s="14" t="n">
        <v>0</v>
      </c>
      <c r="K60" s="14" t="s">
        <v>906</v>
      </c>
      <c r="L60" s="14" t="s">
        <v>893</v>
      </c>
    </row>
    <row r="61" customFormat="false" ht="15" hidden="false" customHeight="false" outlineLevel="0" collapsed="false">
      <c r="A61" s="12" t="s">
        <v>963</v>
      </c>
      <c r="B61" s="12" t="s">
        <v>47</v>
      </c>
      <c r="C61" s="12" t="s">
        <v>48</v>
      </c>
      <c r="D61" s="12" t="n">
        <v>7</v>
      </c>
      <c r="E61" s="12" t="s">
        <v>908</v>
      </c>
      <c r="F61" s="12" t="s">
        <v>909</v>
      </c>
      <c r="G61" s="12" t="s">
        <v>910</v>
      </c>
      <c r="H61" s="12" t="n">
        <v>0</v>
      </c>
      <c r="I61" s="14" t="n">
        <v>0</v>
      </c>
      <c r="J61" s="14" t="n">
        <v>0</v>
      </c>
      <c r="K61" s="14" t="s">
        <v>892</v>
      </c>
      <c r="L61" s="14" t="s">
        <v>893</v>
      </c>
    </row>
    <row r="62" customFormat="false" ht="15" hidden="false" customHeight="false" outlineLevel="0" collapsed="false">
      <c r="A62" s="12" t="s">
        <v>964</v>
      </c>
      <c r="B62" s="12" t="s">
        <v>47</v>
      </c>
      <c r="C62" s="12" t="s">
        <v>48</v>
      </c>
      <c r="D62" s="12" t="n">
        <v>8</v>
      </c>
      <c r="E62" s="12" t="s">
        <v>912</v>
      </c>
      <c r="F62" s="12" t="s">
        <v>909</v>
      </c>
      <c r="G62" s="12" t="s">
        <v>910</v>
      </c>
      <c r="H62" s="12" t="n">
        <v>0</v>
      </c>
      <c r="I62" s="14" t="n">
        <v>0</v>
      </c>
      <c r="J62" s="14" t="n">
        <v>0</v>
      </c>
      <c r="K62" s="14" t="s">
        <v>892</v>
      </c>
      <c r="L62" s="14" t="s">
        <v>893</v>
      </c>
    </row>
    <row r="63" customFormat="false" ht="15" hidden="false" customHeight="false" outlineLevel="0" collapsed="false">
      <c r="A63" s="12" t="s">
        <v>965</v>
      </c>
      <c r="B63" s="12" t="s">
        <v>47</v>
      </c>
      <c r="C63" s="12" t="s">
        <v>48</v>
      </c>
      <c r="D63" s="12" t="n">
        <v>9</v>
      </c>
      <c r="E63" s="12" t="s">
        <v>914</v>
      </c>
      <c r="F63" s="12" t="s">
        <v>909</v>
      </c>
      <c r="G63" s="12" t="s">
        <v>910</v>
      </c>
      <c r="H63" s="12" t="n">
        <v>0</v>
      </c>
      <c r="I63" s="14" t="n">
        <v>0</v>
      </c>
      <c r="J63" s="14" t="n">
        <v>0</v>
      </c>
      <c r="K63" s="14" t="s">
        <v>892</v>
      </c>
      <c r="L63" s="14" t="s">
        <v>893</v>
      </c>
    </row>
    <row r="64" customFormat="false" ht="15" hidden="false" customHeight="false" outlineLevel="0" collapsed="false">
      <c r="A64" s="12" t="s">
        <v>966</v>
      </c>
      <c r="B64" s="12" t="s">
        <v>47</v>
      </c>
      <c r="C64" s="12" t="s">
        <v>48</v>
      </c>
      <c r="D64" s="12" t="n">
        <v>10</v>
      </c>
      <c r="E64" s="12" t="s">
        <v>916</v>
      </c>
      <c r="F64" s="12" t="s">
        <v>909</v>
      </c>
      <c r="G64" s="12" t="s">
        <v>910</v>
      </c>
      <c r="H64" s="12" t="n">
        <v>0</v>
      </c>
      <c r="I64" s="14" t="n">
        <v>0</v>
      </c>
      <c r="J64" s="14" t="n">
        <v>0</v>
      </c>
      <c r="K64" s="14" t="s">
        <v>892</v>
      </c>
      <c r="L64" s="14" t="s">
        <v>893</v>
      </c>
    </row>
    <row r="65" customFormat="false" ht="15" hidden="false" customHeight="false" outlineLevel="0" collapsed="false">
      <c r="A65" s="12" t="s">
        <v>967</v>
      </c>
      <c r="B65" s="12" t="s">
        <v>47</v>
      </c>
      <c r="C65" s="12" t="s">
        <v>48</v>
      </c>
      <c r="D65" s="12" t="n">
        <v>11</v>
      </c>
      <c r="E65" s="12" t="s">
        <v>918</v>
      </c>
      <c r="F65" s="12" t="s">
        <v>909</v>
      </c>
      <c r="G65" s="12" t="s">
        <v>910</v>
      </c>
      <c r="H65" s="12" t="n">
        <v>0</v>
      </c>
      <c r="I65" s="14" t="n">
        <v>0</v>
      </c>
      <c r="J65" s="14" t="n">
        <v>0</v>
      </c>
      <c r="K65" s="14" t="s">
        <v>892</v>
      </c>
      <c r="L65" s="14" t="s">
        <v>893</v>
      </c>
    </row>
    <row r="66" customFormat="false" ht="15" hidden="false" customHeight="false" outlineLevel="0" collapsed="false">
      <c r="A66" s="12" t="s">
        <v>968</v>
      </c>
      <c r="B66" s="12" t="s">
        <v>47</v>
      </c>
      <c r="C66" s="12" t="s">
        <v>48</v>
      </c>
      <c r="D66" s="12" t="n">
        <v>12</v>
      </c>
      <c r="E66" s="12" t="s">
        <v>920</v>
      </c>
      <c r="F66" s="12" t="s">
        <v>909</v>
      </c>
      <c r="G66" s="12" t="s">
        <v>910</v>
      </c>
      <c r="H66" s="12" t="n">
        <v>0</v>
      </c>
      <c r="I66" s="14" t="n">
        <v>0</v>
      </c>
      <c r="J66" s="14" t="n">
        <v>0</v>
      </c>
      <c r="K66" s="14" t="s">
        <v>892</v>
      </c>
      <c r="L66" s="14" t="s">
        <v>874</v>
      </c>
    </row>
    <row r="67" customFormat="false" ht="15" hidden="false" customHeight="false" outlineLevel="0" collapsed="false">
      <c r="A67" s="12" t="s">
        <v>969</v>
      </c>
      <c r="B67" s="12" t="s">
        <v>51</v>
      </c>
      <c r="C67" s="12" t="s">
        <v>52</v>
      </c>
      <c r="D67" s="12" t="n">
        <v>1</v>
      </c>
      <c r="E67" s="12" t="s">
        <v>889</v>
      </c>
      <c r="F67" s="12" t="s">
        <v>890</v>
      </c>
      <c r="G67" s="12" t="s">
        <v>891</v>
      </c>
      <c r="H67" s="12" t="n">
        <v>1</v>
      </c>
      <c r="I67" s="14" t="n">
        <v>0</v>
      </c>
      <c r="J67" s="14" t="n">
        <v>0</v>
      </c>
      <c r="K67" s="14" t="s">
        <v>892</v>
      </c>
      <c r="L67" s="14" t="s">
        <v>893</v>
      </c>
    </row>
    <row r="68" customFormat="false" ht="15" hidden="false" customHeight="false" outlineLevel="0" collapsed="false">
      <c r="A68" s="12" t="s">
        <v>970</v>
      </c>
      <c r="B68" s="12" t="s">
        <v>51</v>
      </c>
      <c r="C68" s="12" t="s">
        <v>52</v>
      </c>
      <c r="D68" s="12" t="n">
        <v>2</v>
      </c>
      <c r="E68" s="12" t="s">
        <v>895</v>
      </c>
      <c r="F68" s="12" t="s">
        <v>890</v>
      </c>
      <c r="G68" s="12" t="s">
        <v>891</v>
      </c>
      <c r="H68" s="12" t="n">
        <v>1</v>
      </c>
      <c r="I68" s="14" t="n">
        <v>0</v>
      </c>
      <c r="J68" s="14" t="n">
        <v>0</v>
      </c>
      <c r="K68" s="14" t="s">
        <v>892</v>
      </c>
      <c r="L68" s="14" t="s">
        <v>893</v>
      </c>
    </row>
    <row r="69" customFormat="false" ht="15" hidden="false" customHeight="false" outlineLevel="0" collapsed="false">
      <c r="A69" s="12" t="s">
        <v>971</v>
      </c>
      <c r="B69" s="12" t="s">
        <v>51</v>
      </c>
      <c r="C69" s="12" t="s">
        <v>52</v>
      </c>
      <c r="D69" s="12" t="n">
        <v>3</v>
      </c>
      <c r="E69" s="12" t="s">
        <v>897</v>
      </c>
      <c r="F69" s="12" t="s">
        <v>890</v>
      </c>
      <c r="G69" s="12" t="s">
        <v>891</v>
      </c>
      <c r="H69" s="12" t="n">
        <v>1</v>
      </c>
      <c r="I69" s="14" t="n">
        <v>0</v>
      </c>
      <c r="J69" s="14" t="n">
        <v>0</v>
      </c>
      <c r="K69" s="14" t="s">
        <v>892</v>
      </c>
      <c r="L69" s="14" t="s">
        <v>893</v>
      </c>
    </row>
    <row r="70" customFormat="false" ht="15" hidden="false" customHeight="false" outlineLevel="0" collapsed="false">
      <c r="A70" s="12" t="s">
        <v>972</v>
      </c>
      <c r="B70" s="12" t="s">
        <v>51</v>
      </c>
      <c r="C70" s="12" t="s">
        <v>52</v>
      </c>
      <c r="D70" s="12" t="n">
        <v>4</v>
      </c>
      <c r="E70" s="12" t="s">
        <v>899</v>
      </c>
      <c r="F70" s="12" t="s">
        <v>890</v>
      </c>
      <c r="G70" s="12" t="s">
        <v>891</v>
      </c>
      <c r="H70" s="12" t="n">
        <v>1</v>
      </c>
      <c r="I70" s="14" t="n">
        <v>0</v>
      </c>
      <c r="J70" s="14" t="n">
        <v>0</v>
      </c>
      <c r="K70" s="14" t="s">
        <v>892</v>
      </c>
      <c r="L70" s="14" t="s">
        <v>893</v>
      </c>
    </row>
    <row r="71" customFormat="false" ht="15" hidden="false" customHeight="false" outlineLevel="0" collapsed="false">
      <c r="A71" s="12" t="s">
        <v>973</v>
      </c>
      <c r="B71" s="12" t="s">
        <v>51</v>
      </c>
      <c r="C71" s="12" t="s">
        <v>52</v>
      </c>
      <c r="D71" s="12" t="n">
        <v>5</v>
      </c>
      <c r="E71" s="12" t="s">
        <v>901</v>
      </c>
      <c r="F71" s="12" t="s">
        <v>890</v>
      </c>
      <c r="G71" s="12" t="s">
        <v>891</v>
      </c>
      <c r="H71" s="12" t="n">
        <v>1</v>
      </c>
      <c r="I71" s="14" t="n">
        <v>0</v>
      </c>
      <c r="J71" s="14" t="n">
        <v>0</v>
      </c>
      <c r="K71" s="14" t="s">
        <v>892</v>
      </c>
      <c r="L71" s="14" t="s">
        <v>893</v>
      </c>
    </row>
    <row r="72" customFormat="false" ht="15" hidden="false" customHeight="false" outlineLevel="0" collapsed="false">
      <c r="A72" s="12" t="s">
        <v>974</v>
      </c>
      <c r="B72" s="12" t="s">
        <v>51</v>
      </c>
      <c r="C72" s="12" t="s">
        <v>52</v>
      </c>
      <c r="D72" s="12" t="n">
        <v>6</v>
      </c>
      <c r="E72" s="12" t="s">
        <v>903</v>
      </c>
      <c r="F72" s="12" t="s">
        <v>904</v>
      </c>
      <c r="G72" s="12" t="s">
        <v>905</v>
      </c>
      <c r="H72" s="12" t="n">
        <v>0</v>
      </c>
      <c r="I72" s="14" t="n">
        <v>0</v>
      </c>
      <c r="J72" s="14" t="n">
        <v>0</v>
      </c>
      <c r="K72" s="14" t="s">
        <v>906</v>
      </c>
      <c r="L72" s="14" t="s">
        <v>893</v>
      </c>
    </row>
    <row r="73" customFormat="false" ht="15" hidden="false" customHeight="false" outlineLevel="0" collapsed="false">
      <c r="A73" s="12" t="s">
        <v>975</v>
      </c>
      <c r="B73" s="12" t="s">
        <v>51</v>
      </c>
      <c r="C73" s="12" t="s">
        <v>52</v>
      </c>
      <c r="D73" s="12" t="n">
        <v>7</v>
      </c>
      <c r="E73" s="12" t="s">
        <v>908</v>
      </c>
      <c r="F73" s="12" t="s">
        <v>909</v>
      </c>
      <c r="G73" s="12" t="s">
        <v>910</v>
      </c>
      <c r="H73" s="12" t="n">
        <v>0</v>
      </c>
      <c r="I73" s="14" t="n">
        <v>0</v>
      </c>
      <c r="J73" s="14" t="n">
        <v>0</v>
      </c>
      <c r="K73" s="14" t="s">
        <v>892</v>
      </c>
      <c r="L73" s="14" t="s">
        <v>893</v>
      </c>
    </row>
    <row r="74" customFormat="false" ht="15" hidden="false" customHeight="false" outlineLevel="0" collapsed="false">
      <c r="A74" s="12" t="s">
        <v>976</v>
      </c>
      <c r="B74" s="12" t="s">
        <v>51</v>
      </c>
      <c r="C74" s="12" t="s">
        <v>52</v>
      </c>
      <c r="D74" s="12" t="n">
        <v>8</v>
      </c>
      <c r="E74" s="12" t="s">
        <v>912</v>
      </c>
      <c r="F74" s="12" t="s">
        <v>909</v>
      </c>
      <c r="G74" s="12" t="s">
        <v>910</v>
      </c>
      <c r="H74" s="12" t="n">
        <v>0</v>
      </c>
      <c r="I74" s="14" t="n">
        <v>0</v>
      </c>
      <c r="J74" s="14" t="n">
        <v>0</v>
      </c>
      <c r="K74" s="14" t="s">
        <v>892</v>
      </c>
      <c r="L74" s="14" t="s">
        <v>893</v>
      </c>
    </row>
    <row r="75" customFormat="false" ht="15" hidden="false" customHeight="false" outlineLevel="0" collapsed="false">
      <c r="A75" s="12" t="s">
        <v>977</v>
      </c>
      <c r="B75" s="12" t="s">
        <v>51</v>
      </c>
      <c r="C75" s="12" t="s">
        <v>52</v>
      </c>
      <c r="D75" s="12" t="n">
        <v>9</v>
      </c>
      <c r="E75" s="12" t="s">
        <v>914</v>
      </c>
      <c r="F75" s="12" t="s">
        <v>909</v>
      </c>
      <c r="G75" s="12" t="s">
        <v>910</v>
      </c>
      <c r="H75" s="12" t="n">
        <v>0</v>
      </c>
      <c r="I75" s="14" t="n">
        <v>0</v>
      </c>
      <c r="J75" s="14" t="n">
        <v>0</v>
      </c>
      <c r="K75" s="14" t="s">
        <v>892</v>
      </c>
      <c r="L75" s="14" t="s">
        <v>893</v>
      </c>
    </row>
    <row r="76" customFormat="false" ht="15" hidden="false" customHeight="false" outlineLevel="0" collapsed="false">
      <c r="A76" s="12" t="s">
        <v>978</v>
      </c>
      <c r="B76" s="12" t="s">
        <v>51</v>
      </c>
      <c r="C76" s="12" t="s">
        <v>52</v>
      </c>
      <c r="D76" s="12" t="n">
        <v>10</v>
      </c>
      <c r="E76" s="12" t="s">
        <v>916</v>
      </c>
      <c r="F76" s="12" t="s">
        <v>909</v>
      </c>
      <c r="G76" s="12" t="s">
        <v>910</v>
      </c>
      <c r="H76" s="12" t="n">
        <v>0</v>
      </c>
      <c r="I76" s="14" t="n">
        <v>0</v>
      </c>
      <c r="J76" s="14" t="n">
        <v>0</v>
      </c>
      <c r="K76" s="14" t="s">
        <v>892</v>
      </c>
      <c r="L76" s="14" t="s">
        <v>893</v>
      </c>
    </row>
    <row r="77" customFormat="false" ht="15" hidden="false" customHeight="false" outlineLevel="0" collapsed="false">
      <c r="A77" s="12" t="s">
        <v>979</v>
      </c>
      <c r="B77" s="12" t="s">
        <v>51</v>
      </c>
      <c r="C77" s="12" t="s">
        <v>52</v>
      </c>
      <c r="D77" s="12" t="n">
        <v>11</v>
      </c>
      <c r="E77" s="12" t="s">
        <v>918</v>
      </c>
      <c r="F77" s="12" t="s">
        <v>909</v>
      </c>
      <c r="G77" s="12" t="s">
        <v>910</v>
      </c>
      <c r="H77" s="12" t="n">
        <v>0</v>
      </c>
      <c r="I77" s="14" t="n">
        <v>0</v>
      </c>
      <c r="J77" s="14" t="n">
        <v>0</v>
      </c>
      <c r="K77" s="14" t="s">
        <v>892</v>
      </c>
      <c r="L77" s="14" t="s">
        <v>893</v>
      </c>
    </row>
    <row r="78" customFormat="false" ht="15" hidden="false" customHeight="false" outlineLevel="0" collapsed="false">
      <c r="A78" s="15" t="s">
        <v>980</v>
      </c>
      <c r="B78" s="15" t="s">
        <v>51</v>
      </c>
      <c r="C78" s="15" t="s">
        <v>52</v>
      </c>
      <c r="D78" s="15" t="n">
        <v>12</v>
      </c>
      <c r="E78" s="15" t="s">
        <v>920</v>
      </c>
      <c r="F78" s="15" t="s">
        <v>909</v>
      </c>
      <c r="G78" s="15" t="s">
        <v>910</v>
      </c>
      <c r="H78" s="15" t="n">
        <v>0</v>
      </c>
      <c r="I78" s="17" t="n">
        <v>0</v>
      </c>
      <c r="J78" s="17" t="n">
        <v>0</v>
      </c>
      <c r="K78" s="17" t="s">
        <v>892</v>
      </c>
      <c r="L78" s="17" t="s">
        <v>874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0"/>
    <col collapsed="false" customWidth="true" hidden="false" outlineLevel="0" max="3" min="3" style="1" width="44"/>
    <col collapsed="false" customWidth="true" hidden="false" outlineLevel="0" max="4" min="4" style="1" width="24"/>
    <col collapsed="false" customWidth="true" hidden="false" outlineLevel="0" max="5" min="5" style="1" width="16"/>
  </cols>
  <sheetData>
    <row r="2" customFormat="false" ht="24" hidden="false" customHeight="true" outlineLevel="0" collapsed="false">
      <c r="A2" s="2" t="s">
        <v>981</v>
      </c>
      <c r="B2" s="2"/>
      <c r="C2" s="2"/>
      <c r="D2" s="2"/>
      <c r="E2" s="2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24" t="s">
        <v>982</v>
      </c>
      <c r="B4" s="24"/>
      <c r="C4" s="24"/>
      <c r="D4" s="24"/>
      <c r="E4" s="24"/>
    </row>
    <row r="5" customFormat="false" ht="15" hidden="false" customHeight="false" outlineLevel="0" collapsed="false">
      <c r="A5" s="7"/>
      <c r="B5" s="7"/>
      <c r="C5" s="7"/>
      <c r="D5" s="7"/>
      <c r="E5" s="7"/>
    </row>
    <row r="6" customFormat="false" ht="24" hidden="false" customHeight="true" outlineLevel="0" collapsed="false">
      <c r="A6" s="25" t="s">
        <v>983</v>
      </c>
      <c r="B6" s="26" t="s">
        <v>984</v>
      </c>
      <c r="C6" s="26" t="s">
        <v>985</v>
      </c>
      <c r="D6" s="26" t="s">
        <v>986</v>
      </c>
      <c r="E6" s="27" t="s">
        <v>987</v>
      </c>
    </row>
    <row r="7" customFormat="false" ht="15" hidden="false" customHeight="false" outlineLevel="0" collapsed="false">
      <c r="A7" s="8" t="s">
        <v>988</v>
      </c>
      <c r="B7" s="8" t="s">
        <v>989</v>
      </c>
      <c r="C7" s="8" t="s">
        <v>990</v>
      </c>
      <c r="D7" s="8" t="s">
        <v>991</v>
      </c>
      <c r="E7" s="8" t="s">
        <v>992</v>
      </c>
    </row>
    <row r="8" customFormat="false" ht="15" hidden="false" customHeight="false" outlineLevel="0" collapsed="false">
      <c r="A8" s="12" t="s">
        <v>993</v>
      </c>
      <c r="B8" s="12" t="s">
        <v>994</v>
      </c>
      <c r="C8" s="12" t="s">
        <v>995</v>
      </c>
      <c r="D8" s="12" t="s">
        <v>991</v>
      </c>
      <c r="E8" s="12" t="s">
        <v>992</v>
      </c>
    </row>
    <row r="9" customFormat="false" ht="15" hidden="false" customHeight="false" outlineLevel="0" collapsed="false">
      <c r="A9" s="12" t="s">
        <v>996</v>
      </c>
      <c r="B9" s="12" t="s">
        <v>997</v>
      </c>
      <c r="C9" s="12" t="s">
        <v>995</v>
      </c>
      <c r="D9" s="12" t="s">
        <v>991</v>
      </c>
      <c r="E9" s="12" t="s">
        <v>992</v>
      </c>
    </row>
    <row r="10" customFormat="false" ht="15" hidden="false" customHeight="false" outlineLevel="0" collapsed="false">
      <c r="A10" s="12" t="s">
        <v>998</v>
      </c>
      <c r="B10" s="12" t="s">
        <v>999</v>
      </c>
      <c r="C10" s="12" t="s">
        <v>995</v>
      </c>
      <c r="D10" s="12" t="s">
        <v>991</v>
      </c>
      <c r="E10" s="12" t="s">
        <v>992</v>
      </c>
    </row>
    <row r="11" customFormat="false" ht="15" hidden="false" customHeight="false" outlineLevel="0" collapsed="false">
      <c r="A11" s="12" t="s">
        <v>1000</v>
      </c>
      <c r="B11" s="12" t="s">
        <v>1001</v>
      </c>
      <c r="C11" s="12" t="s">
        <v>995</v>
      </c>
      <c r="D11" s="12" t="s">
        <v>991</v>
      </c>
      <c r="E11" s="12" t="s">
        <v>992</v>
      </c>
    </row>
    <row r="12" customFormat="false" ht="15" hidden="false" customHeight="false" outlineLevel="0" collapsed="false">
      <c r="A12" s="12" t="s">
        <v>1002</v>
      </c>
      <c r="B12" s="12" t="s">
        <v>1003</v>
      </c>
      <c r="C12" s="12" t="s">
        <v>995</v>
      </c>
      <c r="D12" s="12" t="s">
        <v>991</v>
      </c>
      <c r="E12" s="12" t="s">
        <v>992</v>
      </c>
    </row>
    <row r="13" customFormat="false" ht="15" hidden="false" customHeight="false" outlineLevel="0" collapsed="false">
      <c r="A13" s="12" t="s">
        <v>1004</v>
      </c>
      <c r="B13" s="12" t="s">
        <v>1005</v>
      </c>
      <c r="C13" s="12" t="s">
        <v>995</v>
      </c>
      <c r="D13" s="12" t="s">
        <v>991</v>
      </c>
      <c r="E13" s="12" t="s">
        <v>992</v>
      </c>
    </row>
    <row r="14" customFormat="false" ht="15" hidden="false" customHeight="false" outlineLevel="0" collapsed="false">
      <c r="A14" s="12" t="s">
        <v>1006</v>
      </c>
      <c r="B14" s="12" t="s">
        <v>1007</v>
      </c>
      <c r="C14" s="12" t="s">
        <v>995</v>
      </c>
      <c r="D14" s="12" t="s">
        <v>991</v>
      </c>
      <c r="E14" s="12" t="s">
        <v>992</v>
      </c>
    </row>
    <row r="15" customFormat="false" ht="15" hidden="false" customHeight="false" outlineLevel="0" collapsed="false">
      <c r="A15" s="12" t="s">
        <v>1008</v>
      </c>
      <c r="B15" s="12" t="s">
        <v>1009</v>
      </c>
      <c r="C15" s="12" t="s">
        <v>1010</v>
      </c>
      <c r="D15" s="12" t="s">
        <v>991</v>
      </c>
      <c r="E15" s="12" t="s">
        <v>992</v>
      </c>
    </row>
    <row r="16" customFormat="false" ht="15" hidden="false" customHeight="false" outlineLevel="0" collapsed="false">
      <c r="A16" s="12" t="s">
        <v>1011</v>
      </c>
      <c r="B16" s="12" t="s">
        <v>1012</v>
      </c>
      <c r="C16" s="12" t="s">
        <v>1013</v>
      </c>
      <c r="D16" s="12" t="s">
        <v>991</v>
      </c>
      <c r="E16" s="12" t="s">
        <v>992</v>
      </c>
    </row>
    <row r="17" customFormat="false" ht="15" hidden="false" customHeight="false" outlineLevel="0" collapsed="false">
      <c r="A17" s="12" t="s">
        <v>1014</v>
      </c>
      <c r="B17" s="12" t="s">
        <v>1015</v>
      </c>
      <c r="C17" s="12" t="s">
        <v>1016</v>
      </c>
      <c r="D17" s="12" t="s">
        <v>991</v>
      </c>
      <c r="E17" s="12" t="s">
        <v>992</v>
      </c>
    </row>
    <row r="18" customFormat="false" ht="15" hidden="false" customHeight="false" outlineLevel="0" collapsed="false">
      <c r="A18" s="12" t="s">
        <v>1017</v>
      </c>
      <c r="B18" s="12" t="s">
        <v>1018</v>
      </c>
      <c r="C18" s="12" t="s">
        <v>1019</v>
      </c>
      <c r="D18" s="12" t="s">
        <v>991</v>
      </c>
      <c r="E18" s="12" t="s">
        <v>992</v>
      </c>
    </row>
    <row r="19" customFormat="false" ht="15" hidden="false" customHeight="false" outlineLevel="0" collapsed="false">
      <c r="A19" s="12" t="s">
        <v>1020</v>
      </c>
      <c r="B19" s="12" t="s">
        <v>1021</v>
      </c>
      <c r="C19" s="12" t="s">
        <v>1022</v>
      </c>
      <c r="D19" s="12" t="s">
        <v>991</v>
      </c>
      <c r="E19" s="12" t="s">
        <v>992</v>
      </c>
    </row>
    <row r="20" customFormat="false" ht="15" hidden="false" customHeight="false" outlineLevel="0" collapsed="false">
      <c r="A20" s="12" t="s">
        <v>1023</v>
      </c>
      <c r="B20" s="12" t="s">
        <v>1024</v>
      </c>
      <c r="C20" s="12" t="s">
        <v>1025</v>
      </c>
      <c r="D20" s="12" t="s">
        <v>991</v>
      </c>
      <c r="E20" s="12" t="s">
        <v>992</v>
      </c>
    </row>
    <row r="21" customFormat="false" ht="15" hidden="false" customHeight="false" outlineLevel="0" collapsed="false">
      <c r="A21" s="12" t="s">
        <v>1026</v>
      </c>
      <c r="B21" s="12" t="s">
        <v>1027</v>
      </c>
      <c r="C21" s="12" t="s">
        <v>1028</v>
      </c>
      <c r="D21" s="12" t="s">
        <v>991</v>
      </c>
      <c r="E21" s="12" t="s">
        <v>992</v>
      </c>
    </row>
    <row r="22" customFormat="false" ht="15" hidden="false" customHeight="false" outlineLevel="0" collapsed="false">
      <c r="A22" s="12" t="s">
        <v>1029</v>
      </c>
      <c r="B22" s="12" t="s">
        <v>1030</v>
      </c>
      <c r="C22" s="12" t="s">
        <v>1031</v>
      </c>
      <c r="D22" s="12" t="s">
        <v>991</v>
      </c>
      <c r="E22" s="12" t="s">
        <v>992</v>
      </c>
    </row>
    <row r="23" customFormat="false" ht="15" hidden="false" customHeight="false" outlineLevel="0" collapsed="false">
      <c r="A23" s="12" t="s">
        <v>1032</v>
      </c>
      <c r="B23" s="12" t="s">
        <v>1033</v>
      </c>
      <c r="C23" s="12" t="s">
        <v>1034</v>
      </c>
      <c r="D23" s="12" t="s">
        <v>991</v>
      </c>
      <c r="E23" s="12" t="s">
        <v>992</v>
      </c>
    </row>
    <row r="24" customFormat="false" ht="15" hidden="false" customHeight="false" outlineLevel="0" collapsed="false">
      <c r="A24" s="15" t="s">
        <v>1035</v>
      </c>
      <c r="B24" s="15" t="s">
        <v>1036</v>
      </c>
      <c r="C24" s="15" t="s">
        <v>1037</v>
      </c>
      <c r="D24" s="15" t="s">
        <v>991</v>
      </c>
      <c r="E24" s="15" t="s">
        <v>992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5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4"/>
  </cols>
  <sheetData>
    <row r="2" customFormat="false" ht="24" hidden="false" customHeight="true" outlineLevel="0" collapsed="false">
      <c r="A2" s="2" t="s">
        <v>1038</v>
      </c>
      <c r="B2" s="2"/>
      <c r="C2" s="2"/>
      <c r="D2" s="2"/>
      <c r="E2" s="2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24" t="s">
        <v>1039</v>
      </c>
      <c r="B4" s="24"/>
      <c r="C4" s="24"/>
      <c r="D4" s="24"/>
      <c r="E4" s="24"/>
    </row>
    <row r="5" customFormat="false" ht="15" hidden="false" customHeight="false" outlineLevel="0" collapsed="false">
      <c r="A5" s="7"/>
      <c r="B5" s="7"/>
      <c r="C5" s="7"/>
      <c r="D5" s="7"/>
      <c r="E5" s="7"/>
    </row>
    <row r="6" customFormat="false" ht="24" hidden="false" customHeight="true" outlineLevel="0" collapsed="false">
      <c r="A6" s="25" t="s">
        <v>991</v>
      </c>
      <c r="B6" s="26" t="s">
        <v>1040</v>
      </c>
      <c r="C6" s="26" t="s">
        <v>1041</v>
      </c>
      <c r="D6" s="26" t="s">
        <v>1042</v>
      </c>
      <c r="E6" s="27" t="s">
        <v>4</v>
      </c>
    </row>
    <row r="7" customFormat="false" ht="15" hidden="false" customHeight="false" outlineLevel="0" collapsed="false">
      <c r="A7" s="8" t="s">
        <v>114</v>
      </c>
      <c r="B7" s="8" t="s">
        <v>1043</v>
      </c>
      <c r="C7" s="36" t="n">
        <f aca="false">COUNTA('Root Architecture'!B7:B12)</f>
        <v>6</v>
      </c>
      <c r="D7" s="36" t="n">
        <v>6</v>
      </c>
      <c r="E7" s="9" t="str">
        <f aca="false">IF(ABS(C7-D7)&lt;0.000001,"PASS","FAIL")</f>
        <v>PASS</v>
      </c>
    </row>
    <row r="8" customFormat="false" ht="15" hidden="false" customHeight="false" outlineLevel="0" collapsed="false">
      <c r="A8" s="12" t="s">
        <v>121</v>
      </c>
      <c r="B8" s="12" t="s">
        <v>1044</v>
      </c>
      <c r="C8" s="37" t="n">
        <f aca="false">COUNTA('Section Bills'!C7:C42)</f>
        <v>36</v>
      </c>
      <c r="D8" s="37" t="n">
        <v>36</v>
      </c>
      <c r="E8" s="13" t="str">
        <f aca="false">IF(ABS(C8-D8)&lt;0.000001,"PASS","FAIL")</f>
        <v>PASS</v>
      </c>
    </row>
    <row r="9" customFormat="false" ht="15" hidden="false" customHeight="false" outlineLevel="0" collapsed="false">
      <c r="A9" s="12" t="s">
        <v>128</v>
      </c>
      <c r="B9" s="12" t="s">
        <v>1045</v>
      </c>
      <c r="C9" s="37" t="n">
        <f aca="false">COUNTA('Cell Register'!A7:A150)</f>
        <v>144</v>
      </c>
      <c r="D9" s="37" t="n">
        <v>144</v>
      </c>
      <c r="E9" s="13" t="str">
        <f aca="false">IF(ABS(C9-D9)&lt;0.000001,"PASS","FAIL")</f>
        <v>PASS</v>
      </c>
    </row>
    <row r="10" customFormat="false" ht="15" hidden="false" customHeight="false" outlineLevel="0" collapsed="false">
      <c r="A10" s="12" t="s">
        <v>135</v>
      </c>
      <c r="B10" s="12" t="s">
        <v>12</v>
      </c>
      <c r="C10" s="37" t="n">
        <f aca="false">COUNTIFS('Cell Register'!S7:S150,"DESIGN CLOSE")</f>
        <v>60</v>
      </c>
      <c r="D10" s="37" t="n">
        <v>60</v>
      </c>
      <c r="E10" s="13" t="str">
        <f aca="false">IF(ABS(C10-D10)&lt;0.000001,"PASS","FAIL")</f>
        <v>PASS</v>
      </c>
    </row>
    <row r="11" customFormat="false" ht="15" hidden="false" customHeight="false" outlineLevel="0" collapsed="false">
      <c r="A11" s="12" t="s">
        <v>140</v>
      </c>
      <c r="B11" s="12" t="s">
        <v>14</v>
      </c>
      <c r="C11" s="37" t="n">
        <f aca="false">COUNTIFS('Cell Register'!S7:S150,"MEASUREMENT READY")</f>
        <v>84</v>
      </c>
      <c r="D11" s="37" t="n">
        <v>84</v>
      </c>
      <c r="E11" s="13" t="str">
        <f aca="false">IF(ABS(C11-D11)&lt;0.000001,"PASS","FAIL")</f>
        <v>PASS</v>
      </c>
    </row>
    <row r="12" customFormat="false" ht="15" hidden="false" customHeight="false" outlineLevel="0" collapsed="false">
      <c r="A12" s="12" t="s">
        <v>146</v>
      </c>
      <c r="B12" s="12" t="s">
        <v>1046</v>
      </c>
      <c r="C12" s="37" t="n">
        <f aca="false">COUNTIFS('Cell Register'!S7:S150,"NEGATIVE")</f>
        <v>0</v>
      </c>
      <c r="D12" s="37" t="n">
        <v>0</v>
      </c>
      <c r="E12" s="13" t="str">
        <f aca="false">IF(ABS(C12-D12)&lt;0.000001,"PASS","FAIL")</f>
        <v>PASS</v>
      </c>
    </row>
    <row r="13" customFormat="false" ht="15" hidden="false" customHeight="false" outlineLevel="0" collapsed="false">
      <c r="A13" s="12" t="s">
        <v>1047</v>
      </c>
      <c r="B13" s="12" t="s">
        <v>16</v>
      </c>
      <c r="C13" s="37" t="n">
        <f aca="false">COUNTIFS('Cell Register'!S7:S150,"UNSCOPED")</f>
        <v>0</v>
      </c>
      <c r="D13" s="37" t="n">
        <v>0</v>
      </c>
      <c r="E13" s="13" t="str">
        <f aca="false">IF(ABS(C13-D13)&lt;0.000001,"PASS","FAIL")</f>
        <v>PASS</v>
      </c>
    </row>
    <row r="14" customFormat="false" ht="15" hidden="false" customHeight="false" outlineLevel="0" collapsed="false">
      <c r="A14" s="12" t="s">
        <v>1048</v>
      </c>
      <c r="B14" s="12" t="s">
        <v>1049</v>
      </c>
      <c r="C14" s="37" t="n">
        <f aca="false">COUNTA('Gap Migration'!A7:A91)</f>
        <v>85</v>
      </c>
      <c r="D14" s="37" t="n">
        <v>85</v>
      </c>
      <c r="E14" s="13" t="str">
        <f aca="false">IF(ABS(C14-D14)&lt;0.000001,"PASS","FAIL")</f>
        <v>PASS</v>
      </c>
    </row>
    <row r="15" customFormat="false" ht="15" hidden="false" customHeight="false" outlineLevel="0" collapsed="false">
      <c r="A15" s="12" t="s">
        <v>1050</v>
      </c>
      <c r="B15" s="12" t="s">
        <v>1051</v>
      </c>
      <c r="C15" s="37" t="n">
        <f aca="false">COUNTIFS('Gap Migration'!E7:E91,"W02")</f>
        <v>36</v>
      </c>
      <c r="D15" s="37" t="n">
        <v>36</v>
      </c>
      <c r="E15" s="13" t="str">
        <f aca="false">IF(ABS(C15-D15)&lt;0.000001,"PASS","FAIL")</f>
        <v>PASS</v>
      </c>
    </row>
    <row r="16" customFormat="false" ht="15" hidden="false" customHeight="false" outlineLevel="0" collapsed="false">
      <c r="A16" s="12" t="s">
        <v>1052</v>
      </c>
      <c r="B16" s="12" t="s">
        <v>1053</v>
      </c>
      <c r="C16" s="37" t="n">
        <f aca="false">COUNTIFS('Gap Migration'!E7:E91,"W04")</f>
        <v>36</v>
      </c>
      <c r="D16" s="37" t="n">
        <v>36</v>
      </c>
      <c r="E16" s="13" t="str">
        <f aca="false">IF(ABS(C16-D16)&lt;0.000001,"PASS","FAIL")</f>
        <v>PASS</v>
      </c>
    </row>
    <row r="17" customFormat="false" ht="15" hidden="false" customHeight="false" outlineLevel="0" collapsed="false">
      <c r="A17" s="12" t="s">
        <v>1054</v>
      </c>
      <c r="B17" s="12" t="s">
        <v>1055</v>
      </c>
      <c r="C17" s="37" t="n">
        <f aca="false">COUNTIFS('Gap Migration'!H7:H91,"Rebuild Clocks")</f>
        <v>12</v>
      </c>
      <c r="D17" s="37" t="n">
        <v>12</v>
      </c>
      <c r="E17" s="13" t="str">
        <f aca="false">IF(ABS(C17-D17)&lt;0.000001,"PASS","FAIL")</f>
        <v>PASS</v>
      </c>
    </row>
    <row r="18" customFormat="false" ht="15" hidden="false" customHeight="false" outlineLevel="0" collapsed="false">
      <c r="A18" s="12" t="s">
        <v>1056</v>
      </c>
      <c r="B18" s="12" t="s">
        <v>1057</v>
      </c>
      <c r="C18" s="37" t="n">
        <f aca="false">COUNTIFS('Gap Migration'!A7:A91,"MA-LF-B-A01-W03",'Gap Migration'!K7:K91,1)</f>
        <v>1</v>
      </c>
      <c r="D18" s="37" t="n">
        <v>1</v>
      </c>
      <c r="E18" s="13" t="str">
        <f aca="false">IF(ABS(C18-D18)&lt;0.000001,"PASS","FAIL")</f>
        <v>PASS</v>
      </c>
    </row>
    <row r="19" customFormat="false" ht="15" hidden="false" customHeight="false" outlineLevel="0" collapsed="false">
      <c r="A19" s="12" t="s">
        <v>1058</v>
      </c>
      <c r="B19" s="12" t="s">
        <v>1059</v>
      </c>
      <c r="C19" s="37" t="n">
        <f aca="false">SUM('Gap Migration'!J7:J91)</f>
        <v>85</v>
      </c>
      <c r="D19" s="37" t="n">
        <v>85</v>
      </c>
      <c r="E19" s="13" t="str">
        <f aca="false">IF(ABS(C19-D19)&lt;0.000001,"PASS","FAIL")</f>
        <v>PASS</v>
      </c>
    </row>
    <row r="20" customFormat="false" ht="15" hidden="false" customHeight="false" outlineLevel="0" collapsed="false">
      <c r="A20" s="12" t="s">
        <v>1060</v>
      </c>
      <c r="B20" s="12" t="s">
        <v>1061</v>
      </c>
      <c r="C20" s="37" t="n">
        <f aca="false">SUM('Gap Migration'!K7:K91)</f>
        <v>1</v>
      </c>
      <c r="D20" s="37" t="n">
        <v>1</v>
      </c>
      <c r="E20" s="13" t="str">
        <f aca="false">IF(ABS(C20-D20)&lt;0.000001,"PASS","FAIL")</f>
        <v>PASS</v>
      </c>
    </row>
    <row r="21" customFormat="false" ht="15" hidden="false" customHeight="false" outlineLevel="0" collapsed="false">
      <c r="A21" s="12" t="s">
        <v>1062</v>
      </c>
      <c r="B21" s="12" t="s">
        <v>1063</v>
      </c>
      <c r="C21" s="37" t="n">
        <f aca="false">SUM('Gap Migration'!L7:L91)</f>
        <v>0</v>
      </c>
      <c r="D21" s="37" t="n">
        <v>0</v>
      </c>
      <c r="E21" s="13" t="str">
        <f aca="false">IF(ABS(C21-D21)&lt;0.000001,"PASS","FAIL")</f>
        <v>PASS</v>
      </c>
    </row>
    <row r="22" customFormat="false" ht="15" hidden="false" customHeight="false" outlineLevel="0" collapsed="false">
      <c r="A22" s="12" t="s">
        <v>1064</v>
      </c>
      <c r="B22" s="12" t="s">
        <v>1065</v>
      </c>
      <c r="C22" s="37" t="n">
        <f aca="false">SUM('Gap Migration'!M7:M91)</f>
        <v>0</v>
      </c>
      <c r="D22" s="37" t="n">
        <v>0</v>
      </c>
      <c r="E22" s="13" t="str">
        <f aca="false">IF(ABS(C22-D22)&lt;0.000001,"PASS","FAIL")</f>
        <v>PASS</v>
      </c>
    </row>
    <row r="23" customFormat="false" ht="15" hidden="false" customHeight="false" outlineLevel="0" collapsed="false">
      <c r="A23" s="12" t="s">
        <v>1066</v>
      </c>
      <c r="B23" s="12" t="s">
        <v>1067</v>
      </c>
      <c r="C23" s="37" t="n">
        <f aca="false">COUNTA('Keystone Protocols'!A7:A42)</f>
        <v>36</v>
      </c>
      <c r="D23" s="37" t="n">
        <v>36</v>
      </c>
      <c r="E23" s="13" t="str">
        <f aca="false">IF(ABS(C23-D23)&lt;0.000001,"PASS","FAIL")</f>
        <v>PASS</v>
      </c>
    </row>
    <row r="24" customFormat="false" ht="15" hidden="false" customHeight="false" outlineLevel="0" collapsed="false">
      <c r="A24" s="12" t="s">
        <v>1068</v>
      </c>
      <c r="B24" s="12" t="s">
        <v>1069</v>
      </c>
      <c r="C24" s="37" t="n">
        <f aca="false">COUNTA('Rebuild Protocols'!A7:A42)</f>
        <v>36</v>
      </c>
      <c r="D24" s="37" t="n">
        <v>36</v>
      </c>
      <c r="E24" s="13" t="str">
        <f aca="false">IF(ABS(C24-D24)&lt;0.000001,"PASS","FAIL")</f>
        <v>PASS</v>
      </c>
    </row>
    <row r="25" customFormat="false" ht="15" hidden="false" customHeight="false" outlineLevel="0" collapsed="false">
      <c r="A25" s="12" t="s">
        <v>1070</v>
      </c>
      <c r="B25" s="12" t="s">
        <v>1071</v>
      </c>
      <c r="C25" s="37" t="n">
        <f aca="false">COUNTA('Rebuild Clocks'!A7:A18)</f>
        <v>12</v>
      </c>
      <c r="D25" s="37" t="n">
        <v>12</v>
      </c>
      <c r="E25" s="13" t="str">
        <f aca="false">IF(ABS(C25-D25)&lt;0.000001,"PASS","FAIL")</f>
        <v>PASS</v>
      </c>
    </row>
    <row r="26" customFormat="false" ht="15" hidden="false" customHeight="false" outlineLevel="0" collapsed="false">
      <c r="A26" s="12" t="s">
        <v>1072</v>
      </c>
      <c r="B26" s="12" t="s">
        <v>1073</v>
      </c>
      <c r="C26" s="37" t="n">
        <f aca="false">COUNTA('Isolation Map'!A7:A42)</f>
        <v>36</v>
      </c>
      <c r="D26" s="37" t="n">
        <v>36</v>
      </c>
      <c r="E26" s="13" t="str">
        <f aca="false">IF(ABS(C26-D26)&lt;0.000001,"PASS","FAIL")</f>
        <v>PASS</v>
      </c>
    </row>
    <row r="27" customFormat="false" ht="15" hidden="false" customHeight="false" outlineLevel="0" collapsed="false">
      <c r="A27" s="12" t="s">
        <v>1074</v>
      </c>
      <c r="B27" s="12" t="s">
        <v>1075</v>
      </c>
      <c r="C27" s="37" t="n">
        <f aca="false">COUNTIFS('Isolation Map'!I7:I42,"FROZEN")</f>
        <v>36</v>
      </c>
      <c r="D27" s="37" t="n">
        <v>36</v>
      </c>
      <c r="E27" s="13" t="str">
        <f aca="false">IF(ABS(C27-D27)&lt;0.000001,"PASS","FAIL")</f>
        <v>PASS</v>
      </c>
    </row>
    <row r="28" customFormat="false" ht="15" hidden="false" customHeight="false" outlineLevel="0" collapsed="false">
      <c r="A28" s="12" t="s">
        <v>1076</v>
      </c>
      <c r="B28" s="12" t="s">
        <v>1077</v>
      </c>
      <c r="C28" s="37" t="n">
        <f aca="false">COUNTA('Technology Thrusts'!A7:A30)</f>
        <v>24</v>
      </c>
      <c r="D28" s="37" t="n">
        <v>24</v>
      </c>
      <c r="E28" s="13" t="str">
        <f aca="false">IF(ABS(C28-D28)&lt;0.000001,"PASS","FAIL")</f>
        <v>PASS</v>
      </c>
    </row>
    <row r="29" customFormat="false" ht="15" hidden="false" customHeight="false" outlineLevel="0" collapsed="false">
      <c r="A29" s="12" t="s">
        <v>1078</v>
      </c>
      <c r="B29" s="12" t="s">
        <v>1079</v>
      </c>
      <c r="C29" s="37" t="n">
        <f aca="false">COUNTA('Release Gates'!A7:A78)</f>
        <v>72</v>
      </c>
      <c r="D29" s="37" t="n">
        <v>72</v>
      </c>
      <c r="E29" s="13" t="str">
        <f aca="false">IF(ABS(C29-D29)&lt;0.000001,"PASS","FAIL")</f>
        <v>PASS</v>
      </c>
    </row>
    <row r="30" customFormat="false" ht="15" hidden="false" customHeight="false" outlineLevel="0" collapsed="false">
      <c r="A30" s="12" t="s">
        <v>1080</v>
      </c>
      <c r="B30" s="12" t="s">
        <v>1081</v>
      </c>
      <c r="C30" s="37" t="n">
        <f aca="false">SUM('Root Architecture'!J7:J12)</f>
        <v>0</v>
      </c>
      <c r="D30" s="37" t="n">
        <v>0</v>
      </c>
      <c r="E30" s="13" t="str">
        <f aca="false">IF(ABS(C30-D30)&lt;0.000001,"PASS","FAIL")</f>
        <v>PASS</v>
      </c>
    </row>
    <row r="31" customFormat="false" ht="15" hidden="false" customHeight="false" outlineLevel="0" collapsed="false">
      <c r="A31" s="12" t="s">
        <v>1082</v>
      </c>
      <c r="B31" s="12" t="s">
        <v>1083</v>
      </c>
      <c r="C31" s="37" t="n">
        <f aca="false">SUM('Root Architecture'!H7:H12)</f>
        <v>6</v>
      </c>
      <c r="D31" s="37" t="n">
        <v>6</v>
      </c>
      <c r="E31" s="13" t="str">
        <f aca="false">IF(ABS(C31-D31)&lt;0.000001,"PASS","FAIL")</f>
        <v>PASS</v>
      </c>
    </row>
    <row r="32" customFormat="false" ht="15" hidden="false" customHeight="false" outlineLevel="0" collapsed="false">
      <c r="A32" s="12" t="s">
        <v>1084</v>
      </c>
      <c r="B32" s="12" t="s">
        <v>1085</v>
      </c>
      <c r="C32" s="37" t="n">
        <f aca="false">COUNTIFS('Root Architecture'!K7:K12,"SECTION FROZEN / EVIDENCE HOLD")</f>
        <v>6</v>
      </c>
      <c r="D32" s="37" t="n">
        <v>6</v>
      </c>
      <c r="E32" s="13" t="str">
        <f aca="false">IF(ABS(C32-D32)&lt;0.000001,"PASS","FAIL")</f>
        <v>PASS</v>
      </c>
    </row>
    <row r="33" customFormat="false" ht="15" hidden="false" customHeight="false" outlineLevel="0" collapsed="false">
      <c r="A33" s="12" t="s">
        <v>1086</v>
      </c>
      <c r="B33" s="12" t="s">
        <v>1087</v>
      </c>
      <c r="C33" s="37" t="n">
        <f aca="false">COUNTIFS('Root Architecture'!I7:I12,"&gt;=0")</f>
        <v>6</v>
      </c>
      <c r="D33" s="37" t="n">
        <v>6</v>
      </c>
      <c r="E33" s="13" t="str">
        <f aca="false">IF(ABS(C33-D33)&lt;0.000001,"PASS","FAIL")</f>
        <v>PASS</v>
      </c>
    </row>
    <row r="34" customFormat="false" ht="15" hidden="false" customHeight="false" outlineLevel="0" collapsed="false">
      <c r="A34" s="12" t="s">
        <v>1088</v>
      </c>
      <c r="B34" s="12" t="s">
        <v>1089</v>
      </c>
      <c r="C34" s="37" t="n">
        <f aca="false">COUNTIFS('Cell Register'!S7:S150,"DESIGN CLOSE")+COUNTIFS('Cell Register'!S7:S150,"MEASUREMENT READY")+COUNTIFS('Cell Register'!S7:S150,"NEGATIVE")+COUNTIFS('Cell Register'!S7:S150,"UNSCOPED")</f>
        <v>144</v>
      </c>
      <c r="D34" s="37" t="n">
        <v>144</v>
      </c>
      <c r="E34" s="13" t="str">
        <f aca="false">IF(ABS(C34-D34)&lt;0.000001,"PASS","FAIL")</f>
        <v>PASS</v>
      </c>
    </row>
    <row r="35" customFormat="false" ht="15" hidden="false" customHeight="false" outlineLevel="0" collapsed="false">
      <c r="A35" s="12" t="s">
        <v>1090</v>
      </c>
      <c r="B35" s="12" t="s">
        <v>1091</v>
      </c>
      <c r="C35" s="37" t="n">
        <f aca="false">COUNTIFS('Cell Register'!F7:F150,"W01",'Cell Register'!S7:S150,"DESIGN CLOSE")</f>
        <v>30</v>
      </c>
      <c r="D35" s="37" t="n">
        <v>30</v>
      </c>
      <c r="E35" s="13" t="str">
        <f aca="false">IF(ABS(C35-D35)&lt;0.000001,"PASS","FAIL")</f>
        <v>PASS</v>
      </c>
    </row>
    <row r="36" customFormat="false" ht="15" hidden="false" customHeight="false" outlineLevel="0" collapsed="false">
      <c r="A36" s="12" t="s">
        <v>1092</v>
      </c>
      <c r="B36" s="12" t="s">
        <v>1093</v>
      </c>
      <c r="C36" s="37" t="n">
        <f aca="false">COUNTIFS('Cell Register'!F7:F150,"W03",'Cell Register'!S7:S150,"DESIGN CLOSE")</f>
        <v>30</v>
      </c>
      <c r="D36" s="37" t="n">
        <v>30</v>
      </c>
      <c r="E36" s="13" t="str">
        <f aca="false">IF(ABS(C36-D36)&lt;0.000001,"PASS","FAIL")</f>
        <v>PASS</v>
      </c>
    </row>
    <row r="37" customFormat="false" ht="15" hidden="false" customHeight="false" outlineLevel="0" collapsed="false">
      <c r="A37" s="12" t="s">
        <v>1094</v>
      </c>
      <c r="B37" s="12" t="s">
        <v>1095</v>
      </c>
      <c r="C37" s="37" t="n">
        <f aca="false">COUNTIFS('Cell Register'!F7:F150,"W02",'Cell Register'!S7:S150,"MEASUREMENT READY")</f>
        <v>36</v>
      </c>
      <c r="D37" s="37" t="n">
        <v>36</v>
      </c>
      <c r="E37" s="13" t="str">
        <f aca="false">IF(ABS(C37-D37)&lt;0.000001,"PASS","FAIL")</f>
        <v>PASS</v>
      </c>
    </row>
    <row r="38" customFormat="false" ht="15" hidden="false" customHeight="false" outlineLevel="0" collapsed="false">
      <c r="A38" s="12" t="s">
        <v>1096</v>
      </c>
      <c r="B38" s="12" t="s">
        <v>1097</v>
      </c>
      <c r="C38" s="37" t="n">
        <f aca="false">COUNTIFS('Cell Register'!F7:F150,"W04",'Cell Register'!S7:S150,"MEASUREMENT READY")</f>
        <v>36</v>
      </c>
      <c r="D38" s="37" t="n">
        <v>36</v>
      </c>
      <c r="E38" s="13" t="str">
        <f aca="false">IF(ABS(C38-D38)&lt;0.000001,"PASS","FAIL")</f>
        <v>PASS</v>
      </c>
    </row>
    <row r="39" customFormat="false" ht="15" hidden="false" customHeight="false" outlineLevel="0" collapsed="false">
      <c r="A39" s="12" t="s">
        <v>1098</v>
      </c>
      <c r="B39" s="12" t="s">
        <v>1099</v>
      </c>
      <c r="C39" s="37" t="n">
        <f aca="false">COUNTIFS('Cell Register'!D7:D150,"A06",'Cell Register'!F7:F150,"W01",'Cell Register'!S7:S150,"MEASUREMENT READY")+COUNTIFS('Cell Register'!D7:D150,"A06",'Cell Register'!F7:F150,"W03",'Cell Register'!S7:S150,"MEASUREMENT READY")</f>
        <v>12</v>
      </c>
      <c r="D39" s="37" t="n">
        <v>12</v>
      </c>
      <c r="E39" s="13" t="str">
        <f aca="false">IF(ABS(C39-D39)&lt;0.000001,"PASS","FAIL")</f>
        <v>PASS</v>
      </c>
    </row>
    <row r="40" customFormat="false" ht="15" hidden="false" customHeight="false" outlineLevel="0" collapsed="false">
      <c r="A40" s="12" t="s">
        <v>1100</v>
      </c>
      <c r="B40" s="12" t="s">
        <v>1101</v>
      </c>
      <c r="C40" s="37" t="n">
        <f aca="false">SUM('Cell Register'!U7:U150)</f>
        <v>0</v>
      </c>
      <c r="D40" s="37" t="n">
        <v>0</v>
      </c>
      <c r="E40" s="13" t="str">
        <f aca="false">IF(ABS(C40-D40)&lt;0.000001,"PASS","FAIL")</f>
        <v>PASS</v>
      </c>
    </row>
    <row r="41" customFormat="false" ht="15" hidden="false" customHeight="false" outlineLevel="0" collapsed="false">
      <c r="A41" s="12" t="s">
        <v>1102</v>
      </c>
      <c r="B41" s="12" t="s">
        <v>1103</v>
      </c>
      <c r="C41" s="37" t="n">
        <f aca="false">SUM('Cell Register'!Q7:Q150)</f>
        <v>0</v>
      </c>
      <c r="D41" s="37" t="n">
        <v>0</v>
      </c>
      <c r="E41" s="13" t="str">
        <f aca="false">IF(ABS(C41-D41)&lt;0.000001,"PASS","FAIL")</f>
        <v>PASS</v>
      </c>
    </row>
    <row r="42" customFormat="false" ht="15" hidden="false" customHeight="false" outlineLevel="0" collapsed="false">
      <c r="A42" s="12" t="s">
        <v>1104</v>
      </c>
      <c r="B42" s="12" t="s">
        <v>1105</v>
      </c>
      <c r="C42" s="37" t="n">
        <f aca="false">Finance!D13</f>
        <v>3.58691281932057</v>
      </c>
      <c r="D42" s="37" t="n">
        <v>3.58691281932057</v>
      </c>
      <c r="E42" s="13" t="str">
        <f aca="false">IF(ABS(C42-D42)&lt;0.000001,"PASS","FAIL")</f>
        <v>PASS</v>
      </c>
    </row>
    <row r="43" customFormat="false" ht="15" hidden="false" customHeight="false" outlineLevel="0" collapsed="false">
      <c r="A43" s="12" t="s">
        <v>1106</v>
      </c>
      <c r="B43" s="12" t="s">
        <v>1107</v>
      </c>
      <c r="C43" s="37" t="n">
        <f aca="false">Finance!F13</f>
        <v>0.538036922898085</v>
      </c>
      <c r="D43" s="37" t="n">
        <v>0.538036922898085</v>
      </c>
      <c r="E43" s="13" t="str">
        <f aca="false">IF(ABS(C43-D43)&lt;0.000001,"PASS","FAIL")</f>
        <v>PASS</v>
      </c>
    </row>
    <row r="44" customFormat="false" ht="15" hidden="false" customHeight="false" outlineLevel="0" collapsed="false">
      <c r="A44" s="12" t="s">
        <v>1108</v>
      </c>
      <c r="B44" s="12" t="s">
        <v>1109</v>
      </c>
      <c r="C44" s="37" t="n">
        <f aca="false">Finance!G13</f>
        <v>0</v>
      </c>
      <c r="D44" s="37" t="n">
        <v>0</v>
      </c>
      <c r="E44" s="13" t="str">
        <f aca="false">IF(ABS(C44-D44)&lt;0.000001,"PASS","FAIL")</f>
        <v>PASS</v>
      </c>
    </row>
    <row r="45" customFormat="false" ht="15" hidden="false" customHeight="false" outlineLevel="0" collapsed="false">
      <c r="A45" s="12" t="s">
        <v>1110</v>
      </c>
      <c r="B45" s="12" t="s">
        <v>1111</v>
      </c>
      <c r="C45" s="37" t="n">
        <f aca="false">Finance!H13</f>
        <v>0</v>
      </c>
      <c r="D45" s="37" t="n">
        <v>0</v>
      </c>
      <c r="E45" s="13" t="str">
        <f aca="false">IF(ABS(C45-D45)&lt;0.000001,"PASS","FAIL")</f>
        <v>PASS</v>
      </c>
    </row>
    <row r="46" customFormat="false" ht="15" hidden="false" customHeight="false" outlineLevel="0" collapsed="false">
      <c r="A46" s="12" t="s">
        <v>1112</v>
      </c>
      <c r="B46" s="12" t="s">
        <v>1113</v>
      </c>
      <c r="C46" s="37" t="n">
        <f aca="false">Controls!B20</f>
        <v>0</v>
      </c>
      <c r="D46" s="37" t="n">
        <v>0</v>
      </c>
      <c r="E46" s="13" t="str">
        <f aca="false">IF(ABS(C46-D46)&lt;0.000001,"PASS","FAIL")</f>
        <v>PASS</v>
      </c>
    </row>
    <row r="47" customFormat="false" ht="15" hidden="false" customHeight="false" outlineLevel="0" collapsed="false">
      <c r="A47" s="12" t="s">
        <v>1114</v>
      </c>
      <c r="B47" s="12" t="s">
        <v>1115</v>
      </c>
      <c r="C47" s="37" t="n">
        <f aca="false">Controls!B21</f>
        <v>0</v>
      </c>
      <c r="D47" s="37" t="n">
        <v>0</v>
      </c>
      <c r="E47" s="13" t="str">
        <f aca="false">IF(ABS(C47-D47)&lt;0.000001,"PASS","FAIL")</f>
        <v>PASS</v>
      </c>
    </row>
    <row r="48" customFormat="false" ht="15" hidden="false" customHeight="false" outlineLevel="0" collapsed="false">
      <c r="A48" s="12" t="s">
        <v>1116</v>
      </c>
      <c r="B48" s="12" t="s">
        <v>1117</v>
      </c>
      <c r="C48" s="37" t="n">
        <f aca="false">Controls!B22</f>
        <v>0</v>
      </c>
      <c r="D48" s="37" t="n">
        <v>0</v>
      </c>
      <c r="E48" s="13" t="str">
        <f aca="false">IF(ABS(C48-D48)&lt;0.000001,"PASS","FAIL")</f>
        <v>PASS</v>
      </c>
    </row>
    <row r="49" customFormat="false" ht="15" hidden="false" customHeight="false" outlineLevel="0" collapsed="false">
      <c r="A49" s="15" t="s">
        <v>1118</v>
      </c>
      <c r="B49" s="15" t="s">
        <v>1119</v>
      </c>
      <c r="C49" s="38" t="n">
        <f aca="false">COUNTA(Mutations!A7:A24)</f>
        <v>18</v>
      </c>
      <c r="D49" s="38" t="n">
        <v>18</v>
      </c>
      <c r="E49" s="16" t="str">
        <f aca="false">IF(ABS(C49-D49)&lt;0.000001,"PASS","FAIL")</f>
        <v>PASS</v>
      </c>
    </row>
  </sheetData>
  <mergeCells count="2">
    <mergeCell ref="A2:E2"/>
    <mergeCell ref="A4:E4"/>
  </mergeCells>
  <conditionalFormatting sqref="E7:E49">
    <cfRule type="containsText" priority="2" operator="containsText" aboveAverage="0" equalAverage="0" bottom="0" percent="0" rank="0" text="FAIL" dxfId="2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104"/>
    <col collapsed="false" customWidth="true" hidden="false" outlineLevel="0" max="4" min="4" style="1" width="58"/>
  </cols>
  <sheetData>
    <row r="2" customFormat="false" ht="24" hidden="false" customHeight="true" outlineLevel="0" collapsed="false">
      <c r="A2" s="2" t="s">
        <v>1120</v>
      </c>
      <c r="B2" s="2"/>
      <c r="C2" s="2"/>
      <c r="D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false" outlineLevel="0" collapsed="false">
      <c r="A4" s="24" t="s">
        <v>1121</v>
      </c>
      <c r="B4" s="24"/>
      <c r="C4" s="24"/>
      <c r="D4" s="24"/>
    </row>
    <row r="5" customFormat="false" ht="15" hidden="false" customHeight="false" outlineLevel="0" collapsed="false">
      <c r="A5" s="7"/>
      <c r="B5" s="7"/>
      <c r="C5" s="7"/>
      <c r="D5" s="7"/>
    </row>
    <row r="6" customFormat="false" ht="24" hidden="false" customHeight="true" outlineLevel="0" collapsed="false">
      <c r="A6" s="25" t="s">
        <v>1122</v>
      </c>
      <c r="B6" s="26" t="s">
        <v>1123</v>
      </c>
      <c r="C6" s="26" t="s">
        <v>1124</v>
      </c>
      <c r="D6" s="27" t="s">
        <v>1125</v>
      </c>
    </row>
    <row r="7" customFormat="false" ht="15" hidden="false" customHeight="false" outlineLevel="0" collapsed="false">
      <c r="A7" s="8" t="s">
        <v>1126</v>
      </c>
      <c r="B7" s="8" t="s">
        <v>1127</v>
      </c>
      <c r="C7" s="8" t="s">
        <v>1128</v>
      </c>
      <c r="D7" s="8" t="s">
        <v>1129</v>
      </c>
    </row>
    <row r="8" customFormat="false" ht="15" hidden="false" customHeight="false" outlineLevel="0" collapsed="false">
      <c r="A8" s="12" t="s">
        <v>1130</v>
      </c>
      <c r="B8" s="12" t="s">
        <v>1131</v>
      </c>
      <c r="C8" s="12" t="s">
        <v>1132</v>
      </c>
      <c r="D8" s="12" t="s">
        <v>1133</v>
      </c>
    </row>
    <row r="9" customFormat="false" ht="15" hidden="false" customHeight="false" outlineLevel="0" collapsed="false">
      <c r="A9" s="12" t="s">
        <v>1134</v>
      </c>
      <c r="B9" s="12" t="s">
        <v>1135</v>
      </c>
      <c r="C9" s="12" t="s">
        <v>1136</v>
      </c>
      <c r="D9" s="12" t="s">
        <v>1137</v>
      </c>
    </row>
    <row r="10" customFormat="false" ht="15" hidden="false" customHeight="false" outlineLevel="0" collapsed="false">
      <c r="A10" s="12" t="s">
        <v>1138</v>
      </c>
      <c r="B10" s="12" t="s">
        <v>1139</v>
      </c>
      <c r="C10" s="12" t="s">
        <v>1140</v>
      </c>
      <c r="D10" s="12" t="s">
        <v>1141</v>
      </c>
    </row>
    <row r="11" customFormat="false" ht="15" hidden="false" customHeight="false" outlineLevel="0" collapsed="false">
      <c r="A11" s="12" t="s">
        <v>1142</v>
      </c>
      <c r="B11" s="12" t="s">
        <v>1143</v>
      </c>
      <c r="C11" s="12" t="s">
        <v>1144</v>
      </c>
      <c r="D11" s="12" t="s">
        <v>1145</v>
      </c>
    </row>
    <row r="12" customFormat="false" ht="15" hidden="false" customHeight="false" outlineLevel="0" collapsed="false">
      <c r="A12" s="15" t="s">
        <v>1146</v>
      </c>
      <c r="B12" s="15" t="s">
        <v>1147</v>
      </c>
      <c r="C12" s="15" t="s">
        <v>1148</v>
      </c>
      <c r="D12" s="15" t="s">
        <v>1149</v>
      </c>
    </row>
    <row r="13" customFormat="false" ht="15" hidden="false" customHeight="false" outlineLevel="0" collapsed="false">
      <c r="A13" s="7"/>
      <c r="B13" s="7"/>
      <c r="C13" s="7"/>
      <c r="D13" s="7"/>
    </row>
    <row r="14" customFormat="false" ht="15" hidden="false" customHeight="false" outlineLevel="0" collapsed="false">
      <c r="A14" s="7"/>
      <c r="B14" s="7"/>
      <c r="C14" s="7"/>
      <c r="D14" s="7"/>
    </row>
    <row r="15" customFormat="false" ht="24" hidden="false" customHeight="true" outlineLevel="0" collapsed="false">
      <c r="A15" s="57" t="s">
        <v>1122</v>
      </c>
      <c r="B15" s="58" t="s">
        <v>1150</v>
      </c>
      <c r="C15" s="58" t="s">
        <v>1151</v>
      </c>
      <c r="D15" s="64" t="s">
        <v>1152</v>
      </c>
    </row>
    <row r="16" customFormat="false" ht="15" hidden="false" customHeight="false" outlineLevel="0" collapsed="false">
      <c r="A16" s="8" t="s">
        <v>1153</v>
      </c>
      <c r="B16" s="8" t="s">
        <v>1154</v>
      </c>
      <c r="C16" s="8" t="s">
        <v>1155</v>
      </c>
      <c r="D16" s="8" t="s">
        <v>1156</v>
      </c>
    </row>
    <row r="17" customFormat="false" ht="15" hidden="false" customHeight="false" outlineLevel="0" collapsed="false">
      <c r="A17" s="12" t="s">
        <v>1157</v>
      </c>
      <c r="B17" s="12" t="s">
        <v>1158</v>
      </c>
      <c r="C17" s="12" t="s">
        <v>1159</v>
      </c>
      <c r="D17" s="12" t="s">
        <v>1160</v>
      </c>
    </row>
    <row r="18" customFormat="false" ht="15" hidden="false" customHeight="false" outlineLevel="0" collapsed="false">
      <c r="A18" s="12" t="s">
        <v>1161</v>
      </c>
      <c r="B18" s="12" t="s">
        <v>1162</v>
      </c>
      <c r="C18" s="12" t="s">
        <v>1163</v>
      </c>
      <c r="D18" s="12" t="s">
        <v>1164</v>
      </c>
    </row>
    <row r="19" customFormat="false" ht="15" hidden="false" customHeight="false" outlineLevel="0" collapsed="false">
      <c r="A19" s="12" t="s">
        <v>1165</v>
      </c>
      <c r="B19" s="12" t="s">
        <v>1166</v>
      </c>
      <c r="C19" s="12" t="s">
        <v>1167</v>
      </c>
      <c r="D19" s="12" t="s">
        <v>1168</v>
      </c>
    </row>
    <row r="20" customFormat="false" ht="15" hidden="false" customHeight="false" outlineLevel="0" collapsed="false">
      <c r="A20" s="12" t="s">
        <v>1169</v>
      </c>
      <c r="B20" s="12" t="s">
        <v>1170</v>
      </c>
      <c r="C20" s="12" t="s">
        <v>1171</v>
      </c>
      <c r="D20" s="12" t="s">
        <v>1172</v>
      </c>
    </row>
    <row r="21" customFormat="false" ht="15" hidden="false" customHeight="false" outlineLevel="0" collapsed="false">
      <c r="A21" s="15" t="s">
        <v>1173</v>
      </c>
      <c r="B21" s="15" t="s">
        <v>1174</v>
      </c>
      <c r="C21" s="15" t="s">
        <v>1175</v>
      </c>
      <c r="D21" s="15" t="s">
        <v>1176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